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Driver Build" sheetId="5" state="visible" r:id="rId7"/>
    <sheet name="DDM" sheetId="6" state="visible" r:id="rId8"/>
    <sheet name="Segments" sheetId="7" state="visible" r:id="rId9"/>
    <sheet name="Relative &amp; Normalized" sheetId="8" state="visible" r:id="rId10"/>
    <sheet name="DCF" sheetId="9" state="visible" r:id="rId11"/>
    <sheet name="Residual Income" sheetId="10" state="visible" r:id="rId12"/>
    <sheet name="Income Statement" sheetId="11" state="visible" r:id="rId13"/>
    <sheet name="Balance Sheet" sheetId="12" state="visible" r:id="rId14"/>
    <sheet name="Cash Flow" sheetId="13" state="visible" r:id="rId15"/>
    <sheet name="Summary Financials" sheetId="14" state="visible" r:id="rId16"/>
    <sheet name="Monte Carlo" sheetId="15" state="visible" r:id="rId17"/>
    <sheet name="Sensitivity" sheetId="16" state="visible" r:id="rId18"/>
    <sheet name="Per-Share &amp; Ratios" sheetId="17" state="visible" r:id="rId19"/>
    <sheet name="Peer &amp; Sector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<sst xmlns="http://schemas.openxmlformats.org/spreadsheetml/2006/main" count="473" uniqueCount="347">
  <si>
    <t xml:space="preserve">Testahil — Abu Dhabi Commercial Bank (ADX: ADCB)</t>
  </si>
  <si>
    <t xml:space="preserve">Companion model · Independent Valuation Study · Educational analysis · Not investment advice</t>
  </si>
  <si>
    <t xml:space="preserve">What this workbook is. A transparent companion to the ADCB valuation study. Every blue cell is an input; every</t>
  </si>
  <si>
    <t xml:space="preserve">black cell is a formula; green cells link across sheets. All inputs live on the Assumptions sheet — change one</t>
  </si>
  <si>
    <t xml:space="preserve">(the NIM path, loan growth, cost of risk, the Ke build, terminal growth)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</si>
  <si>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</si>
  <si>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</si>
  <si>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Entity note. ADCB is the UAE’s third-largest bank by assets (AED 809bn, Mar-2026): retail, corporate &amp; investment</t>
  </si>
  <si>
    <t xml:space="preserve">banking, private banking and treasury, plus Al Hilal Bank (digital Islamic), ADCB Egypt and ADCB Securities.</t>
  </si>
  <si>
    <t xml:space="preserve">Mubadala Investment Company holds 60.69%. A completed AED 6.1bn rights issue (Dec-2025; 592.2mn new shares</t>
  </si>
  <si>
    <t xml:space="preserve">at AED 10.30; capital to 7,912.2mn shares) is the base-changer every per-share figure in this model reflects.</t>
  </si>
  <si>
    <t xml:space="preserve">Valuation approach for a bank: dividend discount model (primary), cross-checked by an equity DCF (profit less capital retained for</t>
  </si>
  <si>
    <t xml:space="preserve">RWA growth), residual income, relative multiples and a normalized-earnings floor. Deposits are operating inputs,</t>
  </si>
  <si>
    <t xml:space="preserve">not a capital-structure choice, so every lens discounts at the cost of equity Ke — never a blended WACC.</t>
  </si>
  <si>
    <t xml:space="preserve">Provenance. FY23–FY25 and Q1-2026 figures from ADCB’s own results releases and MD&amp;A tables (IR); some</t>
  </si>
  <si>
    <t xml:space="preserve">balance-sheet sub-lines (Tier-1 notes split, intangibles, RWA level) are derived to disclosed totals and FLAGGED</t>
  </si>
  <si>
    <t xml:space="preserve">blue with a note where used. ADCB’s PDF filings were not machine-accessible this session; re-verify against the filed PDFs</t>
  </si>
  <si>
    <t xml:space="preserve">before any publish (Fundamental Driver Ledger rows are open on each flagged item).</t>
  </si>
  <si>
    <t xml:space="preserve">Two clocks. The weighted central (~12-month, risk-adjusted) is the study anchor; the strategy-delivered value</t>
  </si>
  <si>
    <t xml:space="preserve">(AED 20bn net profit by 2030, fully credited) is a multi-year ceiling; the only 3-month figures are the Monte</t>
  </si>
  <si>
    <t xml:space="preserve">Carlo percentiles on the Monte Carlo sheet. Never read one clock as another.</t>
  </si>
  <si>
    <t xml:space="preserve">Summary — five lenses, weights, weighted central</t>
  </si>
  <si>
    <t xml:space="preserve">Lens</t>
  </si>
  <si>
    <t xml:space="preserve">AED/share</t>
  </si>
  <si>
    <t xml:space="preserve">Weight</t>
  </si>
  <si>
    <t xml:space="preserve">Weighted</t>
  </si>
  <si>
    <t xml:space="preserve">DDM (primary)</t>
  </si>
  <si>
    <t xml:space="preserve">Residual income</t>
  </si>
  <si>
    <t xml:space="preserve">FCFE (equity DCF)</t>
  </si>
  <si>
    <t xml:space="preserve">Relative multiples</t>
  </si>
  <si>
    <t xml:space="preserve">Normalized value (through-cycle)</t>
  </si>
  <si>
    <t xml:space="preserve">Weighted central</t>
  </si>
  <si>
    <t xml:space="preserve">Spot</t>
  </si>
  <si>
    <t xml:space="preserve">Upside / (downside) vs spot</t>
  </si>
  <si>
    <t xml:space="preserve">Two clocks (never conflate)</t>
  </si>
  <si>
    <t xml:space="preserve">Risk-adjusted fair value (~12-month anchor)</t>
  </si>
  <si>
    <t xml:space="preserve">Strategy-delivered ceiling (base-Ke, AED 20bn credited — multi-year)</t>
  </si>
  <si>
    <t xml:space="preserve">3-month figures = Monte Carlo percentiles only (see Monte Carlo sheet)</t>
  </si>
  <si>
    <t xml:space="preserve">Fundamental valuation — the five-lens summary and the headline range</t>
  </si>
  <si>
    <t xml:space="preserve">Contribution</t>
  </si>
  <si>
    <t xml:space="preserve">DCF — equity FCFE</t>
  </si>
  <si>
    <t xml:space="preserve">HEADLINE RANGE (the three numbers on the study and the site)</t>
  </si>
  <si>
    <t xml:space="preserve">Bear — normalized through-cycle floor</t>
  </si>
  <si>
    <t xml:space="preserve">Base — weighted central</t>
  </si>
  <si>
    <t xml:space="preserve">Bull — equity DCF (FCFE) ceiling</t>
  </si>
  <si>
    <t xml:space="preserve">Upside to weighted central</t>
  </si>
  <si>
    <t xml:space="preserve">The DCF family (DDM/RI/DCF, 21-23) and the market family (Relative/Normalized, 14-16) do not overlap —</t>
  </si>
  <si>
    <t xml:space="preserve">so they are not blended into a single point estimate dressed up as precision. See study §1.7.</t>
  </si>
  <si>
    <t xml:space="preserve">Assumptions — the single blue-input layer</t>
  </si>
  <si>
    <t xml:space="preserve">Every input in the model lives here. Blue = change me.</t>
  </si>
  <si>
    <t xml:space="preserve">MARKET</t>
  </si>
  <si>
    <t xml:space="preserve">Spot (AED, 03-Jul-2026 close)</t>
  </si>
  <si>
    <t xml:space="preserve">Shares outstanding (mn, post-rights)</t>
  </si>
  <si>
    <t xml:space="preserve">Market cap (AED bn)</t>
  </si>
  <si>
    <t xml:space="preserve">FY25 DPS (AED) — trailing yield anchor</t>
  </si>
  <si>
    <t xml:space="preserve">COST OF EQUITY (Ke)</t>
  </si>
  <si>
    <t xml:space="preserve">Risk-free (AED 10Y, constructed: UST10Y 4.58% + ~12bp AED T-Bond spread)</t>
  </si>
  <si>
    <t xml:space="preserve">ERP — rating-based (Damodaran Jan-2026, UAE Aa2)</t>
  </si>
  <si>
    <t xml:space="preserve">ERP — CDS-based (Abu Dhabi row, cross-check)</t>
  </si>
  <si>
    <t xml:space="preserve">Beta (regression on ADX index not available → set to 1.00; band 0.8–1.3)</t>
  </si>
  <si>
    <t xml:space="preserve">Conflict-risk adder (2026 Iran war; sensitized to 0 on de-escalation)</t>
  </si>
  <si>
    <t xml:space="preserve">Ke = rf + β·ERP + adder</t>
  </si>
  <si>
    <t xml:space="preserve">Terminal growth g</t>
  </si>
  <si>
    <t xml:space="preserve">Terminal ROE</t>
  </si>
  <si>
    <t xml:space="preserve">DRIVER PATHS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</si>
  <si>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</si>
  <si>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</si>
  <si>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</si>
  <si>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</si>
  <si>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</si>
  <si>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Net loan growth %</t>
  </si>
  <si>
    <t xml:space="preserve">Net interest margin % (avg NIEA)</t>
  </si>
  <si>
    <t xml:space="preserve">Non-interest income growth %</t>
  </si>
  <si>
    <t xml:space="preserve">Cost-to-income %</t>
  </si>
  <si>
    <t xml:space="preserve">Cost of risk (bp on avg loans)</t>
  </si>
  <si>
    <t xml:space="preserve">Effective tax rate (IAE 9% → DMTT 15%)</t>
  </si>
  <si>
    <t xml:space="preserve">Dividend payout %</t>
  </si>
  <si>
    <t xml:space="preserve">RWA growth %</t>
  </si>
  <si>
    <t xml:space="preserve">CET1 target %</t>
  </si>
  <si>
    <t xml:space="preserve">NIEA / net loans multiple (Dec-2025 anchor)</t>
  </si>
  <si>
    <t xml:space="preserve">RWA, Dec-2025 (AED mn — DERIVED from CET1 13.82% at density ~62%; FLAGGED, ledger row)</t>
  </si>
  <si>
    <t xml:space="preserve">CET1 capital, Mar-2026 (AED mn = 13.82% × RWA)</t>
  </si>
  <si>
    <t xml:space="preserve">EQUITY SPLIT (derived to disclosed Mar-2026 total; FLAGGED)</t>
  </si>
  <si>
    <t xml:space="preserve">Total shareholders’ equity, Mar-2026 (disclosed)</t>
  </si>
  <si>
    <t xml:space="preserve">Total shareholders’ equity, Dec-2025 (derived)</t>
  </si>
  <si>
    <t xml:space="preserve">Tier-1 capital notes within equity (est., FLAGGED)</t>
  </si>
  <si>
    <t xml:space="preserve">Common equity, Dec-2025 = total − T1 notes</t>
  </si>
  <si>
    <t xml:space="preserve">Goodwill &amp; intangibles (est., merger vintage; FLAGGED)</t>
  </si>
  <si>
    <t xml:space="preserve">BVPS (common) / TBVPS</t>
  </si>
  <si>
    <t xml:space="preserve">RELATIVE &amp; FLOOR</t>
  </si>
  <si>
    <t xml:space="preserve">Sector P/B (UAE large banks)</t>
  </si>
  <si>
    <t xml:space="preserve">Forward P/E (peer read)</t>
  </si>
  <si>
    <t xml:space="preserve">Through-cycle ROE % (floor)</t>
  </si>
  <si>
    <t xml:space="preserve">Normalized value method: justified P/B on through-cycle ROE (uses g and Ke above)</t>
  </si>
  <si>
    <t xml:space="preserve">Lens weights: DDM / RI / FCFE / Relative / Floor</t>
  </si>
  <si>
    <t xml:space="preserve">HOW EACH DRIVER WAS DERIVED — TOP-DOWN OR BOTTOM-UP, WITH THE EVIDENCE</t>
  </si>
  <si>
    <t xml:space="preserve">Driver</t>
  </si>
  <si>
    <t xml:space="preserve">How derived</t>
  </si>
  <si>
    <t xml:space="preserve">Justification</t>
  </si>
  <si>
    <t xml:space="preserve">Evidence</t>
  </si>
  <si>
    <t xml:space="preserve">Loan growth (FY26-30 glide 16%-&gt;8%)</t>
  </si>
  <si>
    <t xml:space="preserve">Top-down</t>
  </si>
  <si>
    <t xml:space="preserve">no unit-level pipeline disclosure; anchored to Q1'26 +18% YoY momentum, guidance 'above 16%', CBUAE 2026 macro cut</t>
  </si>
  <si>
    <t xml:space="preserve">F05,F08,F13,F21</t>
  </si>
  <si>
    <t xml:space="preserve">NIM path (2.30 trough 2.26 -&gt; 2.32)</t>
  </si>
  <si>
    <t xml:space="preserve">rate-path-driven NIM bridge off disclosed quarterly NIM/asset-yield/CoF and Fed/CBUAE path; per-book repricing betas undisclosed</t>
  </si>
  <si>
    <t xml:space="preserve">F01,F09,F22</t>
  </si>
  <si>
    <t xml:space="preserve">Non-interest income (+11% then +9%/yr)</t>
  </si>
  <si>
    <t xml:space="preserve">fee/trading split disclosed quarterly (Q1'26: fees 938, trading 959, other 299) but no volume drivers; war-vol trading gain haircut applied</t>
  </si>
  <si>
    <t xml:space="preserve">F14,F19,F23</t>
  </si>
  <si>
    <t xml:space="preserve">Cost-to-income (27.0% -&gt; 24.5%)</t>
  </si>
  <si>
    <t xml:space="preserve">management AI-efficiency program direction disclosed, unit economics not; glide inside record 25.6% Q1 print</t>
  </si>
  <si>
    <t xml:space="preserve">F11,F13,F24</t>
  </si>
  <si>
    <t xml:space="preserve">Cost of risk (55bp -&gt; 45bp)</t>
  </si>
  <si>
    <t xml:space="preserve">guide &lt;60bp; Q1'26 41bp incl 596mn overlays; NPL 1.76% coverage 152%; war-risk premium retained FY26</t>
  </si>
  <si>
    <t xml:space="preserve">F02,F13,F18,F21</t>
  </si>
  <si>
    <t xml:space="preserve">Tax rate (11% -&gt; 15%)</t>
  </si>
  <si>
    <t xml:space="preserve">DMTT 15% statutory with IAE initial-phase 9% currently applied (note 3, Q1'26 FS); lapse timing undisclosed -&gt; conservative step-up, sensitized</t>
  </si>
  <si>
    <t xml:space="preserve">F06,F25</t>
  </si>
  <si>
    <t xml:space="preserve">Dividend payout (38% -&gt; 33%)</t>
  </si>
  <si>
    <t xml:space="preserve">c.AED 25bn 5yr distribution guide + 'progressive' language + CET1&gt;12% floor; capital equation binds (see FCFE leg)</t>
  </si>
  <si>
    <t xml:space="preserve">F13,F16,F27</t>
  </si>
  <si>
    <t xml:space="preserve">RWA path &amp; CET1 glide (13.8% -&gt; 12.75%)</t>
  </si>
  <si>
    <t xml:space="preserve">RWA level not disclosed in captured releases -&gt; derived from CET1 ratio (FLAGGED, ledger row); density and glide sensitized</t>
  </si>
  <si>
    <t xml:space="preserve">F19,F16,F26</t>
  </si>
  <si>
    <t xml:space="preserve">All eight drivers are top-down: ADCB reports blended outcomes (margin, cost-to-income, cost of risk) rather than the</t>
  </si>
  <si>
    <t xml:space="preserve">component betas, fee volumes or unit economics a bottom-up build would need. Each row names the evidence it rests on.</t>
  </si>
  <si>
    <t xml:space="preserve">Driver Build — rate-path NIM bridge, DuPont, CET1 schedule</t>
  </si>
  <si>
    <t xml:space="preserve">Rate-path margin bridge, DuPont, and the capital schedule. Black cells compute from Assumptions.</t>
  </si>
  <si>
    <t xml:space="preserve">AED mn</t>
  </si>
  <si>
    <t xml:space="preserve">FY25A</t>
  </si>
  <si>
    <t xml:space="preserve">link</t>
  </si>
  <si>
    <t xml:space="preserve">Net loans (close)</t>
  </si>
  <si>
    <t xml:space="preserve">Avg NIEA</t>
  </si>
  <si>
    <t xml:space="preserve">Net interest income</t>
  </si>
  <si>
    <t xml:space="preserve">Non-interest income</t>
  </si>
  <si>
    <t xml:space="preserve">Operating income</t>
  </si>
  <si>
    <t xml:space="preserve">Operating expenses</t>
  </si>
  <si>
    <t xml:space="preserve">Pre-provision operating profit</t>
  </si>
  <si>
    <t xml:space="preserve">Impairment charge</t>
  </si>
  <si>
    <t xml:space="preserve">Profit before tax</t>
  </si>
  <si>
    <t xml:space="preserve">Tax</t>
  </si>
  <si>
    <t xml:space="preserve">Net profit after tax</t>
  </si>
  <si>
    <t xml:space="preserve">EPS (AED)</t>
  </si>
  <si>
    <t xml:space="preserve">DPS (AED)</t>
  </si>
  <si>
    <t xml:space="preserve">Dividends (total)</t>
  </si>
  <si>
    <t xml:space="preserve">Opening common equity</t>
  </si>
  <si>
    <t xml:space="preserve">Closing common equity</t>
  </si>
  <si>
    <t xml:space="preserve">ROE %</t>
  </si>
  <si>
    <t xml:space="preserve">CET1 / RWA schedule (FCFE leg)</t>
  </si>
  <si>
    <t xml:space="preserve">RWA (close)</t>
  </si>
  <si>
    <t xml:space="preserve">Required CET1 capital = target × RWA</t>
  </si>
  <si>
    <t xml:space="preserve">Δ CET1 capital retained</t>
  </si>
  <si>
    <t xml:space="preserve">FCFE = NPAT − Δ CET1 retained</t>
  </si>
  <si>
    <t xml:space="preserve">DuPont — return on average assets, decomposed</t>
  </si>
  <si>
    <t xml:space="preserve">(avg total assets = avg-of-open/close net loans ÷ 0.525, the Dec-25 loans/assets mix — same proxy used in Appendix A)</t>
  </si>
  <si>
    <t xml:space="preserve">Avg total assets (proxy)</t>
  </si>
  <si>
    <t xml:space="preserve">Net interest income / avg assets</t>
  </si>
  <si>
    <t xml:space="preserve">+ Non-interest income / avg assets</t>
  </si>
  <si>
    <t xml:space="preserve">− Operating expense / avg assets</t>
  </si>
  <si>
    <t xml:space="preserve">− Impairment charge / avg assets</t>
  </si>
  <si>
    <t xml:space="preserve">− Tax / avg assets</t>
  </si>
  <si>
    <t xml:space="preserve">Return on average assets (RoAA)</t>
  </si>
  <si>
    <t xml:space="preserve">× Equity multiplier (avg assets / avg common equity)</t>
  </si>
  <si>
    <t xml:space="preserve">Return on average equity (ROE) — ties to the ROE row above</t>
  </si>
  <si>
    <t xml:space="preserve">Read: the margin (NII/assets) and efficiency (opex/assets) lines carry the operating story; leverage (the equity</t>
  </si>
  <si>
    <t xml:space="preserve">multiplier) is held roughly flat by the CET1 floor — so ROE moves mainly on RoAA, not on balance-sheet leverage.</t>
  </si>
  <si>
    <t xml:space="preserve">Dividend discount model — the primary lens</t>
  </si>
  <si>
    <t xml:space="preserve">DPS from the Driver Build; Gordon terminal at g on terminal payout 1−g/ROE.</t>
  </si>
  <si>
    <t xml:space="preserve">AED / share</t>
  </si>
  <si>
    <t xml:space="preserve">DPS</t>
  </si>
  <si>
    <t xml:space="preserve">Discount factor = 1/(1+Ke)^t</t>
  </si>
  <si>
    <t xml:space="preserve">PV of dividend</t>
  </si>
  <si>
    <t xml:space="preserve">Σ PV of explicit dividends (FY26–30)</t>
  </si>
  <si>
    <t xml:space="preserve">Terminal payout = 1 − g/ROE_terminal</t>
  </si>
  <si>
    <t xml:space="preserve">Terminal DPS (FY31) = EPS30 × (1+g) × terminal payout</t>
  </si>
  <si>
    <t xml:space="preserve">Terminal value at Ke − g</t>
  </si>
  <si>
    <t xml:space="preserve">PV of terminal value</t>
  </si>
  <si>
    <t xml:space="preserve">DDM fair value</t>
  </si>
  <si>
    <t xml:space="preserve">Terminal value as % of DDM (dependency disclosure)</t>
  </si>
  <si>
    <t xml:space="preserve">vs spot</t>
  </si>
  <si>
    <t xml:space="preserve">Segments — operating-income mix and the two disclosed subsidiaries</t>
  </si>
  <si>
    <t xml:space="preserve">ADCB reports one consolidated P&amp;L; segment and subsidiary detail below is applied top-down to the group build.</t>
  </si>
  <si>
    <t xml:space="preserve">OPERATING-INCOME MIX (Q1’26, ADCB investor materials — the latest disclosed split)</t>
  </si>
  <si>
    <t xml:space="preserve">Segment</t>
  </si>
  <si>
    <t xml:space="preserve">Q1’26 mix</t>
  </si>
  <si>
    <t xml:space="preserve">Corporate &amp; Investment Banking</t>
  </si>
  <si>
    <t xml:space="preserve">Retail (Consumer) Banking</t>
  </si>
  <si>
    <t xml:space="preserve">Treasury &amp; Investments</t>
  </si>
  <si>
    <t xml:space="preserve">Private Banking &amp; Wealth</t>
  </si>
  <si>
    <t xml:space="preserve">Total operating income (check)</t>
  </si>
  <si>
    <t xml:space="preserve">The mix is applied flat across FY26E–30E (no segment-level forward guidance disclosed — negative search,</t>
  </si>
  <si>
    <t xml:space="preserve">logged in the Fundamental Driver Ledger); Al Hilal Bank (Islamic banking) is not broken out as a separate P&amp;L</t>
  </si>
  <si>
    <t xml:space="preserve">line in captured disclosures — also a negative search, consolidated within Retail/CIB on a product basis.</t>
  </si>
  <si>
    <t xml:space="preserve">SUBSIDIARY: ADCB EGYPT (EGP, IFRS, disclosed separately each quarter)</t>
  </si>
  <si>
    <t xml:space="preserve">Q1’26 net profit (EGP mn)</t>
  </si>
  <si>
    <t xml:space="preserve">Q1’26 return on equity</t>
  </si>
  <si>
    <t xml:space="preserve">Net loans, Q1’26 (EGP mn, +28% YoY)</t>
  </si>
  <si>
    <t xml:space="preserve">Customer deposits, Q1’26 (EGP mn, +27% YoY)</t>
  </si>
  <si>
    <t xml:space="preserve">Source: ADCB Q1 2026 results release (23-Apr-2026), reproduced on wire services — EGP figures not</t>
  </si>
  <si>
    <t xml:space="preserve">material to the AED group model (ADCB Egypt is ~1% of group net profit) and shown for context only.</t>
  </si>
  <si>
    <t xml:space="preserve">Relative multiples &amp; the normalized through-cycle value</t>
  </si>
  <si>
    <t xml:space="preserve">Relative read</t>
  </si>
  <si>
    <t xml:space="preserve">Sector P/B × BVPS</t>
  </si>
  <si>
    <t xml:space="preserve">Forward P/E × FY26E EPS</t>
  </si>
  <si>
    <t xml:space="preserve">Relative blend (average)</t>
  </si>
  <si>
    <t xml:space="preserve">Through-cycle ROE × BVPS = normalized EPS</t>
  </si>
  <si>
    <t xml:space="preserve">Justified P/B = (ROE_tc − g)/(Ke − g)</t>
  </si>
  <si>
    <t xml:space="preserve">Normalized value = justified P/B × BVPS</t>
  </si>
  <si>
    <t xml:space="preserve">Implied through-cycle P/E (memo) = value ÷ normalized EPS</t>
  </si>
  <si>
    <t xml:space="preserve">Terminal justified P/B = (ROE_terminal − g)/(Ke − g) (cross-check)</t>
  </si>
  <si>
    <t xml:space="preserve">Market P/B at spot</t>
  </si>
  <si>
    <t xml:space="preserve">DCF — equity free cash flow (FCFE), profit less capital retained for RWA growth</t>
  </si>
  <si>
    <t xml:space="preserve">What is genuinely distributable, whether or not paid. Canonical DCF slot: for a bank, the cash-flow cross-check is FCFE, not FCFF (deposits are an operating input, not financing).</t>
  </si>
  <si>
    <t xml:space="preserve">− Δ CET1 capital retained</t>
  </si>
  <si>
    <t xml:space="preserve">FCFE (NPAT less retention)</t>
  </si>
  <si>
    <t xml:space="preserve">Discount factor</t>
  </si>
  <si>
    <t xml:space="preserve">PV of FCFE</t>
  </si>
  <si>
    <t xml:space="preserve">Σ PV of explicit FCFE</t>
  </si>
  <si>
    <t xml:space="preserve">Terminal FCFE (FY31, +g) / (Ke−g)</t>
  </si>
  <si>
    <t xml:space="preserve">PV of terminal FCFE</t>
  </si>
  <si>
    <t xml:space="preserve">Equity value</t>
  </si>
  <si>
    <t xml:space="preserve">FCFE value / share</t>
  </si>
  <si>
    <t xml:space="preserve">PV of terminal as % of equity value</t>
  </si>
  <si>
    <t xml:space="preserve">Residual income — book value plus PV of excess returns</t>
  </si>
  <si>
    <t xml:space="preserve">RI = NPAT − Ke × opening common equity.</t>
  </si>
  <si>
    <t xml:space="preserve">− equity charge (Ke × opening BV)</t>
  </si>
  <si>
    <t xml:space="preserve">Residual income (NPAT less charge)</t>
  </si>
  <si>
    <t xml:space="preserve">PV of residual income</t>
  </si>
  <si>
    <t xml:space="preserve">Common book value, Dec-2025 (starting equity)</t>
  </si>
  <si>
    <t xml:space="preserve">Σ PV of explicit residual income</t>
  </si>
  <si>
    <t xml:space="preserve">Terminal RI (FY31, +g) / (Ke−g)</t>
  </si>
  <si>
    <t xml:space="preserve">PV of terminal RI</t>
  </si>
  <si>
    <t xml:space="preserve">Residual-income value / share</t>
  </si>
  <si>
    <t xml:space="preserve">Implied exit multiple on Dec-2025 common book</t>
  </si>
  <si>
    <t xml:space="preserve">Income statement — 3yr history + 5yr forecast (AED mn)</t>
  </si>
  <si>
    <t xml:space="preserve">History from ADCB results releases (IR); forecast links to the Driver Build.</t>
  </si>
  <si>
    <t xml:space="preserve">FY23</t>
  </si>
  <si>
    <t xml:space="preserve">FY24</t>
  </si>
  <si>
    <t xml:space="preserve">FY25</t>
  </si>
  <si>
    <t xml:space="preserve">Memo: NIM % (as reported / model)</t>
  </si>
  <si>
    <t xml:space="preserve">Memo: cost-to-income %</t>
  </si>
  <si>
    <t xml:space="preserve">FY23 is pre-UAE-CIT (9% from FY24, DMTT/IAE from FY25) and includes the ADCP one-off gain of AED 490mn;</t>
  </si>
  <si>
    <t xml:space="preserve">FY23 ex-one-off net profit AED 7,717mn (dual framing). FY24 opex/impairment derived from disclosed CIR/PBT (flagged).</t>
  </si>
  <si>
    <t xml:space="preserve">Balance sheet — key lines (AED mn)</t>
  </si>
  <si>
    <t xml:space="preserve">FY23 assets and FY24 deposits derived from disclosed growth rates (flagged blue-with-note).</t>
  </si>
  <si>
    <t xml:space="preserve">Total assets</t>
  </si>
  <si>
    <t xml:space="preserve">Net loans and advances</t>
  </si>
  <si>
    <t xml:space="preserve">Customer deposits</t>
  </si>
  <si>
    <t xml:space="preserve">Common equity (close)</t>
  </si>
  <si>
    <t xml:space="preserve">—</t>
  </si>
  <si>
    <t xml:space="preserve">CET1 % (target path)</t>
  </si>
  <si>
    <t xml:space="preserve">Reported anchors: Mar-2026 assets 808,857 · loans 425,720 · deposits 523,095 · NIEA 679,794 · total equity 86,000</t>
  </si>
  <si>
    <t xml:space="preserve">CET1 13.82% · CAR 16.95% · LCR 124.2% · LDR 81.4% · CASA 46.9% · NPL 1.76% · coverage 151.8% (ADCB Q1-26 MD&amp;A).</t>
  </si>
  <si>
    <t xml:space="preserve">Equity cash walk — retention vs distribution (AED mn)</t>
  </si>
  <si>
    <t xml:space="preserve">For a bank the meaningful cash statement is the capital walk.</t>
  </si>
  <si>
    <t xml:space="preserve">Dividends paid</t>
  </si>
  <si>
    <t xml:space="preserve">Retained into common equity</t>
  </si>
  <si>
    <t xml:space="preserve">Δ CET1 required for RWA growth</t>
  </si>
  <si>
    <t xml:space="preserve">Surplus / (call) vs requirement</t>
  </si>
  <si>
    <t xml:space="preserve">A positive bottom row funds buffer rebuild / optionality; a negative one forces payout or growth to give.</t>
  </si>
  <si>
    <t xml:space="preserve">Summary financials — the one-page numbers block (AED mn)</t>
  </si>
  <si>
    <t xml:space="preserve">Net loans</t>
  </si>
  <si>
    <t xml:space="preserve">Weighted central AED 19.7 vs spot 15.1 (+31%) · backtest PASS · MC T+60 median 15.09</t>
  </si>
  <si>
    <t xml:space="preserve">Monte Carlo — 50,000 simulated price paths</t>
  </si>
  <si>
    <t xml:space="preserve">Summary of the simulation; values, not formulas.</t>
  </si>
  <si>
    <t xml:space="preserve">Probability read (T+60)</t>
  </si>
  <si>
    <t xml:space="preserve">P(above spot)</t>
  </si>
  <si>
    <t xml:space="preserve">49.7%</t>
  </si>
  <si>
    <t xml:space="preserve">P(+10%) vs P(−10%)</t>
  </si>
  <si>
    <t xml:space="preserve">20.8% vs 18.9%  (odds 1.1x)</t>
  </si>
  <si>
    <t xml:space="preserve">Median (move)</t>
  </si>
  <si>
    <t xml:space="preserve">AED 15.09  (-0.1%)</t>
  </si>
  <si>
    <t xml:space="preserve">50% band (25th–75th)</t>
  </si>
  <si>
    <t xml:space="preserve">AED 13.95 – 16.32</t>
  </si>
  <si>
    <t xml:space="preserve">Touch ±10% within horizon</t>
  </si>
  <si>
    <t xml:space="preserve">37.6% up · 34.3% down</t>
  </si>
  <si>
    <t xml:space="preserve">Percentiles (AED)</t>
  </si>
  <si>
    <t xml:space="preserve">T+20</t>
  </si>
  <si>
    <t xml:space="preserve">T+60</t>
  </si>
  <si>
    <t xml:space="preserve">5th</t>
  </si>
  <si>
    <t xml:space="preserve">25th</t>
  </si>
  <si>
    <t xml:space="preserve">50th</t>
  </si>
  <si>
    <t xml:space="preserve">75th</t>
  </si>
  <si>
    <t xml:space="preserve">95th</t>
  </si>
  <si>
    <t xml:space="preserve">Median components: carry = ln(1+rf 3.65%) − ln(1+q 4.17%) ≈ -0.12% over 60d — carry ≈ 0 for this dividend-payer: total return ≈ rf, delivered as dividend.</t>
  </si>
  <si>
    <t xml:space="preserve">Volatility (60-day, log) 0.150 · fat-tailed shape (t, 4 d.o.f.) · calibration 1.07 — fitted on a 9-name UAE panel (this bank plus its ADX/DFM peers), so shape and width reflect the market, not one stock.</t>
  </si>
  <si>
    <t xml:space="preserve">Five-year backtest (walk-forward, 60-day horizon, non-overlapping; history from 2022 on a consistent trading calendar)</t>
  </si>
  <si>
    <t xml:space="preserve">Windows 14 · CRPS skill +0.0232 · pinball-0.5 +0.0019 · Winkler-90 +0.0780</t>
  </si>
  <si>
    <t xml:space="preserve">Coverage 50/80/90: 0.64/0.86/0.86 · PIT mean 0.54</t>
  </si>
  <si>
    <t xml:space="preserve">Bootstrap CI by block: 2→[0.004, 0.035] · 3→[0.002, 0.04] · 4→[0.003, 0.032] → ROBUST VERDICT: PASS</t>
  </si>
  <si>
    <t xml:space="preserve">PASS: the distribution is calibrated (coverage near nominal, PIT centred) AND beats the naive benchmark, with the skill margin holding above zero across every resampling scheme — a modest demonstrated edge.</t>
  </si>
  <si>
    <t xml:space="preserve">The simulation is centred on carry alone; the fundamental value gap from Section 1 is deliberately kept out of it.</t>
  </si>
  <si>
    <t xml:space="preserve">Sensitivity — weighted central on Ke × terminal g; DDM grid; crux swings</t>
  </si>
  <si>
    <t xml:space="preserve">Weighted central (AED/share)</t>
  </si>
  <si>
    <t xml:space="preserve">g 3.0%</t>
  </si>
  <si>
    <t xml:space="preserve">g 3.5%</t>
  </si>
  <si>
    <t xml:space="preserve">g 4.0%</t>
  </si>
  <si>
    <t xml:space="preserve">g 4.5%</t>
  </si>
  <si>
    <t xml:space="preserve">Ke 9.6%</t>
  </si>
  <si>
    <t xml:space="preserve">Ke 10.1%</t>
  </si>
  <si>
    <t xml:space="preserve">Ke 10.6%</t>
  </si>
  <si>
    <t xml:space="preserve">Ke 11.1%</t>
  </si>
  <si>
    <t xml:space="preserve">Ke 11.6%</t>
  </si>
  <si>
    <t xml:space="preserve">Ke 12.1%</t>
  </si>
  <si>
    <t xml:space="preserve">DDM alone (AED/share)</t>
  </si>
  <si>
    <t xml:space="preserve">Crux swings in real units</t>
  </si>
  <si>
    <t xml:space="preserve">NIM path ±10bp across FY26–30</t>
  </si>
  <si>
    <t xml:space="preserve">≈ ±AED 0.9–1.1/sh on the central (NII ≈ avg NIEA × NIM; ~AED 0.9bn NPAT/yr per 10bp by FY28)</t>
  </si>
  <si>
    <t xml:space="preserve">Cost of risk ±10bp</t>
  </si>
  <si>
    <t xml:space="preserve">≈ ∓AED 0.5/sh (≈ AED 0.5–0.6bn pre-tax per year on ~AED 550bn avg loans mid-path)</t>
  </si>
  <si>
    <t xml:space="preserve">Tax: IAE 9% persists vs DMTT 15% from FY27</t>
  </si>
  <si>
    <t xml:space="preserve">+AED 1.3–1.5/sh if 9% persists through FY28 (sensitized; lapse date undisclosed)</t>
  </si>
  <si>
    <t xml:space="preserve">Conflict adder 0 ↔ 2.0pt on Ke</t>
  </si>
  <si>
    <t xml:space="preserve">central 23.0 (0pt) ↔ ~16.3 (Ke ~12.1%)</t>
  </si>
  <si>
    <t xml:space="preserve">Loan growth −4pt across the path</t>
  </si>
  <si>
    <t xml:space="preserve">≈ −AED 1.5/sh via NII and FCFE; partially offset by lower ΔCET1 retention</t>
  </si>
  <si>
    <t xml:space="preserve">Per-share &amp; ratios dashboard (standardized panel)</t>
  </si>
  <si>
    <t xml:space="preserve">BVPS (AED)</t>
  </si>
  <si>
    <t xml:space="preserve">P/E at spot</t>
  </si>
  <si>
    <t xml:space="preserve">P/B at spot</t>
  </si>
  <si>
    <t xml:space="preserve">Dividend yield</t>
  </si>
  <si>
    <t xml:space="preserve">CIR %</t>
  </si>
  <si>
    <t xml:space="preserve">NIM %</t>
  </si>
  <si>
    <t xml:space="preserve">NPL %</t>
  </si>
  <si>
    <t xml:space="preserve">FY23/FY24 EPS on the pre-rights 7,319.9mn count; forecasts on 7,912.2mn (the rights base-changer).</t>
  </si>
  <si>
    <t xml:space="preserve">Peer set — UAE large-cap banks</t>
  </si>
  <si>
    <t xml:space="preserve">Name</t>
  </si>
  <si>
    <t xml:space="preserve">Latest sourced print</t>
  </si>
  <si>
    <t xml:space="preserve">Read</t>
  </si>
  <si>
    <t xml:space="preserve">First Abu Dhabi Bank (FAB)</t>
  </si>
  <si>
    <t xml:space="preserve">Q1-26 net income AED 4.75bn; EPS 0.43 (beat); next results 29-Jul-26</t>
  </si>
  <si>
    <t xml:space="preserve">Largest peer; sets the sector multiple ceiling</t>
  </si>
  <si>
    <t xml:space="preserve">Emirates NBD (ENBD)</t>
  </si>
  <si>
    <t xml:space="preserve">Not re-sourced this session (DFM-listed)</t>
  </si>
  <si>
    <t xml:space="preserve">Dubai flagship; row to refresh at publish</t>
  </si>
  <si>
    <t xml:space="preserve">Dubai Islamic Bank (DIB)</t>
  </si>
  <si>
    <t xml:space="preserve">Not re-sourced this session</t>
  </si>
  <si>
    <t xml:space="preserve">Largest Islamic peer</t>
  </si>
  <si>
    <t xml:space="preserve">Abu Dhabi Islamic Bank (ADIB)</t>
  </si>
  <si>
    <t xml:space="preserve">FY24 NPAT AED 6.1bn (+16%); DPS 0.83</t>
  </si>
  <si>
    <t xml:space="preserve">Islamic AD peer; premium ROE franchise</t>
  </si>
  <si>
    <t xml:space="preserve">ADCB (this study)</t>
  </si>
  <si>
    <t xml:space="preserve">Q1-26 NPAT AED 3.361bn; RoAE 16.3%; NPL 1.76%</t>
  </si>
  <si>
    <t xml:space="preserve">#3 by assets; 19 straight quarters of PBT growth</t>
  </si>
  <si>
    <t xml:space="preserve">Sector: UAE bank assets AED 4.97tn (Jun-25); system credit demand robust; deposit competition keeps funding sticky as</t>
  </si>
  <si>
    <t xml:space="preserve">rates fall; AI adoption is the cost-curve battleground. Sector P/B input on Assumptions (1.55×) reflects the large-cap band.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</si>
</sst>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;\(0.0%\);\-"/>
    <numFmt numFmtId="167" formatCode="#,##0;\(#,##0\);\-"/>
    <numFmt numFmtId="168" formatCode="#,##0.0;\(#,##0.0\);\-"/>
    <numFmt numFmtId="169" formatCode="0.00%;\(0.00%\);\-"/>
    <numFmt numFmtId="170" formatCode="0.00\x"/>
    <numFmt numFmtId="171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6F1E6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sz val="11"/>
      <color rgb="FF6E7B77"/>
      <name val="Cambria"/>
      <family val="0"/>
      <charset val="1"/>
    </font>
    <font>
      <sz val="9"/>
      <color rgb="FF6E7B77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AF0EE"/>
        <bgColor rgb="FFF6F1E6"/>
      </patternFill>
    </fill>
    <fill>
      <patternFill patternType="solid">
        <fgColor rgb="FFF6F1E6"/>
        <bgColor rgb="FFEAF0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7</v>
      </c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 t="s">
        <v>11</v>
      </c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 t="s">
        <v>14</v>
      </c>
    </row>
    <row r="22" customFormat="false" ht="15" hidden="false" customHeight="false" outlineLevel="0" collapsed="false">
      <c r="A22" s="3" t="s">
        <v>15</v>
      </c>
    </row>
    <row r="23" customFormat="false" ht="15" hidden="false" customHeight="false" outlineLevel="0" collapsed="false">
      <c r="A23" s="3" t="s">
        <v>16</v>
      </c>
    </row>
    <row r="24" customFormat="false" ht="15" hidden="false" customHeight="false" outlineLevel="0" collapsed="false">
      <c r="A24" s="3" t="s">
        <v>17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18</v>
      </c>
    </row>
    <row r="27" customFormat="false" ht="15" hidden="false" customHeight="false" outlineLevel="0" collapsed="false">
      <c r="A27" s="3" t="s">
        <v>19</v>
      </c>
    </row>
    <row r="28" customFormat="false" ht="15" hidden="false" customHeight="false" outlineLevel="0" collapsed="false">
      <c r="A28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21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</row>
    <row r="4" customFormat="false" ht="15" hidden="false" customHeight="false" outlineLevel="0" collapsed="false">
      <c r="A4" s="3" t="s">
        <v>26</v>
      </c>
      <c r="B4" s="5" t="n">
        <f aca="false">DDM!B13</f>
        <v>21.1594065707425</v>
      </c>
      <c r="C4" s="6" t="n">
        <f aca="false">Assumptions!E47</f>
        <v>0.3</v>
      </c>
      <c r="D4" s="7" t="n">
        <f aca="false">B4*C4</f>
        <v>6.34782197122276</v>
      </c>
    </row>
    <row r="5" customFormat="false" ht="15" hidden="false" customHeight="false" outlineLevel="0" collapsed="false">
      <c r="A5" s="3" t="s">
        <v>27</v>
      </c>
      <c r="B5" s="5" t="n">
        <f aca="false">'Residual Income'!B16</f>
        <v>22.7441219644719</v>
      </c>
      <c r="C5" s="6" t="n">
        <f aca="false">Assumptions!F47</f>
        <v>0.2</v>
      </c>
      <c r="D5" s="7" t="n">
        <f aca="false">B5*C5</f>
        <v>4.54882439289437</v>
      </c>
    </row>
    <row r="6" customFormat="false" ht="15" hidden="false" customHeight="false" outlineLevel="0" collapsed="false">
      <c r="A6" s="3" t="s">
        <v>28</v>
      </c>
      <c r="B6" s="5" t="n">
        <f aca="false">DCF!B14</f>
        <v>23.3490075183528</v>
      </c>
      <c r="C6" s="6" t="n">
        <f aca="false">Assumptions!G47</f>
        <v>0.15</v>
      </c>
      <c r="D6" s="7" t="n">
        <f aca="false">B6*C6</f>
        <v>3.50235112775291</v>
      </c>
    </row>
    <row r="7" customFormat="false" ht="15" hidden="false" customHeight="false" outlineLevel="0" collapsed="false">
      <c r="A7" s="3" t="s">
        <v>29</v>
      </c>
      <c r="B7" s="5" t="n">
        <f aca="false">'Relative &amp; Normalized'!B6</f>
        <v>15.9388047000616</v>
      </c>
      <c r="C7" s="6" t="n">
        <f aca="false">Assumptions!H47</f>
        <v>0.2</v>
      </c>
      <c r="D7" s="7" t="n">
        <f aca="false">B7*C7</f>
        <v>3.18776094001233</v>
      </c>
    </row>
    <row r="8" customFormat="false" ht="15" hidden="false" customHeight="false" outlineLevel="0" collapsed="false">
      <c r="A8" s="3" t="s">
        <v>30</v>
      </c>
      <c r="B8" s="5" t="n">
        <f aca="false">'Relative &amp; Normalized'!B11</f>
        <v>14.34603774555</v>
      </c>
      <c r="C8" s="6" t="n">
        <f aca="false">Assumptions!I47</f>
        <v>0.15</v>
      </c>
      <c r="D8" s="7" t="n">
        <f aca="false">B8*C8</f>
        <v>2.1519056618325</v>
      </c>
    </row>
    <row r="9" customFormat="false" ht="15" hidden="false" customHeight="false" outlineLevel="0" collapsed="false">
      <c r="A9" s="8" t="s">
        <v>31</v>
      </c>
      <c r="B9" s="9" t="n">
        <f aca="false">SUM(D4:D8)</f>
        <v>19.7386640937149</v>
      </c>
    </row>
    <row r="10" customFormat="false" ht="15" hidden="false" customHeight="false" outlineLevel="0" collapsed="false">
      <c r="A10" s="3" t="s">
        <v>32</v>
      </c>
      <c r="B10" s="5" t="n">
        <f aca="false">Assumptions!$B$5</f>
        <v>15.1</v>
      </c>
    </row>
    <row r="11" customFormat="false" ht="15" hidden="false" customHeight="false" outlineLevel="0" collapsed="false">
      <c r="A11" s="3" t="s">
        <v>33</v>
      </c>
      <c r="B11" s="10" t="n">
        <f aca="false">B9/B10-1</f>
        <v>0.307196297597011</v>
      </c>
    </row>
    <row r="13" customFormat="false" ht="15" hidden="false" customHeight="false" outlineLevel="0" collapsed="false">
      <c r="A13" s="4" t="s">
        <v>34</v>
      </c>
    </row>
    <row r="14" customFormat="false" ht="15" hidden="false" customHeight="false" outlineLevel="0" collapsed="false">
      <c r="A14" s="3" t="s">
        <v>35</v>
      </c>
      <c r="B14" s="7" t="n">
        <f aca="false">B9</f>
        <v>19.7386640937149</v>
      </c>
    </row>
    <row r="15" customFormat="false" ht="15" hidden="false" customHeight="false" outlineLevel="0" collapsed="false">
      <c r="A15" s="3" t="s">
        <v>36</v>
      </c>
      <c r="B15" s="11" t="n">
        <v>23</v>
      </c>
    </row>
    <row r="16" customFormat="false" ht="15" hidden="false" customHeight="false" outlineLevel="0" collapsed="false">
      <c r="A16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38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39</v>
      </c>
    </row>
    <row r="4" customFormat="false" ht="15" hidden="false" customHeight="false" outlineLevel="0" collapsed="false">
      <c r="A4" s="3" t="s">
        <v>26</v>
      </c>
      <c r="B4" s="5" t="n">
        <f aca="false">Summary!B4</f>
        <v>21.1594065707425</v>
      </c>
      <c r="C4" s="6" t="n">
        <f aca="false">Summary!C4</f>
        <v>0.3</v>
      </c>
      <c r="D4" s="7" t="n">
        <f aca="false">Summary!D4</f>
        <v>6.34782197122276</v>
      </c>
    </row>
    <row r="5" customFormat="false" ht="15" hidden="false" customHeight="false" outlineLevel="0" collapsed="false">
      <c r="A5" s="3" t="s">
        <v>27</v>
      </c>
      <c r="B5" s="5" t="n">
        <f aca="false">Summary!B5</f>
        <v>22.7441219644719</v>
      </c>
      <c r="C5" s="6" t="n">
        <f aca="false">Summary!C5</f>
        <v>0.2</v>
      </c>
      <c r="D5" s="7" t="n">
        <f aca="false">Summary!D5</f>
        <v>4.54882439289437</v>
      </c>
    </row>
    <row r="6" customFormat="false" ht="15" hidden="false" customHeight="false" outlineLevel="0" collapsed="false">
      <c r="A6" s="3" t="s">
        <v>40</v>
      </c>
      <c r="B6" s="5" t="n">
        <f aca="false">Summary!B6</f>
        <v>23.3490075183528</v>
      </c>
      <c r="C6" s="6" t="n">
        <f aca="false">Summary!C6</f>
        <v>0.15</v>
      </c>
      <c r="D6" s="7" t="n">
        <f aca="false">Summary!D6</f>
        <v>3.50235112775291</v>
      </c>
    </row>
    <row r="7" customFormat="false" ht="15" hidden="false" customHeight="false" outlineLevel="0" collapsed="false">
      <c r="A7" s="3" t="s">
        <v>29</v>
      </c>
      <c r="B7" s="5" t="n">
        <f aca="false">Summary!B7</f>
        <v>15.9388047000616</v>
      </c>
      <c r="C7" s="6" t="n">
        <f aca="false">Summary!C7</f>
        <v>0.2</v>
      </c>
      <c r="D7" s="7" t="n">
        <f aca="false">Summary!D7</f>
        <v>3.18776094001233</v>
      </c>
    </row>
    <row r="8" customFormat="false" ht="15" hidden="false" customHeight="false" outlineLevel="0" collapsed="false">
      <c r="A8" s="3" t="s">
        <v>30</v>
      </c>
      <c r="B8" s="5" t="n">
        <f aca="false">Summary!B8</f>
        <v>14.34603774555</v>
      </c>
      <c r="C8" s="6" t="n">
        <f aca="false">Summary!C8</f>
        <v>0.15</v>
      </c>
      <c r="D8" s="7" t="n">
        <f aca="false">Summary!D8</f>
        <v>2.1519056618325</v>
      </c>
    </row>
    <row r="9" customFormat="false" ht="15" hidden="false" customHeight="false" outlineLevel="0" collapsed="false">
      <c r="A9" s="8" t="s">
        <v>31</v>
      </c>
      <c r="B9" s="9" t="n">
        <f aca="false">Summary!B9</f>
        <v>19.7386640937149</v>
      </c>
    </row>
    <row r="11" customFormat="false" ht="15" hidden="false" customHeight="false" outlineLevel="0" collapsed="false">
      <c r="A11" s="4" t="s">
        <v>41</v>
      </c>
    </row>
    <row r="12" customFormat="false" ht="15" hidden="false" customHeight="false" outlineLevel="0" collapsed="false">
      <c r="A12" s="3" t="s">
        <v>42</v>
      </c>
      <c r="B12" s="5" t="n">
        <f aca="false">'Relative &amp; Normalized'!B11</f>
        <v>14.34603774555</v>
      </c>
    </row>
    <row r="13" customFormat="false" ht="15" hidden="false" customHeight="false" outlineLevel="0" collapsed="false">
      <c r="A13" s="3" t="s">
        <v>43</v>
      </c>
      <c r="B13" s="12" t="n">
        <f aca="false">Summary!B9</f>
        <v>19.7386640937149</v>
      </c>
    </row>
    <row r="14" customFormat="false" ht="15" hidden="false" customHeight="false" outlineLevel="0" collapsed="false">
      <c r="A14" s="3" t="s">
        <v>44</v>
      </c>
      <c r="B14" s="5" t="n">
        <f aca="false">DCF!B14</f>
        <v>23.3490075183528</v>
      </c>
    </row>
    <row r="15" customFormat="false" ht="15" hidden="false" customHeight="false" outlineLevel="0" collapsed="false">
      <c r="A15" s="3" t="s">
        <v>32</v>
      </c>
      <c r="B15" s="5" t="n">
        <f aca="false">Assumptions!$B$5</f>
        <v>15.1</v>
      </c>
    </row>
    <row r="16" customFormat="false" ht="15" hidden="false" customHeight="false" outlineLevel="0" collapsed="false">
      <c r="A16" s="3" t="s">
        <v>45</v>
      </c>
      <c r="B16" s="10" t="n">
        <f aca="false">B13/B15-1</f>
        <v>0.307196297597011</v>
      </c>
    </row>
    <row r="18" customFormat="false" ht="15" hidden="false" customHeight="false" outlineLevel="0" collapsed="false">
      <c r="A18" s="13" t="s">
        <v>46</v>
      </c>
    </row>
    <row r="19" customFormat="false" ht="15" hidden="false" customHeight="false" outlineLevel="0" collapsed="false">
      <c r="A19" s="1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.5"/>
    <col collapsed="false" customWidth="true" hidden="false" outlineLevel="0" max="3" min="3" style="0" width="90"/>
    <col collapsed="false" customWidth="true" hidden="false" outlineLevel="0" max="4" min="4" style="0" width="18"/>
    <col collapsed="false" customWidth="true" hidden="false" outlineLevel="0" max="11" min="5" style="0" width="12.5"/>
  </cols>
  <sheetData>
    <row r="1" customFormat="false" ht="16.15" hidden="false" customHeight="false" outlineLevel="0" collapsed="false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4" t="s">
        <v>49</v>
      </c>
    </row>
    <row r="4" customFormat="false" ht="15" hidden="false" customHeight="false" outlineLevel="0" collapsed="false">
      <c r="A4" s="4" t="s">
        <v>50</v>
      </c>
    </row>
    <row r="5" customFormat="false" ht="15" hidden="false" customHeight="false" outlineLevel="0" collapsed="false">
      <c r="A5" s="3" t="s">
        <v>51</v>
      </c>
      <c r="B5" s="11" t="n">
        <v>15.1</v>
      </c>
    </row>
    <row r="6" customFormat="false" ht="15" hidden="false" customHeight="false" outlineLevel="0" collapsed="false">
      <c r="A6" s="3" t="s">
        <v>52</v>
      </c>
      <c r="B6" s="15" t="n">
        <v>7912.17571</v>
      </c>
    </row>
    <row r="7" customFormat="false" ht="15" hidden="false" customHeight="false" outlineLevel="0" collapsed="false">
      <c r="A7" s="3" t="s">
        <v>53</v>
      </c>
      <c r="B7" s="16" t="n">
        <f aca="false">Assumptions!$B$5*Assumptions!$B$6/1000</f>
        <v>119.473853221</v>
      </c>
    </row>
    <row r="8" customFormat="false" ht="15" hidden="false" customHeight="false" outlineLevel="0" collapsed="false">
      <c r="A8" s="3" t="s">
        <v>54</v>
      </c>
      <c r="B8" s="11" t="n">
        <v>0.63</v>
      </c>
    </row>
    <row r="10" customFormat="false" ht="15" hidden="false" customHeight="false" outlineLevel="0" collapsed="false">
      <c r="A10" s="4" t="s">
        <v>55</v>
      </c>
    </row>
    <row r="11" customFormat="false" ht="15" hidden="false" customHeight="false" outlineLevel="0" collapsed="false">
      <c r="A11" s="3" t="s">
        <v>56</v>
      </c>
      <c r="B11" s="17" t="n">
        <v>0.047</v>
      </c>
    </row>
    <row r="12" customFormat="false" ht="15" hidden="false" customHeight="false" outlineLevel="0" collapsed="false">
      <c r="A12" s="3" t="s">
        <v>57</v>
      </c>
      <c r="B12" s="17" t="n">
        <v>0.0487</v>
      </c>
    </row>
    <row r="13" customFormat="false" ht="15" hidden="false" customHeight="false" outlineLevel="0" collapsed="false">
      <c r="A13" s="3" t="s">
        <v>58</v>
      </c>
      <c r="B13" s="17" t="n">
        <v>0.0493</v>
      </c>
    </row>
    <row r="14" customFormat="false" ht="15" hidden="false" customHeight="false" outlineLevel="0" collapsed="false">
      <c r="A14" s="3" t="s">
        <v>59</v>
      </c>
      <c r="B14" s="11" t="n">
        <v>1</v>
      </c>
    </row>
    <row r="15" customFormat="false" ht="15" hidden="false" customHeight="false" outlineLevel="0" collapsed="false">
      <c r="A15" s="3" t="s">
        <v>60</v>
      </c>
      <c r="B15" s="17" t="n">
        <v>0.01</v>
      </c>
    </row>
    <row r="16" customFormat="false" ht="15" hidden="false" customHeight="false" outlineLevel="0" collapsed="false">
      <c r="A16" s="3" t="s">
        <v>61</v>
      </c>
      <c r="B16" s="18" t="n">
        <f aca="false">Assumptions!$B$11+Assumptions!$B$14*Assumptions!$B$12+Assumptions!$B$15</f>
        <v>0.1057</v>
      </c>
    </row>
    <row r="17" customFormat="false" ht="15" hidden="false" customHeight="false" outlineLevel="0" collapsed="false">
      <c r="A17" s="3" t="s">
        <v>62</v>
      </c>
      <c r="B17" s="17" t="n">
        <v>0.04</v>
      </c>
    </row>
    <row r="18" customFormat="false" ht="15" hidden="false" customHeight="false" outlineLevel="0" collapsed="false">
      <c r="A18" s="3" t="s">
        <v>63</v>
      </c>
      <c r="B18" s="17" t="n">
        <v>0.15</v>
      </c>
    </row>
    <row r="20" customFormat="false" ht="15" hidden="false" customHeight="false" outlineLevel="0" collapsed="false">
      <c r="A20" s="4" t="s">
        <v>64</v>
      </c>
      <c r="E20" s="4" t="s">
        <v>65</v>
      </c>
      <c r="F20" s="4" t="s">
        <v>66</v>
      </c>
      <c r="G20" s="4" t="s">
        <v>67</v>
      </c>
      <c r="H20" s="4" t="s">
        <v>68</v>
      </c>
      <c r="I20" s="4" t="s">
        <v>69</v>
      </c>
    </row>
    <row r="21" customFormat="false" ht="15" hidden="false" customHeight="false" outlineLevel="0" collapsed="false">
      <c r="A21" s="3" t="s">
        <v>70</v>
      </c>
      <c r="E21" s="19" t="n">
        <v>0.16</v>
      </c>
      <c r="F21" s="19" t="n">
        <v>0.12</v>
      </c>
      <c r="G21" s="19" t="n">
        <v>0.1</v>
      </c>
      <c r="H21" s="19" t="n">
        <v>0.09</v>
      </c>
      <c r="I21" s="19" t="n">
        <v>0.08</v>
      </c>
    </row>
    <row r="22" customFormat="false" ht="15" hidden="false" customHeight="false" outlineLevel="0" collapsed="false">
      <c r="A22" s="3" t="s">
        <v>71</v>
      </c>
      <c r="E22" s="17" t="n">
        <v>0.023</v>
      </c>
      <c r="F22" s="17" t="n">
        <v>0.0226</v>
      </c>
      <c r="G22" s="17" t="n">
        <v>0.0228</v>
      </c>
      <c r="H22" s="17" t="n">
        <v>0.023</v>
      </c>
      <c r="I22" s="17" t="n">
        <v>0.0232</v>
      </c>
    </row>
    <row r="23" customFormat="false" ht="15" hidden="false" customHeight="false" outlineLevel="0" collapsed="false">
      <c r="A23" s="3" t="s">
        <v>72</v>
      </c>
      <c r="E23" s="19" t="n">
        <v>0.11</v>
      </c>
      <c r="F23" s="19" t="n">
        <v>0.09</v>
      </c>
      <c r="G23" s="19" t="n">
        <v>0.09</v>
      </c>
      <c r="H23" s="19" t="n">
        <v>0.09</v>
      </c>
      <c r="I23" s="19" t="n">
        <v>0.09</v>
      </c>
    </row>
    <row r="24" customFormat="false" ht="15" hidden="false" customHeight="false" outlineLevel="0" collapsed="false">
      <c r="A24" s="3" t="s">
        <v>73</v>
      </c>
      <c r="E24" s="19" t="n">
        <v>0.27</v>
      </c>
      <c r="F24" s="19" t="n">
        <v>0.26</v>
      </c>
      <c r="G24" s="19" t="n">
        <v>0.255</v>
      </c>
      <c r="H24" s="19" t="n">
        <v>0.25</v>
      </c>
      <c r="I24" s="19" t="n">
        <v>0.245</v>
      </c>
    </row>
    <row r="25" customFormat="false" ht="15" hidden="false" customHeight="false" outlineLevel="0" collapsed="false">
      <c r="A25" s="3" t="s">
        <v>74</v>
      </c>
      <c r="E25" s="15" t="n">
        <v>55</v>
      </c>
      <c r="F25" s="15" t="n">
        <v>50</v>
      </c>
      <c r="G25" s="15" t="n">
        <v>48</v>
      </c>
      <c r="H25" s="15" t="n">
        <v>46</v>
      </c>
      <c r="I25" s="15" t="n">
        <v>45</v>
      </c>
    </row>
    <row r="26" customFormat="false" ht="15" hidden="false" customHeight="false" outlineLevel="0" collapsed="false">
      <c r="A26" s="3" t="s">
        <v>75</v>
      </c>
      <c r="E26" s="19" t="n">
        <v>0.11</v>
      </c>
      <c r="F26" s="19" t="n">
        <v>0.15</v>
      </c>
      <c r="G26" s="19" t="n">
        <v>0.15</v>
      </c>
      <c r="H26" s="19" t="n">
        <v>0.15</v>
      </c>
      <c r="I26" s="19" t="n">
        <v>0.15</v>
      </c>
    </row>
    <row r="27" customFormat="false" ht="15" hidden="false" customHeight="false" outlineLevel="0" collapsed="false">
      <c r="A27" s="3" t="s">
        <v>76</v>
      </c>
      <c r="E27" s="19" t="n">
        <v>0.38</v>
      </c>
      <c r="F27" s="19" t="n">
        <v>0.37</v>
      </c>
      <c r="G27" s="19" t="n">
        <v>0.36</v>
      </c>
      <c r="H27" s="19" t="n">
        <v>0.34</v>
      </c>
      <c r="I27" s="19" t="n">
        <v>0.33</v>
      </c>
    </row>
    <row r="28" customFormat="false" ht="15" hidden="false" customHeight="false" outlineLevel="0" collapsed="false">
      <c r="A28" s="3" t="s">
        <v>77</v>
      </c>
      <c r="E28" s="19" t="n">
        <v>0.13</v>
      </c>
      <c r="F28" s="19" t="n">
        <v>0.11</v>
      </c>
      <c r="G28" s="19" t="n">
        <v>0.095</v>
      </c>
      <c r="H28" s="19" t="n">
        <v>0.085</v>
      </c>
      <c r="I28" s="19" t="n">
        <v>0.075</v>
      </c>
    </row>
    <row r="29" customFormat="false" ht="15" hidden="false" customHeight="false" outlineLevel="0" collapsed="false">
      <c r="A29" s="3" t="s">
        <v>78</v>
      </c>
      <c r="E29" s="17" t="n">
        <v>0.136</v>
      </c>
      <c r="F29" s="17" t="n">
        <v>0.134</v>
      </c>
      <c r="G29" s="17" t="n">
        <v>0.132</v>
      </c>
      <c r="H29" s="17" t="n">
        <v>0.13</v>
      </c>
      <c r="I29" s="17" t="n">
        <v>0.1275</v>
      </c>
    </row>
    <row r="30" customFormat="false" ht="15" hidden="false" customHeight="false" outlineLevel="0" collapsed="false">
      <c r="A30" s="3" t="s">
        <v>79</v>
      </c>
      <c r="B30" s="11" t="n">
        <v>1.6</v>
      </c>
    </row>
    <row r="31" customFormat="false" ht="15" hidden="false" customHeight="false" outlineLevel="0" collapsed="false">
      <c r="A31" s="3" t="s">
        <v>80</v>
      </c>
      <c r="B31" s="15" t="n">
        <v>500000</v>
      </c>
    </row>
    <row r="32" customFormat="false" ht="15" hidden="false" customHeight="false" outlineLevel="0" collapsed="false">
      <c r="A32" s="3" t="s">
        <v>81</v>
      </c>
      <c r="B32" s="20" t="n">
        <f aca="false">0.1382*Assumptions!$B$31</f>
        <v>69100</v>
      </c>
    </row>
    <row r="34" customFormat="false" ht="15" hidden="false" customHeight="false" outlineLevel="0" collapsed="false">
      <c r="A34" s="4" t="s">
        <v>82</v>
      </c>
    </row>
    <row r="35" customFormat="false" ht="15" hidden="false" customHeight="false" outlineLevel="0" collapsed="false">
      <c r="A35" s="3" t="s">
        <v>83</v>
      </c>
      <c r="B35" s="15" t="n">
        <v>86000</v>
      </c>
    </row>
    <row r="36" customFormat="false" ht="15" hidden="false" customHeight="false" outlineLevel="0" collapsed="false">
      <c r="A36" s="3" t="s">
        <v>84</v>
      </c>
      <c r="B36" s="15" t="n">
        <v>84500</v>
      </c>
    </row>
    <row r="37" customFormat="false" ht="15" hidden="false" customHeight="false" outlineLevel="0" collapsed="false">
      <c r="A37" s="3" t="s">
        <v>85</v>
      </c>
      <c r="B37" s="15" t="n">
        <v>6000</v>
      </c>
    </row>
    <row r="38" customFormat="false" ht="15" hidden="false" customHeight="false" outlineLevel="0" collapsed="false">
      <c r="A38" s="3" t="s">
        <v>86</v>
      </c>
      <c r="B38" s="21" t="n">
        <f aca="false">B36-B37</f>
        <v>78500</v>
      </c>
    </row>
    <row r="39" customFormat="false" ht="15" hidden="false" customHeight="false" outlineLevel="0" collapsed="false">
      <c r="A39" s="3" t="s">
        <v>87</v>
      </c>
      <c r="B39" s="15" t="n">
        <v>7500</v>
      </c>
    </row>
    <row r="40" customFormat="false" ht="15" hidden="false" customHeight="false" outlineLevel="0" collapsed="false">
      <c r="A40" s="3" t="s">
        <v>88</v>
      </c>
      <c r="B40" s="22" t="n">
        <f aca="false">Assumptions!$B$38/Assumptions!$B$6</f>
        <v>9.92141768297509</v>
      </c>
      <c r="C40" s="7" t="n">
        <f aca="false">(Assumptions!$B$38-B39)/Assumptions!$B$6</f>
        <v>8.97351153492015</v>
      </c>
    </row>
    <row r="42" customFormat="false" ht="15" hidden="false" customHeight="false" outlineLevel="0" collapsed="false">
      <c r="A42" s="4" t="s">
        <v>89</v>
      </c>
    </row>
    <row r="43" customFormat="false" ht="15" hidden="false" customHeight="false" outlineLevel="0" collapsed="false">
      <c r="A43" s="3" t="s">
        <v>90</v>
      </c>
      <c r="B43" s="23" t="n">
        <v>1.55</v>
      </c>
    </row>
    <row r="44" customFormat="false" ht="15" hidden="false" customHeight="false" outlineLevel="0" collapsed="false">
      <c r="A44" s="3" t="s">
        <v>91</v>
      </c>
      <c r="B44" s="23" t="n">
        <v>9.5</v>
      </c>
    </row>
    <row r="45" customFormat="false" ht="15" hidden="false" customHeight="false" outlineLevel="0" collapsed="false">
      <c r="A45" s="3" t="s">
        <v>92</v>
      </c>
      <c r="B45" s="17" t="n">
        <v>0.135</v>
      </c>
    </row>
    <row r="46" customFormat="false" ht="15" hidden="false" customHeight="false" outlineLevel="0" collapsed="false">
      <c r="A46" s="3" t="s">
        <v>93</v>
      </c>
    </row>
    <row r="47" customFormat="false" ht="15" hidden="false" customHeight="false" outlineLevel="0" collapsed="false">
      <c r="A47" s="3" t="s">
        <v>94</v>
      </c>
      <c r="E47" s="19" t="n">
        <v>0.3</v>
      </c>
      <c r="F47" s="19" t="n">
        <v>0.2</v>
      </c>
      <c r="G47" s="19" t="n">
        <v>0.15</v>
      </c>
      <c r="H47" s="19" t="n">
        <v>0.2</v>
      </c>
      <c r="I47" s="19" t="n">
        <v>0.15</v>
      </c>
    </row>
    <row r="49" customFormat="false" ht="15" hidden="false" customHeight="false" outlineLevel="0" collapsed="false">
      <c r="A49" s="4" t="s">
        <v>95</v>
      </c>
    </row>
    <row r="50" customFormat="false" ht="15" hidden="false" customHeight="false" outlineLevel="0" collapsed="false">
      <c r="A50" s="4" t="s">
        <v>96</v>
      </c>
      <c r="B50" s="4" t="s">
        <v>97</v>
      </c>
      <c r="C50" s="4" t="s">
        <v>98</v>
      </c>
      <c r="D50" s="4" t="s">
        <v>99</v>
      </c>
    </row>
    <row r="51" customFormat="false" ht="15" hidden="false" customHeight="false" outlineLevel="0" collapsed="false">
      <c r="A51" s="3" t="s">
        <v>100</v>
      </c>
      <c r="B51" s="3" t="s">
        <v>101</v>
      </c>
      <c r="C51" s="3" t="s">
        <v>102</v>
      </c>
      <c r="D51" s="3" t="s">
        <v>103</v>
      </c>
    </row>
    <row r="52" customFormat="false" ht="15" hidden="false" customHeight="false" outlineLevel="0" collapsed="false">
      <c r="A52" s="3" t="s">
        <v>104</v>
      </c>
      <c r="B52" s="3" t="s">
        <v>101</v>
      </c>
      <c r="C52" s="3" t="s">
        <v>105</v>
      </c>
      <c r="D52" s="3" t="s">
        <v>106</v>
      </c>
    </row>
    <row r="53" customFormat="false" ht="15" hidden="false" customHeight="false" outlineLevel="0" collapsed="false">
      <c r="A53" s="3" t="s">
        <v>107</v>
      </c>
      <c r="B53" s="3" t="s">
        <v>101</v>
      </c>
      <c r="C53" s="3" t="s">
        <v>108</v>
      </c>
      <c r="D53" s="3" t="s">
        <v>109</v>
      </c>
    </row>
    <row r="54" customFormat="false" ht="15" hidden="false" customHeight="false" outlineLevel="0" collapsed="false">
      <c r="A54" s="3" t="s">
        <v>110</v>
      </c>
      <c r="B54" s="3" t="s">
        <v>101</v>
      </c>
      <c r="C54" s="3" t="s">
        <v>111</v>
      </c>
      <c r="D54" s="3" t="s">
        <v>112</v>
      </c>
    </row>
    <row r="55" customFormat="false" ht="15" hidden="false" customHeight="false" outlineLevel="0" collapsed="false">
      <c r="A55" s="3" t="s">
        <v>113</v>
      </c>
      <c r="B55" s="3" t="s">
        <v>101</v>
      </c>
      <c r="C55" s="3" t="s">
        <v>114</v>
      </c>
      <c r="D55" s="3" t="s">
        <v>115</v>
      </c>
    </row>
    <row r="56" customFormat="false" ht="15" hidden="false" customHeight="false" outlineLevel="0" collapsed="false">
      <c r="A56" s="3" t="s">
        <v>116</v>
      </c>
      <c r="B56" s="3" t="s">
        <v>101</v>
      </c>
      <c r="C56" s="3" t="s">
        <v>117</v>
      </c>
      <c r="D56" s="3" t="s">
        <v>118</v>
      </c>
    </row>
    <row r="57" customFormat="false" ht="15" hidden="false" customHeight="false" outlineLevel="0" collapsed="false">
      <c r="A57" s="3" t="s">
        <v>119</v>
      </c>
      <c r="B57" s="3" t="s">
        <v>101</v>
      </c>
      <c r="C57" s="3" t="s">
        <v>120</v>
      </c>
      <c r="D57" s="3" t="s">
        <v>121</v>
      </c>
    </row>
    <row r="58" customFormat="false" ht="15" hidden="false" customHeight="false" outlineLevel="0" collapsed="false">
      <c r="A58" s="3" t="s">
        <v>122</v>
      </c>
      <c r="B58" s="3" t="s">
        <v>101</v>
      </c>
      <c r="C58" s="3" t="s">
        <v>123</v>
      </c>
      <c r="D58" s="3" t="s">
        <v>124</v>
      </c>
    </row>
    <row r="59" customFormat="false" ht="15" hidden="false" customHeight="false" outlineLevel="0" collapsed="false">
      <c r="A59" s="13" t="s">
        <v>125</v>
      </c>
    </row>
    <row r="60" customFormat="false" ht="15" hidden="false" customHeight="false" outlineLevel="0" collapsed="false">
      <c r="A60" s="13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4" t="s">
        <v>128</v>
      </c>
    </row>
    <row r="3" customFormat="false" ht="15" hidden="false" customHeight="false" outlineLevel="0" collapsed="false">
      <c r="A3" s="24" t="s">
        <v>129</v>
      </c>
      <c r="C3" s="4" t="s">
        <v>130</v>
      </c>
      <c r="D3" s="24" t="s">
        <v>131</v>
      </c>
      <c r="E3" s="4" t="s">
        <v>65</v>
      </c>
      <c r="F3" s="4" t="s">
        <v>66</v>
      </c>
      <c r="G3" s="4" t="s">
        <v>67</v>
      </c>
      <c r="H3" s="4" t="s">
        <v>68</v>
      </c>
      <c r="I3" s="4" t="s">
        <v>69</v>
      </c>
    </row>
    <row r="4" customFormat="false" ht="15" hidden="false" customHeight="false" outlineLevel="0" collapsed="false">
      <c r="A4" s="3" t="s">
        <v>132</v>
      </c>
      <c r="C4" s="25" t="n">
        <v>405967</v>
      </c>
      <c r="E4" s="20" t="n">
        <f aca="false">C4*(1+Assumptions!E21)</f>
        <v>470921.72</v>
      </c>
      <c r="F4" s="20" t="n">
        <f aca="false">E4*(1+Assumptions!F21)</f>
        <v>527432.3264</v>
      </c>
      <c r="G4" s="20" t="n">
        <f aca="false">F4*(1+Assumptions!G21)</f>
        <v>580175.55904</v>
      </c>
      <c r="H4" s="20" t="n">
        <f aca="false">G4*(1+Assumptions!H21)</f>
        <v>632391.3593536</v>
      </c>
      <c r="I4" s="20" t="n">
        <f aca="false">H4*(1+Assumptions!I21)</f>
        <v>682982.668101888</v>
      </c>
    </row>
    <row r="5" customFormat="false" ht="15" hidden="false" customHeight="false" outlineLevel="0" collapsed="false">
      <c r="A5" s="3" t="s">
        <v>133</v>
      </c>
      <c r="E5" s="20" t="n">
        <f aca="false">(C4*Assumptions!$B$30+E4*Assumptions!$B$30)/2</f>
        <v>701510.976</v>
      </c>
      <c r="F5" s="20" t="n">
        <f aca="false">(E4*Assumptions!$B$30+F4*Assumptions!$B$30)/2</f>
        <v>798683.23712</v>
      </c>
      <c r="G5" s="20" t="n">
        <f aca="false">(F4*Assumptions!$B$30+G4*Assumptions!$B$30)/2</f>
        <v>886086.308352</v>
      </c>
      <c r="H5" s="20" t="n">
        <f aca="false">(G4*Assumptions!$B$30+H4*Assumptions!$B$30)/2</f>
        <v>970053.53471488</v>
      </c>
      <c r="I5" s="20" t="n">
        <f aca="false">(H4*Assumptions!$B$30+I4*Assumptions!$B$30)/2</f>
        <v>1052299.22196439</v>
      </c>
    </row>
    <row r="6" customFormat="false" ht="15" hidden="false" customHeight="false" outlineLevel="0" collapsed="false">
      <c r="A6" s="3" t="s">
        <v>134</v>
      </c>
      <c r="E6" s="20" t="n">
        <f aca="false">E5*Assumptions!E22</f>
        <v>16134.752448</v>
      </c>
      <c r="F6" s="20" t="n">
        <f aca="false">F5*Assumptions!F22</f>
        <v>18050.241158912</v>
      </c>
      <c r="G6" s="20" t="n">
        <f aca="false">G5*Assumptions!G22</f>
        <v>20202.7678304256</v>
      </c>
      <c r="H6" s="20" t="n">
        <f aca="false">H5*Assumptions!H22</f>
        <v>22311.2312984422</v>
      </c>
      <c r="I6" s="20" t="n">
        <f aca="false">I5*Assumptions!I22</f>
        <v>24413.3419495739</v>
      </c>
    </row>
    <row r="7" customFormat="false" ht="15" hidden="false" customHeight="false" outlineLevel="0" collapsed="false">
      <c r="A7" s="3" t="s">
        <v>135</v>
      </c>
      <c r="E7" s="20" t="n">
        <f aca="false">7495*(1+Assumptions!E23)</f>
        <v>8319.45</v>
      </c>
      <c r="F7" s="20" t="n">
        <f aca="false">E7*(1+Assumptions!F23)</f>
        <v>9068.2005</v>
      </c>
      <c r="G7" s="20" t="n">
        <f aca="false">F7*(1+Assumptions!G23)</f>
        <v>9884.338545</v>
      </c>
      <c r="H7" s="20" t="n">
        <f aca="false">G7*(1+Assumptions!H23)</f>
        <v>10773.92901405</v>
      </c>
      <c r="I7" s="20" t="n">
        <f aca="false">H7*(1+Assumptions!I23)</f>
        <v>11743.5826253145</v>
      </c>
    </row>
    <row r="8" customFormat="false" ht="15" hidden="false" customHeight="false" outlineLevel="0" collapsed="false">
      <c r="A8" s="3" t="s">
        <v>136</v>
      </c>
      <c r="E8" s="21" t="n">
        <f aca="false">E6+E7</f>
        <v>24454.202448</v>
      </c>
      <c r="F8" s="21" t="n">
        <f aca="false">F6+F7</f>
        <v>27118.441658912</v>
      </c>
      <c r="G8" s="21" t="n">
        <f aca="false">G6+G7</f>
        <v>30087.1063754256</v>
      </c>
      <c r="H8" s="21" t="n">
        <f aca="false">H6+H7</f>
        <v>33085.1603124923</v>
      </c>
      <c r="I8" s="21" t="n">
        <f aca="false">I6+I7</f>
        <v>36156.9245748884</v>
      </c>
    </row>
    <row r="9" customFormat="false" ht="15" hidden="false" customHeight="false" outlineLevel="0" collapsed="false">
      <c r="A9" s="3" t="s">
        <v>137</v>
      </c>
      <c r="E9" s="20" t="n">
        <f aca="false">-E8*Assumptions!E24</f>
        <v>-6602.63466096</v>
      </c>
      <c r="F9" s="20" t="n">
        <f aca="false">-F8*Assumptions!F24</f>
        <v>-7050.79483131712</v>
      </c>
      <c r="G9" s="20" t="n">
        <f aca="false">-G8*Assumptions!G24</f>
        <v>-7672.21212573353</v>
      </c>
      <c r="H9" s="20" t="n">
        <f aca="false">-H8*Assumptions!H24</f>
        <v>-8271.29007812306</v>
      </c>
      <c r="I9" s="20" t="n">
        <f aca="false">-I8*Assumptions!I24</f>
        <v>-8858.44652084765</v>
      </c>
    </row>
    <row r="10" customFormat="false" ht="15" hidden="false" customHeight="false" outlineLevel="0" collapsed="false">
      <c r="A10" s="3" t="s">
        <v>138</v>
      </c>
      <c r="E10" s="20" t="n">
        <f aca="false">E8+E9</f>
        <v>17851.56778704</v>
      </c>
      <c r="F10" s="20" t="n">
        <f aca="false">F8+F9</f>
        <v>20067.6468275949</v>
      </c>
      <c r="G10" s="20" t="n">
        <f aca="false">G8+G9</f>
        <v>22414.8942496921</v>
      </c>
      <c r="H10" s="20" t="n">
        <f aca="false">H8+H9</f>
        <v>24813.8702343692</v>
      </c>
      <c r="I10" s="20" t="n">
        <f aca="false">I8+I9</f>
        <v>27298.4780540407</v>
      </c>
    </row>
    <row r="11" customFormat="false" ht="15" hidden="false" customHeight="false" outlineLevel="0" collapsed="false">
      <c r="A11" s="3" t="s">
        <v>139</v>
      </c>
      <c r="E11" s="20" t="n">
        <f aca="false">-(C4+E4)/2*Assumptions!E25/10000</f>
        <v>-2411.44398</v>
      </c>
      <c r="F11" s="20" t="n">
        <f aca="false">-(E4+F4)/2*Assumptions!F25/10000</f>
        <v>-2495.885116</v>
      </c>
      <c r="G11" s="20" t="n">
        <f aca="false">-(F4+G4)/2*Assumptions!G25/10000</f>
        <v>-2658.258925056</v>
      </c>
      <c r="H11" s="20" t="n">
        <f aca="false">-(G4+H4)/2*Assumptions!H25/10000</f>
        <v>-2788.90391230528</v>
      </c>
      <c r="I11" s="20" t="n">
        <f aca="false">-(H4+I4)/2*Assumptions!I25/10000</f>
        <v>-2959.59156177485</v>
      </c>
    </row>
    <row r="12" customFormat="false" ht="15" hidden="false" customHeight="false" outlineLevel="0" collapsed="false">
      <c r="A12" s="3" t="s">
        <v>140</v>
      </c>
      <c r="E12" s="21" t="n">
        <f aca="false">E10+E11</f>
        <v>15440.12380704</v>
      </c>
      <c r="F12" s="21" t="n">
        <f aca="false">F10+F11</f>
        <v>17571.7617115949</v>
      </c>
      <c r="G12" s="21" t="n">
        <f aca="false">G10+G11</f>
        <v>19756.6353246361</v>
      </c>
      <c r="H12" s="21" t="n">
        <f aca="false">H10+H11</f>
        <v>22024.9663220639</v>
      </c>
      <c r="I12" s="21" t="n">
        <f aca="false">I10+I11</f>
        <v>24338.8864922659</v>
      </c>
    </row>
    <row r="13" customFormat="false" ht="15" hidden="false" customHeight="false" outlineLevel="0" collapsed="false">
      <c r="A13" s="3" t="s">
        <v>141</v>
      </c>
      <c r="E13" s="20" t="n">
        <f aca="false">-E12*Assumptions!E26</f>
        <v>-1698.4136187744</v>
      </c>
      <c r="F13" s="20" t="n">
        <f aca="false">-F12*Assumptions!F26</f>
        <v>-2635.76425673923</v>
      </c>
      <c r="G13" s="20" t="n">
        <f aca="false">-G12*Assumptions!G26</f>
        <v>-2963.49529869541</v>
      </c>
      <c r="H13" s="20" t="n">
        <f aca="false">-H12*Assumptions!H26</f>
        <v>-3303.74494830959</v>
      </c>
      <c r="I13" s="20" t="n">
        <f aca="false">-I12*Assumptions!I26</f>
        <v>-3650.83297383988</v>
      </c>
    </row>
    <row r="14" customFormat="false" ht="15" hidden="false" customHeight="false" outlineLevel="0" collapsed="false">
      <c r="A14" s="3" t="s">
        <v>142</v>
      </c>
      <c r="E14" s="21" t="n">
        <f aca="false">E12+E13</f>
        <v>13741.7101882656</v>
      </c>
      <c r="F14" s="21" t="n">
        <f aca="false">F12+F13</f>
        <v>14935.9974548556</v>
      </c>
      <c r="G14" s="21" t="n">
        <f aca="false">G12+G13</f>
        <v>16793.1400259407</v>
      </c>
      <c r="H14" s="21" t="n">
        <f aca="false">H12+H13</f>
        <v>18721.2213737543</v>
      </c>
      <c r="I14" s="21" t="n">
        <f aca="false">I12+I13</f>
        <v>20688.053518426</v>
      </c>
    </row>
    <row r="15" customFormat="false" ht="15" hidden="false" customHeight="false" outlineLevel="0" collapsed="false">
      <c r="A15" s="3" t="s">
        <v>143</v>
      </c>
      <c r="E15" s="7" t="n">
        <f aca="false">E14/Assumptions!$B$6</f>
        <v>1.73678020963283</v>
      </c>
      <c r="F15" s="7" t="n">
        <f aca="false">F14/Assumptions!$B$6</f>
        <v>1.88772317530542</v>
      </c>
      <c r="G15" s="7" t="n">
        <f aca="false">G14/Assumptions!$B$6</f>
        <v>2.1224427567649</v>
      </c>
      <c r="H15" s="7" t="n">
        <f aca="false">H14/Assumptions!$B$6</f>
        <v>2.36612811190392</v>
      </c>
      <c r="I15" s="7" t="n">
        <f aca="false">I14/Assumptions!$B$6</f>
        <v>2.6147110828541</v>
      </c>
    </row>
    <row r="16" customFormat="false" ht="15" hidden="false" customHeight="false" outlineLevel="0" collapsed="false">
      <c r="A16" s="3" t="s">
        <v>144</v>
      </c>
      <c r="E16" s="7" t="n">
        <f aca="false">E15*Assumptions!E27</f>
        <v>0.659976479660476</v>
      </c>
      <c r="F16" s="7" t="n">
        <f aca="false">F15*Assumptions!F27</f>
        <v>0.698457574863007</v>
      </c>
      <c r="G16" s="7" t="n">
        <f aca="false">G15*Assumptions!G27</f>
        <v>0.764079392435363</v>
      </c>
      <c r="H16" s="7" t="n">
        <f aca="false">H15*Assumptions!H27</f>
        <v>0.804483558047331</v>
      </c>
      <c r="I16" s="7" t="n">
        <f aca="false">I15*Assumptions!I27</f>
        <v>0.862854657341852</v>
      </c>
    </row>
    <row r="17" customFormat="false" ht="15" hidden="false" customHeight="false" outlineLevel="0" collapsed="false">
      <c r="A17" s="3" t="s">
        <v>145</v>
      </c>
      <c r="E17" s="20" t="n">
        <f aca="false">E16*Assumptions!$B$6</f>
        <v>5221.84987154093</v>
      </c>
      <c r="F17" s="20" t="n">
        <f aca="false">F16*Assumptions!$B$6</f>
        <v>5526.31905829659</v>
      </c>
      <c r="G17" s="20" t="n">
        <f aca="false">G16*Assumptions!$B$6</f>
        <v>6045.53040933864</v>
      </c>
      <c r="H17" s="20" t="n">
        <f aca="false">H16*Assumptions!$B$6</f>
        <v>6365.21526707647</v>
      </c>
      <c r="I17" s="20" t="n">
        <f aca="false">I16*Assumptions!$B$6</f>
        <v>6827.05766108058</v>
      </c>
    </row>
    <row r="18" customFormat="false" ht="15" hidden="false" customHeight="false" outlineLevel="0" collapsed="false">
      <c r="A18" s="3" t="s">
        <v>146</v>
      </c>
      <c r="E18" s="25" t="n">
        <f aca="false">Assumptions!$B$38</f>
        <v>78500</v>
      </c>
      <c r="F18" s="20" t="n">
        <f aca="false">E19</f>
        <v>87019.8603167247</v>
      </c>
      <c r="G18" s="20" t="n">
        <f aca="false">F19</f>
        <v>96429.5387132837</v>
      </c>
      <c r="H18" s="20" t="n">
        <f aca="false">G19</f>
        <v>107177.148329886</v>
      </c>
      <c r="I18" s="20" t="n">
        <f aca="false">H19</f>
        <v>119533.154436564</v>
      </c>
    </row>
    <row r="19" customFormat="false" ht="15" hidden="false" customHeight="false" outlineLevel="0" collapsed="false">
      <c r="A19" s="3" t="s">
        <v>147</v>
      </c>
      <c r="E19" s="20" t="n">
        <f aca="false">E18+E14-E17</f>
        <v>87019.8603167247</v>
      </c>
      <c r="F19" s="20" t="n">
        <f aca="false">F18+F14-F17</f>
        <v>96429.5387132837</v>
      </c>
      <c r="G19" s="20" t="n">
        <f aca="false">G18+G14-G17</f>
        <v>107177.148329886</v>
      </c>
      <c r="H19" s="20" t="n">
        <f aca="false">H18+H14-H17</f>
        <v>119533.154436564</v>
      </c>
      <c r="I19" s="20" t="n">
        <f aca="false">I18+I14-I17</f>
        <v>133394.150293909</v>
      </c>
    </row>
    <row r="20" customFormat="false" ht="15" hidden="false" customHeight="false" outlineLevel="0" collapsed="false">
      <c r="A20" s="3" t="s">
        <v>148</v>
      </c>
      <c r="E20" s="26" t="n">
        <f aca="false">E14/((E18+E19)/2)</f>
        <v>0.166043037517922</v>
      </c>
      <c r="F20" s="26" t="n">
        <f aca="false">F14/((F18+F19)/2)</f>
        <v>0.16283506551485</v>
      </c>
      <c r="G20" s="26" t="n">
        <f aca="false">G14/((G18+G19)/2)</f>
        <v>0.164956664928987</v>
      </c>
      <c r="H20" s="26" t="n">
        <f aca="false">H14/((H18+H19)/2)</f>
        <v>0.165155452975072</v>
      </c>
      <c r="I20" s="26" t="n">
        <f aca="false">I14/((I18+I19)/2)</f>
        <v>0.163588929558015</v>
      </c>
    </row>
    <row r="22" customFormat="false" ht="15" hidden="false" customHeight="false" outlineLevel="0" collapsed="false">
      <c r="A22" s="4" t="s">
        <v>149</v>
      </c>
    </row>
    <row r="23" customFormat="false" ht="15" hidden="false" customHeight="false" outlineLevel="0" collapsed="false">
      <c r="A23" s="3" t="s">
        <v>150</v>
      </c>
      <c r="C23" s="25" t="n">
        <f aca="false">Assumptions!$B$31</f>
        <v>500000</v>
      </c>
      <c r="E23" s="20" t="n">
        <f aca="false">C23*(1+Assumptions!E28)</f>
        <v>565000</v>
      </c>
      <c r="F23" s="20" t="n">
        <f aca="false">E23*(1+Assumptions!F28)</f>
        <v>627150</v>
      </c>
      <c r="G23" s="20" t="n">
        <f aca="false">F23*(1+Assumptions!G28)</f>
        <v>686729.25</v>
      </c>
      <c r="H23" s="20" t="n">
        <f aca="false">G23*(1+Assumptions!H28)</f>
        <v>745101.23625</v>
      </c>
      <c r="I23" s="20" t="n">
        <f aca="false">H23*(1+Assumptions!I28)</f>
        <v>800983.82896875</v>
      </c>
    </row>
    <row r="24" customFormat="false" ht="15" hidden="false" customHeight="false" outlineLevel="0" collapsed="false">
      <c r="A24" s="3" t="s">
        <v>151</v>
      </c>
      <c r="E24" s="20" t="n">
        <f aca="false">E23*Assumptions!E29</f>
        <v>76840</v>
      </c>
      <c r="F24" s="20" t="n">
        <f aca="false">F23*Assumptions!F29</f>
        <v>84038.1</v>
      </c>
      <c r="G24" s="20" t="n">
        <f aca="false">G23*Assumptions!G29</f>
        <v>90648.261</v>
      </c>
      <c r="H24" s="20" t="n">
        <f aca="false">H23*Assumptions!H29</f>
        <v>96863.1607125</v>
      </c>
      <c r="I24" s="20" t="n">
        <f aca="false">I23*Assumptions!I29</f>
        <v>102125.438193516</v>
      </c>
    </row>
    <row r="25" customFormat="false" ht="15" hidden="false" customHeight="false" outlineLevel="0" collapsed="false">
      <c r="A25" s="3" t="s">
        <v>152</v>
      </c>
      <c r="E25" s="20" t="n">
        <f aca="false">E24-Assumptions!$B$32</f>
        <v>7740</v>
      </c>
      <c r="F25" s="20" t="n">
        <f aca="false">F24-E24</f>
        <v>7198.10000000001</v>
      </c>
      <c r="G25" s="20" t="n">
        <f aca="false">G24-F24</f>
        <v>6610.16099999999</v>
      </c>
      <c r="H25" s="20" t="n">
        <f aca="false">H24-G24</f>
        <v>6214.8997125</v>
      </c>
      <c r="I25" s="20" t="n">
        <f aca="false">I24-H24</f>
        <v>5262.27748101563</v>
      </c>
    </row>
    <row r="26" customFormat="false" ht="15" hidden="false" customHeight="false" outlineLevel="0" collapsed="false">
      <c r="A26" s="8" t="s">
        <v>153</v>
      </c>
      <c r="E26" s="21" t="n">
        <f aca="false">E14-E25</f>
        <v>6001.7101882656</v>
      </c>
      <c r="F26" s="21" t="n">
        <f aca="false">F14-F25</f>
        <v>7737.89745485564</v>
      </c>
      <c r="G26" s="21" t="n">
        <f aca="false">G14-G25</f>
        <v>10182.9790259407</v>
      </c>
      <c r="H26" s="21" t="n">
        <f aca="false">H14-H25</f>
        <v>12506.3216612543</v>
      </c>
      <c r="I26" s="21" t="n">
        <f aca="false">I14-I25</f>
        <v>15425.7760374104</v>
      </c>
    </row>
    <row r="28" customFormat="false" ht="15" hidden="false" customHeight="false" outlineLevel="0" collapsed="false">
      <c r="A28" s="4" t="s">
        <v>154</v>
      </c>
    </row>
    <row r="29" customFormat="false" ht="15" hidden="false" customHeight="false" outlineLevel="0" collapsed="false">
      <c r="A29" s="13" t="s">
        <v>155</v>
      </c>
    </row>
    <row r="30" customFormat="false" ht="15" hidden="false" customHeight="false" outlineLevel="0" collapsed="false">
      <c r="A30" s="3" t="s">
        <v>156</v>
      </c>
      <c r="E30" s="20" t="n">
        <f aca="false">(405967/0.525+E4/0.525)/2</f>
        <v>835132.114285714</v>
      </c>
      <c r="F30" s="20" t="n">
        <f aca="false">(E4/0.525+F4/0.525)/2</f>
        <v>950813.377523809</v>
      </c>
      <c r="G30" s="20" t="n">
        <f aca="false">(F4/0.525+G4/0.525)/2</f>
        <v>1054864.6528</v>
      </c>
      <c r="H30" s="20" t="n">
        <f aca="false">(G4/0.525+H4/0.525)/2</f>
        <v>1154825.63656533</v>
      </c>
      <c r="I30" s="20" t="n">
        <f aca="false">(H4/0.525+I4/0.525)/2</f>
        <v>1252737.16900523</v>
      </c>
    </row>
    <row r="31" customFormat="false" ht="15" hidden="false" customHeight="false" outlineLevel="0" collapsed="false">
      <c r="A31" s="3" t="s">
        <v>157</v>
      </c>
      <c r="E31" s="26" t="n">
        <f aca="false">E6/E30</f>
        <v>0.01932</v>
      </c>
      <c r="F31" s="26" t="n">
        <f aca="false">F6/F30</f>
        <v>0.018984</v>
      </c>
      <c r="G31" s="26" t="n">
        <f aca="false">G6/G30</f>
        <v>0.019152</v>
      </c>
      <c r="H31" s="26" t="n">
        <f aca="false">H6/H30</f>
        <v>0.01932</v>
      </c>
      <c r="I31" s="26" t="n">
        <f aca="false">I6/I30</f>
        <v>0.019488</v>
      </c>
    </row>
    <row r="32" customFormat="false" ht="15" hidden="false" customHeight="false" outlineLevel="0" collapsed="false">
      <c r="A32" s="3" t="s">
        <v>158</v>
      </c>
      <c r="E32" s="26" t="n">
        <f aca="false">E7/E30</f>
        <v>0.00996183700481402</v>
      </c>
      <c r="F32" s="26" t="n">
        <f aca="false">F7/F30</f>
        <v>0.00953730849224713</v>
      </c>
      <c r="G32" s="26" t="n">
        <f aca="false">G7/G30</f>
        <v>0.00937024339450878</v>
      </c>
      <c r="H32" s="26" t="n">
        <f aca="false">H7/H30</f>
        <v>0.00932948548500679</v>
      </c>
      <c r="I32" s="26" t="n">
        <f aca="false">I7/I30</f>
        <v>0.00937433878060778</v>
      </c>
    </row>
    <row r="33" customFormat="false" ht="15" hidden="false" customHeight="false" outlineLevel="0" collapsed="false">
      <c r="A33" s="3" t="s">
        <v>159</v>
      </c>
      <c r="E33" s="26" t="n">
        <f aca="false">E9/E30</f>
        <v>-0.00790609599129979</v>
      </c>
      <c r="F33" s="26" t="n">
        <f aca="false">F9/F30</f>
        <v>-0.00741554020798425</v>
      </c>
      <c r="G33" s="26" t="n">
        <f aca="false">G9/G30</f>
        <v>-0.00727317206559974</v>
      </c>
      <c r="H33" s="26" t="n">
        <f aca="false">H9/H30</f>
        <v>-0.0071623713712517</v>
      </c>
      <c r="I33" s="26" t="n">
        <f aca="false">I9/I30</f>
        <v>-0.00707127300124891</v>
      </c>
    </row>
    <row r="34" customFormat="false" ht="15" hidden="false" customHeight="false" outlineLevel="0" collapsed="false">
      <c r="A34" s="3" t="s">
        <v>160</v>
      </c>
      <c r="E34" s="26" t="n">
        <f aca="false">E11/E30</f>
        <v>-0.0028875</v>
      </c>
      <c r="F34" s="26" t="n">
        <f aca="false">F11/F30</f>
        <v>-0.002625</v>
      </c>
      <c r="G34" s="26" t="n">
        <f aca="false">G11/G30</f>
        <v>-0.00252</v>
      </c>
      <c r="H34" s="26" t="n">
        <f aca="false">H11/H30</f>
        <v>-0.002415</v>
      </c>
      <c r="I34" s="26" t="n">
        <f aca="false">I11/I30</f>
        <v>-0.0023625</v>
      </c>
    </row>
    <row r="35" customFormat="false" ht="15" hidden="false" customHeight="false" outlineLevel="0" collapsed="false">
      <c r="A35" s="3" t="s">
        <v>161</v>
      </c>
      <c r="E35" s="26" t="n">
        <f aca="false">E13/E30</f>
        <v>-0.00203370651148657</v>
      </c>
      <c r="F35" s="26" t="n">
        <f aca="false">F13/F30</f>
        <v>-0.00277211524263943</v>
      </c>
      <c r="G35" s="26" t="n">
        <f aca="false">G13/G30</f>
        <v>-0.00280936069933636</v>
      </c>
      <c r="H35" s="26" t="n">
        <f aca="false">H13/H30</f>
        <v>-0.00286081711706326</v>
      </c>
      <c r="I35" s="26" t="n">
        <f aca="false">I13/I30</f>
        <v>-0.00291428486690383</v>
      </c>
    </row>
    <row r="36" customFormat="false" ht="15" hidden="false" customHeight="false" outlineLevel="0" collapsed="false">
      <c r="A36" s="8" t="s">
        <v>162</v>
      </c>
      <c r="E36" s="18" t="n">
        <f aca="false">E14/E30</f>
        <v>0.0164545345020277</v>
      </c>
      <c r="F36" s="18" t="n">
        <f aca="false">F14/F30</f>
        <v>0.0157086530416234</v>
      </c>
      <c r="G36" s="18" t="n">
        <f aca="false">G14/G30</f>
        <v>0.0159197106295727</v>
      </c>
      <c r="H36" s="18" t="n">
        <f aca="false">H14/H30</f>
        <v>0.0162112969966918</v>
      </c>
      <c r="I36" s="18" t="n">
        <f aca="false">I14/I30</f>
        <v>0.016514280912455</v>
      </c>
    </row>
    <row r="37" customFormat="false" ht="15" hidden="false" customHeight="false" outlineLevel="0" collapsed="false">
      <c r="A37" s="3" t="s">
        <v>163</v>
      </c>
      <c r="E37" s="27" t="n">
        <f aca="false">E30/((Assumptions!$B$38+E19)/2)</f>
        <v>10.0910200466298</v>
      </c>
      <c r="F37" s="27" t="n">
        <f aca="false">F30/((E19+F19)/2)</f>
        <v>10.365947040996</v>
      </c>
      <c r="G37" s="27" t="n">
        <f aca="false">G30/((F19+G19)/2)</f>
        <v>10.3617878972349</v>
      </c>
      <c r="H37" s="27" t="n">
        <f aca="false">H30/((G19+H19)/2)</f>
        <v>10.1876767175862</v>
      </c>
      <c r="I37" s="27" t="n">
        <f aca="false">I30/((H19+I19)/2)</f>
        <v>9.90590691930382</v>
      </c>
    </row>
    <row r="38" customFormat="false" ht="15" hidden="false" customHeight="false" outlineLevel="0" collapsed="false">
      <c r="A38" s="8" t="s">
        <v>164</v>
      </c>
      <c r="E38" s="18" t="n">
        <f aca="false">E36*E37</f>
        <v>0.166043037517922</v>
      </c>
      <c r="F38" s="18" t="n">
        <f aca="false">F36*F37</f>
        <v>0.16283506551485</v>
      </c>
      <c r="G38" s="18" t="n">
        <f aca="false">G36*G37</f>
        <v>0.164956664928987</v>
      </c>
      <c r="H38" s="18" t="n">
        <f aca="false">H36*H37</f>
        <v>0.165155452975072</v>
      </c>
      <c r="I38" s="18" t="n">
        <f aca="false">I36*I37</f>
        <v>0.163588929558015</v>
      </c>
    </row>
    <row r="40" customFormat="false" ht="15" hidden="false" customHeight="false" outlineLevel="0" collapsed="false">
      <c r="A40" s="13" t="s">
        <v>165</v>
      </c>
    </row>
    <row r="41" customFormat="false" ht="15" hidden="false" customHeight="false" outlineLevel="0" collapsed="false">
      <c r="A41" s="13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4" t="s">
        <v>168</v>
      </c>
    </row>
    <row r="3" customFormat="false" ht="15" hidden="false" customHeight="false" outlineLevel="0" collapsed="false">
      <c r="A3" s="24" t="s">
        <v>169</v>
      </c>
      <c r="E3" s="4" t="s">
        <v>65</v>
      </c>
      <c r="F3" s="4" t="s">
        <v>66</v>
      </c>
      <c r="G3" s="4" t="s">
        <v>67</v>
      </c>
      <c r="H3" s="4" t="s">
        <v>68</v>
      </c>
      <c r="I3" s="4" t="s">
        <v>69</v>
      </c>
    </row>
    <row r="4" customFormat="false" ht="15" hidden="false" customHeight="false" outlineLevel="0" collapsed="false">
      <c r="A4" s="3" t="s">
        <v>170</v>
      </c>
      <c r="E4" s="5" t="n">
        <f aca="false">'Driver Build'!E16</f>
        <v>0.659976479660476</v>
      </c>
      <c r="F4" s="5" t="n">
        <f aca="false">'Driver Build'!F16</f>
        <v>0.698457574863007</v>
      </c>
      <c r="G4" s="5" t="n">
        <f aca="false">'Driver Build'!G16</f>
        <v>0.764079392435363</v>
      </c>
      <c r="H4" s="5" t="n">
        <f aca="false">'Driver Build'!H16</f>
        <v>0.804483558047331</v>
      </c>
      <c r="I4" s="5" t="n">
        <f aca="false">'Driver Build'!I16</f>
        <v>0.862854657341852</v>
      </c>
    </row>
    <row r="5" customFormat="false" ht="15" hidden="false" customHeight="false" outlineLevel="0" collapsed="false">
      <c r="A5" s="3" t="s">
        <v>171</v>
      </c>
      <c r="E5" s="28" t="n">
        <f aca="false">1/POWER(1+Assumptions!$B$16,1)</f>
        <v>0.904404449669892</v>
      </c>
      <c r="F5" s="28" t="n">
        <f aca="false">1/POWER(1+Assumptions!$B$16,2)</f>
        <v>0.817947408582701</v>
      </c>
      <c r="G5" s="28" t="n">
        <f aca="false">1/POWER(1+Assumptions!$B$16,3)</f>
        <v>0.739755275918152</v>
      </c>
      <c r="H5" s="28" t="n">
        <f aca="false">1/POWER(1+Assumptions!$B$16,4)</f>
        <v>0.669037963207156</v>
      </c>
      <c r="I5" s="28" t="n">
        <f aca="false">1/POWER(1+Assumptions!$B$16,5)</f>
        <v>0.605080910922634</v>
      </c>
    </row>
    <row r="6" customFormat="false" ht="15" hidden="false" customHeight="false" outlineLevel="0" collapsed="false">
      <c r="A6" s="3" t="s">
        <v>172</v>
      </c>
      <c r="E6" s="7" t="n">
        <f aca="false">E4*E5</f>
        <v>0.596885664882406</v>
      </c>
      <c r="F6" s="7" t="n">
        <f aca="false">F4*F5</f>
        <v>0.571301563364154</v>
      </c>
      <c r="G6" s="7" t="n">
        <f aca="false">G4*G5</f>
        <v>0.565231761774396</v>
      </c>
      <c r="H6" s="7" t="n">
        <f aca="false">H4*H5</f>
        <v>0.538230041109632</v>
      </c>
      <c r="I6" s="7" t="n">
        <f aca="false">I4*I5</f>
        <v>0.522096882058245</v>
      </c>
    </row>
    <row r="8" customFormat="false" ht="15" hidden="false" customHeight="false" outlineLevel="0" collapsed="false">
      <c r="A8" s="3" t="s">
        <v>173</v>
      </c>
      <c r="B8" s="22" t="n">
        <f aca="false">SUM(E6:I6)</f>
        <v>2.79374591318883</v>
      </c>
    </row>
    <row r="9" customFormat="false" ht="15" hidden="false" customHeight="false" outlineLevel="0" collapsed="false">
      <c r="A9" s="3" t="s">
        <v>174</v>
      </c>
      <c r="B9" s="29" t="n">
        <f aca="false">1-Assumptions!$B$17/Assumptions!$B$18</f>
        <v>0.733333333333333</v>
      </c>
    </row>
    <row r="10" customFormat="false" ht="15" hidden="false" customHeight="false" outlineLevel="0" collapsed="false">
      <c r="A10" s="3" t="s">
        <v>175</v>
      </c>
      <c r="B10" s="7" t="n">
        <f aca="false">'Driver Build'!I15*(1+Assumptions!$B$17)*B9</f>
        <v>1.99415298585673</v>
      </c>
    </row>
    <row r="11" customFormat="false" ht="15" hidden="false" customHeight="false" outlineLevel="0" collapsed="false">
      <c r="A11" s="3" t="s">
        <v>176</v>
      </c>
      <c r="B11" s="7" t="n">
        <f aca="false">B10/(Assumptions!$B$16-Assumptions!$B$17)</f>
        <v>30.3524046553535</v>
      </c>
    </row>
    <row r="12" customFormat="false" ht="15" hidden="false" customHeight="false" outlineLevel="0" collapsed="false">
      <c r="A12" s="3" t="s">
        <v>177</v>
      </c>
      <c r="B12" s="7" t="n">
        <f aca="false">B11*I5</f>
        <v>18.3656606575537</v>
      </c>
    </row>
    <row r="13" customFormat="false" ht="15" hidden="false" customHeight="false" outlineLevel="0" collapsed="false">
      <c r="A13" s="8" t="s">
        <v>178</v>
      </c>
      <c r="B13" s="9" t="n">
        <f aca="false">B8+B12</f>
        <v>21.1594065707425</v>
      </c>
    </row>
    <row r="14" customFormat="false" ht="15" hidden="false" customHeight="false" outlineLevel="0" collapsed="false">
      <c r="A14" s="3" t="s">
        <v>179</v>
      </c>
      <c r="B14" s="29" t="n">
        <f aca="false">B12/B13</f>
        <v>0.867966717126567</v>
      </c>
    </row>
    <row r="15" customFormat="false" ht="15" hidden="false" customHeight="false" outlineLevel="0" collapsed="false">
      <c r="A15" s="3" t="s">
        <v>180</v>
      </c>
      <c r="B15" s="29" t="n">
        <f aca="false">B13/Assumptions!$B$5-1</f>
        <v>0.401285203360432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.5"/>
  </cols>
  <sheetData>
    <row r="1" customFormat="false" ht="16.15" hidden="false" customHeight="false" outlineLevel="0" collapsed="false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4" t="s">
        <v>182</v>
      </c>
    </row>
    <row r="3" customFormat="false" ht="15" hidden="false" customHeight="false" outlineLevel="0" collapsed="false">
      <c r="A3" s="4" t="s">
        <v>183</v>
      </c>
    </row>
    <row r="4" customFormat="false" ht="15" hidden="false" customHeight="false" outlineLevel="0" collapsed="false">
      <c r="A4" s="4" t="s">
        <v>184</v>
      </c>
      <c r="B4" s="4" t="s">
        <v>185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</row>
    <row r="5" customFormat="false" ht="15" hidden="false" customHeight="false" outlineLevel="0" collapsed="false">
      <c r="A5" s="3" t="s">
        <v>186</v>
      </c>
      <c r="B5" s="19" t="n">
        <v>0.36</v>
      </c>
      <c r="E5" s="20" t="n">
        <f aca="false">$B5*'Driver Build'!E8</f>
        <v>8803.51288128</v>
      </c>
      <c r="F5" s="20" t="n">
        <f aca="false">$B5*'Driver Build'!F8</f>
        <v>9762.63899720832</v>
      </c>
      <c r="G5" s="20" t="n">
        <f aca="false">$B5*'Driver Build'!G8</f>
        <v>10831.3582951532</v>
      </c>
      <c r="H5" s="20" t="n">
        <f aca="false">$B5*'Driver Build'!H8</f>
        <v>11910.6577124972</v>
      </c>
      <c r="I5" s="20" t="n">
        <f aca="false">$B5*'Driver Build'!I8</f>
        <v>13016.4928469598</v>
      </c>
    </row>
    <row r="6" customFormat="false" ht="15" hidden="false" customHeight="false" outlineLevel="0" collapsed="false">
      <c r="A6" s="3" t="s">
        <v>187</v>
      </c>
      <c r="B6" s="19" t="n">
        <v>0.33</v>
      </c>
      <c r="E6" s="20" t="n">
        <f aca="false">$B6*'Driver Build'!E8</f>
        <v>8069.88680784</v>
      </c>
      <c r="F6" s="20" t="n">
        <f aca="false">$B6*'Driver Build'!F8</f>
        <v>8949.08574744096</v>
      </c>
      <c r="G6" s="20" t="n">
        <f aca="false">$B6*'Driver Build'!G8</f>
        <v>9928.74510389045</v>
      </c>
      <c r="H6" s="20" t="n">
        <f aca="false">$B6*'Driver Build'!H8</f>
        <v>10918.1029031224</v>
      </c>
      <c r="I6" s="20" t="n">
        <f aca="false">$B6*'Driver Build'!I8</f>
        <v>11931.7851097132</v>
      </c>
    </row>
    <row r="7" customFormat="false" ht="15" hidden="false" customHeight="false" outlineLevel="0" collapsed="false">
      <c r="A7" s="3" t="s">
        <v>188</v>
      </c>
      <c r="B7" s="19" t="n">
        <v>0.25</v>
      </c>
      <c r="E7" s="20" t="n">
        <f aca="false">$B7*'Driver Build'!E8</f>
        <v>6113.550612</v>
      </c>
      <c r="F7" s="20" t="n">
        <f aca="false">$B7*'Driver Build'!F8</f>
        <v>6779.610414728</v>
      </c>
      <c r="G7" s="20" t="n">
        <f aca="false">$B7*'Driver Build'!G8</f>
        <v>7521.7765938564</v>
      </c>
      <c r="H7" s="20" t="n">
        <f aca="false">$B7*'Driver Build'!H8</f>
        <v>8271.29007812306</v>
      </c>
      <c r="I7" s="20" t="n">
        <f aca="false">$B7*'Driver Build'!I8</f>
        <v>9039.23114372209</v>
      </c>
    </row>
    <row r="8" customFormat="false" ht="15" hidden="false" customHeight="false" outlineLevel="0" collapsed="false">
      <c r="A8" s="3" t="s">
        <v>189</v>
      </c>
      <c r="B8" s="19" t="n">
        <v>0.06</v>
      </c>
      <c r="E8" s="20" t="n">
        <f aca="false">$B8*'Driver Build'!E8</f>
        <v>1467.25214688</v>
      </c>
      <c r="F8" s="20" t="n">
        <f aca="false">$B8*'Driver Build'!F8</f>
        <v>1627.10649953472</v>
      </c>
      <c r="G8" s="20" t="n">
        <f aca="false">$B8*'Driver Build'!G8</f>
        <v>1805.22638252554</v>
      </c>
      <c r="H8" s="20" t="n">
        <f aca="false">$B8*'Driver Build'!H8</f>
        <v>1985.10961874953</v>
      </c>
      <c r="I8" s="20" t="n">
        <f aca="false">$B8*'Driver Build'!I8</f>
        <v>2169.4154744933</v>
      </c>
    </row>
    <row r="9" customFormat="false" ht="15" hidden="false" customHeight="false" outlineLevel="0" collapsed="false">
      <c r="A9" s="8" t="s">
        <v>190</v>
      </c>
      <c r="E9" s="21" t="n">
        <f aca="false">SUM(E5:E8)</f>
        <v>24454.202448</v>
      </c>
      <c r="F9" s="21" t="n">
        <f aca="false">SUM(F5:F8)</f>
        <v>27118.441658912</v>
      </c>
      <c r="G9" s="21" t="n">
        <f aca="false">SUM(G5:G8)</f>
        <v>30087.1063754256</v>
      </c>
      <c r="H9" s="21" t="n">
        <f aca="false">SUM(H5:H8)</f>
        <v>33085.1603124923</v>
      </c>
      <c r="I9" s="21" t="n">
        <f aca="false">SUM(I5:I8)</f>
        <v>36156.9245748884</v>
      </c>
    </row>
    <row r="11" customFormat="false" ht="15" hidden="false" customHeight="false" outlineLevel="0" collapsed="false">
      <c r="A11" s="13" t="s">
        <v>191</v>
      </c>
    </row>
    <row r="12" customFormat="false" ht="15" hidden="false" customHeight="false" outlineLevel="0" collapsed="false">
      <c r="A12" s="13" t="s">
        <v>192</v>
      </c>
    </row>
    <row r="13" customFormat="false" ht="15" hidden="false" customHeight="false" outlineLevel="0" collapsed="false">
      <c r="A13" s="13" t="s">
        <v>193</v>
      </c>
    </row>
    <row r="15" customFormat="false" ht="15" hidden="false" customHeight="false" outlineLevel="0" collapsed="false">
      <c r="A15" s="4" t="s">
        <v>194</v>
      </c>
    </row>
    <row r="16" customFormat="false" ht="15" hidden="false" customHeight="false" outlineLevel="0" collapsed="false">
      <c r="A16" s="3" t="s">
        <v>195</v>
      </c>
      <c r="B16" s="15" t="n">
        <v>1100</v>
      </c>
    </row>
    <row r="17" customFormat="false" ht="15" hidden="false" customHeight="false" outlineLevel="0" collapsed="false">
      <c r="A17" s="3" t="s">
        <v>196</v>
      </c>
      <c r="B17" s="19" t="n">
        <v>0.24</v>
      </c>
    </row>
    <row r="18" customFormat="false" ht="15" hidden="false" customHeight="false" outlineLevel="0" collapsed="false">
      <c r="A18" s="3" t="s">
        <v>197</v>
      </c>
      <c r="B18" s="15" t="n">
        <v>77600</v>
      </c>
    </row>
    <row r="19" customFormat="false" ht="15" hidden="false" customHeight="false" outlineLevel="0" collapsed="false">
      <c r="A19" s="3" t="s">
        <v>198</v>
      </c>
      <c r="B19" s="15" t="n">
        <v>158000</v>
      </c>
    </row>
    <row r="20" customFormat="false" ht="15" hidden="false" customHeight="false" outlineLevel="0" collapsed="false">
      <c r="A20" s="13" t="s">
        <v>199</v>
      </c>
    </row>
    <row r="21" customFormat="false" ht="15" hidden="false" customHeight="false" outlineLevel="0" collapsed="false">
      <c r="A21" s="1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201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4" t="s">
        <v>202</v>
      </c>
    </row>
    <row r="4" customFormat="false" ht="15" hidden="false" customHeight="false" outlineLevel="0" collapsed="false">
      <c r="A4" s="3" t="s">
        <v>203</v>
      </c>
      <c r="B4" s="7" t="n">
        <f aca="false">Assumptions!$B$43*Assumptions!$B$40</f>
        <v>15.3781974086114</v>
      </c>
    </row>
    <row r="5" customFormat="false" ht="15" hidden="false" customHeight="false" outlineLevel="0" collapsed="false">
      <c r="A5" s="3" t="s">
        <v>204</v>
      </c>
      <c r="B5" s="7" t="n">
        <f aca="false">Assumptions!$B$44*'Driver Build'!E15</f>
        <v>16.4994119915119</v>
      </c>
    </row>
    <row r="6" customFormat="false" ht="15" hidden="false" customHeight="false" outlineLevel="0" collapsed="false">
      <c r="A6" s="8" t="s">
        <v>205</v>
      </c>
      <c r="B6" s="9" t="n">
        <f aca="false">(B4+B5)/2</f>
        <v>15.9388047000616</v>
      </c>
    </row>
    <row r="8" customFormat="false" ht="15" hidden="false" customHeight="false" outlineLevel="0" collapsed="false">
      <c r="A8" s="4" t="s">
        <v>30</v>
      </c>
    </row>
    <row r="9" customFormat="false" ht="15" hidden="false" customHeight="false" outlineLevel="0" collapsed="false">
      <c r="A9" s="3" t="s">
        <v>206</v>
      </c>
      <c r="B9" s="7" t="n">
        <f aca="false">Assumptions!$B$45*Assumptions!$B$40</f>
        <v>1.33939138720164</v>
      </c>
    </row>
    <row r="10" customFormat="false" ht="15" hidden="false" customHeight="false" outlineLevel="0" collapsed="false">
      <c r="A10" s="3" t="s">
        <v>207</v>
      </c>
      <c r="B10" s="27" t="n">
        <f aca="false">(Assumptions!$B$45-Assumptions!$B$17)/(Assumptions!$B$16-Assumptions!$B$17)</f>
        <v>1.44596651445967</v>
      </c>
    </row>
    <row r="11" customFormat="false" ht="15" hidden="false" customHeight="false" outlineLevel="0" collapsed="false">
      <c r="A11" s="8" t="s">
        <v>208</v>
      </c>
      <c r="B11" s="9" t="n">
        <f aca="false">B10*Assumptions!$B$40</f>
        <v>14.34603774555</v>
      </c>
    </row>
    <row r="12" customFormat="false" ht="15" hidden="false" customHeight="false" outlineLevel="0" collapsed="false">
      <c r="A12" s="3" t="s">
        <v>209</v>
      </c>
      <c r="B12" s="27" t="n">
        <f aca="false">B11/B9</f>
        <v>10.7108630700716</v>
      </c>
    </row>
    <row r="13" customFormat="false" ht="15" hidden="false" customHeight="false" outlineLevel="0" collapsed="false">
      <c r="A13" s="3" t="s">
        <v>210</v>
      </c>
      <c r="B13" s="27" t="n">
        <f aca="false">(Assumptions!$B$18-Assumptions!$B$17)/(Assumptions!$B$16-Assumptions!$B$17)</f>
        <v>1.67427701674277</v>
      </c>
    </row>
    <row r="14" customFormat="false" ht="15" hidden="false" customHeight="false" outlineLevel="0" collapsed="false">
      <c r="A14" s="3" t="s">
        <v>211</v>
      </c>
      <c r="B14" s="27" t="n">
        <f aca="false">Assumptions!$B$5/Assumptions!$B$40</f>
        <v>1.52195991364331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4" t="s">
        <v>213</v>
      </c>
    </row>
    <row r="3" customFormat="false" ht="15" hidden="false" customHeight="false" outlineLevel="0" collapsed="false">
      <c r="A3" s="24" t="s">
        <v>129</v>
      </c>
      <c r="E3" s="4" t="s">
        <v>65</v>
      </c>
      <c r="F3" s="4" t="s">
        <v>66</v>
      </c>
      <c r="G3" s="4" t="s">
        <v>67</v>
      </c>
      <c r="H3" s="4" t="s">
        <v>68</v>
      </c>
      <c r="I3" s="4" t="s">
        <v>69</v>
      </c>
    </row>
    <row r="4" customFormat="false" ht="15" hidden="false" customHeight="false" outlineLevel="0" collapsed="false">
      <c r="A4" s="3" t="s">
        <v>142</v>
      </c>
      <c r="E4" s="25" t="n">
        <f aca="false">'Driver Build'!E14</f>
        <v>13741.7101882656</v>
      </c>
      <c r="F4" s="25" t="n">
        <f aca="false">'Driver Build'!F14</f>
        <v>14935.9974548556</v>
      </c>
      <c r="G4" s="25" t="n">
        <f aca="false">'Driver Build'!G14</f>
        <v>16793.1400259407</v>
      </c>
      <c r="H4" s="25" t="n">
        <f aca="false">'Driver Build'!H14</f>
        <v>18721.2213737543</v>
      </c>
      <c r="I4" s="25" t="n">
        <f aca="false">'Driver Build'!I14</f>
        <v>20688.053518426</v>
      </c>
    </row>
    <row r="5" customFormat="false" ht="15" hidden="false" customHeight="false" outlineLevel="0" collapsed="false">
      <c r="A5" s="3" t="s">
        <v>214</v>
      </c>
      <c r="E5" s="25" t="n">
        <f aca="false">'Driver Build'!E25</f>
        <v>7740</v>
      </c>
      <c r="F5" s="25" t="n">
        <f aca="false">'Driver Build'!F25</f>
        <v>7198.10000000001</v>
      </c>
      <c r="G5" s="25" t="n">
        <f aca="false">'Driver Build'!G25</f>
        <v>6610.16099999999</v>
      </c>
      <c r="H5" s="25" t="n">
        <f aca="false">'Driver Build'!H25</f>
        <v>6214.8997125</v>
      </c>
      <c r="I5" s="25" t="n">
        <f aca="false">'Driver Build'!I25</f>
        <v>5262.27748101563</v>
      </c>
    </row>
    <row r="6" customFormat="false" ht="15" hidden="false" customHeight="false" outlineLevel="0" collapsed="false">
      <c r="A6" s="3" t="s">
        <v>215</v>
      </c>
      <c r="E6" s="30" t="n">
        <f aca="false">'Driver Build'!E26</f>
        <v>6001.7101882656</v>
      </c>
      <c r="F6" s="30" t="n">
        <f aca="false">'Driver Build'!F26</f>
        <v>7737.89745485564</v>
      </c>
      <c r="G6" s="30" t="n">
        <f aca="false">'Driver Build'!G26</f>
        <v>10182.9790259407</v>
      </c>
      <c r="H6" s="30" t="n">
        <f aca="false">'Driver Build'!H26</f>
        <v>12506.3216612543</v>
      </c>
      <c r="I6" s="30" t="n">
        <f aca="false">'Driver Build'!I26</f>
        <v>15425.7760374104</v>
      </c>
    </row>
    <row r="7" customFormat="false" ht="15" hidden="false" customHeight="false" outlineLevel="0" collapsed="false">
      <c r="A7" s="3" t="s">
        <v>216</v>
      </c>
      <c r="E7" s="28" t="n">
        <f aca="false">1/POWER(1+Assumptions!$B$16,1)</f>
        <v>0.904404449669892</v>
      </c>
      <c r="F7" s="28" t="n">
        <f aca="false">1/POWER(1+Assumptions!$B$16,2)</f>
        <v>0.817947408582701</v>
      </c>
      <c r="G7" s="28" t="n">
        <f aca="false">1/POWER(1+Assumptions!$B$16,3)</f>
        <v>0.739755275918152</v>
      </c>
      <c r="H7" s="28" t="n">
        <f aca="false">1/POWER(1+Assumptions!$B$16,4)</f>
        <v>0.669037963207156</v>
      </c>
      <c r="I7" s="28" t="n">
        <f aca="false">1/POWER(1+Assumptions!$B$16,5)</f>
        <v>0.605080910922634</v>
      </c>
    </row>
    <row r="8" customFormat="false" ht="15" hidden="false" customHeight="false" outlineLevel="0" collapsed="false">
      <c r="A8" s="3" t="s">
        <v>217</v>
      </c>
      <c r="E8" s="20" t="n">
        <f aca="false">E6*E7</f>
        <v>5427.97339989654</v>
      </c>
      <c r="F8" s="20" t="n">
        <f aca="false">F6*F7</f>
        <v>6329.19317107785</v>
      </c>
      <c r="G8" s="20" t="n">
        <f aca="false">G6*G7</f>
        <v>7532.9124590035</v>
      </c>
      <c r="H8" s="20" t="n">
        <f aca="false">H6*H7</f>
        <v>8367.20397145913</v>
      </c>
      <c r="I8" s="20" t="n">
        <f aca="false">I6*I7</f>
        <v>9333.8426164048</v>
      </c>
    </row>
    <row r="10" customFormat="false" ht="15" hidden="false" customHeight="false" outlineLevel="0" collapsed="false">
      <c r="A10" s="3" t="s">
        <v>218</v>
      </c>
      <c r="B10" s="20" t="n">
        <f aca="false">SUM(E8:I8)</f>
        <v>36991.1256178418</v>
      </c>
    </row>
    <row r="11" customFormat="false" ht="15" hidden="false" customHeight="false" outlineLevel="0" collapsed="false">
      <c r="A11" s="3" t="s">
        <v>219</v>
      </c>
      <c r="B11" s="20" t="n">
        <f aca="false">I6*(1+Assumptions!$B$17)/(Assumptions!$B$16-Assumptions!$B$17)</f>
        <v>244182.756147744</v>
      </c>
    </row>
    <row r="12" customFormat="false" ht="15" hidden="false" customHeight="false" outlineLevel="0" collapsed="false">
      <c r="A12" s="3" t="s">
        <v>220</v>
      </c>
      <c r="B12" s="20" t="n">
        <f aca="false">B11*I7</f>
        <v>147750.324521476</v>
      </c>
    </row>
    <row r="13" customFormat="false" ht="15" hidden="false" customHeight="false" outlineLevel="0" collapsed="false">
      <c r="A13" s="8" t="s">
        <v>221</v>
      </c>
      <c r="B13" s="21" t="n">
        <f aca="false">B10+B12</f>
        <v>184741.450139318</v>
      </c>
    </row>
    <row r="14" customFormat="false" ht="15" hidden="false" customHeight="false" outlineLevel="0" collapsed="false">
      <c r="A14" s="8" t="s">
        <v>222</v>
      </c>
      <c r="B14" s="9" t="n">
        <f aca="false">B13/Assumptions!$B$6</f>
        <v>23.3490075183528</v>
      </c>
    </row>
    <row r="15" customFormat="false" ht="15" hidden="false" customHeight="false" outlineLevel="0" collapsed="false">
      <c r="A15" s="3" t="s">
        <v>223</v>
      </c>
      <c r="B15" s="29" t="n">
        <f aca="false">B12/B13</f>
        <v>0.799768132219673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4" t="s">
        <v>225</v>
      </c>
    </row>
    <row r="3" customFormat="false" ht="15" hidden="false" customHeight="false" outlineLevel="0" collapsed="false">
      <c r="A3" s="24" t="s">
        <v>129</v>
      </c>
      <c r="E3" s="4" t="s">
        <v>65</v>
      </c>
      <c r="F3" s="4" t="s">
        <v>66</v>
      </c>
      <c r="G3" s="4" t="s">
        <v>67</v>
      </c>
      <c r="H3" s="4" t="s">
        <v>68</v>
      </c>
      <c r="I3" s="4" t="s">
        <v>69</v>
      </c>
    </row>
    <row r="4" customFormat="false" ht="15" hidden="false" customHeight="false" outlineLevel="0" collapsed="false">
      <c r="A4" s="3" t="s">
        <v>146</v>
      </c>
      <c r="E4" s="25" t="n">
        <f aca="false">'Driver Build'!E18</f>
        <v>78500</v>
      </c>
      <c r="F4" s="25" t="n">
        <f aca="false">'Driver Build'!F18</f>
        <v>87019.8603167247</v>
      </c>
      <c r="G4" s="25" t="n">
        <f aca="false">'Driver Build'!G18</f>
        <v>96429.5387132837</v>
      </c>
      <c r="H4" s="25" t="n">
        <f aca="false">'Driver Build'!H18</f>
        <v>107177.148329886</v>
      </c>
      <c r="I4" s="25" t="n">
        <f aca="false">'Driver Build'!I18</f>
        <v>119533.154436564</v>
      </c>
    </row>
    <row r="5" customFormat="false" ht="15" hidden="false" customHeight="false" outlineLevel="0" collapsed="false">
      <c r="A5" s="3" t="s">
        <v>142</v>
      </c>
      <c r="E5" s="25" t="n">
        <f aca="false">'Driver Build'!E14</f>
        <v>13741.7101882656</v>
      </c>
      <c r="F5" s="25" t="n">
        <f aca="false">'Driver Build'!F14</f>
        <v>14935.9974548556</v>
      </c>
      <c r="G5" s="25" t="n">
        <f aca="false">'Driver Build'!G14</f>
        <v>16793.1400259407</v>
      </c>
      <c r="H5" s="25" t="n">
        <f aca="false">'Driver Build'!H14</f>
        <v>18721.2213737543</v>
      </c>
      <c r="I5" s="25" t="n">
        <f aca="false">'Driver Build'!I14</f>
        <v>20688.053518426</v>
      </c>
    </row>
    <row r="6" customFormat="false" ht="15" hidden="false" customHeight="false" outlineLevel="0" collapsed="false">
      <c r="A6" s="3" t="s">
        <v>226</v>
      </c>
      <c r="E6" s="20" t="n">
        <f aca="false">-Assumptions!$B$16*E4</f>
        <v>-8297.45</v>
      </c>
      <c r="F6" s="20" t="n">
        <f aca="false">-Assumptions!$B$16*F4</f>
        <v>-9197.9992354778</v>
      </c>
      <c r="G6" s="20" t="n">
        <f aca="false">-Assumptions!$B$16*G4</f>
        <v>-10192.6022419941</v>
      </c>
      <c r="H6" s="20" t="n">
        <f aca="false">-Assumptions!$B$16*H4</f>
        <v>-11328.6245784689</v>
      </c>
      <c r="I6" s="20" t="n">
        <f aca="false">-Assumptions!$B$16*I4</f>
        <v>-12634.6544239448</v>
      </c>
    </row>
    <row r="7" customFormat="false" ht="15" hidden="false" customHeight="false" outlineLevel="0" collapsed="false">
      <c r="A7" s="3" t="s">
        <v>227</v>
      </c>
      <c r="E7" s="21" t="n">
        <f aca="false">E5+E6</f>
        <v>5444.2601882656</v>
      </c>
      <c r="F7" s="21" t="n">
        <f aca="false">F5+F6</f>
        <v>5737.99821937785</v>
      </c>
      <c r="G7" s="21" t="n">
        <f aca="false">G5+G6</f>
        <v>6600.53778394657</v>
      </c>
      <c r="H7" s="21" t="n">
        <f aca="false">H5+H6</f>
        <v>7392.5967952854</v>
      </c>
      <c r="I7" s="21" t="n">
        <f aca="false">I5+I6</f>
        <v>8053.39909448122</v>
      </c>
    </row>
    <row r="8" customFormat="false" ht="15" hidden="false" customHeight="false" outlineLevel="0" collapsed="false">
      <c r="A8" s="3" t="s">
        <v>216</v>
      </c>
      <c r="E8" s="28" t="n">
        <f aca="false">1/POWER(1+Assumptions!$B$16,1)</f>
        <v>0.904404449669892</v>
      </c>
      <c r="F8" s="28" t="n">
        <f aca="false">1/POWER(1+Assumptions!$B$16,2)</f>
        <v>0.817947408582701</v>
      </c>
      <c r="G8" s="28" t="n">
        <f aca="false">1/POWER(1+Assumptions!$B$16,3)</f>
        <v>0.739755275918152</v>
      </c>
      <c r="H8" s="28" t="n">
        <f aca="false">1/POWER(1+Assumptions!$B$16,4)</f>
        <v>0.669037963207156</v>
      </c>
      <c r="I8" s="28" t="n">
        <f aca="false">1/POWER(1+Assumptions!$B$16,5)</f>
        <v>0.605080910922634</v>
      </c>
    </row>
    <row r="9" customFormat="false" ht="15" hidden="false" customHeight="false" outlineLevel="0" collapsed="false">
      <c r="A9" s="3" t="s">
        <v>228</v>
      </c>
      <c r="E9" s="20" t="n">
        <f aca="false">E7*E8</f>
        <v>4923.81313942806</v>
      </c>
      <c r="F9" s="20" t="n">
        <f aca="false">F7*F8</f>
        <v>4693.38077399226</v>
      </c>
      <c r="G9" s="20" t="n">
        <f aca="false">G7*G8</f>
        <v>4882.78264957159</v>
      </c>
      <c r="H9" s="20" t="n">
        <f aca="false">H7*H8</f>
        <v>4945.92790272949</v>
      </c>
      <c r="I9" s="20" t="n">
        <f aca="false">I7*I8</f>
        <v>4872.95806011221</v>
      </c>
    </row>
    <row r="11" customFormat="false" ht="15" hidden="false" customHeight="false" outlineLevel="0" collapsed="false">
      <c r="A11" s="3" t="s">
        <v>229</v>
      </c>
      <c r="B11" s="25" t="n">
        <f aca="false">Assumptions!$B$38</f>
        <v>78500</v>
      </c>
    </row>
    <row r="12" customFormat="false" ht="15" hidden="false" customHeight="false" outlineLevel="0" collapsed="false">
      <c r="A12" s="3" t="s">
        <v>230</v>
      </c>
      <c r="B12" s="20" t="n">
        <f aca="false">SUM(E9:I9)</f>
        <v>24318.8625258336</v>
      </c>
    </row>
    <row r="13" customFormat="false" ht="15" hidden="false" customHeight="false" outlineLevel="0" collapsed="false">
      <c r="A13" s="3" t="s">
        <v>231</v>
      </c>
      <c r="B13" s="20" t="n">
        <f aca="false">I7*(1+Assumptions!$B$17)/(Assumptions!$B$16-Assumptions!$B$17)</f>
        <v>127481.50773608</v>
      </c>
    </row>
    <row r="14" customFormat="false" ht="15" hidden="false" customHeight="false" outlineLevel="0" collapsed="false">
      <c r="A14" s="3" t="s">
        <v>232</v>
      </c>
      <c r="B14" s="20" t="n">
        <f aca="false">B13*I8</f>
        <v>77136.6268267381</v>
      </c>
    </row>
    <row r="15" customFormat="false" ht="15" hidden="false" customHeight="false" outlineLevel="0" collapsed="false">
      <c r="A15" s="8" t="s">
        <v>221</v>
      </c>
      <c r="B15" s="21" t="n">
        <f aca="false">B11+B12+B14</f>
        <v>179955.489352572</v>
      </c>
    </row>
    <row r="16" customFormat="false" ht="15" hidden="false" customHeight="false" outlineLevel="0" collapsed="false">
      <c r="A16" s="8" t="s">
        <v>233</v>
      </c>
      <c r="B16" s="9" t="n">
        <f aca="false">B15/Assumptions!$B$6</f>
        <v>22.7441219644719</v>
      </c>
    </row>
    <row r="17" customFormat="false" ht="15" hidden="false" customHeight="false" outlineLevel="0" collapsed="false">
      <c r="A17" s="3" t="s">
        <v>234</v>
      </c>
      <c r="B17" s="27" t="n">
        <f aca="false">B15/B11</f>
        <v>2.29242661595633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4" t="s">
        <v>236</v>
      </c>
    </row>
    <row r="3" customFormat="false" ht="15" hidden="false" customHeight="false" outlineLevel="0" collapsed="false">
      <c r="A3" s="24" t="s">
        <v>129</v>
      </c>
      <c r="C3" s="4" t="s">
        <v>237</v>
      </c>
      <c r="D3" s="4" t="s">
        <v>238</v>
      </c>
      <c r="E3" s="4" t="s">
        <v>239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</row>
    <row r="4" customFormat="false" ht="15" hidden="false" customHeight="false" outlineLevel="0" collapsed="false">
      <c r="A4" s="3" t="s">
        <v>134</v>
      </c>
      <c r="C4" s="15" t="n">
        <v>12370</v>
      </c>
      <c r="D4" s="15" t="n">
        <v>13232</v>
      </c>
      <c r="E4" s="15" t="n">
        <v>14688</v>
      </c>
      <c r="F4" s="25" t="n">
        <f aca="false">'Driver Build'!E6</f>
        <v>16134.752448</v>
      </c>
      <c r="G4" s="25" t="n">
        <f aca="false">'Driver Build'!F6</f>
        <v>18050.241158912</v>
      </c>
      <c r="H4" s="25" t="n">
        <f aca="false">'Driver Build'!G6</f>
        <v>20202.7678304256</v>
      </c>
      <c r="I4" s="25" t="n">
        <f aca="false">'Driver Build'!H6</f>
        <v>22311.2312984422</v>
      </c>
      <c r="J4" s="25" t="n">
        <f aca="false">'Driver Build'!I6</f>
        <v>24413.3419495739</v>
      </c>
    </row>
    <row r="5" customFormat="false" ht="15" hidden="false" customHeight="false" outlineLevel="0" collapsed="false">
      <c r="A5" s="3" t="s">
        <v>135</v>
      </c>
      <c r="C5" s="15" t="n">
        <v>4490</v>
      </c>
      <c r="D5" s="15" t="n">
        <v>6227</v>
      </c>
      <c r="E5" s="15" t="n">
        <v>7495</v>
      </c>
      <c r="F5" s="25" t="n">
        <f aca="false">'Driver Build'!E7</f>
        <v>8319.45</v>
      </c>
      <c r="G5" s="25" t="n">
        <f aca="false">'Driver Build'!F7</f>
        <v>9068.2005</v>
      </c>
      <c r="H5" s="25" t="n">
        <f aca="false">'Driver Build'!G7</f>
        <v>9884.338545</v>
      </c>
      <c r="I5" s="25" t="n">
        <f aca="false">'Driver Build'!H7</f>
        <v>10773.92901405</v>
      </c>
      <c r="J5" s="25" t="n">
        <f aca="false">'Driver Build'!I7</f>
        <v>11743.5826253145</v>
      </c>
    </row>
    <row r="6" customFormat="false" ht="15" hidden="false" customHeight="false" outlineLevel="0" collapsed="false">
      <c r="A6" s="8" t="s">
        <v>136</v>
      </c>
      <c r="C6" s="15" t="n">
        <v>16860</v>
      </c>
      <c r="D6" s="15" t="n">
        <v>19459</v>
      </c>
      <c r="E6" s="15" t="n">
        <v>22183</v>
      </c>
      <c r="F6" s="25" t="n">
        <f aca="false">'Driver Build'!E8</f>
        <v>24454.202448</v>
      </c>
      <c r="G6" s="25" t="n">
        <f aca="false">'Driver Build'!F8</f>
        <v>27118.441658912</v>
      </c>
      <c r="H6" s="25" t="n">
        <f aca="false">'Driver Build'!G8</f>
        <v>30087.1063754256</v>
      </c>
      <c r="I6" s="25" t="n">
        <f aca="false">'Driver Build'!H8</f>
        <v>33085.1603124923</v>
      </c>
      <c r="J6" s="25" t="n">
        <f aca="false">'Driver Build'!I8</f>
        <v>36156.9245748884</v>
      </c>
    </row>
    <row r="7" customFormat="false" ht="15" hidden="false" customHeight="false" outlineLevel="0" collapsed="false">
      <c r="A7" s="3" t="s">
        <v>137</v>
      </c>
      <c r="C7" s="15" t="n">
        <v>-5176</v>
      </c>
      <c r="D7" s="15" t="n">
        <v>-6032</v>
      </c>
      <c r="E7" s="15" t="n">
        <v>-6256</v>
      </c>
      <c r="F7" s="25" t="n">
        <f aca="false">'Driver Build'!E9</f>
        <v>-6602.63466096</v>
      </c>
      <c r="G7" s="25" t="n">
        <f aca="false">'Driver Build'!F9</f>
        <v>-7050.79483131712</v>
      </c>
      <c r="H7" s="25" t="n">
        <f aca="false">'Driver Build'!G9</f>
        <v>-7672.21212573353</v>
      </c>
      <c r="I7" s="25" t="n">
        <f aca="false">'Driver Build'!H9</f>
        <v>-8271.29007812306</v>
      </c>
      <c r="J7" s="25" t="n">
        <f aca="false">'Driver Build'!I9</f>
        <v>-8858.44652084765</v>
      </c>
    </row>
    <row r="8" customFormat="false" ht="15" hidden="false" customHeight="false" outlineLevel="0" collapsed="false">
      <c r="A8" s="3" t="s">
        <v>138</v>
      </c>
      <c r="C8" s="20" t="n">
        <f aca="false">C6+C7</f>
        <v>11684</v>
      </c>
      <c r="D8" s="20" t="n">
        <f aca="false">D6+D7</f>
        <v>13427</v>
      </c>
      <c r="E8" s="20" t="n">
        <f aca="false">E6+E7</f>
        <v>15927</v>
      </c>
      <c r="F8" s="25" t="n">
        <f aca="false">'Driver Build'!E10</f>
        <v>17851.56778704</v>
      </c>
      <c r="G8" s="25" t="n">
        <f aca="false">'Driver Build'!F10</f>
        <v>20067.6468275949</v>
      </c>
      <c r="H8" s="25" t="n">
        <f aca="false">'Driver Build'!G10</f>
        <v>22414.8942496921</v>
      </c>
      <c r="I8" s="25" t="n">
        <f aca="false">'Driver Build'!H10</f>
        <v>24813.8702343692</v>
      </c>
      <c r="J8" s="25" t="n">
        <f aca="false">'Driver Build'!I10</f>
        <v>27298.4780540407</v>
      </c>
    </row>
    <row r="9" customFormat="false" ht="15" hidden="false" customHeight="false" outlineLevel="0" collapsed="false">
      <c r="A9" s="3" t="s">
        <v>139</v>
      </c>
      <c r="C9" s="15" t="n">
        <v>-3477</v>
      </c>
      <c r="D9" s="15" t="n">
        <v>-2842</v>
      </c>
      <c r="E9" s="15" t="n">
        <v>-3084</v>
      </c>
      <c r="F9" s="25" t="n">
        <f aca="false">'Driver Build'!E11</f>
        <v>-2411.44398</v>
      </c>
      <c r="G9" s="25" t="n">
        <f aca="false">'Driver Build'!F11</f>
        <v>-2495.885116</v>
      </c>
      <c r="H9" s="25" t="n">
        <f aca="false">'Driver Build'!G11</f>
        <v>-2658.258925056</v>
      </c>
      <c r="I9" s="25" t="n">
        <f aca="false">'Driver Build'!H11</f>
        <v>-2788.90391230528</v>
      </c>
      <c r="J9" s="25" t="n">
        <f aca="false">'Driver Build'!I11</f>
        <v>-2959.59156177485</v>
      </c>
    </row>
    <row r="10" customFormat="false" ht="15" hidden="false" customHeight="false" outlineLevel="0" collapsed="false">
      <c r="A10" s="8" t="s">
        <v>140</v>
      </c>
      <c r="C10" s="15" t="n">
        <v>8207</v>
      </c>
      <c r="D10" s="15" t="n">
        <v>10585</v>
      </c>
      <c r="E10" s="15" t="n">
        <v>12843</v>
      </c>
      <c r="F10" s="25" t="n">
        <f aca="false">'Driver Build'!E12</f>
        <v>15440.12380704</v>
      </c>
      <c r="G10" s="25" t="n">
        <f aca="false">'Driver Build'!F12</f>
        <v>17571.7617115949</v>
      </c>
      <c r="H10" s="25" t="n">
        <f aca="false">'Driver Build'!G12</f>
        <v>19756.6353246361</v>
      </c>
      <c r="I10" s="25" t="n">
        <f aca="false">'Driver Build'!H12</f>
        <v>22024.9663220639</v>
      </c>
      <c r="J10" s="25" t="n">
        <f aca="false">'Driver Build'!I12</f>
        <v>24338.8864922659</v>
      </c>
    </row>
    <row r="11" customFormat="false" ht="15" hidden="false" customHeight="false" outlineLevel="0" collapsed="false">
      <c r="A11" s="3" t="s">
        <v>141</v>
      </c>
      <c r="C11" s="15" t="n">
        <v>0</v>
      </c>
      <c r="D11" s="15" t="n">
        <v>-1166</v>
      </c>
      <c r="E11" s="15" t="n">
        <v>-1398</v>
      </c>
      <c r="F11" s="25" t="n">
        <f aca="false">'Driver Build'!E13</f>
        <v>-1698.4136187744</v>
      </c>
      <c r="G11" s="25" t="n">
        <f aca="false">'Driver Build'!F13</f>
        <v>-2635.76425673923</v>
      </c>
      <c r="H11" s="25" t="n">
        <f aca="false">'Driver Build'!G13</f>
        <v>-2963.49529869541</v>
      </c>
      <c r="I11" s="25" t="n">
        <f aca="false">'Driver Build'!H13</f>
        <v>-3303.74494830959</v>
      </c>
      <c r="J11" s="25" t="n">
        <f aca="false">'Driver Build'!I13</f>
        <v>-3650.83297383988</v>
      </c>
    </row>
    <row r="12" customFormat="false" ht="15" hidden="false" customHeight="false" outlineLevel="0" collapsed="false">
      <c r="A12" s="8" t="s">
        <v>142</v>
      </c>
      <c r="C12" s="15" t="n">
        <v>8207</v>
      </c>
      <c r="D12" s="15" t="n">
        <v>9419</v>
      </c>
      <c r="E12" s="15" t="n">
        <v>11445</v>
      </c>
      <c r="F12" s="25" t="n">
        <f aca="false">'Driver Build'!E14</f>
        <v>13741.7101882656</v>
      </c>
      <c r="G12" s="25" t="n">
        <f aca="false">'Driver Build'!F14</f>
        <v>14935.9974548556</v>
      </c>
      <c r="H12" s="25" t="n">
        <f aca="false">'Driver Build'!G14</f>
        <v>16793.1400259407</v>
      </c>
      <c r="I12" s="25" t="n">
        <f aca="false">'Driver Build'!H14</f>
        <v>18721.2213737543</v>
      </c>
      <c r="J12" s="25" t="n">
        <f aca="false">'Driver Build'!I14</f>
        <v>20688.053518426</v>
      </c>
    </row>
    <row r="14" customFormat="false" ht="15" hidden="false" customHeight="false" outlineLevel="0" collapsed="false">
      <c r="A14" s="3" t="s">
        <v>240</v>
      </c>
      <c r="C14" s="17" t="n">
        <v>0.0283</v>
      </c>
      <c r="D14" s="17" t="n">
        <v>0.0258</v>
      </c>
      <c r="E14" s="17" t="n">
        <v>0.0245</v>
      </c>
      <c r="F14" s="31" t="n">
        <f aca="false">Assumptions!E22</f>
        <v>0.023</v>
      </c>
      <c r="G14" s="31" t="n">
        <f aca="false">Assumptions!F22</f>
        <v>0.0226</v>
      </c>
      <c r="H14" s="31" t="n">
        <f aca="false">Assumptions!G22</f>
        <v>0.0228</v>
      </c>
      <c r="I14" s="31" t="n">
        <f aca="false">Assumptions!H22</f>
        <v>0.023</v>
      </c>
      <c r="J14" s="31" t="n">
        <f aca="false">Assumptions!I22</f>
        <v>0.0232</v>
      </c>
    </row>
    <row r="15" customFormat="false" ht="15" hidden="false" customHeight="false" outlineLevel="0" collapsed="false">
      <c r="A15" s="3" t="s">
        <v>241</v>
      </c>
      <c r="C15" s="17" t="n">
        <v>0.307</v>
      </c>
      <c r="D15" s="17" t="n">
        <v>0.31</v>
      </c>
      <c r="E15" s="17" t="n">
        <v>0.282</v>
      </c>
      <c r="F15" s="31" t="n">
        <f aca="false">Assumptions!E24</f>
        <v>0.27</v>
      </c>
      <c r="G15" s="31" t="n">
        <f aca="false">Assumptions!F24</f>
        <v>0.26</v>
      </c>
      <c r="H15" s="31" t="n">
        <f aca="false">Assumptions!G24</f>
        <v>0.255</v>
      </c>
      <c r="I15" s="31" t="n">
        <f aca="false">Assumptions!H24</f>
        <v>0.25</v>
      </c>
      <c r="J15" s="31" t="n">
        <f aca="false">Assumptions!I24</f>
        <v>0.245</v>
      </c>
    </row>
    <row r="17" customFormat="false" ht="15" hidden="false" customHeight="false" outlineLevel="0" collapsed="false">
      <c r="A17" s="13" t="s">
        <v>242</v>
      </c>
    </row>
    <row r="18" customFormat="false" ht="15" hidden="false" customHeight="false" outlineLevel="0" collapsed="false">
      <c r="A18" s="13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4" t="s">
        <v>245</v>
      </c>
    </row>
    <row r="3" customFormat="false" ht="15" hidden="false" customHeight="false" outlineLevel="0" collapsed="false">
      <c r="A3" s="24" t="s">
        <v>129</v>
      </c>
      <c r="C3" s="4" t="s">
        <v>237</v>
      </c>
      <c r="D3" s="4" t="s">
        <v>238</v>
      </c>
      <c r="E3" s="4" t="s">
        <v>239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</row>
    <row r="4" customFormat="false" ht="15" hidden="false" customHeight="false" outlineLevel="0" collapsed="false">
      <c r="A4" s="8" t="s">
        <v>246</v>
      </c>
      <c r="C4" s="15" t="n">
        <v>567000</v>
      </c>
      <c r="D4" s="15" t="n">
        <v>650130</v>
      </c>
      <c r="E4" s="15" t="n">
        <v>773654</v>
      </c>
      <c r="F4" s="20" t="n">
        <f aca="false">F5/0.525</f>
        <v>896993.752380952</v>
      </c>
      <c r="G4" s="20" t="n">
        <f aca="false">G5/0.525</f>
        <v>1004633.00266667</v>
      </c>
      <c r="H4" s="20" t="n">
        <f aca="false">H5/0.525</f>
        <v>1105096.30293333</v>
      </c>
      <c r="I4" s="20" t="n">
        <f aca="false">I5/0.525</f>
        <v>1204554.97019733</v>
      </c>
      <c r="J4" s="20" t="n">
        <f aca="false">J5/0.525</f>
        <v>1300919.36781312</v>
      </c>
    </row>
    <row r="5" customFormat="false" ht="15" hidden="false" customHeight="false" outlineLevel="0" collapsed="false">
      <c r="A5" s="8" t="s">
        <v>247</v>
      </c>
      <c r="C5" s="15" t="n">
        <v>301700</v>
      </c>
      <c r="D5" s="15" t="n">
        <v>349972</v>
      </c>
      <c r="E5" s="15" t="n">
        <v>405967</v>
      </c>
      <c r="F5" s="25" t="n">
        <f aca="false">'Driver Build'!E4</f>
        <v>470921.72</v>
      </c>
      <c r="G5" s="25" t="n">
        <f aca="false">'Driver Build'!F4</f>
        <v>527432.3264</v>
      </c>
      <c r="H5" s="25" t="n">
        <f aca="false">'Driver Build'!G4</f>
        <v>580175.55904</v>
      </c>
      <c r="I5" s="25" t="n">
        <f aca="false">'Driver Build'!H4</f>
        <v>632391.3593536</v>
      </c>
      <c r="J5" s="25" t="n">
        <f aca="false">'Driver Build'!I4</f>
        <v>682982.668101888</v>
      </c>
    </row>
    <row r="6" customFormat="false" ht="15" hidden="false" customHeight="false" outlineLevel="0" collapsed="false">
      <c r="A6" s="8" t="s">
        <v>248</v>
      </c>
      <c r="C6" s="15" t="n">
        <v>363000</v>
      </c>
      <c r="D6" s="15" t="n">
        <v>421000</v>
      </c>
      <c r="E6" s="15" t="n">
        <v>499775</v>
      </c>
      <c r="F6" s="20" t="n">
        <f aca="false">F5/0.812</f>
        <v>579952.857142857</v>
      </c>
      <c r="G6" s="20" t="n">
        <f aca="false">G5/0.812</f>
        <v>649547.2</v>
      </c>
      <c r="H6" s="20" t="n">
        <f aca="false">H5/0.812</f>
        <v>714501.92</v>
      </c>
      <c r="I6" s="20" t="n">
        <f aca="false">I5/0.812</f>
        <v>778807.0928</v>
      </c>
      <c r="J6" s="20" t="n">
        <f aca="false">J5/0.812</f>
        <v>841111.660224</v>
      </c>
    </row>
    <row r="8" customFormat="false" ht="15" hidden="false" customHeight="false" outlineLevel="0" collapsed="false">
      <c r="A8" s="3" t="s">
        <v>249</v>
      </c>
      <c r="C8" s="3" t="s">
        <v>250</v>
      </c>
      <c r="D8" s="3" t="s">
        <v>250</v>
      </c>
      <c r="E8" s="25" t="n">
        <f aca="false">Assumptions!$B$38</f>
        <v>78500</v>
      </c>
      <c r="F8" s="25" t="n">
        <f aca="false">'Driver Build'!E19</f>
        <v>87019.8603167247</v>
      </c>
      <c r="G8" s="25" t="n">
        <f aca="false">'Driver Build'!F19</f>
        <v>96429.5387132837</v>
      </c>
      <c r="H8" s="25" t="n">
        <f aca="false">'Driver Build'!G19</f>
        <v>107177.148329886</v>
      </c>
      <c r="I8" s="25" t="n">
        <f aca="false">'Driver Build'!H19</f>
        <v>119533.154436564</v>
      </c>
      <c r="J8" s="25" t="n">
        <f aca="false">'Driver Build'!I19</f>
        <v>133394.150293909</v>
      </c>
    </row>
    <row r="9" customFormat="false" ht="15" hidden="false" customHeight="false" outlineLevel="0" collapsed="false">
      <c r="A9" s="3" t="s">
        <v>150</v>
      </c>
      <c r="F9" s="25" t="n">
        <f aca="false">'Driver Build'!E23</f>
        <v>565000</v>
      </c>
      <c r="G9" s="25" t="n">
        <f aca="false">'Driver Build'!F23</f>
        <v>627150</v>
      </c>
      <c r="H9" s="25" t="n">
        <f aca="false">'Driver Build'!G23</f>
        <v>686729.25</v>
      </c>
      <c r="I9" s="25" t="n">
        <f aca="false">'Driver Build'!H23</f>
        <v>745101.23625</v>
      </c>
      <c r="J9" s="25" t="n">
        <f aca="false">'Driver Build'!I23</f>
        <v>800983.82896875</v>
      </c>
    </row>
    <row r="10" customFormat="false" ht="15" hidden="false" customHeight="false" outlineLevel="0" collapsed="false">
      <c r="A10" s="3" t="s">
        <v>251</v>
      </c>
      <c r="F10" s="31" t="n">
        <f aca="false">Assumptions!E29</f>
        <v>0.136</v>
      </c>
      <c r="G10" s="31" t="n">
        <f aca="false">Assumptions!F29</f>
        <v>0.134</v>
      </c>
      <c r="H10" s="31" t="n">
        <f aca="false">Assumptions!G29</f>
        <v>0.132</v>
      </c>
      <c r="I10" s="31" t="n">
        <f aca="false">Assumptions!H29</f>
        <v>0.13</v>
      </c>
      <c r="J10" s="31" t="n">
        <f aca="false">Assumptions!I29</f>
        <v>0.1275</v>
      </c>
    </row>
    <row r="12" customFormat="false" ht="15" hidden="false" customHeight="false" outlineLevel="0" collapsed="false">
      <c r="A12" s="13" t="s">
        <v>252</v>
      </c>
    </row>
    <row r="13" customFormat="false" ht="15" hidden="false" customHeight="false" outlineLevel="0" collapsed="false">
      <c r="A13" s="13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4" t="s">
        <v>255</v>
      </c>
    </row>
    <row r="3" customFormat="false" ht="15" hidden="false" customHeight="false" outlineLevel="0" collapsed="false">
      <c r="A3" s="24"/>
      <c r="E3" s="4" t="s">
        <v>65</v>
      </c>
      <c r="F3" s="4" t="s">
        <v>66</v>
      </c>
      <c r="G3" s="4" t="s">
        <v>67</v>
      </c>
      <c r="H3" s="4" t="s">
        <v>68</v>
      </c>
      <c r="I3" s="4" t="s">
        <v>69</v>
      </c>
    </row>
    <row r="4" customFormat="false" ht="15" hidden="false" customHeight="false" outlineLevel="0" collapsed="false">
      <c r="A4" s="3" t="s">
        <v>142</v>
      </c>
      <c r="E4" s="25" t="n">
        <f aca="false">'Driver Build'!E14</f>
        <v>13741.7101882656</v>
      </c>
      <c r="F4" s="25" t="n">
        <f aca="false">'Driver Build'!F14</f>
        <v>14935.9974548556</v>
      </c>
      <c r="G4" s="25" t="n">
        <f aca="false">'Driver Build'!G14</f>
        <v>16793.1400259407</v>
      </c>
      <c r="H4" s="25" t="n">
        <f aca="false">'Driver Build'!H14</f>
        <v>18721.2213737543</v>
      </c>
      <c r="I4" s="25" t="n">
        <f aca="false">'Driver Build'!I14</f>
        <v>20688.053518426</v>
      </c>
    </row>
    <row r="5" customFormat="false" ht="15" hidden="false" customHeight="false" outlineLevel="0" collapsed="false">
      <c r="A5" s="3" t="s">
        <v>256</v>
      </c>
      <c r="E5" s="25" t="n">
        <f aca="false">-'Driver Build'!E17</f>
        <v>-5221.84987154093</v>
      </c>
      <c r="F5" s="25" t="n">
        <f aca="false">-'Driver Build'!F17</f>
        <v>-5526.31905829659</v>
      </c>
      <c r="G5" s="25" t="n">
        <f aca="false">-'Driver Build'!G17</f>
        <v>-6045.53040933864</v>
      </c>
      <c r="H5" s="25" t="n">
        <f aca="false">-'Driver Build'!H17</f>
        <v>-6365.21526707647</v>
      </c>
      <c r="I5" s="25" t="n">
        <f aca="false">-'Driver Build'!I17</f>
        <v>-6827.05766108058</v>
      </c>
    </row>
    <row r="6" customFormat="false" ht="15" hidden="false" customHeight="false" outlineLevel="0" collapsed="false">
      <c r="A6" s="3" t="s">
        <v>257</v>
      </c>
      <c r="E6" s="20" t="n">
        <f aca="false">E4+E5</f>
        <v>8519.86031672467</v>
      </c>
      <c r="F6" s="20" t="n">
        <f aca="false">F4+F5</f>
        <v>9409.67839655906</v>
      </c>
      <c r="G6" s="20" t="n">
        <f aca="false">G4+G5</f>
        <v>10747.609616602</v>
      </c>
      <c r="H6" s="20" t="n">
        <f aca="false">H4+H5</f>
        <v>12356.0061066779</v>
      </c>
      <c r="I6" s="20" t="n">
        <f aca="false">I4+I5</f>
        <v>13860.9958573454</v>
      </c>
    </row>
    <row r="7" customFormat="false" ht="15" hidden="false" customHeight="false" outlineLevel="0" collapsed="false">
      <c r="A7" s="3" t="s">
        <v>258</v>
      </c>
      <c r="E7" s="25" t="n">
        <f aca="false">'Driver Build'!E25</f>
        <v>7740</v>
      </c>
      <c r="F7" s="25" t="n">
        <f aca="false">'Driver Build'!F25</f>
        <v>7198.10000000001</v>
      </c>
      <c r="G7" s="25" t="n">
        <f aca="false">'Driver Build'!G25</f>
        <v>6610.16099999999</v>
      </c>
      <c r="H7" s="25" t="n">
        <f aca="false">'Driver Build'!H25</f>
        <v>6214.8997125</v>
      </c>
      <c r="I7" s="25" t="n">
        <f aca="false">'Driver Build'!I25</f>
        <v>5262.27748101563</v>
      </c>
    </row>
    <row r="8" customFormat="false" ht="15" hidden="false" customHeight="false" outlineLevel="0" collapsed="false">
      <c r="A8" s="3" t="s">
        <v>259</v>
      </c>
      <c r="E8" s="21" t="n">
        <f aca="false">E6-E7</f>
        <v>779.860316724673</v>
      </c>
      <c r="F8" s="21" t="n">
        <f aca="false">F6-F7</f>
        <v>2211.57839655905</v>
      </c>
      <c r="G8" s="21" t="n">
        <f aca="false">G6-G7</f>
        <v>4137.44861660203</v>
      </c>
      <c r="H8" s="21" t="n">
        <f aca="false">H6-H7</f>
        <v>6141.10639417785</v>
      </c>
      <c r="I8" s="21" t="n">
        <f aca="false">I6-I7</f>
        <v>8598.71837632979</v>
      </c>
    </row>
    <row r="10" customFormat="false" ht="15" hidden="false" customHeight="false" outlineLevel="0" collapsed="false">
      <c r="A10" s="13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false" outlineLevel="0" collapsed="false">
      <c r="A3" s="24"/>
      <c r="C3" s="4" t="s">
        <v>237</v>
      </c>
      <c r="D3" s="4" t="s">
        <v>238</v>
      </c>
      <c r="E3" s="4" t="s">
        <v>239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</row>
    <row r="4" customFormat="false" ht="15" hidden="false" customHeight="false" outlineLevel="0" collapsed="false">
      <c r="A4" s="8" t="s">
        <v>136</v>
      </c>
      <c r="C4" s="15" t="n">
        <v>16860</v>
      </c>
      <c r="D4" s="15" t="n">
        <v>19459</v>
      </c>
      <c r="E4" s="15" t="n">
        <v>22183</v>
      </c>
      <c r="F4" s="25" t="n">
        <f aca="false">'Driver Build'!E8</f>
        <v>24454.202448</v>
      </c>
      <c r="G4" s="25" t="n">
        <f aca="false">'Driver Build'!F8</f>
        <v>27118.441658912</v>
      </c>
      <c r="H4" s="25" t="n">
        <f aca="false">'Driver Build'!G8</f>
        <v>30087.1063754256</v>
      </c>
      <c r="I4" s="25" t="n">
        <f aca="false">'Driver Build'!H8</f>
        <v>33085.1603124923</v>
      </c>
      <c r="J4" s="25" t="n">
        <f aca="false">'Driver Build'!I8</f>
        <v>36156.9245748884</v>
      </c>
    </row>
    <row r="5" customFormat="false" ht="15" hidden="false" customHeight="false" outlineLevel="0" collapsed="false">
      <c r="A5" s="8" t="s">
        <v>142</v>
      </c>
      <c r="C5" s="15" t="n">
        <v>8207</v>
      </c>
      <c r="D5" s="15" t="n">
        <v>9419</v>
      </c>
      <c r="E5" s="15" t="n">
        <v>11445</v>
      </c>
      <c r="F5" s="25" t="n">
        <f aca="false">'Driver Build'!E14</f>
        <v>13741.7101882656</v>
      </c>
      <c r="G5" s="25" t="n">
        <f aca="false">'Driver Build'!F14</f>
        <v>14935.9974548556</v>
      </c>
      <c r="H5" s="25" t="n">
        <f aca="false">'Driver Build'!G14</f>
        <v>16793.1400259407</v>
      </c>
      <c r="I5" s="25" t="n">
        <f aca="false">'Driver Build'!H14</f>
        <v>18721.2213737543</v>
      </c>
      <c r="J5" s="25" t="n">
        <f aca="false">'Driver Build'!I14</f>
        <v>20688.053518426</v>
      </c>
    </row>
    <row r="6" customFormat="false" ht="15" hidden="false" customHeight="false" outlineLevel="0" collapsed="false">
      <c r="A6" s="8" t="s">
        <v>262</v>
      </c>
      <c r="C6" s="15" t="n">
        <v>301700</v>
      </c>
      <c r="D6" s="15" t="n">
        <v>349972</v>
      </c>
      <c r="E6" s="15" t="n">
        <v>405967</v>
      </c>
      <c r="F6" s="25" t="n">
        <f aca="false">'Driver Build'!E4</f>
        <v>470921.72</v>
      </c>
      <c r="G6" s="25" t="n">
        <f aca="false">'Driver Build'!F4</f>
        <v>527432.3264</v>
      </c>
      <c r="H6" s="25" t="n">
        <f aca="false">'Driver Build'!G4</f>
        <v>580175.55904</v>
      </c>
      <c r="I6" s="25" t="n">
        <f aca="false">'Driver Build'!H4</f>
        <v>632391.3593536</v>
      </c>
      <c r="J6" s="25" t="n">
        <f aca="false">'Driver Build'!I4</f>
        <v>682982.668101888</v>
      </c>
    </row>
    <row r="7" customFormat="false" ht="15" hidden="false" customHeight="false" outlineLevel="0" collapsed="false">
      <c r="A7" s="8" t="s">
        <v>248</v>
      </c>
      <c r="C7" s="15" t="n">
        <v>363000</v>
      </c>
      <c r="D7" s="15" t="n">
        <v>421000</v>
      </c>
      <c r="E7" s="15" t="n">
        <v>499775</v>
      </c>
      <c r="F7" s="25" t="n">
        <f aca="false">'Balance Sheet'!F6</f>
        <v>579952.857142857</v>
      </c>
      <c r="G7" s="25" t="n">
        <f aca="false">'Balance Sheet'!G6</f>
        <v>649547.2</v>
      </c>
      <c r="H7" s="25" t="n">
        <f aca="false">'Balance Sheet'!H6</f>
        <v>714501.92</v>
      </c>
      <c r="I7" s="25" t="n">
        <f aca="false">'Balance Sheet'!I6</f>
        <v>778807.0928</v>
      </c>
      <c r="J7" s="25" t="n">
        <f aca="false">'Balance Sheet'!J6</f>
        <v>841111.660224</v>
      </c>
    </row>
    <row r="8" customFormat="false" ht="15" hidden="false" customHeight="false" outlineLevel="0" collapsed="false">
      <c r="A8" s="8" t="s">
        <v>144</v>
      </c>
      <c r="C8" s="11" t="n">
        <v>0.56</v>
      </c>
      <c r="D8" s="11" t="n">
        <v>0.59</v>
      </c>
      <c r="E8" s="11" t="n">
        <v>0.63</v>
      </c>
      <c r="F8" s="5" t="n">
        <f aca="false">'Driver Build'!E16</f>
        <v>0.659976479660476</v>
      </c>
      <c r="G8" s="5" t="n">
        <f aca="false">'Driver Build'!F16</f>
        <v>0.698457574863007</v>
      </c>
      <c r="H8" s="5" t="n">
        <f aca="false">'Driver Build'!G16</f>
        <v>0.764079392435363</v>
      </c>
      <c r="I8" s="5" t="n">
        <f aca="false">'Driver Build'!H16</f>
        <v>0.804483558047331</v>
      </c>
      <c r="J8" s="5" t="n">
        <f aca="false">'Driver Build'!I16</f>
        <v>0.862854657341852</v>
      </c>
    </row>
    <row r="10" customFormat="false" ht="15" hidden="false" customHeight="false" outlineLevel="0" collapsed="false">
      <c r="A10" s="32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14" t="s">
        <v>265</v>
      </c>
    </row>
    <row r="3" customFormat="false" ht="15" hidden="false" customHeight="false" outlineLevel="0" collapsed="false">
      <c r="A3" s="4" t="s">
        <v>266</v>
      </c>
    </row>
    <row r="4" customFormat="false" ht="15" hidden="false" customHeight="false" outlineLevel="0" collapsed="false">
      <c r="A4" s="3" t="s">
        <v>267</v>
      </c>
      <c r="B4" s="3" t="s">
        <v>268</v>
      </c>
    </row>
    <row r="5" customFormat="false" ht="15" hidden="false" customHeight="false" outlineLevel="0" collapsed="false">
      <c r="A5" s="3" t="s">
        <v>269</v>
      </c>
      <c r="B5" s="3" t="s">
        <v>270</v>
      </c>
    </row>
    <row r="6" customFormat="false" ht="15" hidden="false" customHeight="false" outlineLevel="0" collapsed="false">
      <c r="A6" s="3" t="s">
        <v>271</v>
      </c>
      <c r="B6" s="3" t="s">
        <v>272</v>
      </c>
    </row>
    <row r="7" customFormat="false" ht="15" hidden="false" customHeight="false" outlineLevel="0" collapsed="false">
      <c r="A7" s="3" t="s">
        <v>273</v>
      </c>
      <c r="B7" s="3" t="s">
        <v>274</v>
      </c>
    </row>
    <row r="8" customFormat="false" ht="15" hidden="false" customHeight="false" outlineLevel="0" collapsed="false">
      <c r="A8" s="3" t="s">
        <v>275</v>
      </c>
      <c r="B8" s="3" t="s">
        <v>276</v>
      </c>
    </row>
    <row r="10" customFormat="false" ht="15" hidden="false" customHeight="false" outlineLevel="0" collapsed="false">
      <c r="A10" s="4" t="s">
        <v>277</v>
      </c>
      <c r="B10" s="4" t="s">
        <v>278</v>
      </c>
      <c r="C10" s="4" t="s">
        <v>279</v>
      </c>
    </row>
    <row r="11" customFormat="false" ht="15" hidden="false" customHeight="false" outlineLevel="0" collapsed="false">
      <c r="A11" s="3" t="s">
        <v>280</v>
      </c>
      <c r="B11" s="7" t="n">
        <v>13.28</v>
      </c>
      <c r="C11" s="7" t="n">
        <v>12.04</v>
      </c>
    </row>
    <row r="12" customFormat="false" ht="15" hidden="false" customHeight="false" outlineLevel="0" collapsed="false">
      <c r="A12" s="3" t="s">
        <v>281</v>
      </c>
      <c r="B12" s="7" t="n">
        <v>14.43</v>
      </c>
      <c r="C12" s="7" t="n">
        <v>13.95</v>
      </c>
    </row>
    <row r="13" customFormat="false" ht="15" hidden="false" customHeight="false" outlineLevel="0" collapsed="false">
      <c r="A13" s="3" t="s">
        <v>282</v>
      </c>
      <c r="B13" s="7" t="n">
        <v>15.09</v>
      </c>
      <c r="C13" s="7" t="n">
        <v>15.09</v>
      </c>
    </row>
    <row r="14" customFormat="false" ht="15" hidden="false" customHeight="false" outlineLevel="0" collapsed="false">
      <c r="A14" s="3" t="s">
        <v>283</v>
      </c>
      <c r="B14" s="7" t="n">
        <v>15.79</v>
      </c>
      <c r="C14" s="7" t="n">
        <v>16.32</v>
      </c>
    </row>
    <row r="15" customFormat="false" ht="15" hidden="false" customHeight="false" outlineLevel="0" collapsed="false">
      <c r="A15" s="3" t="s">
        <v>284</v>
      </c>
      <c r="B15" s="7" t="n">
        <v>17.2</v>
      </c>
      <c r="C15" s="7" t="n">
        <v>18.87</v>
      </c>
    </row>
    <row r="17" customFormat="false" ht="15" hidden="false" customHeight="false" outlineLevel="0" collapsed="false">
      <c r="A17" s="13" t="s">
        <v>285</v>
      </c>
    </row>
    <row r="18" customFormat="false" ht="15" hidden="false" customHeight="false" outlineLevel="0" collapsed="false">
      <c r="A18" s="13" t="s">
        <v>286</v>
      </c>
    </row>
    <row r="20" customFormat="false" ht="15" hidden="false" customHeight="false" outlineLevel="0" collapsed="false">
      <c r="A20" s="4" t="s">
        <v>287</v>
      </c>
    </row>
    <row r="21" customFormat="false" ht="15" hidden="false" customHeight="false" outlineLevel="0" collapsed="false">
      <c r="A21" s="3" t="s">
        <v>288</v>
      </c>
    </row>
    <row r="22" customFormat="false" ht="15" hidden="false" customHeight="false" outlineLevel="0" collapsed="false">
      <c r="A22" s="3" t="s">
        <v>289</v>
      </c>
    </row>
    <row r="23" customFormat="false" ht="15" hidden="false" customHeight="false" outlineLevel="0" collapsed="false">
      <c r="A23" s="3" t="s">
        <v>290</v>
      </c>
    </row>
    <row r="24" customFormat="false" ht="15" hidden="false" customHeight="false" outlineLevel="0" collapsed="false">
      <c r="A24" s="13" t="s">
        <v>291</v>
      </c>
    </row>
    <row r="25" customFormat="false" ht="15" hidden="false" customHeight="false" outlineLevel="0" collapsed="false">
      <c r="A25" s="13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false" outlineLevel="0" collapsed="false">
      <c r="A3" s="4" t="s">
        <v>294</v>
      </c>
      <c r="B3" s="4" t="s">
        <v>295</v>
      </c>
      <c r="C3" s="4" t="s">
        <v>296</v>
      </c>
      <c r="D3" s="4" t="s">
        <v>297</v>
      </c>
      <c r="E3" s="4" t="s">
        <v>298</v>
      </c>
    </row>
    <row r="4" customFormat="false" ht="15" hidden="false" customHeight="false" outlineLevel="0" collapsed="false">
      <c r="A4" s="3" t="s">
        <v>299</v>
      </c>
      <c r="B4" s="7" t="n">
        <v>21.2</v>
      </c>
      <c r="C4" s="7" t="n">
        <v>22</v>
      </c>
      <c r="D4" s="7" t="n">
        <v>22.9</v>
      </c>
      <c r="E4" s="7" t="n">
        <v>24</v>
      </c>
    </row>
    <row r="5" customFormat="false" ht="15" hidden="false" customHeight="false" outlineLevel="0" collapsed="false">
      <c r="A5" s="3" t="s">
        <v>300</v>
      </c>
      <c r="B5" s="7" t="n">
        <v>19.8</v>
      </c>
      <c r="C5" s="7" t="n">
        <v>20.4</v>
      </c>
      <c r="D5" s="7" t="n">
        <v>21.2</v>
      </c>
      <c r="E5" s="7" t="n">
        <v>22</v>
      </c>
    </row>
    <row r="6" customFormat="false" ht="15" hidden="false" customHeight="false" outlineLevel="0" collapsed="false">
      <c r="A6" s="3" t="s">
        <v>301</v>
      </c>
      <c r="B6" s="7" t="n">
        <v>18.6</v>
      </c>
      <c r="C6" s="7" t="n">
        <v>19.1</v>
      </c>
      <c r="D6" s="33" t="n">
        <v>19.7</v>
      </c>
      <c r="E6" s="7" t="n">
        <v>20.3</v>
      </c>
    </row>
    <row r="7" customFormat="false" ht="15" hidden="false" customHeight="false" outlineLevel="0" collapsed="false">
      <c r="A7" s="3" t="s">
        <v>302</v>
      </c>
      <c r="B7" s="7" t="n">
        <v>17.5</v>
      </c>
      <c r="C7" s="7" t="n">
        <v>17.9</v>
      </c>
      <c r="D7" s="7" t="n">
        <v>18.4</v>
      </c>
      <c r="E7" s="7" t="n">
        <v>18.9</v>
      </c>
    </row>
    <row r="8" customFormat="false" ht="15" hidden="false" customHeight="false" outlineLevel="0" collapsed="false">
      <c r="A8" s="3" t="s">
        <v>303</v>
      </c>
      <c r="B8" s="7" t="n">
        <v>16.5</v>
      </c>
      <c r="C8" s="7" t="n">
        <v>16.9</v>
      </c>
      <c r="D8" s="7" t="n">
        <v>17.3</v>
      </c>
      <c r="E8" s="7" t="n">
        <v>17.7</v>
      </c>
    </row>
    <row r="9" customFormat="false" ht="15" hidden="false" customHeight="false" outlineLevel="0" collapsed="false">
      <c r="A9" s="3" t="s">
        <v>304</v>
      </c>
      <c r="B9" s="7" t="n">
        <v>15.7</v>
      </c>
      <c r="C9" s="7" t="n">
        <v>16</v>
      </c>
      <c r="D9" s="7" t="n">
        <v>16.3</v>
      </c>
      <c r="E9" s="7" t="n">
        <v>16.6</v>
      </c>
    </row>
    <row r="11" customFormat="false" ht="15" hidden="false" customHeight="false" outlineLevel="0" collapsed="false">
      <c r="A11" s="4" t="s">
        <v>305</v>
      </c>
      <c r="B11" s="4" t="s">
        <v>295</v>
      </c>
      <c r="C11" s="4" t="s">
        <v>296</v>
      </c>
      <c r="D11" s="4" t="s">
        <v>297</v>
      </c>
      <c r="E11" s="4" t="s">
        <v>298</v>
      </c>
    </row>
    <row r="12" customFormat="false" ht="15" hidden="false" customHeight="false" outlineLevel="0" collapsed="false">
      <c r="A12" s="3" t="s">
        <v>299</v>
      </c>
      <c r="B12" s="7" t="n">
        <v>23.5</v>
      </c>
      <c r="C12" s="7" t="n">
        <v>24.4</v>
      </c>
      <c r="D12" s="7" t="n">
        <v>25.4</v>
      </c>
      <c r="E12" s="7" t="n">
        <v>26.6</v>
      </c>
    </row>
    <row r="13" customFormat="false" ht="15" hidden="false" customHeight="false" outlineLevel="0" collapsed="false">
      <c r="A13" s="3" t="s">
        <v>300</v>
      </c>
      <c r="B13" s="7" t="n">
        <v>21.6</v>
      </c>
      <c r="C13" s="7" t="n">
        <v>22.3</v>
      </c>
      <c r="D13" s="7" t="n">
        <v>23</v>
      </c>
      <c r="E13" s="7" t="n">
        <v>23.9</v>
      </c>
    </row>
    <row r="14" customFormat="false" ht="15" hidden="false" customHeight="false" outlineLevel="0" collapsed="false">
      <c r="A14" s="3" t="s">
        <v>301</v>
      </c>
      <c r="B14" s="7" t="n">
        <v>19.9</v>
      </c>
      <c r="C14" s="7" t="n">
        <v>20.4</v>
      </c>
      <c r="D14" s="7" t="n">
        <v>21</v>
      </c>
      <c r="E14" s="7" t="n">
        <v>21.7</v>
      </c>
    </row>
    <row r="15" customFormat="false" ht="15" hidden="false" customHeight="false" outlineLevel="0" collapsed="false">
      <c r="A15" s="3" t="s">
        <v>302</v>
      </c>
      <c r="B15" s="7" t="n">
        <v>18.5</v>
      </c>
      <c r="C15" s="7" t="n">
        <v>18.9</v>
      </c>
      <c r="D15" s="7" t="n">
        <v>19.3</v>
      </c>
      <c r="E15" s="7" t="n">
        <v>19.9</v>
      </c>
    </row>
    <row r="16" customFormat="false" ht="15" hidden="false" customHeight="false" outlineLevel="0" collapsed="false">
      <c r="A16" s="3" t="s">
        <v>303</v>
      </c>
      <c r="B16" s="7" t="n">
        <v>17.2</v>
      </c>
      <c r="C16" s="7" t="n">
        <v>17.5</v>
      </c>
      <c r="D16" s="7" t="n">
        <v>17.9</v>
      </c>
      <c r="E16" s="7" t="n">
        <v>18.3</v>
      </c>
    </row>
    <row r="17" customFormat="false" ht="15" hidden="false" customHeight="false" outlineLevel="0" collapsed="false">
      <c r="A17" s="3" t="s">
        <v>304</v>
      </c>
      <c r="B17" s="7" t="n">
        <v>16.1</v>
      </c>
      <c r="C17" s="7" t="n">
        <v>16.3</v>
      </c>
      <c r="D17" s="7" t="n">
        <v>16.6</v>
      </c>
      <c r="E17" s="7" t="n">
        <v>16.9</v>
      </c>
    </row>
    <row r="19" customFormat="false" ht="15" hidden="false" customHeight="false" outlineLevel="0" collapsed="false">
      <c r="A19" s="4" t="s">
        <v>306</v>
      </c>
    </row>
    <row r="20" customFormat="false" ht="15" hidden="false" customHeight="false" outlineLevel="0" collapsed="false">
      <c r="A20" s="8" t="s">
        <v>307</v>
      </c>
      <c r="B20" s="3" t="s">
        <v>308</v>
      </c>
    </row>
    <row r="21" customFormat="false" ht="15" hidden="false" customHeight="false" outlineLevel="0" collapsed="false">
      <c r="A21" s="8" t="s">
        <v>309</v>
      </c>
      <c r="B21" s="3" t="s">
        <v>310</v>
      </c>
    </row>
    <row r="22" customFormat="false" ht="15" hidden="false" customHeight="false" outlineLevel="0" collapsed="false">
      <c r="A22" s="8" t="s">
        <v>311</v>
      </c>
      <c r="B22" s="3" t="s">
        <v>312</v>
      </c>
    </row>
    <row r="23" customFormat="false" ht="15" hidden="false" customHeight="false" outlineLevel="0" collapsed="false">
      <c r="A23" s="8" t="s">
        <v>313</v>
      </c>
      <c r="B23" s="3" t="s">
        <v>314</v>
      </c>
    </row>
    <row r="24" customFormat="false" ht="15" hidden="false" customHeight="false" outlineLevel="0" collapsed="false">
      <c r="A24" s="8" t="s">
        <v>315</v>
      </c>
      <c r="B24" s="3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.5"/>
  </cols>
  <sheetData>
    <row r="1" customFormat="false" ht="16.15" hidden="false" customHeight="false" outlineLevel="0" collapsed="false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false" outlineLevel="0" collapsed="false">
      <c r="A3" s="24"/>
      <c r="C3" s="4" t="s">
        <v>237</v>
      </c>
      <c r="D3" s="4" t="s">
        <v>238</v>
      </c>
      <c r="E3" s="4" t="s">
        <v>239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</row>
    <row r="4" customFormat="false" ht="15" hidden="false" customHeight="false" outlineLevel="0" collapsed="false">
      <c r="A4" s="3" t="s">
        <v>143</v>
      </c>
      <c r="C4" s="11" t="n">
        <v>1.12</v>
      </c>
      <c r="D4" s="11" t="n">
        <v>1.29</v>
      </c>
      <c r="E4" s="11" t="n">
        <v>1.45</v>
      </c>
      <c r="F4" s="5" t="n">
        <f aca="false">'Driver Build'!E15</f>
        <v>1.73678020963283</v>
      </c>
      <c r="G4" s="5" t="n">
        <f aca="false">'Driver Build'!F15</f>
        <v>1.88772317530542</v>
      </c>
      <c r="H4" s="5" t="n">
        <f aca="false">'Driver Build'!G15</f>
        <v>2.1224427567649</v>
      </c>
      <c r="I4" s="5" t="n">
        <f aca="false">'Driver Build'!H15</f>
        <v>2.36612811190392</v>
      </c>
      <c r="J4" s="5" t="n">
        <f aca="false">'Driver Build'!I15</f>
        <v>2.6147110828541</v>
      </c>
    </row>
    <row r="5" customFormat="false" ht="15" hidden="false" customHeight="false" outlineLevel="0" collapsed="false">
      <c r="A5" s="3" t="s">
        <v>144</v>
      </c>
      <c r="C5" s="11" t="n">
        <v>0.56</v>
      </c>
      <c r="D5" s="11" t="n">
        <v>0.59</v>
      </c>
      <c r="E5" s="11" t="n">
        <v>0.63</v>
      </c>
      <c r="F5" s="5" t="n">
        <f aca="false">'Driver Build'!E16</f>
        <v>0.659976479660476</v>
      </c>
      <c r="G5" s="5" t="n">
        <f aca="false">'Driver Build'!F16</f>
        <v>0.698457574863007</v>
      </c>
      <c r="H5" s="5" t="n">
        <f aca="false">'Driver Build'!G16</f>
        <v>0.764079392435363</v>
      </c>
      <c r="I5" s="5" t="n">
        <f aca="false">'Driver Build'!H16</f>
        <v>0.804483558047331</v>
      </c>
      <c r="J5" s="5" t="n">
        <f aca="false">'Driver Build'!I16</f>
        <v>0.862854657341852</v>
      </c>
    </row>
    <row r="6" customFormat="false" ht="15" hidden="false" customHeight="false" outlineLevel="0" collapsed="false">
      <c r="A6" s="3" t="s">
        <v>318</v>
      </c>
      <c r="C6" s="3" t="s">
        <v>250</v>
      </c>
      <c r="D6" s="3" t="s">
        <v>250</v>
      </c>
      <c r="E6" s="3" t="s">
        <v>250</v>
      </c>
      <c r="F6" s="5" t="n">
        <f aca="false">'Driver Build'!E19/Assumptions!$B$6</f>
        <v>10.9982214129474</v>
      </c>
      <c r="G6" s="5" t="n">
        <f aca="false">'Driver Build'!F19/Assumptions!$B$6</f>
        <v>12.1874870133899</v>
      </c>
      <c r="H6" s="5" t="n">
        <f aca="false">'Driver Build'!G19/Assumptions!$B$6</f>
        <v>13.5458503777194</v>
      </c>
      <c r="I6" s="5" t="n">
        <f aca="false">'Driver Build'!H19/Assumptions!$B$6</f>
        <v>15.107494931576</v>
      </c>
      <c r="J6" s="5" t="n">
        <f aca="false">'Driver Build'!I19/Assumptions!$B$6</f>
        <v>16.8593513570882</v>
      </c>
    </row>
    <row r="7" customFormat="false" ht="15" hidden="false" customHeight="false" outlineLevel="0" collapsed="false">
      <c r="A7" s="3" t="s">
        <v>319</v>
      </c>
      <c r="C7" s="27" t="n">
        <f aca="false">Assumptions!$B$5/C4</f>
        <v>13.4821428571429</v>
      </c>
      <c r="D7" s="27" t="n">
        <f aca="false">Assumptions!$B$5/D4</f>
        <v>11.7054263565891</v>
      </c>
      <c r="E7" s="27" t="n">
        <f aca="false">Assumptions!$B$5/E4</f>
        <v>10.4137931034483</v>
      </c>
      <c r="F7" s="27" t="n">
        <f aca="false">Assumptions!$B$5/F4</f>
        <v>8.69424922983908</v>
      </c>
      <c r="G7" s="27" t="n">
        <f aca="false">Assumptions!$B$5/G4</f>
        <v>7.99905420325038</v>
      </c>
      <c r="H7" s="27" t="n">
        <f aca="false">Assumptions!$B$5/H4</f>
        <v>7.11444393582419</v>
      </c>
      <c r="I7" s="27" t="n">
        <f aca="false">Assumptions!$B$5/I4</f>
        <v>6.38173390698178</v>
      </c>
      <c r="J7" s="27" t="n">
        <f aca="false">Assumptions!$B$5/J4</f>
        <v>5.77501663530547</v>
      </c>
    </row>
    <row r="8" customFormat="false" ht="15" hidden="false" customHeight="false" outlineLevel="0" collapsed="false">
      <c r="A8" s="3" t="s">
        <v>320</v>
      </c>
      <c r="C8" s="3" t="s">
        <v>250</v>
      </c>
      <c r="D8" s="3" t="s">
        <v>250</v>
      </c>
      <c r="E8" s="3" t="s">
        <v>250</v>
      </c>
      <c r="F8" s="27" t="n">
        <f aca="false">Assumptions!$B$5/F6</f>
        <v>1.37294926452597</v>
      </c>
      <c r="G8" s="27" t="n">
        <f aca="false">Assumptions!$B$5/G6</f>
        <v>1.23897567918721</v>
      </c>
      <c r="H8" s="27" t="n">
        <f aca="false">Assumptions!$B$5/H6</f>
        <v>1.11473252538186</v>
      </c>
      <c r="I8" s="27" t="n">
        <f aca="false">Assumptions!$B$5/I6</f>
        <v>0.999503893159658</v>
      </c>
      <c r="J8" s="27" t="n">
        <f aca="false">Assumptions!$B$5/J6</f>
        <v>0.895645370938394</v>
      </c>
    </row>
    <row r="9" customFormat="false" ht="15" hidden="false" customHeight="false" outlineLevel="0" collapsed="false">
      <c r="A9" s="3" t="s">
        <v>321</v>
      </c>
      <c r="C9" s="29" t="n">
        <f aca="false">C5/Assumptions!$B$5</f>
        <v>0.0370860927152318</v>
      </c>
      <c r="D9" s="29" t="n">
        <f aca="false">D5/Assumptions!$B$5</f>
        <v>0.0390728476821192</v>
      </c>
      <c r="E9" s="29" t="n">
        <f aca="false">E5/Assumptions!$B$5</f>
        <v>0.0417218543046358</v>
      </c>
      <c r="F9" s="29" t="n">
        <f aca="false">F5/Assumptions!$B$5</f>
        <v>0.0437070516331441</v>
      </c>
      <c r="G9" s="29" t="n">
        <f aca="false">G5/Assumptions!$B$5</f>
        <v>0.046255468533974</v>
      </c>
      <c r="H9" s="29" t="n">
        <f aca="false">H5/Assumptions!$B$5</f>
        <v>0.0506012842672426</v>
      </c>
      <c r="I9" s="29" t="n">
        <f aca="false">I5/Assumptions!$B$5</f>
        <v>0.0532770568243266</v>
      </c>
      <c r="J9" s="29" t="n">
        <f aca="false">J5/Assumptions!$B$5</f>
        <v>0.0571426925391955</v>
      </c>
    </row>
    <row r="10" customFormat="false" ht="15" hidden="false" customHeight="false" outlineLevel="0" collapsed="false">
      <c r="A10" s="3" t="s">
        <v>148</v>
      </c>
      <c r="C10" s="17" t="s">
        <v>250</v>
      </c>
      <c r="D10" s="17" t="n">
        <v>0.14</v>
      </c>
      <c r="E10" s="17" t="n">
        <v>0.153</v>
      </c>
      <c r="F10" s="31" t="n">
        <f aca="false">'Driver Build'!E20</f>
        <v>0.166043037517922</v>
      </c>
      <c r="G10" s="31" t="n">
        <f aca="false">'Driver Build'!F20</f>
        <v>0.16283506551485</v>
      </c>
      <c r="H10" s="31" t="n">
        <f aca="false">'Driver Build'!G20</f>
        <v>0.164956664928987</v>
      </c>
      <c r="I10" s="31" t="n">
        <f aca="false">'Driver Build'!H20</f>
        <v>0.165155452975072</v>
      </c>
      <c r="J10" s="31" t="n">
        <f aca="false">'Driver Build'!I20</f>
        <v>0.163588929558015</v>
      </c>
    </row>
    <row r="11" customFormat="false" ht="15" hidden="false" customHeight="false" outlineLevel="0" collapsed="false">
      <c r="A11" s="3" t="s">
        <v>322</v>
      </c>
      <c r="C11" s="17" t="n">
        <v>0.307</v>
      </c>
      <c r="D11" s="17" t="n">
        <v>0.31</v>
      </c>
      <c r="E11" s="17" t="n">
        <v>0.282</v>
      </c>
      <c r="F11" s="31" t="n">
        <f aca="false">Assumptions!E24</f>
        <v>0.27</v>
      </c>
      <c r="G11" s="31" t="n">
        <f aca="false">Assumptions!F24</f>
        <v>0.26</v>
      </c>
      <c r="H11" s="31" t="n">
        <f aca="false">Assumptions!G24</f>
        <v>0.255</v>
      </c>
      <c r="I11" s="31" t="n">
        <f aca="false">Assumptions!H24</f>
        <v>0.25</v>
      </c>
      <c r="J11" s="31" t="n">
        <f aca="false">Assumptions!I24</f>
        <v>0.245</v>
      </c>
    </row>
    <row r="12" customFormat="false" ht="15" hidden="false" customHeight="false" outlineLevel="0" collapsed="false">
      <c r="A12" s="3" t="s">
        <v>323</v>
      </c>
      <c r="C12" s="17" t="n">
        <v>0.0283</v>
      </c>
      <c r="D12" s="17" t="n">
        <v>0.0258</v>
      </c>
      <c r="E12" s="17" t="n">
        <v>0.0245</v>
      </c>
      <c r="F12" s="31" t="n">
        <f aca="false">Assumptions!E22</f>
        <v>0.023</v>
      </c>
      <c r="G12" s="31" t="n">
        <f aca="false">Assumptions!F22</f>
        <v>0.0226</v>
      </c>
      <c r="H12" s="31" t="n">
        <f aca="false">Assumptions!G22</f>
        <v>0.0228</v>
      </c>
      <c r="I12" s="31" t="n">
        <f aca="false">Assumptions!H22</f>
        <v>0.023</v>
      </c>
      <c r="J12" s="31" t="n">
        <f aca="false">Assumptions!I22</f>
        <v>0.0232</v>
      </c>
    </row>
    <row r="13" customFormat="false" ht="15" hidden="false" customHeight="false" outlineLevel="0" collapsed="false">
      <c r="A13" s="3" t="s">
        <v>324</v>
      </c>
      <c r="C13" s="17" t="n">
        <v>0.0373</v>
      </c>
      <c r="D13" s="17" t="n">
        <v>0.0304</v>
      </c>
      <c r="E13" s="17" t="n">
        <v>0.0183</v>
      </c>
      <c r="F13" s="3" t="s">
        <v>250</v>
      </c>
      <c r="G13" s="3" t="s">
        <v>250</v>
      </c>
      <c r="H13" s="3" t="s">
        <v>250</v>
      </c>
      <c r="I13" s="3" t="s">
        <v>250</v>
      </c>
      <c r="J13" s="3" t="s">
        <v>250</v>
      </c>
    </row>
    <row r="15" customFormat="false" ht="15" hidden="false" customHeight="false" outlineLevel="0" collapsed="false">
      <c r="A15" s="13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2"/>
    <col collapsed="false" customWidth="true" hidden="false" outlineLevel="0" max="3" min="3" style="0" width="44"/>
    <col collapsed="false" customWidth="true" hidden="false" outlineLevel="0" max="10" min="4" style="0" width="12.5"/>
  </cols>
  <sheetData>
    <row r="1" customFormat="false" ht="16.15" hidden="false" customHeight="false" outlineLevel="0" collapsed="false">
      <c r="A1" s="1" t="s">
        <v>326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false" outlineLevel="0" collapsed="false">
      <c r="A3" s="4" t="s">
        <v>327</v>
      </c>
      <c r="B3" s="4" t="s">
        <v>328</v>
      </c>
      <c r="C3" s="4" t="s">
        <v>329</v>
      </c>
    </row>
    <row r="4" customFormat="false" ht="15" hidden="false" customHeight="false" outlineLevel="0" collapsed="false">
      <c r="A4" s="3" t="s">
        <v>330</v>
      </c>
      <c r="B4" s="3" t="s">
        <v>331</v>
      </c>
      <c r="C4" s="3" t="s">
        <v>332</v>
      </c>
    </row>
    <row r="5" customFormat="false" ht="15" hidden="false" customHeight="false" outlineLevel="0" collapsed="false">
      <c r="A5" s="3" t="s">
        <v>333</v>
      </c>
      <c r="B5" s="3" t="s">
        <v>334</v>
      </c>
      <c r="C5" s="3" t="s">
        <v>335</v>
      </c>
    </row>
    <row r="6" customFormat="false" ht="15" hidden="false" customHeight="false" outlineLevel="0" collapsed="false">
      <c r="A6" s="3" t="s">
        <v>336</v>
      </c>
      <c r="B6" s="3" t="s">
        <v>337</v>
      </c>
      <c r="C6" s="3" t="s">
        <v>338</v>
      </c>
    </row>
    <row r="7" customFormat="false" ht="15" hidden="false" customHeight="false" outlineLevel="0" collapsed="false">
      <c r="A7" s="3" t="s">
        <v>339</v>
      </c>
      <c r="B7" s="3" t="s">
        <v>340</v>
      </c>
      <c r="C7" s="3" t="s">
        <v>341</v>
      </c>
    </row>
    <row r="8" customFormat="false" ht="15" hidden="false" customHeight="false" outlineLevel="0" collapsed="false">
      <c r="A8" s="3" t="s">
        <v>342</v>
      </c>
      <c r="B8" s="3" t="s">
        <v>343</v>
      </c>
      <c r="C8" s="3" t="s">
        <v>344</v>
      </c>
    </row>
    <row r="10" customFormat="false" ht="15" hidden="false" customHeight="false" outlineLevel="0" collapsed="false">
      <c r="A10" s="13" t="s">
        <v>345</v>
      </c>
    </row>
    <row r="11" customFormat="false" ht="15" hidden="false" customHeight="false" outlineLevel="0" collapsed="false">
      <c r="A11" s="13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2026-07-11T07:59:25Z</dcterms:created>
  <dc:creator>openpyxl</dc:creator>
  <dc:description/>
  <dc:language>en-US</dc:language>
  <cp:lastModifiedBy/>
  <dcterms:modified xsi:type="dcterms:W3CDTF">2026-07-11T07:59:25Z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