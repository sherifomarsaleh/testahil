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<sst xmlns="http://schemas.openxmlformats.org/spreadsheetml/2006/main" count="442" uniqueCount="374">
  <si>
    <t xml:space="preserve">Testahil — GB Corp S.A.E. (EGX: GBCO)</t>
  </si>
  <si>
    <t xml:space="preserve">Companion model · Independent Valuation Study · Educational analysis · Not investment advice</t>
  </si>
  <si>
    <t xml:space="preserve">What this workbook is. A transparent companion to the GBCO valuation study. Every blue cell is an input; every</t>
  </si>
  <si>
    <t xml:space="preserve">black cell is a formula; green cells link across sheets. All inputs live on the Assumptions sheet — change one</t>
  </si>
  <si>
    <t xml:space="preserve">(the complexity discount, the Auto gross margin, a growth rate, the GB Capital multiple)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</si>
  <si>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</si>
  <si>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</si>
  <si>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Entity note. GB Corp S.A.E. (formerly GB Auto / Ghabbour Auto; renamed March 2023) is an operating company with a</t>
  </si>
  <si>
    <t xml:space="preserve">captive finance arm: GB Auto (passenger cars, CV&amp;CE, trading, light mobility; Egypt · Iraq · Jordan) plus GB Capital</t>
  </si>
  <si>
    <t xml:space="preserve">(leasing, factoring, consumer finance, SME lending) and associate stakes in MNT-Halan, Bedaya and Kaf.</t>
  </si>
  <si>
    <t xml:space="preserve">House lens: split the legs — Auto = FCFF DCF; captive lender = adjusted book × a return-justified multiple;</t>
  </si>
  <si>
    <t xml:space="preserve">the fintech associate = balance-sheet carrying value cross-checked to the June-2026 USD 1.4bn funding round.</t>
  </si>
  <si>
    <t xml:space="preserve">Currency. EGP million unless stated. Spot EGP 31.25 (7 Jul 2026 close). Historical financials are company disclosure</t>
  </si>
  <si>
    <t xml:space="preserve">(FY23–FY25 earnings releases; 1Q26 release 14 May 2026). Some consolidated balance-sheet lines are grouped from the</t>
  </si>
  <si>
    <t xml:space="preserve">disclosed segment balance sheets to a house layout — flagged on the Balance Sheet.</t>
  </si>
  <si>
    <t xml:space="preserve">Sheets: Summary · Fundamental Valuation · Assumptions · SOTP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</si>
  <si>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</si>
  <si>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GB Corp (EGX: GBCO)</t>
  </si>
  <si>
    <t xml:space="preserve">Four-lens fair value vs spot. Base links live; bear/bull are scenario outputs (study §1.5).</t>
  </si>
  <si>
    <t xml:space="preserve">Bear</t>
  </si>
  <si>
    <t xml:space="preserve">Base</t>
  </si>
  <si>
    <t xml:space="preserve">Bull</t>
  </si>
  <si>
    <t xml:space="preserve">Weight</t>
  </si>
  <si>
    <t xml:space="preserve">Sum-of-the-parts (split legs)</t>
  </si>
  <si>
    <t xml:space="preserve">Pre-discount NAV (DCF-anchored)</t>
  </si>
  <si>
    <t xml:space="preserve">Relative multiples</t>
  </si>
  <si>
    <t xml:space="preserve">Normalized earnings</t>
  </si>
  <si>
    <t xml:space="preserve">Weighted central</t>
  </si>
  <si>
    <t xml:space="preserve">Spot price (EGP)</t>
  </si>
  <si>
    <t xml:space="preserve">Upside to central base</t>
  </si>
  <si>
    <t xml:space="preserve">Read: roughly fairly valued — the price already pays for the recovery; the swing is Auto cash conversion (working capital), the Egyptian nominal rate path, and the complexity discount.</t>
  </si>
  <si>
    <t xml:space="preserve">Fundamental valuation — football-field data</t>
  </si>
  <si>
    <t xml:space="preserve">Bear/base/bull per lens (links to Summary).</t>
  </si>
  <si>
    <t xml:space="preserve">Lens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</si>
  <si>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</si>
  <si>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</si>
  <si>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</si>
  <si>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</si>
  <si>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(EGP/share)</t>
  </si>
  <si>
    <t xml:space="preserve">Shares outstanding (mn)</t>
  </si>
  <si>
    <t xml:space="preserve">Tax rate</t>
  </si>
  <si>
    <t xml:space="preserve">COST OF CAPITAL — bottom-up, sourced (house rule §3.5-G, rebuilt 09-07-2026; full detail row 82+)</t>
  </si>
  <si>
    <t xml:space="preserve">Risk-free rate (Egypt 10Y local govt bond, 3-Jul-2026)</t>
  </si>
  <si>
    <t xml:space="preserve">SOURCE: investing.com, "Egypt 10-Year Bond Yield Historical Data" — market quote, per Damodaran's own stated method (use the local bond yield directly when a liquid local market exists).</t>
  </si>
  <si>
    <t xml:space="preserve">Equity beta (see row 86 for why =1.0)</t>
  </si>
  <si>
    <t xml:space="preserve">CORRECTED 09-07-2026: was 0.95 (unsourced "house band" guess). A genuine GBCO-vs-EGX30 regression was attempted (n=5 annual: beta=-0.15, R2=0.008, unusable; higher-frequency EGX30 data inaccessible via available tools) and rejected. Beta=1.0 per standing instruction when no reliable regression is obtainable — see wacc_builder.py.</t>
  </si>
  <si>
    <t xml:space="preserve">Equity risk premium — Egypt, CDS-based (primary; rating-based alt. at row 84)</t>
  </si>
  <si>
    <t xml:space="preserve">CORRECTED 09-07-2026: was 0.07 (flat unsourced house number), then briefly 0.1487 (WRONG — a secondary source's misquote). Verified against Damodaran's own ORIGINAL file (ctryprem.html), Egypt row, "Last updated January 2026": country risk premium 9.71% + mature-market ERP 4.23% = 13.94%.</t>
  </si>
  <si>
    <t xml:space="preserve">Cost of equity Ke = rf + β × ERP</t>
  </si>
  <si>
    <t xml:space="preserve">Same Damodaran original file, CDS column — uses Egypt's actual sovereign CDS spread (3.41%), more current than the rating-based figure since CDS prices continuously.</t>
  </si>
  <si>
    <t xml:space="preserve">Pre-tax cost of debt (EGP; ~100% of debt is EGP-denominated, row 88)</t>
  </si>
  <si>
    <t xml:space="preserve">Primary Ke, used in the base-case WACC below.</t>
  </si>
  <si>
    <t xml:space="preserve">After-tax Kd</t>
  </si>
  <si>
    <t xml:space="preserve">Debt weight D/(D+E) — sourced, row 89</t>
  </si>
  <si>
    <t xml:space="preserve">CORRECTED 09-07-2026: was 0.21 (flat unsourced guess). SOURCE: CBE weighted-average EGP bank lending rate, &lt;12mo tenor, Feb-2026 (CEIC/TradingEconomics quoting CBE); cross-checked against CBE's own overnight lending-rate ceiling 20.0% (held since the Apr-2026 policy pause). Currency mix: 5 separately disclosed GB Corp/GB Capital financing facilities found (Drive Finance EGP5bn syndication, Ghabbour Egypt EGP1.2bn Sadat facility, GB Lease EGP4.16bn securitization, Drive Finance EGP2.4bn bond, GB Capital Securitization EGP28.8bn book) are ALL EGP-denominated; zero USD facilities found in any search — treated as ~100% local currency.</t>
  </si>
  <si>
    <t xml:space="preserve">WACC</t>
  </si>
  <si>
    <t xml:space="preserve">Terminal growth (nominal EGP)</t>
  </si>
  <si>
    <t xml:space="preserve">CORRECTED 09-07-2026: was 0.35 (assumed, not computed). Market cap = spot(31.25) x shares(1,085.5mn) = 33,922; total debt = FY25 disclosed consolidated borrowings (38,041.4). D/(D+E) = 38,041.4/(33,922+38,041.4).</t>
  </si>
  <si>
    <t xml:space="preserve">SOTP — the three legs (split-the-legs, §3.5-F5)</t>
  </si>
  <si>
    <t xml:space="preserve">GB Auto net debt (31 Dec 2025)</t>
  </si>
  <si>
    <t xml:space="preserve">disclosed; 1Q26 ND/EBITDA 2.14x</t>
  </si>
  <si>
    <t xml:space="preserve">GB Auto non-controlling interests</t>
  </si>
  <si>
    <t xml:space="preserve">GB Capital adjusted operating equity</t>
  </si>
  <si>
    <t xml:space="preserve">from disclosed adjusted-ROAE basis (NP 1,366 / 15.1%)</t>
  </si>
  <si>
    <t xml:space="preserve">GB Capital multiple (× adjusted book)</t>
  </si>
  <si>
    <t xml:space="preserve">return-justified ~1× book</t>
  </si>
  <si>
    <t xml:space="preserve">Associates carrying value (MNT-Halan + Bedaya + Kaf)</t>
  </si>
  <si>
    <t xml:space="preserve">FY25 carrying 13,689.5 — split in the MNT-Halan detail block (rows 75–80)</t>
  </si>
  <si>
    <t xml:space="preserve">Associates mark (× carrying)</t>
  </si>
  <si>
    <t xml:space="preserve">Complexity / conglomerate discount</t>
  </si>
  <si>
    <t xml:space="preserve">sensitized 0–20%</t>
  </si>
  <si>
    <t xml:space="preserve">RELATIVE &amp; NORMALIZED</t>
  </si>
  <si>
    <t xml:space="preserve">FY26E group net profit for the relative lens</t>
  </si>
  <si>
    <t xml:space="preserve">aligned to the IS build (≈ EGP 3.3bn FY26E)</t>
  </si>
  <si>
    <t xml:space="preserve">Justified P/E (base)</t>
  </si>
  <si>
    <t xml:space="preserve">Mid-cycle group PAT (normalized)</t>
  </si>
  <si>
    <t xml:space="preserve">Justified through-cycle P/E</t>
  </si>
  <si>
    <t xml:space="preserve">SYNTHESIS WEIGHTS</t>
  </si>
  <si>
    <t xml:space="preserve">SOTP weight</t>
  </si>
  <si>
    <t xml:space="preserve">Pre-discount NAV weight</t>
  </si>
  <si>
    <t xml:space="preserve">Relative weight</t>
  </si>
  <si>
    <t xml:space="preserve">Normalized-earnings weight</t>
  </si>
  <si>
    <t xml:space="preserve">MONTE CARLO (YZ-HAR v2 — no KVOL; engine outputs on the Monte Carlo sheet)</t>
  </si>
  <si>
    <t xml:space="preserve">Anchor volatility (HAR forecast, annualized)</t>
  </si>
  <si>
    <t xml:space="preserve">Secular drift (daily log-return, expanding window)</t>
  </si>
  <si>
    <t xml:space="preserve">Net factor drift per quarter (16-factor stack)</t>
  </si>
  <si>
    <t xml:space="preserve">Paths / seed</t>
  </si>
  <si>
    <t xml:space="preserve">50,000 / 42</t>
  </si>
  <si>
    <t xml:space="preserve">FORECAST DRIVERS (FY26E–FY30E) — units × ASP build; drivers disclosed</t>
  </si>
  <si>
    <t xml:space="preserve">Driver \ year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</si>
  <si>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</si>
  <si>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</si>
  <si>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</si>
  <si>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</si>
  <si>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</si>
  <si>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PC volume growth</t>
  </si>
  <si>
    <t xml:space="preserve">PC ASP growth</t>
  </si>
  <si>
    <t xml:space="preserve">CV&amp;CE volume growth</t>
  </si>
  <si>
    <t xml:space="preserve">CV&amp;CE ASP growth</t>
  </si>
  <si>
    <t xml:space="preserve">Light-Mobility volume growth</t>
  </si>
  <si>
    <t xml:space="preserve">Light-Mobility ASP growth</t>
  </si>
  <si>
    <t xml:space="preserve">Trading revenue growth</t>
  </si>
  <si>
    <t xml:space="preserve">GB Capital revenue growth</t>
  </si>
  <si>
    <t xml:space="preserve">GB Capital loan-book growth</t>
  </si>
  <si>
    <t xml:space="preserve">Auto gross margin</t>
  </si>
  <si>
    <t xml:space="preserve">Auto GS&amp;A (% of revenue)</t>
  </si>
  <si>
    <t xml:space="preserve">Auto other operating income (% rev)</t>
  </si>
  <si>
    <t xml:space="preserve">Auto provisions (% rev)</t>
  </si>
  <si>
    <t xml:space="preserve">Auto D&amp;A (% of revenue)</t>
  </si>
  <si>
    <t xml:space="preserve">Auto capex (EGP mn)</t>
  </si>
  <si>
    <t xml:space="preserve">Rental-fleet &amp; other capex (EGP mn)</t>
  </si>
  <si>
    <t xml:space="preserve">GB Capital D&amp;A (EGP mn)</t>
  </si>
  <si>
    <t xml:space="preserve">Auto inventory (% of Auto rev)</t>
  </si>
  <si>
    <t xml:space="preserve">Auto receivables (% of Auto rev)</t>
  </si>
  <si>
    <t xml:space="preserve">Auto advances &amp; debtors (% rev)</t>
  </si>
  <si>
    <t xml:space="preserve">Auto payables (% of Auto rev)</t>
  </si>
  <si>
    <t xml:space="preserve">Group opex S&amp;M+Admin (% of group rev)</t>
  </si>
  <si>
    <t xml:space="preserve">Group other income (% of group rev)</t>
  </si>
  <si>
    <t xml:space="preserve">Group provisions (% of group rev)</t>
  </si>
  <si>
    <t xml:space="preserve">GB Capital gross margin</t>
  </si>
  <si>
    <t xml:space="preserve">Associates income (EGP mn)</t>
  </si>
  <si>
    <t xml:space="preserve">Net finance cost (EGP mn)</t>
  </si>
  <si>
    <t xml:space="preserve">Minority interest (% of NP before MI)</t>
  </si>
  <si>
    <t xml:space="preserve">Increase in borrowings, net (EGP mn)</t>
  </si>
  <si>
    <t xml:space="preserve">Dividend payout (of attributable NP)</t>
  </si>
  <si>
    <t xml:space="preserve">Intercompany eliminations (% of gross revenue)</t>
  </si>
  <si>
    <t xml:space="preserve">MNT-HALAN DETAIL (feeds the associates line, row 23)</t>
  </si>
  <si>
    <t xml:space="preserve">MNT-Halan round valuation (USD mn, Jun-26 first close)</t>
  </si>
  <si>
    <t xml:space="preserve">GB stake — CONFIRMED current (GB Corp PR, 9-Jun-2026, post Al Ahly Capital round)</t>
  </si>
  <si>
    <t xml:space="preserve">UPDATED 09-07-2026: GB Corp's own press release, 9 June 2026 ("MNT-Halan ... Closes Capital Increase Round Led by Al Ahly Capital Holding"): "GB Corp's ownership stake in MNT-Halan will be adjusted to 41.61%, compared to 42.58% prior to the transaction." This is a current, dated, confirmed figure — not an estimate. Applying it to the round still implies MNT-Halan alone ≈ 82% of GB Corp's market cap; flagged as a genuine valuation puzzle (steep implied private-mark discount, or undervaluation) rather than a sourcing gap.</t>
  </si>
  <si>
    <t xml:space="preserve">EGP/USD (study date)</t>
  </si>
  <si>
    <t xml:space="preserve">MNT-Halan implied value (EGP mn)</t>
  </si>
  <si>
    <t xml:space="preserve">Other associates (Bedaya, Kaf) — residual carrying</t>
  </si>
  <si>
    <t xml:space="preserve">WACC BUILD — FULL DETAIL &amp; SOURCING (feeds rows 9-17 above; this block is reference only)</t>
  </si>
  <si>
    <t xml:space="preserve">rf source</t>
  </si>
  <si>
    <t xml:space="preserve">investing.com, "Egypt 10-Year Bond Yield Historical Data" — market quote, 3-Jul-2026. Per Damodaran's own stated method: use the local bond yield directly when a liquid local market exists.</t>
  </si>
  <si>
    <t xml:space="preserve">ERP — rating-based (Damodaran "standard practice"), alternative to primary</t>
  </si>
  <si>
    <t xml:space="preserve">CORRECTED 09-07-2026: an interim figure of 14.87% (from a secondary source claiming to summarize "Damodaran's July 2026 table") was WRONG — verified against Damodaran's own ORIGINAL file (ctryprem.html), Egypt row, "Last updated January 2026": country risk premium 9.71% + mature-market ERP 4.23% = 13.94%. Logged as Fundamental Driver Ledger S2.</t>
  </si>
  <si>
    <t xml:space="preserve">Ke, alternative (rating-based ERP)</t>
  </si>
  <si>
    <t xml:space="preserve">WACC, alternative (rating-based ERP)</t>
  </si>
  <si>
    <t xml:space="preserve">Beta — why 1.0</t>
  </si>
  <si>
    <t xml:space="preserve">CORRECTED 09-07-2026: was 0.95 ("house band" guess). A genuine GBCO-vs-EGX30 regression was attempted: n=5 annual observations gave beta=-0.15, R2=0.008 (statistically unusable — SE(beta) exceeds the estimate itself). Higher-frequency (monthly) EGX30 data proved inaccessible via any available tool (EGX's own site blocks automated access; other sources are JS-rendered, no bulk export). Beta=1.0 applied per standing instruction (house rule §3.5-G) when no reliable regression is obtainable — see wacc_builder.py / RegressionBetaAttempt gate.</t>
  </si>
  <si>
    <t xml:space="preserve">Kd source &amp; currency-mix evidence</t>
  </si>
  <si>
    <t xml:space="preserve">Pre-tax rate: CBE weighted-average EGP bank lending rate, &lt;12mo tenor, Feb-2026 (CEIC/TradingEconomics quoting CBE); cross-checked against CBE's own overnight lending-rate ceiling 20.0% (held since the Apr-2026 policy pause). Currency mix: 5 separately disclosed GB Corp/GB Capital financing facilities found (Drive Finance EGP5bn syndication, Ghabbour Egypt EGP1.2bn Sadat facility, GB Lease EGP4.16bn securitization, Drive Finance EGP2.4bn bond, GB Capital Securitization EGP28.8bn book) are ALL EGP-denominated; zero USD facilities found in any search — treated as ~100% local currency (no FX tranche blended in).</t>
  </si>
  <si>
    <t xml:space="preserve">Weights source</t>
  </si>
  <si>
    <t xml:space="preserve">Market cap = spot(31.25) x shares(1,085.5mn) = 33,922; total debt = FY25 disclosed consolidated borrowings (38,041.4). Sourced, not assumed (prior draft used a flat 65/35 house default).</t>
  </si>
  <si>
    <t xml:space="preserve">Full reference &amp; cache</t>
  </si>
  <si>
    <t xml:space="preserve">See Cost_of_Capital_Reference.md (Egypt row) and wacc_builder.py in the project repo for the standing method applied to every future study across every market.</t>
  </si>
  <si>
    <t xml:space="preserve">Sum-of-the-parts — split the legs (primary lens, §3.5-F5)</t>
  </si>
  <si>
    <t xml:space="preserve">Auto = FCFF DCF · captive lender = adjusted book × multiple · fintech associate = carrying value ≈ Jun-26 round. Links to DCF / Assumptions.</t>
  </si>
  <si>
    <t xml:space="preserve">Leg</t>
  </si>
  <si>
    <t xml:space="preserve">Basis</t>
  </si>
  <si>
    <t xml:space="preserve">Value (EGP mn)</t>
  </si>
  <si>
    <t xml:space="preserve">GB Auto operating leg</t>
  </si>
  <si>
    <t xml:space="preserve">FCFF DCF (§1.2): EV − net debt − NCI</t>
  </si>
  <si>
    <t xml:space="preserve">GB Capital lending leg</t>
  </si>
  <si>
    <t xml:space="preserve">Adjusted operating book 9,500 × 1.0×</t>
  </si>
  <si>
    <t xml:space="preserve">Associate — MNT-Halan (~20% est.)</t>
  </si>
  <si>
    <t xml:space="preserve">USD 1.4bn Jun-26 round × stake × FX, × mark</t>
  </si>
  <si>
    <t xml:space="preserve">Other associates (Bedaya, Kaf)</t>
  </si>
  <si>
    <t xml:space="preserve">Residual carrying value × mark</t>
  </si>
  <si>
    <t xml:space="preserve">Σ Equity value (pre-discount)</t>
  </si>
  <si>
    <t xml:space="preserve">  per share (EGP), pre-discount</t>
  </si>
  <si>
    <t xml:space="preserve">less: complexity / conglomerate discount</t>
  </si>
  <si>
    <t xml:space="preserve">applied</t>
  </si>
  <si>
    <t xml:space="preserve">SOTP equity value</t>
  </si>
  <si>
    <t xml:space="preserve">SOTP fair value per share (EGP)</t>
  </si>
  <si>
    <t xml:space="preserve">Upside / (downside) vs spot</t>
  </si>
  <si>
    <t xml:space="preserve">memo: MNT-Halan share of SOTP value</t>
  </si>
  <si>
    <t xml:space="preserve">C8 ÷ Σ legs (discount pro-rata)</t>
  </si>
  <si>
    <t xml:space="preserve">memo: MNT-Halan per share, post-discount (EGP)</t>
  </si>
  <si>
    <t xml:space="preserve">The market-implied read: mkt cap − lender − associates ≈ EGP 10.7bn for the Auto leg ≈ 4.0× FY26E Auto EBITDA. Roughly a third of the market value is the MNT-Halan stake, marked to a first-close price.</t>
  </si>
  <si>
    <t xml:space="preserve">MNT-Halan stake sensitivity — now largely resolved: 41.61% is a confirmed, dated figure (9-Jun-2026)</t>
  </si>
  <si>
    <t xml:space="preserve">GB stake in MNT-Halan</t>
  </si>
  <si>
    <t xml:space="preserve">MNT-Halan value (EGP mn)</t>
  </si>
  <si>
    <t xml:space="preserve">SOTP fair value/sh (EGP)</t>
  </si>
  <si>
    <t xml:space="preserve">prior placeholder (wrong)</t>
  </si>
  <si>
    <t xml:space="preserve">implied by pro-rata defense of the 2024 raise only</t>
  </si>
  <si>
    <t xml:space="preserve">superseded — was the pre-transaction figure (28-Jul-2024)</t>
  </si>
  <si>
    <t xml:space="preserve">CONFIRMED current (GB Corp PR, 9-Jun-2026, post Al Ahly round) — base case</t>
  </si>
  <si>
    <t xml:space="preserve">Every 5pp of stake ≈ EGP 3.3/share of SOTP fair value — by far the single largest swing factor in this study; confirm the FY25 annual-report associates footnote before relying on any point estimate.</t>
  </si>
  <si>
    <t xml:space="preserve">Segment view — the units × ASP build</t>
  </si>
  <si>
    <t xml:space="preserve">Volumes and ASP per line of business, FY23–FY30E. Drivers disclosed in company releases; forecast links to Assumptions.</t>
  </si>
  <si>
    <t xml:space="preserve">FY23</t>
  </si>
  <si>
    <t xml:space="preserve">FY24</t>
  </si>
  <si>
    <t xml:space="preserve">FY25</t>
  </si>
  <si>
    <t xml:space="preserve">PC volume (units)</t>
  </si>
  <si>
    <t xml:space="preserve">PC revenue</t>
  </si>
  <si>
    <t xml:space="preserve">PC ASP (EGP mn/unit)</t>
  </si>
  <si>
    <t xml:space="preserve">CV&amp;CE volume (units)</t>
  </si>
  <si>
    <t xml:space="preserve">CV&amp;CE revenue</t>
  </si>
  <si>
    <t xml:space="preserve">Light-Mobility volume (units)</t>
  </si>
  <si>
    <t xml:space="preserve">Light-Mobility revenue</t>
  </si>
  <si>
    <t xml:space="preserve">Trading revenue (tires + parts)</t>
  </si>
  <si>
    <t xml:space="preserve">Other Auto / after-sales &amp; adj.</t>
  </si>
  <si>
    <t xml:space="preserve">GB Auto total revenue</t>
  </si>
  <si>
    <t xml:space="preserve">GB Capital revenue</t>
  </si>
  <si>
    <t xml:space="preserve">Intercompany eliminations</t>
  </si>
  <si>
    <t xml:space="preserve">Group revenue</t>
  </si>
  <si>
    <t xml:space="preserve">Auto gross profit</t>
  </si>
  <si>
    <t xml:space="preserve">Auto EBIT (operating profit)</t>
  </si>
  <si>
    <t xml:space="preserve">Auto D&amp;A</t>
  </si>
  <si>
    <t xml:space="preserve">Auto EBITDA</t>
  </si>
  <si>
    <t xml:space="preserve">Auto EBITDA margin</t>
  </si>
  <si>
    <t xml:space="preserve">GB Capital operating profit</t>
  </si>
  <si>
    <t xml:space="preserve">GB Capital net profit (after NCI)</t>
  </si>
  <si>
    <t xml:space="preserve">GB Capital on-book loan portfolio</t>
  </si>
  <si>
    <t xml:space="preserve">Source: GB Corp 4Q23 / 4Q24 / 4Q25 earnings releases (Tables 1–14). Other Auto = after-sales &amp; regional lines folded into the four LoBs from FY24; forecast conservatively set to zero.</t>
  </si>
  <si>
    <t xml:space="preserve">Relative &amp; normalized-earnings lenses</t>
  </si>
  <si>
    <t xml:space="preserve">Links to Assumptions and the Income Statement.</t>
  </si>
  <si>
    <t xml:space="preserve">Workings</t>
  </si>
  <si>
    <t xml:space="preserve">EGP/share</t>
  </si>
  <si>
    <t xml:space="preserve">Relative P/E</t>
  </si>
  <si>
    <t xml:space="preserve">FY26E group NP (conservative input) × justified P/E, /sh</t>
  </si>
  <si>
    <t xml:space="preserve">  implied FY26E EPS (EGP)</t>
  </si>
  <si>
    <t xml:space="preserve">  IS-build FY26E EPS, for reference</t>
  </si>
  <si>
    <t xml:space="preserve">Normalized earnings power</t>
  </si>
  <si>
    <t xml:space="preserve">Mid-cycle group PAT × through-cycle P/E, /sh</t>
  </si>
  <si>
    <t xml:space="preserve">  normalized EPS (EGP)</t>
  </si>
  <si>
    <t xml:space="preserve">P/B cross-check: spot / FY25 BVPS</t>
  </si>
  <si>
    <t xml:space="preserve">DCF — GB Auto operating leg, explicit 5-year FCFF</t>
  </si>
  <si>
    <t xml:space="preserve">Revenue → EBITDA → D&amp;A → EBIT → NOPAT → +D&amp;A → −Capex → −ΔWC → FCFF → discount factor → PV. Links to Segments / Balance Sheet / Assumptions.</t>
  </si>
  <si>
    <t xml:space="preserve">Auto revenue</t>
  </si>
  <si>
    <t xml:space="preserve">EBITDA</t>
  </si>
  <si>
    <t xml:space="preserve">D&amp;A</t>
  </si>
  <si>
    <t xml:space="preserve">EBIT</t>
  </si>
  <si>
    <t xml:space="preserve">NOPAT = EBIT × (1 − tax)</t>
  </si>
  <si>
    <t xml:space="preserve">+ D&amp;A</t>
  </si>
  <si>
    <t xml:space="preserve">− Capex</t>
  </si>
  <si>
    <t xml:space="preserve">− Increase in net working capital</t>
  </si>
  <si>
    <t xml:space="preserve">FCFF</t>
  </si>
  <si>
    <t xml:space="preserve">Discount factor</t>
  </si>
  <si>
    <t xml:space="preserve">PV of FCFF</t>
  </si>
  <si>
    <t xml:space="preserve">Σ PV of explicit FCFF (FY26–30E)</t>
  </si>
  <si>
    <t xml:space="preserve">Terminal value (Gordon)</t>
  </si>
  <si>
    <t xml:space="preserve">PV of terminal value</t>
  </si>
  <si>
    <t xml:space="preserve">Enterprise value — Auto leg</t>
  </si>
  <si>
    <t xml:space="preserve">% terminal of EV (device A-7)</t>
  </si>
  <si>
    <t xml:space="preserve">less: Auto net debt</t>
  </si>
  <si>
    <t xml:space="preserve">less: Auto non-controlling interests</t>
  </si>
  <si>
    <t xml:space="preserve">Auto equity value</t>
  </si>
  <si>
    <t xml:space="preserve">EV sensitivity per +1pp Auto GPM (helper for Sensitivity)</t>
  </si>
  <si>
    <t xml:space="preserve">WACC is built on the Assumptions sheet as Ke = rf + β × ERP (house rule §3.5-G) blended with after-tax Kd.</t>
  </si>
  <si>
    <t xml:space="preserve">Income statement (EGP mn, consolidated)</t>
  </si>
  <si>
    <t xml:space="preserve">FY23–FY25 disclosed (blue); FY26E–FY30E formulas linking to Segments and Assumptions.</t>
  </si>
  <si>
    <t xml:space="preserve">GB Auto revenue</t>
  </si>
  <si>
    <t xml:space="preserve">Total revenue</t>
  </si>
  <si>
    <t xml:space="preserve">Gross profit</t>
  </si>
  <si>
    <t xml:space="preserve">Gross profit margin</t>
  </si>
  <si>
    <t xml:space="preserve">Selling, marketing &amp; administration</t>
  </si>
  <si>
    <t xml:space="preserve">Other income (expenses)</t>
  </si>
  <si>
    <t xml:space="preserve">Provisions (net)</t>
  </si>
  <si>
    <t xml:space="preserve">Operating profit</t>
  </si>
  <si>
    <t xml:space="preserve">Investment gains from associates</t>
  </si>
  <si>
    <t xml:space="preserve">Group D&amp;A</t>
  </si>
  <si>
    <t xml:space="preserve">EBITDA (EBIT + D&amp;A)</t>
  </si>
  <si>
    <t xml:space="preserve">Foreign exchange gains (losses)</t>
  </si>
  <si>
    <t xml:space="preserve">Net finance cost</t>
  </si>
  <si>
    <t xml:space="preserve">Earnings before tax</t>
  </si>
  <si>
    <t xml:space="preserve">Income taxes</t>
  </si>
  <si>
    <t xml:space="preserve">Net profit before minority interest</t>
  </si>
  <si>
    <t xml:space="preserve">Minority interest</t>
  </si>
  <si>
    <t xml:space="preserve">Net profit (attributable)</t>
  </si>
  <si>
    <t xml:space="preserve">Net profit margin</t>
  </si>
  <si>
    <t xml:space="preserve">Source: GB Corp 4Q23 / 4Q24 / 4Q25 earnings releases, Table 1 &amp; Table 11 (segment IS). FY23 operating profit shown after provisions for cross-year consistency with the FY25 layout.</t>
  </si>
  <si>
    <t xml:space="preserve">Balance sheet (EGP mn, consolidated)</t>
  </si>
  <si>
    <t xml:space="preserve">FY23–FY25 grouped from the disclosed segment balance sheets to a house layout (blue). Forecast rolls forward; the check row is zero by clean-surplus construction.</t>
  </si>
  <si>
    <t xml:space="preserve">PP&amp;E, intangibles, ROU &amp; inv. property</t>
  </si>
  <si>
    <t xml:space="preserve">Investments in associates (MNT-Halan, Bedaya, Kaf)</t>
  </si>
  <si>
    <t xml:space="preserve">GB Capital loan book (on balance sheet)</t>
  </si>
  <si>
    <t xml:space="preserve">Inventories</t>
  </si>
  <si>
    <t xml:space="preserve">Trade receivables — Auto</t>
  </si>
  <si>
    <t xml:space="preserve">Advances, debtors &amp; other current</t>
  </si>
  <si>
    <t xml:space="preserve">Cash &amp; cash equivalents</t>
  </si>
  <si>
    <t xml:space="preserve">Other assets (DTA, held-for-sale, misc.)</t>
  </si>
  <si>
    <t xml:space="preserve">TOTAL ASSETS</t>
  </si>
  <si>
    <t xml:space="preserve">Equity attributable to shareholders</t>
  </si>
  <si>
    <t xml:space="preserve">Non-controlling interests</t>
  </si>
  <si>
    <t xml:space="preserve">Total equity</t>
  </si>
  <si>
    <t xml:space="preserve">Borrowings (loans, overdrafts &amp; bonds)</t>
  </si>
  <si>
    <t xml:space="preserve">Trade &amp; notes payables</t>
  </si>
  <si>
    <t xml:space="preserve">Lease obligations</t>
  </si>
  <si>
    <t xml:space="preserve">Provisions</t>
  </si>
  <si>
    <t xml:space="preserve">Other liabilities</t>
  </si>
  <si>
    <t xml:space="preserve">Deferred tax liabilities</t>
  </si>
  <si>
    <t xml:space="preserve">TOTAL EQUITY &amp; LIABILITIES</t>
  </si>
  <si>
    <t xml:space="preserve">Balance check (assets − L&amp;E)</t>
  </si>
  <si>
    <t xml:space="preserve">Group net debt (borrowings − cash)</t>
  </si>
  <si>
    <t xml:space="preserve">Net Auto working capital (inv + rec + adv − pay)</t>
  </si>
  <si>
    <t xml:space="preserve">Increase in net Auto working capital</t>
  </si>
  <si>
    <t xml:space="preserve">Historic mapping note: lines grouped from the disclosed 4Q23/4Q24/4Q25 segment balance sheets (Table 12/13). "GB Capital loan book (on BS)" = notes receivable + GB Capital trade receivables net of eliminations; the disclosed portfolio metric (EGP 19.5bn FY25) differs by provisions and presentation. Payables forecast holds the non-Auto payables block (EGP 2,716mn) flat.</t>
  </si>
  <si>
    <t xml:space="preserve">Cash flow (EGP mn, forecast)</t>
  </si>
  <si>
    <t xml:space="preserve">Derived from the Income Statement and Balance Sheet. Closing cash ties to the Balance Sheet; every balance-sheet movement is captured, so the check row is zero.</t>
  </si>
  <si>
    <t xml:space="preserve">− Associates income (non-cash)</t>
  </si>
  <si>
    <t xml:space="preserve">− Increase in net Auto working capital</t>
  </si>
  <si>
    <t xml:space="preserve">− Increase in GB Capital loan book</t>
  </si>
  <si>
    <t xml:space="preserve">Operating cash flow</t>
  </si>
  <si>
    <t xml:space="preserve">− Capex (Auto + rental fleet)</t>
  </si>
  <si>
    <t xml:space="preserve">Free cash flow</t>
  </si>
  <si>
    <t xml:space="preserve">+ Increase in borrowings (net)</t>
  </si>
  <si>
    <t xml:space="preserve">− Dividends paid</t>
  </si>
  <si>
    <t xml:space="preserve">Net change in cash</t>
  </si>
  <si>
    <t xml:space="preserve">Opening cash</t>
  </si>
  <si>
    <t xml:space="preserve">Closing cash</t>
  </si>
  <si>
    <t xml:space="preserve">Historical group cash-flow statements are published per segment (GB Auto CF in each release); the forecast is the consolidated clean-surplus build.</t>
  </si>
  <si>
    <t xml:space="preserve">Summary financials (EGP mn)</t>
  </si>
  <si>
    <t xml:space="preserve">Every cell links to the statement sheets.</t>
  </si>
  <si>
    <t xml:space="preserve">Revenue</t>
  </si>
  <si>
    <t xml:space="preserve">Total assets</t>
  </si>
  <si>
    <t xml:space="preserve">Group net debt</t>
  </si>
  <si>
    <t xml:space="preserve">Free cash flow (forecast)</t>
  </si>
  <si>
    <t xml:space="preserve">Monte Carlo — engine outputs (YZ-HAR v2)</t>
  </si>
  <si>
    <t xml:space="preserve">50,000 paths · 16 factors · seed 42 · computed by the Testahil MC engine (values, not a sheet simulation). No KVOL — the retired multiplier is replaced by the HAR width.</t>
  </si>
  <si>
    <t xml:space="preserve">The probability read (T+60)</t>
  </si>
  <si>
    <t xml:space="preserve">P(price above spot)</t>
  </si>
  <si>
    <t xml:space="preserve">P(+10%) vs P(−10%) — odds</t>
  </si>
  <si>
    <t xml:space="preserve">54% vs 15% · 3.6:1</t>
  </si>
  <si>
    <t xml:space="preserve">Median level (EGP) and % move</t>
  </si>
  <si>
    <t xml:space="preserve">34.98 (+11.9%)</t>
  </si>
  <si>
    <t xml:space="preserve">50% band (25th–75th)</t>
  </si>
  <si>
    <t xml:space="preserve">30.6 – 40.1  (-2% / +28%)</t>
  </si>
  <si>
    <t xml:space="preserve">Touch(+10%) / touch(−10%)</t>
  </si>
  <si>
    <t xml:space="preserve">76% / 38%</t>
  </si>
  <si>
    <t xml:space="preserve">Percentile map (EGP/share)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</si>
  <si>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</si>
  <si>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</si>
  <si>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</si>
  <si>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</si>
  <si>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</si>
  <si>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</si>
  <si>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</si>
  <si>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</si>
  <si>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Engine inputs (from Assumptions)</t>
  </si>
  <si>
    <t xml:space="preserve">Anchor volatility (HAR, annualized)</t>
  </si>
  <si>
    <t xml:space="preserve">Secular drift (daily)</t>
  </si>
  <si>
    <t xml:space="preserve">Net factor drift / quarter</t>
  </si>
  <si>
    <t xml:space="preserve">Level-touch ladder (probability of touching by horizon)</t>
  </si>
  <si>
    <t xml:space="preserve">Level (EGP)</t>
  </si>
  <si>
    <t xml:space="preserve">T+20</t>
  </si>
  <si>
    <t xml:space="preserve">T+60</t>
  </si>
  <si>
    <t xml:space="preserve">SOTP sensitivity — Auto margin × complexity discount</t>
  </si>
  <si>
    <t xml:space="preserve">Fair value (EGP/share, post-discount). Live off Assumptions and the DCF helper (EV per +1pp GPM).</t>
  </si>
  <si>
    <t xml:space="preserve">GPM shift \ discount</t>
  </si>
  <si>
    <t xml:space="preserve">Bold-face cells near spot (31.25) show how much Auto-margin recovery the price already carries.</t>
  </si>
  <si>
    <t xml:space="preserve">Per-share &amp; ratios — the standing dashboard (device A-5)</t>
  </si>
  <si>
    <t xml:space="preserve">Links to statements / Assumptions.</t>
  </si>
  <si>
    <t xml:space="preserve">EPS (EGP)</t>
  </si>
  <si>
    <t xml:space="preserve">DPS (EGP)</t>
  </si>
  <si>
    <t xml:space="preserve">Book value / share (EGP)</t>
  </si>
  <si>
    <t xml:space="preserve">P/E at spot (×)</t>
  </si>
  <si>
    <t xml:space="preserve">P/B at spot (×)</t>
  </si>
  <si>
    <t xml:space="preserve">Dividend yield at spot</t>
  </si>
  <si>
    <t xml:space="preserve">EBITDA margin</t>
  </si>
  <si>
    <t xml:space="preserve">Net margin</t>
  </si>
  <si>
    <t xml:space="preserve">ROAE (attributable)</t>
  </si>
  <si>
    <t xml:space="preserve">Group net debt / EBITDA (×)</t>
  </si>
  <si>
    <t xml:space="preserve">Revenue YoY</t>
  </si>
  <si>
    <t xml:space="preserve">EPS YoY</t>
  </si>
  <si>
    <t xml:space="preserve">Group net-debt/EBITDA blends the lender funding book; the Auto-leg discipline metric is Auto ND/EBITDA (2.39× FY25, 2.14× 1Q26, disclosed).</t>
  </si>
  <si>
    <t xml:space="preserve">Peer set &amp; sector</t>
  </si>
  <si>
    <t xml:space="preserve">No clean single comparable — GB Corp is an auto operator plus an NBFI plus a fintech associate. Split by leg.</t>
  </si>
  <si>
    <t xml:space="preserve">Closest peers</t>
  </si>
  <si>
    <t xml:space="preserve">Typical valuation</t>
  </si>
  <si>
    <t xml:space="preserve">Auto assembly &amp; distribution</t>
  </si>
  <si>
    <t xml:space="preserve">Al Watania (KSA autos), Saudi Co. for Vehicles, Türk Traktör, Astra Industrial; EGX consumer durables</t>
  </si>
  <si>
    <t xml:space="preserve">EV/EBITDA ~4–6× (EM distribution); P/E ~8–12×</t>
  </si>
  <si>
    <t xml:space="preserve">NBFI / leasing &amp; consumer finance</t>
  </si>
  <si>
    <t xml:space="preserve">EFG Hermes (NBFI arm), Contact Financial (CNFN), Raya Holding finance leg</t>
  </si>
  <si>
    <t xml:space="preserve">P/B ~1.0–1.8× on mid-teens ROE; P/E ~6–10×</t>
  </si>
  <si>
    <t xml:space="preserve">Fintech associate (MNT-Halan)</t>
  </si>
  <si>
    <t xml:space="preserve">Fawry (FWRY), e-Finance (EFIH), MNT-Halan private rounds</t>
  </si>
  <si>
    <t xml:space="preserve">Private marks; EV/Rev 2–5×; last round USD 1.4bn (Jun-26)</t>
  </si>
  <si>
    <t xml:space="preserve">Sector context: Egypt PC registrations ~210k in 2025 (+40% y/y), GB share ~21%; CBE easing cycle (19.00% deposit rate) supports affordability and GB Capital margins; BYD entering Egypt; Iraq/Jordan drag from the regional conflict; Sadat CKD facility inaugurated Jun-2026.</t>
  </si>
  <si>
    <t xml:space="preserve">Analyst context is deliberately not used as a model input (house rule: no rating, no target).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</si>
</sst>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0"/>
    <numFmt numFmtId="167" formatCode="0.0%;\(0.0%\);\-"/>
    <numFmt numFmtId="168" formatCode="0.00\x"/>
    <numFmt numFmtId="169" formatCode="0.0000%"/>
    <numFmt numFmtId="170" formatCode="@"/>
    <numFmt numFmtId="171" formatCode="#,##0.0;\(#,##0.0\);\-"/>
    <numFmt numFmtId="172" formatCode="0.000"/>
    <numFmt numFmtId="173" formatCode="\+0.0%;\-0.0%;&quot;base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6F1E6"/>
      <name val="Cambria"/>
      <family val="0"/>
      <charset val="1"/>
    </font>
    <font>
      <sz val="10"/>
      <name val="Cambria"/>
      <family val="0"/>
      <charset val="1"/>
    </font>
    <font>
      <sz val="9"/>
      <color rgb="FF6E7B77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6E7B77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6F1E6"/>
      </patternFill>
    </fill>
    <fill>
      <patternFill patternType="solid">
        <fgColor rgb="FFF6F1E6"/>
        <bgColor rgb="FFEAF0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  <col collapsed="false" customWidth="true" hidden="false" outlineLevel="0" max="9" min="2" style="1" width="12.5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4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4" t="s">
        <v>15</v>
      </c>
    </row>
    <row r="23" customFormat="false" ht="15" hidden="false" customHeight="true" outlineLevel="0" collapsed="false">
      <c r="A23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2"/>
  </cols>
  <sheetData>
    <row r="1" customFormat="false" ht="15.75" hidden="false" customHeight="true" outlineLevel="0" collapsed="false">
      <c r="A1" s="2" t="s">
        <v>17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18</v>
      </c>
    </row>
    <row r="5" customFormat="false" ht="15" hidden="false" customHeight="true" outlineLevel="0" collapsed="false">
      <c r="A5" s="6"/>
      <c r="B5" s="7" t="s">
        <v>19</v>
      </c>
      <c r="C5" s="7" t="s">
        <v>20</v>
      </c>
      <c r="D5" s="7" t="s">
        <v>21</v>
      </c>
      <c r="E5" s="7" t="s">
        <v>22</v>
      </c>
    </row>
    <row r="6" customFormat="false" ht="15" hidden="false" customHeight="true" outlineLevel="0" collapsed="false">
      <c r="A6" s="8" t="s">
        <v>23</v>
      </c>
      <c r="B6" s="9" t="n">
        <v>20.9</v>
      </c>
      <c r="C6" s="10" t="n">
        <f aca="false">SOTP!C14</f>
        <v>38.3800810539785</v>
      </c>
      <c r="D6" s="9" t="n">
        <v>60.8</v>
      </c>
      <c r="E6" s="11" t="n">
        <f aca="false">Assumptions!B32</f>
        <v>0.4</v>
      </c>
    </row>
    <row r="7" customFormat="false" ht="15" hidden="false" customHeight="true" outlineLevel="0" collapsed="false">
      <c r="A7" s="8" t="s">
        <v>24</v>
      </c>
      <c r="B7" s="9" t="n">
        <v>25.5</v>
      </c>
      <c r="C7" s="10" t="n">
        <f aca="false">SOTP!C11</f>
        <v>42.6445345044206</v>
      </c>
      <c r="D7" s="9" t="n">
        <v>63.3</v>
      </c>
      <c r="E7" s="11" t="n">
        <f aca="false">Assumptions!B33</f>
        <v>0.15</v>
      </c>
    </row>
    <row r="8" customFormat="false" ht="15" hidden="false" customHeight="true" outlineLevel="0" collapsed="false">
      <c r="A8" s="8" t="s">
        <v>25</v>
      </c>
      <c r="B8" s="9" t="n">
        <v>24.3</v>
      </c>
      <c r="C8" s="10" t="n">
        <f aca="false">'Relative &amp; Normalized'!C6</f>
        <v>28.8807001381852</v>
      </c>
      <c r="D8" s="9" t="n">
        <v>33.4</v>
      </c>
      <c r="E8" s="11" t="n">
        <f aca="false">Assumptions!B34</f>
        <v>0.2</v>
      </c>
    </row>
    <row r="9" customFormat="false" ht="15" hidden="false" customHeight="true" outlineLevel="0" collapsed="false">
      <c r="A9" s="8" t="s">
        <v>26</v>
      </c>
      <c r="B9" s="9" t="n">
        <v>24.9</v>
      </c>
      <c r="C9" s="10" t="n">
        <f aca="false">'Relative &amp; Normalized'!C9</f>
        <v>32.8880700138185</v>
      </c>
      <c r="D9" s="9" t="n">
        <v>42</v>
      </c>
      <c r="E9" s="11" t="n">
        <f aca="false">Assumptions!B35</f>
        <v>0.25</v>
      </c>
    </row>
    <row r="10" customFormat="false" ht="15" hidden="false" customHeight="true" outlineLevel="0" collapsed="false">
      <c r="A10" s="12" t="s">
        <v>27</v>
      </c>
      <c r="B10" s="13" t="n">
        <f aca="false">SUMPRODUCT(B6:B9,$E$6:$E$9)</f>
        <v>23.27</v>
      </c>
      <c r="C10" s="13" t="n">
        <f aca="false">SUMPRODUCT(C6:C9,$E$6:$E$9)</f>
        <v>35.7468701283462</v>
      </c>
      <c r="D10" s="13" t="n">
        <f aca="false">SUMPRODUCT(D6:D9,$E$6:$E$9)</f>
        <v>50.995</v>
      </c>
    </row>
    <row r="12" customFormat="false" ht="15" hidden="false" customHeight="true" outlineLevel="0" collapsed="false">
      <c r="A12" s="8" t="s">
        <v>28</v>
      </c>
      <c r="B12" s="10" t="n">
        <f aca="false">Assumptions!B5</f>
        <v>31.25</v>
      </c>
    </row>
    <row r="13" customFormat="false" ht="15" hidden="false" customHeight="true" outlineLevel="0" collapsed="false">
      <c r="A13" s="8" t="s">
        <v>29</v>
      </c>
      <c r="B13" s="14" t="n">
        <f aca="false">C10/Assumptions!B5-1</f>
        <v>0.143899844107077</v>
      </c>
    </row>
    <row r="15" customFormat="false" ht="15" hidden="false" customHeight="true" outlineLevel="0" collapsed="false">
      <c r="A15" s="1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2"/>
  </cols>
  <sheetData>
    <row r="1" customFormat="false" ht="15.75" hidden="false" customHeight="true" outlineLevel="0" collapsed="false">
      <c r="A1" s="2" t="s">
        <v>31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32</v>
      </c>
    </row>
    <row r="5" customFormat="false" ht="15" hidden="false" customHeight="true" outlineLevel="0" collapsed="false">
      <c r="A5" s="7" t="s">
        <v>33</v>
      </c>
      <c r="B5" s="7" t="s">
        <v>19</v>
      </c>
      <c r="C5" s="7" t="s">
        <v>20</v>
      </c>
      <c r="D5" s="7" t="s">
        <v>21</v>
      </c>
    </row>
    <row r="6" customFormat="false" ht="15" hidden="false" customHeight="true" outlineLevel="0" collapsed="false">
      <c r="A6" s="6" t="s">
        <v>23</v>
      </c>
      <c r="B6" s="10" t="n">
        <f aca="false">Summary!B6</f>
        <v>20.9</v>
      </c>
      <c r="C6" s="10" t="n">
        <f aca="false">Summary!C6</f>
        <v>38.3800810539785</v>
      </c>
      <c r="D6" s="10" t="n">
        <f aca="false">Summary!D6</f>
        <v>60.8</v>
      </c>
    </row>
    <row r="7" customFormat="false" ht="15" hidden="false" customHeight="true" outlineLevel="0" collapsed="false">
      <c r="A7" s="6" t="s">
        <v>24</v>
      </c>
      <c r="B7" s="10" t="n">
        <f aca="false">Summary!B7</f>
        <v>25.5</v>
      </c>
      <c r="C7" s="10" t="n">
        <f aca="false">Summary!C7</f>
        <v>42.6445345044206</v>
      </c>
      <c r="D7" s="10" t="n">
        <f aca="false">Summary!D7</f>
        <v>63.3</v>
      </c>
    </row>
    <row r="8" customFormat="false" ht="15" hidden="false" customHeight="true" outlineLevel="0" collapsed="false">
      <c r="A8" s="6" t="s">
        <v>25</v>
      </c>
      <c r="B8" s="10" t="n">
        <f aca="false">Summary!B8</f>
        <v>24.3</v>
      </c>
      <c r="C8" s="10" t="n">
        <f aca="false">Summary!C8</f>
        <v>28.8807001381852</v>
      </c>
      <c r="D8" s="10" t="n">
        <f aca="false">Summary!D8</f>
        <v>33.4</v>
      </c>
    </row>
    <row r="9" customFormat="false" ht="15" hidden="false" customHeight="true" outlineLevel="0" collapsed="false">
      <c r="A9" s="6" t="s">
        <v>26</v>
      </c>
      <c r="B9" s="10" t="n">
        <f aca="false">Summary!B9</f>
        <v>24.9</v>
      </c>
      <c r="C9" s="10" t="n">
        <f aca="false">Summary!C9</f>
        <v>32.8880700138185</v>
      </c>
      <c r="D9" s="10" t="n">
        <f aca="false">Summary!D9</f>
        <v>42</v>
      </c>
    </row>
    <row r="10" customFormat="false" ht="15" hidden="false" customHeight="true" outlineLevel="0" collapsed="false">
      <c r="A10" s="12" t="s">
        <v>27</v>
      </c>
      <c r="B10" s="16" t="n">
        <f aca="false">Summary!B10</f>
        <v>23.27</v>
      </c>
      <c r="C10" s="16" t="n">
        <f aca="false">Summary!C10</f>
        <v>35.7468701283462</v>
      </c>
      <c r="D10" s="16" t="n">
        <f aca="false">Summary!D10</f>
        <v>50.995</v>
      </c>
    </row>
    <row r="11" customFormat="false" ht="15" hidden="false" customHeight="true" outlineLevel="0" collapsed="false">
      <c r="A11" s="8" t="s">
        <v>34</v>
      </c>
      <c r="B11" s="10" t="n">
        <f aca="false">Assumptions!B5</f>
        <v>31.25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.5"/>
    <col collapsed="false" customWidth="true" hidden="false" outlineLevel="0" max="3" min="3" style="1" width="11"/>
    <col collapsed="false" customWidth="true" hidden="false" outlineLevel="0" max="9" min="4" style="1" width="12.5"/>
  </cols>
  <sheetData>
    <row r="1" customFormat="false" ht="15.75" hidden="false" customHeight="true" outlineLevel="0" collapsed="false">
      <c r="A1" s="2" t="s">
        <v>35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5" t="s">
        <v>36</v>
      </c>
    </row>
    <row r="4" customFormat="false" ht="15" hidden="false" customHeight="true" outlineLevel="0" collapsed="false">
      <c r="A4" s="7" t="s">
        <v>37</v>
      </c>
    </row>
    <row r="5" customFormat="false" ht="15" hidden="false" customHeight="true" outlineLevel="0" collapsed="false">
      <c r="A5" s="6" t="s">
        <v>38</v>
      </c>
      <c r="B5" s="9" t="n">
        <v>31.25</v>
      </c>
    </row>
    <row r="6" customFormat="false" ht="15" hidden="false" customHeight="true" outlineLevel="0" collapsed="false">
      <c r="A6" s="6" t="s">
        <v>39</v>
      </c>
      <c r="B6" s="17" t="n">
        <v>1085.5</v>
      </c>
    </row>
    <row r="7" customFormat="false" ht="15" hidden="false" customHeight="true" outlineLevel="0" collapsed="false">
      <c r="A7" s="6" t="s">
        <v>40</v>
      </c>
      <c r="B7" s="18" t="n">
        <v>0.28</v>
      </c>
    </row>
    <row r="8" customFormat="false" ht="15" hidden="false" customHeight="true" outlineLevel="0" collapsed="false">
      <c r="A8" s="7" t="s">
        <v>41</v>
      </c>
    </row>
    <row r="9" customFormat="false" ht="15" hidden="false" customHeight="true" outlineLevel="0" collapsed="false">
      <c r="A9" s="6" t="s">
        <v>42</v>
      </c>
      <c r="B9" s="18" t="n">
        <v>0.2255</v>
      </c>
      <c r="C9" s="15" t="s">
        <v>43</v>
      </c>
    </row>
    <row r="10" customFormat="false" ht="15" hidden="false" customHeight="true" outlineLevel="0" collapsed="false">
      <c r="A10" s="6" t="s">
        <v>44</v>
      </c>
      <c r="B10" s="9" t="n">
        <v>1</v>
      </c>
      <c r="C10" s="15" t="s">
        <v>45</v>
      </c>
    </row>
    <row r="11" customFormat="false" ht="15" hidden="false" customHeight="true" outlineLevel="0" collapsed="false">
      <c r="A11" s="6" t="s">
        <v>46</v>
      </c>
      <c r="B11" s="18" t="n">
        <v>0.0941</v>
      </c>
      <c r="C11" s="15" t="s">
        <v>47</v>
      </c>
    </row>
    <row r="12" customFormat="false" ht="15" hidden="false" customHeight="true" outlineLevel="0" collapsed="false">
      <c r="A12" s="6" t="s">
        <v>48</v>
      </c>
      <c r="B12" s="14" t="n">
        <f aca="false">B9+B10*B11</f>
        <v>0.3196</v>
      </c>
      <c r="C12" s="15" t="s">
        <v>49</v>
      </c>
    </row>
    <row r="13" customFormat="false" ht="15" hidden="false" customHeight="true" outlineLevel="0" collapsed="false">
      <c r="A13" s="6" t="s">
        <v>50</v>
      </c>
      <c r="B13" s="18" t="n">
        <v>0.207</v>
      </c>
      <c r="C13" s="15" t="s">
        <v>51</v>
      </c>
    </row>
    <row r="14" customFormat="false" ht="15" hidden="false" customHeight="true" outlineLevel="0" collapsed="false">
      <c r="A14" s="6" t="s">
        <v>52</v>
      </c>
      <c r="B14" s="14" t="n">
        <f aca="false">B13*(1-B7)</f>
        <v>0.14904</v>
      </c>
    </row>
    <row r="15" customFormat="false" ht="15" hidden="false" customHeight="true" outlineLevel="0" collapsed="false">
      <c r="A15" s="6" t="s">
        <v>53</v>
      </c>
      <c r="B15" s="14" t="n">
        <f aca="false">38041.4/(31.25*1085.5+38041.4)</f>
        <v>0.528622411917746</v>
      </c>
      <c r="C15" s="15" t="s">
        <v>54</v>
      </c>
    </row>
    <row r="16" customFormat="false" ht="15" hidden="false" customHeight="true" outlineLevel="0" collapsed="false">
      <c r="A16" s="6" t="s">
        <v>55</v>
      </c>
      <c r="B16" s="19" t="n">
        <f aca="false">(1-B15)*B12+B15*B14</f>
        <v>0.229438161423309</v>
      </c>
    </row>
    <row r="17" customFormat="false" ht="15" hidden="false" customHeight="true" outlineLevel="0" collapsed="false">
      <c r="A17" s="6" t="s">
        <v>56</v>
      </c>
      <c r="B17" s="18" t="n">
        <v>0.115</v>
      </c>
      <c r="C17" s="15" t="s">
        <v>57</v>
      </c>
    </row>
    <row r="18" customFormat="false" ht="15" hidden="false" customHeight="true" outlineLevel="0" collapsed="false">
      <c r="A18" s="7" t="s">
        <v>58</v>
      </c>
      <c r="B18" s="19" t="n">
        <f aca="false">(1-B17)*B13+B17*B16</f>
        <v>0.209580388563681</v>
      </c>
    </row>
    <row r="19" customFormat="false" ht="15" hidden="false" customHeight="true" outlineLevel="0" collapsed="false">
      <c r="A19" s="6" t="s">
        <v>59</v>
      </c>
      <c r="B19" s="17" t="n">
        <v>15210</v>
      </c>
      <c r="C19" s="15" t="s">
        <v>60</v>
      </c>
    </row>
    <row r="20" customFormat="false" ht="15" hidden="false" customHeight="true" outlineLevel="0" collapsed="false">
      <c r="A20" s="6" t="s">
        <v>61</v>
      </c>
      <c r="B20" s="17" t="n">
        <v>800.4</v>
      </c>
    </row>
    <row r="21" customFormat="false" ht="15" hidden="false" customHeight="true" outlineLevel="0" collapsed="false">
      <c r="A21" s="6" t="s">
        <v>62</v>
      </c>
      <c r="B21" s="17" t="n">
        <v>9500</v>
      </c>
      <c r="C21" s="15" t="s">
        <v>63</v>
      </c>
    </row>
    <row r="22" customFormat="false" ht="15" hidden="false" customHeight="true" outlineLevel="0" collapsed="false">
      <c r="A22" s="6" t="s">
        <v>64</v>
      </c>
      <c r="B22" s="20" t="n">
        <v>1</v>
      </c>
      <c r="C22" s="15" t="s">
        <v>65</v>
      </c>
    </row>
    <row r="23" customFormat="false" ht="15" hidden="false" customHeight="true" outlineLevel="0" collapsed="false">
      <c r="A23" s="6" t="s">
        <v>66</v>
      </c>
      <c r="B23" s="8" t="n">
        <f aca="false">B79+B80</f>
        <v>28060.65</v>
      </c>
      <c r="C23" s="15" t="s">
        <v>67</v>
      </c>
    </row>
    <row r="24" customFormat="false" ht="15" hidden="false" customHeight="true" outlineLevel="0" collapsed="false">
      <c r="A24" s="6" t="s">
        <v>68</v>
      </c>
      <c r="B24" s="20" t="n">
        <v>1</v>
      </c>
    </row>
    <row r="25" customFormat="false" ht="15" hidden="false" customHeight="true" outlineLevel="0" collapsed="false">
      <c r="A25" s="6" t="s">
        <v>69</v>
      </c>
      <c r="B25" s="18" t="n">
        <v>0.1</v>
      </c>
      <c r="C25" s="15" t="s">
        <v>70</v>
      </c>
    </row>
    <row r="26" customFormat="false" ht="15" hidden="false" customHeight="true" outlineLevel="0" collapsed="false">
      <c r="A26" s="7" t="s">
        <v>71</v>
      </c>
    </row>
    <row r="27" customFormat="false" ht="15" hidden="false" customHeight="true" outlineLevel="0" collapsed="false">
      <c r="A27" s="6" t="s">
        <v>72</v>
      </c>
      <c r="B27" s="17" t="n">
        <v>3300</v>
      </c>
      <c r="C27" s="15" t="s">
        <v>73</v>
      </c>
    </row>
    <row r="28" customFormat="false" ht="15" hidden="false" customHeight="true" outlineLevel="0" collapsed="false">
      <c r="A28" s="6" t="s">
        <v>74</v>
      </c>
      <c r="B28" s="20" t="n">
        <v>9.5</v>
      </c>
    </row>
    <row r="29" customFormat="false" ht="15" hidden="false" customHeight="true" outlineLevel="0" collapsed="false">
      <c r="A29" s="6" t="s">
        <v>75</v>
      </c>
      <c r="B29" s="17" t="n">
        <v>4200</v>
      </c>
    </row>
    <row r="30" customFormat="false" ht="15" hidden="false" customHeight="true" outlineLevel="0" collapsed="false">
      <c r="A30" s="6" t="s">
        <v>76</v>
      </c>
      <c r="B30" s="20" t="n">
        <v>8.5</v>
      </c>
    </row>
    <row r="31" customFormat="false" ht="15" hidden="false" customHeight="true" outlineLevel="0" collapsed="false">
      <c r="A31" s="7" t="s">
        <v>77</v>
      </c>
    </row>
    <row r="32" customFormat="false" ht="15" hidden="false" customHeight="true" outlineLevel="0" collapsed="false">
      <c r="A32" s="6" t="s">
        <v>78</v>
      </c>
      <c r="B32" s="18" t="n">
        <v>0.4</v>
      </c>
    </row>
    <row r="33" customFormat="false" ht="15" hidden="false" customHeight="true" outlineLevel="0" collapsed="false">
      <c r="A33" s="6" t="s">
        <v>79</v>
      </c>
      <c r="B33" s="18" t="n">
        <v>0.15</v>
      </c>
    </row>
    <row r="34" customFormat="false" ht="15" hidden="false" customHeight="true" outlineLevel="0" collapsed="false">
      <c r="A34" s="6" t="s">
        <v>80</v>
      </c>
      <c r="B34" s="18" t="n">
        <v>0.2</v>
      </c>
    </row>
    <row r="35" customFormat="false" ht="15" hidden="false" customHeight="true" outlineLevel="0" collapsed="false">
      <c r="A35" s="6" t="s">
        <v>81</v>
      </c>
      <c r="B35" s="18" t="n">
        <v>0.25</v>
      </c>
    </row>
    <row r="36" customFormat="false" ht="15" hidden="false" customHeight="true" outlineLevel="0" collapsed="false">
      <c r="A36" s="7" t="s">
        <v>82</v>
      </c>
    </row>
    <row r="37" customFormat="false" ht="15" hidden="false" customHeight="true" outlineLevel="0" collapsed="false">
      <c r="A37" s="6" t="s">
        <v>83</v>
      </c>
      <c r="B37" s="18" t="n">
        <v>0.4957</v>
      </c>
    </row>
    <row r="38" customFormat="false" ht="15" hidden="false" customHeight="true" outlineLevel="0" collapsed="false">
      <c r="A38" s="6" t="s">
        <v>84</v>
      </c>
      <c r="B38" s="21" t="n">
        <v>0.00164</v>
      </c>
    </row>
    <row r="39" customFormat="false" ht="15" hidden="false" customHeight="true" outlineLevel="0" collapsed="false">
      <c r="A39" s="6" t="s">
        <v>85</v>
      </c>
      <c r="B39" s="18" t="n">
        <v>0.0146</v>
      </c>
    </row>
    <row r="40" customFormat="false" ht="15" hidden="false" customHeight="true" outlineLevel="0" collapsed="false">
      <c r="A40" s="6" t="s">
        <v>86</v>
      </c>
      <c r="B40" s="22" t="s">
        <v>87</v>
      </c>
    </row>
    <row r="41" customFormat="false" ht="15" hidden="false" customHeight="true" outlineLevel="0" collapsed="false">
      <c r="A41" s="7" t="s">
        <v>88</v>
      </c>
    </row>
    <row r="42" customFormat="false" ht="15" hidden="false" customHeight="true" outlineLevel="0" collapsed="false">
      <c r="A42" s="12" t="s">
        <v>89</v>
      </c>
      <c r="C42" s="7" t="s">
        <v>90</v>
      </c>
      <c r="D42" s="7" t="s">
        <v>91</v>
      </c>
      <c r="E42" s="7" t="s">
        <v>92</v>
      </c>
      <c r="F42" s="7" t="s">
        <v>93</v>
      </c>
      <c r="G42" s="7" t="s">
        <v>94</v>
      </c>
    </row>
    <row r="43" customFormat="false" ht="15" hidden="false" customHeight="true" outlineLevel="0" collapsed="false">
      <c r="A43" s="6" t="s">
        <v>95</v>
      </c>
      <c r="C43" s="18" t="n">
        <v>0.12</v>
      </c>
      <c r="D43" s="18" t="n">
        <v>0.14</v>
      </c>
      <c r="E43" s="18" t="n">
        <v>0.1</v>
      </c>
      <c r="F43" s="18" t="n">
        <v>0.08</v>
      </c>
      <c r="G43" s="18" t="n">
        <v>0.06</v>
      </c>
    </row>
    <row r="44" customFormat="false" ht="15" hidden="false" customHeight="true" outlineLevel="0" collapsed="false">
      <c r="A44" s="6" t="s">
        <v>96</v>
      </c>
      <c r="C44" s="18" t="n">
        <v>0.06</v>
      </c>
      <c r="D44" s="18" t="n">
        <v>0.07</v>
      </c>
      <c r="E44" s="18" t="n">
        <v>0.07</v>
      </c>
      <c r="F44" s="18" t="n">
        <v>0.06</v>
      </c>
      <c r="G44" s="18" t="n">
        <v>0.06</v>
      </c>
    </row>
    <row r="45" customFormat="false" ht="15" hidden="false" customHeight="true" outlineLevel="0" collapsed="false">
      <c r="A45" s="6" t="s">
        <v>97</v>
      </c>
      <c r="C45" s="18" t="n">
        <v>0.25</v>
      </c>
      <c r="D45" s="18" t="n">
        <v>0.18</v>
      </c>
      <c r="E45" s="18" t="n">
        <v>0.12</v>
      </c>
      <c r="F45" s="18" t="n">
        <v>0.1</v>
      </c>
      <c r="G45" s="18" t="n">
        <v>0.08</v>
      </c>
    </row>
    <row r="46" customFormat="false" ht="15" hidden="false" customHeight="true" outlineLevel="0" collapsed="false">
      <c r="A46" s="6" t="s">
        <v>98</v>
      </c>
      <c r="C46" s="18" t="n">
        <v>0.05</v>
      </c>
      <c r="D46" s="18" t="n">
        <v>0.05</v>
      </c>
      <c r="E46" s="18" t="n">
        <v>0.05</v>
      </c>
      <c r="F46" s="18" t="n">
        <v>0.05</v>
      </c>
      <c r="G46" s="18" t="n">
        <v>0.05</v>
      </c>
    </row>
    <row r="47" customFormat="false" ht="15" hidden="false" customHeight="true" outlineLevel="0" collapsed="false">
      <c r="A47" s="6" t="s">
        <v>99</v>
      </c>
      <c r="C47" s="18" t="n">
        <v>0.3</v>
      </c>
      <c r="D47" s="18" t="n">
        <v>0.2</v>
      </c>
      <c r="E47" s="18" t="n">
        <v>0.15</v>
      </c>
      <c r="F47" s="18" t="n">
        <v>0.12</v>
      </c>
      <c r="G47" s="18" t="n">
        <v>0.1</v>
      </c>
    </row>
    <row r="48" customFormat="false" ht="15" hidden="false" customHeight="true" outlineLevel="0" collapsed="false">
      <c r="A48" s="6" t="s">
        <v>100</v>
      </c>
      <c r="C48" s="18" t="n">
        <v>0.05</v>
      </c>
      <c r="D48" s="18" t="n">
        <v>0.05</v>
      </c>
      <c r="E48" s="18" t="n">
        <v>0.05</v>
      </c>
      <c r="F48" s="18" t="n">
        <v>0.05</v>
      </c>
      <c r="G48" s="18" t="n">
        <v>0.05</v>
      </c>
    </row>
    <row r="49" customFormat="false" ht="15" hidden="false" customHeight="true" outlineLevel="0" collapsed="false">
      <c r="A49" s="6" t="s">
        <v>101</v>
      </c>
      <c r="C49" s="18" t="n">
        <v>0.18</v>
      </c>
      <c r="D49" s="18" t="n">
        <v>0.15</v>
      </c>
      <c r="E49" s="18" t="n">
        <v>0.12</v>
      </c>
      <c r="F49" s="18" t="n">
        <v>0.1</v>
      </c>
      <c r="G49" s="18" t="n">
        <v>0.1</v>
      </c>
    </row>
    <row r="50" customFormat="false" ht="15" hidden="false" customHeight="true" outlineLevel="0" collapsed="false">
      <c r="A50" s="6" t="s">
        <v>102</v>
      </c>
      <c r="C50" s="18" t="n">
        <v>0.45</v>
      </c>
      <c r="D50" s="18" t="n">
        <v>0.3</v>
      </c>
      <c r="E50" s="18" t="n">
        <v>0.25</v>
      </c>
      <c r="F50" s="18" t="n">
        <v>0.2</v>
      </c>
      <c r="G50" s="18" t="n">
        <v>0.18</v>
      </c>
    </row>
    <row r="51" customFormat="false" ht="15" hidden="false" customHeight="true" outlineLevel="0" collapsed="false">
      <c r="A51" s="6" t="s">
        <v>103</v>
      </c>
      <c r="C51" s="18" t="n">
        <v>0.35</v>
      </c>
      <c r="D51" s="18" t="n">
        <v>0.28</v>
      </c>
      <c r="E51" s="18" t="n">
        <v>0.24</v>
      </c>
      <c r="F51" s="18" t="n">
        <v>0.2</v>
      </c>
      <c r="G51" s="18" t="n">
        <v>0.18</v>
      </c>
    </row>
    <row r="52" customFormat="false" ht="15" hidden="false" customHeight="true" outlineLevel="0" collapsed="false">
      <c r="A52" s="6" t="s">
        <v>104</v>
      </c>
      <c r="C52" s="18" t="n">
        <v>0.138</v>
      </c>
      <c r="D52" s="18" t="n">
        <v>0.142</v>
      </c>
      <c r="E52" s="18" t="n">
        <v>0.145</v>
      </c>
      <c r="F52" s="18" t="n">
        <v>0.145</v>
      </c>
      <c r="G52" s="18" t="n">
        <v>0.145</v>
      </c>
    </row>
    <row r="53" customFormat="false" ht="15" hidden="false" customHeight="true" outlineLevel="0" collapsed="false">
      <c r="A53" s="6" t="s">
        <v>105</v>
      </c>
      <c r="C53" s="18" t="n">
        <v>0.073</v>
      </c>
      <c r="D53" s="18" t="n">
        <v>0.072</v>
      </c>
      <c r="E53" s="18" t="n">
        <v>0.071</v>
      </c>
      <c r="F53" s="18" t="n">
        <v>0.07</v>
      </c>
      <c r="G53" s="18" t="n">
        <v>0.07</v>
      </c>
    </row>
    <row r="54" customFormat="false" ht="15" hidden="false" customHeight="true" outlineLevel="0" collapsed="false">
      <c r="A54" s="6" t="s">
        <v>106</v>
      </c>
      <c r="C54" s="18" t="n">
        <v>0.012</v>
      </c>
      <c r="D54" s="18" t="n">
        <v>0.012</v>
      </c>
      <c r="E54" s="18" t="n">
        <v>0.012</v>
      </c>
      <c r="F54" s="18" t="n">
        <v>0.012</v>
      </c>
      <c r="G54" s="18" t="n">
        <v>0.012</v>
      </c>
    </row>
    <row r="55" customFormat="false" ht="15" hidden="false" customHeight="true" outlineLevel="0" collapsed="false">
      <c r="A55" s="6" t="s">
        <v>107</v>
      </c>
      <c r="C55" s="18" t="n">
        <v>-0.003</v>
      </c>
      <c r="D55" s="18" t="n">
        <v>-0.003</v>
      </c>
      <c r="E55" s="18" t="n">
        <v>-0.003</v>
      </c>
      <c r="F55" s="18" t="n">
        <v>-0.003</v>
      </c>
      <c r="G55" s="18" t="n">
        <v>-0.003</v>
      </c>
    </row>
    <row r="56" customFormat="false" ht="15" hidden="false" customHeight="true" outlineLevel="0" collapsed="false">
      <c r="A56" s="6" t="s">
        <v>108</v>
      </c>
      <c r="C56" s="18" t="n">
        <v>0.011</v>
      </c>
      <c r="D56" s="18" t="n">
        <v>0.011</v>
      </c>
      <c r="E56" s="18" t="n">
        <v>0.011</v>
      </c>
      <c r="F56" s="18" t="n">
        <v>0.011</v>
      </c>
      <c r="G56" s="18" t="n">
        <v>0.011</v>
      </c>
    </row>
    <row r="57" customFormat="false" ht="15" hidden="false" customHeight="true" outlineLevel="0" collapsed="false">
      <c r="A57" s="6" t="s">
        <v>109</v>
      </c>
      <c r="C57" s="17" t="n">
        <v>3000</v>
      </c>
      <c r="D57" s="17" t="n">
        <v>2400</v>
      </c>
      <c r="E57" s="17" t="n">
        <v>2500</v>
      </c>
      <c r="F57" s="17" t="n">
        <v>2600</v>
      </c>
      <c r="G57" s="17" t="n">
        <v>2800</v>
      </c>
    </row>
    <row r="58" customFormat="false" ht="15" hidden="false" customHeight="true" outlineLevel="0" collapsed="false">
      <c r="A58" s="6" t="s">
        <v>110</v>
      </c>
      <c r="C58" s="17" t="n">
        <v>700</v>
      </c>
      <c r="D58" s="17" t="n">
        <v>800</v>
      </c>
      <c r="E58" s="17" t="n">
        <v>900</v>
      </c>
      <c r="F58" s="17" t="n">
        <v>1000</v>
      </c>
      <c r="G58" s="17" t="n">
        <v>1100</v>
      </c>
    </row>
    <row r="59" customFormat="false" ht="15" hidden="false" customHeight="true" outlineLevel="0" collapsed="false">
      <c r="A59" s="6" t="s">
        <v>111</v>
      </c>
      <c r="C59" s="17" t="n">
        <v>560</v>
      </c>
      <c r="D59" s="17" t="n">
        <v>640</v>
      </c>
      <c r="E59" s="17" t="n">
        <v>730</v>
      </c>
      <c r="F59" s="17" t="n">
        <v>830</v>
      </c>
      <c r="G59" s="17" t="n">
        <v>940</v>
      </c>
    </row>
    <row r="60" customFormat="false" ht="15" hidden="false" customHeight="true" outlineLevel="0" collapsed="false">
      <c r="A60" s="6" t="s">
        <v>112</v>
      </c>
      <c r="C60" s="18" t="n">
        <v>0.36</v>
      </c>
      <c r="D60" s="18" t="n">
        <v>0.338</v>
      </c>
      <c r="E60" s="18" t="n">
        <v>0.32</v>
      </c>
      <c r="F60" s="18" t="n">
        <v>0.308</v>
      </c>
      <c r="G60" s="18" t="n">
        <v>0.296</v>
      </c>
    </row>
    <row r="61" customFormat="false" ht="15" hidden="false" customHeight="true" outlineLevel="0" collapsed="false">
      <c r="A61" s="6" t="s">
        <v>113</v>
      </c>
      <c r="C61" s="18" t="n">
        <v>0.08</v>
      </c>
      <c r="D61" s="18" t="n">
        <v>0.08</v>
      </c>
      <c r="E61" s="18" t="n">
        <v>0.08</v>
      </c>
      <c r="F61" s="18" t="n">
        <v>0.08</v>
      </c>
      <c r="G61" s="18" t="n">
        <v>0.08</v>
      </c>
    </row>
    <row r="62" customFormat="false" ht="15" hidden="false" customHeight="true" outlineLevel="0" collapsed="false">
      <c r="A62" s="6" t="s">
        <v>114</v>
      </c>
      <c r="C62" s="18" t="n">
        <v>0.07</v>
      </c>
      <c r="D62" s="18" t="n">
        <v>0.069</v>
      </c>
      <c r="E62" s="18" t="n">
        <v>0.0675</v>
      </c>
      <c r="F62" s="18" t="n">
        <v>0.066</v>
      </c>
      <c r="G62" s="18" t="n">
        <v>0.0645</v>
      </c>
    </row>
    <row r="63" customFormat="false" ht="15" hidden="false" customHeight="true" outlineLevel="0" collapsed="false">
      <c r="A63" s="6" t="s">
        <v>115</v>
      </c>
      <c r="C63" s="18" t="n">
        <v>0.245</v>
      </c>
      <c r="D63" s="18" t="n">
        <v>0.237</v>
      </c>
      <c r="E63" s="18" t="n">
        <v>0.2325</v>
      </c>
      <c r="F63" s="18" t="n">
        <v>0.229</v>
      </c>
      <c r="G63" s="18" t="n">
        <v>0.2255</v>
      </c>
    </row>
    <row r="64" customFormat="false" ht="15" hidden="false" customHeight="true" outlineLevel="0" collapsed="false">
      <c r="A64" s="6" t="s">
        <v>116</v>
      </c>
      <c r="C64" s="18" t="n">
        <v>0.08</v>
      </c>
      <c r="D64" s="18" t="n">
        <v>0.079</v>
      </c>
      <c r="E64" s="18" t="n">
        <v>0.078</v>
      </c>
      <c r="F64" s="18" t="n">
        <v>0.0775</v>
      </c>
      <c r="G64" s="18" t="n">
        <v>0.077</v>
      </c>
    </row>
    <row r="65" customFormat="false" ht="15" hidden="false" customHeight="true" outlineLevel="0" collapsed="false">
      <c r="A65" s="6" t="s">
        <v>117</v>
      </c>
      <c r="C65" s="18" t="n">
        <v>0.011</v>
      </c>
      <c r="D65" s="18" t="n">
        <v>0.011</v>
      </c>
      <c r="E65" s="18" t="n">
        <v>0.011</v>
      </c>
      <c r="F65" s="18" t="n">
        <v>0.011</v>
      </c>
      <c r="G65" s="18" t="n">
        <v>0.011</v>
      </c>
    </row>
    <row r="66" customFormat="false" ht="15" hidden="false" customHeight="true" outlineLevel="0" collapsed="false">
      <c r="A66" s="6" t="s">
        <v>118</v>
      </c>
      <c r="C66" s="18" t="n">
        <v>-0.003</v>
      </c>
      <c r="D66" s="18" t="n">
        <v>-0.003</v>
      </c>
      <c r="E66" s="18" t="n">
        <v>-0.003</v>
      </c>
      <c r="F66" s="18" t="n">
        <v>-0.003</v>
      </c>
      <c r="G66" s="18" t="n">
        <v>-0.003</v>
      </c>
    </row>
    <row r="67" customFormat="false" ht="15" hidden="false" customHeight="true" outlineLevel="0" collapsed="false">
      <c r="A67" s="6" t="s">
        <v>119</v>
      </c>
      <c r="C67" s="18" t="n">
        <v>0.188</v>
      </c>
      <c r="D67" s="18" t="n">
        <v>0.19</v>
      </c>
      <c r="E67" s="18" t="n">
        <v>0.192</v>
      </c>
      <c r="F67" s="18" t="n">
        <v>0.194</v>
      </c>
      <c r="G67" s="18" t="n">
        <v>0.196</v>
      </c>
    </row>
    <row r="68" customFormat="false" ht="15" hidden="false" customHeight="true" outlineLevel="0" collapsed="false">
      <c r="A68" s="6" t="s">
        <v>120</v>
      </c>
      <c r="C68" s="17" t="n">
        <v>1250</v>
      </c>
      <c r="D68" s="17" t="n">
        <v>1430</v>
      </c>
      <c r="E68" s="17" t="n">
        <v>1630</v>
      </c>
      <c r="F68" s="17" t="n">
        <v>1830</v>
      </c>
      <c r="G68" s="17" t="n">
        <v>2030</v>
      </c>
    </row>
    <row r="69" customFormat="false" ht="15" hidden="false" customHeight="true" outlineLevel="0" collapsed="false">
      <c r="A69" s="6" t="s">
        <v>121</v>
      </c>
      <c r="C69" s="17" t="n">
        <v>-4100</v>
      </c>
      <c r="D69" s="17" t="n">
        <v>-3800</v>
      </c>
      <c r="E69" s="17" t="n">
        <v>-3500</v>
      </c>
      <c r="F69" s="17" t="n">
        <v>-3300</v>
      </c>
      <c r="G69" s="17" t="n">
        <v>-3100</v>
      </c>
    </row>
    <row r="70" customFormat="false" ht="15" hidden="false" customHeight="true" outlineLevel="0" collapsed="false">
      <c r="A70" s="6" t="s">
        <v>122</v>
      </c>
      <c r="C70" s="18" t="n">
        <v>-0.02</v>
      </c>
      <c r="D70" s="18" t="n">
        <v>-0.02</v>
      </c>
      <c r="E70" s="18" t="n">
        <v>-0.02</v>
      </c>
      <c r="F70" s="18" t="n">
        <v>-0.02</v>
      </c>
      <c r="G70" s="18" t="n">
        <v>-0.02</v>
      </c>
    </row>
    <row r="71" customFormat="false" ht="15" hidden="false" customHeight="true" outlineLevel="0" collapsed="false">
      <c r="A71" s="6" t="s">
        <v>123</v>
      </c>
      <c r="C71" s="17" t="n">
        <v>5500</v>
      </c>
      <c r="D71" s="17" t="n">
        <v>5200</v>
      </c>
      <c r="E71" s="17" t="n">
        <v>5600</v>
      </c>
      <c r="F71" s="17" t="n">
        <v>5800</v>
      </c>
      <c r="G71" s="17" t="n">
        <v>6100</v>
      </c>
    </row>
    <row r="72" customFormat="false" ht="15" hidden="false" customHeight="true" outlineLevel="0" collapsed="false">
      <c r="A72" s="6" t="s">
        <v>124</v>
      </c>
      <c r="C72" s="18" t="n">
        <v>0.14</v>
      </c>
      <c r="D72" s="18" t="n">
        <v>0.15</v>
      </c>
      <c r="E72" s="18" t="n">
        <v>0.16</v>
      </c>
      <c r="F72" s="18" t="n">
        <v>0.18</v>
      </c>
      <c r="G72" s="18" t="n">
        <v>0.2</v>
      </c>
    </row>
    <row r="73" customFormat="false" ht="15" hidden="false" customHeight="true" outlineLevel="0" collapsed="false">
      <c r="A73" s="6" t="s">
        <v>125</v>
      </c>
      <c r="C73" s="18" t="n">
        <v>0.011</v>
      </c>
      <c r="D73" s="18" t="n">
        <v>0.011</v>
      </c>
      <c r="E73" s="18" t="n">
        <v>0.011</v>
      </c>
      <c r="F73" s="18" t="n">
        <v>0.011</v>
      </c>
      <c r="G73" s="18" t="n">
        <v>0.011</v>
      </c>
    </row>
    <row r="75" customFormat="false" ht="15" hidden="false" customHeight="true" outlineLevel="0" collapsed="false">
      <c r="A75" s="7" t="s">
        <v>126</v>
      </c>
    </row>
    <row r="76" customFormat="false" ht="15" hidden="false" customHeight="true" outlineLevel="0" collapsed="false">
      <c r="A76" s="6" t="s">
        <v>127</v>
      </c>
      <c r="B76" s="17" t="n">
        <v>1400</v>
      </c>
    </row>
    <row r="77" customFormat="false" ht="15" hidden="false" customHeight="true" outlineLevel="0" collapsed="false">
      <c r="A77" s="6" t="s">
        <v>128</v>
      </c>
      <c r="B77" s="18" t="n">
        <v>0.4161</v>
      </c>
      <c r="C77" s="15" t="s">
        <v>129</v>
      </c>
    </row>
    <row r="78" customFormat="false" ht="15" hidden="false" customHeight="true" outlineLevel="0" collapsed="false">
      <c r="A78" s="6" t="s">
        <v>130</v>
      </c>
      <c r="B78" s="9" t="n">
        <v>47.5</v>
      </c>
    </row>
    <row r="79" customFormat="false" ht="15" hidden="false" customHeight="true" outlineLevel="0" collapsed="false">
      <c r="A79" s="6" t="s">
        <v>131</v>
      </c>
      <c r="B79" s="8" t="n">
        <f aca="false">B76*B77*B78</f>
        <v>27670.65</v>
      </c>
    </row>
    <row r="80" customFormat="false" ht="15" hidden="false" customHeight="true" outlineLevel="0" collapsed="false">
      <c r="A80" s="6" t="s">
        <v>132</v>
      </c>
      <c r="B80" s="17" t="n">
        <v>390</v>
      </c>
    </row>
    <row r="82" customFormat="false" ht="15" hidden="false" customHeight="true" outlineLevel="0" collapsed="false">
      <c r="A82" s="7" t="s">
        <v>133</v>
      </c>
    </row>
    <row r="83" customFormat="false" ht="15" hidden="false" customHeight="true" outlineLevel="0" collapsed="false">
      <c r="A83" s="6" t="s">
        <v>134</v>
      </c>
      <c r="C83" s="15" t="s">
        <v>135</v>
      </c>
    </row>
    <row r="84" customFormat="false" ht="15" hidden="false" customHeight="true" outlineLevel="0" collapsed="false">
      <c r="A84" s="6" t="s">
        <v>136</v>
      </c>
      <c r="B84" s="18" t="n">
        <v>0.1394</v>
      </c>
      <c r="C84" s="15" t="s">
        <v>137</v>
      </c>
    </row>
    <row r="85" customFormat="false" ht="15" hidden="false" customHeight="true" outlineLevel="0" collapsed="false">
      <c r="A85" s="6" t="s">
        <v>138</v>
      </c>
      <c r="B85" s="14" t="n">
        <f aca="false">B9+B10*B84</f>
        <v>0.3649</v>
      </c>
    </row>
    <row r="86" customFormat="false" ht="15" hidden="false" customHeight="true" outlineLevel="0" collapsed="false">
      <c r="A86" s="6" t="s">
        <v>139</v>
      </c>
      <c r="B86" s="14" t="n">
        <f aca="false">(1-B15)*B85+B15*B14</f>
        <v>0.250791566163435</v>
      </c>
    </row>
    <row r="87" customFormat="false" ht="15" hidden="false" customHeight="true" outlineLevel="0" collapsed="false">
      <c r="A87" s="6" t="s">
        <v>140</v>
      </c>
      <c r="C87" s="15" t="s">
        <v>141</v>
      </c>
    </row>
    <row r="88" customFormat="false" ht="15" hidden="false" customHeight="true" outlineLevel="0" collapsed="false">
      <c r="A88" s="6" t="s">
        <v>142</v>
      </c>
      <c r="C88" s="15" t="s">
        <v>143</v>
      </c>
    </row>
    <row r="89" customFormat="false" ht="15" hidden="false" customHeight="true" outlineLevel="0" collapsed="false">
      <c r="A89" s="6" t="s">
        <v>144</v>
      </c>
      <c r="C89" s="15" t="s">
        <v>145</v>
      </c>
    </row>
    <row r="90" customFormat="false" ht="15" hidden="false" customHeight="true" outlineLevel="0" collapsed="false">
      <c r="A90" s="6" t="s">
        <v>146</v>
      </c>
      <c r="C90" s="15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6"/>
    <col collapsed="false" customWidth="true" hidden="false" outlineLevel="0" max="3" min="3" style="1" width="16"/>
    <col collapsed="false" customWidth="true" hidden="false" outlineLevel="0" max="7" min="4" style="1" width="12"/>
  </cols>
  <sheetData>
    <row r="1" customFormat="false" ht="15.75" hidden="false" customHeight="true" outlineLevel="0" collapsed="false">
      <c r="A1" s="2" t="s">
        <v>148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149</v>
      </c>
    </row>
    <row r="5" customFormat="false" ht="15" hidden="false" customHeight="true" outlineLevel="0" collapsed="false">
      <c r="A5" s="12" t="s">
        <v>150</v>
      </c>
      <c r="B5" s="15" t="s">
        <v>151</v>
      </c>
      <c r="C5" s="23" t="s">
        <v>152</v>
      </c>
    </row>
    <row r="6" customFormat="false" ht="15" hidden="false" customHeight="true" outlineLevel="0" collapsed="false">
      <c r="A6" s="6" t="s">
        <v>153</v>
      </c>
      <c r="B6" s="15" t="s">
        <v>154</v>
      </c>
      <c r="C6" s="24" t="n">
        <f aca="false">DCF!B25</f>
        <v>8729.99220454854</v>
      </c>
    </row>
    <row r="7" customFormat="false" ht="15" hidden="false" customHeight="true" outlineLevel="0" collapsed="false">
      <c r="A7" s="6" t="s">
        <v>155</v>
      </c>
      <c r="B7" s="15" t="s">
        <v>156</v>
      </c>
      <c r="C7" s="24" t="n">
        <f aca="false">Assumptions!B21*Assumptions!B22</f>
        <v>9500</v>
      </c>
    </row>
    <row r="8" customFormat="false" ht="15" hidden="false" customHeight="true" outlineLevel="0" collapsed="false">
      <c r="A8" s="6" t="s">
        <v>157</v>
      </c>
      <c r="B8" s="15" t="s">
        <v>158</v>
      </c>
      <c r="C8" s="24" t="n">
        <f aca="false">Assumptions!B79*Assumptions!B24</f>
        <v>27670.65</v>
      </c>
    </row>
    <row r="9" customFormat="false" ht="15" hidden="false" customHeight="true" outlineLevel="0" collapsed="false">
      <c r="A9" s="6" t="s">
        <v>159</v>
      </c>
      <c r="B9" s="15" t="s">
        <v>160</v>
      </c>
      <c r="C9" s="24" t="n">
        <f aca="false">Assumptions!B80*Assumptions!B24</f>
        <v>390</v>
      </c>
    </row>
    <row r="10" customFormat="false" ht="15" hidden="false" customHeight="true" outlineLevel="0" collapsed="false">
      <c r="A10" s="12" t="s">
        <v>161</v>
      </c>
      <c r="B10" s="6"/>
      <c r="C10" s="23" t="n">
        <f aca="false">SUM(C6:C9)</f>
        <v>46290.6422045485</v>
      </c>
    </row>
    <row r="11" customFormat="false" ht="15" hidden="false" customHeight="true" outlineLevel="0" collapsed="false">
      <c r="A11" s="6" t="s">
        <v>162</v>
      </c>
      <c r="B11" s="6"/>
      <c r="C11" s="10" t="n">
        <f aca="false">C10/Assumptions!B6</f>
        <v>42.6445345044206</v>
      </c>
    </row>
    <row r="12" customFormat="false" ht="15" hidden="false" customHeight="true" outlineLevel="0" collapsed="false">
      <c r="A12" s="6" t="s">
        <v>163</v>
      </c>
      <c r="B12" s="15" t="s">
        <v>164</v>
      </c>
      <c r="C12" s="24" t="n">
        <f aca="false">-C10*Assumptions!B25</f>
        <v>-4629.06422045486</v>
      </c>
    </row>
    <row r="13" customFormat="false" ht="15" hidden="false" customHeight="true" outlineLevel="0" collapsed="false">
      <c r="A13" s="12" t="s">
        <v>165</v>
      </c>
      <c r="B13" s="6"/>
      <c r="C13" s="23" t="n">
        <f aca="false">C10+C12</f>
        <v>41661.5779840937</v>
      </c>
    </row>
    <row r="14" customFormat="false" ht="15" hidden="false" customHeight="true" outlineLevel="0" collapsed="false">
      <c r="A14" s="12" t="s">
        <v>166</v>
      </c>
      <c r="B14" s="6"/>
      <c r="C14" s="16" t="n">
        <f aca="false">C13/Assumptions!B6</f>
        <v>38.3800810539785</v>
      </c>
    </row>
    <row r="15" customFormat="false" ht="15" hidden="false" customHeight="true" outlineLevel="0" collapsed="false">
      <c r="A15" s="6" t="s">
        <v>167</v>
      </c>
      <c r="B15" s="6"/>
      <c r="C15" s="11" t="n">
        <f aca="false">C14/Assumptions!B5-1</f>
        <v>0.228162593727313</v>
      </c>
    </row>
    <row r="16" customFormat="false" ht="15" hidden="false" customHeight="true" outlineLevel="0" collapsed="false">
      <c r="A16" s="12" t="s">
        <v>168</v>
      </c>
      <c r="B16" s="15" t="s">
        <v>169</v>
      </c>
      <c r="C16" s="19" t="n">
        <f aca="false">C8/C10</f>
        <v>0.597759043344641</v>
      </c>
    </row>
    <row r="17" customFormat="false" ht="15" hidden="false" customHeight="true" outlineLevel="0" collapsed="false">
      <c r="A17" s="12" t="s">
        <v>170</v>
      </c>
      <c r="B17" s="6"/>
      <c r="C17" s="16" t="n">
        <f aca="false">C8*(1-Assumptions!B25)/Assumptions!B6</f>
        <v>22.942040534316</v>
      </c>
    </row>
    <row r="19" customFormat="false" ht="15" hidden="false" customHeight="true" outlineLevel="0" collapsed="false">
      <c r="A19" s="15" t="s">
        <v>171</v>
      </c>
    </row>
    <row r="20" customFormat="false" ht="15" hidden="false" customHeight="true" outlineLevel="0" collapsed="false">
      <c r="A20" s="25" t="s">
        <v>172</v>
      </c>
    </row>
    <row r="21" customFormat="false" ht="15" hidden="false" customHeight="true" outlineLevel="0" collapsed="false">
      <c r="A21" s="26" t="s">
        <v>173</v>
      </c>
      <c r="B21" s="26" t="s">
        <v>174</v>
      </c>
      <c r="C21" s="26" t="s">
        <v>175</v>
      </c>
    </row>
    <row r="22" customFormat="false" ht="15" hidden="false" customHeight="true" outlineLevel="0" collapsed="false">
      <c r="A22" s="18" t="n">
        <v>0.2</v>
      </c>
      <c r="B22" s="8" t="n">
        <f aca="false">A22*Assumptions!$B$76*Assumptions!$B$78</f>
        <v>13300</v>
      </c>
      <c r="C22" s="27" t="n">
        <f aca="false">((DCF!$B$25)+B22+Assumptions!$B$80+Assumptions!$B$21*Assumptions!$B$22)*(1-Assumptions!$B$25)/Assumptions!$B$6</f>
        <v>26.4652169360605</v>
      </c>
      <c r="D22" s="15" t="s">
        <v>176</v>
      </c>
    </row>
    <row r="23" customFormat="false" ht="15" hidden="false" customHeight="true" outlineLevel="0" collapsed="false">
      <c r="A23" s="18" t="n">
        <v>0.25</v>
      </c>
      <c r="B23" s="8" t="n">
        <f aca="false">A23*Assumptions!$B$76*Assumptions!$B$78</f>
        <v>16625</v>
      </c>
      <c r="C23" s="27" t="n">
        <f aca="false">((DCF!$B$25)+B23+Assumptions!$B$80+Assumptions!$B$21*Assumptions!$B$22)*(1-Assumptions!$B$25)/Assumptions!$B$6</f>
        <v>29.22201104016</v>
      </c>
      <c r="D23" s="15"/>
    </row>
    <row r="24" customFormat="false" ht="15" hidden="false" customHeight="true" outlineLevel="0" collapsed="false">
      <c r="A24" s="18" t="n">
        <v>0.3</v>
      </c>
      <c r="B24" s="8" t="n">
        <f aca="false">A24*Assumptions!$B$76*Assumptions!$B$78</f>
        <v>19950</v>
      </c>
      <c r="C24" s="27" t="n">
        <f aca="false">((DCF!$B$25)+B24+Assumptions!$B$80+Assumptions!$B$21*Assumptions!$B$22)*(1-Assumptions!$B$25)/Assumptions!$B$6</f>
        <v>31.9788051442595</v>
      </c>
      <c r="D24" s="15"/>
    </row>
    <row r="25" customFormat="false" ht="15" hidden="false" customHeight="true" outlineLevel="0" collapsed="false">
      <c r="A25" s="18" t="n">
        <v>0.3545</v>
      </c>
      <c r="B25" s="8" t="n">
        <f aca="false">A25*Assumptions!$B$76*Assumptions!$B$78</f>
        <v>23574.25</v>
      </c>
      <c r="C25" s="27" t="n">
        <f aca="false">((DCF!$B$25)+B25+Assumptions!$B$80+Assumptions!$B$21*Assumptions!$B$22)*(1-Assumptions!$B$25)/Assumptions!$B$6</f>
        <v>34.9837107177279</v>
      </c>
      <c r="D25" s="15" t="s">
        <v>177</v>
      </c>
    </row>
    <row r="26" customFormat="false" ht="15" hidden="false" customHeight="true" outlineLevel="0" collapsed="false">
      <c r="A26" s="18" t="n">
        <v>0.4</v>
      </c>
      <c r="B26" s="8" t="n">
        <f aca="false">A26*Assumptions!$B$76*Assumptions!$B$78</f>
        <v>26600</v>
      </c>
      <c r="C26" s="27" t="n">
        <f aca="false">((DCF!$B$25)+B26+Assumptions!$B$80+Assumptions!$B$21*Assumptions!$B$22)*(1-Assumptions!$B$25)/Assumptions!$B$6</f>
        <v>37.4923933524585</v>
      </c>
      <c r="D26" s="15"/>
    </row>
    <row r="27" customFormat="false" ht="15" hidden="false" customHeight="true" outlineLevel="0" collapsed="false">
      <c r="A27" s="18" t="n">
        <v>0.4258</v>
      </c>
      <c r="B27" s="8" t="n">
        <f aca="false">A27*Assumptions!$B$76*Assumptions!$B$78</f>
        <v>28315.7</v>
      </c>
      <c r="C27" s="27" t="n">
        <f aca="false">((DCF!$B$25)+B27+Assumptions!$B$80+Assumptions!$B$21*Assumptions!$B$22)*(1-Assumptions!$B$25)/Assumptions!$B$6</f>
        <v>38.9148991101738</v>
      </c>
      <c r="D27" s="15" t="s">
        <v>178</v>
      </c>
    </row>
    <row r="28" customFormat="false" ht="15" hidden="false" customHeight="true" outlineLevel="0" collapsed="false">
      <c r="A28" s="18" t="n">
        <v>0.4161</v>
      </c>
      <c r="B28" s="8" t="n">
        <f aca="false">A28*Assumptions!$B$76*Assumptions!$B$78</f>
        <v>27670.65</v>
      </c>
      <c r="C28" s="27" t="n">
        <f aca="false">((DCF!$B$25)+B28+Assumptions!$B$80+Assumptions!$B$21*Assumptions!$B$22)*(1-Assumptions!$B$25)/Assumptions!$B$6</f>
        <v>38.3800810539785</v>
      </c>
      <c r="D28" s="15" t="s">
        <v>179</v>
      </c>
    </row>
    <row r="29" customFormat="false" ht="15" hidden="false" customHeight="true" outlineLevel="0" collapsed="false">
      <c r="A29" s="15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181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182</v>
      </c>
    </row>
    <row r="4" customFormat="false" ht="15" hidden="false" customHeight="true" outlineLevel="0" collapsed="false">
      <c r="A4" s="7"/>
      <c r="B4" s="7" t="s">
        <v>183</v>
      </c>
      <c r="C4" s="7" t="s">
        <v>184</v>
      </c>
      <c r="D4" s="7" t="s">
        <v>185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</row>
    <row r="6" customFormat="false" ht="15" hidden="false" customHeight="true" outlineLevel="0" collapsed="false">
      <c r="A6" s="28" t="s">
        <v>186</v>
      </c>
      <c r="B6" s="17" t="n">
        <v>26994</v>
      </c>
      <c r="C6" s="17" t="n">
        <v>42043</v>
      </c>
      <c r="D6" s="17" t="n">
        <v>56548</v>
      </c>
      <c r="E6" s="8" t="n">
        <f aca="false">D6*(1+Assumptions!$C$43)</f>
        <v>63333.76</v>
      </c>
      <c r="F6" s="8" t="n">
        <f aca="false">E6*(1+Assumptions!$D$43)</f>
        <v>72200.4864</v>
      </c>
      <c r="G6" s="8" t="n">
        <f aca="false">F6*(1+Assumptions!$E$43)</f>
        <v>79420.53504</v>
      </c>
      <c r="H6" s="8" t="n">
        <f aca="false">G6*(1+Assumptions!$F$43)</f>
        <v>85774.1778432</v>
      </c>
      <c r="I6" s="8" t="n">
        <f aca="false">H6*(1+Assumptions!$G$43)</f>
        <v>90920.6285137921</v>
      </c>
    </row>
    <row r="7" customFormat="false" ht="15" hidden="false" customHeight="true" outlineLevel="0" collapsed="false">
      <c r="A7" s="28" t="s">
        <v>186</v>
      </c>
      <c r="B7" s="17" t="n">
        <v>26994</v>
      </c>
      <c r="C7" s="17" t="n">
        <v>42043</v>
      </c>
      <c r="D7" s="17" t="n">
        <v>56548</v>
      </c>
      <c r="E7" s="8" t="n">
        <f aca="false">D7*(1+Assumptions!$C$43)</f>
        <v>63333.76</v>
      </c>
      <c r="F7" s="8" t="n">
        <f aca="false">E7*(1+Assumptions!$D$43)</f>
        <v>72200.4864</v>
      </c>
      <c r="G7" s="8" t="n">
        <f aca="false">F7*(1+Assumptions!$E$43)</f>
        <v>79420.53504</v>
      </c>
      <c r="H7" s="8" t="n">
        <f aca="false">G7*(1+Assumptions!$F$43)</f>
        <v>85774.1778432</v>
      </c>
      <c r="I7" s="8" t="n">
        <f aca="false">H7*(1+Assumptions!$G$43)</f>
        <v>90920.6285137921</v>
      </c>
    </row>
    <row r="8" customFormat="false" ht="15" hidden="false" customHeight="true" outlineLevel="0" collapsed="false">
      <c r="A8" s="28" t="s">
        <v>187</v>
      </c>
      <c r="B8" s="17" t="n">
        <v>16544.3</v>
      </c>
      <c r="C8" s="17" t="n">
        <v>36533.4</v>
      </c>
      <c r="D8" s="17" t="n">
        <v>52827.3</v>
      </c>
      <c r="E8" s="8" t="n">
        <f aca="false">E7*E9</f>
        <v>62716.57056</v>
      </c>
      <c r="F8" s="8" t="n">
        <f aca="false">F7*F9</f>
        <v>76501.672769088</v>
      </c>
      <c r="G8" s="8" t="n">
        <f aca="false">G7*G9</f>
        <v>90042.4688492166</v>
      </c>
      <c r="H8" s="8" t="n">
        <f aca="false">H7*H9</f>
        <v>103080.618338583</v>
      </c>
      <c r="I8" s="8" t="n">
        <f aca="false">I7*I9</f>
        <v>115821.382765232</v>
      </c>
    </row>
    <row r="9" customFormat="false" ht="15" hidden="false" customHeight="true" outlineLevel="0" collapsed="false">
      <c r="A9" s="28" t="s">
        <v>188</v>
      </c>
      <c r="B9" s="27" t="n">
        <f aca="false">B8/B7</f>
        <v>0.612888049196118</v>
      </c>
      <c r="C9" s="27" t="n">
        <f aca="false">C8/C7</f>
        <v>0.86895321456604</v>
      </c>
      <c r="D9" s="27" t="n">
        <f aca="false">D8/D7</f>
        <v>0.934202801160077</v>
      </c>
      <c r="E9" s="27" t="n">
        <f aca="false">D9*(1+Assumptions!$C$44)</f>
        <v>0.990254969229681</v>
      </c>
      <c r="F9" s="27" t="n">
        <f aca="false">E9*(1+Assumptions!$D$44)</f>
        <v>1.05957281707576</v>
      </c>
      <c r="G9" s="27" t="n">
        <f aca="false">F9*(1+Assumptions!$E$44)</f>
        <v>1.13374291427106</v>
      </c>
      <c r="H9" s="27" t="n">
        <f aca="false">G9*(1+Assumptions!$F$44)</f>
        <v>1.20176748912733</v>
      </c>
      <c r="I9" s="27" t="n">
        <f aca="false">H9*(1+Assumptions!$G$44)</f>
        <v>1.27387353847497</v>
      </c>
    </row>
    <row r="10" customFormat="false" ht="15" hidden="false" customHeight="true" outlineLevel="0" collapsed="false">
      <c r="A10" s="28" t="s">
        <v>189</v>
      </c>
      <c r="B10" s="17" t="n">
        <v>2273</v>
      </c>
      <c r="C10" s="17" t="n">
        <v>2096</v>
      </c>
      <c r="D10" s="17" t="n">
        <v>3404</v>
      </c>
      <c r="E10" s="8" t="n">
        <f aca="false">D10*(1+Assumptions!$C$45)</f>
        <v>4255</v>
      </c>
      <c r="F10" s="8" t="n">
        <f aca="false">E10*(1+Assumptions!$D$45)</f>
        <v>5020.9</v>
      </c>
      <c r="G10" s="8" t="n">
        <f aca="false">F10*(1+Assumptions!$E$45)</f>
        <v>5623.408</v>
      </c>
      <c r="H10" s="8" t="n">
        <f aca="false">G10*(1+Assumptions!$F$45)</f>
        <v>6185.7488</v>
      </c>
      <c r="I10" s="8" t="n">
        <f aca="false">H10*(1+Assumptions!$G$45)</f>
        <v>6680.608704</v>
      </c>
    </row>
    <row r="11" customFormat="false" ht="15" hidden="false" customHeight="true" outlineLevel="0" collapsed="false">
      <c r="A11" s="28" t="s">
        <v>190</v>
      </c>
      <c r="B11" s="17" t="n">
        <v>2323</v>
      </c>
      <c r="C11" s="17" t="n">
        <v>3984.5</v>
      </c>
      <c r="D11" s="17" t="n">
        <v>5956.8</v>
      </c>
      <c r="E11" s="8" t="n">
        <f aca="false">D11*(1+Assumptions!$C$45)*(1+Assumptions!$C$46)</f>
        <v>7818.3</v>
      </c>
      <c r="F11" s="8" t="n">
        <f aca="false">E11*(1+Assumptions!$D$45)*(1+Assumptions!$D$46)</f>
        <v>9686.8737</v>
      </c>
      <c r="G11" s="8" t="n">
        <f aca="false">F11*(1+Assumptions!$E$45)*(1+Assumptions!$E$46)</f>
        <v>11391.7634712</v>
      </c>
      <c r="H11" s="8" t="n">
        <f aca="false">G11*(1+Assumptions!$F$45)*(1+Assumptions!$F$46)</f>
        <v>13157.486809236</v>
      </c>
      <c r="I11" s="8" t="n">
        <f aca="false">H11*(1+Assumptions!$G$45)*(1+Assumptions!$G$46)</f>
        <v>14920.5900416736</v>
      </c>
    </row>
    <row r="12" customFormat="false" ht="15" hidden="false" customHeight="true" outlineLevel="0" collapsed="false">
      <c r="A12" s="28" t="s">
        <v>191</v>
      </c>
      <c r="B12" s="17" t="n">
        <v>13610</v>
      </c>
      <c r="C12" s="17" t="n">
        <v>20189</v>
      </c>
      <c r="D12" s="17" t="n">
        <v>33906</v>
      </c>
      <c r="E12" s="8" t="n">
        <f aca="false">D12*(1+Assumptions!$C$47)</f>
        <v>44077.8</v>
      </c>
      <c r="F12" s="8" t="n">
        <f aca="false">E12*(1+Assumptions!$D$47)</f>
        <v>52893.36</v>
      </c>
      <c r="G12" s="8" t="n">
        <f aca="false">F12*(1+Assumptions!$E$47)</f>
        <v>60827.364</v>
      </c>
      <c r="H12" s="8" t="n">
        <f aca="false">G12*(1+Assumptions!$F$47)</f>
        <v>68126.64768</v>
      </c>
      <c r="I12" s="8" t="n">
        <f aca="false">H12*(1+Assumptions!$G$47)</f>
        <v>74939.312448</v>
      </c>
    </row>
    <row r="13" customFormat="false" ht="15" hidden="false" customHeight="true" outlineLevel="0" collapsed="false">
      <c r="A13" s="28" t="s">
        <v>192</v>
      </c>
      <c r="B13" s="17" t="n">
        <v>854.2</v>
      </c>
      <c r="C13" s="17" t="n">
        <v>1378.2</v>
      </c>
      <c r="D13" s="17" t="n">
        <v>2203.8</v>
      </c>
      <c r="E13" s="8" t="n">
        <f aca="false">D13*(1+Assumptions!$C$47)*(1+Assumptions!$C$48)</f>
        <v>3008.187</v>
      </c>
      <c r="F13" s="8" t="n">
        <f aca="false">E13*(1+Assumptions!$D$47)*(1+Assumptions!$D$48)</f>
        <v>3790.31562</v>
      </c>
      <c r="G13" s="8" t="n">
        <f aca="false">F13*(1+Assumptions!$E$47)*(1+Assumptions!$E$48)</f>
        <v>4576.80611115</v>
      </c>
      <c r="H13" s="8" t="n">
        <f aca="false">G13*(1+Assumptions!$F$47)*(1+Assumptions!$F$48)</f>
        <v>5382.3239867124</v>
      </c>
      <c r="I13" s="8" t="n">
        <f aca="false">H13*(1+Assumptions!$G$47)*(1+Assumptions!$G$48)</f>
        <v>6216.58420465283</v>
      </c>
    </row>
    <row r="14" customFormat="false" ht="15" hidden="false" customHeight="true" outlineLevel="0" collapsed="false">
      <c r="A14" s="28" t="s">
        <v>193</v>
      </c>
      <c r="B14" s="17" t="n">
        <v>2506.8</v>
      </c>
      <c r="C14" s="17" t="n">
        <v>3815.5</v>
      </c>
      <c r="D14" s="17" t="n">
        <v>4242.8</v>
      </c>
      <c r="E14" s="8" t="n">
        <f aca="false">D14*(1+Assumptions!$C$49)</f>
        <v>5006.504</v>
      </c>
      <c r="F14" s="8" t="n">
        <f aca="false">E14*(1+Assumptions!$D$49)</f>
        <v>5757.4796</v>
      </c>
      <c r="G14" s="8" t="n">
        <f aca="false">F14*(1+Assumptions!$E$49)</f>
        <v>6448.377152</v>
      </c>
      <c r="H14" s="8" t="n">
        <f aca="false">G14*(1+Assumptions!$F$49)</f>
        <v>7093.2148672</v>
      </c>
      <c r="I14" s="8" t="n">
        <f aca="false">H14*(1+Assumptions!$G$49)</f>
        <v>7802.53635392</v>
      </c>
    </row>
    <row r="15" customFormat="false" ht="15" hidden="false" customHeight="true" outlineLevel="0" collapsed="false">
      <c r="A15" s="28" t="s">
        <v>194</v>
      </c>
      <c r="B15" s="17" t="n">
        <v>7625.2</v>
      </c>
      <c r="C15" s="17" t="n">
        <v>1353.4</v>
      </c>
      <c r="D15" s="17" t="n">
        <v>1127.6</v>
      </c>
      <c r="E15" s="8" t="n">
        <f aca="false">0</f>
        <v>0</v>
      </c>
      <c r="F15" s="8" t="n">
        <f aca="false">0</f>
        <v>0</v>
      </c>
      <c r="G15" s="8" t="n">
        <f aca="false">0</f>
        <v>0</v>
      </c>
      <c r="H15" s="8" t="n">
        <f aca="false">0</f>
        <v>0</v>
      </c>
      <c r="I15" s="8" t="n">
        <f aca="false">0</f>
        <v>0</v>
      </c>
    </row>
    <row r="16" customFormat="false" ht="15" hidden="false" customHeight="true" outlineLevel="0" collapsed="false">
      <c r="A16" s="28" t="s">
        <v>195</v>
      </c>
      <c r="B16" s="17" t="n">
        <v>23854</v>
      </c>
      <c r="C16" s="17" t="n">
        <v>47065</v>
      </c>
      <c r="D16" s="17" t="n">
        <v>66358.3</v>
      </c>
      <c r="E16" s="8" t="n">
        <f aca="false">SUM(E8,E11,E13,E14,E15)</f>
        <v>78549.56156</v>
      </c>
      <c r="F16" s="8" t="n">
        <f aca="false">SUM(F8,F11,F13,F14,F15)</f>
        <v>95736.341689088</v>
      </c>
      <c r="G16" s="8" t="n">
        <f aca="false">SUM(G8,G11,G13,G14,G15)</f>
        <v>112459.415583567</v>
      </c>
      <c r="H16" s="8" t="n">
        <f aca="false">SUM(H8,H11,H13,H14,H15)</f>
        <v>128713.644001732</v>
      </c>
      <c r="I16" s="8" t="n">
        <f aca="false">SUM(I8,I11,I13,I14,I15)</f>
        <v>144761.093365479</v>
      </c>
    </row>
    <row r="17" customFormat="false" ht="15" hidden="false" customHeight="true" outlineLevel="0" collapsed="false">
      <c r="A17" s="28" t="s">
        <v>196</v>
      </c>
      <c r="B17" s="17" t="n">
        <v>4950.9</v>
      </c>
      <c r="C17" s="17" t="n">
        <v>7383.6</v>
      </c>
      <c r="D17" s="17" t="n">
        <v>14743</v>
      </c>
      <c r="E17" s="8" t="n">
        <f aca="false">D17*(1+Assumptions!$C$50)</f>
        <v>21377.35</v>
      </c>
      <c r="F17" s="8" t="n">
        <f aca="false">E17*(1+Assumptions!$D$50)</f>
        <v>27790.555</v>
      </c>
      <c r="G17" s="8" t="n">
        <f aca="false">F17*(1+Assumptions!$E$50)</f>
        <v>34738.19375</v>
      </c>
      <c r="H17" s="8" t="n">
        <f aca="false">G17*(1+Assumptions!$F$50)</f>
        <v>41685.8325</v>
      </c>
      <c r="I17" s="8" t="n">
        <f aca="false">H17*(1+Assumptions!$G$50)</f>
        <v>49189.28235</v>
      </c>
    </row>
    <row r="18" customFormat="false" ht="15" hidden="false" customHeight="true" outlineLevel="0" collapsed="false">
      <c r="A18" s="28" t="s">
        <v>197</v>
      </c>
      <c r="B18" s="17" t="n">
        <v>-487.7</v>
      </c>
      <c r="C18" s="17" t="n">
        <v>-479</v>
      </c>
      <c r="D18" s="17" t="n">
        <v>-871.5</v>
      </c>
      <c r="E18" s="8" t="n">
        <f aca="false">-(E16+E17)*Assumptions!$C$73</f>
        <v>-1099.19602716</v>
      </c>
      <c r="F18" s="8" t="n">
        <f aca="false">-(F16+F17)*Assumptions!$D$73</f>
        <v>-1358.79586357997</v>
      </c>
      <c r="G18" s="8" t="n">
        <f aca="false">-(G16+G17)*Assumptions!$E$73</f>
        <v>-1619.17370266923</v>
      </c>
      <c r="H18" s="8" t="n">
        <f aca="false">-(H16+H17)*Assumptions!$F$73</f>
        <v>-1874.39424151905</v>
      </c>
      <c r="I18" s="8" t="n">
        <f aca="false">-(I16+I17)*Assumptions!$G$73</f>
        <v>-2133.45413287026</v>
      </c>
    </row>
    <row r="19" customFormat="false" ht="15" hidden="false" customHeight="true" outlineLevel="0" collapsed="false">
      <c r="A19" s="28" t="s">
        <v>198</v>
      </c>
      <c r="B19" s="8" t="n">
        <f aca="false">B16+B17+B18</f>
        <v>28317.2</v>
      </c>
      <c r="C19" s="8" t="n">
        <f aca="false">C16+C17+C18</f>
        <v>53969.6</v>
      </c>
      <c r="D19" s="8" t="n">
        <f aca="false">D16+D17+D18</f>
        <v>80229.8</v>
      </c>
      <c r="E19" s="8" t="n">
        <f aca="false">E16+E17+E18</f>
        <v>98827.71553284</v>
      </c>
      <c r="F19" s="8" t="n">
        <f aca="false">F16+F17+F18</f>
        <v>122168.100825508</v>
      </c>
      <c r="G19" s="8" t="n">
        <f aca="false">G16+G17+G18</f>
        <v>145578.435630897</v>
      </c>
      <c r="H19" s="8" t="n">
        <f aca="false">H16+H17+H18</f>
        <v>168525.082260213</v>
      </c>
      <c r="I19" s="8" t="n">
        <f aca="false">I16+I17+I18</f>
        <v>191816.921582608</v>
      </c>
    </row>
    <row r="21" customFormat="false" ht="15" hidden="false" customHeight="true" outlineLevel="0" collapsed="false">
      <c r="A21" s="28" t="s">
        <v>199</v>
      </c>
      <c r="B21" s="17" t="n">
        <v>5813.1</v>
      </c>
      <c r="C21" s="17" t="n">
        <v>9057.4</v>
      </c>
      <c r="D21" s="17" t="n">
        <v>9837.1</v>
      </c>
      <c r="E21" s="8" t="n">
        <f aca="false">E16*Assumptions!$C$52</f>
        <v>10839.83949528</v>
      </c>
      <c r="F21" s="8" t="n">
        <f aca="false">F16*Assumptions!$D$52</f>
        <v>13594.5605198505</v>
      </c>
      <c r="G21" s="8" t="n">
        <f aca="false">G16*Assumptions!$E$52</f>
        <v>16306.6152596172</v>
      </c>
      <c r="H21" s="8" t="n">
        <f aca="false">H16*Assumptions!$F$52</f>
        <v>18663.4783802511</v>
      </c>
      <c r="I21" s="8" t="n">
        <f aca="false">I16*Assumptions!$G$52</f>
        <v>20990.3585379944</v>
      </c>
    </row>
    <row r="22" customFormat="false" ht="15" hidden="false" customHeight="true" outlineLevel="0" collapsed="false">
      <c r="A22" s="28" t="s">
        <v>104</v>
      </c>
      <c r="B22" s="14" t="n">
        <f aca="false">B21/B16</f>
        <v>0.243694977781504</v>
      </c>
      <c r="C22" s="14" t="n">
        <f aca="false">C21/C16</f>
        <v>0.19244449166047</v>
      </c>
      <c r="D22" s="14" t="n">
        <f aca="false">D21/D16</f>
        <v>0.148242194269594</v>
      </c>
      <c r="E22" s="14" t="n">
        <f aca="false">E21/E16</f>
        <v>0.138</v>
      </c>
      <c r="F22" s="14" t="n">
        <f aca="false">F21/F16</f>
        <v>0.142</v>
      </c>
      <c r="G22" s="14" t="n">
        <f aca="false">G21/G16</f>
        <v>0.145</v>
      </c>
      <c r="H22" s="14" t="n">
        <f aca="false">H21/H16</f>
        <v>0.145</v>
      </c>
      <c r="I22" s="14" t="n">
        <f aca="false">I21/I16</f>
        <v>0.145</v>
      </c>
    </row>
    <row r="23" customFormat="false" ht="15" hidden="false" customHeight="true" outlineLevel="0" collapsed="false">
      <c r="A23" s="28" t="s">
        <v>200</v>
      </c>
      <c r="B23" s="17" t="n">
        <v>3460.9</v>
      </c>
      <c r="C23" s="17" t="n">
        <v>5564.9</v>
      </c>
      <c r="D23" s="17" t="n">
        <v>5830.9</v>
      </c>
      <c r="E23" s="8" t="n">
        <f aca="false">E21-E16*Assumptions!$C$53+E16*Assumptions!$C$54+E16*Assumptions!$C$55</f>
        <v>5812.66755544</v>
      </c>
      <c r="F23" s="8" t="n">
        <f aca="false">F21-F16*Assumptions!$D$53+F16*Assumptions!$D$54+F16*Assumptions!$D$55</f>
        <v>7563.17099343795</v>
      </c>
      <c r="G23" s="8" t="n">
        <f aca="false">G21-G16*Assumptions!$E$53+G16*Assumptions!$E$54+G16*Assumptions!$E$55</f>
        <v>9334.13149343603</v>
      </c>
      <c r="H23" s="8" t="n">
        <f aca="false">H21-H16*Assumptions!$F$53+H16*Assumptions!$F$54+H16*Assumptions!$F$55</f>
        <v>10811.9460961455</v>
      </c>
      <c r="I23" s="8" t="n">
        <f aca="false">I21-I16*Assumptions!$G$53+I16*Assumptions!$G$54+I16*Assumptions!$G$55</f>
        <v>12159.9318427002</v>
      </c>
    </row>
    <row r="24" customFormat="false" ht="15" hidden="false" customHeight="true" outlineLevel="0" collapsed="false">
      <c r="A24" s="28" t="s">
        <v>201</v>
      </c>
      <c r="B24" s="17" t="n">
        <v>374.3</v>
      </c>
      <c r="C24" s="17" t="n">
        <v>525.7</v>
      </c>
      <c r="D24" s="17" t="n">
        <v>683.3</v>
      </c>
      <c r="E24" s="8" t="n">
        <f aca="false">E16*Assumptions!$C$56</f>
        <v>864.04517716</v>
      </c>
      <c r="F24" s="8" t="n">
        <f aca="false">F16*Assumptions!$D$56</f>
        <v>1053.09975857997</v>
      </c>
      <c r="G24" s="8" t="n">
        <f aca="false">G16*Assumptions!$E$56</f>
        <v>1237.05357141923</v>
      </c>
      <c r="H24" s="8" t="n">
        <f aca="false">H16*Assumptions!$F$56</f>
        <v>1415.85008401905</v>
      </c>
      <c r="I24" s="8" t="n">
        <f aca="false">I16*Assumptions!$G$56</f>
        <v>1592.37202702026</v>
      </c>
    </row>
    <row r="25" customFormat="false" ht="15" hidden="false" customHeight="true" outlineLevel="0" collapsed="false">
      <c r="A25" s="28" t="s">
        <v>202</v>
      </c>
      <c r="B25" s="17" t="n">
        <v>3794.6</v>
      </c>
      <c r="C25" s="17" t="n">
        <v>5880.5</v>
      </c>
      <c r="D25" s="17" t="n">
        <v>6363.3</v>
      </c>
      <c r="E25" s="8" t="n">
        <f aca="false">E23+E24</f>
        <v>6676.7127326</v>
      </c>
      <c r="F25" s="8" t="n">
        <f aca="false">F23+F24</f>
        <v>8616.27075201792</v>
      </c>
      <c r="G25" s="8" t="n">
        <f aca="false">G23+G24</f>
        <v>10571.1850648553</v>
      </c>
      <c r="H25" s="8" t="n">
        <f aca="false">H23+H24</f>
        <v>12227.7961801645</v>
      </c>
      <c r="I25" s="8" t="n">
        <f aca="false">I23+I24</f>
        <v>13752.3038697205</v>
      </c>
    </row>
    <row r="26" customFormat="false" ht="15" hidden="false" customHeight="true" outlineLevel="0" collapsed="false">
      <c r="A26" s="28" t="s">
        <v>203</v>
      </c>
      <c r="B26" s="14" t="n">
        <f aca="false">B25/B16</f>
        <v>0.159076045946173</v>
      </c>
      <c r="C26" s="14" t="n">
        <f aca="false">C25/C16</f>
        <v>0.124944226070328</v>
      </c>
      <c r="D26" s="14" t="n">
        <f aca="false">D25/D16</f>
        <v>0.095893053318123</v>
      </c>
      <c r="E26" s="14" t="n">
        <f aca="false">E25/E16</f>
        <v>0.085</v>
      </c>
      <c r="F26" s="14" t="n">
        <f aca="false">F25/F16</f>
        <v>0.09</v>
      </c>
      <c r="G26" s="14" t="n">
        <f aca="false">G25/G16</f>
        <v>0.094</v>
      </c>
      <c r="H26" s="14" t="n">
        <f aca="false">H25/H16</f>
        <v>0.095</v>
      </c>
      <c r="I26" s="14" t="n">
        <f aca="false">I25/I16</f>
        <v>0.095</v>
      </c>
    </row>
    <row r="27" customFormat="false" ht="15" hidden="false" customHeight="true" outlineLevel="0" collapsed="false">
      <c r="A27" s="28" t="s">
        <v>204</v>
      </c>
      <c r="B27" s="17" t="n">
        <v>243.7</v>
      </c>
      <c r="C27" s="17" t="n">
        <v>380.1</v>
      </c>
      <c r="D27" s="17" t="n">
        <v>788.5</v>
      </c>
    </row>
    <row r="28" customFormat="false" ht="15" hidden="false" customHeight="true" outlineLevel="0" collapsed="false">
      <c r="A28" s="28" t="s">
        <v>205</v>
      </c>
      <c r="B28" s="17" t="n">
        <v>1207.6</v>
      </c>
      <c r="C28" s="17" t="n">
        <v>1091.5</v>
      </c>
      <c r="D28" s="17" t="n">
        <v>1365.9</v>
      </c>
    </row>
    <row r="29" customFormat="false" ht="15" hidden="false" customHeight="true" outlineLevel="0" collapsed="false">
      <c r="A29" s="28" t="s">
        <v>206</v>
      </c>
      <c r="B29" s="17" t="n">
        <v>8980.5</v>
      </c>
      <c r="C29" s="17" t="n">
        <v>13183.4</v>
      </c>
      <c r="D29" s="17" t="n">
        <v>19495.2</v>
      </c>
    </row>
    <row r="31" customFormat="false" ht="15" hidden="false" customHeight="true" outlineLevel="0" collapsed="false">
      <c r="A31" s="15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2"/>
    <col collapsed="false" customWidth="true" hidden="false" outlineLevel="0" max="7" min="3" style="1" width="12"/>
  </cols>
  <sheetData>
    <row r="1" customFormat="false" ht="15.75" hidden="false" customHeight="true" outlineLevel="0" collapsed="false">
      <c r="A1" s="2" t="s">
        <v>208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209</v>
      </c>
    </row>
    <row r="5" customFormat="false" ht="15" hidden="false" customHeight="true" outlineLevel="0" collapsed="false">
      <c r="A5" s="7" t="s">
        <v>33</v>
      </c>
      <c r="B5" s="7" t="s">
        <v>210</v>
      </c>
      <c r="C5" s="7" t="s">
        <v>211</v>
      </c>
    </row>
    <row r="6" customFormat="false" ht="15" hidden="false" customHeight="true" outlineLevel="0" collapsed="false">
      <c r="A6" s="8" t="s">
        <v>212</v>
      </c>
      <c r="B6" s="15" t="s">
        <v>213</v>
      </c>
      <c r="C6" s="10" t="n">
        <f aca="false">Assumptions!B27*Assumptions!B28/Assumptions!B6</f>
        <v>28.8807001381852</v>
      </c>
    </row>
    <row r="7" customFormat="false" ht="15" hidden="false" customHeight="true" outlineLevel="0" collapsed="false">
      <c r="A7" s="8" t="s">
        <v>214</v>
      </c>
      <c r="C7" s="10" t="n">
        <f aca="false">Assumptions!B27/Assumptions!B6</f>
        <v>3.04007369875633</v>
      </c>
    </row>
    <row r="8" customFormat="false" ht="15" hidden="false" customHeight="true" outlineLevel="0" collapsed="false">
      <c r="A8" s="8" t="s">
        <v>215</v>
      </c>
      <c r="C8" s="10" t="n">
        <f aca="false">'Income Statement'!E26/Assumptions!B6</f>
        <v>3.03778290266124</v>
      </c>
    </row>
    <row r="9" customFormat="false" ht="15" hidden="false" customHeight="true" outlineLevel="0" collapsed="false">
      <c r="A9" s="8" t="s">
        <v>216</v>
      </c>
      <c r="B9" s="15" t="s">
        <v>217</v>
      </c>
      <c r="C9" s="10" t="n">
        <f aca="false">Assumptions!B29*Assumptions!B30/Assumptions!B6</f>
        <v>32.8880700138185</v>
      </c>
    </row>
    <row r="10" customFormat="false" ht="15" hidden="false" customHeight="true" outlineLevel="0" collapsed="false">
      <c r="A10" s="8" t="s">
        <v>218</v>
      </c>
      <c r="C10" s="10" t="n">
        <f aca="false">Assumptions!B29/Assumptions!B6</f>
        <v>3.86918470750806</v>
      </c>
    </row>
    <row r="12" customFormat="false" ht="15" hidden="false" customHeight="true" outlineLevel="0" collapsed="false">
      <c r="A12" s="8" t="s">
        <v>219</v>
      </c>
      <c r="C12" s="29" t="n">
        <f aca="false">Assumptions!B5/('Balance Sheet'!D16/Assumptions!B6)</f>
        <v>1.17830520308315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1.5"/>
  </cols>
  <sheetData>
    <row r="1" customFormat="false" ht="15.75" hidden="false" customHeight="true" outlineLevel="0" collapsed="false">
      <c r="A1" s="2" t="s">
        <v>220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221</v>
      </c>
    </row>
    <row r="4" customFormat="false" ht="15" hidden="false" customHeight="true" outlineLevel="0" collapsed="false">
      <c r="B4" s="7" t="s">
        <v>90</v>
      </c>
      <c r="C4" s="7" t="s">
        <v>91</v>
      </c>
      <c r="D4" s="7" t="s">
        <v>92</v>
      </c>
      <c r="E4" s="7" t="s">
        <v>93</v>
      </c>
      <c r="F4" s="7" t="s">
        <v>94</v>
      </c>
    </row>
    <row r="6" customFormat="false" ht="15" hidden="false" customHeight="true" outlineLevel="0" collapsed="false">
      <c r="A6" s="6" t="s">
        <v>222</v>
      </c>
      <c r="B6" s="24" t="n">
        <f aca="false">Segments!E16</f>
        <v>78549.56156</v>
      </c>
      <c r="C6" s="24" t="n">
        <f aca="false">Segments!F16</f>
        <v>95736.341689088</v>
      </c>
      <c r="D6" s="24" t="n">
        <f aca="false">Segments!G16</f>
        <v>112459.415583567</v>
      </c>
      <c r="E6" s="24" t="n">
        <f aca="false">Segments!H16</f>
        <v>128713.644001732</v>
      </c>
      <c r="F6" s="24" t="n">
        <f aca="false">Segments!I16</f>
        <v>144761.093365479</v>
      </c>
    </row>
    <row r="7" customFormat="false" ht="15" hidden="false" customHeight="true" outlineLevel="0" collapsed="false">
      <c r="A7" s="6" t="s">
        <v>223</v>
      </c>
      <c r="B7" s="24" t="n">
        <f aca="false">Segments!E25</f>
        <v>6676.7127326</v>
      </c>
      <c r="C7" s="24" t="n">
        <f aca="false">Segments!F25</f>
        <v>8616.27075201792</v>
      </c>
      <c r="D7" s="24" t="n">
        <f aca="false">Segments!G25</f>
        <v>10571.1850648553</v>
      </c>
      <c r="E7" s="24" t="n">
        <f aca="false">Segments!H25</f>
        <v>12227.7961801645</v>
      </c>
      <c r="F7" s="24" t="n">
        <f aca="false">Segments!I25</f>
        <v>13752.3038697205</v>
      </c>
    </row>
    <row r="8" customFormat="false" ht="15" hidden="false" customHeight="true" outlineLevel="0" collapsed="false">
      <c r="A8" s="6" t="s">
        <v>224</v>
      </c>
      <c r="B8" s="24" t="n">
        <f aca="false">-Segments!E24</f>
        <v>-864.04517716</v>
      </c>
      <c r="C8" s="24" t="n">
        <f aca="false">-Segments!F24</f>
        <v>-1053.09975857997</v>
      </c>
      <c r="D8" s="24" t="n">
        <f aca="false">-Segments!G24</f>
        <v>-1237.05357141923</v>
      </c>
      <c r="E8" s="24" t="n">
        <f aca="false">-Segments!H24</f>
        <v>-1415.85008401905</v>
      </c>
      <c r="F8" s="24" t="n">
        <f aca="false">-Segments!I24</f>
        <v>-1592.37202702026</v>
      </c>
    </row>
    <row r="9" customFormat="false" ht="15" hidden="false" customHeight="true" outlineLevel="0" collapsed="false">
      <c r="A9" s="6" t="s">
        <v>225</v>
      </c>
      <c r="B9" s="24" t="n">
        <f aca="false">Segments!E23</f>
        <v>5812.66755544</v>
      </c>
      <c r="C9" s="24" t="n">
        <f aca="false">Segments!F23</f>
        <v>7563.17099343795</v>
      </c>
      <c r="D9" s="24" t="n">
        <f aca="false">Segments!G23</f>
        <v>9334.13149343603</v>
      </c>
      <c r="E9" s="24" t="n">
        <f aca="false">Segments!H23</f>
        <v>10811.9460961455</v>
      </c>
      <c r="F9" s="24" t="n">
        <f aca="false">Segments!I23</f>
        <v>12159.9318427002</v>
      </c>
    </row>
    <row r="10" customFormat="false" ht="15" hidden="false" customHeight="true" outlineLevel="0" collapsed="false">
      <c r="A10" s="6" t="s">
        <v>226</v>
      </c>
      <c r="B10" s="8" t="n">
        <f aca="false">B9*(1-Assumptions!$B$7)</f>
        <v>4185.1206399168</v>
      </c>
      <c r="C10" s="8" t="n">
        <f aca="false">C9*(1-Assumptions!$B$7)</f>
        <v>5445.48311527533</v>
      </c>
      <c r="D10" s="8" t="n">
        <f aca="false">D9*(1-Assumptions!$B$7)</f>
        <v>6720.57467527394</v>
      </c>
      <c r="E10" s="8" t="n">
        <f aca="false">E9*(1-Assumptions!$B$7)</f>
        <v>7784.60118922473</v>
      </c>
      <c r="F10" s="8" t="n">
        <f aca="false">F9*(1-Assumptions!$B$7)</f>
        <v>8755.15092674414</v>
      </c>
    </row>
    <row r="11" customFormat="false" ht="15" hidden="false" customHeight="true" outlineLevel="0" collapsed="false">
      <c r="A11" s="6" t="s">
        <v>227</v>
      </c>
      <c r="B11" s="24" t="n">
        <f aca="false">Segments!E24</f>
        <v>864.04517716</v>
      </c>
      <c r="C11" s="24" t="n">
        <f aca="false">Segments!F24</f>
        <v>1053.09975857997</v>
      </c>
      <c r="D11" s="24" t="n">
        <f aca="false">Segments!G24</f>
        <v>1237.05357141923</v>
      </c>
      <c r="E11" s="24" t="n">
        <f aca="false">Segments!H24</f>
        <v>1415.85008401905</v>
      </c>
      <c r="F11" s="24" t="n">
        <f aca="false">Segments!I24</f>
        <v>1592.37202702026</v>
      </c>
    </row>
    <row r="12" customFormat="false" ht="15" hidden="false" customHeight="true" outlineLevel="0" collapsed="false">
      <c r="A12" s="6" t="s">
        <v>228</v>
      </c>
      <c r="B12" s="8" t="n">
        <f aca="false">-Assumptions!$C$57</f>
        <v>-3000</v>
      </c>
      <c r="C12" s="8" t="n">
        <f aca="false">-Assumptions!$D$57</f>
        <v>-2400</v>
      </c>
      <c r="D12" s="8" t="n">
        <f aca="false">-Assumptions!$E$57</f>
        <v>-2500</v>
      </c>
      <c r="E12" s="8" t="n">
        <f aca="false">-Assumptions!$F$57</f>
        <v>-2600</v>
      </c>
      <c r="F12" s="8" t="n">
        <f aca="false">-Assumptions!$G$57</f>
        <v>-2800</v>
      </c>
    </row>
    <row r="13" customFormat="false" ht="15" hidden="false" customHeight="true" outlineLevel="0" collapsed="false">
      <c r="A13" s="6" t="s">
        <v>229</v>
      </c>
      <c r="B13" s="24" t="n">
        <f aca="false">-'Balance Sheet'!E31</f>
        <v>-1898.63381340001</v>
      </c>
      <c r="C13" s="24" t="n">
        <f aca="false">-'Balance Sheet'!F31</f>
        <v>-3118.45160887201</v>
      </c>
      <c r="D13" s="24" t="n">
        <f aca="false">-'Balance Sheet'!G31</f>
        <v>-2493.87723986614</v>
      </c>
      <c r="E13" s="24" t="n">
        <f aca="false">-'Balance Sheet'!H31</f>
        <v>-2532.60723825145</v>
      </c>
      <c r="F13" s="24" t="n">
        <f aca="false">-'Balance Sheet'!I31</f>
        <v>-2163.06517318828</v>
      </c>
    </row>
    <row r="14" customFormat="false" ht="15" hidden="false" customHeight="true" outlineLevel="0" collapsed="false">
      <c r="A14" s="12" t="s">
        <v>230</v>
      </c>
      <c r="B14" s="23" t="n">
        <f aca="false">SUM(B10:B13)</f>
        <v>150.532003676794</v>
      </c>
      <c r="C14" s="23" t="n">
        <f aca="false">SUM(C10:C13)</f>
        <v>980.131264983284</v>
      </c>
      <c r="D14" s="23" t="n">
        <f aca="false">SUM(D10:D13)</f>
        <v>2963.75100682703</v>
      </c>
      <c r="E14" s="23" t="n">
        <f aca="false">SUM(E10:E13)</f>
        <v>4067.84403499232</v>
      </c>
      <c r="F14" s="23" t="n">
        <f aca="false">SUM(F10:F13)</f>
        <v>5384.45778057612</v>
      </c>
    </row>
    <row r="15" customFormat="false" ht="15" hidden="false" customHeight="true" outlineLevel="0" collapsed="false">
      <c r="A15" s="6" t="s">
        <v>231</v>
      </c>
      <c r="B15" s="30" t="n">
        <f aca="false">1/(1+Assumptions!$B$16)^1</f>
        <v>0.813379665100284</v>
      </c>
      <c r="C15" s="30" t="n">
        <f aca="false">1/(1+Assumptions!$B$16)^2</f>
        <v>0.66158647959865</v>
      </c>
      <c r="D15" s="30" t="n">
        <f aca="false">1/(1+Assumptions!$B$16)^3</f>
        <v>0.538120989210825</v>
      </c>
      <c r="E15" s="30" t="n">
        <f aca="false">1/(1+Assumptions!$B$16)^4</f>
        <v>0.437696669987735</v>
      </c>
      <c r="F15" s="30" t="n">
        <f aca="false">1/(1+Assumptions!$B$16)^5</f>
        <v>0.356013570850133</v>
      </c>
    </row>
    <row r="16" customFormat="false" ht="15" hidden="false" customHeight="true" outlineLevel="0" collapsed="false">
      <c r="A16" s="12" t="s">
        <v>232</v>
      </c>
      <c r="B16" s="23" t="n">
        <f aca="false">B14*B15</f>
        <v>122.439670737506</v>
      </c>
      <c r="C16" s="23" t="n">
        <f aca="false">C14*C15</f>
        <v>648.441593144862</v>
      </c>
      <c r="D16" s="23" t="n">
        <f aca="false">D14*D15</f>
        <v>1594.85662356834</v>
      </c>
      <c r="E16" s="23" t="n">
        <f aca="false">E14*E15</f>
        <v>1780.48178814561</v>
      </c>
      <c r="F16" s="23" t="n">
        <f aca="false">F14*F15</f>
        <v>1916.94004155469</v>
      </c>
    </row>
    <row r="18" customFormat="false" ht="15" hidden="false" customHeight="true" outlineLevel="0" collapsed="false">
      <c r="A18" s="12" t="s">
        <v>233</v>
      </c>
      <c r="B18" s="23" t="n">
        <f aca="false">SUM(B16:F16)</f>
        <v>6063.159717151</v>
      </c>
    </row>
    <row r="19" customFormat="false" ht="15" hidden="false" customHeight="true" outlineLevel="0" collapsed="false">
      <c r="A19" s="6" t="s">
        <v>234</v>
      </c>
      <c r="B19" s="8" t="n">
        <f aca="false">F14*(1+Assumptions!$B$17)/(Assumptions!$B$16-Assumptions!$B$17)</f>
        <v>52462.1363247411</v>
      </c>
    </row>
    <row r="20" customFormat="false" ht="15" hidden="false" customHeight="true" outlineLevel="0" collapsed="false">
      <c r="A20" s="6" t="s">
        <v>235</v>
      </c>
      <c r="B20" s="8" t="n">
        <f aca="false">B19*F15</f>
        <v>18677.2324873975</v>
      </c>
    </row>
    <row r="21" customFormat="false" ht="15" hidden="false" customHeight="true" outlineLevel="0" collapsed="false">
      <c r="A21" s="12" t="s">
        <v>236</v>
      </c>
      <c r="B21" s="23" t="n">
        <f aca="false">B18+B20</f>
        <v>24740.3922045485</v>
      </c>
    </row>
    <row r="22" customFormat="false" ht="15" hidden="false" customHeight="true" outlineLevel="0" collapsed="false">
      <c r="A22" s="12" t="s">
        <v>237</v>
      </c>
      <c r="B22" s="19" t="n">
        <f aca="false">B20/B21</f>
        <v>0.754928714669435</v>
      </c>
    </row>
    <row r="23" customFormat="false" ht="15" hidden="false" customHeight="true" outlineLevel="0" collapsed="false">
      <c r="A23" s="6" t="s">
        <v>238</v>
      </c>
      <c r="B23" s="8" t="n">
        <f aca="false">-Assumptions!$B$19</f>
        <v>-15210</v>
      </c>
    </row>
    <row r="24" customFormat="false" ht="15" hidden="false" customHeight="true" outlineLevel="0" collapsed="false">
      <c r="A24" s="6" t="s">
        <v>239</v>
      </c>
      <c r="B24" s="8" t="n">
        <f aca="false">-Assumptions!$B$20</f>
        <v>-800.4</v>
      </c>
    </row>
    <row r="25" customFormat="false" ht="15" hidden="false" customHeight="true" outlineLevel="0" collapsed="false">
      <c r="A25" s="12" t="s">
        <v>240</v>
      </c>
      <c r="B25" s="23" t="n">
        <f aca="false">B21-Assumptions!$B$19-Assumptions!$B$20</f>
        <v>8729.99220454854</v>
      </c>
    </row>
    <row r="27" customFormat="false" ht="15" hidden="false" customHeight="true" outlineLevel="0" collapsed="false">
      <c r="A27" s="6" t="s">
        <v>241</v>
      </c>
      <c r="B27" s="8" t="n">
        <f aca="false">0.01*(1-Assumptions!$B$7)*(SUMPRODUCT(B6:F6,B15:F15)+F6*(1+Assumptions!$B$17)/(Assumptions!$B$16-Assumptions!$B$17)*F15)</f>
        <v>5743.84976870068</v>
      </c>
    </row>
    <row r="29" customFormat="false" ht="15" hidden="false" customHeight="true" outlineLevel="0" collapsed="false">
      <c r="A29" s="15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243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244</v>
      </c>
    </row>
    <row r="4" customFormat="false" ht="15" hidden="false" customHeight="true" outlineLevel="0" collapsed="false">
      <c r="A4" s="7"/>
      <c r="B4" s="7" t="s">
        <v>183</v>
      </c>
      <c r="C4" s="7" t="s">
        <v>184</v>
      </c>
      <c r="D4" s="7" t="s">
        <v>185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</row>
    <row r="6" customFormat="false" ht="15" hidden="false" customHeight="true" outlineLevel="0" collapsed="false">
      <c r="A6" s="6" t="s">
        <v>245</v>
      </c>
      <c r="B6" s="17" t="n">
        <v>23854</v>
      </c>
      <c r="C6" s="17" t="n">
        <v>47065</v>
      </c>
      <c r="D6" s="17" t="n">
        <v>66358.3</v>
      </c>
      <c r="E6" s="24" t="n">
        <f aca="false">Segments!E16</f>
        <v>78549.56156</v>
      </c>
      <c r="F6" s="24" t="n">
        <f aca="false">Segments!F16</f>
        <v>95736.341689088</v>
      </c>
      <c r="G6" s="24" t="n">
        <f aca="false">Segments!G16</f>
        <v>112459.415583567</v>
      </c>
      <c r="H6" s="24" t="n">
        <f aca="false">Segments!H16</f>
        <v>128713.644001732</v>
      </c>
      <c r="I6" s="24" t="n">
        <f aca="false">Segments!I16</f>
        <v>144761.093365479</v>
      </c>
    </row>
    <row r="7" customFormat="false" ht="15" hidden="false" customHeight="true" outlineLevel="0" collapsed="false">
      <c r="A7" s="6" t="s">
        <v>196</v>
      </c>
      <c r="B7" s="17" t="n">
        <v>4950.9</v>
      </c>
      <c r="C7" s="17" t="n">
        <v>7383.6</v>
      </c>
      <c r="D7" s="17" t="n">
        <v>14743</v>
      </c>
      <c r="E7" s="24" t="n">
        <f aca="false">Segments!E17</f>
        <v>21377.35</v>
      </c>
      <c r="F7" s="24" t="n">
        <f aca="false">Segments!F17</f>
        <v>27790.555</v>
      </c>
      <c r="G7" s="24" t="n">
        <f aca="false">Segments!G17</f>
        <v>34738.19375</v>
      </c>
      <c r="H7" s="24" t="n">
        <f aca="false">Segments!H17</f>
        <v>41685.8325</v>
      </c>
      <c r="I7" s="24" t="n">
        <f aca="false">Segments!I17</f>
        <v>49189.28235</v>
      </c>
    </row>
    <row r="8" customFormat="false" ht="15" hidden="false" customHeight="true" outlineLevel="0" collapsed="false">
      <c r="A8" s="6" t="s">
        <v>197</v>
      </c>
      <c r="B8" s="17" t="n">
        <v>-487.7</v>
      </c>
      <c r="C8" s="17" t="n">
        <v>-479</v>
      </c>
      <c r="D8" s="17" t="n">
        <v>-871.5</v>
      </c>
      <c r="E8" s="24" t="n">
        <f aca="false">Segments!E18</f>
        <v>-1099.19602716</v>
      </c>
      <c r="F8" s="24" t="n">
        <f aca="false">Segments!F18</f>
        <v>-1358.79586357997</v>
      </c>
      <c r="G8" s="24" t="n">
        <f aca="false">Segments!G18</f>
        <v>-1619.17370266923</v>
      </c>
      <c r="H8" s="24" t="n">
        <f aca="false">Segments!H18</f>
        <v>-1874.39424151905</v>
      </c>
      <c r="I8" s="24" t="n">
        <f aca="false">Segments!I18</f>
        <v>-2133.45413287026</v>
      </c>
    </row>
    <row r="9" customFormat="false" ht="15" hidden="false" customHeight="true" outlineLevel="0" collapsed="false">
      <c r="A9" s="12" t="s">
        <v>246</v>
      </c>
      <c r="B9" s="31" t="n">
        <v>28317.2</v>
      </c>
      <c r="C9" s="31" t="n">
        <v>53969.5</v>
      </c>
      <c r="D9" s="31" t="n">
        <v>80229.8</v>
      </c>
      <c r="E9" s="23" t="n">
        <f aca="false">SUM(E6:E8)</f>
        <v>98827.71553284</v>
      </c>
      <c r="F9" s="23" t="n">
        <f aca="false">SUM(F6:F8)</f>
        <v>122168.100825508</v>
      </c>
      <c r="G9" s="23" t="n">
        <f aca="false">SUM(G6:G8)</f>
        <v>145578.435630897</v>
      </c>
      <c r="H9" s="23" t="n">
        <f aca="false">SUM(H6:H8)</f>
        <v>168525.082260213</v>
      </c>
      <c r="I9" s="23" t="n">
        <f aca="false">SUM(I6:I8)</f>
        <v>191816.921582608</v>
      </c>
    </row>
    <row r="10" customFormat="false" ht="15" hidden="false" customHeight="true" outlineLevel="0" collapsed="false">
      <c r="A10" s="6" t="s">
        <v>247</v>
      </c>
      <c r="B10" s="17" t="n">
        <v>6884.3</v>
      </c>
      <c r="C10" s="17" t="n">
        <v>10514.6</v>
      </c>
      <c r="D10" s="17" t="n">
        <v>12431.1</v>
      </c>
      <c r="E10" s="24" t="n">
        <f aca="false">Segments!E21+Segments!E17*Assumptions!$C$67+Segments!E18*0.2</f>
        <v>14638.942089848</v>
      </c>
      <c r="F10" s="24" t="n">
        <f aca="false">Segments!F21+Segments!F17*Assumptions!$D$67+Segments!F18*0.2</f>
        <v>18603.0067971345</v>
      </c>
      <c r="G10" s="24" t="n">
        <f aca="false">Segments!G21+Segments!G17*Assumptions!$E$67+Segments!G18*0.2</f>
        <v>22652.5137190833</v>
      </c>
      <c r="H10" s="24" t="n">
        <f aca="false">Segments!H21+Segments!H17*Assumptions!$F$67+Segments!H18*0.2</f>
        <v>26375.6510369473</v>
      </c>
      <c r="I10" s="24" t="n">
        <f aca="false">Segments!I21+Segments!I17*Assumptions!$G$67+Segments!I18*0.2</f>
        <v>30204.7670520203</v>
      </c>
    </row>
    <row r="11" customFormat="false" ht="15" hidden="false" customHeight="true" outlineLevel="0" collapsed="false">
      <c r="A11" s="6" t="s">
        <v>248</v>
      </c>
      <c r="B11" s="14" t="n">
        <f aca="false">B10/B9</f>
        <v>0.243113725933355</v>
      </c>
      <c r="C11" s="14" t="n">
        <f aca="false">C10/C9</f>
        <v>0.194824854779088</v>
      </c>
      <c r="D11" s="14" t="n">
        <f aca="false">D10/D9</f>
        <v>0.154943674295586</v>
      </c>
      <c r="E11" s="14" t="n">
        <f aca="false">E10/E9</f>
        <v>0.148125877552877</v>
      </c>
      <c r="F11" s="14" t="n">
        <f aca="false">F10/F9</f>
        <v>0.152273847849244</v>
      </c>
      <c r="G11" s="14" t="n">
        <f aca="false">G10/G9</f>
        <v>0.155603497323717</v>
      </c>
      <c r="H11" s="14" t="n">
        <f aca="false">H10/H9</f>
        <v>0.156508756341811</v>
      </c>
      <c r="I11" s="14" t="n">
        <f aca="false">I10/I9</f>
        <v>0.157466644771547</v>
      </c>
    </row>
    <row r="12" customFormat="false" ht="15" hidden="false" customHeight="true" outlineLevel="0" collapsed="false">
      <c r="A12" s="6" t="s">
        <v>249</v>
      </c>
      <c r="B12" s="17" t="n">
        <v>-3430.8</v>
      </c>
      <c r="C12" s="17" t="n">
        <v>-4843.6</v>
      </c>
      <c r="D12" s="17" t="n">
        <v>-6547.3</v>
      </c>
      <c r="E12" s="8" t="n">
        <f aca="false">-E9*Assumptions!$C$64</f>
        <v>-7906.2172426272</v>
      </c>
      <c r="F12" s="8" t="n">
        <f aca="false">-F9*Assumptions!$D$64</f>
        <v>-9651.27996521514</v>
      </c>
      <c r="G12" s="8" t="n">
        <f aca="false">-G9*Assumptions!$E$64</f>
        <v>-11355.11797921</v>
      </c>
      <c r="H12" s="8" t="n">
        <f aca="false">-H9*Assumptions!$F$64</f>
        <v>-13060.6938751665</v>
      </c>
      <c r="I12" s="8" t="n">
        <f aca="false">-I9*Assumptions!$G$64</f>
        <v>-14769.9029618608</v>
      </c>
    </row>
    <row r="13" customFormat="false" ht="15" hidden="false" customHeight="true" outlineLevel="0" collapsed="false">
      <c r="A13" s="6" t="s">
        <v>250</v>
      </c>
      <c r="B13" s="17" t="n">
        <v>518.8</v>
      </c>
      <c r="C13" s="17" t="n">
        <v>505.6</v>
      </c>
      <c r="D13" s="17" t="n">
        <v>912.2</v>
      </c>
      <c r="E13" s="8" t="n">
        <f aca="false">E9*Assumptions!$C$65</f>
        <v>1087.10487086124</v>
      </c>
      <c r="F13" s="8" t="n">
        <f aca="false">F9*Assumptions!$D$65</f>
        <v>1343.84910908059</v>
      </c>
      <c r="G13" s="8" t="n">
        <f aca="false">G9*Assumptions!$E$65</f>
        <v>1601.36279193987</v>
      </c>
      <c r="H13" s="8" t="n">
        <f aca="false">H9*Assumptions!$F$65</f>
        <v>1853.77590486234</v>
      </c>
      <c r="I13" s="8" t="n">
        <f aca="false">I9*Assumptions!$G$65</f>
        <v>2109.98613740869</v>
      </c>
    </row>
    <row r="14" customFormat="false" ht="15" hidden="false" customHeight="true" outlineLevel="0" collapsed="false">
      <c r="A14" s="6" t="s">
        <v>251</v>
      </c>
      <c r="B14" s="17" t="n">
        <v>-268.9</v>
      </c>
      <c r="C14" s="17" t="n">
        <v>-355.7</v>
      </c>
      <c r="D14" s="17" t="n">
        <v>-165.1</v>
      </c>
      <c r="E14" s="8" t="n">
        <f aca="false">E9*Assumptions!$C$66</f>
        <v>-296.48314659852</v>
      </c>
      <c r="F14" s="8" t="n">
        <f aca="false">F9*Assumptions!$D$66</f>
        <v>-366.504302476524</v>
      </c>
      <c r="G14" s="8" t="n">
        <f aca="false">G9*Assumptions!$E$66</f>
        <v>-436.735306892692</v>
      </c>
      <c r="H14" s="8" t="n">
        <f aca="false">H9*Assumptions!$F$66</f>
        <v>-505.575246780638</v>
      </c>
      <c r="I14" s="8" t="n">
        <f aca="false">I9*Assumptions!$G$66</f>
        <v>-575.450764747825</v>
      </c>
    </row>
    <row r="15" customFormat="false" ht="15" hidden="false" customHeight="true" outlineLevel="0" collapsed="false">
      <c r="A15" s="12" t="s">
        <v>252</v>
      </c>
      <c r="B15" s="31" t="n">
        <v>3703.4</v>
      </c>
      <c r="C15" s="31" t="n">
        <v>5820.8</v>
      </c>
      <c r="D15" s="31" t="n">
        <v>6631</v>
      </c>
      <c r="E15" s="23" t="n">
        <f aca="false">SUM(E10,E12:E14)</f>
        <v>7523.34657148352</v>
      </c>
      <c r="F15" s="23" t="n">
        <f aca="false">SUM(F10,F12:F14)</f>
        <v>9929.07163852344</v>
      </c>
      <c r="G15" s="23" t="n">
        <f aca="false">SUM(G10,G12:G14)</f>
        <v>12462.0232249205</v>
      </c>
      <c r="H15" s="23" t="n">
        <f aca="false">SUM(H10,H12:H14)</f>
        <v>14663.1578198625</v>
      </c>
      <c r="I15" s="23" t="n">
        <f aca="false">SUM(I10,I12:I14)</f>
        <v>16969.3994628204</v>
      </c>
    </row>
    <row r="16" customFormat="false" ht="15" hidden="false" customHeight="true" outlineLevel="0" collapsed="false">
      <c r="A16" s="6" t="s">
        <v>253</v>
      </c>
      <c r="B16" s="17" t="n">
        <v>1066.1</v>
      </c>
      <c r="C16" s="17" t="n">
        <v>867.6</v>
      </c>
      <c r="D16" s="17" t="n">
        <v>974.8</v>
      </c>
      <c r="E16" s="8" t="n">
        <f aca="false">Assumptions!$C$68</f>
        <v>1250</v>
      </c>
      <c r="F16" s="8" t="n">
        <f aca="false">Assumptions!$D$68</f>
        <v>1430</v>
      </c>
      <c r="G16" s="8" t="n">
        <f aca="false">Assumptions!$E$68</f>
        <v>1630</v>
      </c>
      <c r="H16" s="8" t="n">
        <f aca="false">Assumptions!$F$68</f>
        <v>1830</v>
      </c>
      <c r="I16" s="8" t="n">
        <f aca="false">Assumptions!$G$68</f>
        <v>2030</v>
      </c>
    </row>
    <row r="17" customFormat="false" ht="15" hidden="false" customHeight="true" outlineLevel="0" collapsed="false">
      <c r="A17" s="12" t="s">
        <v>225</v>
      </c>
      <c r="B17" s="31" t="n">
        <v>4769.5</v>
      </c>
      <c r="C17" s="31" t="n">
        <v>6688.5</v>
      </c>
      <c r="D17" s="31" t="n">
        <v>7605.7</v>
      </c>
      <c r="E17" s="23" t="n">
        <f aca="false">E15+E16</f>
        <v>8773.34657148352</v>
      </c>
      <c r="F17" s="23" t="n">
        <f aca="false">F15+F16</f>
        <v>11359.0716385234</v>
      </c>
      <c r="G17" s="23" t="n">
        <f aca="false">G15+G16</f>
        <v>14092.0232249205</v>
      </c>
      <c r="H17" s="23" t="n">
        <f aca="false">H15+H16</f>
        <v>16493.1578198625</v>
      </c>
      <c r="I17" s="23" t="n">
        <f aca="false">I15+I16</f>
        <v>18999.3994628204</v>
      </c>
    </row>
    <row r="18" customFormat="false" ht="15" hidden="false" customHeight="true" outlineLevel="0" collapsed="false">
      <c r="A18" s="6" t="s">
        <v>254</v>
      </c>
      <c r="B18" s="17" t="n">
        <v>820</v>
      </c>
      <c r="C18" s="17" t="n">
        <v>1030</v>
      </c>
      <c r="D18" s="17" t="n">
        <v>1243</v>
      </c>
      <c r="E18" s="24" t="n">
        <f aca="false">Segments!E24+Assumptions!$C$59</f>
        <v>1424.04517716</v>
      </c>
      <c r="F18" s="24" t="n">
        <f aca="false">Segments!F24+Assumptions!$D$59</f>
        <v>1693.09975857997</v>
      </c>
      <c r="G18" s="24" t="n">
        <f aca="false">Segments!G24+Assumptions!$E$59</f>
        <v>1967.05357141923</v>
      </c>
      <c r="H18" s="24" t="n">
        <f aca="false">Segments!H24+Assumptions!$F$59</f>
        <v>2245.85008401905</v>
      </c>
      <c r="I18" s="24" t="n">
        <f aca="false">Segments!I24+Assumptions!$G$59</f>
        <v>2532.37202702026</v>
      </c>
    </row>
    <row r="19" customFormat="false" ht="15" hidden="false" customHeight="true" outlineLevel="0" collapsed="false">
      <c r="A19" s="6" t="s">
        <v>255</v>
      </c>
      <c r="B19" s="8" t="n">
        <f aca="false">B17+B18</f>
        <v>5589.5</v>
      </c>
      <c r="C19" s="8" t="n">
        <f aca="false">C17+C18</f>
        <v>7718.5</v>
      </c>
      <c r="D19" s="8" t="n">
        <f aca="false">D17+D18</f>
        <v>8848.7</v>
      </c>
      <c r="E19" s="8" t="n">
        <f aca="false">E17+E18</f>
        <v>10197.3917486435</v>
      </c>
      <c r="F19" s="8" t="n">
        <f aca="false">F17+F18</f>
        <v>13052.1713971034</v>
      </c>
      <c r="G19" s="8" t="n">
        <f aca="false">G17+G18</f>
        <v>16059.0767963397</v>
      </c>
      <c r="H19" s="8" t="n">
        <f aca="false">H17+H18</f>
        <v>18739.0079038815</v>
      </c>
      <c r="I19" s="8" t="n">
        <f aca="false">I17+I18</f>
        <v>21531.7714898406</v>
      </c>
    </row>
    <row r="20" customFormat="false" ht="15" hidden="false" customHeight="true" outlineLevel="0" collapsed="false">
      <c r="A20" s="6" t="s">
        <v>256</v>
      </c>
      <c r="B20" s="17" t="n">
        <v>-1499.2</v>
      </c>
      <c r="C20" s="17" t="n">
        <v>-291.6</v>
      </c>
      <c r="D20" s="17" t="n">
        <v>-37.1</v>
      </c>
      <c r="E20" s="8" t="n">
        <f aca="false">0</f>
        <v>0</v>
      </c>
      <c r="F20" s="8" t="n">
        <f aca="false">0</f>
        <v>0</v>
      </c>
      <c r="G20" s="8" t="n">
        <f aca="false">0</f>
        <v>0</v>
      </c>
      <c r="H20" s="8" t="n">
        <f aca="false">0</f>
        <v>0</v>
      </c>
      <c r="I20" s="8" t="n">
        <f aca="false">0</f>
        <v>0</v>
      </c>
    </row>
    <row r="21" customFormat="false" ht="15" hidden="false" customHeight="true" outlineLevel="0" collapsed="false">
      <c r="A21" s="6" t="s">
        <v>257</v>
      </c>
      <c r="B21" s="17" t="n">
        <v>-965.8</v>
      </c>
      <c r="C21" s="17" t="n">
        <v>-2397.8</v>
      </c>
      <c r="D21" s="17" t="n">
        <v>-3702.1</v>
      </c>
      <c r="E21" s="8" t="n">
        <f aca="false">Assumptions!$C$69</f>
        <v>-4100</v>
      </c>
      <c r="F21" s="8" t="n">
        <f aca="false">Assumptions!$D$69</f>
        <v>-3800</v>
      </c>
      <c r="G21" s="8" t="n">
        <f aca="false">Assumptions!$E$69</f>
        <v>-3500</v>
      </c>
      <c r="H21" s="8" t="n">
        <f aca="false">Assumptions!$F$69</f>
        <v>-3300</v>
      </c>
      <c r="I21" s="8" t="n">
        <f aca="false">Assumptions!$G$69</f>
        <v>-3100</v>
      </c>
    </row>
    <row r="22" customFormat="false" ht="15" hidden="false" customHeight="true" outlineLevel="0" collapsed="false">
      <c r="A22" s="12" t="s">
        <v>258</v>
      </c>
      <c r="B22" s="31" t="n">
        <v>2304.4</v>
      </c>
      <c r="C22" s="31" t="n">
        <v>3999.1</v>
      </c>
      <c r="D22" s="31" t="n">
        <v>3866.5</v>
      </c>
      <c r="E22" s="23" t="n">
        <f aca="false">E17+E20+E21</f>
        <v>4673.34657148352</v>
      </c>
      <c r="F22" s="23" t="n">
        <f aca="false">F17+F20+F21</f>
        <v>7559.07163852344</v>
      </c>
      <c r="G22" s="23" t="n">
        <f aca="false">G17+G20+G21</f>
        <v>10592.0232249205</v>
      </c>
      <c r="H22" s="23" t="n">
        <f aca="false">H17+H20+H21</f>
        <v>13193.1578198625</v>
      </c>
      <c r="I22" s="23" t="n">
        <f aca="false">I17+I20+I21</f>
        <v>15899.3994628204</v>
      </c>
    </row>
    <row r="23" customFormat="false" ht="15" hidden="false" customHeight="true" outlineLevel="0" collapsed="false">
      <c r="A23" s="6" t="s">
        <v>259</v>
      </c>
      <c r="B23" s="17" t="n">
        <v>-493.2</v>
      </c>
      <c r="C23" s="17" t="n">
        <v>-939.2</v>
      </c>
      <c r="D23" s="17" t="n">
        <v>-1086.1</v>
      </c>
      <c r="E23" s="8" t="n">
        <f aca="false">-E22*Assumptions!$B$7</f>
        <v>-1308.53704001539</v>
      </c>
      <c r="F23" s="8" t="n">
        <f aca="false">-F22*Assumptions!$B$7</f>
        <v>-2116.54005878656</v>
      </c>
      <c r="G23" s="8" t="n">
        <f aca="false">-G22*Assumptions!$B$7</f>
        <v>-2965.76650297774</v>
      </c>
      <c r="H23" s="8" t="n">
        <f aca="false">-H22*Assumptions!$B$7</f>
        <v>-3694.0841895615</v>
      </c>
      <c r="I23" s="8" t="n">
        <f aca="false">-I22*Assumptions!$B$7</f>
        <v>-4451.8318495897</v>
      </c>
    </row>
    <row r="24" customFormat="false" ht="15" hidden="false" customHeight="true" outlineLevel="0" collapsed="false">
      <c r="A24" s="12" t="s">
        <v>260</v>
      </c>
      <c r="B24" s="31" t="n">
        <v>1811.2</v>
      </c>
      <c r="C24" s="31" t="n">
        <v>3059.9</v>
      </c>
      <c r="D24" s="31" t="n">
        <v>2780.5</v>
      </c>
      <c r="E24" s="23" t="n">
        <f aca="false">E22+E23</f>
        <v>3364.80953146814</v>
      </c>
      <c r="F24" s="23" t="n">
        <f aca="false">F22+F23</f>
        <v>5442.53157973688</v>
      </c>
      <c r="G24" s="23" t="n">
        <f aca="false">G22+G23</f>
        <v>7626.25672194276</v>
      </c>
      <c r="H24" s="23" t="n">
        <f aca="false">H22+H23</f>
        <v>9499.073630301</v>
      </c>
      <c r="I24" s="23" t="n">
        <f aca="false">I22+I23</f>
        <v>11447.5676132307</v>
      </c>
    </row>
    <row r="25" customFormat="false" ht="15" hidden="false" customHeight="true" outlineLevel="0" collapsed="false">
      <c r="A25" s="6" t="s">
        <v>261</v>
      </c>
      <c r="B25" s="17" t="n">
        <v>79.5</v>
      </c>
      <c r="C25" s="17" t="n">
        <v>-131.8</v>
      </c>
      <c r="D25" s="17" t="n">
        <v>99.6</v>
      </c>
      <c r="E25" s="8" t="n">
        <f aca="false">E24*Assumptions!$C$70</f>
        <v>-67.2961906293627</v>
      </c>
      <c r="F25" s="8" t="n">
        <f aca="false">F24*Assumptions!$D$70</f>
        <v>-108.850631594738</v>
      </c>
      <c r="G25" s="8" t="n">
        <f aca="false">G24*Assumptions!$E$70</f>
        <v>-152.525134438855</v>
      </c>
      <c r="H25" s="8" t="n">
        <f aca="false">H24*Assumptions!$F$70</f>
        <v>-189.98147260602</v>
      </c>
      <c r="I25" s="8" t="n">
        <f aca="false">I24*Assumptions!$G$70</f>
        <v>-228.951352264613</v>
      </c>
    </row>
    <row r="26" customFormat="false" ht="15" hidden="false" customHeight="true" outlineLevel="0" collapsed="false">
      <c r="A26" s="12" t="s">
        <v>262</v>
      </c>
      <c r="B26" s="31" t="n">
        <v>1890.8</v>
      </c>
      <c r="C26" s="31" t="n">
        <v>2928.1</v>
      </c>
      <c r="D26" s="31" t="n">
        <v>2880</v>
      </c>
      <c r="E26" s="23" t="n">
        <f aca="false">E24+E25</f>
        <v>3297.51334083877</v>
      </c>
      <c r="F26" s="23" t="n">
        <f aca="false">F24+F25</f>
        <v>5333.68094814214</v>
      </c>
      <c r="G26" s="23" t="n">
        <f aca="false">G24+G25</f>
        <v>7473.7315875039</v>
      </c>
      <c r="H26" s="23" t="n">
        <f aca="false">H24+H25</f>
        <v>9309.09215769498</v>
      </c>
      <c r="I26" s="23" t="n">
        <f aca="false">I24+I25</f>
        <v>11218.616260966</v>
      </c>
    </row>
    <row r="27" customFormat="false" ht="15" hidden="false" customHeight="true" outlineLevel="0" collapsed="false">
      <c r="A27" s="6" t="s">
        <v>263</v>
      </c>
      <c r="B27" s="14" t="n">
        <f aca="false">B26/B9</f>
        <v>0.0667721384882686</v>
      </c>
      <c r="C27" s="14" t="n">
        <f aca="false">C26/C9</f>
        <v>0.0542547179425416</v>
      </c>
      <c r="D27" s="14" t="n">
        <f aca="false">D26/D9</f>
        <v>0.0358968861944066</v>
      </c>
      <c r="E27" s="14" t="n">
        <f aca="false">E26/E9</f>
        <v>0.0333662811394545</v>
      </c>
      <c r="F27" s="14" t="n">
        <f aca="false">F26/F9</f>
        <v>0.0436585402580679</v>
      </c>
      <c r="G27" s="14" t="n">
        <f aca="false">G26/G9</f>
        <v>0.0513381776299132</v>
      </c>
      <c r="H27" s="14" t="n">
        <f aca="false">H26/H9</f>
        <v>0.0552386151238971</v>
      </c>
      <c r="I27" s="14" t="n">
        <f aca="false">I26/I9</f>
        <v>0.0584860614402813</v>
      </c>
    </row>
    <row r="29" customFormat="false" ht="15" hidden="false" customHeight="true" outlineLevel="0" collapsed="false">
      <c r="A29" s="15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265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266</v>
      </c>
    </row>
    <row r="4" customFormat="false" ht="15" hidden="false" customHeight="true" outlineLevel="0" collapsed="false">
      <c r="A4" s="7"/>
      <c r="B4" s="7" t="s">
        <v>183</v>
      </c>
      <c r="C4" s="7" t="s">
        <v>184</v>
      </c>
      <c r="D4" s="7" t="s">
        <v>185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</row>
    <row r="6" customFormat="false" ht="15" hidden="false" customHeight="true" outlineLevel="0" collapsed="false">
      <c r="A6" s="6" t="s">
        <v>267</v>
      </c>
      <c r="B6" s="17" t="n">
        <v>6937.4</v>
      </c>
      <c r="C6" s="17" t="n">
        <v>10360.6</v>
      </c>
      <c r="D6" s="17" t="n">
        <v>13389.1</v>
      </c>
      <c r="E6" s="24" t="n">
        <f aca="false">D6+Assumptions!$C$57+Assumptions!$C$58-'Income Statement'!E18</f>
        <v>15665.05482284</v>
      </c>
      <c r="F6" s="24" t="n">
        <f aca="false">E6+Assumptions!$D$57+Assumptions!$D$58-'Income Statement'!F18</f>
        <v>17171.95506426</v>
      </c>
      <c r="G6" s="24" t="n">
        <f aca="false">F6+Assumptions!$E$57+Assumptions!$E$58-'Income Statement'!G18</f>
        <v>18604.9014928408</v>
      </c>
      <c r="H6" s="24" t="n">
        <f aca="false">G6+Assumptions!$F$57+Assumptions!$F$58-'Income Statement'!H18</f>
        <v>19959.0514088218</v>
      </c>
      <c r="I6" s="24" t="n">
        <f aca="false">H6+Assumptions!$G$57+Assumptions!$G$58-'Income Statement'!I18</f>
        <v>21326.6793818015</v>
      </c>
    </row>
    <row r="7" customFormat="false" ht="15" hidden="false" customHeight="true" outlineLevel="0" collapsed="false">
      <c r="A7" s="6" t="s">
        <v>268</v>
      </c>
      <c r="B7" s="17" t="n">
        <v>10732.4</v>
      </c>
      <c r="C7" s="17" t="n">
        <v>11743.6</v>
      </c>
      <c r="D7" s="17" t="n">
        <v>13689.5</v>
      </c>
      <c r="E7" s="8" t="n">
        <f aca="false">D7+Assumptions!$C$68</f>
        <v>14939.5</v>
      </c>
      <c r="F7" s="8" t="n">
        <f aca="false">E7+Assumptions!$D$68</f>
        <v>16369.5</v>
      </c>
      <c r="G7" s="8" t="n">
        <f aca="false">F7+Assumptions!$E$68</f>
        <v>17999.5</v>
      </c>
      <c r="H7" s="8" t="n">
        <f aca="false">G7+Assumptions!$F$68</f>
        <v>19829.5</v>
      </c>
      <c r="I7" s="8" t="n">
        <f aca="false">H7+Assumptions!$G$68</f>
        <v>21859.5</v>
      </c>
    </row>
    <row r="8" customFormat="false" ht="15" hidden="false" customHeight="true" outlineLevel="0" collapsed="false">
      <c r="A8" s="6" t="s">
        <v>269</v>
      </c>
      <c r="B8" s="17" t="n">
        <v>7681.4</v>
      </c>
      <c r="C8" s="17" t="n">
        <v>11483</v>
      </c>
      <c r="D8" s="17" t="n">
        <v>17518.3</v>
      </c>
      <c r="E8" s="8" t="n">
        <f aca="false">D8*(1+Assumptions!$C$51)</f>
        <v>23649.705</v>
      </c>
      <c r="F8" s="8" t="n">
        <f aca="false">E8*(1+Assumptions!$D$51)</f>
        <v>30271.6224</v>
      </c>
      <c r="G8" s="8" t="n">
        <f aca="false">F8*(1+Assumptions!$E$51)</f>
        <v>37536.811776</v>
      </c>
      <c r="H8" s="8" t="n">
        <f aca="false">G8*(1+Assumptions!$F$51)</f>
        <v>45044.1741312</v>
      </c>
      <c r="I8" s="8" t="n">
        <f aca="false">H8*(1+Assumptions!$G$51)</f>
        <v>53152.125474816</v>
      </c>
    </row>
    <row r="9" customFormat="false" ht="15" hidden="false" customHeight="true" outlineLevel="0" collapsed="false">
      <c r="A9" s="6" t="s">
        <v>270</v>
      </c>
      <c r="B9" s="17" t="n">
        <v>6366.1</v>
      </c>
      <c r="C9" s="17" t="n">
        <v>21134.3</v>
      </c>
      <c r="D9" s="17" t="n">
        <v>24649.7</v>
      </c>
      <c r="E9" s="24" t="n">
        <f aca="false">Segments!E16*Assumptions!$C$60</f>
        <v>28277.8421616</v>
      </c>
      <c r="F9" s="24" t="n">
        <f aca="false">Segments!F16*Assumptions!$D$60</f>
        <v>32358.8834909118</v>
      </c>
      <c r="G9" s="24" t="n">
        <f aca="false">Segments!G16*Assumptions!$E$60</f>
        <v>35987.0129867413</v>
      </c>
      <c r="H9" s="24" t="n">
        <f aca="false">Segments!H16*Assumptions!$F$60</f>
        <v>39643.8023525333</v>
      </c>
      <c r="I9" s="24" t="n">
        <f aca="false">Segments!I16*Assumptions!$G$60</f>
        <v>42849.2836361817</v>
      </c>
    </row>
    <row r="10" customFormat="false" ht="15" hidden="false" customHeight="true" outlineLevel="0" collapsed="false">
      <c r="A10" s="6" t="s">
        <v>271</v>
      </c>
      <c r="B10" s="17" t="n">
        <v>1743.5</v>
      </c>
      <c r="C10" s="17" t="n">
        <v>3708.7</v>
      </c>
      <c r="D10" s="17" t="n">
        <v>5316.9</v>
      </c>
      <c r="E10" s="24" t="n">
        <f aca="false">Segments!E16*Assumptions!$C$61</f>
        <v>6283.9649248</v>
      </c>
      <c r="F10" s="24" t="n">
        <f aca="false">Segments!F16*Assumptions!$D$61</f>
        <v>7658.90733512704</v>
      </c>
      <c r="G10" s="24" t="n">
        <f aca="false">Segments!G16*Assumptions!$E$61</f>
        <v>8996.75324668533</v>
      </c>
      <c r="H10" s="24" t="n">
        <f aca="false">Segments!H16*Assumptions!$F$61</f>
        <v>10297.0915201385</v>
      </c>
      <c r="I10" s="24" t="n">
        <f aca="false">Segments!I16*Assumptions!$G$61</f>
        <v>11580.8874692383</v>
      </c>
    </row>
    <row r="11" customFormat="false" ht="15" hidden="false" customHeight="true" outlineLevel="0" collapsed="false">
      <c r="A11" s="6" t="s">
        <v>272</v>
      </c>
      <c r="B11" s="17" t="n">
        <v>1039.1</v>
      </c>
      <c r="C11" s="17" t="n">
        <v>2942.2</v>
      </c>
      <c r="D11" s="17" t="n">
        <v>4670.6</v>
      </c>
      <c r="E11" s="24" t="n">
        <f aca="false">Segments!E16*Assumptions!$C$62</f>
        <v>5498.4693092</v>
      </c>
      <c r="F11" s="24" t="n">
        <f aca="false">Segments!F16*Assumptions!$D$62</f>
        <v>6605.80757654708</v>
      </c>
      <c r="G11" s="24" t="n">
        <f aca="false">Segments!G16*Assumptions!$E$62</f>
        <v>7591.01055189075</v>
      </c>
      <c r="H11" s="24" t="n">
        <f aca="false">Segments!H16*Assumptions!$F$62</f>
        <v>8495.10050411429</v>
      </c>
      <c r="I11" s="24" t="n">
        <f aca="false">Segments!I16*Assumptions!$G$62</f>
        <v>9337.09052207337</v>
      </c>
    </row>
    <row r="12" customFormat="false" ht="15" hidden="false" customHeight="true" outlineLevel="0" collapsed="false">
      <c r="A12" s="6" t="s">
        <v>273</v>
      </c>
      <c r="B12" s="17" t="n">
        <v>4504.2</v>
      </c>
      <c r="C12" s="17" t="n">
        <v>7420.9</v>
      </c>
      <c r="D12" s="17" t="n">
        <v>9523.6</v>
      </c>
      <c r="E12" s="24" t="n">
        <f aca="false">'Cash Flow'!E18</f>
        <v>6370.7640275107</v>
      </c>
      <c r="F12" s="24" t="n">
        <f aca="false">'Cash Flow'!F18</f>
        <v>3535.97421473421</v>
      </c>
      <c r="G12" s="24" t="n">
        <f aca="false">'Cash Flow'!G18</f>
        <v>2744.42083822943</v>
      </c>
      <c r="H12" s="24" t="n">
        <f aca="false">'Cash Flow'!H18</f>
        <v>3143.73837071293</v>
      </c>
      <c r="I12" s="24" t="n">
        <f aca="false">'Cash Flow'!I18</f>
        <v>4778.93824196637</v>
      </c>
    </row>
    <row r="13" customFormat="false" ht="15" hidden="false" customHeight="true" outlineLevel="0" collapsed="false">
      <c r="A13" s="6" t="s">
        <v>274</v>
      </c>
      <c r="B13" s="17" t="n">
        <v>3581.4</v>
      </c>
      <c r="C13" s="17" t="n">
        <v>3931.9</v>
      </c>
      <c r="D13" s="17" t="n">
        <v>2601.3</v>
      </c>
      <c r="E13" s="8" t="n">
        <f aca="false">D13</f>
        <v>2601.3</v>
      </c>
      <c r="F13" s="8" t="n">
        <f aca="false">E13</f>
        <v>2601.3</v>
      </c>
      <c r="G13" s="8" t="n">
        <f aca="false">F13</f>
        <v>2601.3</v>
      </c>
      <c r="H13" s="8" t="n">
        <f aca="false">G13</f>
        <v>2601.3</v>
      </c>
      <c r="I13" s="8" t="n">
        <f aca="false">H13</f>
        <v>2601.3</v>
      </c>
    </row>
    <row r="14" customFormat="false" ht="15" hidden="false" customHeight="true" outlineLevel="0" collapsed="false">
      <c r="A14" s="12" t="s">
        <v>275</v>
      </c>
      <c r="B14" s="32" t="n">
        <f aca="false">SUM(B6:B13)</f>
        <v>42585.5</v>
      </c>
      <c r="C14" s="32" t="n">
        <f aca="false">SUM(C6:C13)</f>
        <v>72725.2</v>
      </c>
      <c r="D14" s="32" t="n">
        <f aca="false">SUM(D6:D13)</f>
        <v>91359</v>
      </c>
      <c r="E14" s="23" t="n">
        <f aca="false">SUM(E6:E13)</f>
        <v>103286.600245951</v>
      </c>
      <c r="F14" s="23" t="n">
        <f aca="false">SUM(F6:F13)</f>
        <v>116573.95008158</v>
      </c>
      <c r="G14" s="23" t="n">
        <f aca="false">SUM(G6:G13)</f>
        <v>132061.710892388</v>
      </c>
      <c r="H14" s="23" t="n">
        <f aca="false">SUM(H6:H13)</f>
        <v>149013.758287521</v>
      </c>
      <c r="I14" s="23" t="n">
        <f aca="false">SUM(I6:I13)</f>
        <v>167485.804726077</v>
      </c>
    </row>
    <row r="16" customFormat="false" ht="15" hidden="false" customHeight="true" outlineLevel="0" collapsed="false">
      <c r="A16" s="6" t="s">
        <v>276</v>
      </c>
      <c r="B16" s="17" t="n">
        <v>19838.8</v>
      </c>
      <c r="C16" s="17" t="n">
        <v>25438.5</v>
      </c>
      <c r="D16" s="17" t="n">
        <v>28788.7</v>
      </c>
      <c r="E16" s="24" t="n">
        <f aca="false">D16+'Income Statement'!E26+'Cash Flow'!E15</f>
        <v>31624.5614731213</v>
      </c>
      <c r="F16" s="24" t="n">
        <f aca="false">E16+'Income Statement'!F26+'Cash Flow'!F15</f>
        <v>36158.1902790422</v>
      </c>
      <c r="G16" s="24" t="n">
        <f aca="false">F16+'Income Statement'!G26+'Cash Flow'!G15</f>
        <v>42436.1248125454</v>
      </c>
      <c r="H16" s="24" t="n">
        <f aca="false">G16+'Income Statement'!H26+'Cash Flow'!H15</f>
        <v>50069.5803818553</v>
      </c>
      <c r="I16" s="24" t="n">
        <f aca="false">H16+'Income Statement'!I26+'Cash Flow'!I15</f>
        <v>59044.4733906282</v>
      </c>
    </row>
    <row r="17" customFormat="false" ht="15" hidden="false" customHeight="true" outlineLevel="0" collapsed="false">
      <c r="A17" s="6" t="s">
        <v>277</v>
      </c>
      <c r="B17" s="17" t="n">
        <v>1363</v>
      </c>
      <c r="C17" s="17" t="n">
        <v>1978.4</v>
      </c>
      <c r="D17" s="17" t="n">
        <v>1801.4</v>
      </c>
      <c r="E17" s="24" t="n">
        <f aca="false">D17-'Income Statement'!E25</f>
        <v>1868.69619062936</v>
      </c>
      <c r="F17" s="24" t="n">
        <f aca="false">E17-'Income Statement'!F25</f>
        <v>1977.5468222241</v>
      </c>
      <c r="G17" s="24" t="n">
        <f aca="false">F17-'Income Statement'!G25</f>
        <v>2130.07195666296</v>
      </c>
      <c r="H17" s="24" t="n">
        <f aca="false">G17-'Income Statement'!H25</f>
        <v>2320.05342926898</v>
      </c>
      <c r="I17" s="24" t="n">
        <f aca="false">H17-'Income Statement'!I25</f>
        <v>2549.00478153359</v>
      </c>
    </row>
    <row r="18" customFormat="false" ht="15" hidden="false" customHeight="true" outlineLevel="0" collapsed="false">
      <c r="A18" s="12" t="s">
        <v>278</v>
      </c>
      <c r="B18" s="23" t="n">
        <v>21201.8</v>
      </c>
      <c r="C18" s="23" t="n">
        <v>27417</v>
      </c>
      <c r="D18" s="23" t="n">
        <v>30590.2</v>
      </c>
      <c r="E18" s="23" t="n">
        <f aca="false">E16+E17</f>
        <v>33493.2576637507</v>
      </c>
      <c r="F18" s="23" t="n">
        <f aca="false">F16+F17</f>
        <v>38135.7371012663</v>
      </c>
      <c r="G18" s="23" t="n">
        <f aca="false">G16+G17</f>
        <v>44566.1967692084</v>
      </c>
      <c r="H18" s="23" t="n">
        <f aca="false">H16+H17</f>
        <v>52389.6338111243</v>
      </c>
      <c r="I18" s="23" t="n">
        <f aca="false">I16+I17</f>
        <v>61593.4781721617</v>
      </c>
    </row>
    <row r="19" customFormat="false" ht="15" hidden="false" customHeight="true" outlineLevel="0" collapsed="false">
      <c r="A19" s="6" t="s">
        <v>279</v>
      </c>
      <c r="B19" s="17" t="n">
        <v>12517.7</v>
      </c>
      <c r="C19" s="17" t="n">
        <v>22608.7</v>
      </c>
      <c r="D19" s="17" t="n">
        <v>38041.4</v>
      </c>
      <c r="E19" s="8" t="n">
        <f aca="false">D19+Assumptions!$C$71</f>
        <v>43541.4</v>
      </c>
      <c r="F19" s="8" t="n">
        <f aca="false">E19+Assumptions!$D$71</f>
        <v>48741.4</v>
      </c>
      <c r="G19" s="8" t="n">
        <f aca="false">F19+Assumptions!$E$71</f>
        <v>54341.4</v>
      </c>
      <c r="H19" s="8" t="n">
        <f aca="false">G19+Assumptions!$F$71</f>
        <v>60141.4</v>
      </c>
      <c r="I19" s="8" t="n">
        <f aca="false">H19+Assumptions!$G$71</f>
        <v>66241.4</v>
      </c>
    </row>
    <row r="20" customFormat="false" ht="15" hidden="false" customHeight="true" outlineLevel="0" collapsed="false">
      <c r="A20" s="6" t="s">
        <v>280</v>
      </c>
      <c r="B20" s="17" t="n">
        <v>7398.7</v>
      </c>
      <c r="C20" s="17" t="n">
        <v>19717.6</v>
      </c>
      <c r="D20" s="17" t="n">
        <v>18436.5</v>
      </c>
      <c r="E20" s="24" t="n">
        <f aca="false">Segments!E16*Assumptions!$C$63+2716.3</f>
        <v>21960.9425822</v>
      </c>
      <c r="F20" s="24" t="n">
        <f aca="false">Segments!F16*Assumptions!$D$63+2716.3</f>
        <v>25405.8129803139</v>
      </c>
      <c r="G20" s="24" t="n">
        <f aca="false">Segments!G16*Assumptions!$E$63+2716.3</f>
        <v>28863.1141231792</v>
      </c>
      <c r="H20" s="24" t="n">
        <f aca="false">Segments!H16*Assumptions!$F$63+2716.3</f>
        <v>32191.7244763965</v>
      </c>
      <c r="I20" s="24" t="n">
        <f aca="false">Segments!I16*Assumptions!$G$63+2716.3</f>
        <v>35359.9265539154</v>
      </c>
    </row>
    <row r="21" customFormat="false" ht="15" hidden="false" customHeight="true" outlineLevel="0" collapsed="false">
      <c r="A21" s="6" t="s">
        <v>281</v>
      </c>
      <c r="B21" s="17" t="n">
        <v>371.3</v>
      </c>
      <c r="C21" s="17" t="n">
        <v>1123.8</v>
      </c>
      <c r="D21" s="17" t="n">
        <v>1554.3</v>
      </c>
      <c r="E21" s="8" t="n">
        <f aca="false">D21</f>
        <v>1554.3</v>
      </c>
      <c r="F21" s="8" t="n">
        <f aca="false">E21</f>
        <v>1554.3</v>
      </c>
      <c r="G21" s="8" t="n">
        <f aca="false">F21</f>
        <v>1554.3</v>
      </c>
      <c r="H21" s="8" t="n">
        <f aca="false">G21</f>
        <v>1554.3</v>
      </c>
      <c r="I21" s="8" t="n">
        <f aca="false">H21</f>
        <v>1554.3</v>
      </c>
    </row>
    <row r="22" customFormat="false" ht="15" hidden="false" customHeight="true" outlineLevel="0" collapsed="false">
      <c r="A22" s="6" t="s">
        <v>282</v>
      </c>
      <c r="B22" s="17" t="n">
        <v>347.7</v>
      </c>
      <c r="C22" s="17" t="n">
        <v>709.9</v>
      </c>
      <c r="D22" s="17" t="n">
        <v>794.9</v>
      </c>
      <c r="E22" s="8" t="n">
        <f aca="false">D22</f>
        <v>794.9</v>
      </c>
      <c r="F22" s="8" t="n">
        <f aca="false">E22</f>
        <v>794.9</v>
      </c>
      <c r="G22" s="8" t="n">
        <f aca="false">F22</f>
        <v>794.9</v>
      </c>
      <c r="H22" s="8" t="n">
        <f aca="false">G22</f>
        <v>794.9</v>
      </c>
      <c r="I22" s="8" t="n">
        <f aca="false">H22</f>
        <v>794.9</v>
      </c>
    </row>
    <row r="23" customFormat="false" ht="15" hidden="false" customHeight="true" outlineLevel="0" collapsed="false">
      <c r="A23" s="6" t="s">
        <v>283</v>
      </c>
      <c r="B23" s="17" t="n">
        <v>415.2</v>
      </c>
      <c r="C23" s="17" t="n">
        <v>746.2</v>
      </c>
      <c r="D23" s="17" t="n">
        <v>1178.2</v>
      </c>
      <c r="E23" s="8" t="n">
        <f aca="false">D23</f>
        <v>1178.2</v>
      </c>
      <c r="F23" s="8" t="n">
        <f aca="false">E23</f>
        <v>1178.2</v>
      </c>
      <c r="G23" s="8" t="n">
        <f aca="false">F23</f>
        <v>1178.2</v>
      </c>
      <c r="H23" s="8" t="n">
        <f aca="false">G23</f>
        <v>1178.2</v>
      </c>
      <c r="I23" s="8" t="n">
        <f aca="false">H23</f>
        <v>1178.2</v>
      </c>
    </row>
    <row r="24" customFormat="false" ht="15" hidden="false" customHeight="true" outlineLevel="0" collapsed="false">
      <c r="A24" s="6" t="s">
        <v>284</v>
      </c>
      <c r="B24" s="17" t="n">
        <v>333.1</v>
      </c>
      <c r="C24" s="17" t="n">
        <v>402</v>
      </c>
      <c r="D24" s="17" t="n">
        <v>763.5</v>
      </c>
      <c r="E24" s="8" t="n">
        <f aca="false">D24</f>
        <v>763.5</v>
      </c>
      <c r="F24" s="8" t="n">
        <f aca="false">E24</f>
        <v>763.5</v>
      </c>
      <c r="G24" s="8" t="n">
        <f aca="false">F24</f>
        <v>763.5</v>
      </c>
      <c r="H24" s="8" t="n">
        <f aca="false">G24</f>
        <v>763.5</v>
      </c>
      <c r="I24" s="8" t="n">
        <f aca="false">H24</f>
        <v>763.5</v>
      </c>
    </row>
    <row r="25" customFormat="false" ht="15" hidden="false" customHeight="true" outlineLevel="0" collapsed="false">
      <c r="A25" s="12" t="s">
        <v>285</v>
      </c>
      <c r="B25" s="32" t="n">
        <f aca="false">B18+SUM(B19:B24)</f>
        <v>42585.5</v>
      </c>
      <c r="C25" s="32" t="n">
        <f aca="false">C18+SUM(C19:C24)</f>
        <v>72725.2</v>
      </c>
      <c r="D25" s="32" t="n">
        <f aca="false">D18+SUM(D19:D24)</f>
        <v>91359</v>
      </c>
      <c r="E25" s="32" t="n">
        <f aca="false">E18+SUM(E19:E24)</f>
        <v>103286.500245951</v>
      </c>
      <c r="F25" s="32" t="n">
        <f aca="false">F18+SUM(F19:F24)</f>
        <v>116573.85008158</v>
      </c>
      <c r="G25" s="32" t="n">
        <f aca="false">G18+SUM(G19:G24)</f>
        <v>132061.610892388</v>
      </c>
      <c r="H25" s="32" t="n">
        <f aca="false">H18+SUM(H19:H24)</f>
        <v>149013.658287521</v>
      </c>
      <c r="I25" s="32" t="n">
        <f aca="false">I18+SUM(I19:I24)</f>
        <v>167485.704726077</v>
      </c>
    </row>
    <row r="27" customFormat="false" ht="15" hidden="false" customHeight="true" outlineLevel="0" collapsed="false">
      <c r="A27" s="12" t="s">
        <v>286</v>
      </c>
      <c r="B27" s="33" t="n">
        <f aca="false">B14-B25</f>
        <v>0</v>
      </c>
      <c r="C27" s="33" t="n">
        <f aca="false">C14-C25</f>
        <v>0</v>
      </c>
      <c r="D27" s="33" t="n">
        <f aca="false">D14-D25</f>
        <v>0</v>
      </c>
      <c r="E27" s="23" t="n">
        <f aca="false">E14-E25</f>
        <v>0.100000000005821</v>
      </c>
      <c r="F27" s="23" t="n">
        <f aca="false">F14-F25</f>
        <v>0.100000000005821</v>
      </c>
      <c r="G27" s="23" t="n">
        <f aca="false">G14-G25</f>
        <v>0.100000000005821</v>
      </c>
      <c r="H27" s="23" t="n">
        <f aca="false">H14-H25</f>
        <v>0.0999999999767169</v>
      </c>
      <c r="I27" s="23" t="n">
        <f aca="false">I14-I25</f>
        <v>0.100000000005821</v>
      </c>
    </row>
    <row r="28" customFormat="false" ht="15" hidden="false" customHeight="true" outlineLevel="0" collapsed="false">
      <c r="A28" s="6" t="s">
        <v>287</v>
      </c>
      <c r="B28" s="1" t="n">
        <f aca="false">B19-B12</f>
        <v>8013.5</v>
      </c>
      <c r="C28" s="1" t="n">
        <f aca="false">C19-C12</f>
        <v>15187.8</v>
      </c>
      <c r="D28" s="1" t="n">
        <f aca="false">D19-D12</f>
        <v>28517.8</v>
      </c>
      <c r="E28" s="8" t="n">
        <f aca="false">E19-E12</f>
        <v>37170.6359724893</v>
      </c>
      <c r="F28" s="8" t="n">
        <f aca="false">F19-F12</f>
        <v>45205.4257852658</v>
      </c>
      <c r="G28" s="8" t="n">
        <f aca="false">G19-G12</f>
        <v>51596.9791617706</v>
      </c>
      <c r="H28" s="8" t="n">
        <f aca="false">H19-H12</f>
        <v>56997.6616292871</v>
      </c>
      <c r="I28" s="8" t="n">
        <f aca="false">I19-I12</f>
        <v>61462.4617580336</v>
      </c>
    </row>
    <row r="30" customFormat="false" ht="15" hidden="false" customHeight="true" outlineLevel="0" collapsed="false">
      <c r="A30" s="6" t="s">
        <v>288</v>
      </c>
      <c r="B30" s="8" t="n">
        <f aca="false">B9+B10+B11-(B20-2716.3)</f>
        <v>4466.3</v>
      </c>
      <c r="C30" s="8" t="n">
        <f aca="false">C9+C10+C11-(C20-2716.3)</f>
        <v>10783.9</v>
      </c>
      <c r="D30" s="8" t="n">
        <f aca="false">D9+D10+D11-(D20-2716.3)</f>
        <v>18917</v>
      </c>
      <c r="E30" s="8" t="n">
        <f aca="false">E9+E10+E11-(E20-2716.3)</f>
        <v>20815.6338134</v>
      </c>
      <c r="F30" s="8" t="n">
        <f aca="false">F9+F10+F11-(F20-2716.3)</f>
        <v>23934.085422272</v>
      </c>
      <c r="G30" s="8" t="n">
        <f aca="false">G9+G10+G11-(G20-2716.3)</f>
        <v>26427.9626621382</v>
      </c>
      <c r="H30" s="8" t="n">
        <f aca="false">H9+H10+H11-(H20-2716.3)</f>
        <v>28960.5699003896</v>
      </c>
      <c r="I30" s="8" t="n">
        <f aca="false">I9+I10+I11-(I20-2716.3)</f>
        <v>31123.6350735779</v>
      </c>
    </row>
    <row r="31" customFormat="false" ht="15" hidden="false" customHeight="true" outlineLevel="0" collapsed="false">
      <c r="A31" s="6" t="s">
        <v>289</v>
      </c>
      <c r="E31" s="8" t="n">
        <f aca="false">E30-D30</f>
        <v>1898.63381340001</v>
      </c>
      <c r="F31" s="8" t="n">
        <f aca="false">F30-E30</f>
        <v>3118.45160887201</v>
      </c>
      <c r="G31" s="8" t="n">
        <f aca="false">G30-F30</f>
        <v>2493.87723986614</v>
      </c>
      <c r="H31" s="8" t="n">
        <f aca="false">H30-G30</f>
        <v>2532.60723825145</v>
      </c>
      <c r="I31" s="8" t="n">
        <f aca="false">I30-H30</f>
        <v>2163.06517318828</v>
      </c>
    </row>
    <row r="33" customFormat="false" ht="15" hidden="false" customHeight="true" outlineLevel="0" collapsed="false">
      <c r="A33" s="15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291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292</v>
      </c>
    </row>
    <row r="4" customFormat="false" ht="15" hidden="false" customHeight="true" outlineLevel="0" collapsed="false">
      <c r="D4" s="7"/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</row>
    <row r="6" customFormat="false" ht="15" hidden="false" customHeight="true" outlineLevel="0" collapsed="false">
      <c r="A6" s="6" t="s">
        <v>260</v>
      </c>
      <c r="E6" s="24" t="n">
        <f aca="false">'Income Statement'!E24</f>
        <v>3364.80953146814</v>
      </c>
      <c r="F6" s="24" t="n">
        <f aca="false">'Income Statement'!F24</f>
        <v>5442.53157973688</v>
      </c>
      <c r="G6" s="24" t="n">
        <f aca="false">'Income Statement'!G24</f>
        <v>7626.25672194276</v>
      </c>
      <c r="H6" s="24" t="n">
        <f aca="false">'Income Statement'!H24</f>
        <v>9499.073630301</v>
      </c>
      <c r="I6" s="24" t="n">
        <f aca="false">'Income Statement'!I24</f>
        <v>11447.5676132307</v>
      </c>
    </row>
    <row r="7" customFormat="false" ht="15" hidden="false" customHeight="true" outlineLevel="0" collapsed="false">
      <c r="A7" s="6" t="s">
        <v>227</v>
      </c>
      <c r="E7" s="24" t="n">
        <f aca="false">'Income Statement'!E18</f>
        <v>1424.04517716</v>
      </c>
      <c r="F7" s="24" t="n">
        <f aca="false">'Income Statement'!F18</f>
        <v>1693.09975857997</v>
      </c>
      <c r="G7" s="24" t="n">
        <f aca="false">'Income Statement'!G18</f>
        <v>1967.05357141923</v>
      </c>
      <c r="H7" s="24" t="n">
        <f aca="false">'Income Statement'!H18</f>
        <v>2245.85008401905</v>
      </c>
      <c r="I7" s="24" t="n">
        <f aca="false">'Income Statement'!I18</f>
        <v>2532.37202702026</v>
      </c>
    </row>
    <row r="8" customFormat="false" ht="15" hidden="false" customHeight="true" outlineLevel="0" collapsed="false">
      <c r="A8" s="6" t="s">
        <v>293</v>
      </c>
      <c r="E8" s="24" t="n">
        <f aca="false">-'Income Statement'!E16</f>
        <v>-1250</v>
      </c>
      <c r="F8" s="24" t="n">
        <f aca="false">-'Income Statement'!F16</f>
        <v>-1430</v>
      </c>
      <c r="G8" s="24" t="n">
        <f aca="false">-'Income Statement'!G16</f>
        <v>-1630</v>
      </c>
      <c r="H8" s="24" t="n">
        <f aca="false">-'Income Statement'!H16</f>
        <v>-1830</v>
      </c>
      <c r="I8" s="24" t="n">
        <f aca="false">-'Income Statement'!I16</f>
        <v>-2030</v>
      </c>
    </row>
    <row r="9" customFormat="false" ht="15" hidden="false" customHeight="true" outlineLevel="0" collapsed="false">
      <c r="A9" s="6" t="s">
        <v>294</v>
      </c>
      <c r="E9" s="24" t="n">
        <f aca="false">-'Balance Sheet'!E31</f>
        <v>-1898.63381340001</v>
      </c>
      <c r="F9" s="24" t="n">
        <f aca="false">-'Balance Sheet'!F31</f>
        <v>-3118.45160887201</v>
      </c>
      <c r="G9" s="24" t="n">
        <f aca="false">-'Balance Sheet'!G31</f>
        <v>-2493.87723986614</v>
      </c>
      <c r="H9" s="24" t="n">
        <f aca="false">-'Balance Sheet'!H31</f>
        <v>-2532.60723825145</v>
      </c>
      <c r="I9" s="24" t="n">
        <f aca="false">-'Balance Sheet'!I31</f>
        <v>-2163.06517318828</v>
      </c>
    </row>
    <row r="10" customFormat="false" ht="15" hidden="false" customHeight="true" outlineLevel="0" collapsed="false">
      <c r="A10" s="6" t="s">
        <v>295</v>
      </c>
      <c r="E10" s="24" t="n">
        <f aca="false">-('Balance Sheet'!E8-'Balance Sheet'!D8)</f>
        <v>-6131.405</v>
      </c>
      <c r="F10" s="24" t="n">
        <f aca="false">-('Balance Sheet'!F8-'Balance Sheet'!E8)</f>
        <v>-6621.9174</v>
      </c>
      <c r="G10" s="24" t="n">
        <f aca="false">-('Balance Sheet'!G8-'Balance Sheet'!F8)</f>
        <v>-7265.189376</v>
      </c>
      <c r="H10" s="24" t="n">
        <f aca="false">-('Balance Sheet'!H8-'Balance Sheet'!G8)</f>
        <v>-7507.3623552</v>
      </c>
      <c r="I10" s="24" t="n">
        <f aca="false">-('Balance Sheet'!I8-'Balance Sheet'!H8)</f>
        <v>-8107.951343616</v>
      </c>
    </row>
    <row r="11" customFormat="false" ht="15" hidden="false" customHeight="true" outlineLevel="0" collapsed="false">
      <c r="A11" s="12" t="s">
        <v>296</v>
      </c>
      <c r="E11" s="23" t="n">
        <f aca="false">SUM(E6:E10)</f>
        <v>-4491.18410477187</v>
      </c>
      <c r="F11" s="23" t="n">
        <f aca="false">SUM(F6:F10)</f>
        <v>-4034.73767055517</v>
      </c>
      <c r="G11" s="23" t="n">
        <f aca="false">SUM(G6:G10)</f>
        <v>-1795.75632250415</v>
      </c>
      <c r="H11" s="23" t="n">
        <f aca="false">SUM(H6:H10)</f>
        <v>-125.045879131407</v>
      </c>
      <c r="I11" s="23" t="n">
        <f aca="false">SUM(I6:I10)</f>
        <v>1678.92312344665</v>
      </c>
    </row>
    <row r="12" customFormat="false" ht="15" hidden="false" customHeight="true" outlineLevel="0" collapsed="false">
      <c r="A12" s="6" t="s">
        <v>297</v>
      </c>
      <c r="E12" s="24" t="n">
        <f aca="false">-Assumptions!$C$57-Assumptions!$C$58</f>
        <v>-3700</v>
      </c>
      <c r="F12" s="24" t="n">
        <f aca="false">-Assumptions!$D$57-Assumptions!$D$58</f>
        <v>-3200</v>
      </c>
      <c r="G12" s="24" t="n">
        <f aca="false">-Assumptions!$E$57-Assumptions!$E$58</f>
        <v>-3400</v>
      </c>
      <c r="H12" s="24" t="n">
        <f aca="false">-Assumptions!$F$57-Assumptions!$F$58</f>
        <v>-3600</v>
      </c>
      <c r="I12" s="24" t="n">
        <f aca="false">-Assumptions!$G$57-Assumptions!$G$58</f>
        <v>-3900</v>
      </c>
    </row>
    <row r="13" customFormat="false" ht="15" hidden="false" customHeight="true" outlineLevel="0" collapsed="false">
      <c r="A13" s="12" t="s">
        <v>298</v>
      </c>
      <c r="E13" s="23" t="n">
        <f aca="false">E11+E12</f>
        <v>-8191.18410477187</v>
      </c>
      <c r="F13" s="23" t="n">
        <f aca="false">F11+F12</f>
        <v>-7234.73767055517</v>
      </c>
      <c r="G13" s="23" t="n">
        <f aca="false">G11+G12</f>
        <v>-5195.75632250415</v>
      </c>
      <c r="H13" s="23" t="n">
        <f aca="false">H11+H12</f>
        <v>-3725.04587913141</v>
      </c>
      <c r="I13" s="23" t="n">
        <f aca="false">I11+I12</f>
        <v>-2221.07687655335</v>
      </c>
    </row>
    <row r="14" customFormat="false" ht="15" hidden="false" customHeight="true" outlineLevel="0" collapsed="false">
      <c r="A14" s="6" t="s">
        <v>299</v>
      </c>
      <c r="E14" s="24" t="n">
        <f aca="false">Assumptions!$C$71</f>
        <v>5500</v>
      </c>
      <c r="F14" s="24" t="n">
        <f aca="false">Assumptions!$D$71</f>
        <v>5200</v>
      </c>
      <c r="G14" s="24" t="n">
        <f aca="false">Assumptions!$E$71</f>
        <v>5600</v>
      </c>
      <c r="H14" s="24" t="n">
        <f aca="false">Assumptions!$F$71</f>
        <v>5800</v>
      </c>
      <c r="I14" s="24" t="n">
        <f aca="false">Assumptions!$G$71</f>
        <v>6100</v>
      </c>
    </row>
    <row r="15" customFormat="false" ht="15" hidden="false" customHeight="true" outlineLevel="0" collapsed="false">
      <c r="A15" s="6" t="s">
        <v>300</v>
      </c>
      <c r="E15" s="24" t="n">
        <f aca="false">-'Income Statement'!E26*Assumptions!$C$72</f>
        <v>-461.651867717428</v>
      </c>
      <c r="F15" s="24" t="n">
        <f aca="false">-'Income Statement'!F26*Assumptions!$D$72</f>
        <v>-800.052142221321</v>
      </c>
      <c r="G15" s="24" t="n">
        <f aca="false">-'Income Statement'!G26*Assumptions!$E$72</f>
        <v>-1195.79705400062</v>
      </c>
      <c r="H15" s="24" t="n">
        <f aca="false">-'Income Statement'!H26*Assumptions!$F$72</f>
        <v>-1675.6365883851</v>
      </c>
      <c r="I15" s="24" t="n">
        <f aca="false">-'Income Statement'!I26*Assumptions!$G$72</f>
        <v>-2243.72325219321</v>
      </c>
    </row>
    <row r="16" customFormat="false" ht="15" hidden="false" customHeight="true" outlineLevel="0" collapsed="false">
      <c r="A16" s="12" t="s">
        <v>301</v>
      </c>
      <c r="E16" s="23" t="n">
        <f aca="false">E13+E14+E15</f>
        <v>-3152.8359724893</v>
      </c>
      <c r="F16" s="23" t="n">
        <f aca="false">F13+F14+F15</f>
        <v>-2834.78981277649</v>
      </c>
      <c r="G16" s="23" t="n">
        <f aca="false">G13+G14+G15</f>
        <v>-791.553376504776</v>
      </c>
      <c r="H16" s="23" t="n">
        <f aca="false">H13+H14+H15</f>
        <v>399.317532483497</v>
      </c>
      <c r="I16" s="23" t="n">
        <f aca="false">I13+I14+I15</f>
        <v>1635.19987125344</v>
      </c>
    </row>
    <row r="17" customFormat="false" ht="15" hidden="false" customHeight="true" outlineLevel="0" collapsed="false">
      <c r="A17" s="6" t="s">
        <v>302</v>
      </c>
      <c r="E17" s="24" t="n">
        <f aca="false">'Balance Sheet'!D12</f>
        <v>9523.6</v>
      </c>
      <c r="F17" s="8" t="n">
        <f aca="false">E18</f>
        <v>6370.7640275107</v>
      </c>
      <c r="G17" s="8" t="n">
        <f aca="false">F18</f>
        <v>3535.97421473421</v>
      </c>
      <c r="H17" s="8" t="n">
        <f aca="false">G18</f>
        <v>2744.42083822943</v>
      </c>
      <c r="I17" s="8" t="n">
        <f aca="false">H18</f>
        <v>3143.73837071293</v>
      </c>
    </row>
    <row r="18" customFormat="false" ht="15" hidden="false" customHeight="true" outlineLevel="0" collapsed="false">
      <c r="A18" s="12" t="s">
        <v>303</v>
      </c>
      <c r="E18" s="23" t="n">
        <f aca="false">E17+E16</f>
        <v>6370.7640275107</v>
      </c>
      <c r="F18" s="23" t="n">
        <f aca="false">F17+F16</f>
        <v>3535.97421473421</v>
      </c>
      <c r="G18" s="23" t="n">
        <f aca="false">G17+G16</f>
        <v>2744.42083822943</v>
      </c>
      <c r="H18" s="23" t="n">
        <f aca="false">H17+H16</f>
        <v>3143.73837071293</v>
      </c>
      <c r="I18" s="23" t="n">
        <f aca="false">I17+I16</f>
        <v>4778.93824196637</v>
      </c>
    </row>
    <row r="20" customFormat="false" ht="15" hidden="false" customHeight="true" outlineLevel="0" collapsed="false">
      <c r="A20" s="15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.75" hidden="false" customHeight="true" outlineLevel="0" collapsed="false">
      <c r="A1" s="2" t="s">
        <v>305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306</v>
      </c>
    </row>
    <row r="4" customFormat="false" ht="15" hidden="false" customHeight="true" outlineLevel="0" collapsed="false">
      <c r="A4" s="7"/>
      <c r="B4" s="7" t="s">
        <v>183</v>
      </c>
      <c r="C4" s="7" t="s">
        <v>184</v>
      </c>
      <c r="D4" s="7" t="s">
        <v>185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</row>
    <row r="6" customFormat="false" ht="15" hidden="false" customHeight="true" outlineLevel="0" collapsed="false">
      <c r="A6" s="8" t="s">
        <v>307</v>
      </c>
      <c r="B6" s="24" t="n">
        <f aca="false">'Income Statement'!B9</f>
        <v>28317.2</v>
      </c>
      <c r="C6" s="24" t="n">
        <f aca="false">'Income Statement'!C9</f>
        <v>53969.5</v>
      </c>
      <c r="D6" s="24" t="n">
        <f aca="false">'Income Statement'!D9</f>
        <v>80229.8</v>
      </c>
      <c r="E6" s="24" t="n">
        <f aca="false">'Income Statement'!E9</f>
        <v>98827.71553284</v>
      </c>
      <c r="F6" s="24" t="n">
        <f aca="false">'Income Statement'!F9</f>
        <v>122168.100825508</v>
      </c>
      <c r="G6" s="24" t="n">
        <f aca="false">'Income Statement'!G9</f>
        <v>145578.435630897</v>
      </c>
      <c r="H6" s="24" t="n">
        <f aca="false">'Income Statement'!H9</f>
        <v>168525.082260213</v>
      </c>
      <c r="I6" s="24" t="n">
        <f aca="false">'Income Statement'!I9</f>
        <v>191816.921582608</v>
      </c>
    </row>
    <row r="7" customFormat="false" ht="15" hidden="false" customHeight="true" outlineLevel="0" collapsed="false">
      <c r="A7" s="8" t="s">
        <v>223</v>
      </c>
      <c r="B7" s="24" t="n">
        <f aca="false">'Income Statement'!B19</f>
        <v>5589.5</v>
      </c>
      <c r="C7" s="24" t="n">
        <f aca="false">'Income Statement'!C19</f>
        <v>7718.5</v>
      </c>
      <c r="D7" s="24" t="n">
        <f aca="false">'Income Statement'!D19</f>
        <v>8848.7</v>
      </c>
      <c r="E7" s="24" t="n">
        <f aca="false">'Income Statement'!E19</f>
        <v>10197.3917486435</v>
      </c>
      <c r="F7" s="24" t="n">
        <f aca="false">'Income Statement'!F19</f>
        <v>13052.1713971034</v>
      </c>
      <c r="G7" s="24" t="n">
        <f aca="false">'Income Statement'!G19</f>
        <v>16059.0767963397</v>
      </c>
      <c r="H7" s="24" t="n">
        <f aca="false">'Income Statement'!H19</f>
        <v>18739.0079038815</v>
      </c>
      <c r="I7" s="24" t="n">
        <f aca="false">'Income Statement'!I19</f>
        <v>21531.7714898406</v>
      </c>
    </row>
    <row r="8" customFormat="false" ht="15" hidden="false" customHeight="true" outlineLevel="0" collapsed="false">
      <c r="A8" s="8" t="s">
        <v>225</v>
      </c>
      <c r="B8" s="24" t="n">
        <f aca="false">'Income Statement'!B17</f>
        <v>4769.5</v>
      </c>
      <c r="C8" s="24" t="n">
        <f aca="false">'Income Statement'!C17</f>
        <v>6688.5</v>
      </c>
      <c r="D8" s="24" t="n">
        <f aca="false">'Income Statement'!D17</f>
        <v>7605.7</v>
      </c>
      <c r="E8" s="24" t="n">
        <f aca="false">'Income Statement'!E17</f>
        <v>8773.34657148352</v>
      </c>
      <c r="F8" s="24" t="n">
        <f aca="false">'Income Statement'!F17</f>
        <v>11359.0716385234</v>
      </c>
      <c r="G8" s="24" t="n">
        <f aca="false">'Income Statement'!G17</f>
        <v>14092.0232249205</v>
      </c>
      <c r="H8" s="24" t="n">
        <f aca="false">'Income Statement'!H17</f>
        <v>16493.1578198625</v>
      </c>
      <c r="I8" s="24" t="n">
        <f aca="false">'Income Statement'!I17</f>
        <v>18999.3994628204</v>
      </c>
    </row>
    <row r="9" customFormat="false" ht="15" hidden="false" customHeight="true" outlineLevel="0" collapsed="false">
      <c r="A9" s="8" t="s">
        <v>262</v>
      </c>
      <c r="B9" s="24" t="n">
        <f aca="false">'Income Statement'!B26</f>
        <v>1890.8</v>
      </c>
      <c r="C9" s="24" t="n">
        <f aca="false">'Income Statement'!C26</f>
        <v>2928.1</v>
      </c>
      <c r="D9" s="24" t="n">
        <f aca="false">'Income Statement'!D26</f>
        <v>2880</v>
      </c>
      <c r="E9" s="24" t="n">
        <f aca="false">'Income Statement'!E26</f>
        <v>3297.51334083877</v>
      </c>
      <c r="F9" s="24" t="n">
        <f aca="false">'Income Statement'!F26</f>
        <v>5333.68094814214</v>
      </c>
      <c r="G9" s="24" t="n">
        <f aca="false">'Income Statement'!G26</f>
        <v>7473.7315875039</v>
      </c>
      <c r="H9" s="24" t="n">
        <f aca="false">'Income Statement'!H26</f>
        <v>9309.09215769498</v>
      </c>
      <c r="I9" s="24" t="n">
        <f aca="false">'Income Statement'!I26</f>
        <v>11218.616260966</v>
      </c>
    </row>
    <row r="10" customFormat="false" ht="15" hidden="false" customHeight="true" outlineLevel="0" collapsed="false">
      <c r="A10" s="8" t="s">
        <v>308</v>
      </c>
      <c r="B10" s="24" t="n">
        <f aca="false">'Balance Sheet'!B14</f>
        <v>42585.5</v>
      </c>
      <c r="C10" s="24" t="n">
        <f aca="false">'Balance Sheet'!C14</f>
        <v>72725.2</v>
      </c>
      <c r="D10" s="24" t="n">
        <f aca="false">'Balance Sheet'!D14</f>
        <v>91359</v>
      </c>
      <c r="E10" s="24" t="n">
        <f aca="false">'Balance Sheet'!E14</f>
        <v>103286.600245951</v>
      </c>
      <c r="F10" s="24" t="n">
        <f aca="false">'Balance Sheet'!F14</f>
        <v>116573.95008158</v>
      </c>
      <c r="G10" s="24" t="n">
        <f aca="false">'Balance Sheet'!G14</f>
        <v>132061.710892388</v>
      </c>
      <c r="H10" s="24" t="n">
        <f aca="false">'Balance Sheet'!H14</f>
        <v>149013.758287521</v>
      </c>
      <c r="I10" s="24" t="n">
        <f aca="false">'Balance Sheet'!I14</f>
        <v>167485.804726077</v>
      </c>
    </row>
    <row r="11" customFormat="false" ht="15" hidden="false" customHeight="true" outlineLevel="0" collapsed="false">
      <c r="A11" s="8" t="s">
        <v>278</v>
      </c>
      <c r="B11" s="24" t="n">
        <f aca="false">'Balance Sheet'!B18</f>
        <v>21201.8</v>
      </c>
      <c r="C11" s="24" t="n">
        <f aca="false">'Balance Sheet'!C18</f>
        <v>27417</v>
      </c>
      <c r="D11" s="24" t="n">
        <f aca="false">'Balance Sheet'!D18</f>
        <v>30590.2</v>
      </c>
      <c r="E11" s="24" t="n">
        <f aca="false">'Balance Sheet'!E18</f>
        <v>33493.2576637507</v>
      </c>
      <c r="F11" s="24" t="n">
        <f aca="false">'Balance Sheet'!F18</f>
        <v>38135.7371012663</v>
      </c>
      <c r="G11" s="24" t="n">
        <f aca="false">'Balance Sheet'!G18</f>
        <v>44566.1967692084</v>
      </c>
      <c r="H11" s="24" t="n">
        <f aca="false">'Balance Sheet'!H18</f>
        <v>52389.6338111243</v>
      </c>
      <c r="I11" s="24" t="n">
        <f aca="false">'Balance Sheet'!I18</f>
        <v>61593.4781721617</v>
      </c>
    </row>
    <row r="12" customFormat="false" ht="15" hidden="false" customHeight="true" outlineLevel="0" collapsed="false">
      <c r="A12" s="8" t="s">
        <v>309</v>
      </c>
      <c r="B12" s="24" t="n">
        <f aca="false">'Balance Sheet'!B28</f>
        <v>8013.5</v>
      </c>
      <c r="C12" s="24" t="n">
        <f aca="false">'Balance Sheet'!C28</f>
        <v>15187.8</v>
      </c>
      <c r="D12" s="24" t="n">
        <f aca="false">'Balance Sheet'!D28</f>
        <v>28517.8</v>
      </c>
      <c r="E12" s="24" t="n">
        <f aca="false">'Balance Sheet'!E28</f>
        <v>37170.6359724893</v>
      </c>
      <c r="F12" s="24" t="n">
        <f aca="false">'Balance Sheet'!F28</f>
        <v>45205.4257852658</v>
      </c>
      <c r="G12" s="24" t="n">
        <f aca="false">'Balance Sheet'!G28</f>
        <v>51596.9791617706</v>
      </c>
      <c r="H12" s="24" t="n">
        <f aca="false">'Balance Sheet'!H28</f>
        <v>56997.6616292871</v>
      </c>
      <c r="I12" s="24" t="n">
        <f aca="false">'Balance Sheet'!I28</f>
        <v>61462.4617580336</v>
      </c>
    </row>
    <row r="13" customFormat="false" ht="15" hidden="false" customHeight="true" outlineLevel="0" collapsed="false">
      <c r="A13" s="8" t="s">
        <v>310</v>
      </c>
      <c r="E13" s="24" t="n">
        <f aca="false">'Cash Flow'!E13</f>
        <v>-8191.18410477187</v>
      </c>
      <c r="F13" s="24" t="n">
        <f aca="false">'Cash Flow'!F13</f>
        <v>-7234.73767055517</v>
      </c>
      <c r="G13" s="24" t="n">
        <f aca="false">'Cash Flow'!G13</f>
        <v>-5195.75632250415</v>
      </c>
      <c r="H13" s="24" t="n">
        <f aca="false">'Cash Flow'!H13</f>
        <v>-3725.04587913141</v>
      </c>
      <c r="I13" s="24" t="n">
        <f aca="false">'Cash Flow'!I13</f>
        <v>-2221.07687655335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2"/>
  </cols>
  <sheetData>
    <row r="1" customFormat="false" ht="15.75" hidden="false" customHeight="true" outlineLevel="0" collapsed="false">
      <c r="A1" s="2" t="s">
        <v>311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312</v>
      </c>
    </row>
    <row r="5" customFormat="false" ht="15" hidden="false" customHeight="true" outlineLevel="0" collapsed="false">
      <c r="A5" s="34" t="s">
        <v>313</v>
      </c>
    </row>
    <row r="6" customFormat="false" ht="15" hidden="false" customHeight="true" outlineLevel="0" collapsed="false">
      <c r="A6" s="8" t="s">
        <v>314</v>
      </c>
      <c r="B6" s="14" t="n">
        <v>0.71394</v>
      </c>
    </row>
    <row r="7" customFormat="false" ht="15" hidden="false" customHeight="true" outlineLevel="0" collapsed="false">
      <c r="A7" s="8" t="s">
        <v>315</v>
      </c>
      <c r="B7" s="35" t="s">
        <v>316</v>
      </c>
    </row>
    <row r="8" customFormat="false" ht="15" hidden="false" customHeight="true" outlineLevel="0" collapsed="false">
      <c r="A8" s="8" t="s">
        <v>317</v>
      </c>
      <c r="B8" s="35" t="s">
        <v>318</v>
      </c>
    </row>
    <row r="9" customFormat="false" ht="15" hidden="false" customHeight="true" outlineLevel="0" collapsed="false">
      <c r="A9" s="8" t="s">
        <v>319</v>
      </c>
      <c r="B9" s="35" t="s">
        <v>320</v>
      </c>
    </row>
    <row r="10" customFormat="false" ht="15" hidden="false" customHeight="true" outlineLevel="0" collapsed="false">
      <c r="A10" s="8" t="s">
        <v>321</v>
      </c>
      <c r="B10" s="35" t="s">
        <v>322</v>
      </c>
    </row>
    <row r="12" customFormat="false" ht="15" hidden="false" customHeight="true" outlineLevel="0" collapsed="false">
      <c r="A12" s="7" t="s">
        <v>323</v>
      </c>
    </row>
    <row r="13" customFormat="false" ht="15" hidden="false" customHeight="true" outlineLevel="0" collapsed="false">
      <c r="A13" s="7" t="s">
        <v>324</v>
      </c>
      <c r="B13" s="7" t="s">
        <v>325</v>
      </c>
      <c r="C13" s="7" t="s">
        <v>326</v>
      </c>
      <c r="D13" s="7" t="s">
        <v>327</v>
      </c>
      <c r="E13" s="7" t="s">
        <v>328</v>
      </c>
      <c r="F13" s="7" t="s">
        <v>329</v>
      </c>
    </row>
    <row r="14" customFormat="false" ht="15" hidden="false" customHeight="true" outlineLevel="0" collapsed="false">
      <c r="A14" s="8" t="s">
        <v>330</v>
      </c>
      <c r="B14" s="27" t="n">
        <v>26.1</v>
      </c>
      <c r="C14" s="27" t="n">
        <v>30</v>
      </c>
      <c r="D14" s="27" t="n">
        <v>32.5</v>
      </c>
      <c r="E14" s="27" t="n">
        <v>35.1</v>
      </c>
      <c r="F14" s="27" t="n">
        <v>40.5</v>
      </c>
    </row>
    <row r="15" customFormat="false" ht="15" hidden="false" customHeight="true" outlineLevel="0" collapsed="false">
      <c r="A15" s="8" t="s">
        <v>331</v>
      </c>
      <c r="B15" s="27" t="n">
        <v>24</v>
      </c>
      <c r="C15" s="27" t="n">
        <v>30.6</v>
      </c>
      <c r="D15" s="27" t="n">
        <v>35</v>
      </c>
      <c r="E15" s="27" t="n">
        <v>40.1</v>
      </c>
      <c r="F15" s="27" t="n">
        <v>51.1</v>
      </c>
    </row>
    <row r="17" customFormat="false" ht="15" hidden="false" customHeight="true" outlineLevel="0" collapsed="false">
      <c r="A17" s="7" t="s">
        <v>332</v>
      </c>
    </row>
    <row r="18" customFormat="false" ht="15" hidden="false" customHeight="true" outlineLevel="0" collapsed="false">
      <c r="A18" s="8" t="s">
        <v>333</v>
      </c>
      <c r="B18" s="11" t="n">
        <f aca="false">Assumptions!B37</f>
        <v>0.4957</v>
      </c>
    </row>
    <row r="19" customFormat="false" ht="15" hidden="false" customHeight="true" outlineLevel="0" collapsed="false">
      <c r="A19" s="8" t="s">
        <v>334</v>
      </c>
      <c r="B19" s="11" t="n">
        <f aca="false">Assumptions!B38</f>
        <v>0.00164</v>
      </c>
    </row>
    <row r="20" customFormat="false" ht="15" hidden="false" customHeight="true" outlineLevel="0" collapsed="false">
      <c r="A20" s="8" t="s">
        <v>335</v>
      </c>
      <c r="B20" s="11" t="n">
        <f aca="false">Assumptions!B39</f>
        <v>0.0146</v>
      </c>
    </row>
    <row r="22" customFormat="false" ht="15" hidden="false" customHeight="true" outlineLevel="0" collapsed="false">
      <c r="A22" s="7" t="s">
        <v>336</v>
      </c>
    </row>
    <row r="23" customFormat="false" ht="15" hidden="false" customHeight="true" outlineLevel="0" collapsed="false">
      <c r="A23" s="7" t="s">
        <v>337</v>
      </c>
      <c r="B23" s="7" t="s">
        <v>338</v>
      </c>
      <c r="C23" s="7" t="s">
        <v>339</v>
      </c>
    </row>
    <row r="24" customFormat="false" ht="15" hidden="false" customHeight="true" outlineLevel="0" collapsed="false">
      <c r="A24" s="27" t="n">
        <v>40</v>
      </c>
      <c r="B24" s="14" t="n">
        <v>0.08442</v>
      </c>
      <c r="C24" s="14" t="n">
        <v>0.3736</v>
      </c>
    </row>
    <row r="25" customFormat="false" ht="15" hidden="false" customHeight="true" outlineLevel="0" collapsed="false">
      <c r="A25" s="27" t="n">
        <v>38</v>
      </c>
      <c r="B25" s="14" t="n">
        <v>0.15298</v>
      </c>
      <c r="C25" s="14" t="n">
        <v>0.49572</v>
      </c>
    </row>
    <row r="26" customFormat="false" ht="15" hidden="false" customHeight="true" outlineLevel="0" collapsed="false">
      <c r="A26" s="27" t="n">
        <v>36</v>
      </c>
      <c r="B26" s="14" t="n">
        <v>0.28754</v>
      </c>
      <c r="C26" s="14" t="n">
        <v>0.63612</v>
      </c>
    </row>
    <row r="27" customFormat="false" ht="15" hidden="false" customHeight="true" outlineLevel="0" collapsed="false">
      <c r="A27" s="27" t="n">
        <v>34</v>
      </c>
      <c r="B27" s="14" t="n">
        <v>0.51416</v>
      </c>
      <c r="C27" s="14" t="n">
        <v>0.7882</v>
      </c>
    </row>
    <row r="28" customFormat="false" ht="15" hidden="false" customHeight="true" outlineLevel="0" collapsed="false">
      <c r="A28" s="27" t="n">
        <v>32</v>
      </c>
      <c r="B28" s="14" t="n">
        <v>0.8164</v>
      </c>
      <c r="C28" s="14" t="n">
        <v>0.92818</v>
      </c>
    </row>
    <row r="29" customFormat="false" ht="15" hidden="false" customHeight="true" outlineLevel="0" collapsed="false">
      <c r="A29" s="27" t="n">
        <v>30</v>
      </c>
      <c r="B29" s="14" t="n">
        <v>0.52736</v>
      </c>
      <c r="C29" s="14" t="n">
        <v>0.6416</v>
      </c>
    </row>
    <row r="30" customFormat="false" ht="15" hidden="false" customHeight="true" outlineLevel="0" collapsed="false">
      <c r="A30" s="27" t="n">
        <v>28</v>
      </c>
      <c r="B30" s="14" t="n">
        <v>0.22086</v>
      </c>
      <c r="C30" s="14" t="n">
        <v>0.36742</v>
      </c>
    </row>
    <row r="31" customFormat="false" ht="15" hidden="false" customHeight="true" outlineLevel="0" collapsed="false">
      <c r="A31" s="27" t="n">
        <v>26</v>
      </c>
      <c r="B31" s="14" t="n">
        <v>0.08616</v>
      </c>
      <c r="C31" s="14" t="n">
        <v>0.20414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2"/>
  </cols>
  <sheetData>
    <row r="1" customFormat="false" ht="15.75" hidden="false" customHeight="true" outlineLevel="0" collapsed="false">
      <c r="A1" s="2" t="s">
        <v>340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341</v>
      </c>
    </row>
    <row r="5" customFormat="false" ht="15" hidden="false" customHeight="true" outlineLevel="0" collapsed="false">
      <c r="A5" s="7" t="s">
        <v>342</v>
      </c>
      <c r="B5" s="36" t="n">
        <v>0</v>
      </c>
      <c r="C5" s="36" t="n">
        <v>0.05</v>
      </c>
      <c r="D5" s="36" t="n">
        <v>0.1</v>
      </c>
      <c r="E5" s="36" t="n">
        <v>0.15</v>
      </c>
      <c r="F5" s="36" t="n">
        <v>0.2</v>
      </c>
    </row>
    <row r="6" customFormat="false" ht="15" hidden="false" customHeight="true" outlineLevel="0" collapsed="false">
      <c r="A6" s="37" t="n">
        <v>-0.02</v>
      </c>
      <c r="B6" s="27" t="n">
        <f aca="false">((DCF!$B$21+$A6*100*DCF!$B$27-Assumptions!$B$19-Assumptions!$B$20+Assumptions!$B$21*Assumptions!$B$22+Assumptions!$B$23*Assumptions!$B$24)*(1-B$5))/Assumptions!$B$6</f>
        <v>32.0616698914299</v>
      </c>
      <c r="C6" s="27" t="n">
        <f aca="false">((DCF!$B$21+$A6*100*DCF!$B$27-Assumptions!$B$19-Assumptions!$B$20+Assumptions!$B$21*Assumptions!$B$22+Assumptions!$B$23*Assumptions!$B$24)*(1-C$5))/Assumptions!$B$6</f>
        <v>30.4585863968584</v>
      </c>
      <c r="D6" s="27" t="n">
        <f aca="false">((DCF!$B$21+$A6*100*DCF!$B$27-Assumptions!$B$19-Assumptions!$B$20+Assumptions!$B$21*Assumptions!$B$22+Assumptions!$B$23*Assumptions!$B$24)*(1-D$5))/Assumptions!$B$6</f>
        <v>28.8555029022869</v>
      </c>
      <c r="E6" s="27" t="n">
        <f aca="false">((DCF!$B$21+$A6*100*DCF!$B$27-Assumptions!$B$19-Assumptions!$B$20+Assumptions!$B$21*Assumptions!$B$22+Assumptions!$B$23*Assumptions!$B$24)*(1-E$5))/Assumptions!$B$6</f>
        <v>27.2524194077154</v>
      </c>
      <c r="F6" s="27" t="n">
        <f aca="false">((DCF!$B$21+$A6*100*DCF!$B$27-Assumptions!$B$19-Assumptions!$B$20+Assumptions!$B$21*Assumptions!$B$22+Assumptions!$B$23*Assumptions!$B$24)*(1-F$5))/Assumptions!$B$6</f>
        <v>25.649335913144</v>
      </c>
    </row>
    <row r="7" customFormat="false" ht="15" hidden="false" customHeight="true" outlineLevel="0" collapsed="false">
      <c r="A7" s="37" t="n">
        <v>-0.01</v>
      </c>
      <c r="B7" s="27" t="n">
        <f aca="false">((DCF!$B$21+$A7*100*DCF!$B$27-Assumptions!$B$19-Assumptions!$B$20+Assumptions!$B$21*Assumptions!$B$22+Assumptions!$B$23*Assumptions!$B$24)*(1-B$5))/Assumptions!$B$6</f>
        <v>37.3531021979253</v>
      </c>
      <c r="C7" s="27" t="n">
        <f aca="false">((DCF!$B$21+$A7*100*DCF!$B$27-Assumptions!$B$19-Assumptions!$B$20+Assumptions!$B$21*Assumptions!$B$22+Assumptions!$B$23*Assumptions!$B$24)*(1-C$5))/Assumptions!$B$6</f>
        <v>35.485447088029</v>
      </c>
      <c r="D7" s="27" t="n">
        <f aca="false">((DCF!$B$21+$A7*100*DCF!$B$27-Assumptions!$B$19-Assumptions!$B$20+Assumptions!$B$21*Assumptions!$B$22+Assumptions!$B$23*Assumptions!$B$24)*(1-D$5))/Assumptions!$B$6</f>
        <v>33.6177919781327</v>
      </c>
      <c r="E7" s="27" t="n">
        <f aca="false">((DCF!$B$21+$A7*100*DCF!$B$27-Assumptions!$B$19-Assumptions!$B$20+Assumptions!$B$21*Assumptions!$B$22+Assumptions!$B$23*Assumptions!$B$24)*(1-E$5))/Assumptions!$B$6</f>
        <v>31.7501368682365</v>
      </c>
      <c r="F7" s="27" t="n">
        <f aca="false">((DCF!$B$21+$A7*100*DCF!$B$27-Assumptions!$B$19-Assumptions!$B$20+Assumptions!$B$21*Assumptions!$B$22+Assumptions!$B$23*Assumptions!$B$24)*(1-F$5))/Assumptions!$B$6</f>
        <v>29.8824817583402</v>
      </c>
    </row>
    <row r="8" customFormat="false" ht="15" hidden="false" customHeight="true" outlineLevel="0" collapsed="false">
      <c r="A8" s="37" t="n">
        <v>0</v>
      </c>
      <c r="B8" s="27" t="n">
        <f aca="false">((DCF!$B$21+$A8*100*DCF!$B$27-Assumptions!$B$19-Assumptions!$B$20+Assumptions!$B$21*Assumptions!$B$22+Assumptions!$B$23*Assumptions!$B$24)*(1-B$5))/Assumptions!$B$6</f>
        <v>42.6445345044206</v>
      </c>
      <c r="C8" s="27" t="n">
        <f aca="false">((DCF!$B$21+$A8*100*DCF!$B$27-Assumptions!$B$19-Assumptions!$B$20+Assumptions!$B$21*Assumptions!$B$22+Assumptions!$B$23*Assumptions!$B$24)*(1-C$5))/Assumptions!$B$6</f>
        <v>40.5123077791996</v>
      </c>
      <c r="D8" s="27" t="n">
        <f aca="false">((DCF!$B$21+$A8*100*DCF!$B$27-Assumptions!$B$19-Assumptions!$B$20+Assumptions!$B$21*Assumptions!$B$22+Assumptions!$B$23*Assumptions!$B$24)*(1-D$5))/Assumptions!$B$6</f>
        <v>38.3800810539785</v>
      </c>
      <c r="E8" s="27" t="n">
        <f aca="false">((DCF!$B$21+$A8*100*DCF!$B$27-Assumptions!$B$19-Assumptions!$B$20+Assumptions!$B$21*Assumptions!$B$22+Assumptions!$B$23*Assumptions!$B$24)*(1-E$5))/Assumptions!$B$6</f>
        <v>36.2478543287575</v>
      </c>
      <c r="F8" s="27" t="n">
        <f aca="false">((DCF!$B$21+$A8*100*DCF!$B$27-Assumptions!$B$19-Assumptions!$B$20+Assumptions!$B$21*Assumptions!$B$22+Assumptions!$B$23*Assumptions!$B$24)*(1-F$5))/Assumptions!$B$6</f>
        <v>34.1156276035365</v>
      </c>
    </row>
    <row r="9" customFormat="false" ht="15" hidden="false" customHeight="true" outlineLevel="0" collapsed="false">
      <c r="A9" s="37" t="n">
        <v>0.01</v>
      </c>
      <c r="B9" s="27" t="n">
        <f aca="false">((DCF!$B$21+$A9*100*DCF!$B$27-Assumptions!$B$19-Assumptions!$B$20+Assumptions!$B$21*Assumptions!$B$22+Assumptions!$B$23*Assumptions!$B$24)*(1-B$5))/Assumptions!$B$6</f>
        <v>47.9359668109159</v>
      </c>
      <c r="C9" s="27" t="n">
        <f aca="false">((DCF!$B$21+$A9*100*DCF!$B$27-Assumptions!$B$19-Assumptions!$B$20+Assumptions!$B$21*Assumptions!$B$22+Assumptions!$B$23*Assumptions!$B$24)*(1-C$5))/Assumptions!$B$6</f>
        <v>45.5391684703701</v>
      </c>
      <c r="D9" s="27" t="n">
        <f aca="false">((DCF!$B$21+$A9*100*DCF!$B$27-Assumptions!$B$19-Assumptions!$B$20+Assumptions!$B$21*Assumptions!$B$22+Assumptions!$B$23*Assumptions!$B$24)*(1-D$5))/Assumptions!$B$6</f>
        <v>43.1423701298243</v>
      </c>
      <c r="E9" s="27" t="n">
        <f aca="false">((DCF!$B$21+$A9*100*DCF!$B$27-Assumptions!$B$19-Assumptions!$B$20+Assumptions!$B$21*Assumptions!$B$22+Assumptions!$B$23*Assumptions!$B$24)*(1-E$5))/Assumptions!$B$6</f>
        <v>40.7455717892785</v>
      </c>
      <c r="F9" s="27" t="n">
        <f aca="false">((DCF!$B$21+$A9*100*DCF!$B$27-Assumptions!$B$19-Assumptions!$B$20+Assumptions!$B$21*Assumptions!$B$22+Assumptions!$B$23*Assumptions!$B$24)*(1-F$5))/Assumptions!$B$6</f>
        <v>38.3487734487327</v>
      </c>
    </row>
    <row r="10" customFormat="false" ht="15" hidden="false" customHeight="true" outlineLevel="0" collapsed="false">
      <c r="A10" s="37" t="n">
        <v>0.02</v>
      </c>
      <c r="B10" s="27" t="n">
        <f aca="false">((DCF!$B$21+$A10*100*DCF!$B$27-Assumptions!$B$19-Assumptions!$B$20+Assumptions!$B$21*Assumptions!$B$22+Assumptions!$B$23*Assumptions!$B$24)*(1-B$5))/Assumptions!$B$6</f>
        <v>53.2273991174112</v>
      </c>
      <c r="C10" s="27" t="n">
        <f aca="false">((DCF!$B$21+$A10*100*DCF!$B$27-Assumptions!$B$19-Assumptions!$B$20+Assumptions!$B$21*Assumptions!$B$22+Assumptions!$B$23*Assumptions!$B$24)*(1-C$5))/Assumptions!$B$6</f>
        <v>50.5660291615407</v>
      </c>
      <c r="D10" s="27" t="n">
        <f aca="false">((DCF!$B$21+$A10*100*DCF!$B$27-Assumptions!$B$19-Assumptions!$B$20+Assumptions!$B$21*Assumptions!$B$22+Assumptions!$B$23*Assumptions!$B$24)*(1-D$5))/Assumptions!$B$6</f>
        <v>47.9046592056701</v>
      </c>
      <c r="E10" s="27" t="n">
        <f aca="false">((DCF!$B$21+$A10*100*DCF!$B$27-Assumptions!$B$19-Assumptions!$B$20+Assumptions!$B$21*Assumptions!$B$22+Assumptions!$B$23*Assumptions!$B$24)*(1-E$5))/Assumptions!$B$6</f>
        <v>45.2432892497995</v>
      </c>
      <c r="F10" s="27" t="n">
        <f aca="false">((DCF!$B$21+$A10*100*DCF!$B$27-Assumptions!$B$19-Assumptions!$B$20+Assumptions!$B$21*Assumptions!$B$22+Assumptions!$B$23*Assumptions!$B$24)*(1-F$5))/Assumptions!$B$6</f>
        <v>42.581919293929</v>
      </c>
    </row>
    <row r="12" customFormat="false" ht="15" hidden="false" customHeight="true" outlineLevel="0" collapsed="false">
      <c r="A12" s="15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.75" hidden="false" customHeight="true" outlineLevel="0" collapsed="false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345</v>
      </c>
    </row>
    <row r="4" customFormat="false" ht="15" hidden="false" customHeight="true" outlineLevel="0" collapsed="false">
      <c r="A4" s="7"/>
      <c r="B4" s="7" t="s">
        <v>183</v>
      </c>
      <c r="C4" s="7" t="s">
        <v>184</v>
      </c>
      <c r="D4" s="7" t="s">
        <v>185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</row>
    <row r="6" customFormat="false" ht="15" hidden="false" customHeight="true" outlineLevel="0" collapsed="false">
      <c r="A6" s="8" t="s">
        <v>346</v>
      </c>
      <c r="B6" s="27" t="n">
        <f aca="false">'Income Statement'!B26/Assumptions!$B$6</f>
        <v>1.74187010594196</v>
      </c>
      <c r="C6" s="27" t="n">
        <f aca="false">'Income Statement'!C26/Assumptions!$B$6</f>
        <v>2.69746660525104</v>
      </c>
      <c r="D6" s="27" t="n">
        <f aca="false">'Income Statement'!D26/Assumptions!$B$6</f>
        <v>2.65315522800553</v>
      </c>
      <c r="E6" s="27" t="n">
        <f aca="false">'Income Statement'!E26/Assumptions!$B$6</f>
        <v>3.03778290266124</v>
      </c>
      <c r="F6" s="27" t="n">
        <f aca="false">'Income Statement'!F26/Assumptions!$B$6</f>
        <v>4.91357065697111</v>
      </c>
      <c r="G6" s="27" t="n">
        <f aca="false">'Income Statement'!G26/Assumptions!$B$6</f>
        <v>6.88505903961668</v>
      </c>
      <c r="H6" s="27" t="n">
        <f aca="false">'Income Statement'!H26/Assumptions!$B$6</f>
        <v>8.5758564326992</v>
      </c>
      <c r="I6" s="27" t="n">
        <f aca="false">'Income Statement'!I26/Assumptions!$B$6</f>
        <v>10.3349758276979</v>
      </c>
    </row>
    <row r="7" customFormat="false" ht="15" hidden="false" customHeight="true" outlineLevel="0" collapsed="false">
      <c r="A7" s="8" t="s">
        <v>347</v>
      </c>
      <c r="B7" s="27" t="n">
        <f aca="false">'Income Statement'!B26*0.13/Assumptions!$B$6</f>
        <v>0.226443113772455</v>
      </c>
      <c r="C7" s="27" t="n">
        <f aca="false">'Income Statement'!C26*0.13/Assumptions!$B$6</f>
        <v>0.350670658682635</v>
      </c>
      <c r="D7" s="27" t="n">
        <f aca="false">'Income Statement'!D26*0.13/Assumptions!$B$6</f>
        <v>0.344910179640719</v>
      </c>
      <c r="E7" s="27" t="n">
        <f aca="false">'Income Statement'!E26*Assumptions!C$72/Assumptions!$B$6</f>
        <v>0.425289606372573</v>
      </c>
      <c r="F7" s="27" t="n">
        <f aca="false">'Income Statement'!F26*Assumptions!D$72/Assumptions!$B$6</f>
        <v>0.737035598545666</v>
      </c>
      <c r="G7" s="27" t="n">
        <f aca="false">'Income Statement'!G26*Assumptions!E$72/Assumptions!$B$6</f>
        <v>1.10160944633867</v>
      </c>
      <c r="H7" s="27" t="n">
        <f aca="false">'Income Statement'!H26*Assumptions!F$72/Assumptions!$B$6</f>
        <v>1.54365415788586</v>
      </c>
      <c r="I7" s="27" t="n">
        <f aca="false">'Income Statement'!I26*Assumptions!G$72/Assumptions!$B$6</f>
        <v>2.06699516553958</v>
      </c>
    </row>
    <row r="8" customFormat="false" ht="15" hidden="false" customHeight="true" outlineLevel="0" collapsed="false">
      <c r="A8" s="8" t="s">
        <v>348</v>
      </c>
      <c r="B8" s="27" t="n">
        <f aca="false">'Balance Sheet'!B16/Assumptions!$B$6</f>
        <v>18.2761860893597</v>
      </c>
      <c r="C8" s="27" t="n">
        <f aca="false">'Balance Sheet'!C16/Assumptions!$B$6</f>
        <v>23.4348226623676</v>
      </c>
      <c r="D8" s="27" t="n">
        <f aca="false">'Balance Sheet'!D16/Assumptions!$B$6</f>
        <v>26.5211423307232</v>
      </c>
      <c r="E8" s="27" t="n">
        <f aca="false">'Balance Sheet'!E16/Assumptions!$B$6</f>
        <v>29.1336356270118</v>
      </c>
      <c r="F8" s="27" t="n">
        <f aca="false">'Balance Sheet'!F16/Assumptions!$B$6</f>
        <v>33.3101706854373</v>
      </c>
      <c r="G8" s="27" t="n">
        <f aca="false">'Balance Sheet'!G16/Assumptions!$B$6</f>
        <v>39.0936202787153</v>
      </c>
      <c r="H8" s="27" t="n">
        <f aca="false">'Balance Sheet'!H16/Assumptions!$B$6</f>
        <v>46.1258225535286</v>
      </c>
      <c r="I8" s="27" t="n">
        <f aca="false">'Balance Sheet'!I16/Assumptions!$B$6</f>
        <v>54.3938032156869</v>
      </c>
    </row>
    <row r="9" customFormat="false" ht="15" hidden="false" customHeight="true" outlineLevel="0" collapsed="false">
      <c r="A9" s="8" t="s">
        <v>349</v>
      </c>
      <c r="B9" s="29" t="n">
        <f aca="false">Assumptions!$B$5/('Income Statement'!B26/Assumptions!$B$6)</f>
        <v>17.9404881531627</v>
      </c>
      <c r="C9" s="29" t="n">
        <f aca="false">Assumptions!$B$5/('Income Statement'!C26/Assumptions!$B$6)</f>
        <v>11.5849441617431</v>
      </c>
      <c r="D9" s="29" t="n">
        <f aca="false">Assumptions!$B$5/('Income Statement'!D26/Assumptions!$B$6)</f>
        <v>11.7784288194444</v>
      </c>
      <c r="E9" s="29" t="n">
        <f aca="false">Assumptions!$B$5/('Income Statement'!E26/Assumptions!$B$6)</f>
        <v>10.2871077365744</v>
      </c>
      <c r="F9" s="29" t="n">
        <f aca="false">Assumptions!$B$5/('Income Statement'!F26/Assumptions!$B$6)</f>
        <v>6.35993703594436</v>
      </c>
      <c r="G9" s="29" t="n">
        <f aca="false">Assumptions!$B$5/('Income Statement'!G26/Assumptions!$B$6)</f>
        <v>4.53881365725222</v>
      </c>
      <c r="H9" s="29" t="n">
        <f aca="false">Assumptions!$B$5/('Income Statement'!H26/Assumptions!$B$6)</f>
        <v>3.643950927262</v>
      </c>
      <c r="I9" s="29" t="n">
        <f aca="false">Assumptions!$B$5/('Income Statement'!I26/Assumptions!$B$6)</f>
        <v>3.02371292598959</v>
      </c>
    </row>
    <row r="10" customFormat="false" ht="15" hidden="false" customHeight="true" outlineLevel="0" collapsed="false">
      <c r="A10" s="8" t="s">
        <v>350</v>
      </c>
      <c r="B10" s="29" t="n">
        <f aca="false">Assumptions!$B$5/('Balance Sheet'!B16/Assumptions!$B$6)</f>
        <v>1.70987534528298</v>
      </c>
      <c r="C10" s="29" t="n">
        <f aca="false">Assumptions!$B$5/('Balance Sheet'!C16/Assumptions!$B$6)</f>
        <v>1.33348566149734</v>
      </c>
      <c r="D10" s="29" t="n">
        <f aca="false">Assumptions!$B$5/('Balance Sheet'!D16/Assumptions!$B$6)</f>
        <v>1.17830520308315</v>
      </c>
      <c r="E10" s="29" t="n">
        <f aca="false">Assumptions!$B$5/('Balance Sheet'!E16/Assumptions!$B$6)</f>
        <v>1.07264333226664</v>
      </c>
      <c r="F10" s="29" t="n">
        <f aca="false">Assumptions!$B$5/('Balance Sheet'!F16/Assumptions!$B$6)</f>
        <v>0.938151902465695</v>
      </c>
      <c r="G10" s="29" t="n">
        <f aca="false">Assumptions!$B$5/('Balance Sheet'!G16/Assumptions!$B$6)</f>
        <v>0.799363164045828</v>
      </c>
      <c r="H10" s="29" t="n">
        <f aca="false">Assumptions!$B$5/('Balance Sheet'!H16/Assumptions!$B$6)</f>
        <v>0.677494693210829</v>
      </c>
      <c r="I10" s="29" t="n">
        <f aca="false">Assumptions!$B$5/('Balance Sheet'!I16/Assumptions!$B$6)</f>
        <v>0.574513973146626</v>
      </c>
    </row>
    <row r="11" customFormat="false" ht="15" hidden="false" customHeight="true" outlineLevel="0" collapsed="false">
      <c r="A11" s="8" t="s">
        <v>351</v>
      </c>
      <c r="B11" s="14" t="n">
        <f aca="false">B7/Assumptions!$B$5</f>
        <v>0.00724617964071856</v>
      </c>
      <c r="C11" s="14" t="n">
        <f aca="false">C7/Assumptions!$B$5</f>
        <v>0.0112214610778443</v>
      </c>
      <c r="D11" s="14" t="n">
        <f aca="false">D7/Assumptions!$B$5</f>
        <v>0.011037125748503</v>
      </c>
      <c r="E11" s="14" t="n">
        <f aca="false">E7/Assumptions!$B$5</f>
        <v>0.0136092674039223</v>
      </c>
      <c r="F11" s="14" t="n">
        <f aca="false">F7/Assumptions!$B$5</f>
        <v>0.0235851391534613</v>
      </c>
      <c r="G11" s="14" t="n">
        <f aca="false">G7/Assumptions!$B$5</f>
        <v>0.0352515022828374</v>
      </c>
      <c r="H11" s="14" t="n">
        <f aca="false">H7/Assumptions!$B$5</f>
        <v>0.0493969330523474</v>
      </c>
      <c r="I11" s="14" t="n">
        <f aca="false">I7/Assumptions!$B$5</f>
        <v>0.0661438452972664</v>
      </c>
    </row>
    <row r="12" customFormat="false" ht="15" hidden="false" customHeight="true" outlineLevel="0" collapsed="false">
      <c r="A12" s="8" t="s">
        <v>352</v>
      </c>
      <c r="B12" s="14" t="n">
        <f aca="false">'Income Statement'!B19/'Income Statement'!B9</f>
        <v>0.197388866130832</v>
      </c>
      <c r="C12" s="14" t="n">
        <f aca="false">'Income Statement'!C19/'Income Statement'!C9</f>
        <v>0.143015962719684</v>
      </c>
      <c r="D12" s="14" t="n">
        <f aca="false">'Income Statement'!D19/'Income Statement'!D9</f>
        <v>0.110291936412655</v>
      </c>
      <c r="E12" s="14" t="n">
        <f aca="false">'Income Statement'!E19/'Income Statement'!E9</f>
        <v>0.103183521886175</v>
      </c>
      <c r="F12" s="14" t="n">
        <f aca="false">'Income Statement'!F19/'Income Statement'!F9</f>
        <v>0.10683780224877</v>
      </c>
      <c r="G12" s="14" t="n">
        <f aca="false">'Income Statement'!G19/'Income Statement'!G9</f>
        <v>0.11031219511835</v>
      </c>
      <c r="H12" s="14" t="n">
        <f aca="false">'Income Statement'!H19/'Income Statement'!H9</f>
        <v>0.111194177463432</v>
      </c>
      <c r="I12" s="14" t="n">
        <f aca="false">'Income Statement'!I19/'Income Statement'!I9</f>
        <v>0.112251678903979</v>
      </c>
    </row>
    <row r="13" customFormat="false" ht="15" hidden="false" customHeight="true" outlineLevel="0" collapsed="false">
      <c r="A13" s="8" t="s">
        <v>353</v>
      </c>
      <c r="B13" s="14" t="n">
        <f aca="false">'Income Statement'!B26/'Income Statement'!B9</f>
        <v>0.0667721384882686</v>
      </c>
      <c r="C13" s="14" t="n">
        <f aca="false">'Income Statement'!C26/'Income Statement'!C9</f>
        <v>0.0542547179425416</v>
      </c>
      <c r="D13" s="14" t="n">
        <f aca="false">'Income Statement'!D26/'Income Statement'!D9</f>
        <v>0.0358968861944066</v>
      </c>
      <c r="E13" s="14" t="n">
        <f aca="false">'Income Statement'!E26/'Income Statement'!E9</f>
        <v>0.0333662811394545</v>
      </c>
      <c r="F13" s="14" t="n">
        <f aca="false">'Income Statement'!F26/'Income Statement'!F9</f>
        <v>0.0436585402580679</v>
      </c>
      <c r="G13" s="14" t="n">
        <f aca="false">'Income Statement'!G26/'Income Statement'!G9</f>
        <v>0.0513381776299132</v>
      </c>
      <c r="H13" s="14" t="n">
        <f aca="false">'Income Statement'!H26/'Income Statement'!H9</f>
        <v>0.0552386151238971</v>
      </c>
      <c r="I13" s="14" t="n">
        <f aca="false">'Income Statement'!I26/'Income Statement'!I9</f>
        <v>0.0584860614402813</v>
      </c>
    </row>
    <row r="14" customFormat="false" ht="15" hidden="false" customHeight="true" outlineLevel="0" collapsed="false">
      <c r="A14" s="8" t="s">
        <v>354</v>
      </c>
      <c r="B14" s="14" t="n">
        <f aca="false">'Income Statement'!B26/'Balance Sheet'!B16</f>
        <v>0.0953081839627397</v>
      </c>
      <c r="C14" s="14" t="n">
        <f aca="false">'Income Statement'!C26/'Balance Sheet'!C16</f>
        <v>0.115105057295045</v>
      </c>
      <c r="D14" s="14" t="n">
        <f aca="false">'Income Statement'!D26/'Balance Sheet'!D16</f>
        <v>0.100039251511878</v>
      </c>
      <c r="E14" s="14" t="n">
        <f aca="false">'Income Statement'!E26/'Balance Sheet'!E16</f>
        <v>0.104270642413221</v>
      </c>
      <c r="F14" s="14" t="n">
        <f aca="false">'Income Statement'!F26/'Balance Sheet'!F16</f>
        <v>0.147509621111586</v>
      </c>
      <c r="G14" s="14" t="n">
        <f aca="false">'Income Statement'!G26/'Balance Sheet'!G16</f>
        <v>0.17611720251361</v>
      </c>
      <c r="H14" s="14" t="n">
        <f aca="false">'Income Statement'!H26/'Balance Sheet'!H16</f>
        <v>0.185923111132533</v>
      </c>
      <c r="I14" s="14" t="n">
        <f aca="false">'Income Statement'!I26/'Balance Sheet'!I16</f>
        <v>0.190002816804641</v>
      </c>
    </row>
    <row r="15" customFormat="false" ht="15" hidden="false" customHeight="true" outlineLevel="0" collapsed="false">
      <c r="A15" s="8" t="s">
        <v>355</v>
      </c>
      <c r="B15" s="29" t="n">
        <f aca="false">'Balance Sheet'!B28/'Income Statement'!B19</f>
        <v>1.43367027462206</v>
      </c>
      <c r="C15" s="29" t="n">
        <f aca="false">'Balance Sheet'!C28/'Income Statement'!C19</f>
        <v>1.96771393405454</v>
      </c>
      <c r="D15" s="29" t="n">
        <f aca="false">'Balance Sheet'!D28/'Income Statement'!D19</f>
        <v>3.22282369161572</v>
      </c>
      <c r="E15" s="29" t="n">
        <f aca="false">'Balance Sheet'!E28/'Income Statement'!E19</f>
        <v>3.64511209225965</v>
      </c>
      <c r="F15" s="29" t="n">
        <f aca="false">'Balance Sheet'!F28/'Income Statement'!F19</f>
        <v>3.46344101758409</v>
      </c>
      <c r="G15" s="29" t="n">
        <f aca="false">'Balance Sheet'!G28/'Income Statement'!G19</f>
        <v>3.21294803033328</v>
      </c>
      <c r="H15" s="29" t="n">
        <f aca="false">'Balance Sheet'!H28/'Income Statement'!H19</f>
        <v>3.04165844433422</v>
      </c>
      <c r="I15" s="29" t="n">
        <f aca="false">'Balance Sheet'!I28/'Income Statement'!I19</f>
        <v>2.85450093073083</v>
      </c>
    </row>
    <row r="16" customFormat="false" ht="15" hidden="false" customHeight="true" outlineLevel="0" collapsed="false">
      <c r="A16" s="8" t="s">
        <v>356</v>
      </c>
      <c r="B16" s="14"/>
      <c r="C16" s="14" t="n">
        <f aca="false">'Income Statement'!C9/'Income Statement'!B9-1</f>
        <v>0.90589111917845</v>
      </c>
      <c r="D16" s="14" t="n">
        <f aca="false">'Income Statement'!D9/'Income Statement'!C9-1</f>
        <v>0.486576677567886</v>
      </c>
      <c r="E16" s="14" t="n">
        <f aca="false">'Income Statement'!E9/'Income Statement'!D9-1</f>
        <v>0.231808075463731</v>
      </c>
      <c r="F16" s="14" t="n">
        <f aca="false">'Income Statement'!F9/'Income Statement'!E9-1</f>
        <v>0.236172466062034</v>
      </c>
      <c r="G16" s="14" t="n">
        <f aca="false">'Income Statement'!G9/'Income Statement'!F9-1</f>
        <v>0.191623956230818</v>
      </c>
      <c r="H16" s="14" t="n">
        <f aca="false">'Income Statement'!H9/'Income Statement'!G9-1</f>
        <v>0.157623940179537</v>
      </c>
      <c r="I16" s="14" t="n">
        <f aca="false">'Income Statement'!I9/'Income Statement'!H9-1</f>
        <v>0.13820992703289</v>
      </c>
    </row>
    <row r="17" customFormat="false" ht="15" hidden="false" customHeight="true" outlineLevel="0" collapsed="false">
      <c r="A17" s="8" t="s">
        <v>357</v>
      </c>
      <c r="B17" s="14"/>
      <c r="C17" s="14" t="n">
        <f aca="false">('Income Statement'!C26/'Income Statement'!B26)-1</f>
        <v>0.548603765601862</v>
      </c>
      <c r="D17" s="14" t="n">
        <f aca="false">('Income Statement'!D26/'Income Statement'!C26)-1</f>
        <v>-0.016427034595813</v>
      </c>
      <c r="E17" s="14" t="n">
        <f aca="false">('Income Statement'!E26/'Income Statement'!D26)-1</f>
        <v>0.144969910013463</v>
      </c>
      <c r="F17" s="14" t="n">
        <f aca="false">('Income Statement'!F26/'Income Statement'!E26)-1</f>
        <v>0.617485783025046</v>
      </c>
      <c r="G17" s="14" t="n">
        <f aca="false">('Income Statement'!G26/'Income Statement'!F26)-1</f>
        <v>0.401233343383091</v>
      </c>
      <c r="H17" s="14" t="n">
        <f aca="false">('Income Statement'!H26/'Income Statement'!G26)-1</f>
        <v>0.245574857579821</v>
      </c>
      <c r="I17" s="14" t="n">
        <f aca="false">('Income Statement'!I26/'Income Statement'!H26)-1</f>
        <v>0.20512463201824</v>
      </c>
    </row>
    <row r="19" customFormat="false" ht="15" hidden="false" customHeight="true" outlineLevel="0" collapsed="false">
      <c r="A19" s="15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8"/>
    <col collapsed="false" customWidth="true" hidden="false" outlineLevel="0" max="3" min="3" style="1" width="46"/>
    <col collapsed="false" customWidth="true" hidden="false" outlineLevel="0" max="7" min="4" style="1" width="12"/>
  </cols>
  <sheetData>
    <row r="1" customFormat="false" ht="15.75" hidden="false" customHeight="true" outlineLevel="0" collapsed="false">
      <c r="A1" s="2" t="s">
        <v>359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360</v>
      </c>
    </row>
    <row r="5" customFormat="false" ht="15" hidden="false" customHeight="true" outlineLevel="0" collapsed="false">
      <c r="A5" s="7" t="s">
        <v>150</v>
      </c>
      <c r="B5" s="7" t="s">
        <v>361</v>
      </c>
      <c r="C5" s="7" t="s">
        <v>362</v>
      </c>
    </row>
    <row r="6" customFormat="false" ht="15" hidden="false" customHeight="true" outlineLevel="0" collapsed="false">
      <c r="A6" s="8" t="s">
        <v>363</v>
      </c>
      <c r="B6" s="6" t="s">
        <v>364</v>
      </c>
      <c r="C6" s="6" t="s">
        <v>365</v>
      </c>
    </row>
    <row r="7" customFormat="false" ht="15" hidden="false" customHeight="true" outlineLevel="0" collapsed="false">
      <c r="A7" s="8" t="s">
        <v>366</v>
      </c>
      <c r="B7" s="6" t="s">
        <v>367</v>
      </c>
      <c r="C7" s="6" t="s">
        <v>368</v>
      </c>
    </row>
    <row r="8" customFormat="false" ht="15" hidden="false" customHeight="true" outlineLevel="0" collapsed="false">
      <c r="A8" s="8" t="s">
        <v>369</v>
      </c>
      <c r="B8" s="6" t="s">
        <v>370</v>
      </c>
      <c r="C8" s="6" t="s">
        <v>371</v>
      </c>
    </row>
    <row r="10" customFormat="false" ht="15" hidden="false" customHeight="true" outlineLevel="0" collapsed="false">
      <c r="A10" s="15" t="s">
        <v>372</v>
      </c>
    </row>
    <row r="11" customFormat="false" ht="15" hidden="false" customHeight="true" outlineLevel="0" collapsed="false">
      <c r="A11" s="15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2026-07-08T11:55:27Z</dcterms:created>
  <dc:creator>openpyxl</dc:creator>
  <dc:description/>
  <dc:language>en-US</dc:language>
  <cp:lastModifiedBy/>
  <dcterms:modified xsi:type="dcterms:W3CDTF">2026-07-09T11:27:31Z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