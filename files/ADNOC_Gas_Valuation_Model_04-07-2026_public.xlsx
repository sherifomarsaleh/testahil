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DDM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<sst xmlns="http://schemas.openxmlformats.org/spreadsheetml/2006/main" count="321" uniqueCount="234">
  <si>
    <t xml:space="preserve">Testahil — ADNOC Gas plc (ADX: ADNOCGAS)</t>
  </si>
  <si>
    <t xml:space="preserve">Companion model · Independent Valuation Study — Educational Analysis · Not investment advice</t>
  </si>
  <si>
    <t xml:space="preserve">WHAT THIS WORKBOOK IS. The companion model to the ADNOC Gas valuation study. Reporting currency is US dollars</t>
  </si>
  <si>
    <t xml:space="preserve">(the company reports in USD); the share price and all per-share fair values are in AED (peg 3.6725).</t>
  </si>
  <si>
    <t xml:space="preserve">COLOUR CODE.  Blue = a hardcoded input you can change.   Black = a formula/calculation.   Green = a link pulling</t>
  </si>
  <si>
    <t xml:space="preserve">from another sheet.  Every forecast and valuation cell links back to the Assumptions sheet — change one blue input</t>
  </si>
  <si>
    <t xml:space="preserve">there (WACC, a margin, the dividend growth rate) and the whole model reprices.</t>
  </si>
  <si>
    <t xml:space="preserve">LENS.  Primary lens = discounted cash flow (FCFF) on a 5-year forecast. Cross-checks: a dividend-discount model</t>
  </si>
  <si>
    <t xml:space="preserve">(DDM) on the board-committed 5%-growth dividend, discounted at a lower sovereign-backed rate; and relative</t>
  </si>
  <si>
    <t xml:space="preserve">multiples (EV/EBITDA, justified P/E, dividend yield). The five lenses are weighted on the Summary sheet.</t>
  </si>
  <si>
    <t xml:space="preserve">MONTE CARLO.  Width from the YZ-HAR engine (pooled log-HAR on a Yang-Zhang variance proxy); Student-t(5)</t>
  </si>
  <si>
    <t xml:space="preserve">innovations; drift OFF (international name — paths diffuse from spot); 16 factors (7 continuous + 9 discrete);</t>
  </si>
  <si>
    <t xml:space="preserve">50,000 paths, seed 42. The §1 value gap is deliberately kept out of the drift.</t>
  </si>
  <si>
    <t xml:space="preserve">HISTORICALS are anchored to disclosed figures (revenue, EBITDA, net income, dividend, equity, cash, net debt).</t>
  </si>
  <si>
    <t xml:space="preserve">Balance-sheet line detail below those anchors is estimated. Forward commodity/price-path inputs are the house's</t>
  </si>
  <si>
    <t xml:space="preserve">own defensible view. The ADX gas-infrastructure factor set is a new red-pen class (calibrated = False) pending sign-off.</t>
  </si>
  <si>
    <t xml:space="preserve">NOT A RATING. Testahil publishes fair-value ranges and probability distributions — never a buy/sell/hold or a price target.</t>
  </si>
  <si>
    <t xml:space="preserve">Valuation summary — ADNOC Gas (ADX: ADNOCGAS)</t>
  </si>
  <si>
    <t xml:space="preserve">Five-lens fair value versus spot. Bear/bull are judgment ranges; base links to the lens sheets.</t>
  </si>
  <si>
    <t xml:space="preserve">Lens</t>
  </si>
  <si>
    <t xml:space="preserve">Bear</t>
  </si>
  <si>
    <t xml:space="preserve">Base</t>
  </si>
  <si>
    <t xml:space="preserve">Bull</t>
  </si>
  <si>
    <t xml:space="preserve">Weight</t>
  </si>
  <si>
    <t xml:space="preserve">DCF (FCFF)</t>
  </si>
  <si>
    <t xml:space="preserve">DDM (dividend stream)</t>
  </si>
  <si>
    <t xml:space="preserve">Relative EV/EBITDA</t>
  </si>
  <si>
    <t xml:space="preserve">Justified P/E</t>
  </si>
  <si>
    <t xml:space="preserve">Dividend yield</t>
  </si>
  <si>
    <t xml:space="preserve">Weighted fair value (base)</t>
  </si>
  <si>
    <t xml:space="preserve">Spot</t>
  </si>
  <si>
    <t xml:space="preserve">Upside / (downside) to fair</t>
  </si>
  <si>
    <t xml:space="preserve">Fair-value range (bear–bull)</t>
  </si>
  <si>
    <t xml:space="preserve">Fundamental valuation — bear/base/bull per lens</t>
  </si>
  <si>
    <t xml:space="preserve">All figures link to the Summary sheet.</t>
  </si>
  <si>
    <t xml:space="preserve">Weighted fair value</t>
  </si>
  <si>
    <t xml:space="preserve">Assumptions — the single input layer</t>
  </si>
  <si>
    <t xml:space="preserve">All blue cells are inputs. Black cells are formulas. USD m unless noted; per-share in AED.</t>
  </si>
  <si>
    <t xml:space="preserve">ANCHORS</t>
  </si>
  <si>
    <t xml:space="preserve">Spot price (AED/share)</t>
  </si>
  <si>
    <t xml:space="preserve">Shares outstanding (m)</t>
  </si>
  <si>
    <t xml:space="preserve">AED/USD peg</t>
  </si>
  <si>
    <t xml:space="preserve">Net cash (USD m)</t>
  </si>
  <si>
    <t xml:space="preserve">DCF — COST OF CAPITAL</t>
  </si>
  <si>
    <t xml:space="preserve">Risk-free rate (UAE USD sovereign)</t>
  </si>
  <si>
    <t xml:space="preserve">Beta</t>
  </si>
  <si>
    <t xml:space="preserve">Equity risk premium</t>
  </si>
  <si>
    <t xml:space="preserve">Cost of equity  Ke = rf + β·ERP</t>
  </si>
  <si>
    <t xml:space="preserve">WACC (net cash → = Ke)</t>
  </si>
  <si>
    <t xml:space="preserve">Terminal growth</t>
  </si>
  <si>
    <t xml:space="preserve">Effective tax rate (blended)</t>
  </si>
  <si>
    <t xml:space="preserve">DDM — DIVIDEND STREAM</t>
  </si>
  <si>
    <t xml:space="preserve">Cost of equity (dividend, split-Ke)</t>
  </si>
  <si>
    <t xml:space="preserve">Dividend growth (board policy)</t>
  </si>
  <si>
    <t xml:space="preserve">DDM terminal growth</t>
  </si>
  <si>
    <t xml:space="preserve">FY2025 total dividend (USD m)</t>
  </si>
  <si>
    <t xml:space="preserve">RELATIVE &amp; YIELD</t>
  </si>
  <si>
    <t xml:space="preserve">EV/EBITDA target multiple</t>
  </si>
  <si>
    <t xml:space="preserve">Fair dividend yield</t>
  </si>
  <si>
    <t xml:space="preserve">SYNTHESIS WEIGHTS</t>
  </si>
  <si>
    <t xml:space="preserve">DCF weight</t>
  </si>
  <si>
    <t xml:space="preserve">DDM weight</t>
  </si>
  <si>
    <t xml:space="preserve">Relative EV/EBITDA weight</t>
  </si>
  <si>
    <t xml:space="preserve">Justified P/E weight</t>
  </si>
  <si>
    <t xml:space="preserve">Dividend yield weight</t>
  </si>
  <si>
    <t xml:space="preserve">  sum of weights (check)</t>
  </si>
  <si>
    <t xml:space="preserve">FORECAST DRIVERS (FY2026E–FY2030E)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</si>
  <si>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</si>
  <si>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</si>
  <si>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</si>
  <si>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</si>
  <si>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</si>
  <si>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Revenue (USD m)</t>
  </si>
  <si>
    <t xml:space="preserve">EBITDA margin</t>
  </si>
  <si>
    <t xml:space="preserve">D&amp;A (USD m)</t>
  </si>
  <si>
    <t xml:space="preserve">Net finance cost (USD m)</t>
  </si>
  <si>
    <t xml:space="preserve">Capex (USD m)</t>
  </si>
  <si>
    <t xml:space="preserve">Δ Working capital (USD m)</t>
  </si>
  <si>
    <t xml:space="preserve">MONTE CARLO</t>
  </si>
  <si>
    <t xml:space="preserve">Diffusion volatility (annualized, YZ-HAR)</t>
  </si>
  <si>
    <t xml:space="preserve">Net 3-month factor drift</t>
  </si>
  <si>
    <t xml:space="preserve">Paths / seed</t>
  </si>
  <si>
    <t xml:space="preserve">50,000 / 42</t>
  </si>
  <si>
    <t xml:space="preserve">Dividend discount model — committed dividend</t>
  </si>
  <si>
    <t xml:space="preserve">5% policy growth to 2030, then terminal g; discounted at the split-Ke (sovereign-backed dividend).</t>
  </si>
  <si>
    <t xml:space="preserve">Total dividend (USD m)</t>
  </si>
  <si>
    <t xml:space="preserve">DPS (USD)</t>
  </si>
  <si>
    <t xml:space="preserve">Discount factor @ Ke_ddm</t>
  </si>
  <si>
    <t xml:space="preserve">PV of DPS (USD)</t>
  </si>
  <si>
    <t xml:space="preserve">Sum PV of explicit DPS</t>
  </si>
  <si>
    <t xml:space="preserve">Terminal DPS (2031, USD)</t>
  </si>
  <si>
    <t xml:space="preserve">Terminal value (USD)</t>
  </si>
  <si>
    <t xml:space="preserve">PV of terminal value (USD)</t>
  </si>
  <si>
    <t xml:space="preserve">Value per share (USD)</t>
  </si>
  <si>
    <t xml:space="preserve">Value per share (AED)</t>
  </si>
  <si>
    <t xml:space="preserve">Segment view (USD m)</t>
  </si>
  <si>
    <t xml:space="preserve">Illustrative split of the two revenue legs — domestic take-or-pay vs liquids/LNG exports.</t>
  </si>
  <si>
    <t xml:space="preserve">2023</t>
  </si>
  <si>
    <t xml:space="preserve">2024</t>
  </si>
  <si>
    <t xml:space="preserve">2025</t>
  </si>
  <si>
    <t xml:space="preserve">Domestic gas (~60%, take-or-pay)</t>
  </si>
  <si>
    <t xml:space="preserve">Liquids / LNG / condensate (~40%)</t>
  </si>
  <si>
    <t xml:space="preserve">Total revenue</t>
  </si>
  <si>
    <t xml:space="preserve">Group EBITDA</t>
  </si>
  <si>
    <t xml:space="preserve">  EBITDA margin</t>
  </si>
  <si>
    <t xml:space="preserve">Note</t>
  </si>
  <si>
    <t xml:space="preserve">Segment split illustrative (60/40); ADNOC Gas does not disclose per-segment volume×price — top-down basis.</t>
  </si>
  <si>
    <t xml:space="preserve">Relative &amp; yield lenses</t>
  </si>
  <si>
    <t xml:space="preserve">Applied to FY2026E figures. Links to Assumptions and the income statement.</t>
  </si>
  <si>
    <t xml:space="preserve">Workings</t>
  </si>
  <si>
    <t xml:space="preserve">AED/share</t>
  </si>
  <si>
    <t xml:space="preserve">target × FY26 EBITDA + net cash, ÷ shares</t>
  </si>
  <si>
    <t xml:space="preserve">justified P/E × FY26 EPS (AED)</t>
  </si>
  <si>
    <t xml:space="preserve">FY26 DPS (AED) ÷ fair yield</t>
  </si>
  <si>
    <t xml:space="preserve">Implied EV at target (USD m)</t>
  </si>
  <si>
    <t xml:space="preserve">FY26 EPS (AED)</t>
  </si>
  <si>
    <t xml:space="preserve">FY26 DPS (AED)</t>
  </si>
  <si>
    <t xml:space="preserve">Discounted cash flow — FCFF (USD m)</t>
  </si>
  <si>
    <t xml:space="preserve">NOPAT + D&amp;A − capex − Δ working capital, discounted at WACC. Value per share in AED.</t>
  </si>
  <si>
    <t xml:space="preserve">EBIT</t>
  </si>
  <si>
    <t xml:space="preserve">NOPAT = EBIT×(1−tax)</t>
  </si>
  <si>
    <t xml:space="preserve">+ D&amp;A</t>
  </si>
  <si>
    <t xml:space="preserve">− Capex</t>
  </si>
  <si>
    <t xml:space="preserve">− Δ working capital</t>
  </si>
  <si>
    <t xml:space="preserve">Free cash flow to firm</t>
  </si>
  <si>
    <t xml:space="preserve">Discount factor @ WACC</t>
  </si>
  <si>
    <t xml:space="preserve">PV of FCFF</t>
  </si>
  <si>
    <t xml:space="preserve">Sum PV of explicit FCFF</t>
  </si>
  <si>
    <t xml:space="preserve">Terminal value (2031)</t>
  </si>
  <si>
    <t xml:space="preserve">PV of terminal value</t>
  </si>
  <si>
    <t xml:space="preserve">Enterprise value</t>
  </si>
  <si>
    <t xml:space="preserve">  Terminal value as % of EV</t>
  </si>
  <si>
    <t xml:space="preserve">+ Net cash</t>
  </si>
  <si>
    <t xml:space="preserve">Equity value</t>
  </si>
  <si>
    <t xml:space="preserve">Income statement (USD m; per-share AED)</t>
  </si>
  <si>
    <t xml:space="preserve">FY2023–25 anchored to disclosed adjusted results; FY2026E–30E driven by Assumptions.</t>
  </si>
  <si>
    <t xml:space="preserve">Revenue</t>
  </si>
  <si>
    <t xml:space="preserve">EBITDA</t>
  </si>
  <si>
    <t xml:space="preserve">Depreciation &amp; amortization</t>
  </si>
  <si>
    <t xml:space="preserve">Net finance cost</t>
  </si>
  <si>
    <t xml:space="preserve">Profit before tax</t>
  </si>
  <si>
    <t xml:space="preserve">Tax</t>
  </si>
  <si>
    <t xml:space="preserve">Net income</t>
  </si>
  <si>
    <t xml:space="preserve">EPS (AED)</t>
  </si>
  <si>
    <t xml:space="preserve">DPS (AED)</t>
  </si>
  <si>
    <t xml:space="preserve">Payout ratio</t>
  </si>
  <si>
    <t xml:space="preserve">Balance sheet (USD m)</t>
  </si>
  <si>
    <t xml:space="preserve">Anchored to disclosed equity, cash, debt and net cash; line detail below those anchors estimated.</t>
  </si>
  <si>
    <t xml:space="preserve">Cash &amp; equivalents</t>
  </si>
  <si>
    <t xml:space="preserve">Trade &amp; other receivables</t>
  </si>
  <si>
    <t xml:space="preserve">Inventory</t>
  </si>
  <si>
    <t xml:space="preserve">Investments in JV/associates</t>
  </si>
  <si>
    <t xml:space="preserve">PP&amp;E &amp; intangibles</t>
  </si>
  <si>
    <t xml:space="preserve">Total assets</t>
  </si>
  <si>
    <t xml:space="preserve">Debt</t>
  </si>
  <si>
    <t xml:space="preserve">Decommissioning &amp; provisions</t>
  </si>
  <si>
    <t xml:space="preserve">Trade &amp; other payables</t>
  </si>
  <si>
    <t xml:space="preserve">Other liabilities (balancing)</t>
  </si>
  <si>
    <t xml:space="preserve">Total liabilities</t>
  </si>
  <si>
    <t xml:space="preserve">Total equity</t>
  </si>
  <si>
    <t xml:space="preserve">Total liab. &amp; equity</t>
  </si>
  <si>
    <t xml:space="preserve">Net cash / (net debt)</t>
  </si>
  <si>
    <t xml:space="preserve">Cash flow (USD m, forecast)</t>
  </si>
  <si>
    <t xml:space="preserve">Derived from the income statement and Assumptions drivers.</t>
  </si>
  <si>
    <t xml:space="preserve">Operating cash flow</t>
  </si>
  <si>
    <t xml:space="preserve">Free cash flow</t>
  </si>
  <si>
    <t xml:space="preserve">− Dividends</t>
  </si>
  <si>
    <t xml:space="preserve">+ Δ debt</t>
  </si>
  <si>
    <t xml:space="preserve">Net change in cash</t>
  </si>
  <si>
    <t xml:space="preserve">Opening cash</t>
  </si>
  <si>
    <t xml:space="preserve">Closing cash</t>
  </si>
  <si>
    <t xml:space="preserve">Summary financials (USD m)</t>
  </si>
  <si>
    <t xml:space="preserve">Every cell links to the statement sheets.</t>
  </si>
  <si>
    <t xml:space="preserve">—</t>
  </si>
  <si>
    <t xml:space="preserve">Monte Carlo — engine output</t>
  </si>
  <si>
    <t xml:space="preserve">50,000 paths · 16 factors (7C+9D) · YZ-HAR width · Student-t(5) · drift OFF · seed 42. Prices in AED.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</si>
  <si>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</si>
  <si>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</si>
  <si>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</si>
  <si>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</si>
  <si>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</si>
  <si>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</si>
  <si>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</si>
  <si>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</si>
  <si>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Diffusion vol (YZ-HAR)</t>
  </si>
  <si>
    <t xml:space="preserve">PROBABILITY ZONES (T+60)</t>
  </si>
  <si>
    <t xml:space="preserve">&lt; -10%</t>
  </si>
  <si>
    <t xml:space="preserve">-10..-5%</t>
  </si>
  <si>
    <t xml:space="preserve">-5..+5%</t>
  </si>
  <si>
    <t xml:space="preserve">+5..+10%</t>
  </si>
  <si>
    <t xml:space="preserve">&gt;+10%</t>
  </si>
  <si>
    <t xml:space="preserve">TOUCH-PROBABILITY LADDER</t>
  </si>
  <si>
    <t xml:space="preserve">Level (AED)</t>
  </si>
  <si>
    <t xml:space="preserve">T+20</t>
  </si>
  <si>
    <t xml:space="preserve">T+60</t>
  </si>
  <si>
    <t xml:space="preserve">DCF sensitivity — WACC × terminal g</t>
  </si>
  <si>
    <t xml:space="preserve">Fair value per share (AED). Recomputed live from the DCF FCFF stream.</t>
  </si>
  <si>
    <t xml:space="preserve">WACC \ g</t>
  </si>
  <si>
    <t xml:space="preserve">Per-share &amp; ratios (the Data Miner)</t>
  </si>
  <si>
    <t xml:space="preserve">Identical panel across every study. Per-share in AED; current-price multiples at spot.</t>
  </si>
  <si>
    <t xml:space="preserve">BVPS (AED)</t>
  </si>
  <si>
    <t xml:space="preserve">Net margin</t>
  </si>
  <si>
    <t xml:space="preserve">ROE</t>
  </si>
  <si>
    <t xml:space="preserve">Net debt / EBITDA</t>
  </si>
  <si>
    <t xml:space="preserve">Effective tax rate</t>
  </si>
  <si>
    <t xml:space="preserve">CURRENT-PRICE MULTIPLES (at spot)</t>
  </si>
  <si>
    <t xml:space="preserve">P/E (FY25)</t>
  </si>
  <si>
    <t xml:space="preserve">P/E (FY26E)</t>
  </si>
  <si>
    <t xml:space="preserve">P/B (FY25)</t>
  </si>
  <si>
    <t xml:space="preserve">EV/EBITDA (FY25)</t>
  </si>
  <si>
    <t xml:space="preserve">Dividend yield (FY25)</t>
  </si>
  <si>
    <t xml:space="preserve">Dividend yield (FY26E)</t>
  </si>
  <si>
    <t xml:space="preserve">FCF yield (FY26E)</t>
  </si>
  <si>
    <t xml:space="preserve">Peer set &amp; sector</t>
  </si>
  <si>
    <t xml:space="preserve">No perfect comparable — a global gas-infrastructure / midstream + regional set is the reference.</t>
  </si>
  <si>
    <t xml:space="preserve">Peer group</t>
  </si>
  <si>
    <t xml:space="preserve">Names</t>
  </si>
  <si>
    <t xml:space="preserve">Typical valuation</t>
  </si>
  <si>
    <t xml:space="preserve">Global LNG / gas midstream</t>
  </si>
  <si>
    <t xml:space="preserve">Cheniere, Williams, ONEOK, Enbridge, Sempra</t>
  </si>
  <si>
    <t xml:space="preserve">EV/EBITDA ~9–12x; yield 3–7%</t>
  </si>
  <si>
    <t xml:space="preserve">European gas infrastructure</t>
  </si>
  <si>
    <t xml:space="preserve">Snam, Enagás, Fluxys</t>
  </si>
  <si>
    <t xml:space="preserve">EV/EBITDA ~8–10x; high payout</t>
  </si>
  <si>
    <t xml:space="preserve">APAC LNG producers</t>
  </si>
  <si>
    <t xml:space="preserve">Woodside, Santos, PETRONAS-linked</t>
  </si>
  <si>
    <t xml:space="preserve">EV/EBITDA ~5–7x; oil-linked</t>
  </si>
  <si>
    <t xml:space="preserve">Gulf / ADX energy</t>
  </si>
  <si>
    <t xml:space="preserve">ADNOC Drilling, ADNOC Distribution, Aramco</t>
  </si>
  <si>
    <t xml:space="preserve">EV/EBITDA ~7–9x; 4–6% yield</t>
  </si>
  <si>
    <t xml:space="preserve">ADNOC Gas (this study)</t>
  </si>
  <si>
    <t xml:space="preserve">EV/EBITDA ~7.8x; ~5% yield</t>
  </si>
  <si>
    <t xml:space="preserve">Sector risks</t>
  </si>
  <si>
    <t xml:space="preserve">Brent/oil-linkage on exports; regional security (Hormuz); gas-allocation &amp; tariff policy; controlling-shareholder capital allocation; energy transition on terminal value.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</si>
</sst>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0.0%"/>
    <numFmt numFmtId="167" formatCode="@"/>
    <numFmt numFmtId="168" formatCode="#,##0"/>
    <numFmt numFmtId="169" formatCode="0.0000"/>
    <numFmt numFmtId="170" formatCode="\$#,##0;&quot;($&quot;#,##0\);\-"/>
    <numFmt numFmtId="171" formatCode="0.00"/>
    <numFmt numFmtId="172" formatCode="0.0\x"/>
    <numFmt numFmtId="173" formatCode="0.000"/>
    <numFmt numFmtId="174" formatCode="#,##0.00;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C3A36"/>
      <name val="Arial"/>
      <family val="0"/>
      <charset val="1"/>
    </font>
    <font>
      <i val="true"/>
      <sz val="9"/>
      <color rgb="FF5A5A50"/>
      <name val="Arial"/>
      <family val="0"/>
      <charset val="1"/>
    </font>
    <font>
      <sz val="9"/>
      <color rgb="FF1C3A3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1C3A36"/>
      <name val="Arial"/>
      <family val="0"/>
      <charset val="1"/>
    </font>
    <font>
      <b val="true"/>
      <sz val="10"/>
      <color rgb="FF0F5E5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5E54"/>
        <bgColor rgb="FF1C3A36"/>
      </patternFill>
    </fill>
    <fill>
      <patternFill patternType="solid">
        <fgColor rgb="FFE4EEEA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5E54"/>
      <rgbColor rgb="FFC0C0C0"/>
      <rgbColor rgb="FF808080"/>
      <rgbColor rgb="FF9999FF"/>
      <rgbColor rgb="FF993366"/>
      <rgbColor rgb="FFFFFFCC"/>
      <rgbColor rgb="FFE4EE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/>
    </row>
    <row r="8" customFormat="false" ht="15" hidden="false" customHeight="false" outlineLevel="0" collapsed="false">
      <c r="A8" s="4" t="s">
        <v>4</v>
      </c>
    </row>
    <row r="9" customFormat="false" ht="15" hidden="false" customHeight="false" outlineLevel="0" collapsed="false">
      <c r="A9" s="4" t="s">
        <v>5</v>
      </c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 t="s">
        <v>7</v>
      </c>
    </row>
    <row r="13" customFormat="false" ht="15" hidden="false" customHeight="false" outlineLevel="0" collapsed="false">
      <c r="A13" s="4" t="s">
        <v>8</v>
      </c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4" t="s">
        <v>10</v>
      </c>
    </row>
    <row r="17" customFormat="false" ht="15" hidden="false" customHeight="false" outlineLevel="0" collapsed="false">
      <c r="A17" s="4" t="s">
        <v>11</v>
      </c>
    </row>
    <row r="18" customFormat="false" ht="15" hidden="false" customHeight="false" outlineLevel="0" collapsed="false">
      <c r="A18" s="4" t="s">
        <v>12</v>
      </c>
    </row>
    <row r="19" customFormat="false" ht="15" hidden="false" customHeight="false" outlineLevel="0" collapsed="false">
      <c r="A19" s="4"/>
    </row>
    <row r="20" customFormat="false" ht="15" hidden="false" customHeight="false" outlineLevel="0" collapsed="false">
      <c r="A20" s="4" t="s">
        <v>13</v>
      </c>
    </row>
    <row r="21" customFormat="false" ht="15" hidden="false" customHeight="false" outlineLevel="0" collapsed="false">
      <c r="A21" s="4" t="s">
        <v>14</v>
      </c>
    </row>
    <row r="22" customFormat="false" ht="15" hidden="false" customHeight="false" outlineLevel="0" collapsed="false">
      <c r="A22" s="4" t="s">
        <v>15</v>
      </c>
    </row>
    <row r="23" customFormat="false" ht="15" hidden="false" customHeight="false" outlineLevel="0" collapsed="false">
      <c r="A23" s="4"/>
    </row>
    <row r="24" customFormat="false" ht="15" hidden="false" customHeight="false" outlineLevel="0" collapsed="false">
      <c r="A24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2"/>
  </cols>
  <sheetData>
    <row r="1" customFormat="false" ht="16.15" hidden="false" customHeight="false" outlineLevel="0" collapsed="false">
      <c r="A1" s="2" t="s">
        <v>17</v>
      </c>
    </row>
    <row r="2" customFormat="false" ht="15" hidden="false" customHeight="false" outlineLevel="0" collapsed="false">
      <c r="A2" s="3" t="s">
        <v>18</v>
      </c>
    </row>
    <row r="3" customFormat="false" ht="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</row>
    <row r="4" customFormat="false" ht="15" hidden="false" customHeight="false" outlineLevel="0" collapsed="false">
      <c r="A4" s="4" t="s">
        <v>24</v>
      </c>
      <c r="B4" s="6" t="n">
        <v>4</v>
      </c>
      <c r="C4" s="7" t="n">
        <f aca="false">DCF!B21</f>
        <v>4.50006559205304</v>
      </c>
      <c r="D4" s="6" t="n">
        <v>5.1</v>
      </c>
      <c r="E4" s="8" t="n">
        <f aca="false">Assumptions!B30</f>
        <v>0.2</v>
      </c>
    </row>
    <row r="5" customFormat="false" ht="15" hidden="false" customHeight="false" outlineLevel="0" collapsed="false">
      <c r="A5" s="4" t="s">
        <v>25</v>
      </c>
      <c r="B5" s="6" t="n">
        <v>3.1</v>
      </c>
      <c r="C5" s="7" t="n">
        <f aca="false">DDM!B14</f>
        <v>3.40861973532102</v>
      </c>
      <c r="D5" s="6" t="n">
        <v>3.7</v>
      </c>
      <c r="E5" s="8" t="n">
        <f aca="false">Assumptions!B31</f>
        <v>0.35</v>
      </c>
    </row>
    <row r="6" customFormat="false" ht="15" hidden="false" customHeight="false" outlineLevel="0" collapsed="false">
      <c r="A6" s="4" t="s">
        <v>26</v>
      </c>
      <c r="B6" s="6" t="n">
        <v>3.55</v>
      </c>
      <c r="C6" s="7" t="n">
        <f aca="false">'Relative &amp; Normalized'!C4</f>
        <v>3.83342910314047</v>
      </c>
      <c r="D6" s="6" t="n">
        <v>4.05</v>
      </c>
      <c r="E6" s="8" t="n">
        <f aca="false">Assumptions!B32</f>
        <v>0.15</v>
      </c>
    </row>
    <row r="7" customFormat="false" ht="15" hidden="false" customHeight="false" outlineLevel="0" collapsed="false">
      <c r="A7" s="4" t="s">
        <v>27</v>
      </c>
      <c r="B7" s="6" t="n">
        <v>3.3</v>
      </c>
      <c r="C7" s="7" t="n">
        <f aca="false">'Relative &amp; Normalized'!C5</f>
        <v>3.61513979964816</v>
      </c>
      <c r="D7" s="6" t="n">
        <v>3.95</v>
      </c>
      <c r="E7" s="8" t="n">
        <f aca="false">Assumptions!B33</f>
        <v>0.15</v>
      </c>
    </row>
    <row r="8" customFormat="false" ht="15" hidden="false" customHeight="false" outlineLevel="0" collapsed="false">
      <c r="A8" s="4" t="s">
        <v>28</v>
      </c>
      <c r="B8" s="6" t="n">
        <v>3.6</v>
      </c>
      <c r="C8" s="7" t="n">
        <f aca="false">'Relative &amp; Normalized'!C6</f>
        <v>3.83177016618702</v>
      </c>
      <c r="D8" s="6" t="n">
        <v>4</v>
      </c>
      <c r="E8" s="8" t="n">
        <f aca="false">Assumptions!B34</f>
        <v>0.15</v>
      </c>
    </row>
    <row r="10" customFormat="false" ht="15" hidden="false" customHeight="false" outlineLevel="0" collapsed="false">
      <c r="A10" s="9" t="s">
        <v>29</v>
      </c>
      <c r="C10" s="7" t="n">
        <f aca="false">SUMPRODUCT(C4:C8,E4:E8)</f>
        <v>3.78508088611931</v>
      </c>
    </row>
    <row r="11" customFormat="false" ht="15" hidden="false" customHeight="false" outlineLevel="0" collapsed="false">
      <c r="A11" s="4" t="s">
        <v>30</v>
      </c>
      <c r="C11" s="10" t="n">
        <f aca="false">Assumptions!B4</f>
        <v>3.44</v>
      </c>
    </row>
    <row r="12" customFormat="false" ht="15" hidden="false" customHeight="false" outlineLevel="0" collapsed="false">
      <c r="A12" s="9" t="s">
        <v>31</v>
      </c>
      <c r="C12" s="11" t="n">
        <f aca="false">C10/C11-1</f>
        <v>0.100314211081196</v>
      </c>
    </row>
    <row r="13" customFormat="false" ht="15" hidden="false" customHeight="false" outlineLevel="0" collapsed="false">
      <c r="A13" s="4" t="s">
        <v>32</v>
      </c>
      <c r="C13" s="7" t="n">
        <f aca="false">MIN(B4:B8)</f>
        <v>3.1</v>
      </c>
      <c r="D13" s="7" t="n">
        <f aca="false">MAX(D4:D8)</f>
        <v>5.1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</cols>
  <sheetData>
    <row r="1" customFormat="false" ht="16.15" hidden="false" customHeight="false" outlineLevel="0" collapsed="false">
      <c r="A1" s="2" t="s">
        <v>33</v>
      </c>
    </row>
    <row r="2" customFormat="false" ht="15" hidden="false" customHeight="false" outlineLevel="0" collapsed="false">
      <c r="A2" s="3" t="s">
        <v>34</v>
      </c>
    </row>
    <row r="3" customFormat="false" ht="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</row>
    <row r="4" customFormat="false" ht="15" hidden="false" customHeight="false" outlineLevel="0" collapsed="false">
      <c r="A4" s="12" t="str">
        <f aca="false">Summary!A4</f>
        <v>DCF (FCFF)</v>
      </c>
      <c r="B4" s="10" t="n">
        <f aca="false">Summary!B4</f>
        <v>4</v>
      </c>
      <c r="C4" s="10" t="n">
        <f aca="false">Summary!C4</f>
        <v>4.50006559205304</v>
      </c>
      <c r="D4" s="10" t="n">
        <f aca="false">Summary!D4</f>
        <v>5.1</v>
      </c>
    </row>
    <row r="5" customFormat="false" ht="15" hidden="false" customHeight="false" outlineLevel="0" collapsed="false">
      <c r="A5" s="12" t="str">
        <f aca="false">Summary!A5</f>
        <v>DDM (dividend stream)</v>
      </c>
      <c r="B5" s="10" t="n">
        <f aca="false">Summary!B5</f>
        <v>3.1</v>
      </c>
      <c r="C5" s="10" t="n">
        <f aca="false">Summary!C5</f>
        <v>3.40861973532102</v>
      </c>
      <c r="D5" s="10" t="n">
        <f aca="false">Summary!D5</f>
        <v>3.7</v>
      </c>
    </row>
    <row r="6" customFormat="false" ht="15" hidden="false" customHeight="false" outlineLevel="0" collapsed="false">
      <c r="A6" s="12" t="str">
        <f aca="false">Summary!A6</f>
        <v>Relative EV/EBITDA</v>
      </c>
      <c r="B6" s="10" t="n">
        <f aca="false">Summary!B6</f>
        <v>3.55</v>
      </c>
      <c r="C6" s="10" t="n">
        <f aca="false">Summary!C6</f>
        <v>3.83342910314047</v>
      </c>
      <c r="D6" s="10" t="n">
        <f aca="false">Summary!D6</f>
        <v>4.05</v>
      </c>
    </row>
    <row r="7" customFormat="false" ht="15" hidden="false" customHeight="false" outlineLevel="0" collapsed="false">
      <c r="A7" s="12" t="str">
        <f aca="false">Summary!A7</f>
        <v>Justified P/E</v>
      </c>
      <c r="B7" s="10" t="n">
        <f aca="false">Summary!B7</f>
        <v>3.3</v>
      </c>
      <c r="C7" s="10" t="n">
        <f aca="false">Summary!C7</f>
        <v>3.61513979964816</v>
      </c>
      <c r="D7" s="10" t="n">
        <f aca="false">Summary!D7</f>
        <v>3.95</v>
      </c>
    </row>
    <row r="8" customFormat="false" ht="15" hidden="false" customHeight="false" outlineLevel="0" collapsed="false">
      <c r="A8" s="12" t="str">
        <f aca="false">Summary!A8</f>
        <v>Dividend yield</v>
      </c>
      <c r="B8" s="10" t="n">
        <f aca="false">Summary!B8</f>
        <v>3.6</v>
      </c>
      <c r="C8" s="10" t="n">
        <f aca="false">Summary!C8</f>
        <v>3.83177016618702</v>
      </c>
      <c r="D8" s="10" t="n">
        <f aca="false">Summary!D8</f>
        <v>4</v>
      </c>
    </row>
    <row r="10" customFormat="false" ht="15" hidden="false" customHeight="false" outlineLevel="0" collapsed="false">
      <c r="A10" s="9" t="s">
        <v>35</v>
      </c>
      <c r="C10" s="10" t="n">
        <f aca="false">Summary!C10</f>
        <v>3.78508088611931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7" min="3" style="1" width="10"/>
  </cols>
  <sheetData>
    <row r="1" customFormat="false" ht="16.15" hidden="false" customHeight="false" outlineLevel="0" collapsed="false">
      <c r="A1" s="2" t="s">
        <v>36</v>
      </c>
    </row>
    <row r="2" customFormat="false" ht="15" hidden="false" customHeight="false" outlineLevel="0" collapsed="false">
      <c r="A2" s="3" t="s">
        <v>37</v>
      </c>
    </row>
    <row r="3" customFormat="false" ht="15" hidden="false" customHeight="false" outlineLevel="0" collapsed="false">
      <c r="A3" s="13" t="s">
        <v>38</v>
      </c>
      <c r="B3" s="14"/>
      <c r="C3" s="14"/>
      <c r="D3" s="14"/>
      <c r="E3" s="14"/>
      <c r="F3" s="14"/>
      <c r="G3" s="14"/>
      <c r="H3" s="14"/>
    </row>
    <row r="4" customFormat="false" ht="15" hidden="false" customHeight="false" outlineLevel="0" collapsed="false">
      <c r="A4" s="4" t="s">
        <v>39</v>
      </c>
      <c r="B4" s="6" t="n">
        <v>3.44</v>
      </c>
    </row>
    <row r="5" customFormat="false" ht="15" hidden="false" customHeight="false" outlineLevel="0" collapsed="false">
      <c r="A5" s="4" t="s">
        <v>40</v>
      </c>
      <c r="B5" s="15" t="n">
        <v>76740</v>
      </c>
    </row>
    <row r="6" customFormat="false" ht="15" hidden="false" customHeight="false" outlineLevel="0" collapsed="false">
      <c r="A6" s="4" t="s">
        <v>41</v>
      </c>
      <c r="B6" s="16" t="n">
        <v>3.6725</v>
      </c>
    </row>
    <row r="7" customFormat="false" ht="15" hidden="false" customHeight="false" outlineLevel="0" collapsed="false">
      <c r="A7" s="4" t="s">
        <v>42</v>
      </c>
      <c r="B7" s="17" t="n">
        <v>4780</v>
      </c>
    </row>
    <row r="9" customFormat="false" ht="15" hidden="false" customHeight="false" outlineLevel="0" collapsed="false">
      <c r="A9" s="13" t="s">
        <v>43</v>
      </c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4" t="s">
        <v>44</v>
      </c>
      <c r="B10" s="18" t="n">
        <v>0.045</v>
      </c>
    </row>
    <row r="11" customFormat="false" ht="15" hidden="false" customHeight="false" outlineLevel="0" collapsed="false">
      <c r="A11" s="4" t="s">
        <v>45</v>
      </c>
      <c r="B11" s="19" t="n">
        <v>1</v>
      </c>
    </row>
    <row r="12" customFormat="false" ht="15" hidden="false" customHeight="false" outlineLevel="0" collapsed="false">
      <c r="A12" s="4" t="s">
        <v>46</v>
      </c>
      <c r="B12" s="18" t="n">
        <v>0.055</v>
      </c>
    </row>
    <row r="13" customFormat="false" ht="15" hidden="false" customHeight="false" outlineLevel="0" collapsed="false">
      <c r="A13" s="4" t="s">
        <v>47</v>
      </c>
      <c r="B13" s="11" t="n">
        <f aca="false">B10+B11*B12</f>
        <v>0.1</v>
      </c>
    </row>
    <row r="14" customFormat="false" ht="15" hidden="false" customHeight="false" outlineLevel="0" collapsed="false">
      <c r="A14" s="4" t="s">
        <v>48</v>
      </c>
      <c r="B14" s="11" t="n">
        <f aca="false">B13</f>
        <v>0.1</v>
      </c>
    </row>
    <row r="15" customFormat="false" ht="15" hidden="false" customHeight="false" outlineLevel="0" collapsed="false">
      <c r="A15" s="4" t="s">
        <v>49</v>
      </c>
      <c r="B15" s="18" t="n">
        <v>0.025</v>
      </c>
    </row>
    <row r="16" customFormat="false" ht="15" hidden="false" customHeight="false" outlineLevel="0" collapsed="false">
      <c r="A16" s="4" t="s">
        <v>50</v>
      </c>
      <c r="B16" s="18" t="n">
        <v>0.16</v>
      </c>
    </row>
    <row r="18" customFormat="false" ht="15" hidden="false" customHeight="false" outlineLevel="0" collapsed="false">
      <c r="A18" s="13" t="s">
        <v>51</v>
      </c>
      <c r="B18" s="14"/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4" t="s">
        <v>52</v>
      </c>
      <c r="B19" s="18" t="n">
        <v>0.0825</v>
      </c>
    </row>
    <row r="20" customFormat="false" ht="15" hidden="false" customHeight="false" outlineLevel="0" collapsed="false">
      <c r="A20" s="4" t="s">
        <v>53</v>
      </c>
      <c r="B20" s="18" t="n">
        <v>0.05</v>
      </c>
    </row>
    <row r="21" customFormat="false" ht="15" hidden="false" customHeight="false" outlineLevel="0" collapsed="false">
      <c r="A21" s="4" t="s">
        <v>54</v>
      </c>
      <c r="B21" s="18" t="n">
        <v>0.025</v>
      </c>
    </row>
    <row r="22" customFormat="false" ht="15" hidden="false" customHeight="false" outlineLevel="0" collapsed="false">
      <c r="A22" s="4" t="s">
        <v>55</v>
      </c>
      <c r="B22" s="17" t="n">
        <v>3584</v>
      </c>
    </row>
    <row r="24" customFormat="false" ht="15" hidden="false" customHeight="false" outlineLevel="0" collapsed="false">
      <c r="A24" s="13" t="s">
        <v>56</v>
      </c>
      <c r="B24" s="14"/>
      <c r="C24" s="14"/>
      <c r="D24" s="14"/>
      <c r="E24" s="14"/>
      <c r="F24" s="14"/>
      <c r="G24" s="14"/>
      <c r="H24" s="14"/>
    </row>
    <row r="25" customFormat="false" ht="15" hidden="false" customHeight="false" outlineLevel="0" collapsed="false">
      <c r="A25" s="4" t="s">
        <v>57</v>
      </c>
      <c r="B25" s="20" t="n">
        <v>8.5</v>
      </c>
    </row>
    <row r="26" customFormat="false" ht="15" hidden="false" customHeight="false" outlineLevel="0" collapsed="false">
      <c r="A26" s="4" t="s">
        <v>27</v>
      </c>
      <c r="B26" s="20" t="n">
        <v>13.5</v>
      </c>
    </row>
    <row r="27" customFormat="false" ht="15" hidden="false" customHeight="false" outlineLevel="0" collapsed="false">
      <c r="A27" s="4" t="s">
        <v>58</v>
      </c>
      <c r="B27" s="18" t="n">
        <v>0.047</v>
      </c>
    </row>
    <row r="29" customFormat="false" ht="15" hidden="false" customHeight="false" outlineLevel="0" collapsed="false">
      <c r="A29" s="13" t="s">
        <v>59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false" outlineLevel="0" collapsed="false">
      <c r="A30" s="4" t="s">
        <v>60</v>
      </c>
      <c r="B30" s="18" t="n">
        <v>0.2</v>
      </c>
    </row>
    <row r="31" customFormat="false" ht="15" hidden="false" customHeight="false" outlineLevel="0" collapsed="false">
      <c r="A31" s="4" t="s">
        <v>61</v>
      </c>
      <c r="B31" s="18" t="n">
        <v>0.35</v>
      </c>
    </row>
    <row r="32" customFormat="false" ht="15" hidden="false" customHeight="false" outlineLevel="0" collapsed="false">
      <c r="A32" s="4" t="s">
        <v>62</v>
      </c>
      <c r="B32" s="18" t="n">
        <v>0.15</v>
      </c>
    </row>
    <row r="33" customFormat="false" ht="15" hidden="false" customHeight="false" outlineLevel="0" collapsed="false">
      <c r="A33" s="4" t="s">
        <v>63</v>
      </c>
      <c r="B33" s="18" t="n">
        <v>0.15</v>
      </c>
    </row>
    <row r="34" customFormat="false" ht="15" hidden="false" customHeight="false" outlineLevel="0" collapsed="false">
      <c r="A34" s="4" t="s">
        <v>64</v>
      </c>
      <c r="B34" s="18" t="n">
        <v>0.15</v>
      </c>
    </row>
    <row r="35" customFormat="false" ht="15" hidden="false" customHeight="false" outlineLevel="0" collapsed="false">
      <c r="A35" s="4" t="s">
        <v>65</v>
      </c>
      <c r="B35" s="11" t="n">
        <f aca="false">SUM(B30:B34)</f>
        <v>1</v>
      </c>
    </row>
    <row r="37" customFormat="false" ht="15" hidden="false" customHeight="false" outlineLevel="0" collapsed="false">
      <c r="A37" s="13" t="s">
        <v>66</v>
      </c>
      <c r="B37" s="14"/>
      <c r="C37" s="14"/>
      <c r="D37" s="14"/>
      <c r="E37" s="14"/>
      <c r="F37" s="14"/>
      <c r="G37" s="14"/>
      <c r="H37" s="14"/>
    </row>
    <row r="38" customFormat="false" ht="15" hidden="false" customHeight="false" outlineLevel="0" collapsed="false">
      <c r="C38" s="21" t="s">
        <v>67</v>
      </c>
      <c r="D38" s="21" t="s">
        <v>68</v>
      </c>
      <c r="E38" s="21" t="s">
        <v>69</v>
      </c>
      <c r="F38" s="21" t="s">
        <v>70</v>
      </c>
      <c r="G38" s="21" t="s">
        <v>71</v>
      </c>
    </row>
    <row r="39" customFormat="false" ht="15" hidden="false" customHeight="false" outlineLevel="0" collapsed="false">
      <c r="A39" s="4" t="s">
        <v>72</v>
      </c>
      <c r="C39" s="17" t="n">
        <v>23950</v>
      </c>
      <c r="D39" s="17" t="n">
        <v>25100</v>
      </c>
      <c r="E39" s="17" t="n">
        <v>26900</v>
      </c>
      <c r="F39" s="17" t="n">
        <v>28400</v>
      </c>
      <c r="G39" s="17" t="n">
        <v>29600</v>
      </c>
    </row>
    <row r="40" customFormat="false" ht="15" hidden="false" customHeight="false" outlineLevel="0" collapsed="false">
      <c r="A40" s="4" t="s">
        <v>73</v>
      </c>
      <c r="C40" s="18" t="n">
        <v>0.37</v>
      </c>
      <c r="D40" s="18" t="n">
        <v>0.375</v>
      </c>
      <c r="E40" s="18" t="n">
        <v>0.378</v>
      </c>
      <c r="F40" s="18" t="n">
        <v>0.382</v>
      </c>
      <c r="G40" s="18" t="n">
        <v>0.385</v>
      </c>
    </row>
    <row r="41" customFormat="false" ht="15" hidden="false" customHeight="false" outlineLevel="0" collapsed="false">
      <c r="A41" s="4" t="s">
        <v>74</v>
      </c>
      <c r="C41" s="17" t="n">
        <v>2000</v>
      </c>
      <c r="D41" s="17" t="n">
        <v>2250</v>
      </c>
      <c r="E41" s="17" t="n">
        <v>2550</v>
      </c>
      <c r="F41" s="17" t="n">
        <v>2750</v>
      </c>
      <c r="G41" s="17" t="n">
        <v>2900</v>
      </c>
    </row>
    <row r="42" customFormat="false" ht="15" hidden="false" customHeight="false" outlineLevel="0" collapsed="false">
      <c r="A42" s="4" t="s">
        <v>75</v>
      </c>
      <c r="C42" s="17" t="n">
        <v>200</v>
      </c>
      <c r="D42" s="17" t="n">
        <v>150</v>
      </c>
      <c r="E42" s="17" t="n">
        <v>150</v>
      </c>
      <c r="F42" s="17" t="n">
        <v>100</v>
      </c>
      <c r="G42" s="17" t="n">
        <v>100</v>
      </c>
    </row>
    <row r="43" customFormat="false" ht="15" hidden="false" customHeight="false" outlineLevel="0" collapsed="false">
      <c r="A43" s="4" t="s">
        <v>76</v>
      </c>
      <c r="C43" s="17" t="n">
        <v>3300</v>
      </c>
      <c r="D43" s="17" t="n">
        <v>3000</v>
      </c>
      <c r="E43" s="17" t="n">
        <v>3400</v>
      </c>
      <c r="F43" s="17" t="n">
        <v>1700</v>
      </c>
      <c r="G43" s="17" t="n">
        <v>2000</v>
      </c>
    </row>
    <row r="44" customFormat="false" ht="15" hidden="false" customHeight="false" outlineLevel="0" collapsed="false">
      <c r="A44" s="4" t="s">
        <v>77</v>
      </c>
      <c r="C44" s="17" t="n">
        <v>150</v>
      </c>
      <c r="D44" s="17" t="n">
        <v>150</v>
      </c>
      <c r="E44" s="17" t="n">
        <v>200</v>
      </c>
      <c r="F44" s="17" t="n">
        <v>150</v>
      </c>
      <c r="G44" s="17" t="n">
        <v>150</v>
      </c>
    </row>
    <row r="46" customFormat="false" ht="15" hidden="false" customHeight="false" outlineLevel="0" collapsed="false">
      <c r="A46" s="13" t="s">
        <v>78</v>
      </c>
      <c r="B46" s="14"/>
      <c r="C46" s="14"/>
      <c r="D46" s="14"/>
      <c r="E46" s="14"/>
      <c r="F46" s="14"/>
      <c r="G46" s="14"/>
      <c r="H46" s="14"/>
    </row>
    <row r="47" customFormat="false" ht="15" hidden="false" customHeight="false" outlineLevel="0" collapsed="false">
      <c r="A47" s="4" t="s">
        <v>79</v>
      </c>
      <c r="B47" s="18" t="n">
        <v>0.1733</v>
      </c>
    </row>
    <row r="48" customFormat="false" ht="15" hidden="false" customHeight="false" outlineLevel="0" collapsed="false">
      <c r="A48" s="4" t="s">
        <v>80</v>
      </c>
      <c r="B48" s="18" t="n">
        <v>0.0165</v>
      </c>
    </row>
    <row r="49" customFormat="false" ht="15" hidden="false" customHeight="false" outlineLevel="0" collapsed="false">
      <c r="A49" s="4" t="s">
        <v>81</v>
      </c>
      <c r="B49" s="2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3"/>
    <col collapsed="false" customWidth="true" hidden="false" outlineLevel="0" max="7" min="3" style="1" width="11"/>
  </cols>
  <sheetData>
    <row r="1" customFormat="false" ht="16.15" hidden="false" customHeight="false" outlineLevel="0" collapsed="false">
      <c r="A1" s="2" t="s">
        <v>83</v>
      </c>
    </row>
    <row r="2" customFormat="false" ht="15" hidden="false" customHeight="false" outlineLevel="0" collapsed="false">
      <c r="A2" s="3" t="s">
        <v>84</v>
      </c>
    </row>
    <row r="3" customFormat="false" ht="15" hidden="false" customHeight="false" outlineLevel="0" collapsed="false">
      <c r="A3" s="5"/>
      <c r="B3" s="5" t="s">
        <v>67</v>
      </c>
      <c r="C3" s="5" t="s">
        <v>68</v>
      </c>
      <c r="D3" s="5" t="s">
        <v>69</v>
      </c>
      <c r="E3" s="5" t="s">
        <v>70</v>
      </c>
      <c r="F3" s="5" t="s">
        <v>71</v>
      </c>
    </row>
    <row r="4" customFormat="false" ht="15" hidden="false" customHeight="false" outlineLevel="0" collapsed="false">
      <c r="A4" s="4" t="s">
        <v>85</v>
      </c>
      <c r="B4" s="23" t="n">
        <f aca="false">'Income Statement'!E14</f>
        <v>3763.2</v>
      </c>
      <c r="C4" s="23" t="n">
        <f aca="false">'Income Statement'!F14</f>
        <v>3951.36</v>
      </c>
      <c r="D4" s="23" t="n">
        <f aca="false">'Income Statement'!G14</f>
        <v>4148.928</v>
      </c>
      <c r="E4" s="23" t="n">
        <f aca="false">'Income Statement'!H14</f>
        <v>4356.3744</v>
      </c>
      <c r="F4" s="23" t="n">
        <f aca="false">'Income Statement'!I14</f>
        <v>4574.19312</v>
      </c>
    </row>
    <row r="5" customFormat="false" ht="15" hidden="false" customHeight="false" outlineLevel="0" collapsed="false">
      <c r="A5" s="4" t="s">
        <v>86</v>
      </c>
      <c r="B5" s="24" t="n">
        <f aca="false">B4/Assumptions!$B$5</f>
        <v>0.0490383111806099</v>
      </c>
      <c r="C5" s="24" t="n">
        <f aca="false">C4/Assumptions!$B$5</f>
        <v>0.0514902267396404</v>
      </c>
      <c r="D5" s="24" t="n">
        <f aca="false">D4/Assumptions!$B$5</f>
        <v>0.0540647380766224</v>
      </c>
      <c r="E5" s="24" t="n">
        <f aca="false">E4/Assumptions!$B$5</f>
        <v>0.0567679749804535</v>
      </c>
      <c r="F5" s="24" t="n">
        <f aca="false">F4/Assumptions!$B$5</f>
        <v>0.0596063737294762</v>
      </c>
    </row>
    <row r="6" customFormat="false" ht="15" hidden="false" customHeight="false" outlineLevel="0" collapsed="false">
      <c r="A6" s="4" t="s">
        <v>87</v>
      </c>
      <c r="B6" s="25" t="n">
        <f aca="false">1/(1+Assumptions!$B$19)^1</f>
        <v>0.92378752886836</v>
      </c>
      <c r="C6" s="25" t="n">
        <f aca="false">1/(1+Assumptions!$B$19)^2</f>
        <v>0.853383398492712</v>
      </c>
      <c r="D6" s="25" t="n">
        <f aca="false">1/(1+Assumptions!$B$19)^3</f>
        <v>0.788344940870865</v>
      </c>
      <c r="E6" s="25" t="n">
        <f aca="false">1/(1+Assumptions!$B$19)^4</f>
        <v>0.72826322482297</v>
      </c>
      <c r="F6" s="25" t="n">
        <f aca="false">1/(1+Assumptions!$B$19)^5</f>
        <v>0.672760484824915</v>
      </c>
    </row>
    <row r="7" customFormat="false" ht="15" hidden="false" customHeight="false" outlineLevel="0" collapsed="false">
      <c r="A7" s="4" t="s">
        <v>88</v>
      </c>
      <c r="B7" s="24" t="n">
        <f aca="false">B5*B6</f>
        <v>0.0453009803054133</v>
      </c>
      <c r="C7" s="24" t="n">
        <f aca="false">C5*C6</f>
        <v>0.0439409046842346</v>
      </c>
      <c r="D7" s="24" t="n">
        <f aca="false">D5*D6</f>
        <v>0.0426216627422137</v>
      </c>
      <c r="E7" s="24" t="n">
        <f aca="false">E5*E6</f>
        <v>0.0413420285259347</v>
      </c>
      <c r="F7" s="24" t="n">
        <f aca="false">F5*F6</f>
        <v>0.0401008128888974</v>
      </c>
    </row>
    <row r="9" customFormat="false" ht="15" hidden="false" customHeight="false" outlineLevel="0" collapsed="false">
      <c r="A9" s="9" t="s">
        <v>89</v>
      </c>
      <c r="B9" s="24" t="n">
        <f aca="false">SUM(B7:F7)</f>
        <v>0.213306389146694</v>
      </c>
    </row>
    <row r="10" customFormat="false" ht="15" hidden="false" customHeight="false" outlineLevel="0" collapsed="false">
      <c r="A10" s="4" t="s">
        <v>90</v>
      </c>
      <c r="B10" s="24" t="n">
        <f aca="false">F5*(1+Assumptions!$B$21)</f>
        <v>0.0610965330727131</v>
      </c>
    </row>
    <row r="11" customFormat="false" ht="15" hidden="false" customHeight="false" outlineLevel="0" collapsed="false">
      <c r="A11" s="4" t="s">
        <v>91</v>
      </c>
      <c r="B11" s="24" t="n">
        <f aca="false">B10/(Assumptions!$B$19-Assumptions!$B$21)</f>
        <v>1.06254840126458</v>
      </c>
    </row>
    <row r="12" customFormat="false" ht="15" hidden="false" customHeight="false" outlineLevel="0" collapsed="false">
      <c r="A12" s="4" t="s">
        <v>92</v>
      </c>
      <c r="B12" s="24" t="n">
        <f aca="false">B11*F6</f>
        <v>0.714840577584693</v>
      </c>
    </row>
    <row r="13" customFormat="false" ht="15" hidden="false" customHeight="false" outlineLevel="0" collapsed="false">
      <c r="A13" s="9" t="s">
        <v>93</v>
      </c>
      <c r="B13" s="26" t="n">
        <f aca="false">B9+B12</f>
        <v>0.928146966731387</v>
      </c>
    </row>
    <row r="14" customFormat="false" ht="15" hidden="false" customHeight="false" outlineLevel="0" collapsed="false">
      <c r="A14" s="9" t="s">
        <v>94</v>
      </c>
      <c r="B14" s="7" t="n">
        <f aca="false">B13*Assumptions!$B$6</f>
        <v>3.40861973532102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  <col collapsed="false" customWidth="true" hidden="false" outlineLevel="0" max="9" min="5" style="1" width="11"/>
  </cols>
  <sheetData>
    <row r="1" customFormat="false" ht="16.15" hidden="false" customHeight="false" outlineLevel="0" collapsed="false">
      <c r="A1" s="2" t="s">
        <v>95</v>
      </c>
    </row>
    <row r="2" customFormat="false" ht="15" hidden="false" customHeight="false" outlineLevel="0" collapsed="false">
      <c r="A2" s="3" t="s">
        <v>96</v>
      </c>
    </row>
    <row r="3" customFormat="false" ht="15" hidden="false" customHeight="false" outlineLevel="0" collapsed="false">
      <c r="A3" s="5" t="s">
        <v>97</v>
      </c>
      <c r="B3" s="5" t="s">
        <v>98</v>
      </c>
      <c r="C3" s="5" t="s">
        <v>99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</row>
    <row r="4" customFormat="false" ht="15" hidden="false" customHeight="false" outlineLevel="0" collapsed="false">
      <c r="A4" s="4" t="s">
        <v>100</v>
      </c>
      <c r="B4" s="27" t="n">
        <f aca="false">'Income Statement'!B4*0.6</f>
        <v>13698</v>
      </c>
      <c r="C4" s="27" t="n">
        <f aca="false">'Income Statement'!C4*0.6</f>
        <v>14656.8</v>
      </c>
      <c r="D4" s="27" t="n">
        <f aca="false">'Income Statement'!D4*0.6</f>
        <v>14083.8</v>
      </c>
      <c r="E4" s="27" t="n">
        <f aca="false">'Income Statement'!E4*0.6</f>
        <v>14370</v>
      </c>
      <c r="F4" s="27" t="n">
        <f aca="false">'Income Statement'!F4*0.6</f>
        <v>15060</v>
      </c>
      <c r="G4" s="27" t="n">
        <f aca="false">'Income Statement'!G4*0.6</f>
        <v>16140</v>
      </c>
      <c r="H4" s="27" t="n">
        <f aca="false">'Income Statement'!H4*0.6</f>
        <v>17040</v>
      </c>
      <c r="I4" s="27" t="n">
        <f aca="false">'Income Statement'!I4*0.6</f>
        <v>17760</v>
      </c>
    </row>
    <row r="5" customFormat="false" ht="15" hidden="false" customHeight="false" outlineLevel="0" collapsed="false">
      <c r="A5" s="4" t="s">
        <v>101</v>
      </c>
      <c r="B5" s="27" t="n">
        <f aca="false">'Income Statement'!B4*0.4</f>
        <v>9132</v>
      </c>
      <c r="C5" s="27" t="n">
        <f aca="false">'Income Statement'!C4*0.4</f>
        <v>9771.2</v>
      </c>
      <c r="D5" s="27" t="n">
        <f aca="false">'Income Statement'!D4*0.4</f>
        <v>9389.2</v>
      </c>
      <c r="E5" s="27" t="n">
        <f aca="false">'Income Statement'!E4*0.4</f>
        <v>9580</v>
      </c>
      <c r="F5" s="27" t="n">
        <f aca="false">'Income Statement'!F4*0.4</f>
        <v>10040</v>
      </c>
      <c r="G5" s="27" t="n">
        <f aca="false">'Income Statement'!G4*0.4</f>
        <v>10760</v>
      </c>
      <c r="H5" s="27" t="n">
        <f aca="false">'Income Statement'!H4*0.4</f>
        <v>11360</v>
      </c>
      <c r="I5" s="27" t="n">
        <f aca="false">'Income Statement'!I4*0.4</f>
        <v>11840</v>
      </c>
    </row>
    <row r="6" customFormat="false" ht="15" hidden="false" customHeight="false" outlineLevel="0" collapsed="false">
      <c r="A6" s="9" t="s">
        <v>102</v>
      </c>
      <c r="B6" s="27" t="n">
        <f aca="false">B4+B5</f>
        <v>22830</v>
      </c>
      <c r="C6" s="27" t="n">
        <f aca="false">C4+C5</f>
        <v>24428</v>
      </c>
      <c r="D6" s="27" t="n">
        <f aca="false">D4+D5</f>
        <v>23473</v>
      </c>
      <c r="E6" s="27" t="n">
        <f aca="false">E4+E5</f>
        <v>23950</v>
      </c>
      <c r="F6" s="27" t="n">
        <f aca="false">F4+F5</f>
        <v>25100</v>
      </c>
      <c r="G6" s="27" t="n">
        <f aca="false">G4+G5</f>
        <v>26900</v>
      </c>
      <c r="H6" s="27" t="n">
        <f aca="false">H4+H5</f>
        <v>28400</v>
      </c>
      <c r="I6" s="27" t="n">
        <f aca="false">I4+I5</f>
        <v>29600</v>
      </c>
    </row>
    <row r="7" customFormat="false" ht="15" hidden="false" customHeight="false" outlineLevel="0" collapsed="false">
      <c r="A7" s="4" t="s">
        <v>103</v>
      </c>
      <c r="B7" s="23" t="n">
        <f aca="false">'Income Statement'!B5</f>
        <v>7586</v>
      </c>
      <c r="C7" s="23" t="n">
        <f aca="false">'Income Statement'!C5</f>
        <v>8648</v>
      </c>
      <c r="D7" s="23" t="n">
        <f aca="false">'Income Statement'!D5</f>
        <v>8636</v>
      </c>
      <c r="E7" s="23" t="n">
        <f aca="false">'Income Statement'!E5</f>
        <v>8861.5</v>
      </c>
      <c r="F7" s="23" t="n">
        <f aca="false">'Income Statement'!F5</f>
        <v>9412.5</v>
      </c>
      <c r="G7" s="23" t="n">
        <f aca="false">'Income Statement'!G5</f>
        <v>10168.2</v>
      </c>
      <c r="H7" s="23" t="n">
        <f aca="false">'Income Statement'!H5</f>
        <v>10848.8</v>
      </c>
      <c r="I7" s="23" t="n">
        <f aca="false">'Income Statement'!I5</f>
        <v>11396</v>
      </c>
    </row>
    <row r="8" customFormat="false" ht="15" hidden="false" customHeight="false" outlineLevel="0" collapsed="false">
      <c r="A8" s="4" t="s">
        <v>104</v>
      </c>
      <c r="B8" s="11" t="n">
        <f aca="false">B7/B6</f>
        <v>0.332282084975909</v>
      </c>
      <c r="C8" s="11" t="n">
        <f aca="false">C7/C6</f>
        <v>0.354019977075487</v>
      </c>
      <c r="D8" s="11" t="n">
        <f aca="false">D7/D6</f>
        <v>0.367912069185873</v>
      </c>
      <c r="E8" s="11" t="n">
        <f aca="false">E7/E6</f>
        <v>0.37</v>
      </c>
      <c r="F8" s="11" t="n">
        <f aca="false">F7/F6</f>
        <v>0.375</v>
      </c>
      <c r="G8" s="11" t="n">
        <f aca="false">G7/G6</f>
        <v>0.378</v>
      </c>
      <c r="H8" s="11" t="n">
        <f aca="false">H7/H6</f>
        <v>0.382</v>
      </c>
      <c r="I8" s="11" t="n">
        <f aca="false">I7/I6</f>
        <v>0.385</v>
      </c>
    </row>
    <row r="10" customFormat="false" ht="15" hidden="false" customHeight="false" outlineLevel="0" collapsed="false">
      <c r="A10" s="4" t="s">
        <v>105</v>
      </c>
      <c r="B10" s="3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14"/>
  </cols>
  <sheetData>
    <row r="1" customFormat="false" ht="16.15" hidden="false" customHeight="false" outlineLevel="0" collapsed="false">
      <c r="A1" s="2" t="s">
        <v>107</v>
      </c>
    </row>
    <row r="2" customFormat="false" ht="15" hidden="false" customHeight="false" outlineLevel="0" collapsed="false">
      <c r="A2" s="3" t="s">
        <v>108</v>
      </c>
    </row>
    <row r="3" customFormat="false" ht="15" hidden="false" customHeight="false" outlineLevel="0" collapsed="false">
      <c r="A3" s="5" t="s">
        <v>19</v>
      </c>
      <c r="B3" s="5" t="s">
        <v>109</v>
      </c>
      <c r="C3" s="5" t="s">
        <v>110</v>
      </c>
    </row>
    <row r="4" customFormat="false" ht="15" hidden="false" customHeight="false" outlineLevel="0" collapsed="false">
      <c r="A4" s="4" t="s">
        <v>26</v>
      </c>
      <c r="B4" s="4" t="s">
        <v>111</v>
      </c>
      <c r="C4" s="7" t="n">
        <f aca="false">(Assumptions!$B$25*'Income Statement'!E5+Assumptions!$B$7)/Assumptions!$B$5*Assumptions!$B$6</f>
        <v>3.83342910314047</v>
      </c>
    </row>
    <row r="5" customFormat="false" ht="15" hidden="false" customHeight="false" outlineLevel="0" collapsed="false">
      <c r="A5" s="4" t="s">
        <v>27</v>
      </c>
      <c r="B5" s="4" t="s">
        <v>112</v>
      </c>
      <c r="C5" s="7" t="n">
        <f aca="false">Assumptions!$B$26*'Income Statement'!E13</f>
        <v>3.61513979964816</v>
      </c>
    </row>
    <row r="6" customFormat="false" ht="15" hidden="false" customHeight="false" outlineLevel="0" collapsed="false">
      <c r="A6" s="4" t="s">
        <v>28</v>
      </c>
      <c r="B6" s="4" t="s">
        <v>113</v>
      </c>
      <c r="C6" s="7" t="n">
        <f aca="false">'Income Statement'!E15/Assumptions!$B$27</f>
        <v>3.83177016618702</v>
      </c>
    </row>
    <row r="8" customFormat="false" ht="15" hidden="false" customHeight="false" outlineLevel="0" collapsed="false">
      <c r="A8" s="4" t="s">
        <v>114</v>
      </c>
      <c r="C8" s="27" t="n">
        <f aca="false">Assumptions!$B$25*'Income Statement'!E5</f>
        <v>75322.75</v>
      </c>
    </row>
    <row r="9" customFormat="false" ht="15" hidden="false" customHeight="false" outlineLevel="0" collapsed="false">
      <c r="A9" s="4" t="s">
        <v>115</v>
      </c>
      <c r="C9" s="7" t="n">
        <f aca="false">'Income Statement'!E13</f>
        <v>0.267788133307271</v>
      </c>
    </row>
    <row r="10" customFormat="false" ht="15" hidden="false" customHeight="false" outlineLevel="0" collapsed="false">
      <c r="A10" s="4" t="s">
        <v>116</v>
      </c>
      <c r="C10" s="7" t="n">
        <f aca="false">'Income Statement'!E15</f>
        <v>0.18009319781079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3"/>
    <col collapsed="false" customWidth="true" hidden="false" outlineLevel="0" max="7" min="3" style="1" width="11"/>
  </cols>
  <sheetData>
    <row r="1" customFormat="false" ht="16.15" hidden="false" customHeight="false" outlineLevel="0" collapsed="false">
      <c r="A1" s="2" t="s">
        <v>117</v>
      </c>
    </row>
    <row r="2" customFormat="false" ht="15" hidden="false" customHeight="false" outlineLevel="0" collapsed="false">
      <c r="A2" s="3" t="s">
        <v>118</v>
      </c>
    </row>
    <row r="3" customFormat="false" ht="15" hidden="false" customHeight="false" outlineLevel="0" collapsed="false">
      <c r="A3" s="5"/>
      <c r="B3" s="5" t="s">
        <v>67</v>
      </c>
      <c r="C3" s="5" t="s">
        <v>68</v>
      </c>
      <c r="D3" s="5" t="s">
        <v>69</v>
      </c>
      <c r="E3" s="5" t="s">
        <v>70</v>
      </c>
      <c r="F3" s="5" t="s">
        <v>71</v>
      </c>
    </row>
    <row r="4" customFormat="false" ht="15" hidden="false" customHeight="false" outlineLevel="0" collapsed="false">
      <c r="A4" s="4" t="s">
        <v>119</v>
      </c>
      <c r="B4" s="23" t="n">
        <f aca="false">'Income Statement'!E8</f>
        <v>6861.5</v>
      </c>
      <c r="C4" s="23" t="n">
        <f aca="false">'Income Statement'!F8</f>
        <v>7162.5</v>
      </c>
      <c r="D4" s="23" t="n">
        <f aca="false">'Income Statement'!G8</f>
        <v>7618.2</v>
      </c>
      <c r="E4" s="23" t="n">
        <f aca="false">'Income Statement'!H8</f>
        <v>8098.8</v>
      </c>
      <c r="F4" s="23" t="n">
        <f aca="false">'Income Statement'!I8</f>
        <v>8496</v>
      </c>
    </row>
    <row r="5" customFormat="false" ht="15" hidden="false" customHeight="false" outlineLevel="0" collapsed="false">
      <c r="A5" s="4" t="s">
        <v>120</v>
      </c>
      <c r="B5" s="27" t="n">
        <f aca="false">B4*(1-Assumptions!$B$16)</f>
        <v>5763.66</v>
      </c>
      <c r="C5" s="27" t="n">
        <f aca="false">C4*(1-Assumptions!$B$16)</f>
        <v>6016.5</v>
      </c>
      <c r="D5" s="27" t="n">
        <f aca="false">D4*(1-Assumptions!$B$16)</f>
        <v>6399.288</v>
      </c>
      <c r="E5" s="27" t="n">
        <f aca="false">E4*(1-Assumptions!$B$16)</f>
        <v>6802.992</v>
      </c>
      <c r="F5" s="27" t="n">
        <f aca="false">F4*(1-Assumptions!$B$16)</f>
        <v>7136.64</v>
      </c>
    </row>
    <row r="6" customFormat="false" ht="15" hidden="false" customHeight="false" outlineLevel="0" collapsed="false">
      <c r="A6" s="4" t="s">
        <v>121</v>
      </c>
      <c r="B6" s="23" t="n">
        <f aca="false">'Income Statement'!E7</f>
        <v>2000</v>
      </c>
      <c r="C6" s="23" t="n">
        <f aca="false">'Income Statement'!F7</f>
        <v>2250</v>
      </c>
      <c r="D6" s="23" t="n">
        <f aca="false">'Income Statement'!G7</f>
        <v>2550</v>
      </c>
      <c r="E6" s="23" t="n">
        <f aca="false">'Income Statement'!H7</f>
        <v>2750</v>
      </c>
      <c r="F6" s="23" t="n">
        <f aca="false">'Income Statement'!I7</f>
        <v>2900</v>
      </c>
    </row>
    <row r="7" customFormat="false" ht="15" hidden="false" customHeight="false" outlineLevel="0" collapsed="false">
      <c r="A7" s="4" t="s">
        <v>122</v>
      </c>
      <c r="B7" s="27" t="n">
        <f aca="false">-Assumptions!C43</f>
        <v>-3300</v>
      </c>
      <c r="C7" s="27" t="n">
        <f aca="false">-Assumptions!D43</f>
        <v>-3000</v>
      </c>
      <c r="D7" s="27" t="n">
        <f aca="false">-Assumptions!E43</f>
        <v>-3400</v>
      </c>
      <c r="E7" s="27" t="n">
        <f aca="false">-Assumptions!F43</f>
        <v>-1700</v>
      </c>
      <c r="F7" s="27" t="n">
        <f aca="false">-Assumptions!G43</f>
        <v>-2000</v>
      </c>
    </row>
    <row r="8" customFormat="false" ht="15" hidden="false" customHeight="false" outlineLevel="0" collapsed="false">
      <c r="A8" s="4" t="s">
        <v>123</v>
      </c>
      <c r="B8" s="27" t="n">
        <f aca="false">-Assumptions!C44</f>
        <v>-150</v>
      </c>
      <c r="C8" s="27" t="n">
        <f aca="false">-Assumptions!D44</f>
        <v>-150</v>
      </c>
      <c r="D8" s="27" t="n">
        <f aca="false">-Assumptions!E44</f>
        <v>-200</v>
      </c>
      <c r="E8" s="27" t="n">
        <f aca="false">-Assumptions!F44</f>
        <v>-150</v>
      </c>
      <c r="F8" s="27" t="n">
        <f aca="false">-Assumptions!G44</f>
        <v>-150</v>
      </c>
    </row>
    <row r="9" customFormat="false" ht="15" hidden="false" customHeight="false" outlineLevel="0" collapsed="false">
      <c r="A9" s="9" t="s">
        <v>124</v>
      </c>
      <c r="B9" s="27" t="n">
        <f aca="false">B5+B6+B7+B8</f>
        <v>4313.66</v>
      </c>
      <c r="C9" s="27" t="n">
        <f aca="false">C5+C6+C7+C8</f>
        <v>5116.5</v>
      </c>
      <c r="D9" s="27" t="n">
        <f aca="false">D5+D6+D7+D8</f>
        <v>5349.288</v>
      </c>
      <c r="E9" s="27" t="n">
        <f aca="false">E5+E6+E7+E8</f>
        <v>7702.992</v>
      </c>
      <c r="F9" s="27" t="n">
        <f aca="false">F5+F6+F7+F8</f>
        <v>7886.64</v>
      </c>
    </row>
    <row r="10" customFormat="false" ht="15" hidden="false" customHeight="false" outlineLevel="0" collapsed="false">
      <c r="A10" s="4" t="s">
        <v>125</v>
      </c>
      <c r="B10" s="25" t="n">
        <f aca="false">1/(1+Assumptions!$B$14)^1</f>
        <v>0.909090909090909</v>
      </c>
      <c r="C10" s="25" t="n">
        <f aca="false">1/(1+Assumptions!$B$14)^2</f>
        <v>0.826446280991735</v>
      </c>
      <c r="D10" s="25" t="n">
        <f aca="false">1/(1+Assumptions!$B$14)^3</f>
        <v>0.751314800901578</v>
      </c>
      <c r="E10" s="25" t="n">
        <f aca="false">1/(1+Assumptions!$B$14)^4</f>
        <v>0.683013455365071</v>
      </c>
      <c r="F10" s="25" t="n">
        <f aca="false">1/(1+Assumptions!$B$14)^5</f>
        <v>0.620921323059155</v>
      </c>
    </row>
    <row r="11" customFormat="false" ht="15" hidden="false" customHeight="false" outlineLevel="0" collapsed="false">
      <c r="A11" s="4" t="s">
        <v>126</v>
      </c>
      <c r="B11" s="27" t="n">
        <f aca="false">B9*B10</f>
        <v>3921.50909090909</v>
      </c>
      <c r="C11" s="27" t="n">
        <f aca="false">C9*C10</f>
        <v>4228.51239669422</v>
      </c>
      <c r="D11" s="27" t="n">
        <f aca="false">D9*D10</f>
        <v>4018.9992486852</v>
      </c>
      <c r="E11" s="27" t="n">
        <f aca="false">E9*E10</f>
        <v>5261.24718256949</v>
      </c>
      <c r="F11" s="27" t="n">
        <f aca="false">F9*F10</f>
        <v>4896.98294329125</v>
      </c>
    </row>
    <row r="13" customFormat="false" ht="15" hidden="false" customHeight="false" outlineLevel="0" collapsed="false">
      <c r="A13" s="9" t="s">
        <v>127</v>
      </c>
      <c r="B13" s="27" t="n">
        <f aca="false">SUM(B11:F11)</f>
        <v>22327.2508621493</v>
      </c>
    </row>
    <row r="14" customFormat="false" ht="15" hidden="false" customHeight="false" outlineLevel="0" collapsed="false">
      <c r="A14" s="4" t="s">
        <v>128</v>
      </c>
      <c r="B14" s="27" t="n">
        <f aca="false">F9*(1+Assumptions!$B$15)/(Assumptions!$B$14-Assumptions!$B$15)</f>
        <v>107784.08</v>
      </c>
    </row>
    <row r="15" customFormat="false" ht="15" hidden="false" customHeight="false" outlineLevel="0" collapsed="false">
      <c r="A15" s="4" t="s">
        <v>129</v>
      </c>
      <c r="B15" s="27" t="n">
        <f aca="false">B14*F10</f>
        <v>66925.4335583138</v>
      </c>
    </row>
    <row r="16" customFormat="false" ht="15" hidden="false" customHeight="false" outlineLevel="0" collapsed="false">
      <c r="A16" s="9" t="s">
        <v>130</v>
      </c>
      <c r="B16" s="27" t="n">
        <f aca="false">B13+B15</f>
        <v>89252.684420463</v>
      </c>
    </row>
    <row r="17" customFormat="false" ht="15" hidden="false" customHeight="false" outlineLevel="0" collapsed="false">
      <c r="A17" s="4" t="s">
        <v>131</v>
      </c>
      <c r="B17" s="11" t="n">
        <f aca="false">B15/B16</f>
        <v>0.749842248363454</v>
      </c>
    </row>
    <row r="18" customFormat="false" ht="15" hidden="false" customHeight="false" outlineLevel="0" collapsed="false">
      <c r="A18" s="4" t="s">
        <v>132</v>
      </c>
      <c r="B18" s="23" t="n">
        <f aca="false">Assumptions!$B$7</f>
        <v>4780</v>
      </c>
    </row>
    <row r="19" customFormat="false" ht="15" hidden="false" customHeight="false" outlineLevel="0" collapsed="false">
      <c r="A19" s="9" t="s">
        <v>133</v>
      </c>
      <c r="B19" s="27" t="n">
        <f aca="false">B16+B18</f>
        <v>94032.684420463</v>
      </c>
    </row>
    <row r="20" customFormat="false" ht="15" hidden="false" customHeight="false" outlineLevel="0" collapsed="false">
      <c r="A20" s="4" t="s">
        <v>93</v>
      </c>
      <c r="B20" s="26" t="n">
        <f aca="false">B19/Assumptions!$B$5</f>
        <v>1.22534120954474</v>
      </c>
    </row>
    <row r="21" customFormat="false" ht="15" hidden="false" customHeight="false" outlineLevel="0" collapsed="false">
      <c r="A21" s="9" t="s">
        <v>94</v>
      </c>
      <c r="B21" s="7" t="n">
        <f aca="false">B20*Assumptions!$B$6</f>
        <v>4.50006559205304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  <col collapsed="false" customWidth="true" hidden="false" outlineLevel="0" max="9" min="5" style="1" width="11"/>
  </cols>
  <sheetData>
    <row r="1" customFormat="false" ht="16.15" hidden="false" customHeight="false" outlineLevel="0" collapsed="false">
      <c r="A1" s="2" t="s">
        <v>134</v>
      </c>
    </row>
    <row r="2" customFormat="false" ht="15" hidden="false" customHeight="false" outlineLevel="0" collapsed="false">
      <c r="A2" s="3" t="s">
        <v>135</v>
      </c>
    </row>
    <row r="3" customFormat="false" ht="15" hidden="false" customHeight="false" outlineLevel="0" collapsed="false">
      <c r="A3" s="5" t="s">
        <v>97</v>
      </c>
      <c r="B3" s="5" t="s">
        <v>98</v>
      </c>
      <c r="C3" s="5" t="s">
        <v>99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</row>
    <row r="4" customFormat="false" ht="15" hidden="false" customHeight="false" outlineLevel="0" collapsed="false">
      <c r="A4" s="4" t="s">
        <v>136</v>
      </c>
      <c r="B4" s="17" t="n">
        <v>22830</v>
      </c>
      <c r="C4" s="17" t="n">
        <v>24428</v>
      </c>
      <c r="D4" s="17" t="n">
        <v>23473</v>
      </c>
      <c r="E4" s="23" t="n">
        <f aca="false">Assumptions!C39</f>
        <v>23950</v>
      </c>
      <c r="F4" s="23" t="n">
        <f aca="false">Assumptions!D39</f>
        <v>25100</v>
      </c>
      <c r="G4" s="23" t="n">
        <f aca="false">Assumptions!E39</f>
        <v>26900</v>
      </c>
      <c r="H4" s="23" t="n">
        <f aca="false">Assumptions!F39</f>
        <v>28400</v>
      </c>
      <c r="I4" s="23" t="n">
        <f aca="false">Assumptions!G39</f>
        <v>29600</v>
      </c>
    </row>
    <row r="5" customFormat="false" ht="15" hidden="false" customHeight="false" outlineLevel="0" collapsed="false">
      <c r="A5" s="4" t="s">
        <v>137</v>
      </c>
      <c r="B5" s="17" t="n">
        <v>7586</v>
      </c>
      <c r="C5" s="17" t="n">
        <v>8648</v>
      </c>
      <c r="D5" s="17" t="n">
        <v>8636</v>
      </c>
      <c r="E5" s="27" t="n">
        <f aca="false">E4*Assumptions!C40</f>
        <v>8861.5</v>
      </c>
      <c r="F5" s="27" t="n">
        <f aca="false">F4*Assumptions!D40</f>
        <v>9412.5</v>
      </c>
      <c r="G5" s="27" t="n">
        <f aca="false">G4*Assumptions!E40</f>
        <v>10168.2</v>
      </c>
      <c r="H5" s="27" t="n">
        <f aca="false">H4*Assumptions!F40</f>
        <v>10848.8</v>
      </c>
      <c r="I5" s="27" t="n">
        <f aca="false">I4*Assumptions!G40</f>
        <v>11396</v>
      </c>
    </row>
    <row r="6" customFormat="false" ht="15" hidden="false" customHeight="false" outlineLevel="0" collapsed="false">
      <c r="A6" s="4" t="s">
        <v>104</v>
      </c>
      <c r="B6" s="11" t="n">
        <f aca="false">B5/B4</f>
        <v>0.332282084975909</v>
      </c>
      <c r="C6" s="11" t="n">
        <f aca="false">C5/C4</f>
        <v>0.354019977075487</v>
      </c>
      <c r="D6" s="11" t="n">
        <f aca="false">D5/D4</f>
        <v>0.367912069185873</v>
      </c>
      <c r="E6" s="11" t="n">
        <f aca="false">E5/E4</f>
        <v>0.37</v>
      </c>
      <c r="F6" s="11" t="n">
        <f aca="false">F5/F4</f>
        <v>0.375</v>
      </c>
      <c r="G6" s="11" t="n">
        <f aca="false">G5/G4</f>
        <v>0.378</v>
      </c>
      <c r="H6" s="11" t="n">
        <f aca="false">H5/H4</f>
        <v>0.382</v>
      </c>
      <c r="I6" s="11" t="n">
        <f aca="false">I5/I4</f>
        <v>0.385</v>
      </c>
    </row>
    <row r="7" customFormat="false" ht="15" hidden="false" customHeight="false" outlineLevel="0" collapsed="false">
      <c r="A7" s="4" t="s">
        <v>138</v>
      </c>
      <c r="B7" s="17" t="n">
        <v>1300</v>
      </c>
      <c r="C7" s="17" t="n">
        <v>1600</v>
      </c>
      <c r="D7" s="17" t="n">
        <v>1900</v>
      </c>
      <c r="E7" s="23" t="n">
        <f aca="false">Assumptions!C41</f>
        <v>2000</v>
      </c>
      <c r="F7" s="23" t="n">
        <f aca="false">Assumptions!D41</f>
        <v>2250</v>
      </c>
      <c r="G7" s="23" t="n">
        <f aca="false">Assumptions!E41</f>
        <v>2550</v>
      </c>
      <c r="H7" s="23" t="n">
        <f aca="false">Assumptions!F41</f>
        <v>2750</v>
      </c>
      <c r="I7" s="23" t="n">
        <f aca="false">Assumptions!G41</f>
        <v>2900</v>
      </c>
    </row>
    <row r="8" customFormat="false" ht="15" hidden="false" customHeight="false" outlineLevel="0" collapsed="false">
      <c r="A8" s="4" t="s">
        <v>119</v>
      </c>
      <c r="B8" s="27" t="n">
        <f aca="false">B5-B7</f>
        <v>6286</v>
      </c>
      <c r="C8" s="27" t="n">
        <f aca="false">C5-C7</f>
        <v>7048</v>
      </c>
      <c r="D8" s="27" t="n">
        <f aca="false">D5-D7</f>
        <v>6736</v>
      </c>
      <c r="E8" s="27" t="n">
        <f aca="false">E5-E7</f>
        <v>6861.5</v>
      </c>
      <c r="F8" s="27" t="n">
        <f aca="false">F5-F7</f>
        <v>7162.5</v>
      </c>
      <c r="G8" s="27" t="n">
        <f aca="false">G5-G7</f>
        <v>7618.2</v>
      </c>
      <c r="H8" s="27" t="n">
        <f aca="false">H5-H7</f>
        <v>8098.8</v>
      </c>
      <c r="I8" s="27" t="n">
        <f aca="false">I5-I7</f>
        <v>8496</v>
      </c>
    </row>
    <row r="9" customFormat="false" ht="15" hidden="false" customHeight="false" outlineLevel="0" collapsed="false">
      <c r="A9" s="4" t="s">
        <v>139</v>
      </c>
      <c r="B9" s="17" t="n">
        <v>1017</v>
      </c>
      <c r="C9" s="17" t="n">
        <v>1094</v>
      </c>
      <c r="D9" s="17" t="n">
        <v>586</v>
      </c>
      <c r="E9" s="23" t="n">
        <f aca="false">Assumptions!C42</f>
        <v>200</v>
      </c>
      <c r="F9" s="23" t="n">
        <f aca="false">Assumptions!D42</f>
        <v>150</v>
      </c>
      <c r="G9" s="23" t="n">
        <f aca="false">Assumptions!E42</f>
        <v>150</v>
      </c>
      <c r="H9" s="23" t="n">
        <f aca="false">Assumptions!F42</f>
        <v>100</v>
      </c>
      <c r="I9" s="23" t="n">
        <f aca="false">Assumptions!G42</f>
        <v>100</v>
      </c>
    </row>
    <row r="10" customFormat="false" ht="15" hidden="false" customHeight="false" outlineLevel="0" collapsed="false">
      <c r="A10" s="4" t="s">
        <v>140</v>
      </c>
      <c r="B10" s="27" t="n">
        <f aca="false">B8-B9</f>
        <v>5269</v>
      </c>
      <c r="C10" s="27" t="n">
        <f aca="false">C8-C9</f>
        <v>5954</v>
      </c>
      <c r="D10" s="27" t="n">
        <f aca="false">D8-D9</f>
        <v>6150</v>
      </c>
      <c r="E10" s="27" t="n">
        <f aca="false">E8-E9</f>
        <v>6661.5</v>
      </c>
      <c r="F10" s="27" t="n">
        <f aca="false">F8-F9</f>
        <v>7012.5</v>
      </c>
      <c r="G10" s="27" t="n">
        <f aca="false">G8-G9</f>
        <v>7468.2</v>
      </c>
      <c r="H10" s="27" t="n">
        <f aca="false">H8-H9</f>
        <v>7998.8</v>
      </c>
      <c r="I10" s="27" t="n">
        <f aca="false">I8-I9</f>
        <v>8396</v>
      </c>
    </row>
    <row r="11" customFormat="false" ht="15" hidden="false" customHeight="false" outlineLevel="0" collapsed="false">
      <c r="A11" s="4" t="s">
        <v>141</v>
      </c>
      <c r="B11" s="27" t="n">
        <f aca="false">B10*Assumptions!$B$16</f>
        <v>843.04</v>
      </c>
      <c r="C11" s="27" t="n">
        <f aca="false">C10*Assumptions!$B$16</f>
        <v>952.64</v>
      </c>
      <c r="D11" s="27" t="n">
        <f aca="false">D10*Assumptions!$B$16</f>
        <v>984</v>
      </c>
      <c r="E11" s="27" t="n">
        <f aca="false">E10*Assumptions!$B$16</f>
        <v>1065.84</v>
      </c>
      <c r="F11" s="27" t="n">
        <f aca="false">F10*Assumptions!$B$16</f>
        <v>1122</v>
      </c>
      <c r="G11" s="27" t="n">
        <f aca="false">G10*Assumptions!$B$16</f>
        <v>1194.912</v>
      </c>
      <c r="H11" s="27" t="n">
        <f aca="false">H10*Assumptions!$B$16</f>
        <v>1279.808</v>
      </c>
      <c r="I11" s="27" t="n">
        <f aca="false">I10*Assumptions!$B$16</f>
        <v>1343.36</v>
      </c>
    </row>
    <row r="12" customFormat="false" ht="15" hidden="false" customHeight="false" outlineLevel="0" collapsed="false">
      <c r="A12" s="9" t="s">
        <v>142</v>
      </c>
      <c r="B12" s="27" t="n">
        <f aca="false">B10-B11</f>
        <v>4425.96</v>
      </c>
      <c r="C12" s="27" t="n">
        <f aca="false">C10-C11</f>
        <v>5001.36</v>
      </c>
      <c r="D12" s="27" t="n">
        <f aca="false">D10-D11</f>
        <v>5166</v>
      </c>
      <c r="E12" s="27" t="n">
        <f aca="false">E10-E11</f>
        <v>5595.66</v>
      </c>
      <c r="F12" s="27" t="n">
        <f aca="false">F10-F11</f>
        <v>5890.5</v>
      </c>
      <c r="G12" s="27" t="n">
        <f aca="false">G10-G11</f>
        <v>6273.288</v>
      </c>
      <c r="H12" s="27" t="n">
        <f aca="false">H10-H11</f>
        <v>6718.992</v>
      </c>
      <c r="I12" s="27" t="n">
        <f aca="false">I10-I11</f>
        <v>7052.64</v>
      </c>
    </row>
    <row r="13" customFormat="false" ht="15" hidden="false" customHeight="false" outlineLevel="0" collapsed="false">
      <c r="A13" s="4" t="s">
        <v>143</v>
      </c>
      <c r="B13" s="7" t="n">
        <f aca="false">B12/Assumptions!$B$5*Assumptions!$B$6</f>
        <v>0.211810504300235</v>
      </c>
      <c r="C13" s="7" t="n">
        <f aca="false">C12/Assumptions!$B$5*Assumptions!$B$6</f>
        <v>0.2393470758405</v>
      </c>
      <c r="D13" s="7" t="n">
        <f aca="false">D12/Assumptions!$B$5*Assumptions!$B$6</f>
        <v>0.247226153244722</v>
      </c>
      <c r="E13" s="7" t="n">
        <f aca="false">E12/Assumptions!$B$5*Assumptions!$B$6</f>
        <v>0.267788133307271</v>
      </c>
      <c r="F13" s="7" t="n">
        <f aca="false">F12/Assumptions!$B$5*Assumptions!$B$6</f>
        <v>0.281898113760751</v>
      </c>
      <c r="G13" s="7" t="n">
        <f aca="false">G12/Assumptions!$B$5*Assumptions!$B$6</f>
        <v>0.300216968725567</v>
      </c>
      <c r="H13" s="7" t="n">
        <f aca="false">H12/Assumptions!$B$5*Assumptions!$B$6</f>
        <v>0.321546756841282</v>
      </c>
      <c r="I13" s="7" t="n">
        <f aca="false">I12/Assumptions!$B$5*Assumptions!$B$6</f>
        <v>0.337513948397185</v>
      </c>
    </row>
    <row r="14" customFormat="false" ht="15" hidden="false" customHeight="false" outlineLevel="0" collapsed="false">
      <c r="A14" s="4" t="s">
        <v>85</v>
      </c>
      <c r="B14" s="17" t="n">
        <v>3250</v>
      </c>
      <c r="C14" s="17" t="n">
        <v>3412</v>
      </c>
      <c r="D14" s="17" t="n">
        <v>3584</v>
      </c>
      <c r="E14" s="27" t="n">
        <f aca="false">D14*(1+Assumptions!$B$20)</f>
        <v>3763.2</v>
      </c>
      <c r="F14" s="27" t="n">
        <f aca="false">E14*(1+Assumptions!$B$20)</f>
        <v>3951.36</v>
      </c>
      <c r="G14" s="27" t="n">
        <f aca="false">F14*(1+Assumptions!$B$20)</f>
        <v>4148.928</v>
      </c>
      <c r="H14" s="27" t="n">
        <f aca="false">G14*(1+Assumptions!$B$20)</f>
        <v>4356.3744</v>
      </c>
      <c r="I14" s="27" t="n">
        <f aca="false">H14*(1+Assumptions!$B$20)</f>
        <v>4574.19312</v>
      </c>
    </row>
    <row r="15" customFormat="false" ht="15" hidden="false" customHeight="false" outlineLevel="0" collapsed="false">
      <c r="A15" s="4" t="s">
        <v>144</v>
      </c>
      <c r="B15" s="7" t="n">
        <f aca="false">B14/Assumptions!$B$5*Assumptions!$B$6</f>
        <v>0.155533294240292</v>
      </c>
      <c r="C15" s="7" t="n">
        <f aca="false">C14/Assumptions!$B$5*Assumptions!$B$6</f>
        <v>0.163286030753193</v>
      </c>
      <c r="D15" s="7" t="n">
        <f aca="false">D14/Assumptions!$B$5*Assumptions!$B$6</f>
        <v>0.171517331248371</v>
      </c>
      <c r="E15" s="7" t="n">
        <f aca="false">E14/Assumptions!$B$5*Assumptions!$B$6</f>
        <v>0.18009319781079</v>
      </c>
      <c r="F15" s="7" t="n">
        <f aca="false">F14/Assumptions!$B$5*Assumptions!$B$6</f>
        <v>0.189097857701329</v>
      </c>
      <c r="G15" s="7" t="n">
        <f aca="false">G14/Assumptions!$B$5*Assumptions!$B$6</f>
        <v>0.198552750586396</v>
      </c>
      <c r="H15" s="7" t="n">
        <f aca="false">H14/Assumptions!$B$5*Assumptions!$B$6</f>
        <v>0.208480388115715</v>
      </c>
      <c r="I15" s="7" t="n">
        <f aca="false">I14/Assumptions!$B$5*Assumptions!$B$6</f>
        <v>0.218904407521501</v>
      </c>
    </row>
    <row r="16" customFormat="false" ht="15" hidden="false" customHeight="false" outlineLevel="0" collapsed="false">
      <c r="A16" s="4" t="s">
        <v>145</v>
      </c>
      <c r="B16" s="11" t="n">
        <f aca="false">B14/B12</f>
        <v>0.734303970212112</v>
      </c>
      <c r="C16" s="11" t="n">
        <f aca="false">C14/C12</f>
        <v>0.682214437672953</v>
      </c>
      <c r="D16" s="11" t="n">
        <f aca="false">D14/D12</f>
        <v>0.693766937669377</v>
      </c>
      <c r="E16" s="11" t="n">
        <f aca="false">E14/E12</f>
        <v>0.672521203933048</v>
      </c>
      <c r="F16" s="11" t="n">
        <f aca="false">F14/F12</f>
        <v>0.670802139037433</v>
      </c>
      <c r="G16" s="11" t="n">
        <f aca="false">G14/G12</f>
        <v>0.661364184140757</v>
      </c>
      <c r="H16" s="11" t="n">
        <f aca="false">H14/H12</f>
        <v>0.648367255088263</v>
      </c>
      <c r="I16" s="11" t="n">
        <f aca="false">I14/I12</f>
        <v>0.648578847070034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  <col collapsed="false" customWidth="true" hidden="false" outlineLevel="0" max="9" min="5" style="1" width="11"/>
  </cols>
  <sheetData>
    <row r="1" customFormat="false" ht="16.15" hidden="false" customHeight="false" outlineLevel="0" collapsed="false">
      <c r="A1" s="2" t="s">
        <v>146</v>
      </c>
    </row>
    <row r="2" customFormat="false" ht="15" hidden="false" customHeight="false" outlineLevel="0" collapsed="false">
      <c r="A2" s="3" t="s">
        <v>147</v>
      </c>
    </row>
    <row r="3" customFormat="false" ht="15" hidden="false" customHeight="false" outlineLevel="0" collapsed="false">
      <c r="A3" s="5" t="s">
        <v>97</v>
      </c>
      <c r="B3" s="5" t="s">
        <v>98</v>
      </c>
      <c r="C3" s="5" t="s">
        <v>99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</row>
    <row r="4" customFormat="false" ht="15" hidden="false" customHeight="false" outlineLevel="0" collapsed="false">
      <c r="A4" s="4" t="s">
        <v>148</v>
      </c>
      <c r="B4" s="17" t="n">
        <v>3500</v>
      </c>
      <c r="C4" s="17" t="n">
        <v>4200</v>
      </c>
      <c r="D4" s="17" t="n">
        <v>5060</v>
      </c>
      <c r="E4" s="23" t="n">
        <f aca="false">'Cash Flow'!E14</f>
        <v>5442.46</v>
      </c>
      <c r="F4" s="23" t="n">
        <f aca="false">'Cash Flow'!F14</f>
        <v>6481.6</v>
      </c>
      <c r="G4" s="23" t="n">
        <f aca="false">'Cash Flow'!G14</f>
        <v>7555.96</v>
      </c>
      <c r="H4" s="23" t="n">
        <f aca="false">'Cash Flow'!H14</f>
        <v>10818.5776</v>
      </c>
      <c r="I4" s="23" t="n">
        <f aca="false">'Cash Flow'!I14</f>
        <v>14047.02448</v>
      </c>
    </row>
    <row r="5" customFormat="false" ht="15" hidden="false" customHeight="false" outlineLevel="0" collapsed="false">
      <c r="A5" s="4" t="s">
        <v>149</v>
      </c>
      <c r="B5" s="17" t="n">
        <v>2500</v>
      </c>
      <c r="C5" s="17" t="n">
        <v>2700</v>
      </c>
      <c r="D5" s="17" t="n">
        <v>2600</v>
      </c>
      <c r="E5" s="27" t="n">
        <f aca="false">'Income Statement'!E4*($D$5/'Income Statement'!$D$4)</f>
        <v>2652.83517232565</v>
      </c>
      <c r="F5" s="27" t="n">
        <f aca="false">'Income Statement'!F4*($D$5/'Income Statement'!$D$4)</f>
        <v>2780.21556682145</v>
      </c>
      <c r="G5" s="27" t="n">
        <f aca="false">'Income Statement'!G4*($D$5/'Income Statement'!$D$4)</f>
        <v>2979.5935755975</v>
      </c>
      <c r="H5" s="27" t="n">
        <f aca="false">'Income Statement'!H4*($D$5/'Income Statement'!$D$4)</f>
        <v>3145.7419162442</v>
      </c>
      <c r="I5" s="27" t="n">
        <f aca="false">'Income Statement'!I4*($D$5/'Income Statement'!$D$4)</f>
        <v>3278.66058876156</v>
      </c>
    </row>
    <row r="6" customFormat="false" ht="15" hidden="false" customHeight="false" outlineLevel="0" collapsed="false">
      <c r="A6" s="4" t="s">
        <v>150</v>
      </c>
      <c r="B6" s="17" t="n">
        <v>300</v>
      </c>
      <c r="C6" s="17" t="n">
        <v>320</v>
      </c>
      <c r="D6" s="17" t="n">
        <v>300</v>
      </c>
      <c r="E6" s="27" t="n">
        <f aca="false">'Income Statement'!E4*($D$6/'Income Statement'!$D$4)</f>
        <v>306.096366037575</v>
      </c>
      <c r="F6" s="27" t="n">
        <f aca="false">'Income Statement'!F4*($D$6/'Income Statement'!$D$4)</f>
        <v>320.794103864014</v>
      </c>
      <c r="G6" s="27" t="n">
        <f aca="false">'Income Statement'!G4*($D$6/'Income Statement'!$D$4)</f>
        <v>343.799258722788</v>
      </c>
      <c r="H6" s="27" t="n">
        <f aca="false">'Income Statement'!H4*($D$6/'Income Statement'!$D$4)</f>
        <v>362.9702211051</v>
      </c>
      <c r="I6" s="27" t="n">
        <f aca="false">'Income Statement'!I4*($D$6/'Income Statement'!$D$4)</f>
        <v>378.306991010949</v>
      </c>
    </row>
    <row r="7" customFormat="false" ht="15" hidden="false" customHeight="false" outlineLevel="0" collapsed="false">
      <c r="A7" s="4" t="s">
        <v>151</v>
      </c>
      <c r="B7" s="17" t="n">
        <v>5600</v>
      </c>
      <c r="C7" s="17" t="n">
        <v>5800</v>
      </c>
      <c r="D7" s="17" t="n">
        <v>6000</v>
      </c>
      <c r="E7" s="27" t="n">
        <f aca="false">D7</f>
        <v>6000</v>
      </c>
      <c r="F7" s="27" t="n">
        <f aca="false">E7</f>
        <v>6000</v>
      </c>
      <c r="G7" s="27" t="n">
        <f aca="false">F7</f>
        <v>6000</v>
      </c>
      <c r="H7" s="27" t="n">
        <f aca="false">G7</f>
        <v>6000</v>
      </c>
      <c r="I7" s="27" t="n">
        <f aca="false">H7</f>
        <v>6000</v>
      </c>
    </row>
    <row r="8" customFormat="false" ht="15" hidden="false" customHeight="false" outlineLevel="0" collapsed="false">
      <c r="A8" s="4" t="s">
        <v>152</v>
      </c>
      <c r="B8" s="17" t="n">
        <v>14980</v>
      </c>
      <c r="C8" s="17" t="n">
        <v>16300</v>
      </c>
      <c r="D8" s="17" t="n">
        <v>18040</v>
      </c>
      <c r="E8" s="27" t="n">
        <f aca="false">D8+Assumptions!C43-Assumptions!C41</f>
        <v>19340</v>
      </c>
      <c r="F8" s="27" t="n">
        <f aca="false">E8+Assumptions!D43-Assumptions!D41</f>
        <v>20090</v>
      </c>
      <c r="G8" s="27" t="n">
        <f aca="false">F8+Assumptions!E43-Assumptions!E41</f>
        <v>20940</v>
      </c>
      <c r="H8" s="27" t="n">
        <f aca="false">G8+Assumptions!F43-Assumptions!F41</f>
        <v>19890</v>
      </c>
      <c r="I8" s="27" t="n">
        <f aca="false">H8+Assumptions!G43-Assumptions!G41</f>
        <v>18990</v>
      </c>
    </row>
    <row r="9" customFormat="false" ht="15" hidden="false" customHeight="false" outlineLevel="0" collapsed="false">
      <c r="A9" s="9" t="s">
        <v>153</v>
      </c>
      <c r="B9" s="27" t="n">
        <f aca="false">SUM(B4:B8)</f>
        <v>26880</v>
      </c>
      <c r="C9" s="27" t="n">
        <f aca="false">SUM(C4:C8)</f>
        <v>29320</v>
      </c>
      <c r="D9" s="27" t="n">
        <f aca="false">SUM(D4:D8)</f>
        <v>32000</v>
      </c>
      <c r="E9" s="27" t="n">
        <f aca="false">SUM(E4:E8)</f>
        <v>33741.3915383632</v>
      </c>
      <c r="F9" s="27" t="n">
        <f aca="false">SUM(F4:F8)</f>
        <v>35672.6096706855</v>
      </c>
      <c r="G9" s="27" t="n">
        <f aca="false">SUM(G4:G8)</f>
        <v>37819.3528343203</v>
      </c>
      <c r="H9" s="27" t="n">
        <f aca="false">SUM(H4:H8)</f>
        <v>40217.2897373493</v>
      </c>
      <c r="I9" s="27" t="n">
        <f aca="false">SUM(I4:I8)</f>
        <v>42693.9920597725</v>
      </c>
    </row>
    <row r="11" customFormat="false" ht="15" hidden="false" customHeight="false" outlineLevel="0" collapsed="false">
      <c r="A11" s="4" t="s">
        <v>154</v>
      </c>
      <c r="B11" s="17" t="n">
        <v>320</v>
      </c>
      <c r="C11" s="17" t="n">
        <v>300</v>
      </c>
      <c r="D11" s="17" t="n">
        <v>280</v>
      </c>
      <c r="E11" s="27" t="n">
        <f aca="false">D11</f>
        <v>280</v>
      </c>
      <c r="F11" s="27" t="n">
        <f aca="false">E11</f>
        <v>280</v>
      </c>
      <c r="G11" s="27" t="n">
        <f aca="false">F11</f>
        <v>280</v>
      </c>
      <c r="H11" s="27" t="n">
        <f aca="false">G11</f>
        <v>280</v>
      </c>
      <c r="I11" s="27" t="n">
        <f aca="false">H11</f>
        <v>280</v>
      </c>
    </row>
    <row r="12" customFormat="false" ht="15" hidden="false" customHeight="false" outlineLevel="0" collapsed="false">
      <c r="A12" s="4" t="s">
        <v>155</v>
      </c>
      <c r="B12" s="17" t="n">
        <v>3300</v>
      </c>
      <c r="C12" s="17" t="n">
        <v>3400</v>
      </c>
      <c r="D12" s="17" t="n">
        <v>3500</v>
      </c>
      <c r="E12" s="27" t="n">
        <f aca="false">D12</f>
        <v>3500</v>
      </c>
      <c r="F12" s="27" t="n">
        <f aca="false">E12</f>
        <v>3500</v>
      </c>
      <c r="G12" s="27" t="n">
        <f aca="false">F12</f>
        <v>3500</v>
      </c>
      <c r="H12" s="27" t="n">
        <f aca="false">G12</f>
        <v>3500</v>
      </c>
      <c r="I12" s="27" t="n">
        <f aca="false">H12</f>
        <v>3500</v>
      </c>
    </row>
    <row r="13" customFormat="false" ht="15" hidden="false" customHeight="false" outlineLevel="0" collapsed="false">
      <c r="A13" s="4" t="s">
        <v>156</v>
      </c>
      <c r="B13" s="17" t="n">
        <v>2980</v>
      </c>
      <c r="C13" s="17" t="n">
        <v>3150</v>
      </c>
      <c r="D13" s="17" t="n">
        <v>3170</v>
      </c>
      <c r="E13" s="27" t="n">
        <f aca="false">'Income Statement'!E4*($D$13/'Income Statement'!$D$4)</f>
        <v>3234.41826779704</v>
      </c>
      <c r="F13" s="27" t="n">
        <f aca="false">'Income Statement'!F4*($D$13/'Income Statement'!$D$4)</f>
        <v>3389.72436416308</v>
      </c>
      <c r="G13" s="27" t="n">
        <f aca="false">'Income Statement'!G4*($D$13/'Income Statement'!$D$4)</f>
        <v>3632.81216717079</v>
      </c>
      <c r="H13" s="27" t="n">
        <f aca="false">'Income Statement'!H4*($D$13/'Income Statement'!$D$4)</f>
        <v>3835.38533634389</v>
      </c>
      <c r="I13" s="27" t="n">
        <f aca="false">'Income Statement'!I4*($D$13/'Income Statement'!$D$4)</f>
        <v>3997.44387168236</v>
      </c>
    </row>
    <row r="14" customFormat="false" ht="15" hidden="false" customHeight="false" outlineLevel="0" collapsed="false">
      <c r="A14" s="4" t="s">
        <v>157</v>
      </c>
      <c r="B14" s="17" t="n">
        <v>400</v>
      </c>
      <c r="C14" s="17" t="n">
        <v>1000</v>
      </c>
      <c r="D14" s="17" t="n">
        <v>2000</v>
      </c>
      <c r="E14" s="27" t="n">
        <f aca="false">E9-E11-E12-E13-E16</f>
        <v>1844.51327056618</v>
      </c>
      <c r="F14" s="27" t="n">
        <f aca="false">F9-F11-F12-F13-F16</f>
        <v>1681.28530652239</v>
      </c>
      <c r="G14" s="27" t="n">
        <f aca="false">G9-G11-G12-G13-G16</f>
        <v>1460.58066714949</v>
      </c>
      <c r="H14" s="27" t="n">
        <f aca="false">H9-H11-H12-H13-H16</f>
        <v>1293.32680100541</v>
      </c>
      <c r="I14" s="27" t="n">
        <f aca="false">I9-I11-I12-I13-I16</f>
        <v>1129.52370809015</v>
      </c>
    </row>
    <row r="15" customFormat="false" ht="15" hidden="false" customHeight="false" outlineLevel="0" collapsed="false">
      <c r="A15" s="9" t="s">
        <v>158</v>
      </c>
      <c r="B15" s="27" t="n">
        <f aca="false">SUM(B11:B14)</f>
        <v>7000</v>
      </c>
      <c r="C15" s="27" t="n">
        <f aca="false">SUM(C11:C14)</f>
        <v>7850</v>
      </c>
      <c r="D15" s="27" t="n">
        <f aca="false">SUM(D11:D14)</f>
        <v>8950</v>
      </c>
      <c r="E15" s="27" t="n">
        <f aca="false">SUM(E11:E14)</f>
        <v>8858.93153836323</v>
      </c>
      <c r="F15" s="27" t="n">
        <f aca="false">SUM(F11:F14)</f>
        <v>8851.00967068547</v>
      </c>
      <c r="G15" s="27" t="n">
        <f aca="false">SUM(G11:G14)</f>
        <v>8873.39283432028</v>
      </c>
      <c r="H15" s="27" t="n">
        <f aca="false">SUM(H11:H14)</f>
        <v>8908.71213734929</v>
      </c>
      <c r="I15" s="27" t="n">
        <f aca="false">SUM(I11:I14)</f>
        <v>8906.96757977251</v>
      </c>
    </row>
    <row r="16" customFormat="false" ht="15" hidden="false" customHeight="false" outlineLevel="0" collapsed="false">
      <c r="A16" s="9" t="s">
        <v>159</v>
      </c>
      <c r="B16" s="17" t="n">
        <v>19880</v>
      </c>
      <c r="C16" s="17" t="n">
        <v>21470</v>
      </c>
      <c r="D16" s="17" t="n">
        <v>23050</v>
      </c>
      <c r="E16" s="27" t="n">
        <f aca="false">D16+'Income Statement'!E12-'Income Statement'!E14</f>
        <v>24882.46</v>
      </c>
      <c r="F16" s="27" t="n">
        <f aca="false">E16+'Income Statement'!F12-'Income Statement'!F14</f>
        <v>26821.6</v>
      </c>
      <c r="G16" s="27" t="n">
        <f aca="false">F16+'Income Statement'!G12-'Income Statement'!G14</f>
        <v>28945.96</v>
      </c>
      <c r="H16" s="27" t="n">
        <f aca="false">G16+'Income Statement'!H12-'Income Statement'!H14</f>
        <v>31308.5776</v>
      </c>
      <c r="I16" s="27" t="n">
        <f aca="false">H16+'Income Statement'!I12-'Income Statement'!I14</f>
        <v>33787.02448</v>
      </c>
    </row>
    <row r="17" customFormat="false" ht="15" hidden="false" customHeight="false" outlineLevel="0" collapsed="false">
      <c r="A17" s="9" t="s">
        <v>160</v>
      </c>
      <c r="B17" s="27" t="n">
        <f aca="false">B15+B16</f>
        <v>26880</v>
      </c>
      <c r="C17" s="27" t="n">
        <f aca="false">C15+C16</f>
        <v>29320</v>
      </c>
      <c r="D17" s="27" t="n">
        <f aca="false">D15+D16</f>
        <v>32000</v>
      </c>
      <c r="E17" s="27" t="n">
        <f aca="false">E15+E16</f>
        <v>33741.3915383632</v>
      </c>
      <c r="F17" s="27" t="n">
        <f aca="false">F15+F16</f>
        <v>35672.6096706855</v>
      </c>
      <c r="G17" s="27" t="n">
        <f aca="false">G15+G16</f>
        <v>37819.3528343203</v>
      </c>
      <c r="H17" s="27" t="n">
        <f aca="false">H15+H16</f>
        <v>40217.2897373493</v>
      </c>
      <c r="I17" s="27" t="n">
        <f aca="false">I15+I16</f>
        <v>42693.9920597725</v>
      </c>
    </row>
    <row r="18" customFormat="false" ht="15" hidden="false" customHeight="false" outlineLevel="0" collapsed="false">
      <c r="A18" s="4" t="s">
        <v>161</v>
      </c>
      <c r="B18" s="27" t="n">
        <f aca="false">B4-B11</f>
        <v>3180</v>
      </c>
      <c r="C18" s="27" t="n">
        <f aca="false">C4-C11</f>
        <v>3900</v>
      </c>
      <c r="D18" s="27" t="n">
        <f aca="false">D4-D11</f>
        <v>4780</v>
      </c>
      <c r="E18" s="27" t="n">
        <f aca="false">E4-E11</f>
        <v>5162.46</v>
      </c>
      <c r="F18" s="27" t="n">
        <f aca="false">F4-F11</f>
        <v>6201.6</v>
      </c>
      <c r="G18" s="27" t="n">
        <f aca="false">G4-G11</f>
        <v>7275.96</v>
      </c>
      <c r="H18" s="27" t="n">
        <f aca="false">H4-H11</f>
        <v>10538.5776</v>
      </c>
      <c r="I18" s="27" t="n">
        <f aca="false">I4-I11</f>
        <v>13767.02448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  <col collapsed="false" customWidth="true" hidden="false" outlineLevel="0" max="9" min="5" style="1" width="11"/>
  </cols>
  <sheetData>
    <row r="1" customFormat="false" ht="16.15" hidden="false" customHeight="false" outlineLevel="0" collapsed="false">
      <c r="A1" s="2" t="s">
        <v>162</v>
      </c>
    </row>
    <row r="2" customFormat="false" ht="15" hidden="false" customHeight="false" outlineLevel="0" collapsed="false">
      <c r="A2" s="3" t="s">
        <v>163</v>
      </c>
    </row>
    <row r="3" customFormat="false" ht="15" hidden="false" customHeight="false" outlineLevel="0" collapsed="false">
      <c r="A3" s="5"/>
      <c r="B3" s="5"/>
      <c r="C3" s="5"/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</row>
    <row r="4" customFormat="false" ht="15" hidden="false" customHeight="false" outlineLevel="0" collapsed="false">
      <c r="A4" s="4" t="s">
        <v>142</v>
      </c>
      <c r="E4" s="23" t="n">
        <f aca="false">'Income Statement'!E12</f>
        <v>5595.66</v>
      </c>
      <c r="F4" s="23" t="n">
        <f aca="false">'Income Statement'!F12</f>
        <v>5890.5</v>
      </c>
      <c r="G4" s="23" t="n">
        <f aca="false">'Income Statement'!G12</f>
        <v>6273.288</v>
      </c>
      <c r="H4" s="23" t="n">
        <f aca="false">'Income Statement'!H12</f>
        <v>6718.992</v>
      </c>
      <c r="I4" s="23" t="n">
        <f aca="false">'Income Statement'!I12</f>
        <v>7052.64</v>
      </c>
    </row>
    <row r="5" customFormat="false" ht="15" hidden="false" customHeight="false" outlineLevel="0" collapsed="false">
      <c r="A5" s="4" t="s">
        <v>121</v>
      </c>
      <c r="E5" s="23" t="n">
        <f aca="false">'Income Statement'!E7</f>
        <v>2000</v>
      </c>
      <c r="F5" s="23" t="n">
        <f aca="false">'Income Statement'!F7</f>
        <v>2250</v>
      </c>
      <c r="G5" s="23" t="n">
        <f aca="false">'Income Statement'!G7</f>
        <v>2550</v>
      </c>
      <c r="H5" s="23" t="n">
        <f aca="false">'Income Statement'!H7</f>
        <v>2750</v>
      </c>
      <c r="I5" s="23" t="n">
        <f aca="false">'Income Statement'!I7</f>
        <v>2900</v>
      </c>
    </row>
    <row r="6" customFormat="false" ht="15" hidden="false" customHeight="false" outlineLevel="0" collapsed="false">
      <c r="A6" s="4" t="s">
        <v>123</v>
      </c>
      <c r="E6" s="27" t="n">
        <f aca="false">-Assumptions!C44</f>
        <v>-150</v>
      </c>
      <c r="F6" s="27" t="n">
        <f aca="false">-Assumptions!D44</f>
        <v>-150</v>
      </c>
      <c r="G6" s="27" t="n">
        <f aca="false">-Assumptions!E44</f>
        <v>-200</v>
      </c>
      <c r="H6" s="27" t="n">
        <f aca="false">-Assumptions!F44</f>
        <v>-150</v>
      </c>
      <c r="I6" s="27" t="n">
        <f aca="false">-Assumptions!G44</f>
        <v>-150</v>
      </c>
    </row>
    <row r="7" customFormat="false" ht="15" hidden="false" customHeight="false" outlineLevel="0" collapsed="false">
      <c r="A7" s="9" t="s">
        <v>164</v>
      </c>
      <c r="E7" s="27" t="n">
        <f aca="false">E4+E5+E6</f>
        <v>7445.66</v>
      </c>
      <c r="F7" s="27" t="n">
        <f aca="false">F4+F5+F6</f>
        <v>7990.5</v>
      </c>
      <c r="G7" s="27" t="n">
        <f aca="false">G4+G5+G6</f>
        <v>8623.288</v>
      </c>
      <c r="H7" s="27" t="n">
        <f aca="false">H4+H5+H6</f>
        <v>9318.992</v>
      </c>
      <c r="I7" s="27" t="n">
        <f aca="false">I4+I5+I6</f>
        <v>9802.64</v>
      </c>
    </row>
    <row r="8" customFormat="false" ht="15" hidden="false" customHeight="false" outlineLevel="0" collapsed="false">
      <c r="A8" s="4" t="s">
        <v>122</v>
      </c>
      <c r="E8" s="27" t="n">
        <f aca="false">-Assumptions!C43</f>
        <v>-3300</v>
      </c>
      <c r="F8" s="27" t="n">
        <f aca="false">-Assumptions!D43</f>
        <v>-3000</v>
      </c>
      <c r="G8" s="27" t="n">
        <f aca="false">-Assumptions!E43</f>
        <v>-3400</v>
      </c>
      <c r="H8" s="27" t="n">
        <f aca="false">-Assumptions!F43</f>
        <v>-1700</v>
      </c>
      <c r="I8" s="27" t="n">
        <f aca="false">-Assumptions!G43</f>
        <v>-2000</v>
      </c>
    </row>
    <row r="9" customFormat="false" ht="15" hidden="false" customHeight="false" outlineLevel="0" collapsed="false">
      <c r="A9" s="9" t="s">
        <v>165</v>
      </c>
      <c r="E9" s="27" t="n">
        <f aca="false">E7+E8</f>
        <v>4145.66</v>
      </c>
      <c r="F9" s="27" t="n">
        <f aca="false">F7+F8</f>
        <v>4990.5</v>
      </c>
      <c r="G9" s="27" t="n">
        <f aca="false">G7+G8</f>
        <v>5223.288</v>
      </c>
      <c r="H9" s="27" t="n">
        <f aca="false">H7+H8</f>
        <v>7618.992</v>
      </c>
      <c r="I9" s="27" t="n">
        <f aca="false">I7+I8</f>
        <v>7802.64</v>
      </c>
    </row>
    <row r="10" customFormat="false" ht="15" hidden="false" customHeight="false" outlineLevel="0" collapsed="false">
      <c r="A10" s="4" t="s">
        <v>166</v>
      </c>
      <c r="E10" s="27" t="n">
        <f aca="false">-'Income Statement'!E14</f>
        <v>-3763.2</v>
      </c>
      <c r="F10" s="27" t="n">
        <f aca="false">-'Income Statement'!F14</f>
        <v>-3951.36</v>
      </c>
      <c r="G10" s="27" t="n">
        <f aca="false">-'Income Statement'!G14</f>
        <v>-4148.928</v>
      </c>
      <c r="H10" s="27" t="n">
        <f aca="false">-'Income Statement'!H14</f>
        <v>-4356.3744</v>
      </c>
      <c r="I10" s="27" t="n">
        <f aca="false">-'Income Statement'!I14</f>
        <v>-4574.19312</v>
      </c>
    </row>
    <row r="11" customFormat="false" ht="15" hidden="false" customHeight="false" outlineLevel="0" collapsed="false">
      <c r="A11" s="4" t="s">
        <v>167</v>
      </c>
      <c r="E11" s="27" t="n">
        <v>0</v>
      </c>
      <c r="F11" s="27" t="n">
        <v>0</v>
      </c>
      <c r="G11" s="27" t="n">
        <v>0</v>
      </c>
      <c r="H11" s="27" t="n">
        <v>0</v>
      </c>
      <c r="I11" s="27" t="n">
        <v>0</v>
      </c>
    </row>
    <row r="12" customFormat="false" ht="15" hidden="false" customHeight="false" outlineLevel="0" collapsed="false">
      <c r="A12" s="9" t="s">
        <v>168</v>
      </c>
      <c r="E12" s="27" t="n">
        <f aca="false">E9+E10+E11</f>
        <v>382.46</v>
      </c>
      <c r="F12" s="27" t="n">
        <f aca="false">F9+F10+F11</f>
        <v>1039.14</v>
      </c>
      <c r="G12" s="27" t="n">
        <f aca="false">G9+G10+G11</f>
        <v>1074.36</v>
      </c>
      <c r="H12" s="27" t="n">
        <f aca="false">H9+H10+H11</f>
        <v>3262.6176</v>
      </c>
      <c r="I12" s="27" t="n">
        <f aca="false">I9+I10+I11</f>
        <v>3228.44688</v>
      </c>
    </row>
    <row r="13" customFormat="false" ht="15" hidden="false" customHeight="false" outlineLevel="0" collapsed="false">
      <c r="A13" s="4" t="s">
        <v>169</v>
      </c>
      <c r="E13" s="27" t="n">
        <f aca="false">'Balance Sheet'!D4</f>
        <v>5060</v>
      </c>
      <c r="F13" s="27" t="n">
        <f aca="false">E14</f>
        <v>5442.46</v>
      </c>
      <c r="G13" s="27" t="n">
        <f aca="false">F14</f>
        <v>6481.6</v>
      </c>
      <c r="H13" s="27" t="n">
        <f aca="false">G14</f>
        <v>7555.96</v>
      </c>
      <c r="I13" s="27" t="n">
        <f aca="false">H14</f>
        <v>10818.5776</v>
      </c>
    </row>
    <row r="14" customFormat="false" ht="15" hidden="false" customHeight="false" outlineLevel="0" collapsed="false">
      <c r="A14" s="9" t="s">
        <v>170</v>
      </c>
      <c r="E14" s="27" t="n">
        <f aca="false">'Balance Sheet'!$D$4+SUM($E$12:E12)</f>
        <v>5442.46</v>
      </c>
      <c r="F14" s="27" t="n">
        <f aca="false">'Balance Sheet'!$D$4+SUM($E$12:F12)</f>
        <v>6481.6</v>
      </c>
      <c r="G14" s="27" t="n">
        <f aca="false">'Balance Sheet'!$D$4+SUM($E$12:G12)</f>
        <v>7555.96</v>
      </c>
      <c r="H14" s="27" t="n">
        <f aca="false">'Balance Sheet'!$D$4+SUM($E$12:H12)</f>
        <v>10818.5776</v>
      </c>
      <c r="I14" s="27" t="n">
        <f aca="false">'Balance Sheet'!$D$4+SUM($E$12:I12)</f>
        <v>14047.02448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  <col collapsed="false" customWidth="true" hidden="false" outlineLevel="0" max="9" min="5" style="1" width="11"/>
  </cols>
  <sheetData>
    <row r="1" customFormat="false" ht="16.15" hidden="false" customHeight="false" outlineLevel="0" collapsed="false">
      <c r="A1" s="2" t="s">
        <v>171</v>
      </c>
    </row>
    <row r="2" customFormat="false" ht="15" hidden="false" customHeight="false" outlineLevel="0" collapsed="false">
      <c r="A2" s="3" t="s">
        <v>172</v>
      </c>
    </row>
    <row r="3" customFormat="false" ht="15" hidden="false" customHeight="false" outlineLevel="0" collapsed="false">
      <c r="A3" s="5" t="s">
        <v>97</v>
      </c>
      <c r="B3" s="5" t="s">
        <v>98</v>
      </c>
      <c r="C3" s="5" t="s">
        <v>99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</row>
    <row r="4" customFormat="false" ht="15" hidden="false" customHeight="false" outlineLevel="0" collapsed="false">
      <c r="A4" s="4" t="s">
        <v>136</v>
      </c>
      <c r="B4" s="23" t="n">
        <f aca="false">'Income Statement'!B4</f>
        <v>22830</v>
      </c>
      <c r="C4" s="23" t="n">
        <f aca="false">'Income Statement'!C4</f>
        <v>24428</v>
      </c>
      <c r="D4" s="23" t="n">
        <f aca="false">'Income Statement'!D4</f>
        <v>23473</v>
      </c>
      <c r="E4" s="23" t="n">
        <f aca="false">'Income Statement'!E4</f>
        <v>23950</v>
      </c>
      <c r="F4" s="23" t="n">
        <f aca="false">'Income Statement'!F4</f>
        <v>25100</v>
      </c>
      <c r="G4" s="23" t="n">
        <f aca="false">'Income Statement'!G4</f>
        <v>26900</v>
      </c>
      <c r="H4" s="23" t="n">
        <f aca="false">'Income Statement'!H4</f>
        <v>28400</v>
      </c>
      <c r="I4" s="23" t="n">
        <f aca="false">'Income Statement'!I4</f>
        <v>29600</v>
      </c>
    </row>
    <row r="5" customFormat="false" ht="15" hidden="false" customHeight="false" outlineLevel="0" collapsed="false">
      <c r="A5" s="4" t="s">
        <v>137</v>
      </c>
      <c r="B5" s="23" t="n">
        <f aca="false">'Income Statement'!B5</f>
        <v>7586</v>
      </c>
      <c r="C5" s="23" t="n">
        <f aca="false">'Income Statement'!C5</f>
        <v>8648</v>
      </c>
      <c r="D5" s="23" t="n">
        <f aca="false">'Income Statement'!D5</f>
        <v>8636</v>
      </c>
      <c r="E5" s="23" t="n">
        <f aca="false">'Income Statement'!E5</f>
        <v>8861.5</v>
      </c>
      <c r="F5" s="23" t="n">
        <f aca="false">'Income Statement'!F5</f>
        <v>9412.5</v>
      </c>
      <c r="G5" s="23" t="n">
        <f aca="false">'Income Statement'!G5</f>
        <v>10168.2</v>
      </c>
      <c r="H5" s="23" t="n">
        <f aca="false">'Income Statement'!H5</f>
        <v>10848.8</v>
      </c>
      <c r="I5" s="23" t="n">
        <f aca="false">'Income Statement'!I5</f>
        <v>11396</v>
      </c>
    </row>
    <row r="6" customFormat="false" ht="15" hidden="false" customHeight="false" outlineLevel="0" collapsed="false">
      <c r="A6" s="4" t="s">
        <v>119</v>
      </c>
      <c r="B6" s="23" t="n">
        <f aca="false">'Income Statement'!B8</f>
        <v>6286</v>
      </c>
      <c r="C6" s="23" t="n">
        <f aca="false">'Income Statement'!C8</f>
        <v>7048</v>
      </c>
      <c r="D6" s="23" t="n">
        <f aca="false">'Income Statement'!D8</f>
        <v>6736</v>
      </c>
      <c r="E6" s="23" t="n">
        <f aca="false">'Income Statement'!E8</f>
        <v>6861.5</v>
      </c>
      <c r="F6" s="23" t="n">
        <f aca="false">'Income Statement'!F8</f>
        <v>7162.5</v>
      </c>
      <c r="G6" s="23" t="n">
        <f aca="false">'Income Statement'!G8</f>
        <v>7618.2</v>
      </c>
      <c r="H6" s="23" t="n">
        <f aca="false">'Income Statement'!H8</f>
        <v>8098.8</v>
      </c>
      <c r="I6" s="23" t="n">
        <f aca="false">'Income Statement'!I8</f>
        <v>8496</v>
      </c>
    </row>
    <row r="7" customFormat="false" ht="15" hidden="false" customHeight="false" outlineLevel="0" collapsed="false">
      <c r="A7" s="4" t="s">
        <v>142</v>
      </c>
      <c r="B7" s="23" t="n">
        <f aca="false">'Income Statement'!B12</f>
        <v>4425.96</v>
      </c>
      <c r="C7" s="23" t="n">
        <f aca="false">'Income Statement'!C12</f>
        <v>5001.36</v>
      </c>
      <c r="D7" s="23" t="n">
        <f aca="false">'Income Statement'!D12</f>
        <v>5166</v>
      </c>
      <c r="E7" s="23" t="n">
        <f aca="false">'Income Statement'!E12</f>
        <v>5595.66</v>
      </c>
      <c r="F7" s="23" t="n">
        <f aca="false">'Income Statement'!F12</f>
        <v>5890.5</v>
      </c>
      <c r="G7" s="23" t="n">
        <f aca="false">'Income Statement'!G12</f>
        <v>6273.288</v>
      </c>
      <c r="H7" s="23" t="n">
        <f aca="false">'Income Statement'!H12</f>
        <v>6718.992</v>
      </c>
      <c r="I7" s="23" t="n">
        <f aca="false">'Income Statement'!I12</f>
        <v>7052.64</v>
      </c>
    </row>
    <row r="8" customFormat="false" ht="15" hidden="false" customHeight="false" outlineLevel="0" collapsed="false">
      <c r="A8" s="4" t="s">
        <v>143</v>
      </c>
      <c r="B8" s="10" t="n">
        <f aca="false">'Income Statement'!B13</f>
        <v>0.211810504300235</v>
      </c>
      <c r="C8" s="10" t="n">
        <f aca="false">'Income Statement'!C13</f>
        <v>0.2393470758405</v>
      </c>
      <c r="D8" s="10" t="n">
        <f aca="false">'Income Statement'!D13</f>
        <v>0.247226153244722</v>
      </c>
      <c r="E8" s="10" t="n">
        <f aca="false">'Income Statement'!E13</f>
        <v>0.267788133307271</v>
      </c>
      <c r="F8" s="10" t="n">
        <f aca="false">'Income Statement'!F13</f>
        <v>0.281898113760751</v>
      </c>
      <c r="G8" s="10" t="n">
        <f aca="false">'Income Statement'!G13</f>
        <v>0.300216968725567</v>
      </c>
      <c r="H8" s="10" t="n">
        <f aca="false">'Income Statement'!H13</f>
        <v>0.321546756841282</v>
      </c>
      <c r="I8" s="10" t="n">
        <f aca="false">'Income Statement'!I13</f>
        <v>0.337513948397185</v>
      </c>
    </row>
    <row r="9" customFormat="false" ht="15" hidden="false" customHeight="false" outlineLevel="0" collapsed="false">
      <c r="A9" s="4" t="s">
        <v>144</v>
      </c>
      <c r="B9" s="10" t="n">
        <f aca="false">'Income Statement'!B15</f>
        <v>0.155533294240292</v>
      </c>
      <c r="C9" s="10" t="n">
        <f aca="false">'Income Statement'!C15</f>
        <v>0.163286030753193</v>
      </c>
      <c r="D9" s="10" t="n">
        <f aca="false">'Income Statement'!D15</f>
        <v>0.171517331248371</v>
      </c>
      <c r="E9" s="10" t="n">
        <f aca="false">'Income Statement'!E15</f>
        <v>0.18009319781079</v>
      </c>
      <c r="F9" s="10" t="n">
        <f aca="false">'Income Statement'!F15</f>
        <v>0.189097857701329</v>
      </c>
      <c r="G9" s="10" t="n">
        <f aca="false">'Income Statement'!G15</f>
        <v>0.198552750586396</v>
      </c>
      <c r="H9" s="10" t="n">
        <f aca="false">'Income Statement'!H15</f>
        <v>0.208480388115715</v>
      </c>
      <c r="I9" s="10" t="n">
        <f aca="false">'Income Statement'!I15</f>
        <v>0.218904407521501</v>
      </c>
    </row>
    <row r="10" customFormat="false" ht="15" hidden="false" customHeight="false" outlineLevel="0" collapsed="false">
      <c r="A10" s="4" t="s">
        <v>165</v>
      </c>
      <c r="B10" s="28" t="s">
        <v>173</v>
      </c>
      <c r="C10" s="28" t="s">
        <v>173</v>
      </c>
      <c r="D10" s="28" t="s">
        <v>173</v>
      </c>
      <c r="E10" s="23" t="n">
        <f aca="false">'Cash Flow'!E9</f>
        <v>4145.66</v>
      </c>
      <c r="F10" s="23" t="n">
        <f aca="false">'Cash Flow'!F9</f>
        <v>4990.5</v>
      </c>
      <c r="G10" s="23" t="n">
        <f aca="false">'Cash Flow'!G9</f>
        <v>5223.288</v>
      </c>
      <c r="H10" s="23" t="n">
        <f aca="false">'Cash Flow'!H9</f>
        <v>7618.992</v>
      </c>
      <c r="I10" s="23" t="n">
        <f aca="false">'Cash Flow'!I9</f>
        <v>7802.64</v>
      </c>
    </row>
    <row r="11" customFormat="false" ht="15" hidden="false" customHeight="false" outlineLevel="0" collapsed="false">
      <c r="A11" s="4" t="s">
        <v>161</v>
      </c>
      <c r="B11" s="23" t="n">
        <f aca="false">'Balance Sheet'!B18</f>
        <v>3180</v>
      </c>
      <c r="C11" s="23" t="n">
        <f aca="false">'Balance Sheet'!C18</f>
        <v>3900</v>
      </c>
      <c r="D11" s="23" t="n">
        <f aca="false">'Balance Sheet'!D18</f>
        <v>4780</v>
      </c>
      <c r="E11" s="23" t="n">
        <f aca="false">'Balance Sheet'!E18</f>
        <v>5162.46</v>
      </c>
      <c r="F11" s="23" t="n">
        <f aca="false">'Balance Sheet'!F18</f>
        <v>6201.6</v>
      </c>
      <c r="G11" s="23" t="n">
        <f aca="false">'Balance Sheet'!G18</f>
        <v>7275.96</v>
      </c>
      <c r="H11" s="23" t="n">
        <f aca="false">'Balance Sheet'!H18</f>
        <v>10538.5776</v>
      </c>
      <c r="I11" s="23" t="n">
        <f aca="false">'Balance Sheet'!I18</f>
        <v>13767.02448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1"/>
  </cols>
  <sheetData>
    <row r="1" customFormat="false" ht="16.15" hidden="false" customHeight="false" outlineLevel="0" collapsed="false">
      <c r="A1" s="2" t="s">
        <v>174</v>
      </c>
    </row>
    <row r="2" customFormat="false" ht="15" hidden="false" customHeight="false" outlineLevel="0" collapsed="false">
      <c r="A2" s="3" t="s">
        <v>175</v>
      </c>
    </row>
    <row r="3" customFormat="false" ht="15" hidden="false" customHeight="false" outlineLevel="0" collapsed="false">
      <c r="A3" s="5" t="s">
        <v>176</v>
      </c>
      <c r="B3" s="5" t="s">
        <v>177</v>
      </c>
      <c r="C3" s="5" t="s">
        <v>178</v>
      </c>
      <c r="D3" s="5" t="s">
        <v>179</v>
      </c>
      <c r="E3" s="5" t="s">
        <v>180</v>
      </c>
      <c r="F3" s="5" t="s">
        <v>181</v>
      </c>
    </row>
    <row r="4" customFormat="false" ht="15" hidden="false" customHeight="false" outlineLevel="0" collapsed="false">
      <c r="A4" s="4" t="s">
        <v>182</v>
      </c>
      <c r="B4" s="7" t="n">
        <v>3.052</v>
      </c>
      <c r="C4" s="7" t="n">
        <v>3.32</v>
      </c>
      <c r="D4" s="7" t="n">
        <v>3.454</v>
      </c>
      <c r="E4" s="7" t="n">
        <v>3.594</v>
      </c>
      <c r="F4" s="7" t="n">
        <v>3.858</v>
      </c>
    </row>
    <row r="5" customFormat="false" ht="15" hidden="false" customHeight="false" outlineLevel="0" collapsed="false">
      <c r="A5" s="4" t="s">
        <v>183</v>
      </c>
      <c r="B5" s="7" t="n">
        <v>2.831</v>
      </c>
      <c r="C5" s="7" t="n">
        <v>3.222</v>
      </c>
      <c r="D5" s="7" t="n">
        <v>3.478</v>
      </c>
      <c r="E5" s="7" t="n">
        <v>3.747</v>
      </c>
      <c r="F5" s="7" t="n">
        <v>4.212</v>
      </c>
    </row>
    <row r="7" customFormat="false" ht="15" hidden="false" customHeight="false" outlineLevel="0" collapsed="false">
      <c r="A7" s="4" t="s">
        <v>30</v>
      </c>
      <c r="B7" s="7" t="n">
        <f aca="false">Assumptions!B4</f>
        <v>3.44</v>
      </c>
    </row>
    <row r="8" customFormat="false" ht="15" hidden="false" customHeight="false" outlineLevel="0" collapsed="false">
      <c r="A8" s="4" t="s">
        <v>184</v>
      </c>
      <c r="B8" s="8" t="n">
        <f aca="false">Assumptions!B47</f>
        <v>0.1733</v>
      </c>
    </row>
    <row r="9" customFormat="false" ht="15" hidden="false" customHeight="false" outlineLevel="0" collapsed="false">
      <c r="A9" s="4" t="s">
        <v>80</v>
      </c>
      <c r="B9" s="8" t="n">
        <f aca="false">Assumptions!B48</f>
        <v>0.0165</v>
      </c>
    </row>
    <row r="11" customFormat="false" ht="15" hidden="false" customHeight="false" outlineLevel="0" collapsed="false">
      <c r="A11" s="13" t="s">
        <v>185</v>
      </c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4" t="s">
        <v>186</v>
      </c>
      <c r="B12" s="11" t="n">
        <v>0.16</v>
      </c>
    </row>
    <row r="13" customFormat="false" ht="15" hidden="false" customHeight="false" outlineLevel="0" collapsed="false">
      <c r="A13" s="4" t="s">
        <v>187</v>
      </c>
      <c r="B13" s="11" t="n">
        <v>0.128</v>
      </c>
    </row>
    <row r="14" customFormat="false" ht="15" hidden="false" customHeight="false" outlineLevel="0" collapsed="false">
      <c r="A14" s="4" t="s">
        <v>188</v>
      </c>
      <c r="B14" s="11" t="n">
        <v>0.348</v>
      </c>
    </row>
    <row r="15" customFormat="false" ht="15" hidden="false" customHeight="false" outlineLevel="0" collapsed="false">
      <c r="A15" s="4" t="s">
        <v>189</v>
      </c>
      <c r="B15" s="11" t="n">
        <v>0.141</v>
      </c>
    </row>
    <row r="16" customFormat="false" ht="15" hidden="false" customHeight="false" outlineLevel="0" collapsed="false">
      <c r="A16" s="4" t="s">
        <v>190</v>
      </c>
      <c r="B16" s="11" t="n">
        <v>0.222</v>
      </c>
    </row>
    <row r="18" customFormat="false" ht="15" hidden="false" customHeight="false" outlineLevel="0" collapsed="false">
      <c r="A18" s="13" t="s">
        <v>191</v>
      </c>
      <c r="B18" s="14"/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9" t="s">
        <v>192</v>
      </c>
      <c r="B19" s="21" t="s">
        <v>193</v>
      </c>
      <c r="C19" s="21" t="s">
        <v>194</v>
      </c>
    </row>
    <row r="20" customFormat="false" ht="15" hidden="false" customHeight="false" outlineLevel="0" collapsed="false">
      <c r="A20" s="29" t="n">
        <v>3.9</v>
      </c>
      <c r="B20" s="11" t="n">
        <v>0.055</v>
      </c>
      <c r="C20" s="11" t="n">
        <v>0.247</v>
      </c>
    </row>
    <row r="21" customFormat="false" ht="15" hidden="false" customHeight="false" outlineLevel="0" collapsed="false">
      <c r="A21" s="29" t="n">
        <v>3.75</v>
      </c>
      <c r="B21" s="11" t="n">
        <v>0.144</v>
      </c>
      <c r="C21" s="11" t="n">
        <v>0.404</v>
      </c>
    </row>
    <row r="22" customFormat="false" ht="15" hidden="false" customHeight="false" outlineLevel="0" collapsed="false">
      <c r="A22" s="29" t="n">
        <v>3.65</v>
      </c>
      <c r="B22" s="11" t="n">
        <v>0.271</v>
      </c>
      <c r="C22" s="11" t="n">
        <v>0.546</v>
      </c>
    </row>
    <row r="23" customFormat="false" ht="15" hidden="false" customHeight="false" outlineLevel="0" collapsed="false">
      <c r="A23" s="29" t="n">
        <v>3.55</v>
      </c>
      <c r="B23" s="11" t="n">
        <v>0.488</v>
      </c>
      <c r="C23" s="11" t="n">
        <v>0.715</v>
      </c>
    </row>
    <row r="24" customFormat="false" ht="15" hidden="false" customHeight="false" outlineLevel="0" collapsed="false">
      <c r="A24" s="29" t="n">
        <v>3.35</v>
      </c>
      <c r="B24" s="11" t="n">
        <v>0.485</v>
      </c>
      <c r="C24" s="11" t="n">
        <v>0.682</v>
      </c>
    </row>
    <row r="25" customFormat="false" ht="15" hidden="false" customHeight="false" outlineLevel="0" collapsed="false">
      <c r="A25" s="29" t="n">
        <v>3.25</v>
      </c>
      <c r="B25" s="11" t="n">
        <v>0.246</v>
      </c>
      <c r="C25" s="11" t="n">
        <v>0.486</v>
      </c>
    </row>
    <row r="26" customFormat="false" ht="15" hidden="false" customHeight="false" outlineLevel="0" collapsed="false">
      <c r="A26" s="29" t="n">
        <v>3.15</v>
      </c>
      <c r="B26" s="11" t="n">
        <v>0.131</v>
      </c>
      <c r="C26" s="11" t="n">
        <v>0.342</v>
      </c>
    </row>
    <row r="27" customFormat="false" ht="15" hidden="false" customHeight="false" outlineLevel="0" collapsed="false">
      <c r="A27" s="29" t="n">
        <v>3.05</v>
      </c>
      <c r="B27" s="11" t="n">
        <v>0.071</v>
      </c>
      <c r="C27" s="11" t="n">
        <v>0.233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12"/>
  </cols>
  <sheetData>
    <row r="1" customFormat="false" ht="16.15" hidden="false" customHeight="false" outlineLevel="0" collapsed="false">
      <c r="A1" s="2" t="s">
        <v>195</v>
      </c>
    </row>
    <row r="2" customFormat="false" ht="15" hidden="false" customHeight="false" outlineLevel="0" collapsed="false">
      <c r="A2" s="3" t="s">
        <v>196</v>
      </c>
    </row>
    <row r="4" customFormat="false" ht="15" hidden="false" customHeight="false" outlineLevel="0" collapsed="false">
      <c r="A4" s="9" t="s">
        <v>197</v>
      </c>
      <c r="B4" s="30" t="n">
        <v>0.015</v>
      </c>
      <c r="C4" s="30" t="n">
        <v>0.02</v>
      </c>
      <c r="D4" s="30" t="n">
        <v>0.025</v>
      </c>
      <c r="E4" s="30" t="n">
        <v>0.03</v>
      </c>
      <c r="F4" s="30" t="n">
        <v>0.035</v>
      </c>
    </row>
    <row r="5" customFormat="false" ht="15" hidden="false" customHeight="false" outlineLevel="0" collapsed="false">
      <c r="A5" s="31" t="n">
        <v>0.09</v>
      </c>
      <c r="B5" s="7" t="n">
        <f aca="false">((DCF!$B$9/(1+$A5)^1+DCF!$C$9/(1+$A5)^2+DCF!$D$9/(1+$A5)^3+DCF!$E$9/(1+$A5)^4+DCF!$F$9/(1+$A5)^5)+(DCF!$F$9*(1+B$4)/($A5-B$4))/(1+$A5)^5+Assumptions!$B$7)/Assumptions!$B$5*Assumptions!$B$6</f>
        <v>4.6481082982929</v>
      </c>
      <c r="C5" s="7" t="n">
        <f aca="false">((DCF!$B$9/(1+$A5)^1+DCF!$C$9/(1+$A5)^2+DCF!$D$9/(1+$A5)^3+DCF!$E$9/(1+$A5)^4+DCF!$F$9/(1+$A5)^5)+(DCF!$F$9*(1+C$4)/($A5-C$4))/(1+$A5)^5+Assumptions!$B$7)/Assumptions!$B$5*Assumptions!$B$6</f>
        <v>4.90275422632101</v>
      </c>
      <c r="D5" s="7" t="n">
        <f aca="false">((DCF!$B$9/(1+$A5)^1+DCF!$C$9/(1+$A5)^2+DCF!$D$9/(1+$A5)^3+DCF!$E$9/(1+$A5)^4+DCF!$F$9/(1+$A5)^5)+(DCF!$F$9*(1+D$4)/($A5-D$4))/(1+$A5)^5+Assumptions!$B$7)/Assumptions!$B$5*Assumptions!$B$6</f>
        <v>5.19657645096882</v>
      </c>
      <c r="E5" s="7" t="n">
        <f aca="false">((DCF!$B$9/(1+$A5)^1+DCF!$C$9/(1+$A5)^2+DCF!$D$9/(1+$A5)^3+DCF!$E$9/(1+$A5)^4+DCF!$F$9/(1+$A5)^5)+(DCF!$F$9*(1+E$4)/($A5-E$4))/(1+$A5)^5+Assumptions!$B$7)/Assumptions!$B$5*Assumptions!$B$6</f>
        <v>5.53936904639128</v>
      </c>
      <c r="F5" s="7" t="n">
        <f aca="false">((DCF!$B$9/(1+$A5)^1+DCF!$C$9/(1+$A5)^2+DCF!$D$9/(1+$A5)^3+DCF!$E$9/(1+$A5)^4+DCF!$F$9/(1+$A5)^5)+(DCF!$F$9*(1+F$4)/($A5-F$4))/(1+$A5)^5+Assumptions!$B$7)/Assumptions!$B$5*Assumptions!$B$6</f>
        <v>5.94448756825418</v>
      </c>
    </row>
    <row r="6" customFormat="false" ht="15" hidden="false" customHeight="false" outlineLevel="0" collapsed="false">
      <c r="A6" s="31" t="n">
        <v>0.095</v>
      </c>
      <c r="B6" s="7" t="n">
        <f aca="false">((DCF!$B$9/(1+$A6)^1+DCF!$C$9/(1+$A6)^2+DCF!$D$9/(1+$A6)^3+DCF!$E$9/(1+$A6)^4+DCF!$F$9/(1+$A6)^5)+(DCF!$F$9*(1+B$4)/($A6-B$4))/(1+$A6)^5+Assumptions!$B$7)/Assumptions!$B$5*Assumptions!$B$6</f>
        <v>4.35448919562556</v>
      </c>
      <c r="C6" s="7" t="n">
        <f aca="false">((DCF!$B$9/(1+$A6)^1+DCF!$C$9/(1+$A6)^2+DCF!$D$9/(1+$A6)^3+DCF!$E$9/(1+$A6)^4+DCF!$F$9/(1+$A6)^5)+(DCF!$F$9*(1+C$4)/($A6-C$4))/(1+$A6)^5+Assumptions!$B$7)/Assumptions!$B$5*Assumptions!$B$6</f>
        <v>4.57326248865818</v>
      </c>
      <c r="D6" s="7" t="n">
        <f aca="false">((DCF!$B$9/(1+$A6)^1+DCF!$C$9/(1+$A6)^2+DCF!$D$9/(1+$A6)^3+DCF!$E$9/(1+$A6)^4+DCF!$F$9/(1+$A6)^5)+(DCF!$F$9*(1+D$4)/($A6-D$4))/(1+$A6)^5+Assumptions!$B$7)/Assumptions!$B$5*Assumptions!$B$6</f>
        <v>4.82328910926688</v>
      </c>
      <c r="E6" s="7" t="n">
        <f aca="false">((DCF!$B$9/(1+$A6)^1+DCF!$C$9/(1+$A6)^2+DCF!$D$9/(1+$A6)^3+DCF!$E$9/(1+$A6)^4+DCF!$F$9/(1+$A6)^5)+(DCF!$F$9*(1+E$4)/($A6-E$4))/(1+$A6)^5+Assumptions!$B$7)/Assumptions!$B$5*Assumptions!$B$6</f>
        <v>5.11178136381538</v>
      </c>
      <c r="F6" s="7" t="n">
        <f aca="false">((DCF!$B$9/(1+$A6)^1+DCF!$C$9/(1+$A6)^2+DCF!$D$9/(1+$A6)^3+DCF!$E$9/(1+$A6)^4+DCF!$F$9/(1+$A6)^5)+(DCF!$F$9*(1+F$4)/($A6-F$4))/(1+$A6)^5+Assumptions!$B$7)/Assumptions!$B$5*Assumptions!$B$6</f>
        <v>5.44835566078864</v>
      </c>
    </row>
    <row r="7" customFormat="false" ht="15" hidden="false" customHeight="false" outlineLevel="0" collapsed="false">
      <c r="A7" s="31" t="n">
        <v>0.1</v>
      </c>
      <c r="B7" s="7" t="n">
        <f aca="false">((DCF!$B$9/(1+$A7)^1+DCF!$C$9/(1+$A7)^2+DCF!$D$9/(1+$A7)^3+DCF!$E$9/(1+$A7)^4+DCF!$F$9/(1+$A7)^5)+(DCF!$F$9*(1+B$4)/($A7-B$4))/(1+$A7)^5+Assumptions!$B$7)/Assumptions!$B$5*Assumptions!$B$6</f>
        <v>4.09569357254923</v>
      </c>
      <c r="C7" s="7" t="n">
        <f aca="false">((DCF!$B$9/(1+$A7)^1+DCF!$C$9/(1+$A7)^2+DCF!$D$9/(1+$A7)^3+DCF!$E$9/(1+$A7)^4+DCF!$F$9/(1+$A7)^5)+(DCF!$F$9*(1+C$4)/($A7-C$4))/(1+$A7)^5+Assumptions!$B$7)/Assumptions!$B$5*Assumptions!$B$6</f>
        <v>4.28524295669164</v>
      </c>
      <c r="D7" s="7" t="n">
        <f aca="false">((DCF!$B$9/(1+$A7)^1+DCF!$C$9/(1+$A7)^2+DCF!$D$9/(1+$A7)^3+DCF!$E$9/(1+$A7)^4+DCF!$F$9/(1+$A7)^5)+(DCF!$F$9*(1+D$4)/($A7-D$4))/(1+$A7)^5+Assumptions!$B$7)/Assumptions!$B$5*Assumptions!$B$6</f>
        <v>4.50006559205304</v>
      </c>
      <c r="E7" s="7" t="n">
        <f aca="false">((DCF!$B$9/(1+$A7)^1+DCF!$C$9/(1+$A7)^2+DCF!$D$9/(1+$A7)^3+DCF!$E$9/(1+$A7)^4+DCF!$F$9/(1+$A7)^5)+(DCF!$F$9*(1+E$4)/($A7-E$4))/(1+$A7)^5+Assumptions!$B$7)/Assumptions!$B$5*Assumptions!$B$6</f>
        <v>4.74557717532322</v>
      </c>
      <c r="F7" s="7" t="n">
        <f aca="false">((DCF!$B$9/(1+$A7)^1+DCF!$C$9/(1+$A7)^2+DCF!$D$9/(1+$A7)^3+DCF!$E$9/(1+$A7)^4+DCF!$F$9/(1+$A7)^5)+(DCF!$F$9*(1+F$4)/($A7-F$4))/(1+$A7)^5+Assumptions!$B$7)/Assumptions!$B$5*Assumptions!$B$6</f>
        <v>5.02885977140419</v>
      </c>
    </row>
    <row r="8" customFormat="false" ht="15" hidden="false" customHeight="false" outlineLevel="0" collapsed="false">
      <c r="A8" s="31" t="n">
        <v>0.105</v>
      </c>
      <c r="B8" s="7" t="n">
        <f aca="false">((DCF!$B$9/(1+$A8)^1+DCF!$C$9/(1+$A8)^2+DCF!$D$9/(1+$A8)^3+DCF!$E$9/(1+$A8)^4+DCF!$F$9/(1+$A8)^5)+(DCF!$F$9*(1+B$4)/($A8-B$4))/(1+$A8)^5+Assumptions!$B$7)/Assumptions!$B$5*Assumptions!$B$6</f>
        <v>3.86591168448824</v>
      </c>
      <c r="C8" s="7" t="n">
        <f aca="false">((DCF!$B$9/(1+$A8)^1+DCF!$C$9/(1+$A8)^2+DCF!$D$9/(1+$A8)^3+DCF!$E$9/(1+$A8)^4+DCF!$F$9/(1+$A8)^5)+(DCF!$F$9*(1+C$4)/($A8-C$4))/(1+$A8)^5+Assumptions!$B$7)/Assumptions!$B$5*Assumptions!$B$6</f>
        <v>4.0313710992285</v>
      </c>
      <c r="D8" s="7" t="n">
        <f aca="false">((DCF!$B$9/(1+$A8)^1+DCF!$C$9/(1+$A8)^2+DCF!$D$9/(1+$A8)^3+DCF!$E$9/(1+$A8)^4+DCF!$F$9/(1+$A8)^5)+(DCF!$F$9*(1+D$4)/($A8-D$4))/(1+$A8)^5+Assumptions!$B$7)/Assumptions!$B$5*Assumptions!$B$6</f>
        <v>4.2175129408113</v>
      </c>
      <c r="E8" s="7" t="n">
        <f aca="false">((DCF!$B$9/(1+$A8)^1+DCF!$C$9/(1+$A8)^2+DCF!$D$9/(1+$A8)^3+DCF!$E$9/(1+$A8)^4+DCF!$F$9/(1+$A8)^5)+(DCF!$F$9*(1+E$4)/($A8-E$4))/(1+$A8)^5+Assumptions!$B$7)/Assumptions!$B$5*Assumptions!$B$6</f>
        <v>4.42847369460514</v>
      </c>
      <c r="F8" s="7" t="n">
        <f aca="false">((DCF!$B$9/(1+$A8)^1+DCF!$C$9/(1+$A8)^2+DCF!$D$9/(1+$A8)^3+DCF!$E$9/(1+$A8)^4+DCF!$F$9/(1+$A8)^5)+(DCF!$F$9*(1+F$4)/($A8-F$4))/(1+$A8)^5+Assumptions!$B$7)/Assumptions!$B$5*Assumptions!$B$6</f>
        <v>4.66957169894096</v>
      </c>
    </row>
    <row r="9" customFormat="false" ht="15" hidden="false" customHeight="false" outlineLevel="0" collapsed="false">
      <c r="A9" s="31" t="n">
        <v>0.11</v>
      </c>
      <c r="B9" s="7" t="n">
        <f aca="false">((DCF!$B$9/(1+$A9)^1+DCF!$C$9/(1+$A9)^2+DCF!$D$9/(1+$A9)^3+DCF!$E$9/(1+$A9)^4+DCF!$F$9/(1+$A9)^5)+(DCF!$F$9*(1+B$4)/($A9-B$4))/(1+$A9)^5+Assumptions!$B$7)/Assumptions!$B$5*Assumptions!$B$6</f>
        <v>3.66055703844249</v>
      </c>
      <c r="C9" s="7" t="n">
        <f aca="false">((DCF!$B$9/(1+$A9)^1+DCF!$C$9/(1+$A9)^2+DCF!$D$9/(1+$A9)^3+DCF!$E$9/(1+$A9)^4+DCF!$F$9/(1+$A9)^5)+(DCF!$F$9*(1+C$4)/($A9-C$4))/(1+$A9)^5+Assumptions!$B$7)/Assumptions!$B$5*Assumptions!$B$6</f>
        <v>3.80595020697824</v>
      </c>
      <c r="D9" s="7" t="n">
        <f aca="false">((DCF!$B$9/(1+$A9)^1+DCF!$C$9/(1+$A9)^2+DCF!$D$9/(1+$A9)^3+DCF!$E$9/(1+$A9)^4+DCF!$F$9/(1+$A9)^5)+(DCF!$F$9*(1+D$4)/($A9-D$4))/(1+$A9)^5+Assumptions!$B$7)/Assumptions!$B$5*Assumptions!$B$6</f>
        <v>3.96844845416525</v>
      </c>
      <c r="E9" s="7" t="n">
        <f aca="false">((DCF!$B$9/(1+$A9)^1+DCF!$C$9/(1+$A9)^2+DCF!$D$9/(1+$A9)^3+DCF!$E$9/(1+$A9)^4+DCF!$F$9/(1+$A9)^5)+(DCF!$F$9*(1+E$4)/($A9-E$4))/(1+$A9)^5+Assumptions!$B$7)/Assumptions!$B$5*Assumptions!$B$6</f>
        <v>4.15125898225065</v>
      </c>
      <c r="F9" s="7" t="n">
        <f aca="false">((DCF!$B$9/(1+$A9)^1+DCF!$C$9/(1+$A9)^2+DCF!$D$9/(1+$A9)^3+DCF!$E$9/(1+$A9)^4+DCF!$F$9/(1+$A9)^5)+(DCF!$F$9*(1+F$4)/($A9-F$4))/(1+$A9)^5+Assumptions!$B$7)/Assumptions!$B$5*Assumptions!$B$6</f>
        <v>4.35844424741409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  <col collapsed="false" customWidth="true" hidden="false" outlineLevel="0" max="9" min="5" style="1" width="11"/>
  </cols>
  <sheetData>
    <row r="1" customFormat="false" ht="16.15" hidden="false" customHeight="false" outlineLevel="0" collapsed="false">
      <c r="A1" s="2" t="s">
        <v>198</v>
      </c>
    </row>
    <row r="2" customFormat="false" ht="15" hidden="false" customHeight="false" outlineLevel="0" collapsed="false">
      <c r="A2" s="3" t="s">
        <v>199</v>
      </c>
    </row>
    <row r="3" customFormat="false" ht="15" hidden="false" customHeight="false" outlineLevel="0" collapsed="false">
      <c r="A3" s="5" t="s">
        <v>97</v>
      </c>
      <c r="B3" s="5" t="s">
        <v>98</v>
      </c>
      <c r="C3" s="5" t="s">
        <v>99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</row>
    <row r="4" customFormat="false" ht="15" hidden="false" customHeight="false" outlineLevel="0" collapsed="false">
      <c r="A4" s="4" t="s">
        <v>143</v>
      </c>
      <c r="B4" s="10" t="n">
        <f aca="false">'Income Statement'!B13</f>
        <v>0.211810504300235</v>
      </c>
      <c r="C4" s="10" t="n">
        <f aca="false">'Income Statement'!C13</f>
        <v>0.2393470758405</v>
      </c>
      <c r="D4" s="10" t="n">
        <f aca="false">'Income Statement'!D13</f>
        <v>0.247226153244722</v>
      </c>
      <c r="E4" s="10" t="n">
        <f aca="false">'Income Statement'!E13</f>
        <v>0.267788133307271</v>
      </c>
      <c r="F4" s="10" t="n">
        <f aca="false">'Income Statement'!F13</f>
        <v>0.281898113760751</v>
      </c>
      <c r="G4" s="10" t="n">
        <f aca="false">'Income Statement'!G13</f>
        <v>0.300216968725567</v>
      </c>
      <c r="H4" s="10" t="n">
        <f aca="false">'Income Statement'!H13</f>
        <v>0.321546756841282</v>
      </c>
      <c r="I4" s="10" t="n">
        <f aca="false">'Income Statement'!I13</f>
        <v>0.337513948397185</v>
      </c>
    </row>
    <row r="5" customFormat="false" ht="15" hidden="false" customHeight="false" outlineLevel="0" collapsed="false">
      <c r="A5" s="4" t="s">
        <v>144</v>
      </c>
      <c r="B5" s="10" t="n">
        <f aca="false">'Income Statement'!B15</f>
        <v>0.155533294240292</v>
      </c>
      <c r="C5" s="10" t="n">
        <f aca="false">'Income Statement'!C15</f>
        <v>0.163286030753193</v>
      </c>
      <c r="D5" s="10" t="n">
        <f aca="false">'Income Statement'!D15</f>
        <v>0.171517331248371</v>
      </c>
      <c r="E5" s="10" t="n">
        <f aca="false">'Income Statement'!E15</f>
        <v>0.18009319781079</v>
      </c>
      <c r="F5" s="10" t="n">
        <f aca="false">'Income Statement'!F15</f>
        <v>0.189097857701329</v>
      </c>
      <c r="G5" s="10" t="n">
        <f aca="false">'Income Statement'!G15</f>
        <v>0.198552750586396</v>
      </c>
      <c r="H5" s="10" t="n">
        <f aca="false">'Income Statement'!H15</f>
        <v>0.208480388115715</v>
      </c>
      <c r="I5" s="10" t="n">
        <f aca="false">'Income Statement'!I15</f>
        <v>0.218904407521501</v>
      </c>
    </row>
    <row r="6" customFormat="false" ht="15" hidden="false" customHeight="false" outlineLevel="0" collapsed="false">
      <c r="A6" s="4" t="s">
        <v>200</v>
      </c>
      <c r="B6" s="7" t="n">
        <f aca="false">'Balance Sheet'!B16/Assumptions!$B$5*Assumptions!$B$6</f>
        <v>0.951385196768309</v>
      </c>
      <c r="C6" s="7" t="n">
        <f aca="false">'Balance Sheet'!C16/Assumptions!$B$5*Assumptions!$B$6</f>
        <v>1.02747686995048</v>
      </c>
      <c r="D6" s="7" t="n">
        <f aca="false">'Balance Sheet'!D16/Assumptions!$B$5*Assumptions!$B$6</f>
        <v>1.10308997915038</v>
      </c>
      <c r="E6" s="7" t="n">
        <f aca="false">'Balance Sheet'!E16/Assumptions!$B$5*Assumptions!$B$6</f>
        <v>1.19078491464686</v>
      </c>
      <c r="F6" s="7" t="n">
        <f aca="false">'Balance Sheet'!F16/Assumptions!$B$5*Assumptions!$B$6</f>
        <v>1.28358517070628</v>
      </c>
      <c r="G6" s="7" t="n">
        <f aca="false">'Balance Sheet'!G16/Assumptions!$B$5*Assumptions!$B$6</f>
        <v>1.38524938884545</v>
      </c>
      <c r="H6" s="7" t="n">
        <f aca="false">'Balance Sheet'!H16/Assumptions!$B$5*Assumptions!$B$6</f>
        <v>1.49831575757102</v>
      </c>
      <c r="I6" s="7" t="n">
        <f aca="false">'Balance Sheet'!I16/Assumptions!$B$5*Assumptions!$B$6</f>
        <v>1.6169252984467</v>
      </c>
    </row>
    <row r="7" customFormat="false" ht="15" hidden="false" customHeight="false" outlineLevel="0" collapsed="false">
      <c r="A7" s="4" t="s">
        <v>73</v>
      </c>
      <c r="B7" s="8" t="n">
        <f aca="false">'Income Statement'!B6</f>
        <v>0.332282084975909</v>
      </c>
      <c r="C7" s="8" t="n">
        <f aca="false">'Income Statement'!C6</f>
        <v>0.354019977075487</v>
      </c>
      <c r="D7" s="8" t="n">
        <f aca="false">'Income Statement'!D6</f>
        <v>0.367912069185873</v>
      </c>
      <c r="E7" s="8" t="n">
        <f aca="false">'Income Statement'!E6</f>
        <v>0.37</v>
      </c>
      <c r="F7" s="8" t="n">
        <f aca="false">'Income Statement'!F6</f>
        <v>0.375</v>
      </c>
      <c r="G7" s="8" t="n">
        <f aca="false">'Income Statement'!G6</f>
        <v>0.378</v>
      </c>
      <c r="H7" s="8" t="n">
        <f aca="false">'Income Statement'!H6</f>
        <v>0.382</v>
      </c>
      <c r="I7" s="8" t="n">
        <f aca="false">'Income Statement'!I6</f>
        <v>0.385</v>
      </c>
    </row>
    <row r="8" customFormat="false" ht="15" hidden="false" customHeight="false" outlineLevel="0" collapsed="false">
      <c r="A8" s="4" t="s">
        <v>201</v>
      </c>
      <c r="B8" s="11" t="n">
        <f aca="false">'Income Statement'!B12/'Income Statement'!B4</f>
        <v>0.193865965834428</v>
      </c>
      <c r="C8" s="11" t="n">
        <f aca="false">'Income Statement'!C12/'Income Statement'!C4</f>
        <v>0.204738824299984</v>
      </c>
      <c r="D8" s="11" t="n">
        <f aca="false">'Income Statement'!D12/'Income Statement'!D4</f>
        <v>0.220082648148937</v>
      </c>
      <c r="E8" s="11" t="n">
        <f aca="false">'Income Statement'!E12/'Income Statement'!E4</f>
        <v>0.233639248434238</v>
      </c>
      <c r="F8" s="11" t="n">
        <f aca="false">'Income Statement'!F12/'Income Statement'!F4</f>
        <v>0.234681274900398</v>
      </c>
      <c r="G8" s="11" t="n">
        <f aca="false">'Income Statement'!G12/'Income Statement'!G4</f>
        <v>0.233207732342007</v>
      </c>
      <c r="H8" s="11" t="n">
        <f aca="false">'Income Statement'!H12/'Income Statement'!H4</f>
        <v>0.236584225352113</v>
      </c>
      <c r="I8" s="11" t="n">
        <f aca="false">'Income Statement'!I12/'Income Statement'!I4</f>
        <v>0.238264864864865</v>
      </c>
    </row>
    <row r="9" customFormat="false" ht="15" hidden="false" customHeight="false" outlineLevel="0" collapsed="false">
      <c r="A9" s="4" t="s">
        <v>145</v>
      </c>
      <c r="B9" s="8" t="n">
        <f aca="false">'Income Statement'!B16</f>
        <v>0.734303970212112</v>
      </c>
      <c r="C9" s="8" t="n">
        <f aca="false">'Income Statement'!C16</f>
        <v>0.682214437672953</v>
      </c>
      <c r="D9" s="8" t="n">
        <f aca="false">'Income Statement'!D16</f>
        <v>0.693766937669377</v>
      </c>
      <c r="E9" s="8" t="n">
        <f aca="false">'Income Statement'!E16</f>
        <v>0.672521203933048</v>
      </c>
      <c r="F9" s="8" t="n">
        <f aca="false">'Income Statement'!F16</f>
        <v>0.670802139037433</v>
      </c>
      <c r="G9" s="8" t="n">
        <f aca="false">'Income Statement'!G16</f>
        <v>0.661364184140757</v>
      </c>
      <c r="H9" s="8" t="n">
        <f aca="false">'Income Statement'!H16</f>
        <v>0.648367255088263</v>
      </c>
      <c r="I9" s="8" t="n">
        <f aca="false">'Income Statement'!I16</f>
        <v>0.648578847070034</v>
      </c>
    </row>
    <row r="10" customFormat="false" ht="15" hidden="false" customHeight="false" outlineLevel="0" collapsed="false">
      <c r="A10" s="4" t="s">
        <v>202</v>
      </c>
      <c r="B10" s="11" t="n">
        <f aca="false">'Income Statement'!B12/'Balance Sheet'!B16</f>
        <v>0.222633802816901</v>
      </c>
      <c r="C10" s="11" t="n">
        <f aca="false">'Income Statement'!C12/'Balance Sheet'!C16</f>
        <v>0.232946436888682</v>
      </c>
      <c r="D10" s="11" t="n">
        <f aca="false">'Income Statement'!D12/'Balance Sheet'!D16</f>
        <v>0.22412147505423</v>
      </c>
      <c r="E10" s="11" t="n">
        <f aca="false">'Income Statement'!E12/'Balance Sheet'!E16</f>
        <v>0.224883713266293</v>
      </c>
      <c r="F10" s="11" t="n">
        <f aca="false">'Income Statement'!F12/'Balance Sheet'!F16</f>
        <v>0.219617770751931</v>
      </c>
      <c r="G10" s="11" t="n">
        <f aca="false">'Income Statement'!G12/'Balance Sheet'!G16</f>
        <v>0.216724130068583</v>
      </c>
      <c r="H10" s="11" t="n">
        <f aca="false">'Income Statement'!H12/'Balance Sheet'!H16</f>
        <v>0.214605469652508</v>
      </c>
      <c r="I10" s="11" t="n">
        <f aca="false">'Income Statement'!I12/'Balance Sheet'!I16</f>
        <v>0.20873812087758</v>
      </c>
    </row>
    <row r="11" customFormat="false" ht="15" hidden="false" customHeight="false" outlineLevel="0" collapsed="false">
      <c r="A11" s="4" t="s">
        <v>203</v>
      </c>
      <c r="B11" s="32" t="n">
        <f aca="false">-'Balance Sheet'!B18/'Income Statement'!B5</f>
        <v>-0.41919325072502</v>
      </c>
      <c r="C11" s="32" t="n">
        <f aca="false">-'Balance Sheet'!C18/'Income Statement'!C5</f>
        <v>-0.450971322849214</v>
      </c>
      <c r="D11" s="32" t="n">
        <f aca="false">-'Balance Sheet'!D18/'Income Statement'!D5</f>
        <v>-0.55349698934692</v>
      </c>
      <c r="E11" s="32" t="n">
        <f aca="false">-'Balance Sheet'!E18/'Income Statement'!E5</f>
        <v>-0.582571799356768</v>
      </c>
      <c r="F11" s="32" t="n">
        <f aca="false">-'Balance Sheet'!F18/'Income Statement'!F5</f>
        <v>-0.658868525896414</v>
      </c>
      <c r="G11" s="32" t="n">
        <f aca="false">-'Balance Sheet'!G18/'Income Statement'!G5</f>
        <v>-0.715560276155072</v>
      </c>
      <c r="H11" s="32" t="n">
        <f aca="false">-'Balance Sheet'!H18/'Income Statement'!H5</f>
        <v>-0.971404911142246</v>
      </c>
      <c r="I11" s="32" t="n">
        <f aca="false">-'Balance Sheet'!I18/'Income Statement'!I5</f>
        <v>-1.20805760617761</v>
      </c>
    </row>
    <row r="12" customFormat="false" ht="15" hidden="false" customHeight="false" outlineLevel="0" collapsed="false">
      <c r="A12" s="4" t="s">
        <v>204</v>
      </c>
      <c r="B12" s="11" t="n">
        <f aca="false">Assumptions!$B$16</f>
        <v>0.16</v>
      </c>
      <c r="C12" s="11" t="n">
        <f aca="false">Assumptions!$B$16</f>
        <v>0.16</v>
      </c>
      <c r="D12" s="11" t="n">
        <f aca="false">Assumptions!$B$16</f>
        <v>0.16</v>
      </c>
      <c r="E12" s="11" t="n">
        <f aca="false">Assumptions!$B$16</f>
        <v>0.16</v>
      </c>
      <c r="F12" s="11" t="n">
        <f aca="false">Assumptions!$B$16</f>
        <v>0.16</v>
      </c>
      <c r="G12" s="11" t="n">
        <f aca="false">Assumptions!$B$16</f>
        <v>0.16</v>
      </c>
      <c r="H12" s="11" t="n">
        <f aca="false">Assumptions!$B$16</f>
        <v>0.16</v>
      </c>
      <c r="I12" s="11" t="n">
        <f aca="false">Assumptions!$B$16</f>
        <v>0.16</v>
      </c>
    </row>
    <row r="14" customFormat="false" ht="15" hidden="false" customHeight="false" outlineLevel="0" collapsed="false">
      <c r="A14" s="13" t="s">
        <v>205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4" t="s">
        <v>206</v>
      </c>
      <c r="B15" s="32" t="n">
        <f aca="false">Assumptions!B4/'Income Statement'!D13</f>
        <v>13.9143854921968</v>
      </c>
    </row>
    <row r="16" customFormat="false" ht="15" hidden="false" customHeight="false" outlineLevel="0" collapsed="false">
      <c r="A16" s="4" t="s">
        <v>207</v>
      </c>
      <c r="B16" s="32" t="n">
        <f aca="false">Assumptions!B4/'Income Statement'!E13</f>
        <v>12.8459762481439</v>
      </c>
    </row>
    <row r="17" customFormat="false" ht="15" hidden="false" customHeight="false" outlineLevel="0" collapsed="false">
      <c r="A17" s="4" t="s">
        <v>208</v>
      </c>
      <c r="B17" s="32" t="n">
        <f aca="false">Assumptions!B4/('Balance Sheet'!D16/Assumptions!B5*Assumptions!B6)</f>
        <v>3.11851260098433</v>
      </c>
    </row>
    <row r="18" customFormat="false" ht="15" hidden="false" customHeight="false" outlineLevel="0" collapsed="false">
      <c r="A18" s="4" t="s">
        <v>209</v>
      </c>
      <c r="B18" s="32" t="n">
        <f aca="false">(Assumptions!B4*Assumptions!B5/Assumptions!B6-Assumptions!B7)/'Income Statement'!D5</f>
        <v>7.76999947344707</v>
      </c>
    </row>
    <row r="19" customFormat="false" ht="15" hidden="false" customHeight="false" outlineLevel="0" collapsed="false">
      <c r="A19" s="4" t="s">
        <v>210</v>
      </c>
      <c r="B19" s="11" t="n">
        <f aca="false">'Income Statement'!D15/Assumptions!B4</f>
        <v>0.049859689316387</v>
      </c>
    </row>
    <row r="20" customFormat="false" ht="15" hidden="false" customHeight="false" outlineLevel="0" collapsed="false">
      <c r="A20" s="4" t="s">
        <v>211</v>
      </c>
      <c r="B20" s="11" t="n">
        <f aca="false">'Income Statement'!E15/Assumptions!B4</f>
        <v>0.0523526737822063</v>
      </c>
    </row>
    <row r="21" customFormat="false" ht="15" hidden="false" customHeight="false" outlineLevel="0" collapsed="false">
      <c r="A21" s="4" t="s">
        <v>212</v>
      </c>
      <c r="B21" s="11" t="n">
        <f aca="false">'Cash Flow'!E9/(Assumptions!B4*Assumptions!B5/Assumptions!B6)</f>
        <v>0.0576733592665661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26"/>
  </cols>
  <sheetData>
    <row r="1" customFormat="false" ht="16.15" hidden="false" customHeight="false" outlineLevel="0" collapsed="false">
      <c r="A1" s="2" t="s">
        <v>213</v>
      </c>
    </row>
    <row r="2" customFormat="false" ht="15" hidden="false" customHeight="false" outlineLevel="0" collapsed="false">
      <c r="A2" s="3" t="s">
        <v>214</v>
      </c>
    </row>
    <row r="3" customFormat="false" ht="15" hidden="false" customHeight="false" outlineLevel="0" collapsed="false">
      <c r="A3" s="5" t="s">
        <v>215</v>
      </c>
      <c r="B3" s="5" t="s">
        <v>216</v>
      </c>
      <c r="C3" s="5" t="s">
        <v>217</v>
      </c>
    </row>
    <row r="4" customFormat="false" ht="15" hidden="false" customHeight="false" outlineLevel="0" collapsed="false">
      <c r="A4" s="4" t="s">
        <v>218</v>
      </c>
      <c r="B4" s="4" t="s">
        <v>219</v>
      </c>
      <c r="C4" s="4" t="s">
        <v>220</v>
      </c>
    </row>
    <row r="5" customFormat="false" ht="15" hidden="false" customHeight="false" outlineLevel="0" collapsed="false">
      <c r="A5" s="4" t="s">
        <v>221</v>
      </c>
      <c r="B5" s="4" t="s">
        <v>222</v>
      </c>
      <c r="C5" s="4" t="s">
        <v>223</v>
      </c>
    </row>
    <row r="6" customFormat="false" ht="15" hidden="false" customHeight="false" outlineLevel="0" collapsed="false">
      <c r="A6" s="4" t="s">
        <v>224</v>
      </c>
      <c r="B6" s="4" t="s">
        <v>225</v>
      </c>
      <c r="C6" s="4" t="s">
        <v>226</v>
      </c>
    </row>
    <row r="7" customFormat="false" ht="15" hidden="false" customHeight="false" outlineLevel="0" collapsed="false">
      <c r="A7" s="4" t="s">
        <v>227</v>
      </c>
      <c r="B7" s="4" t="s">
        <v>228</v>
      </c>
      <c r="C7" s="4" t="s">
        <v>229</v>
      </c>
    </row>
    <row r="8" customFormat="false" ht="15" hidden="false" customHeight="false" outlineLevel="0" collapsed="false">
      <c r="A8" s="4" t="s">
        <v>230</v>
      </c>
      <c r="B8" s="4" t="s">
        <v>173</v>
      </c>
      <c r="C8" s="4" t="s">
        <v>231</v>
      </c>
    </row>
    <row r="10" customFormat="false" ht="15" hidden="false" customHeight="false" outlineLevel="0" collapsed="false">
      <c r="A10" s="4" t="s">
        <v>232</v>
      </c>
      <c r="B10" s="3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2026-07-04T17:28:52Z</dcterms:created>
  <dc:creator>openpyxl</dc:creator>
  <dc:description/>
  <dc:language>en-US</dc:language>
  <cp:lastModifiedBy/>
  <dcterms:modified xsi:type="dcterms:W3CDTF">2026-07-04T17:28:52Z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