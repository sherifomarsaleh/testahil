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9">
    <numFmt numFmtId="164" formatCode="0.00;(0.00);&quot;-&quot;"/>
    <numFmt numFmtId="165" formatCode="#,##0.0;(#,##0.0);&quot;-&quot;"/>
    <numFmt numFmtId="166" formatCode="0.0000"/>
    <numFmt numFmtId="167" formatCode="#,##0;(#,##0);&quot;-&quot;"/>
    <numFmt numFmtId="168" formatCode="0.000"/>
    <numFmt numFmtId="169" formatCode="0.0%;(0.0%);&quot;-&quot;"/>
    <numFmt numFmtId="170" formatCode="yyyy-mm-dd"/>
    <numFmt numFmtId="171" formatCode="0.00x"/>
    <numFmt numFmtId="172" formatCode="0.000;(0.000);&quot;-&quot;"/>
  </numFmts>
  <fonts count="11">
    <font>
      <name val="Calibri"/>
      <family val="2"/>
      <color theme="1"/>
      <sz val="11"/>
      <scheme val="minor"/>
    </font>
    <font>
      <b val="1"/>
      <color rgb="00F6F1E6"/>
      <sz val="13"/>
    </font>
    <font>
      <sz val="10"/>
    </font>
    <font>
      <color rgb="006E7B77"/>
      <sz val="9"/>
    </font>
    <font>
      <b val="1"/>
    </font>
    <font>
      <b val="1"/>
      <color rgb="00000000"/>
    </font>
    <font>
      <color rgb="00000000"/>
    </font>
    <font>
      <color rgb="000000FF"/>
    </font>
    <font>
      <color rgb="00008000"/>
    </font>
    <font>
      <b val="1"/>
      <color rgb="00008000"/>
    </font>
    <font>
      <b val="1"/>
      <color rgb="000000FF"/>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5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6" fillId="0" borderId="0" pivotButton="0" quotePrefix="0" xfId="0"/>
    <xf numFmtId="164" fontId="8" fillId="0" borderId="0" pivotButton="0" quotePrefix="0" xfId="0"/>
    <xf numFmtId="169" fontId="8" fillId="0" borderId="0" pivotButton="0" quotePrefix="0" xfId="0"/>
    <xf numFmtId="164" fontId="6" fillId="0" borderId="0" pivotButton="0" quotePrefix="0" xfId="0"/>
    <xf numFmtId="169" fontId="6" fillId="0" borderId="0" pivotButton="0" quotePrefix="0" xfId="0"/>
    <xf numFmtId="0" fontId="5" fillId="4" borderId="0" pivotButton="0" quotePrefix="0" xfId="0"/>
    <xf numFmtId="164" fontId="5" fillId="4" borderId="0" pivotButton="0" quotePrefix="0" xfId="0"/>
    <xf numFmtId="169" fontId="5" fillId="4" borderId="0" pivotButton="0" quotePrefix="0" xfId="0"/>
    <xf numFmtId="0" fontId="4" fillId="4" borderId="0" pivotButton="0" quotePrefix="0" xfId="0"/>
    <xf numFmtId="164" fontId="4" fillId="4" borderId="0" pivotButton="0" quotePrefix="0" xfId="0"/>
    <xf numFmtId="169" fontId="4" fillId="4" borderId="0" pivotButton="0" quotePrefix="0" xfId="0"/>
    <xf numFmtId="165" fontId="8" fillId="0" borderId="0" pivotButton="0" quotePrefix="0" xfId="0"/>
    <xf numFmtId="167" fontId="8" fillId="0" borderId="0" pivotButton="0" quotePrefix="0" xfId="0"/>
    <xf numFmtId="10" fontId="8" fillId="0" borderId="0" pivotButton="0" quotePrefix="0" xfId="0"/>
    <xf numFmtId="0" fontId="6" fillId="0" borderId="0" applyAlignment="1" pivotButton="0" quotePrefix="0" xfId="0">
      <alignment vertical="top" wrapText="1"/>
    </xf>
    <xf numFmtId="164" fontId="7" fillId="0" borderId="0" pivotButton="0" quotePrefix="0" xfId="0"/>
    <xf numFmtId="164" fontId="9" fillId="4" borderId="0" pivotButton="0" quotePrefix="0" xfId="0"/>
    <xf numFmtId="168" fontId="8" fillId="0" borderId="0" pivotButton="0" quotePrefix="0" xfId="0"/>
    <xf numFmtId="165" fontId="7" fillId="0" borderId="0" pivotButton="0" quotePrefix="0" xfId="0"/>
    <xf numFmtId="166" fontId="7" fillId="0" borderId="0" pivotButton="0" quotePrefix="0" xfId="0"/>
    <xf numFmtId="2" fontId="7" fillId="0" borderId="0" pivotButton="0" quotePrefix="0" xfId="0"/>
    <xf numFmtId="167" fontId="7" fillId="0" borderId="0" pivotButton="0" quotePrefix="0" xfId="0"/>
    <xf numFmtId="10" fontId="7" fillId="0" borderId="0" pivotButton="0" quotePrefix="0" xfId="0"/>
    <xf numFmtId="168" fontId="7" fillId="0" borderId="0" pivotButton="0" quotePrefix="0" xfId="0"/>
    <xf numFmtId="169" fontId="7" fillId="0" borderId="0" pivotButton="0" quotePrefix="0" xfId="0"/>
    <xf numFmtId="170" fontId="7" fillId="0" borderId="0" pivotButton="0" quotePrefix="0" xfId="0"/>
    <xf numFmtId="170" fontId="6" fillId="0" borderId="0" pivotButton="0" quotePrefix="0" xfId="0"/>
    <xf numFmtId="167" fontId="6" fillId="0" borderId="0" pivotButton="0" quotePrefix="0" xfId="0"/>
    <xf numFmtId="0" fontId="5" fillId="0" borderId="0" pivotButton="0" quotePrefix="0" xfId="0"/>
    <xf numFmtId="167" fontId="5" fillId="0" borderId="0" pivotButton="0" quotePrefix="0" xfId="0"/>
    <xf numFmtId="165" fontId="6" fillId="0" borderId="0" pivotButton="0" quotePrefix="0" xfId="0"/>
    <xf numFmtId="165" fontId="5" fillId="0" borderId="0" pivotButton="0" quotePrefix="0" xfId="0"/>
    <xf numFmtId="2" fontId="8" fillId="0" borderId="0" pivotButton="0" quotePrefix="0" xfId="0"/>
    <xf numFmtId="167" fontId="4" fillId="4" borderId="0" pivotButton="0" quotePrefix="0" xfId="0"/>
    <xf numFmtId="171" fontId="6" fillId="0" borderId="0" pivotButton="0" quotePrefix="0" xfId="0"/>
    <xf numFmtId="167" fontId="5" fillId="4" borderId="0" pivotButton="0" quotePrefix="0" xfId="0"/>
    <xf numFmtId="171" fontId="8" fillId="0" borderId="0" pivotButton="0" quotePrefix="0" xfId="0"/>
    <xf numFmtId="170" fontId="8" fillId="0" borderId="0" pivotButton="0" quotePrefix="0" xfId="0"/>
    <xf numFmtId="165" fontId="6" fillId="4" borderId="0" pivotButton="0" quotePrefix="0" xfId="0"/>
    <xf numFmtId="165" fontId="8" fillId="4" borderId="0" pivotButton="0" quotePrefix="0" xfId="0"/>
    <xf numFmtId="165" fontId="9" fillId="0" borderId="0" pivotButton="0" quotePrefix="0" xfId="0"/>
    <xf numFmtId="172" fontId="6" fillId="0" borderId="0" pivotButton="0" quotePrefix="0" xfId="0"/>
    <xf numFmtId="166" fontId="6" fillId="0" borderId="0" pivotButton="0" quotePrefix="0" xfId="0"/>
    <xf numFmtId="171" fontId="5" fillId="0" borderId="0" pivotButton="0" quotePrefix="0" xfId="0"/>
    <xf numFmtId="10" fontId="6" fillId="0" borderId="0" pivotButton="0" quotePrefix="0" xfId="0"/>
    <xf numFmtId="10" fontId="4" fillId="4" borderId="0" pivotButton="0" quotePrefix="0" xfId="0"/>
    <xf numFmtId="172" fontId="8" fillId="0" borderId="0" pivotButton="0" quotePrefix="0" xfId="0"/>
    <xf numFmtId="0" fontId="7" fillId="0" borderId="0" pivotButton="0" quotePrefix="0" xfId="0"/>
    <xf numFmtId="171"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cols>
    <col width="1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ADNOC Logistics &amp; Services plc (ADX: ADNOCLS)</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ADNOC L&amp;S valuation study. Every blue cell is an</t>
        </is>
      </c>
    </row>
    <row r="6">
      <c r="A6" s="3" t="inlineStr">
        <is>
          <t>input; 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equity is built from the</t>
        </is>
      </c>
    </row>
    <row r="10">
      <c r="A10" s="3" t="inlineStr">
        <is>
          <t>normalised risk-free rate, the beta and the equity risk premium — and the normalised rate is itself a</t>
        </is>
      </c>
    </row>
    <row r="11">
      <c r="A11" s="3" t="inlineStr">
        <is>
          <t>formula, the observed government bond yield less the sovereign default spread. The cost of debt is built</t>
        </is>
      </c>
    </row>
    <row r="12">
      <c r="A12" s="3" t="inlineStr">
        <is>
          <t>three separate ways on the sheet — the parent facility at the overnight financing rate plus its margin, a</t>
        </is>
      </c>
    </row>
    <row r="13">
      <c r="A13" s="3" t="inlineStr">
        <is>
          <t>weighted blend of the instruments the company actually has outstanding, and the disclosed third-party</t>
        </is>
      </c>
    </row>
    <row r="14">
      <c r="A14" s="3" t="inlineStr">
        <is>
          <t>bank-loan midpoint — and the three are averaged in a cell. The discount factors compound year on year off</t>
        </is>
      </c>
    </row>
    <row r="15">
      <c r="A15" s="3" t="inlineStr">
        <is>
          <t>the cost-of-capital glide, with a three-quarter stub for 2026 because the valuation date is 31 March 2026.</t>
        </is>
      </c>
    </row>
    <row r="16">
      <c r="A16" s="3" t="inlineStr">
        <is>
          <t>The tanker fleet is built vessel by vessel from the vessel counts and day rates on Assumptions; the balance</t>
        </is>
      </c>
    </row>
    <row r="17">
      <c r="A17" s="3" t="inlineStr">
        <is>
          <t>sheet rolls property, plant and equipment, working capital, equity and net debt forward; and every ratio and</t>
        </is>
      </c>
    </row>
    <row r="18">
      <c r="A18" s="3" t="inlineStr">
        <is>
          <t>per-share figure, including the conversion to dirhams at the fixed parity, is a formula.</t>
        </is>
      </c>
    </row>
    <row r="19">
      <c r="A19" s="3" t="inlineStr"/>
    </row>
    <row r="20">
      <c r="A20" s="3" t="inlineStr">
        <is>
          <t>ONLY THREE KINDS OF CELL ARE PASTED VALUES, and it is worth knowing exactly which. Anything else pasted</t>
        </is>
      </c>
    </row>
    <row r="21">
      <c r="A21" s="3" t="inlineStr">
        <is>
          <t>would be a defect, and the build script carries a sheet-by-sheet register of every pasted cell against these</t>
        </is>
      </c>
    </row>
    <row r="22">
      <c r="A22" s="3" t="inlineStr">
        <is>
          <t>three so the claim can be checked rather than taken on trust.</t>
        </is>
      </c>
    </row>
    <row r="23">
      <c r="A23" s="3" t="inlineStr">
        <is>
          <t xml:space="preserve">  (1) DISCLOSED HISTORY AND GENUINE INDEPENDENT INPUTS — the blue cells: the audited statements, the</t>
        </is>
      </c>
    </row>
    <row r="24">
      <c r="A24" s="3" t="inlineStr">
        <is>
          <t xml:space="preserve">      operating-segments note, disclosed vessel counts and day rates, the twelve charter fixtures and their</t>
        </is>
      </c>
    </row>
    <row r="25">
      <c r="A25" s="3" t="inlineStr">
        <is>
          <t xml:space="preserve">      dates, the eleven vessels bought on 7 August 2026 and their delivery dates, the balance-sheet anchors,</t>
        </is>
      </c>
    </row>
    <row r="26">
      <c r="A26" s="3" t="inlineStr">
        <is>
          <t xml:space="preserve">      the tax rates, the peer multiples with their sources and dates, and the study judgements. Where a line</t>
        </is>
      </c>
    </row>
    <row r="27">
      <c r="A27" s="3" t="inlineStr">
        <is>
          <t xml:space="preserve">      is both disclosed and derivable the DISCLOSED figure is carried, because the filing is the record —</t>
        </is>
      </c>
    </row>
    <row r="28">
      <c r="A28" s="3" t="inlineStr">
        <is>
          <t xml:space="preserve">      but only ONCE: the same audited figure is never typed in two places, so group revenue is added up</t>
        </is>
      </c>
    </row>
    <row r="29">
      <c r="A29" s="3" t="inlineStr">
        <is>
          <t xml:space="preserve">      from the segment note, the audited net debt is gross borrowings less cash, and the intangibles and</t>
        </is>
      </c>
    </row>
    <row r="30">
      <c r="A30" s="3" t="inlineStr">
        <is>
          <t xml:space="preserve">      goodwill on the driver sheet point at the balance sheet. Anything on the Assumptions sheet that is</t>
        </is>
      </c>
    </row>
    <row r="31">
      <c r="A31" s="3" t="inlineStr">
        <is>
          <t xml:space="preserve">      itself DERIVED is a GREEN formula pointing at the build that produces it — the running cost per</t>
        </is>
      </c>
    </row>
    <row r="32">
      <c r="A32" s="3" t="inlineStr">
        <is>
          <t xml:space="preserve">      vessel-day, the gas-carrier day rate, the reported and re-based receivable days, both gross-up</t>
        </is>
      </c>
    </row>
    <row r="33">
      <c r="A33" s="3" t="inlineStr">
        <is>
          <t xml:space="preserve">      factors, the opening working capital and the vessel-years the August purchase adds.</t>
        </is>
      </c>
    </row>
    <row r="34">
      <c r="A34" s="3" t="inlineStr">
        <is>
          <t xml:space="preserve">  (2) THE OUTPUT OF A UNIT BUILD that would be unreadable flattened into a grid. No cell in this workbook</t>
        </is>
      </c>
    </row>
    <row r="35">
      <c r="A35" s="3" t="inlineStr">
        <is>
          <t xml:space="preserve">      now rests on that justification: the block that used to — the historical segment table — is the</t>
        </is>
      </c>
    </row>
    <row r="36">
      <c r="A36" s="3" t="inlineStr">
        <is>
          <t xml:space="preserve">      disclosed operating-segments note, which is category (1).</t>
        </is>
      </c>
    </row>
    <row r="37">
      <c r="A37" s="3" t="inlineStr">
        <is>
          <t xml:space="preserve">  (3) WHOLE-MODEL RE-RUNS, where each figure is a complete revaluation of the entire model and so cannot be</t>
        </is>
      </c>
    </row>
    <row r="38">
      <c r="A38" s="3" t="inlineStr">
        <is>
          <t xml:space="preserve">      a single formula: the Monte Carlo price map, the three sensitivity grids, the discounted-cash-flow</t>
        </is>
      </c>
    </row>
    <row r="39">
      <c r="A39" s="3" t="inlineStr">
        <is>
          <t xml:space="preserve">      bear and bull bounds (each of which re-runs the fleet build at a different rate anchor, a different</t>
        </is>
      </c>
    </row>
    <row r="40">
      <c r="A40" s="3" t="inlineStr">
        <is>
          <t xml:space="preserve">      beta — the two ends of the regression's own confidence interval — and a different capital-expenditure</t>
        </is>
      </c>
    </row>
    <row r="41">
      <c r="A41" s="3" t="inlineStr">
        <is>
          <t xml:space="preserve">      path) and the three expert-panel legs.</t>
        </is>
      </c>
    </row>
    <row r="42">
      <c r="A42" s="3" t="inlineStr">
        <is>
          <t xml:space="preserve">  THE MONTE CARLO AND SENSITIVITY GRIDS DO NOT REDRAW WHEN A DRIVER IS CHANGED. Changing a blue cell</t>
        </is>
      </c>
    </row>
    <row r="43">
      <c r="A43" s="3" t="inlineStr">
        <is>
          <t xml:space="preserve">  reprices the whole valuation chain, but those grids are engine outputs and stay as they were run.</t>
        </is>
      </c>
    </row>
    <row r="44">
      <c r="A44" s="3" t="inlineStr"/>
    </row>
    <row r="45">
      <c r="A45" s="3" t="inlineStr">
        <is>
          <t>WHAT CHANGED IN THIS EDITION. On 7 August 2026 — the anchor date of this study — the company announced the</t>
        </is>
      </c>
    </row>
    <row r="46">
      <c r="A46" s="3" t="inlineStr">
        <is>
          <t>purchase of eleven vessels for about USD 1.3 billion: six very large crude carriers and three gas carriers</t>
        </is>
      </c>
    </row>
    <row r="47">
      <c r="A47" s="3" t="inlineStr">
        <is>
          <t>bought secondhand for third-quarter delivery, and two gas carrier newbuildings for the fourth. That price is</t>
        </is>
      </c>
    </row>
    <row r="48">
      <c r="A48" s="3" t="inlineStr">
        <is>
          <t>inside the market price this valuation is compared against, so it is now in the model: the crude carriers</t>
        </is>
      </c>
    </row>
    <row r="49">
      <c r="A49" s="3" t="inlineStr">
        <is>
          <t>earn at the implied spot rate from their delivery date, the gas carriers add contracted vessel-years, and</t>
        </is>
      </c>
    </row>
    <row r="50">
      <c r="A50" s="3" t="inlineStr">
        <is>
          <t>the USD 1.3 billion is carried BOTH in net debt, because the purchase is committed and funded, and in the</t>
        </is>
      </c>
    </row>
    <row r="51">
      <c r="A51" s="3" t="inlineStr">
        <is>
          <t>opening asset base, where it depreciates and shields tax. The smallest tankers are no longer priced at the</t>
        </is>
      </c>
    </row>
    <row r="52">
      <c r="A52" s="3" t="inlineStr">
        <is>
          <t>medium-range rate unadjusted — the company disclosed handysize rates down 21% against medium range up 29%,</t>
        </is>
      </c>
    </row>
    <row r="53">
      <c r="A53" s="3" t="inlineStr">
        <is>
          <t>so the substitution had the sign wrong and the rate is now scaled by that disclosed move. Receivable days</t>
        </is>
      </c>
    </row>
    <row r="54">
      <c r="A54" s="3" t="inlineStr">
        <is>
          <t>are re-based onto the revenue basis the forecast actually uses rather than carried across from a year with a</t>
        </is>
      </c>
    </row>
    <row r="55">
      <c r="A55" s="3" t="inlineStr">
        <is>
          <t>different gross-up, and the arithmetic of that re-basing is on the Assumptions sheet in cells. The cost of</t>
        </is>
      </c>
    </row>
    <row r="56">
      <c r="A56" s="3" t="inlineStr">
        <is>
          <t>debt is labelled for what it is — an average of three constructions, with the one genuinely weighted by the</t>
        </is>
      </c>
    </row>
    <row r="57">
      <c r="A57" s="3" t="inlineStr">
        <is>
          <t>instruments outstanding shown beside it rather than the average being called weighted. The depreciation rate</t>
        </is>
      </c>
    </row>
    <row r="58">
      <c r="A58" s="3" t="inlineStr">
        <is>
          <t>used, the rate the company realised in 2025 and the disclosed useful lives now sit together so the choice</t>
        </is>
      </c>
    </row>
    <row r="59">
      <c r="A59" s="3" t="inlineStr">
        <is>
          <t>can be judged. And the earnings multiple is shown on BOTH bases, forward and trailing, for the peers and for</t>
        </is>
      </c>
    </row>
    <row r="60">
      <c r="A60" s="3" t="inlineStr">
        <is>
          <t>the company, because an earlier edition compared the company trailing against peers shown forward.</t>
        </is>
      </c>
    </row>
    <row r="61">
      <c r="A61" s="3" t="inlineStr"/>
    </row>
    <row r="62">
      <c r="A62" s="3" t="inlineStr">
        <is>
          <t>How revenue is built. Not as one growth rate, and not off the published rate either. The company gives one</t>
        </is>
      </c>
    </row>
    <row r="63">
      <c r="A63" s="3" t="inlineStr">
        <is>
          <t>rate per vessel class each quarter, and its own chief financial officer said on the first-quarter call that</t>
        </is>
      </c>
    </row>
    <row r="64">
      <c r="A64" s="3" t="inlineStr">
        <is>
          <t>this rate is a BLEND across the whole class, the vessels on charters out included. So the SPOT rate is not</t>
        </is>
      </c>
    </row>
    <row r="65">
      <c r="A65" s="3" t="inlineStr">
        <is>
          <t>read off that disclosure — it is SOLVED out of it, window by window: the published blend times the class</t>
        </is>
      </c>
    </row>
    <row r="66">
      <c r="A66" s="3" t="inlineStr">
        <is>
          <t>vessel-days, less the revenue the twelve disclosed fixtures earn over exactly the days their own contracts</t>
        </is>
      </c>
    </row>
    <row r="67">
      <c r="A67" s="3" t="inlineStr">
        <is>
          <t>run, divided by the vessel-days that actually traded spot. Every step of that derivation is on the Segments</t>
        </is>
      </c>
    </row>
    <row r="68">
      <c r="A68" s="3" t="inlineStr">
        <is>
          <t>sheet, cell by cell. The forecast then prices each vessel on its own terms — chartered vessels at their</t>
        </is>
      </c>
    </row>
    <row r="69">
      <c r="A69" s="3" t="inlineStr">
        <is>
          <t>contracted rate for their contracted days, everything else at the implied spot rate — less an all-in running</t>
        </is>
      </c>
    </row>
    <row r="70">
      <c r="A70" s="3" t="inlineStr">
        <is>
          <t>cost per vessel-day that is itself solved so the same construction reproduces the tanker earnings the company</t>
        </is>
      </c>
    </row>
    <row r="71">
      <c r="A71" s="3" t="inlineStr">
        <is>
          <t>reported for 2025. The gas carriers are contracted vessel-years times a day rate solved the same way. The</t>
        </is>
      </c>
    </row>
    <row r="72">
      <c r="A72" s="3" t="inlineStr">
        <is>
          <t>five remaining units are grown on their own revenue and margin drivers, anchored on what each actually</t>
        </is>
      </c>
    </row>
    <row r="73">
      <c r="A73" s="3" t="inlineStr">
        <is>
          <t>earned in the first quarter of 2026.</t>
        </is>
      </c>
    </row>
    <row r="74">
      <c r="A74" s="3" t="inlineStr"/>
    </row>
    <row r="75">
      <c r="A75" s="3" t="inlineStr">
        <is>
          <t>THE COST OF CAPITAL CARRIES THREE TRANCHES, NOT TWO: equity, debt, and the perpetual capital securities at</t>
        </is>
      </c>
    </row>
    <row r="76">
      <c r="A76" s="3" t="inlineStr">
        <is>
          <t>their own coupon. Those securities rank ahead of the ordinary shares and are deducted in the equity bridge,</t>
        </is>
      </c>
    </row>
    <row r="77">
      <c r="A77" s="3" t="inlineStr">
        <is>
          <t>and a claim that is deducted from enterprise value has to be weighted in the rate as well — the two are</t>
        </is>
      </c>
    </row>
    <row r="78">
      <c r="A78" s="3" t="inlineStr">
        <is>
          <t>halves of one treatment. The coupon is an equity distribution rather than interest, so it is not taxed down.</t>
        </is>
      </c>
    </row>
    <row r="79">
      <c r="A79" s="3" t="inlineStr">
        <is>
          <t>Every construction in the workbook carries the same three tranches, including the sensitivity re-runs, so</t>
        </is>
      </c>
    </row>
    <row r="80">
      <c r="A80" s="3" t="inlineStr">
        <is>
          <t>the sensitivity grid is centred on the figure it brackets.</t>
        </is>
      </c>
    </row>
    <row r="81">
      <c r="A81" s="3" t="inlineStr"/>
    </row>
    <row r="82">
      <c r="A82" s="3" t="inlineStr">
        <is>
          <t>THE BOOK LENS IS A RESIDUAL INCOME BUILD. A single-stage justified price-to-book assumes a steady state this</t>
        </is>
      </c>
    </row>
    <row r="83">
      <c r="A83" s="3" t="inlineStr">
        <is>
          <t>company is not in: it pays out about a third of its earnings and compounds its book above its own cost of</t>
        </is>
      </c>
    </row>
    <row r="84">
      <c r="A84" s="3" t="inlineStr">
        <is>
          <t>equity, where that formula is undefined rather than merely wrong. The lens is instead the book the company</t>
        </is>
      </c>
    </row>
    <row r="85">
      <c r="A85" s="3" t="inlineStr">
        <is>
          <t>already has, plus the present value of earning more than the cost of equity on it for five years, plus a</t>
        </is>
      </c>
    </row>
    <row r="86">
      <c r="A86" s="3" t="inlineStr">
        <is>
          <t>remainder in which that excess fades. The whole ladder is live on the Relative &amp; Normalized sheet, three</t>
        </is>
      </c>
    </row>
    <row r="87">
      <c r="A87" s="3" t="inlineStr">
        <is>
          <t>times over — base, bear and bull — and the return it is struck on is what the ORDINARY holders earn, after</t>
        </is>
      </c>
    </row>
    <row r="88">
      <c r="A88" s="3" t="inlineStr">
        <is>
          <t>the perpetual coupon that ranks ahead of them.</t>
        </is>
      </c>
    </row>
    <row r="89">
      <c r="A89" s="3" t="inlineStr"/>
    </row>
    <row r="90">
      <c r="A90" s="3" t="inlineStr">
        <is>
          <t>THE CONTESTED JUDGEMENT, PUBLISHED BOTH WAYS — HOW THE MARKET IS MEASURED. The same weekly regression of the</t>
        </is>
      </c>
    </row>
    <row r="91">
      <c r="A91" s="3" t="inlineStr">
        <is>
          <t>stock's own returns is run against two different measures of its market, and the answer moves a long way</t>
        </is>
      </c>
    </row>
    <row r="92">
      <c r="A92" s="3" t="inlineStr">
        <is>
          <t>between them. Against the published index of the exchange the share is listed on — the index the method</t>
        </is>
      </c>
    </row>
    <row r="93">
      <c r="A93" s="3" t="inlineStr">
        <is>
          <t>asks for, and the primary reading — the beta is 1.085. Against an equal-weight composite of that same</t>
        </is>
      </c>
    </row>
    <row r="94">
      <c r="A94" s="3" t="inlineStr">
        <is>
          <t>exchange's names, which gives its smallest listings the same say as its largest, the beta is</t>
        </is>
      </c>
    </row>
    <row r="95">
      <c r="A95" s="3" t="inlineStr">
        <is>
          <t>0.705. The published index is weighted by size and is therefore dominated by the very group this</t>
        </is>
      </c>
    </row>
    <row r="96">
      <c r="A96" s="3" t="inlineStr">
        <is>
          <t>company belongs to; the composite is not. That single difference in construction, and nothing about the</t>
        </is>
      </c>
    </row>
    <row r="97">
      <c r="A97" s="3" t="inlineStr">
        <is>
          <t>company, moves the cost of equity and the cash-flow value materially. BOTH are carried through the model in</t>
        </is>
      </c>
    </row>
    <row r="98">
      <c r="A98" s="3" t="inlineStr">
        <is>
          <t>full, side by side, on the Summary, Fundamental Valuation and DCF sheets. They are NOT averaged into one</t>
        </is>
      </c>
    </row>
    <row r="99">
      <c r="A99" s="3" t="inlineStr">
        <is>
          <t>number. The regression's own 90% confidence interval on the primary estimate runs 0.758 to 1.412, and</t>
        </is>
      </c>
    </row>
    <row r="100">
      <c r="A100" s="3" t="inlineStr">
        <is>
          <t>those two bounds — not round numbers chosen by hand — are the betas used in the bear and bull cases, so the</t>
        </is>
      </c>
    </row>
    <row r="101">
      <c r="A101" s="3" t="inlineStr">
        <is>
          <t>published range is the range the estimate itself supports.</t>
        </is>
      </c>
    </row>
    <row r="102">
      <c r="A102" s="3" t="inlineStr"/>
    </row>
    <row r="103">
      <c r="A103" s="3" t="inlineStr">
        <is>
          <t>What it is not. It is not investment advice, a recommendation, or a price target. Values are model outputs</t>
        </is>
      </c>
    </row>
    <row r="104">
      <c r="A104" s="3" t="inlineStr">
        <is>
          <t>shown as ranges and distributions.</t>
        </is>
      </c>
    </row>
    <row r="105">
      <c r="A105" s="3" t="inlineStr"/>
    </row>
    <row r="106">
      <c r="A106" s="3" t="inlineStr">
        <is>
          <t>Sourcing note, up front. FY2023, FY2024 and FY2025 come from the company's own audited consolidated</t>
        </is>
      </c>
    </row>
    <row r="107">
      <c r="A107" s="3" t="inlineStr">
        <is>
          <t>financial statements; the first quarter of 2026 comes from the reviewed interim statements; the fleet,</t>
        </is>
      </c>
    </row>
    <row r="108">
      <c r="A108" s="3" t="inlineStr">
        <is>
          <t>rate and contract data come from the company's own investor presentations and earnings calls. Every input</t>
        </is>
      </c>
    </row>
    <row r="109">
      <c r="A109" s="3" t="inlineStr">
        <is>
          <t>is listed with its value, source and date in the companion bibliography document.</t>
        </is>
      </c>
    </row>
    <row r="110">
      <c r="A110" s="3" t="inlineStr"/>
    </row>
    <row r="111">
      <c r="A111" s="3" t="inlineStr">
        <is>
          <t>Currency. US dollar thousand unless stated — the company reports in US dollars. Per-share figures are in</t>
        </is>
      </c>
    </row>
    <row r="112">
      <c r="A112" s="3" t="inlineStr">
        <is>
          <t>dirhams at the fixed parity of 3.6725 dirhams to the dollar. Spot AED 6.16 (2026-08-07 close).</t>
        </is>
      </c>
    </row>
    <row r="113">
      <c r="A113" s="3" t="inlineStr">
        <is>
          <t>Sheets: READ FIRST · Summary · Fundamental Valuation · Assumptions · SOTP Bridge · Segments · Relative &amp;</t>
        </is>
      </c>
    </row>
    <row r="114">
      <c r="A114" s="3" t="inlineStr">
        <is>
          <t>Normalized · DCF · Income Statement · Balance Sheet · Cash Flow · Summary Financials · Monte Carlo ·</t>
        </is>
      </c>
    </row>
    <row r="115">
      <c r="A115" s="3" t="inlineStr">
        <is>
          <t>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Summary — valuation at a glance</t>
        </is>
      </c>
      <c r="B1" s="2" t="n"/>
      <c r="C1" s="2" t="n"/>
      <c r="D1" s="2" t="n"/>
      <c r="E1" s="2" t="n"/>
      <c r="F1" s="2" t="n"/>
      <c r="G1" s="2" t="n"/>
      <c r="H1" s="2" t="n"/>
    </row>
    <row r="2">
      <c r="A2" s="4" t="inlineStr">
        <is>
          <t>All values link live to their source sheets. AED per share unless stated.</t>
        </is>
      </c>
    </row>
    <row r="4">
      <c r="A4" s="5" t="inlineStr">
        <is>
          <t>Lens</t>
        </is>
      </c>
      <c r="B4" s="5" t="inlineStr">
        <is>
          <t>Bear</t>
        </is>
      </c>
      <c r="C4" s="5" t="inlineStr">
        <is>
          <t>Base</t>
        </is>
      </c>
      <c r="D4" s="5" t="inlineStr">
        <is>
          <t>Bull</t>
        </is>
      </c>
      <c r="E4" s="5" t="inlineStr">
        <is>
          <t>Weight</t>
        </is>
      </c>
      <c r="F4" s="5" t="inlineStr">
        <is>
          <t>Contribution</t>
        </is>
      </c>
      <c r="G4" s="5" t="inlineStr">
        <is>
          <t>vs spot</t>
        </is>
      </c>
      <c r="H4" s="5" t="inlineStr">
        <is>
          <t>Terminal value share</t>
        </is>
      </c>
    </row>
    <row r="5">
      <c r="A5" s="6" t="inlineStr">
        <is>
          <t>Discounted cash flow (own regressed beta)</t>
        </is>
      </c>
      <c r="B5" s="7">
        <f>'Fundamental Valuation'!$C$6</f>
        <v/>
      </c>
      <c r="C5" s="7">
        <f>DCF!$C$62</f>
        <v/>
      </c>
      <c r="D5" s="7">
        <f>'Fundamental Valuation'!$C$7</f>
        <v/>
      </c>
      <c r="E5" s="8">
        <f>Assumptions!$C$170</f>
        <v/>
      </c>
      <c r="F5" s="9">
        <f>C5*E5</f>
        <v/>
      </c>
      <c r="G5" s="10">
        <f>C5/$C$16-1</f>
        <v/>
      </c>
      <c r="H5" s="8">
        <f>DCF!$C$48</f>
        <v/>
      </c>
    </row>
    <row r="6">
      <c r="A6" s="6" t="inlineStr">
        <is>
          <t>Relative multiples</t>
        </is>
      </c>
      <c r="B6" s="7">
        <f>'Relative &amp; Normalized'!$C$26</f>
        <v/>
      </c>
      <c r="C6" s="7">
        <f>'Relative &amp; Normalized'!$C$21</f>
        <v/>
      </c>
      <c r="D6" s="7">
        <f>'Relative &amp; Normalized'!$D$26</f>
        <v/>
      </c>
      <c r="E6" s="8">
        <f>Assumptions!$C$171</f>
        <v/>
      </c>
      <c r="F6" s="9">
        <f>C6*E6</f>
        <v/>
      </c>
      <c r="G6" s="10">
        <f>C6/$C$16-1</f>
        <v/>
      </c>
    </row>
    <row r="7">
      <c r="A7" s="6" t="inlineStr">
        <is>
          <t>Normalised earnings power</t>
        </is>
      </c>
      <c r="B7" s="7">
        <f>'Relative &amp; Normalized'!$C$58</f>
        <v/>
      </c>
      <c r="C7" s="7">
        <f>'Relative &amp; Normalized'!$C$53</f>
        <v/>
      </c>
      <c r="D7" s="7">
        <f>'Relative &amp; Normalized'!$D$58</f>
        <v/>
      </c>
      <c r="E7" s="8">
        <f>Assumptions!$C$172</f>
        <v/>
      </c>
      <c r="F7" s="9">
        <f>C7*E7</f>
        <v/>
      </c>
      <c r="G7" s="10">
        <f>C7/$C$16-1</f>
        <v/>
      </c>
    </row>
    <row r="8">
      <c r="A8" s="6" t="inlineStr">
        <is>
          <t>Book value and sustainable return</t>
        </is>
      </c>
      <c r="B8" s="7">
        <f>'Relative &amp; Normalized'!$C$102</f>
        <v/>
      </c>
      <c r="C8" s="7">
        <f>'Relative &amp; Normalized'!$C$80</f>
        <v/>
      </c>
      <c r="D8" s="7">
        <f>'Relative &amp; Normalized'!$D$102</f>
        <v/>
      </c>
      <c r="E8" s="8">
        <f>Assumptions!$C$173</f>
        <v/>
      </c>
      <c r="F8" s="9">
        <f>C8*E8</f>
        <v/>
      </c>
      <c r="G8" s="10">
        <f>C8/$C$16-1</f>
        <v/>
      </c>
    </row>
    <row r="9">
      <c r="A9" s="11" t="inlineStr">
        <is>
          <t>WEIGHTED CENTRAL</t>
        </is>
      </c>
      <c r="B9" s="12">
        <f>B5*E5+B6*E6+B7*E7+B8*E8</f>
        <v/>
      </c>
      <c r="C9" s="12">
        <f>SUM(F5:F8)</f>
        <v/>
      </c>
      <c r="D9" s="12">
        <f>D5*E5+D6*E6+D7*E7+D8*E8</f>
        <v/>
      </c>
      <c r="E9" s="13">
        <f>SUM(E5:E8)</f>
        <v/>
      </c>
      <c r="F9" s="14" t="n"/>
      <c r="G9" s="13">
        <f>C9/$C$16-1</f>
        <v/>
      </c>
      <c r="H9" s="14" t="n"/>
    </row>
    <row r="11">
      <c r="A11" s="11" t="inlineStr">
        <is>
          <t>THE CONTESTED JUDGEMENT — PUBLISHED BOTH WAYS, NEVER AVERAGED</t>
        </is>
      </c>
      <c r="B11" s="14" t="n"/>
      <c r="C11" s="14" t="n"/>
      <c r="D11" s="14" t="n"/>
      <c r="E11" s="14" t="n"/>
      <c r="F11" s="14" t="n"/>
      <c r="G11" s="14" t="n"/>
      <c r="H11" s="14" t="n"/>
    </row>
    <row r="12">
      <c r="A12" s="6" t="inlineStr">
        <is>
          <t>Discounted cash flow (composite-index beta of 0.705)</t>
        </is>
      </c>
      <c r="B12" s="9">
        <f>B5</f>
        <v/>
      </c>
      <c r="C12" s="7">
        <f>DCF!$C$141</f>
        <v/>
      </c>
      <c r="D12" s="9">
        <f>D5</f>
        <v/>
      </c>
      <c r="E12" s="10">
        <f>E5</f>
        <v/>
      </c>
      <c r="F12" s="9">
        <f>C12*E12</f>
        <v/>
      </c>
      <c r="G12" s="10">
        <f>C12/$C$16-1</f>
        <v/>
      </c>
      <c r="H12" s="8">
        <f>DCF!$C$136</f>
        <v/>
      </c>
    </row>
    <row r="13">
      <c r="A13" s="14" t="inlineStr">
        <is>
          <t>Weighted central on the composite-index beta</t>
        </is>
      </c>
      <c r="B13" s="14" t="n"/>
      <c r="C13" s="15">
        <f>F12+F6+F7+F8</f>
        <v/>
      </c>
      <c r="D13" s="14" t="n"/>
      <c r="E13" s="14" t="n"/>
      <c r="F13" s="14" t="n"/>
      <c r="G13" s="16">
        <f>C13/$C$16-1</f>
        <v/>
      </c>
      <c r="H13" s="14" t="n"/>
    </row>
    <row r="15">
      <c r="A15" s="6" t="inlineStr">
        <is>
          <t>Expert panel average</t>
        </is>
      </c>
      <c r="C15" s="7">
        <f>'Fundamental Valuation'!$C$34</f>
        <v/>
      </c>
      <c r="G15" s="10">
        <f>C15/$C$16-1</f>
        <v/>
      </c>
    </row>
    <row r="16">
      <c r="A16" s="14" t="inlineStr">
        <is>
          <t>Market price (AED, anchor)</t>
        </is>
      </c>
      <c r="B16" s="14" t="n"/>
      <c r="C16" s="15">
        <f>Assumptions!$C$5</f>
        <v/>
      </c>
      <c r="D16" s="14" t="n"/>
      <c r="E16" s="14" t="n"/>
      <c r="F16" s="14" t="n"/>
      <c r="G16" s="14" t="n"/>
      <c r="H16" s="14" t="n"/>
    </row>
    <row r="18">
      <c r="A18" s="5" t="inlineStr">
        <is>
          <t>Key figure</t>
        </is>
      </c>
      <c r="B18" s="5" t="inlineStr"/>
      <c r="C18" s="5" t="inlineStr">
        <is>
          <t>Value</t>
        </is>
      </c>
    </row>
    <row r="19">
      <c r="A19" s="6" t="inlineStr">
        <is>
          <t>Shares outstanding (mn)</t>
        </is>
      </c>
      <c r="C19" s="17">
        <f>Assumptions!$C$6</f>
        <v/>
      </c>
    </row>
    <row r="20">
      <c r="A20" s="6" t="inlineStr">
        <is>
          <t>Market capitalisation (USD 000)</t>
        </is>
      </c>
      <c r="C20" s="18">
        <f>DCF!$C$97</f>
        <v/>
      </c>
    </row>
    <row r="21">
      <c r="A21" s="6" t="inlineStr">
        <is>
          <t>Enterprise value at the anchor price (USD 000)</t>
        </is>
      </c>
      <c r="C21" s="18">
        <f>'Relative &amp; Normalized'!$C$32</f>
        <v/>
      </c>
    </row>
    <row r="22">
      <c r="A22" s="6" t="inlineStr">
        <is>
          <t>Net debt at 31 March 2026, including the deferred consideration and the eleven vessels bought on 7 August 2026 (USD 000)</t>
        </is>
      </c>
      <c r="C22" s="18">
        <f>'Relative &amp; Normalized'!$C$31</f>
        <v/>
      </c>
    </row>
    <row r="23">
      <c r="A23" s="6" t="inlineStr">
        <is>
          <t>The eleven vessels bought on 7 August 2026, at the announced price (USD 000)</t>
        </is>
      </c>
      <c r="C23" s="18">
        <f>Assumptions!$C$82</f>
        <v/>
      </c>
    </row>
    <row r="24">
      <c r="A24" s="6" t="inlineStr">
        <is>
          <t>FY2025 revenue (USD 000)</t>
        </is>
      </c>
      <c r="C24" s="18">
        <f>'Income Statement'!D5</f>
        <v/>
      </c>
    </row>
    <row r="25">
      <c r="A25" s="6" t="inlineStr">
        <is>
          <t>FY2025 EBITDA as reported (USD 000)</t>
        </is>
      </c>
      <c r="C25" s="18">
        <f>'Income Statement'!D16</f>
        <v/>
      </c>
    </row>
    <row r="26">
      <c r="A26" s="6" t="inlineStr">
        <is>
          <t>FY2025 profit attributable to shareholders (USD 000)</t>
        </is>
      </c>
      <c r="C26" s="18">
        <f>'Income Statement'!D28</f>
        <v/>
      </c>
    </row>
    <row r="27">
      <c r="A27" s="6" t="inlineStr">
        <is>
          <t>Cost of equity — published-index beta (primary)</t>
        </is>
      </c>
      <c r="C27" s="19">
        <f>DCF!$C$69</f>
        <v/>
      </c>
    </row>
    <row r="28">
      <c r="A28" s="6" t="inlineStr">
        <is>
          <t>Cost of equity — composite-index beta (alternative)</t>
        </is>
      </c>
      <c r="C28" s="19">
        <f>DCF!$C$115</f>
        <v/>
      </c>
    </row>
    <row r="29">
      <c r="A29" s="6" t="inlineStr">
        <is>
          <t>Cost of equity at the lower 90% confidence bound on the primary beta</t>
        </is>
      </c>
      <c r="C29" s="19">
        <f>DCF!$C$123</f>
        <v/>
      </c>
    </row>
    <row r="30">
      <c r="A30" s="6" t="inlineStr">
        <is>
          <t>Cost of equity at the upper 90% confidence bound on the primary beta</t>
        </is>
      </c>
      <c r="C30" s="19">
        <f>DCF!$C$124</f>
        <v/>
      </c>
    </row>
    <row r="31">
      <c r="A31" s="6" t="inlineStr">
        <is>
          <t>Cost of debt — the three constructions averaged (a simple average, not a weighted figure)</t>
        </is>
      </c>
      <c r="C31" s="19">
        <f>DCF!$C$92</f>
        <v/>
      </c>
    </row>
    <row r="32">
      <c r="A32" s="6" t="inlineStr">
        <is>
          <t>Cost of debt — the balance-weighted construction alone, published beside the average rather than in place of it</t>
        </is>
      </c>
      <c r="C32" s="19">
        <f>DCF!$C$93</f>
        <v/>
      </c>
    </row>
    <row r="33">
      <c r="A33" s="6" t="inlineStr">
        <is>
          <t>Cost of capital — explicit window</t>
        </is>
      </c>
      <c r="C33" s="19">
        <f>DCF!$C$105</f>
        <v/>
      </c>
    </row>
    <row r="34">
      <c r="A34" s="6" t="inlineStr">
        <is>
          <t>Cost of capital — terminal</t>
        </is>
      </c>
      <c r="C34" s="19">
        <f>DCF!$C$111</f>
        <v/>
      </c>
    </row>
    <row r="35">
      <c r="A35" s="6" t="inlineStr">
        <is>
          <t>Terminal growth</t>
        </is>
      </c>
      <c r="C35" s="8">
        <f>DCF!$C$39</f>
        <v/>
      </c>
    </row>
    <row r="36">
      <c r="A36" s="6" t="inlineStr">
        <is>
          <t>Sum-of-the-parts cross-check (AED per share)</t>
        </is>
      </c>
      <c r="C36" s="7">
        <f>'SOTP Bridge'!$C$43</f>
        <v/>
      </c>
    </row>
    <row r="38">
      <c r="A38" s="4" t="inlineStr">
        <is>
          <t>The terminal value share beside the discounted-cash-flow row is a live formula — the present value of the terminal value over the enterprise value of operations — and it is shown again in the equity bridge on the SOTP Bridge sheet. It is high, as it is for any long-lived asset owner whose fleet outlives the forecast window, and it is the reason the terminal cost of capital and the terminal growth rate carry more of this valuation than any single trading 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8" customWidth="1" min="1" max="1"/>
    <col width="56" customWidth="1" min="2" max="2"/>
    <col width="16" customWidth="1" min="3" max="3"/>
    <col width="16" customWidth="1" min="4" max="4"/>
    <col width="16" customWidth="1" min="5" max="5"/>
    <col width="16" customWidth="1" min="6" max="6"/>
  </cols>
  <sheetData>
    <row r="1">
      <c r="A1" s="1" t="inlineStr">
        <is>
          <t>Fundamental valuation — the four lenses and the contested judgement</t>
        </is>
      </c>
      <c r="B1" s="2" t="n"/>
      <c r="C1" s="2" t="n"/>
      <c r="D1" s="2" t="n"/>
      <c r="E1" s="2" t="n"/>
      <c r="F1" s="2" t="n"/>
    </row>
    <row r="4">
      <c r="A4" s="5" t="inlineStr">
        <is>
          <t>Lens / step</t>
        </is>
      </c>
      <c r="B4" s="5" t="inlineStr">
        <is>
          <t>Basis</t>
        </is>
      </c>
      <c r="C4" s="5" t="inlineStr">
        <is>
          <t>AED per share</t>
        </is>
      </c>
    </row>
    <row r="5" ht="28" customHeight="1">
      <c r="A5" s="6" t="inlineStr">
        <is>
          <t>Discounted cash flow (own regressed beta)</t>
        </is>
      </c>
      <c r="B5" s="20" t="inlineStr">
        <is>
          <t>links to the DCF sheet — five explicit years plus a capitalised terminal value</t>
        </is>
      </c>
      <c r="C5" s="7">
        <f>DCF!$C$62</f>
        <v/>
      </c>
    </row>
    <row r="6" ht="28" customHeight="1">
      <c r="A6" s="6" t="inlineStr">
        <is>
          <t xml:space="preserve">  bear</t>
        </is>
      </c>
      <c r="B6" s="20" t="inlineStr">
        <is>
          <t>beta 1.412 — the TOP of the regression's own 90% confidence interval, not a round number picked by hand — with the rate anchor at 0.85x and capital expenditure at 1.10x. A whole-model re-run</t>
        </is>
      </c>
      <c r="C6" s="21" t="n">
        <v>4.025007328525061</v>
      </c>
    </row>
    <row r="7" ht="28" customHeight="1">
      <c r="A7" s="6" t="inlineStr">
        <is>
          <t xml:space="preserve">  bull</t>
        </is>
      </c>
      <c r="B7" s="20" t="inlineStr">
        <is>
          <t>beta 0.758 — the BOTTOM of the same interval — with the rate anchor at 1.15x and capital expenditure at 0.95x. Taking both bounds from the interval means the published range is the range the estimate itself supports. A whole-model re-run</t>
        </is>
      </c>
      <c r="C7" s="21" t="n">
        <v>10.13215941638862</v>
      </c>
    </row>
    <row r="8" ht="28" customHeight="1">
      <c r="A8" s="6" t="inlineStr">
        <is>
          <t>Relative multiples</t>
        </is>
      </c>
      <c r="B8" s="20" t="inlineStr">
        <is>
          <t>blended enterprise and earnings multiples on 2026 earnings</t>
        </is>
      </c>
      <c r="C8" s="7">
        <f>'Relative &amp; Normalized'!$C$21</f>
        <v/>
      </c>
    </row>
    <row r="9" ht="28" customHeight="1">
      <c r="A9" s="6" t="inlineStr">
        <is>
          <t>Normalised earnings power</t>
        </is>
      </c>
      <c r="B9" s="20" t="inlineStr">
        <is>
          <t>the same multiples on the five-year average of the forecast</t>
        </is>
      </c>
      <c r="C9" s="7">
        <f>'Relative &amp; Normalized'!$C$53</f>
        <v/>
      </c>
    </row>
    <row r="10" ht="28" customHeight="1">
      <c r="A10" s="6" t="inlineStr">
        <is>
          <t>Book value and sustainable return</t>
        </is>
      </c>
      <c r="B10" s="20" t="inlineStr">
        <is>
          <t>the book the company already has, plus the present value of earning more than the cost of equity on it while that lasts, plus a fading remainder — a residual income build, not a justified multiple</t>
        </is>
      </c>
      <c r="C10" s="7">
        <f>'Relative &amp; Normalized'!$C$80</f>
        <v/>
      </c>
    </row>
    <row r="12">
      <c r="A12" s="11" t="inlineStr">
        <is>
          <t>Weighted central</t>
        </is>
      </c>
      <c r="B12" s="14" t="n"/>
      <c r="C12" s="22">
        <f>Summary!$C$9</f>
        <v/>
      </c>
    </row>
    <row r="14">
      <c r="A14" s="11" t="inlineStr">
        <is>
          <t>THE CONTESTED JUDGEMENT — TWO INDEX CONSTRUCTIONS, BOTH CARRIED THROUGH IN FULL</t>
        </is>
      </c>
      <c r="B14" s="14" t="n"/>
      <c r="C14" s="14" t="n"/>
    </row>
    <row r="15" ht="26" customHeight="1">
      <c r="A15" s="6" t="inlineStr">
        <is>
          <t>Beta — weekly regression against the published index of its own exchange (primary)</t>
        </is>
      </c>
      <c r="B15" s="20" t="inlineStr">
        <is>
          <t>161 weekly observations, R-squared 15.8%, standard error 0.199, 90% confidence interval 0.758 to 1.412 — the usability gate is passed, and this is the index the method asks for</t>
        </is>
      </c>
      <c r="C15" s="23">
        <f>Assumptions!$C$14</f>
        <v/>
      </c>
    </row>
    <row r="16" ht="26" customHeight="1">
      <c r="A16" s="6" t="inlineStr">
        <is>
          <t>Cost of equity on the published-index beta</t>
        </is>
      </c>
      <c r="B16" s="20" t="inlineStr">
        <is>
          <t>normalised risk-free rate plus beta times the equity risk premium</t>
        </is>
      </c>
      <c r="C16" s="19">
        <f>DCF!$C$69</f>
        <v/>
      </c>
    </row>
    <row r="17" ht="26" customHeight="1">
      <c r="A17" s="6" t="inlineStr">
        <is>
          <t>Cost of capital on the published-index beta</t>
        </is>
      </c>
      <c r="B17" s="20" t="inlineStr">
        <is>
          <t>explicit window, market-value weights</t>
        </is>
      </c>
      <c r="C17" s="19">
        <f>DCF!$C$105</f>
        <v/>
      </c>
    </row>
    <row r="18" ht="26" customHeight="1">
      <c r="A18" s="6" t="inlineStr">
        <is>
          <t>Fair value per share — published-index beta (AED)</t>
        </is>
      </c>
      <c r="B18" s="20" t="inlineStr">
        <is>
          <t>the primary reading</t>
        </is>
      </c>
      <c r="C18" s="7">
        <f>DCF!$C$62</f>
        <v/>
      </c>
    </row>
    <row r="19" ht="26" customHeight="1">
      <c r="A19" s="6" t="inlineStr">
        <is>
          <t>Weighted central — published-index beta (AED)</t>
        </is>
      </c>
      <c r="B19" s="20" t="inlineStr">
        <is>
          <t>all four lenses</t>
        </is>
      </c>
      <c r="C19" s="7">
        <f>Summary!$C$9</f>
        <v/>
      </c>
    </row>
    <row r="20" ht="26" customHeight="1">
      <c r="A20" s="6" t="inlineStr">
        <is>
          <t>Beta — the same regression against an equal-weight composite of the same exchange's names (alternative)</t>
        </is>
      </c>
      <c r="B20" s="20" t="inlineStr">
        <is>
          <t>the published index is weighted by size and is dominated by the same large-capitalisation group this company belongs to; the composite gives the exchange's smallest names the same say as its largest. Only the measure of the market changes</t>
        </is>
      </c>
      <c r="C20" s="23">
        <f>Assumptions!$C$15</f>
        <v/>
      </c>
    </row>
    <row r="21" ht="26" customHeight="1">
      <c r="A21" s="6" t="inlineStr">
        <is>
          <t>Cost of equity on the composite-index beta</t>
        </is>
      </c>
      <c r="B21" s="20" t="inlineStr">
        <is>
          <t>the same construction, the same premium, the composite beta</t>
        </is>
      </c>
      <c r="C21" s="19">
        <f>DCF!$C$115</f>
        <v/>
      </c>
    </row>
    <row r="22" ht="26" customHeight="1">
      <c r="A22" s="6" t="inlineStr">
        <is>
          <t>Cost of capital on the composite-index beta</t>
        </is>
      </c>
      <c r="B22" s="20" t="inlineStr">
        <is>
          <t>explicit window, market-value weights</t>
        </is>
      </c>
      <c r="C22" s="19">
        <f>DCF!$C$117</f>
        <v/>
      </c>
    </row>
    <row r="23" ht="26" customHeight="1">
      <c r="A23" s="6" t="inlineStr">
        <is>
          <t>Fair value per share — composite-index beta (AED)</t>
        </is>
      </c>
      <c r="B23" s="20" t="inlineStr">
        <is>
          <t>the alternative reading</t>
        </is>
      </c>
      <c r="C23" s="7">
        <f>DCF!$C$141</f>
        <v/>
      </c>
    </row>
    <row r="24" ht="26" customHeight="1">
      <c r="A24" s="6" t="inlineStr">
        <is>
          <t>Weighted central — composite-index beta (AED)</t>
        </is>
      </c>
      <c r="B24" s="20" t="inlineStr">
        <is>
          <t>all four lenses, the discounted-cash-flow leg swapped</t>
        </is>
      </c>
      <c r="C24" s="7">
        <f>Summary!$C$13</f>
        <v/>
      </c>
    </row>
    <row r="25" ht="26" customHeight="1">
      <c r="A25" s="6" t="inlineStr">
        <is>
          <t>Beta — lower bound of the 90% confidence interval on the primary regression</t>
        </is>
      </c>
      <c r="B25" s="20" t="inlineStr">
        <is>
          <t>the bull-case beta; the bear and bull cases take the two ends of this interval rather than round numbers picked by hand</t>
        </is>
      </c>
      <c r="C25" s="23">
        <f>Assumptions!$C$16</f>
        <v/>
      </c>
    </row>
    <row r="26" ht="26" customHeight="1">
      <c r="A26" s="6" t="inlineStr">
        <is>
          <t>Beta — upper bound of the 90% confidence interval on the primary regression</t>
        </is>
      </c>
      <c r="B26" s="20" t="inlineStr">
        <is>
          <t>the bear-case beta; the published range is therefore the range the estimate itself supports</t>
        </is>
      </c>
      <c r="C26" s="23">
        <f>Assumptions!$C$17</f>
        <v/>
      </c>
    </row>
    <row r="27">
      <c r="A27" s="4" t="inlineStr">
        <is>
          <t>These two readings are published side by side and are never averaged into a single number. They are the same regression of the same weekly returns; what differs is how the market itself is measured. The published index of the exchange is what the beta method asks for and is the primary reading. The equal-weight composite is what an earlier construction of this study used, and it is kept in view because a difference of this size is a property of index construction rather than a fact about the company. The regression passes its usability gate, but the history is only three years long and the 90% interval shown above spans more than half the point estimate, so the alternative is not a stress case — it is a second legitimate answer to the same question.</t>
        </is>
      </c>
    </row>
    <row r="29">
      <c r="A29" s="11" t="inlineStr">
        <is>
          <t>EXPERT PANEL — THREE METHODS, WORKED INDEPENDENTLY</t>
        </is>
      </c>
      <c r="B29" s="14" t="n"/>
      <c r="C29" s="14" t="n"/>
      <c r="D29" s="14" t="n"/>
      <c r="E29" s="14" t="n"/>
    </row>
    <row r="30">
      <c r="A30" s="5" t="inlineStr">
        <is>
          <t>Expert</t>
        </is>
      </c>
      <c r="B30" s="5" t="inlineStr">
        <is>
          <t>Method</t>
        </is>
      </c>
      <c r="C30" s="5" t="inlineStr">
        <is>
          <t>Base (AED per share)</t>
        </is>
      </c>
      <c r="D30" s="5" t="inlineStr">
        <is>
          <t>Low</t>
        </is>
      </c>
      <c r="E30" s="5" t="inlineStr">
        <is>
          <t>High</t>
        </is>
      </c>
    </row>
    <row r="31">
      <c r="A31" s="6" t="inlineStr">
        <is>
          <t>Expert 1</t>
        </is>
      </c>
      <c r="B31" s="6" t="inlineStr">
        <is>
          <t>mid-cycle earnings power</t>
        </is>
      </c>
      <c r="C31" s="21" t="n">
        <v>7.308901618653692</v>
      </c>
      <c r="D31" s="21" t="n">
        <v>5.481676213990269</v>
      </c>
      <c r="E31" s="21" t="n">
        <v>9.136127023317115</v>
      </c>
    </row>
    <row r="32">
      <c r="A32" s="6" t="inlineStr">
        <is>
          <t>Expert 2</t>
        </is>
      </c>
      <c r="B32" s="6" t="inlineStr">
        <is>
          <t>owner cash earnings</t>
        </is>
      </c>
      <c r="C32" s="21" t="n">
        <v>6.302103806955713</v>
      </c>
      <c r="D32" s="21" t="n">
        <v>4.612173662625463</v>
      </c>
      <c r="E32" s="21" t="n">
        <v>8.85643410508878</v>
      </c>
    </row>
    <row r="33">
      <c r="A33" s="6" t="inlineStr">
        <is>
          <t>Expert 3</t>
        </is>
      </c>
      <c r="B33" s="6" t="inlineStr">
        <is>
          <t>cash returns against the cost of capital</t>
        </is>
      </c>
      <c r="C33" s="21" t="n">
        <v>4.892938708214075</v>
      </c>
      <c r="D33" s="21" t="n">
        <v>3.481417824283891</v>
      </c>
      <c r="E33" s="21" t="n">
        <v>5.996520587194937</v>
      </c>
    </row>
    <row r="34">
      <c r="A34" s="11" t="inlineStr">
        <is>
          <t>Panel average</t>
        </is>
      </c>
      <c r="B34" s="14" t="n"/>
      <c r="C34" s="12">
        <f>AVERAGE(C31:C33)</f>
        <v/>
      </c>
      <c r="D34" s="14" t="n"/>
      <c r="E34" s="1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5"/>
  <sheetViews>
    <sheetView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4">
      <c r="A4" s="11" t="inlineStr">
        <is>
          <t>Market and share anchors</t>
        </is>
      </c>
      <c r="B4" s="14" t="n"/>
      <c r="C4" s="14" t="n"/>
      <c r="D4" s="14" t="n"/>
      <c r="E4" s="14" t="n"/>
      <c r="F4" s="14" t="n"/>
      <c r="G4" s="14" t="n"/>
      <c r="H4" s="14" t="n"/>
    </row>
    <row r="5">
      <c r="A5" s="6" t="inlineStr">
        <is>
          <t>Share price (AED, Abu Dhabi Securities Exchange close)</t>
        </is>
      </c>
      <c r="C5" s="21" t="n">
        <v>6.16</v>
      </c>
    </row>
    <row r="6">
      <c r="A6" s="6" t="inlineStr">
        <is>
          <t>Shares outstanding (mn)</t>
        </is>
      </c>
      <c r="C6" s="24" t="n">
        <v>7398.498764</v>
      </c>
    </row>
    <row r="7">
      <c r="A7" s="6" t="inlineStr">
        <is>
          <t>Dirhams per US dollar (fixed parity, unchanged since 1997)</t>
        </is>
      </c>
      <c r="C7" s="25" t="n">
        <v>3.6725</v>
      </c>
    </row>
    <row r="8">
      <c r="A8" s="6" t="inlineStr">
        <is>
          <t>Stub year fraction — 31 March 2026 valuation date to 31 December 2026</t>
        </is>
      </c>
      <c r="C8" s="26" t="n">
        <v>0.75</v>
      </c>
    </row>
    <row r="9">
      <c r="A9" s="6" t="inlineStr">
        <is>
          <t>First-quarter 2026 free cash flow, already inside net debt at the valuation date (USD 000)</t>
        </is>
      </c>
      <c r="C9" s="27" t="n">
        <v>130000</v>
      </c>
    </row>
    <row r="11">
      <c r="A11" s="11" t="inlineStr">
        <is>
          <t>Cost of capital</t>
        </is>
      </c>
      <c r="B11" s="14" t="n"/>
      <c r="C11" s="14" t="n"/>
      <c r="D11" s="14" t="n"/>
      <c r="E11" s="14" t="n"/>
      <c r="F11" s="14" t="n"/>
      <c r="G11" s="14" t="n"/>
      <c r="H11" s="14" t="n"/>
    </row>
    <row r="12">
      <c r="A12" s="6" t="inlineStr">
        <is>
          <t>Observed government bond yield (dirham tranche maturing January 2031)</t>
        </is>
      </c>
      <c r="C12" s="28" t="n">
        <v>0.0448</v>
      </c>
    </row>
    <row r="13">
      <c r="A13" s="6" t="inlineStr">
        <is>
          <t>Sovereign default spread (netted out of the risk-free rate)</t>
        </is>
      </c>
      <c r="C13" s="28" t="n">
        <v>0.0042</v>
      </c>
    </row>
    <row r="14">
      <c r="A14" s="6" t="inlineStr">
        <is>
          <t>Beta — own-stock weekly regression against the published index of its own exchange</t>
        </is>
      </c>
      <c r="C14" s="29" t="n">
        <v>1.085</v>
      </c>
    </row>
    <row r="15">
      <c r="A15" s="6" t="inlineStr">
        <is>
          <t>Beta — the same regression against an equal-weight composite of that exchange's names (the disclosed alternative)</t>
        </is>
      </c>
      <c r="C15" s="29" t="n">
        <v>0.705</v>
      </c>
    </row>
    <row r="16">
      <c r="A16" s="6" t="inlineStr">
        <is>
          <t>Beta — lower bound of the regression's 90% confidence interval (the bull-case beta)</t>
        </is>
      </c>
      <c r="C16" s="29" t="n">
        <v>0.758</v>
      </c>
    </row>
    <row r="17">
      <c r="A17" s="6" t="inlineStr">
        <is>
          <t>Beta — upper bound of the regression's 90% confidence interval (the bear-case beta)</t>
        </is>
      </c>
      <c r="C17" s="29" t="n">
        <v>1.412</v>
      </c>
    </row>
    <row r="18">
      <c r="A18" s="6" t="inlineStr">
        <is>
          <t>Beta — lead-lag sum beta from the same series, one lead and two lags</t>
        </is>
      </c>
      <c r="C18" s="29" t="n">
        <v>1.164</v>
      </c>
    </row>
    <row r="19">
      <c r="A19" s="6" t="inlineStr">
        <is>
          <t>Equity risk premium (mature premium plus country risk)</t>
        </is>
      </c>
      <c r="C19" s="28" t="n">
        <v>0.0487</v>
      </c>
      <c r="H19" s="4" t="inlineStr">
        <is>
          <t>No sovereign credit-default-swap entry exists for the United Arab Emirates in the country risk file, so the alternative rating-versus-swap premium basis cannot be built for this country; one basis is published rather than two.</t>
        </is>
      </c>
    </row>
    <row r="20">
      <c r="A20" s="6" t="inlineStr">
        <is>
          <t>Terminal risk-free rate</t>
        </is>
      </c>
      <c r="C20" s="28" t="n">
        <v>0.0325</v>
      </c>
    </row>
    <row r="21">
      <c r="A21" s="6" t="inlineStr">
        <is>
          <t>Statutory corporate tax rate</t>
        </is>
      </c>
      <c r="C21" s="30" t="n">
        <v>0.09</v>
      </c>
    </row>
    <row r="23">
      <c r="A23" s="11" t="inlineStr">
        <is>
          <t>Cost of debt — the evidence behind the three constructions</t>
        </is>
      </c>
      <c r="B23" s="14" t="n"/>
      <c r="C23" s="14" t="n"/>
      <c r="D23" s="14" t="n"/>
      <c r="E23" s="14" t="n"/>
      <c r="F23" s="14" t="n"/>
      <c r="G23" s="14" t="n"/>
      <c r="H23" s="14" t="n"/>
    </row>
    <row r="24">
      <c r="A24" s="6" t="inlineStr">
        <is>
          <t>Secured overnight financing rate</t>
        </is>
      </c>
      <c r="C24" s="28" t="n">
        <v>0.0365</v>
      </c>
      <c r="H24" s="4" t="inlineStr">
        <is>
          <t>The Central Bank base rate of 3.65% was maintained at the 29 July 2026 decision; the last change was a 25 basis point cut from 3.90% on 10 December 2025.</t>
        </is>
      </c>
    </row>
    <row r="25">
      <c r="A25" s="6" t="inlineStr">
        <is>
          <t>Parent revolving credit facility margin</t>
        </is>
      </c>
      <c r="C25" s="28" t="n">
        <v>0.008</v>
      </c>
    </row>
    <row r="26">
      <c r="A26" s="6" t="inlineStr">
        <is>
          <t>Third-party bank loans — low end of the disclosed range</t>
        </is>
      </c>
      <c r="C26" s="28" t="n">
        <v>0.0711</v>
      </c>
    </row>
    <row r="27">
      <c r="A27" s="6" t="inlineStr">
        <is>
          <t>Third-party bank loans — high end of the disclosed range</t>
        </is>
      </c>
      <c r="C27" s="28" t="n">
        <v>0.0755</v>
      </c>
    </row>
    <row r="28">
      <c r="A28" s="6" t="inlineStr">
        <is>
          <t>Other third-party borrowings — low end of the disclosed range</t>
        </is>
      </c>
      <c r="C28" s="28" t="n">
        <v>0.0436</v>
      </c>
    </row>
    <row r="29">
      <c r="A29" s="6" t="inlineStr">
        <is>
          <t>Other third-party borrowings — high end of the disclosed range</t>
        </is>
      </c>
      <c r="C29" s="28" t="n">
        <v>0.08309999999999999</v>
      </c>
    </row>
    <row r="30">
      <c r="A30" s="6" t="inlineStr">
        <is>
          <t>Lease interest charged in 2025 (USD 000)</t>
        </is>
      </c>
      <c r="C30" s="27" t="n">
        <v>12719</v>
      </c>
    </row>
    <row r="31">
      <c r="A31" s="6" t="inlineStr">
        <is>
          <t>Lease liabilities, opening balance 2025 (USD 000)</t>
        </is>
      </c>
      <c r="C31" s="27" t="n">
        <v>170274</v>
      </c>
    </row>
    <row r="32">
      <c r="A32" s="6" t="inlineStr">
        <is>
          <t>Lease liabilities, closing balance 2025 (USD 000)</t>
        </is>
      </c>
      <c r="C32" s="27" t="n">
        <v>223153</v>
      </c>
    </row>
    <row r="33">
      <c r="A33" s="6" t="inlineStr">
        <is>
          <t>Shareholder loan at 31 March 2026 (USD 000)</t>
        </is>
      </c>
      <c r="C33" s="27" t="n">
        <v>500000</v>
      </c>
    </row>
    <row r="34">
      <c r="A34" s="6" t="inlineStr">
        <is>
          <t>Third-party borrowings at 31 March 2026 (USD 000)</t>
        </is>
      </c>
      <c r="C34" s="27" t="n">
        <v>402763</v>
      </c>
    </row>
    <row r="35">
      <c r="A35" s="6" t="inlineStr">
        <is>
          <t>Lease liabilities at 31 March 2026 (USD 000)</t>
        </is>
      </c>
      <c r="C35" s="27" t="n">
        <v>212449</v>
      </c>
    </row>
    <row r="37">
      <c r="A37" s="11" t="inlineStr">
        <is>
          <t>Tanker fleet — vessel counts by class</t>
        </is>
      </c>
      <c r="B37" s="14" t="inlineStr">
        <is>
          <t>Handysize</t>
        </is>
      </c>
      <c r="C37" s="14" t="inlineStr">
        <is>
          <t>Medium range</t>
        </is>
      </c>
      <c r="D37" s="14" t="inlineStr">
        <is>
          <t>Long range 1</t>
        </is>
      </c>
      <c r="E37" s="14" t="inlineStr">
        <is>
          <t>Long range 2</t>
        </is>
      </c>
      <c r="F37" s="14" t="inlineStr">
        <is>
          <t>Very large crude carrier</t>
        </is>
      </c>
      <c r="G37" s="14" t="n"/>
      <c r="H37" s="14" t="n"/>
    </row>
    <row r="38">
      <c r="A38" s="6" t="inlineStr">
        <is>
          <t>Vessels owned at 31 December 2025</t>
        </is>
      </c>
      <c r="B38" s="27" t="n">
        <v>2</v>
      </c>
      <c r="C38" s="27" t="n">
        <v>16</v>
      </c>
      <c r="D38" s="27" t="n">
        <v>9</v>
      </c>
      <c r="E38" s="27" t="n">
        <v>17</v>
      </c>
      <c r="F38" s="27" t="n">
        <v>9</v>
      </c>
    </row>
    <row r="39">
      <c r="A39" s="6" t="inlineStr">
        <is>
          <t>Less vessels sold between the year end and the valuation date</t>
        </is>
      </c>
      <c r="B39" s="27" t="n">
        <v>0</v>
      </c>
      <c r="C39" s="27" t="n">
        <v>0</v>
      </c>
      <c r="D39" s="27" t="n">
        <v>0</v>
      </c>
      <c r="E39" s="27" t="n">
        <v>0</v>
      </c>
      <c r="F39" s="27" t="n">
        <v>1</v>
      </c>
    </row>
    <row r="41">
      <c r="A41" s="11" t="inlineStr">
        <is>
          <t>Tanker rates — the published blended rate by class and quarter (USD per day). It is a BLEND across the whole class, charters out included; the spot rate is solved out of it on the Segments sheet, never read off it</t>
        </is>
      </c>
      <c r="B41" s="14" t="inlineStr">
        <is>
          <t>First quarter</t>
        </is>
      </c>
      <c r="C41" s="14" t="inlineStr">
        <is>
          <t>Second quarter</t>
        </is>
      </c>
      <c r="D41" s="14" t="inlineStr">
        <is>
          <t>Third quarter</t>
        </is>
      </c>
      <c r="E41" s="14" t="inlineStr">
        <is>
          <t>Fourth quarter</t>
        </is>
      </c>
      <c r="F41" s="14" t="n"/>
      <c r="G41" s="14" t="n"/>
      <c r="H41" s="14" t="n"/>
    </row>
    <row r="42">
      <c r="A42" s="6" t="inlineStr">
        <is>
          <t>Long range 1 — 2024</t>
        </is>
      </c>
      <c r="B42" s="27" t="n">
        <v>51645</v>
      </c>
      <c r="C42" s="27" t="n">
        <v>49424</v>
      </c>
      <c r="D42" s="27" t="n">
        <v>31911</v>
      </c>
      <c r="E42" s="27" t="n">
        <v>27640</v>
      </c>
    </row>
    <row r="43">
      <c r="A43" s="6" t="inlineStr">
        <is>
          <t>Long range 2 — 2024</t>
        </is>
      </c>
      <c r="B43" s="27" t="n">
        <v>60038</v>
      </c>
      <c r="C43" s="27" t="n">
        <v>63734</v>
      </c>
      <c r="D43" s="27" t="n">
        <v>36237</v>
      </c>
      <c r="E43" s="27" t="n">
        <v>32034</v>
      </c>
    </row>
    <row r="44">
      <c r="A44" s="6" t="inlineStr">
        <is>
          <t>Very large crude carrier — 2024</t>
        </is>
      </c>
      <c r="B44" s="27" t="n">
        <v>54580</v>
      </c>
      <c r="C44" s="27" t="n">
        <v>46097</v>
      </c>
      <c r="D44" s="27" t="n">
        <v>39681</v>
      </c>
      <c r="E44" s="27" t="n">
        <v>33167</v>
      </c>
    </row>
    <row r="45">
      <c r="A45" s="6" t="inlineStr">
        <is>
          <t>Medium range — 2025</t>
        </is>
      </c>
      <c r="B45" s="27" t="n">
        <v>23459</v>
      </c>
      <c r="C45" s="27" t="n">
        <v>25161</v>
      </c>
      <c r="D45" s="27" t="n">
        <v>23391</v>
      </c>
      <c r="E45" s="27" t="n">
        <v>24547</v>
      </c>
      <c r="H45" s="4" t="inlineStr">
        <is>
          <t>The handysize class is not broken out in the disclosure, so the medium-range rate stands in for it — SCALED by the disclosed relative move, because the company said handysize rates fell 21% while medium range rose 29%, and an unadjusted substitution therefore had the sign wrong. The gap is still flagged. The 2024 quarterly rates for the medium-range class are not disclosed either, so its 2025 average stands in on both sides of the mid-cycle average.</t>
        </is>
      </c>
    </row>
    <row r="46">
      <c r="A46" s="6" t="inlineStr">
        <is>
          <t>Long range 1 — 2025</t>
        </is>
      </c>
      <c r="B46" s="27" t="n">
        <v>21546</v>
      </c>
      <c r="C46" s="27" t="n">
        <v>24225</v>
      </c>
      <c r="D46" s="27" t="n">
        <v>24452</v>
      </c>
      <c r="E46" s="27" t="n">
        <v>26574</v>
      </c>
    </row>
    <row r="47">
      <c r="A47" s="6" t="inlineStr">
        <is>
          <t>Long range 2 — 2025</t>
        </is>
      </c>
      <c r="B47" s="27" t="n">
        <v>31033</v>
      </c>
      <c r="C47" s="27" t="n">
        <v>35533</v>
      </c>
      <c r="D47" s="27" t="n">
        <v>34410</v>
      </c>
      <c r="E47" s="27" t="n">
        <v>41973</v>
      </c>
    </row>
    <row r="48">
      <c r="A48" s="6" t="inlineStr">
        <is>
          <t>Very large crude carrier — 2025</t>
        </is>
      </c>
      <c r="B48" s="27" t="n">
        <v>39245</v>
      </c>
      <c r="C48" s="27" t="n">
        <v>44350</v>
      </c>
      <c r="D48" s="27" t="n">
        <v>40996</v>
      </c>
      <c r="E48" s="27" t="n">
        <v>85273</v>
      </c>
    </row>
    <row r="50">
      <c r="A50" s="11" t="inlineStr">
        <is>
          <t>Tanker rates — the published blended rate by class, the two disclosed quarters of 2026 (USD per day)</t>
        </is>
      </c>
      <c r="B50" s="14" t="inlineStr">
        <is>
          <t>First quarter 2026</t>
        </is>
      </c>
      <c r="C50" s="14" t="inlineStr">
        <is>
          <t>Second quarter 2026</t>
        </is>
      </c>
      <c r="D50" s="14" t="n"/>
      <c r="E50" s="14" t="n"/>
      <c r="F50" s="14" t="n"/>
      <c r="G50" s="14" t="n"/>
      <c r="H50" s="14" t="n"/>
    </row>
    <row r="51">
      <c r="A51" s="6" t="inlineStr">
        <is>
          <t>Medium range</t>
        </is>
      </c>
      <c r="B51" s="27" t="n">
        <v>30000</v>
      </c>
      <c r="C51" s="27" t="n">
        <v>44000</v>
      </c>
    </row>
    <row r="52">
      <c r="A52" s="6" t="inlineStr">
        <is>
          <t>Long range 1</t>
        </is>
      </c>
      <c r="B52" s="27" t="n">
        <v>36000</v>
      </c>
      <c r="C52" s="27" t="n">
        <v>55000</v>
      </c>
    </row>
    <row r="53">
      <c r="A53" s="6" t="inlineStr">
        <is>
          <t>Long range 2</t>
        </is>
      </c>
      <c r="B53" s="27" t="n">
        <v>58000</v>
      </c>
      <c r="C53" s="27" t="n">
        <v>95000</v>
      </c>
    </row>
    <row r="54">
      <c r="A54" s="6" t="inlineStr">
        <is>
          <t>Very large crude carrier</t>
        </is>
      </c>
      <c r="B54" s="27" t="n">
        <v>145000</v>
      </c>
      <c r="C54" s="27" t="n">
        <v>260000</v>
      </c>
    </row>
    <row r="56">
      <c r="A56" s="11" t="inlineStr">
        <is>
          <t>The smallest tankers, which the rate disclosure does not break out</t>
        </is>
      </c>
      <c r="B56" s="14" t="n"/>
      <c r="C56" s="14" t="n"/>
      <c r="D56" s="14" t="n"/>
      <c r="E56" s="14" t="n"/>
      <c r="F56" s="14" t="n"/>
      <c r="G56" s="14" t="n"/>
      <c r="H56" s="14" t="n"/>
    </row>
    <row r="57">
      <c r="A57" s="6" t="inlineStr">
        <is>
          <t>Handysize rate as a proportion of the medium-range rate — the company disclosed Handysize DOWN 21% against medium range UP 29%, so the two smallest classes moved in OPPOSITE directions and the medium-range rate cannot stand in for the smallest unadjusted. It scales the medium-range rate in every window and on both sides of the mid-cycle average</t>
        </is>
      </c>
      <c r="C57" s="26" t="n">
        <v>0.79</v>
      </c>
    </row>
    <row r="59">
      <c r="A59" s="11" t="inlineStr">
        <is>
          <t>Tanker charters out — the twelve fixtures as disclosed, each at its own rate for exactly the days its own contract runs</t>
        </is>
      </c>
      <c r="B59" s="14" t="inlineStr">
        <is>
          <t>Rate (USD per day)</t>
        </is>
      </c>
      <c r="C59" s="14" t="inlineStr">
        <is>
          <t>Contract begins</t>
        </is>
      </c>
      <c r="D59" s="14" t="inlineStr">
        <is>
          <t>Contract ends</t>
        </is>
      </c>
      <c r="E59" s="14" t="n"/>
      <c r="F59" s="14" t="n"/>
      <c r="G59" s="14" t="n"/>
      <c r="H59" s="14" t="n"/>
    </row>
    <row r="60">
      <c r="A60" s="6" t="inlineStr">
        <is>
          <t>Navig8 Macallister — long range 1, fixed for 20 months</t>
        </is>
      </c>
      <c r="B60" s="27" t="n">
        <v>19750</v>
      </c>
      <c r="C60" s="31" t="n">
        <v>45866</v>
      </c>
      <c r="D60" s="31" t="n">
        <v>46474</v>
      </c>
    </row>
    <row r="61">
      <c r="A61" s="6" t="inlineStr">
        <is>
          <t>Navig8 Martinez — long range 1, fixed for 32 months</t>
        </is>
      </c>
      <c r="B61" s="27" t="n">
        <v>19750</v>
      </c>
      <c r="C61" s="31" t="n">
        <v>45866</v>
      </c>
      <c r="D61" s="31" t="n">
        <v>46840</v>
      </c>
    </row>
    <row r="62">
      <c r="A62" s="6" t="inlineStr">
        <is>
          <t>Navig8 Prosperity — long range 2, fixed for 36 months</t>
        </is>
      </c>
      <c r="B62" s="27" t="n">
        <v>30561</v>
      </c>
      <c r="C62" s="31" t="n">
        <v>45050</v>
      </c>
      <c r="D62" s="31" t="n">
        <v>46146</v>
      </c>
    </row>
    <row r="63">
      <c r="A63" s="6" t="inlineStr">
        <is>
          <t>Navig8 Promise — long range 2, fixed for 12 months</t>
        </is>
      </c>
      <c r="B63" s="27" t="n">
        <v>32125</v>
      </c>
      <c r="C63" s="31" t="n">
        <v>45840</v>
      </c>
      <c r="D63" s="31" t="n">
        <v>46205</v>
      </c>
    </row>
    <row r="64">
      <c r="A64" s="6" t="inlineStr">
        <is>
          <t>Navig8 Pride — long range 2, fixed for 12 months</t>
        </is>
      </c>
      <c r="B64" s="27" t="n">
        <v>32125</v>
      </c>
      <c r="C64" s="31" t="n">
        <v>45847</v>
      </c>
      <c r="D64" s="31" t="n">
        <v>46212</v>
      </c>
    </row>
    <row r="65">
      <c r="A65" s="6" t="inlineStr">
        <is>
          <t>Navig8 Prestige — long range 2, fixed for 12 months</t>
        </is>
      </c>
      <c r="B65" s="27" t="n">
        <v>36850</v>
      </c>
      <c r="C65" s="31" t="n">
        <v>45938</v>
      </c>
      <c r="D65" s="31" t="n">
        <v>46303</v>
      </c>
    </row>
    <row r="66">
      <c r="A66" s="6" t="inlineStr">
        <is>
          <t>Navig8 Providence — long range 2, fixed for 12 months</t>
        </is>
      </c>
      <c r="B66" s="27" t="n">
        <v>42000</v>
      </c>
      <c r="C66" s="31" t="n">
        <v>46053</v>
      </c>
      <c r="D66" s="31" t="n">
        <v>46418</v>
      </c>
    </row>
    <row r="67">
      <c r="A67" s="6" t="inlineStr">
        <is>
          <t>Navig8 Passion — long range 2, fixed for 12 months</t>
        </is>
      </c>
      <c r="B67" s="27" t="n">
        <v>42000</v>
      </c>
      <c r="C67" s="31" t="n">
        <v>46059</v>
      </c>
      <c r="D67" s="31" t="n">
        <v>46424</v>
      </c>
    </row>
    <row r="68">
      <c r="A68" s="6" t="inlineStr">
        <is>
          <t>Zakum — very large crude carrier, fixed for 22 months</t>
        </is>
      </c>
      <c r="B68" s="27" t="n">
        <v>50633</v>
      </c>
      <c r="C68" s="31" t="n">
        <v>45963</v>
      </c>
      <c r="D68" s="31" t="n">
        <v>46632</v>
      </c>
    </row>
    <row r="69">
      <c r="A69" s="6" t="inlineStr">
        <is>
          <t>Hili — very large crude carrier, fixed for 22 months</t>
        </is>
      </c>
      <c r="B69" s="27" t="n">
        <v>50633</v>
      </c>
      <c r="C69" s="31" t="n">
        <v>45977</v>
      </c>
      <c r="D69" s="31" t="n">
        <v>46646</v>
      </c>
    </row>
    <row r="70">
      <c r="A70" s="6" t="inlineStr">
        <is>
          <t>Arzanah — very large crude carrier, fixed for 12 months</t>
        </is>
      </c>
      <c r="B70" s="27" t="n">
        <v>70000</v>
      </c>
      <c r="C70" s="31" t="n">
        <v>46054</v>
      </c>
      <c r="D70" s="31" t="n">
        <v>46419</v>
      </c>
    </row>
    <row r="71">
      <c r="A71" s="6" t="inlineStr">
        <is>
          <t>Habshan — very large crude carrier, fixed for 12 months</t>
        </is>
      </c>
      <c r="B71" s="27" t="n">
        <v>72500</v>
      </c>
      <c r="C71" s="31" t="n">
        <v>46074</v>
      </c>
      <c r="D71" s="31" t="n">
        <v>46439</v>
      </c>
    </row>
    <row r="73">
      <c r="A73" s="11" t="inlineStr">
        <is>
          <t>Rate windows and forecast years — the calendar the fleet build runs on (dates)</t>
        </is>
      </c>
      <c r="B73" s="14" t="inlineStr">
        <is>
          <t>Q1 2025</t>
        </is>
      </c>
      <c r="C73" s="14" t="inlineStr">
        <is>
          <t>Q2 2025</t>
        </is>
      </c>
      <c r="D73" s="14" t="inlineStr">
        <is>
          <t>Q3 2025</t>
        </is>
      </c>
      <c r="E73" s="14" t="inlineStr">
        <is>
          <t>Q4 2025</t>
        </is>
      </c>
      <c r="F73" s="14" t="inlineStr">
        <is>
          <t>Q1 2026</t>
        </is>
      </c>
      <c r="G73" s="14" t="inlineStr">
        <is>
          <t>Q2 2026</t>
        </is>
      </c>
      <c r="H73" s="14" t="n"/>
    </row>
    <row r="74">
      <c r="A74" s="6" t="inlineStr">
        <is>
          <t>Rate window begins</t>
        </is>
      </c>
      <c r="B74" s="31" t="n">
        <v>45658</v>
      </c>
      <c r="C74" s="31" t="n">
        <v>45748</v>
      </c>
      <c r="D74" s="31" t="n">
        <v>45839</v>
      </c>
      <c r="E74" s="31" t="n">
        <v>45931</v>
      </c>
      <c r="F74" s="31" t="n">
        <v>46023</v>
      </c>
      <c r="G74" s="31" t="n">
        <v>46113</v>
      </c>
    </row>
    <row r="75">
      <c r="A75" s="6" t="inlineStr">
        <is>
          <t>Rate window ends — each window closes where the next one opens; the last is the disclosed quarter end</t>
        </is>
      </c>
      <c r="B75" s="32">
        <f>C74</f>
        <v/>
      </c>
      <c r="C75" s="32">
        <f>D74</f>
        <v/>
      </c>
      <c r="D75" s="32">
        <f>E74</f>
        <v/>
      </c>
      <c r="E75" s="32">
        <f>F74</f>
        <v/>
      </c>
      <c r="F75" s="32">
        <f>G74</f>
        <v/>
      </c>
      <c r="G75" s="31" t="n">
        <v>46204</v>
      </c>
    </row>
    <row r="77">
      <c r="A77" s="11" t="inlineStr">
        <is>
          <t>Forecast years (dates)</t>
        </is>
      </c>
      <c r="B77" s="14" t="inlineStr">
        <is>
          <t>FY2026</t>
        </is>
      </c>
      <c r="C77" s="14" t="inlineStr">
        <is>
          <t>FY2027</t>
        </is>
      </c>
      <c r="D77" s="14" t="inlineStr">
        <is>
          <t>FY2028</t>
        </is>
      </c>
      <c r="E77" s="14" t="inlineStr">
        <is>
          <t>FY2029</t>
        </is>
      </c>
      <c r="F77" s="14" t="inlineStr">
        <is>
          <t>FY2030</t>
        </is>
      </c>
      <c r="G77" s="14" t="n"/>
      <c r="H77" s="14" t="n"/>
    </row>
    <row r="78">
      <c r="A78" s="6" t="inlineStr">
        <is>
          <t>Forecast year begins</t>
        </is>
      </c>
      <c r="B78" s="32">
        <f>F74</f>
        <v/>
      </c>
      <c r="C78" s="31" t="n">
        <v>46388</v>
      </c>
      <c r="D78" s="31" t="n">
        <v>46753</v>
      </c>
      <c r="E78" s="31" t="n">
        <v>47119</v>
      </c>
      <c r="F78" s="31" t="n">
        <v>47484</v>
      </c>
    </row>
    <row r="79">
      <c r="A79" s="6" t="inlineStr">
        <is>
          <t>Forecast year ends — each year closes where the next one opens</t>
        </is>
      </c>
      <c r="B79" s="32">
        <f>C78</f>
        <v/>
      </c>
      <c r="C79" s="32">
        <f>D78</f>
        <v/>
      </c>
      <c r="D79" s="32">
        <f>E78</f>
        <v/>
      </c>
      <c r="E79" s="32">
        <f>F78</f>
        <v/>
      </c>
      <c r="F79" s="31" t="n">
        <v>47849</v>
      </c>
    </row>
    <row r="81">
      <c r="A81" s="11" t="inlineStr">
        <is>
          <t>THE FLEET PURCHASE ANNOUNCED 7 AUGUST 2026 — eleven vessels for about USD 1.3 billion, announced on the anchor date of this study and therefore already inside the market price the valuation is compared against</t>
        </is>
      </c>
      <c r="B81" s="14" t="inlineStr">
        <is>
          <t>Vessels</t>
        </is>
      </c>
      <c r="C81" s="14" t="inlineStr">
        <is>
          <t>Delivery date</t>
        </is>
      </c>
      <c r="D81" s="14" t="n"/>
      <c r="E81" s="14" t="n"/>
      <c r="F81" s="14" t="n"/>
      <c r="G81" s="14" t="n"/>
      <c r="H81" s="14" t="n"/>
    </row>
    <row r="82">
      <c r="A82" s="6" t="inlineStr">
        <is>
          <t>Purchase price — added BOTH to net debt, because it is committed and funded, and to the opening asset base, so it depreciates and shields tax (USD 000)</t>
        </is>
      </c>
      <c r="C82" s="27" t="n">
        <v>1300000</v>
      </c>
    </row>
    <row r="83">
      <c r="A83" s="6" t="inlineStr">
        <is>
          <t>Very large crude carriers bought secondhand — they join the spot fleet on delivery and earn at the implied spot rate from that date</t>
        </is>
      </c>
      <c r="B83" s="27" t="n">
        <v>6</v>
      </c>
      <c r="C83" s="31" t="n">
        <v>46266</v>
      </c>
    </row>
    <row r="84">
      <c r="A84" s="6" t="inlineStr">
        <is>
          <t>Gas carriers acquired in total — they add contracted vessel-years to the gas fleet</t>
        </is>
      </c>
      <c r="B84" s="27" t="n">
        <v>5</v>
      </c>
    </row>
    <row r="85">
      <c r="A85" s="6" t="inlineStr">
        <is>
          <t>Of which bought secondhand, delivering in the third quarter</t>
        </is>
      </c>
      <c r="B85" s="27" t="n">
        <v>3</v>
      </c>
      <c r="C85" s="31" t="n">
        <v>46266</v>
      </c>
    </row>
    <row r="86">
      <c r="A86" s="6" t="inlineStr">
        <is>
          <t>Of which newbuildings resold from the yard, delivering in the fourth quarter</t>
        </is>
      </c>
      <c r="B86" s="33">
        <f>B84-B85</f>
        <v/>
      </c>
      <c r="C86" s="31" t="n">
        <v>46341</v>
      </c>
    </row>
    <row r="87">
      <c r="A87" s="34" t="inlineStr">
        <is>
          <t>Vessels acquired in total</t>
        </is>
      </c>
      <c r="B87" s="35">
        <f>B83+B84</f>
        <v/>
      </c>
    </row>
    <row r="89">
      <c r="A89" s="11" t="inlineStr">
        <is>
          <t>Tanker fleet — rate path and running cost</t>
        </is>
      </c>
      <c r="B89" s="14" t="n"/>
      <c r="C89" s="14" t="n"/>
      <c r="D89" s="14" t="n"/>
      <c r="E89" s="14" t="n"/>
      <c r="F89" s="14" t="n"/>
      <c r="G89" s="14" t="n"/>
      <c r="H89" s="14" t="n"/>
    </row>
    <row r="90">
      <c r="A90" s="6" t="inlineStr">
        <is>
          <t>Weight on the 2025 implied spot rate in setting the second half of 2026</t>
        </is>
      </c>
      <c r="C90" s="30" t="n">
        <v>0.5</v>
      </c>
    </row>
    <row r="91">
      <c r="A91" s="6" t="inlineStr">
        <is>
          <t>All-in running cost per vessel per day (USD)</t>
        </is>
      </c>
      <c r="C91" s="17">
        <f>Segments!B142</f>
        <v/>
      </c>
      <c r="H91" s="4" t="inlineStr">
        <is>
          <t>GREEN, NOT BLUE. The running cost per vessel-day is not an assumption: it is solved on the Segments sheet so that the same construction reproduces the tanker earnings the company actually reported for 2025. The same is true of the gas-carrier day rate, the three days ratios and the opening net working capital immediately below.</t>
        </is>
      </c>
    </row>
    <row r="92">
      <c r="A92" s="6" t="inlineStr">
        <is>
          <t>Running-cost escalation (services and wages)</t>
        </is>
      </c>
      <c r="C92" s="30" t="n">
        <v>0.02</v>
      </c>
    </row>
    <row r="93">
      <c r="A93" s="6" t="inlineStr">
        <is>
          <t>Gross-up from time-charter-equivalent revenue to reported revenue</t>
        </is>
      </c>
      <c r="C93" s="26" t="n">
        <v>1.6</v>
      </c>
    </row>
    <row r="95">
      <c r="A95" s="11" t="inlineStr">
        <is>
          <t>Gas carriers</t>
        </is>
      </c>
      <c r="B95" s="14" t="n"/>
      <c r="C95" s="14" t="n"/>
      <c r="D95" s="14" t="n"/>
      <c r="E95" s="14" t="n"/>
      <c r="F95" s="14" t="n"/>
      <c r="G95" s="14" t="n"/>
      <c r="H95" s="14" t="n"/>
    </row>
    <row r="96">
      <c r="A96" s="6" t="inlineStr">
        <is>
          <t>Consolidated gas vessels in service through 2025 (vessel-years)</t>
        </is>
      </c>
      <c r="C96" s="24" t="n">
        <v>8</v>
      </c>
    </row>
    <row r="97">
      <c r="A97" s="6" t="inlineStr">
        <is>
          <t>Gas carriers — implied revenue per vessel-day (USD)</t>
        </is>
      </c>
      <c r="C97" s="18">
        <f>Segments!B153</f>
        <v/>
      </c>
    </row>
    <row r="98">
      <c r="A98" s="6" t="inlineStr">
        <is>
          <t>Gas carriers — earnings margin</t>
        </is>
      </c>
      <c r="C98" s="30" t="n">
        <v>0.7</v>
      </c>
    </row>
    <row r="99">
      <c r="A99" s="6" t="inlineStr">
        <is>
          <t>Share of joint-venture profit carried in the disclosed 2025 Gas Carriers earnings (USD 000)</t>
        </is>
      </c>
      <c r="C99" s="27" t="n">
        <v>21313</v>
      </c>
    </row>
    <row r="100">
      <c r="A100" s="6" t="inlineStr">
        <is>
          <t>Share of joint-venture profit carried in the disclosed 2025 Services earnings (USD 000)</t>
        </is>
      </c>
      <c r="C100" s="27" t="n">
        <v>16079</v>
      </c>
    </row>
    <row r="102">
      <c r="A102" s="11" t="inlineStr">
        <is>
          <t>Gas-carrier contract table — the vessel-years the fleet is contracted for, before and after the August 2026 purchase</t>
        </is>
      </c>
      <c r="B102" s="14" t="inlineStr">
        <is>
          <t>FY2026</t>
        </is>
      </c>
      <c r="C102" s="14" t="inlineStr">
        <is>
          <t>FY2027</t>
        </is>
      </c>
      <c r="D102" s="14" t="inlineStr">
        <is>
          <t>FY2028</t>
        </is>
      </c>
      <c r="E102" s="14" t="inlineStr">
        <is>
          <t>FY2029</t>
        </is>
      </c>
      <c r="F102" s="14" t="inlineStr">
        <is>
          <t>FY2030</t>
        </is>
      </c>
      <c r="G102" s="14" t="n"/>
      <c r="H102" s="14" t="n"/>
    </row>
    <row r="103">
      <c r="A103" s="6" t="inlineStr">
        <is>
          <t>Contracted vessel-years before that purchase — the disclosed contract table</t>
        </is>
      </c>
      <c r="B103" s="24" t="n">
        <v>10.73972602739726</v>
      </c>
      <c r="C103" s="24" t="n">
        <v>13</v>
      </c>
      <c r="D103" s="24" t="n">
        <v>21.25</v>
      </c>
      <c r="E103" s="24" t="n">
        <v>25</v>
      </c>
      <c r="F103" s="24" t="n">
        <v>25</v>
      </c>
    </row>
    <row r="104">
      <c r="A104" s="6" t="inlineStr">
        <is>
          <t>Vessel-years the gas carriers bought in August 2026 add — each tranche from its own delivery date</t>
        </is>
      </c>
      <c r="B104" s="36">
        <f>(Assumptions!$B$85*MAX(Assumptions!$B$79-MAX(Assumptions!$B$78,Assumptions!$C$85),0)+Assumptions!$B$86*MAX(Assumptions!$B$79-MAX(Assumptions!$B$78,Assumptions!$C$86),0))/(Assumptions!$B$79-Assumptions!$B$78)</f>
        <v/>
      </c>
      <c r="C104" s="36">
        <f>(Assumptions!$B$85*MAX(Assumptions!$C$79-MAX(Assumptions!$C$78,Assumptions!$C$85),0)+Assumptions!$B$86*MAX(Assumptions!$C$79-MAX(Assumptions!$C$78,Assumptions!$C$86),0))/(Assumptions!$C$79-Assumptions!$C$78)</f>
        <v/>
      </c>
      <c r="D104" s="36">
        <f>(Assumptions!$B$85*MAX(Assumptions!$D$79-MAX(Assumptions!$D$78,Assumptions!$C$85),0)+Assumptions!$B$86*MAX(Assumptions!$D$79-MAX(Assumptions!$D$78,Assumptions!$C$86),0))/(Assumptions!$D$79-Assumptions!$D$78)</f>
        <v/>
      </c>
      <c r="E104" s="36">
        <f>(Assumptions!$B$85*MAX(Assumptions!$E$79-MAX(Assumptions!$E$78,Assumptions!$C$85),0)+Assumptions!$B$86*MAX(Assumptions!$E$79-MAX(Assumptions!$E$78,Assumptions!$C$86),0))/(Assumptions!$E$79-Assumptions!$E$78)</f>
        <v/>
      </c>
      <c r="F104" s="36">
        <f>(Assumptions!$B$85*MAX(Assumptions!$F$79-MAX(Assumptions!$F$78,Assumptions!$C$85),0)+Assumptions!$B$86*MAX(Assumptions!$F$79-MAX(Assumptions!$F$78,Assumptions!$C$86),0))/(Assumptions!$F$79-Assumptions!$F$78)</f>
        <v/>
      </c>
    </row>
    <row r="105">
      <c r="A105" s="6" t="inlineStr">
        <is>
          <t>Gas carriers — contracted vessel-years</t>
        </is>
      </c>
      <c r="B105" s="37">
        <f>B103+B104</f>
        <v/>
      </c>
      <c r="C105" s="37">
        <f>C103+C104</f>
        <v/>
      </c>
      <c r="D105" s="37">
        <f>D103+D104</f>
        <v/>
      </c>
      <c r="E105" s="37">
        <f>E103+E104</f>
        <v/>
      </c>
      <c r="F105" s="37">
        <f>F103+F104</f>
        <v/>
      </c>
    </row>
    <row r="107">
      <c r="A107" s="11" t="inlineStr">
        <is>
          <t>The remaining five units — revenue and margin drivers</t>
        </is>
      </c>
      <c r="B107" s="14" t="inlineStr">
        <is>
          <t>FY2026</t>
        </is>
      </c>
      <c r="C107" s="14" t="inlineStr">
        <is>
          <t>FY2027</t>
        </is>
      </c>
      <c r="D107" s="14" t="inlineStr">
        <is>
          <t>FY2028</t>
        </is>
      </c>
      <c r="E107" s="14" t="inlineStr">
        <is>
          <t>FY2029</t>
        </is>
      </c>
      <c r="F107" s="14" t="inlineStr">
        <is>
          <t>FY2030</t>
        </is>
      </c>
      <c r="G107" s="14" t="n"/>
      <c r="H107" s="14" t="n"/>
    </row>
    <row r="108">
      <c r="A108" s="6" t="inlineStr">
        <is>
          <t>Offshore Contracting — revenue (USD 000)</t>
        </is>
      </c>
      <c r="B108" s="27" t="n">
        <v>1248192</v>
      </c>
      <c r="C108" s="27" t="n">
        <v>1298120</v>
      </c>
      <c r="D108" s="27" t="n">
        <v>1350044</v>
      </c>
      <c r="E108" s="27" t="n">
        <v>1404046</v>
      </c>
      <c r="F108" s="27" t="n">
        <v>1460208</v>
      </c>
    </row>
    <row r="109">
      <c r="A109" s="6" t="inlineStr">
        <is>
          <t>Offshore Contracting — earnings margin</t>
        </is>
      </c>
      <c r="B109" s="30" t="n">
        <v>0.385</v>
      </c>
      <c r="C109" s="30" t="n">
        <v>0.415</v>
      </c>
      <c r="D109" s="30" t="n">
        <v>0.43</v>
      </c>
      <c r="E109" s="30" t="n">
        <v>0.43</v>
      </c>
      <c r="F109" s="30" t="n">
        <v>0.43</v>
      </c>
    </row>
    <row r="110">
      <c r="A110" s="6" t="inlineStr">
        <is>
          <t>Offshore Services — revenue (USD 000)</t>
        </is>
      </c>
      <c r="B110" s="27" t="n">
        <v>662856</v>
      </c>
      <c r="C110" s="27" t="n">
        <v>696000</v>
      </c>
      <c r="D110" s="27" t="n">
        <v>730800</v>
      </c>
      <c r="E110" s="27" t="n">
        <v>767340</v>
      </c>
      <c r="F110" s="27" t="n">
        <v>805707</v>
      </c>
    </row>
    <row r="111">
      <c r="A111" s="6" t="inlineStr">
        <is>
          <t>Offshore Services — earnings margin</t>
        </is>
      </c>
      <c r="B111" s="30" t="n">
        <v>0.287</v>
      </c>
      <c r="C111" s="30" t="n">
        <v>0.29</v>
      </c>
      <c r="D111" s="30" t="n">
        <v>0.29</v>
      </c>
      <c r="E111" s="30" t="n">
        <v>0.29</v>
      </c>
      <c r="F111" s="30" t="n">
        <v>0.29</v>
      </c>
    </row>
    <row r="112">
      <c r="A112" s="6" t="inlineStr">
        <is>
          <t>Offshore Projects — revenue (USD 000)</t>
        </is>
      </c>
      <c r="B112" s="27" t="n">
        <v>125000</v>
      </c>
      <c r="C112" s="27" t="n">
        <v>200000</v>
      </c>
      <c r="D112" s="27" t="n">
        <v>250000</v>
      </c>
      <c r="E112" s="27" t="n">
        <v>275000</v>
      </c>
      <c r="F112" s="27" t="n">
        <v>300000</v>
      </c>
    </row>
    <row r="113">
      <c r="A113" s="6" t="inlineStr">
        <is>
          <t>Offshore Projects — earnings margin</t>
        </is>
      </c>
      <c r="B113" s="30" t="n">
        <v>-0.02</v>
      </c>
      <c r="C113" s="30" t="n">
        <v>0.06</v>
      </c>
      <c r="D113" s="30" t="n">
        <v>0.065</v>
      </c>
      <c r="E113" s="30" t="n">
        <v>0.065</v>
      </c>
      <c r="F113" s="30" t="n">
        <v>0.065</v>
      </c>
    </row>
    <row r="114">
      <c r="A114" s="6" t="inlineStr">
        <is>
          <t>Dry-Bulk and Containers — revenue (USD 000)</t>
        </is>
      </c>
      <c r="B114" s="27" t="n">
        <v>197164</v>
      </c>
      <c r="C114" s="27" t="n">
        <v>201107</v>
      </c>
      <c r="D114" s="27" t="n">
        <v>205129</v>
      </c>
      <c r="E114" s="27" t="n">
        <v>209232</v>
      </c>
      <c r="F114" s="27" t="n">
        <v>213417</v>
      </c>
    </row>
    <row r="115">
      <c r="A115" s="6" t="inlineStr">
        <is>
          <t>Dry-Bulk and Containers — earnings margin</t>
        </is>
      </c>
      <c r="B115" s="30" t="n">
        <v>0.184</v>
      </c>
      <c r="C115" s="30" t="n">
        <v>0.184</v>
      </c>
      <c r="D115" s="30" t="n">
        <v>0.184</v>
      </c>
      <c r="E115" s="30" t="n">
        <v>0.184</v>
      </c>
      <c r="F115" s="30" t="n">
        <v>0.184</v>
      </c>
    </row>
    <row r="116">
      <c r="A116" s="6" t="inlineStr">
        <is>
          <t>Services — revenue (USD 000)</t>
        </is>
      </c>
      <c r="B116" s="27" t="n">
        <v>355372</v>
      </c>
      <c r="C116" s="27" t="n">
        <v>369587</v>
      </c>
      <c r="D116" s="27" t="n">
        <v>384370</v>
      </c>
      <c r="E116" s="27" t="n">
        <v>399745</v>
      </c>
      <c r="F116" s="27" t="n">
        <v>415735</v>
      </c>
    </row>
    <row r="117">
      <c r="A117" s="6" t="inlineStr">
        <is>
          <t>Services — earnings margin</t>
        </is>
      </c>
      <c r="B117" s="30" t="n">
        <v>0.2</v>
      </c>
      <c r="C117" s="30" t="n">
        <v>0.2</v>
      </c>
      <c r="D117" s="30" t="n">
        <v>0.2</v>
      </c>
      <c r="E117" s="30" t="n">
        <v>0.2</v>
      </c>
      <c r="F117" s="30" t="n">
        <v>0.2</v>
      </c>
    </row>
    <row r="119">
      <c r="A119" s="11" t="inlineStr">
        <is>
          <t>Capital expenditure, depreciation and working capital</t>
        </is>
      </c>
      <c r="B119" s="14" t="inlineStr">
        <is>
          <t>FY2026</t>
        </is>
      </c>
      <c r="C119" s="14" t="inlineStr">
        <is>
          <t>FY2027</t>
        </is>
      </c>
      <c r="D119" s="14" t="inlineStr">
        <is>
          <t>FY2028</t>
        </is>
      </c>
      <c r="E119" s="14" t="inlineStr">
        <is>
          <t>FY2029</t>
        </is>
      </c>
      <c r="F119" s="14" t="inlineStr">
        <is>
          <t>FY2030</t>
        </is>
      </c>
      <c r="G119" s="14" t="n"/>
      <c r="H119" s="14" t="n"/>
    </row>
    <row r="120">
      <c r="A120" s="6" t="inlineStr">
        <is>
          <t>Capital expenditure (USD 000)</t>
        </is>
      </c>
      <c r="B120" s="27" t="n">
        <v>1375000</v>
      </c>
      <c r="C120" s="27" t="n">
        <v>1245000</v>
      </c>
      <c r="D120" s="27" t="n">
        <v>1245000</v>
      </c>
      <c r="E120" s="27" t="n">
        <v>700000</v>
      </c>
      <c r="F120" s="27" t="n">
        <v>650000</v>
      </c>
    </row>
    <row r="121">
      <c r="A121" s="6" t="inlineStr">
        <is>
          <t>Depreciation rate on property, plant and equipment</t>
        </is>
      </c>
      <c r="C121" s="28" t="n">
        <v>0.058</v>
      </c>
    </row>
    <row r="122">
      <c r="A122" s="6" t="inlineStr">
        <is>
          <t>Other depreciation and amortisation, 2026 run rate (USD 000)</t>
        </is>
      </c>
      <c r="C122" s="27" t="n">
        <v>109836</v>
      </c>
    </row>
    <row r="123">
      <c r="A123" s="6" t="inlineStr">
        <is>
          <t>Days sales outstanding measured on REPORTED 2025 revenue</t>
        </is>
      </c>
      <c r="C123" s="17">
        <f>'Balance Sheet'!D12/'Income Statement'!D5*365</f>
        <v/>
      </c>
    </row>
    <row r="124">
      <c r="A124" s="6" t="inlineStr">
        <is>
          <t>Gross-up inside 2025 reported revenue — reported tanker revenue over the same fleet's charter-equivalent revenue</t>
        </is>
      </c>
      <c r="C124" s="38">
        <f>Segments!D8/Segments!B140</f>
        <v/>
      </c>
    </row>
    <row r="125">
      <c r="A125" s="6" t="inlineStr">
        <is>
          <t>Gross-up the forecast is built at, from 2026 onward</t>
        </is>
      </c>
      <c r="C125" s="38">
        <f>Assumptions!$C$93</f>
        <v/>
      </c>
    </row>
    <row r="126">
      <c r="A126" s="6" t="inlineStr">
        <is>
          <t>Days sales outstanding — the reported ratio RE-BASED onto the revenue basis the forecast actually uses</t>
        </is>
      </c>
      <c r="C126" s="17">
        <f>C123*'Income Statement'!D5/('Income Statement'!D5-Segments!D8+Segments!D8/C124*C125)</f>
        <v/>
      </c>
    </row>
    <row r="127">
      <c r="A127" s="6" t="inlineStr">
        <is>
          <t>Days inventory outstanding</t>
        </is>
      </c>
      <c r="C127" s="17">
        <f>'Balance Sheet'!D11/'Income Statement'!D17*365</f>
        <v/>
      </c>
    </row>
    <row r="128">
      <c r="A128" s="6" t="inlineStr">
        <is>
          <t>Days payable outstanding</t>
        </is>
      </c>
      <c r="C128" s="17">
        <f>'Balance Sheet'!D15/'Income Statement'!D17*365</f>
        <v/>
      </c>
    </row>
    <row r="129">
      <c r="A129" s="6" t="inlineStr">
        <is>
          <t>Net working capital at 31 December 2025 (USD 000)</t>
        </is>
      </c>
      <c r="C129" s="18">
        <f>'Balance Sheet'!D16</f>
        <v/>
      </c>
    </row>
    <row r="131">
      <c r="A131" s="11" t="inlineStr">
        <is>
          <t>DEPRECIATION — THE RATE USED, THE RATE REALISED IN 2025 AND THE DISCLOSED USEFUL LIVES, SO THE CHOICE CAN BE JUDGED. These three are memoranda: the rate the model runs on is the blue driver above, and it is sensitised</t>
        </is>
      </c>
      <c r="B131" s="14" t="inlineStr">
        <is>
          <t>Memorandum</t>
        </is>
      </c>
      <c r="C131" s="14" t="n"/>
      <c r="D131" s="14" t="n"/>
      <c r="E131" s="14" t="n"/>
      <c r="F131" s="14" t="n"/>
      <c r="G131" s="14" t="n"/>
      <c r="H131" s="14" t="n"/>
    </row>
    <row r="132">
      <c r="A132" s="6" t="inlineStr">
        <is>
          <t>The rate used — first-quarter 2026 depreciation annualised over that quarter's average balance (the driver above)</t>
        </is>
      </c>
      <c r="B132" s="19">
        <f>C121</f>
        <v/>
      </c>
    </row>
    <row r="133">
      <c r="A133" s="6" t="inlineStr">
        <is>
          <t>The rate realised in 2025 — depreciation charged on property, plant and equipment over the average balance for that year</t>
        </is>
      </c>
      <c r="B133" s="28" t="n">
        <v>0.0675</v>
      </c>
    </row>
    <row r="134">
      <c r="A134" s="6" t="inlineStr">
        <is>
          <t>Disclosed useful life of tankers (years, straight line) — dry-bulk and containers 25, gas carriers 25 to 40, offshore vessels 20 to 25, jack-up barges 40, and dry-docking components 2 to 5, which is why both rates above are heavier than a hull life alone implies</t>
        </is>
      </c>
      <c r="B134" s="27" t="n">
        <v>25</v>
      </c>
    </row>
    <row r="135">
      <c r="A135" s="6" t="inlineStr">
        <is>
          <t>Average life implied by the rate used (years)</t>
        </is>
      </c>
      <c r="B135" s="36">
        <f>1/C121</f>
        <v/>
      </c>
    </row>
    <row r="137">
      <c r="A137" s="11" t="inlineStr">
        <is>
          <t>Tax by business unit and the 2025 depreciation allocation basis</t>
        </is>
      </c>
      <c r="B137" s="14" t="n"/>
      <c r="C137" s="14" t="n"/>
      <c r="D137" s="14" t="n"/>
      <c r="E137" s="14" t="n"/>
      <c r="F137" s="14" t="n"/>
      <c r="G137" s="14" t="n"/>
      <c r="H137" s="14" t="n"/>
    </row>
    <row r="138">
      <c r="A138" s="6" t="inlineStr">
        <is>
          <t>Integrated Logistics — income tax rate</t>
        </is>
      </c>
      <c r="C138" s="30" t="n">
        <v>0.09</v>
      </c>
    </row>
    <row r="139">
      <c r="A139" s="6" t="inlineStr">
        <is>
          <t>Shipping — income tax rate</t>
        </is>
      </c>
      <c r="C139" s="30" t="n">
        <v>0.01</v>
      </c>
    </row>
    <row r="140">
      <c r="A140" s="6" t="inlineStr">
        <is>
          <t>Services — income tax rate</t>
        </is>
      </c>
      <c r="C140" s="30" t="n">
        <v>0.04</v>
      </c>
    </row>
    <row r="141">
      <c r="A141" s="6" t="inlineStr">
        <is>
          <t>Offshore Contracting — 2025 depreciation and amortisation (USD 000)</t>
        </is>
      </c>
      <c r="C141" s="27" t="n">
        <v>151367</v>
      </c>
    </row>
    <row r="142">
      <c r="A142" s="6" t="inlineStr">
        <is>
          <t>Offshore Services — 2025 depreciation and amortisation (USD 000)</t>
        </is>
      </c>
      <c r="C142" s="27" t="n">
        <v>62963</v>
      </c>
    </row>
    <row r="143">
      <c r="A143" s="6" t="inlineStr">
        <is>
          <t>Offshore Projects — 2025 depreciation and amortisation (USD 000)</t>
        </is>
      </c>
      <c r="C143" s="27" t="n">
        <v>8860</v>
      </c>
    </row>
    <row r="144">
      <c r="A144" s="6" t="inlineStr">
        <is>
          <t>Tankers — 2025 depreciation and amortisation (USD 000)</t>
        </is>
      </c>
      <c r="C144" s="27" t="n">
        <v>195374</v>
      </c>
    </row>
    <row r="145">
      <c r="A145" s="6" t="inlineStr">
        <is>
          <t>Gas Carriers — 2025 depreciation and amortisation (USD 000)</t>
        </is>
      </c>
      <c r="C145" s="27" t="n">
        <v>50526</v>
      </c>
    </row>
    <row r="146">
      <c r="A146" s="6" t="inlineStr">
        <is>
          <t>Dry-Bulk and Containers — 2025 depreciation and amortisation (USD 000)</t>
        </is>
      </c>
      <c r="C146" s="27" t="n">
        <v>25225</v>
      </c>
    </row>
    <row r="147">
      <c r="A147" s="6" t="inlineStr">
        <is>
          <t>Services — 2025 depreciation and amortisation (USD 000)</t>
        </is>
      </c>
      <c r="C147" s="27" t="n">
        <v>30297</v>
      </c>
    </row>
    <row r="149">
      <c r="A149" s="11" t="inlineStr">
        <is>
          <t>Funding, distributions and the bridge</t>
        </is>
      </c>
      <c r="B149" s="14" t="n"/>
      <c r="C149" s="14" t="n"/>
      <c r="D149" s="14" t="n"/>
      <c r="E149" s="14" t="n"/>
      <c r="F149" s="14" t="n"/>
      <c r="G149" s="14" t="n"/>
      <c r="H149" s="14" t="n"/>
    </row>
    <row r="150">
      <c r="A150" s="6" t="inlineStr">
        <is>
          <t>Net debt at 31 March 2026, company basis (USD 000)</t>
        </is>
      </c>
      <c r="C150" s="27" t="n">
        <v>419867</v>
      </c>
    </row>
    <row r="151">
      <c r="A151" s="6" t="inlineStr">
        <is>
          <t>Deferred consideration on acquisitions (USD 000)</t>
        </is>
      </c>
      <c r="C151" s="27" t="n">
        <v>301462</v>
      </c>
    </row>
    <row r="152">
      <c r="A152" s="6" t="inlineStr">
        <is>
          <t>Perpetual capital securities at carrying value (USD 000)</t>
        </is>
      </c>
      <c r="C152" s="27" t="n">
        <v>1978619</v>
      </c>
    </row>
    <row r="153">
      <c r="A153" s="6" t="inlineStr">
        <is>
          <t>Perpetual capital securities margin over the overnight rate</t>
        </is>
      </c>
      <c r="C153" s="28" t="n">
        <v>0.0125</v>
      </c>
    </row>
    <row r="154">
      <c r="A154" s="6" t="inlineStr">
        <is>
          <t>Non-controlling interests at carrying value (USD 000)</t>
        </is>
      </c>
      <c r="C154" s="27" t="n">
        <v>272134</v>
      </c>
    </row>
    <row r="155">
      <c r="A155" s="6" t="inlineStr">
        <is>
          <t>Of which arose on the tanker combination — the 20% contracted for purchase in mid-2027 (USD 000)</t>
        </is>
      </c>
      <c r="C155" s="27" t="n">
        <v>251985</v>
      </c>
    </row>
    <row r="156">
      <c r="A156" s="6" t="inlineStr">
        <is>
          <t>Non-controlling interests' share of profit</t>
        </is>
      </c>
      <c r="C156" s="30" t="n">
        <v>0.08799999999999999</v>
      </c>
    </row>
    <row r="157">
      <c r="A157" s="6" t="inlineStr">
        <is>
          <t>Joint ventures and associates at carrying value (USD 000)</t>
        </is>
      </c>
      <c r="C157" s="27" t="n">
        <v>493120</v>
      </c>
    </row>
    <row r="158">
      <c r="A158" s="6" t="inlineStr">
        <is>
          <t>Equity attributable to shareholders at 31 March 2026 (USD 000)</t>
        </is>
      </c>
      <c r="C158" s="27" t="n">
        <v>5073902</v>
      </c>
    </row>
    <row r="159">
      <c r="A159" s="6" t="inlineStr">
        <is>
          <t>Cash and cash equivalents held (USD 000)</t>
        </is>
      </c>
      <c r="C159" s="27" t="n">
        <v>695345</v>
      </c>
    </row>
    <row r="160">
      <c r="A160" s="6" t="inlineStr">
        <is>
          <t>Intangible assets (USD 000)</t>
        </is>
      </c>
      <c r="C160" s="18">
        <f>'Balance Sheet'!D7</f>
        <v/>
      </c>
    </row>
    <row r="161">
      <c r="A161" s="6" t="inlineStr">
        <is>
          <t>Goodwill (USD 000)</t>
        </is>
      </c>
      <c r="C161" s="18">
        <f>'Balance Sheet'!D8</f>
        <v/>
      </c>
    </row>
    <row r="162">
      <c r="A162" s="6" t="inlineStr">
        <is>
          <t>Ordinary dividend declared for 2026 (USD 000)</t>
        </is>
      </c>
      <c r="C162" s="27" t="n">
        <v>341000</v>
      </c>
    </row>
    <row r="163">
      <c r="A163" s="6" t="inlineStr">
        <is>
          <t>Ordinary dividend growth</t>
        </is>
      </c>
      <c r="C163" s="30" t="n">
        <v>0.05</v>
      </c>
    </row>
    <row r="164">
      <c r="A164" s="6" t="inlineStr">
        <is>
          <t>Terminal growth</t>
        </is>
      </c>
      <c r="C164" s="30" t="n">
        <v>0.02</v>
      </c>
    </row>
    <row r="166">
      <c r="A166" s="11" t="inlineStr">
        <is>
          <t>Lens weights and the multiple blend</t>
        </is>
      </c>
      <c r="B166" s="14" t="n"/>
      <c r="C166" s="14" t="n"/>
      <c r="D166" s="14" t="n"/>
      <c r="E166" s="14" t="n"/>
      <c r="F166" s="14" t="n"/>
      <c r="G166" s="14" t="n"/>
      <c r="H166" s="14" t="n"/>
    </row>
    <row r="167">
      <c r="A167" s="6" t="inlineStr">
        <is>
          <t>Share of 2026 earnings exposed to spot rates</t>
        </is>
      </c>
      <c r="C167" s="30" t="n">
        <v>0.31</v>
      </c>
    </row>
    <row r="168">
      <c r="A168" s="6" t="inlineStr">
        <is>
          <t>Rate at which the return above the cost of equity fades beyond the forecast (the book lens)</t>
        </is>
      </c>
      <c r="C168" s="30" t="n">
        <v>0.1</v>
      </c>
    </row>
    <row r="169">
      <c r="A169" s="6" t="inlineStr">
        <is>
          <t>Weight on the enterprise multiple within the relative lens</t>
        </is>
      </c>
      <c r="C169" s="30" t="n">
        <v>0.7</v>
      </c>
    </row>
    <row r="170">
      <c r="A170" s="6" t="inlineStr">
        <is>
          <t>Weight — discounted cash flow</t>
        </is>
      </c>
      <c r="C170" s="30" t="n">
        <v>0.4</v>
      </c>
    </row>
    <row r="171">
      <c r="A171" s="6" t="inlineStr">
        <is>
          <t>Weight — relative multiples</t>
        </is>
      </c>
      <c r="C171" s="30" t="n">
        <v>0.25</v>
      </c>
    </row>
    <row r="172">
      <c r="A172" s="6" t="inlineStr">
        <is>
          <t>Weight — normalised earnings power</t>
        </is>
      </c>
      <c r="C172" s="30" t="n">
        <v>0.2</v>
      </c>
    </row>
    <row r="173">
      <c r="A173" s="6" t="inlineStr">
        <is>
          <t>Weight — book value and sustainable return</t>
        </is>
      </c>
      <c r="C173" s="30" t="n">
        <v>0.15</v>
      </c>
    </row>
    <row r="175">
      <c r="A175" s="4" t="inlineStr">
        <is>
          <t>Blue cells on this sheet are independent inputs. Green cells are DERIVED — they are live formulas pointing at the build that produces them, and they are on this sheet only so that every driver the model reads can be found in one place. Nothing here is a pasted result.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58" customWidth="1" min="1" max="1"/>
    <col width="17" customWidth="1" min="2" max="2"/>
    <col width="17" customWidth="1" min="3" max="3"/>
    <col width="17" customWidth="1" min="4" max="4"/>
    <col width="52" customWidth="1" min="5" max="5"/>
    <col width="17" customWidth="1" min="6" max="6"/>
  </cols>
  <sheetData>
    <row r="1">
      <c r="A1" s="1" t="inlineStr">
        <is>
          <t>Enterprise value to equity — the bridge, and the sum-of-the-parts cross-check</t>
        </is>
      </c>
      <c r="B1" s="2" t="n"/>
      <c r="C1" s="2" t="n"/>
      <c r="D1" s="2" t="n"/>
      <c r="E1" s="2" t="n"/>
      <c r="F1" s="2" t="n"/>
    </row>
    <row r="2">
      <c r="A2" s="4" t="inlineStr">
        <is>
          <t>USD thousand unless stated. Per-share figures in dirhams at the fixed parity.</t>
        </is>
      </c>
    </row>
    <row r="4">
      <c r="A4" s="5" t="inlineStr">
        <is>
          <t>Step</t>
        </is>
      </c>
      <c r="B4" s="5" t="inlineStr"/>
      <c r="C4" s="5" t="inlineStr">
        <is>
          <t>USD 000</t>
        </is>
      </c>
      <c r="D4" s="5" t="inlineStr">
        <is>
          <t>AED per share</t>
        </is>
      </c>
    </row>
    <row r="5">
      <c r="A5" s="6" t="inlineStr">
        <is>
          <t>Present value of the five forecast years</t>
        </is>
      </c>
      <c r="C5" s="18">
        <f>DCF!$C$45</f>
        <v/>
      </c>
      <c r="D5" s="9">
        <f>C5/Assumptions!$C$6/1000*Assumptions!$C$7</f>
        <v/>
      </c>
    </row>
    <row r="6">
      <c r="A6" s="6" t="inlineStr">
        <is>
          <t>Present value of the terminal value</t>
        </is>
      </c>
      <c r="C6" s="18">
        <f>DCF!$C$46</f>
        <v/>
      </c>
      <c r="D6" s="9">
        <f>C6/Assumptions!$C$6/1000*Assumptions!$C$7</f>
        <v/>
      </c>
    </row>
    <row r="7">
      <c r="A7" s="14" t="inlineStr">
        <is>
          <t>Enterprise value of operations</t>
        </is>
      </c>
      <c r="B7" s="14" t="n"/>
      <c r="C7" s="39">
        <f>C5+C6</f>
        <v/>
      </c>
      <c r="D7" s="15">
        <f>C7/Assumptions!$C$6/1000*Assumptions!$C$7</f>
        <v/>
      </c>
    </row>
    <row r="8">
      <c r="A8" s="6" t="inlineStr">
        <is>
          <t>Terminal value as a share of enterprise value</t>
        </is>
      </c>
      <c r="C8" s="10">
        <f>C6/C7</f>
        <v/>
      </c>
    </row>
    <row r="9">
      <c r="A9" s="6" t="inlineStr">
        <is>
          <t>Plus joint ventures and associates at carrying value</t>
        </is>
      </c>
      <c r="C9" s="18">
        <f>Assumptions!$C$157</f>
        <v/>
      </c>
      <c r="D9" s="9">
        <f>C9/Assumptions!$C$6/1000*Assumptions!$C$7</f>
        <v/>
      </c>
    </row>
    <row r="10">
      <c r="A10" s="14" t="inlineStr">
        <is>
          <t>Enterprise value</t>
        </is>
      </c>
      <c r="B10" s="14" t="n"/>
      <c r="C10" s="39">
        <f>C7+C9</f>
        <v/>
      </c>
      <c r="D10" s="15">
        <f>C10/Assumptions!$C$6/1000*Assumptions!$C$7</f>
        <v/>
      </c>
    </row>
    <row r="11">
      <c r="A11" s="6" t="inlineStr">
        <is>
          <t>Less net debt at 31 March 2026</t>
        </is>
      </c>
      <c r="C11" s="18">
        <f>-Assumptions!$C$150</f>
        <v/>
      </c>
      <c r="D11" s="9">
        <f>C11/Assumptions!$C$6/1000*Assumptions!$C$7</f>
        <v/>
      </c>
    </row>
    <row r="12">
      <c r="A12" s="6" t="inlineStr">
        <is>
          <t>Less deferred consideration on acquisitions</t>
        </is>
      </c>
      <c r="C12" s="18">
        <f>-Assumptions!$C$151</f>
        <v/>
      </c>
      <c r="D12" s="9">
        <f>C12/Assumptions!$C$6/1000*Assumptions!$C$7</f>
        <v/>
      </c>
    </row>
    <row r="13">
      <c r="A13" s="6" t="inlineStr">
        <is>
          <t>Less the eleven vessels bought on 7 August 2026, at the announced price</t>
        </is>
      </c>
      <c r="C13" s="18">
        <f>-Assumptions!$C$82</f>
        <v/>
      </c>
      <c r="D13" s="9">
        <f>C13/Assumptions!$C$6/1000*Assumptions!$C$7</f>
        <v/>
      </c>
    </row>
    <row r="14">
      <c r="A14" s="6" t="inlineStr">
        <is>
          <t>Less perpetual capital securities at carrying value</t>
        </is>
      </c>
      <c r="C14" s="18">
        <f>-Assumptions!$C$152</f>
        <v/>
      </c>
      <c r="D14" s="9">
        <f>C14/Assumptions!$C$6/1000*Assumptions!$C$7</f>
        <v/>
      </c>
    </row>
    <row r="15">
      <c r="A15" s="6" t="inlineStr">
        <is>
          <t>Equity value before the minorities</t>
        </is>
      </c>
      <c r="C15" s="33">
        <f>C10+C11+C12+C13+C14</f>
        <v/>
      </c>
      <c r="D15" s="9">
        <f>C15/Assumptions!$C$6/1000*Assumptions!$C$7</f>
        <v/>
      </c>
    </row>
    <row r="16">
      <c r="A16" s="6" t="inlineStr">
        <is>
          <t>Less non-controlling interests — the contracted slice at its contracted price, the rest at the greater of book and value</t>
        </is>
      </c>
      <c r="C16" s="18">
        <f>DCF!$C$59</f>
        <v/>
      </c>
      <c r="D16" s="9">
        <f>C16/Assumptions!$C$6/1000*Assumptions!$C$7</f>
        <v/>
      </c>
    </row>
    <row r="17">
      <c r="A17" s="14" t="inlineStr">
        <is>
          <t>Equity attributable to ordinary shareholders</t>
        </is>
      </c>
      <c r="B17" s="14" t="n"/>
      <c r="C17" s="39">
        <f>C15+C16</f>
        <v/>
      </c>
      <c r="D17" s="15">
        <f>C17/Assumptions!$C$6/1000*Assumptions!$C$7</f>
        <v/>
      </c>
    </row>
    <row r="18">
      <c r="A18" s="6" t="inlineStr">
        <is>
          <t>Fair value per share (USD)</t>
        </is>
      </c>
      <c r="C18" s="9">
        <f>C17/Assumptions!$C$6/1000</f>
        <v/>
      </c>
    </row>
    <row r="19">
      <c r="A19" s="14" t="inlineStr">
        <is>
          <t>Fair value per share (AED)</t>
        </is>
      </c>
      <c r="B19" s="14" t="n"/>
      <c r="C19" s="15">
        <f>C18*Assumptions!$C$7</f>
        <v/>
      </c>
      <c r="D19" s="14" t="n"/>
    </row>
    <row r="21">
      <c r="A21" s="11" t="inlineStr">
        <is>
          <t>THE SUM-OF-THE-PARTS CROSS-CHECK — EACH LEG ON ITS OWN MULTIPLE</t>
        </is>
      </c>
      <c r="B21" s="5" t="inlineStr"/>
      <c r="C21" s="5" t="inlineStr">
        <is>
          <t>2026E EBITDA</t>
        </is>
      </c>
      <c r="D21" s="5" t="inlineStr">
        <is>
          <t>Multiple</t>
        </is>
      </c>
      <c r="E21" s="5" t="inlineStr">
        <is>
          <t>Enterprise value</t>
        </is>
      </c>
      <c r="F21" s="5" t="inlineStr">
        <is>
          <t>Basis</t>
        </is>
      </c>
    </row>
    <row r="22" ht="28" customHeight="1">
      <c r="A22" s="6" t="inlineStr">
        <is>
          <t>Integrated Logistics</t>
        </is>
      </c>
      <c r="B22" s="18">
        <f>Segments!B204</f>
        <v/>
      </c>
      <c r="C22" s="40">
        <f>C28</f>
        <v/>
      </c>
      <c r="D22" s="33">
        <f>B22*C22</f>
        <v/>
      </c>
      <c r="E22" s="20" t="inlineStr">
        <is>
          <t>a contracted-fleet multiple, because this leg earns under long-term contracts</t>
        </is>
      </c>
    </row>
    <row r="23" ht="28" customHeight="1">
      <c r="A23" s="6" t="inlineStr">
        <is>
          <t>Shipping</t>
        </is>
      </c>
      <c r="B23" s="18">
        <f>Segments!B205</f>
        <v/>
      </c>
      <c r="C23" s="40">
        <f>C31</f>
        <v/>
      </c>
      <c r="D23" s="33">
        <f>B23*C23</f>
        <v/>
      </c>
      <c r="E23" s="20" t="inlineStr">
        <is>
          <t>a blend of the contracted and spot multiples, weighted by the company's own disclosed share of earnings exposed to spot rates</t>
        </is>
      </c>
    </row>
    <row r="24" ht="28" customHeight="1">
      <c r="A24" s="6" t="inlineStr">
        <is>
          <t>Services</t>
        </is>
      </c>
      <c r="B24" s="18">
        <f>Segments!B206</f>
        <v/>
      </c>
      <c r="C24" s="40">
        <f>C28</f>
        <v/>
      </c>
      <c r="D24" s="33">
        <f>B24*C24</f>
        <v/>
      </c>
      <c r="E24" s="20" t="inlineStr">
        <is>
          <t>a contracted-fleet multiple, because this leg earns under long-term contracts</t>
        </is>
      </c>
    </row>
    <row r="25">
      <c r="A25" s="11" t="inlineStr">
        <is>
          <t>Enterprise value of the operating legs</t>
        </is>
      </c>
      <c r="B25" s="14" t="n"/>
      <c r="C25" s="14" t="n"/>
      <c r="D25" s="41">
        <f>SUM(D22:D24)</f>
        <v/>
      </c>
      <c r="E25" s="14" t="n"/>
      <c r="F25" s="14" t="n"/>
    </row>
    <row r="27">
      <c r="A27" s="11" t="inlineStr">
        <is>
          <t>THE SHIPPING MULTIPLE, BUILT — NOT PASTED</t>
        </is>
      </c>
      <c r="B27" s="14" t="n"/>
      <c r="C27" s="14" t="n"/>
      <c r="D27" s="14" t="n"/>
      <c r="E27" s="14" t="n"/>
      <c r="F27" s="14" t="n"/>
    </row>
    <row r="28">
      <c r="A28" s="6" t="inlineStr">
        <is>
          <t>Contracted-fleet multiple (long-term contracted gas shipping peer)</t>
        </is>
      </c>
      <c r="C28" s="42">
        <f>'Peer &amp; Sector'!$C$10</f>
        <v/>
      </c>
    </row>
    <row r="29">
      <c r="A29" s="6" t="inlineStr">
        <is>
          <t>Spot-tanker multiple (average of the two spot-tanker peers)</t>
        </is>
      </c>
      <c r="C29" s="42">
        <f>'Peer &amp; Sector'!$C$11</f>
        <v/>
      </c>
    </row>
    <row r="30">
      <c r="A30" s="6" t="inlineStr">
        <is>
          <t>Share of 2026 earnings exposed to spot rates, as disclosed</t>
        </is>
      </c>
      <c r="C30" s="8">
        <f>Assumptions!$C$167</f>
        <v/>
      </c>
    </row>
    <row r="31">
      <c r="A31" s="6" t="inlineStr">
        <is>
          <t>Shipping multiple — the two weighted by that share</t>
        </is>
      </c>
      <c r="C31" s="40">
        <f>(1-C30)*C28+C30*C29</f>
        <v/>
      </c>
    </row>
    <row r="33">
      <c r="A33" s="11" t="inlineStr">
        <is>
          <t>THE SUM-OF-THE-PARTS BRIDGE TO EQUITY</t>
        </is>
      </c>
      <c r="B33" s="14" t="n"/>
      <c r="C33" s="14" t="n"/>
      <c r="D33" s="14" t="n"/>
      <c r="E33" s="14" t="n"/>
      <c r="F33" s="14" t="n"/>
    </row>
    <row r="34">
      <c r="A34" s="6" t="inlineStr">
        <is>
          <t>Enterprise value of the operating legs</t>
        </is>
      </c>
      <c r="C34" s="33">
        <f>D25</f>
        <v/>
      </c>
    </row>
    <row r="35">
      <c r="A35" s="6" t="inlineStr">
        <is>
          <t>Plus joint ventures and associates at carrying value</t>
        </is>
      </c>
      <c r="C35" s="18">
        <f>Assumptions!$C$157</f>
        <v/>
      </c>
    </row>
    <row r="36">
      <c r="A36" s="6" t="inlineStr">
        <is>
          <t>Enterprise value</t>
        </is>
      </c>
      <c r="C36" s="35">
        <f>C34+C35</f>
        <v/>
      </c>
    </row>
    <row r="37">
      <c r="A37" s="6" t="inlineStr">
        <is>
          <t>Less net debt at 31 March 2026</t>
        </is>
      </c>
      <c r="C37" s="18">
        <f>-Assumptions!$C$150</f>
        <v/>
      </c>
    </row>
    <row r="38">
      <c r="A38" s="6" t="inlineStr">
        <is>
          <t>Less deferred consideration on acquisitions</t>
        </is>
      </c>
      <c r="C38" s="18">
        <f>-Assumptions!$C$151</f>
        <v/>
      </c>
    </row>
    <row r="39">
      <c r="A39" s="6" t="inlineStr">
        <is>
          <t>Less the eleven vessels bought on 7 August 2026, at the announced price</t>
        </is>
      </c>
      <c r="C39" s="18">
        <f>-Assumptions!$C$82</f>
        <v/>
      </c>
    </row>
    <row r="40">
      <c r="A40" s="6" t="inlineStr">
        <is>
          <t>Less perpetual capital securities at carrying value</t>
        </is>
      </c>
      <c r="C40" s="18">
        <f>-Assumptions!$C$152</f>
        <v/>
      </c>
    </row>
    <row r="41">
      <c r="A41" s="6" t="inlineStr">
        <is>
          <t>Less non-controlling interests at carrying value</t>
        </is>
      </c>
      <c r="C41" s="18">
        <f>-Assumptions!$C$154</f>
        <v/>
      </c>
    </row>
    <row r="42">
      <c r="A42" s="14" t="inlineStr">
        <is>
          <t>Equity attributable to ordinary shareholders</t>
        </is>
      </c>
      <c r="B42" s="14" t="n"/>
      <c r="C42" s="39">
        <f>C36+C37+C38+C39+C40+C41</f>
        <v/>
      </c>
      <c r="D42" s="14" t="n"/>
      <c r="E42" s="14" t="n"/>
      <c r="F42" s="14" t="n"/>
    </row>
    <row r="43">
      <c r="A43" s="14" t="inlineStr">
        <is>
          <t>Sum-of-the-parts fair value per share (AED)</t>
        </is>
      </c>
      <c r="B43" s="14" t="n"/>
      <c r="C43" s="15">
        <f>C42/Assumptions!$C$6/1000*Assumptions!$C$7</f>
        <v/>
      </c>
      <c r="D43" s="14" t="n"/>
      <c r="E43" s="14" t="n"/>
      <c r="F43" s="14" t="n"/>
    </row>
    <row r="45">
      <c r="A45" s="4" t="inlineStr">
        <is>
          <t>The sum-of-the-parts is a cross-check on the discounted cash flow, not a fifth lens: it prices each business unit's 2026 earnings on the multiple the market is paying for that kind of earnings stream, and the Shipping leg is the only one that carries spot exposure, which is why its multiple is a weighted blend rather than a single peer figure.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Segments — the disclosed record and the unit build</t>
        </is>
      </c>
      <c r="B1" s="2" t="n"/>
      <c r="C1" s="2" t="n"/>
      <c r="D1" s="2" t="n"/>
      <c r="E1" s="2" t="n"/>
      <c r="F1" s="2" t="n"/>
      <c r="G1" s="2" t="n"/>
      <c r="H1" s="2" t="n"/>
      <c r="I1" s="2" t="n"/>
    </row>
    <row r="2">
      <c r="A2" s="4" t="inlineStr">
        <is>
          <t>USD thousand unless stated. The tanker fleet is built vessel by vessel; every forecast figure below is a formula.</t>
        </is>
      </c>
    </row>
    <row r="4">
      <c r="A4" s="5" t="inlineStr">
        <is>
          <t>Segment revenue — as disclosed (USD 000)</t>
        </is>
      </c>
      <c r="B4" s="5" t="inlineStr">
        <is>
          <t>FY2023</t>
        </is>
      </c>
      <c r="C4" s="5" t="inlineStr">
        <is>
          <t>FY2024</t>
        </is>
      </c>
      <c r="D4" s="5" t="inlineStr">
        <is>
          <t>FY2025</t>
        </is>
      </c>
    </row>
    <row r="5">
      <c r="A5" s="6" t="inlineStr">
        <is>
          <t>Offshore Contracting</t>
        </is>
      </c>
      <c r="B5" s="27" t="n">
        <v>974525</v>
      </c>
      <c r="C5" s="27" t="n">
        <v>1108200</v>
      </c>
      <c r="D5" s="27" t="n">
        <v>1368875</v>
      </c>
    </row>
    <row r="6">
      <c r="A6" s="6" t="inlineStr">
        <is>
          <t>Offshore Services</t>
        </is>
      </c>
      <c r="B6" s="27" t="n">
        <v>500751</v>
      </c>
      <c r="C6" s="27" t="n">
        <v>552790</v>
      </c>
      <c r="D6" s="27" t="n">
        <v>628915</v>
      </c>
    </row>
    <row r="7">
      <c r="A7" s="6" t="inlineStr">
        <is>
          <t>Offshore Projects</t>
        </is>
      </c>
      <c r="B7" s="27" t="n">
        <v>157146</v>
      </c>
      <c r="C7" s="27" t="n">
        <v>619930</v>
      </c>
      <c r="D7" s="27" t="n">
        <v>531333</v>
      </c>
    </row>
    <row r="8">
      <c r="A8" s="6" t="inlineStr">
        <is>
          <t>Tankers</t>
        </is>
      </c>
      <c r="B8" s="27" t="n">
        <v>407370</v>
      </c>
      <c r="C8" s="27" t="n">
        <v>516530</v>
      </c>
      <c r="D8" s="27" t="n">
        <v>1719714</v>
      </c>
    </row>
    <row r="9">
      <c r="A9" s="6" t="inlineStr">
        <is>
          <t>Gas Carriers</t>
        </is>
      </c>
      <c r="B9" s="27" t="n">
        <v>173550</v>
      </c>
      <c r="C9" s="27" t="n">
        <v>152650</v>
      </c>
      <c r="D9" s="27" t="n">
        <v>179794</v>
      </c>
    </row>
    <row r="10">
      <c r="A10" s="6" t="inlineStr">
        <is>
          <t>Dry-Bulk and Containers</t>
        </is>
      </c>
      <c r="B10" s="27" t="n">
        <v>257900</v>
      </c>
      <c r="C10" s="27" t="n">
        <v>286820</v>
      </c>
      <c r="D10" s="27" t="n">
        <v>225048</v>
      </c>
    </row>
    <row r="11">
      <c r="A11" s="6" t="inlineStr">
        <is>
          <t>Services</t>
        </is>
      </c>
      <c r="B11" s="27" t="n">
        <v>283910</v>
      </c>
      <c r="C11" s="27" t="n">
        <v>312410</v>
      </c>
      <c r="D11" s="27" t="n">
        <v>362433</v>
      </c>
    </row>
    <row r="12">
      <c r="A12" s="11" t="inlineStr">
        <is>
          <t>Total revenue</t>
        </is>
      </c>
      <c r="B12" s="41">
        <f>SUM(B5:B11)</f>
        <v/>
      </c>
      <c r="C12" s="41">
        <f>SUM(C5:C11)</f>
        <v/>
      </c>
      <c r="D12" s="41">
        <f>SUM(D5:D11)</f>
        <v/>
      </c>
    </row>
    <row r="14">
      <c r="A14" s="5" t="inlineStr">
        <is>
          <t>Segment EBITDA — as disclosed (USD 000)</t>
        </is>
      </c>
      <c r="B14" s="5" t="inlineStr">
        <is>
          <t>FY2023</t>
        </is>
      </c>
      <c r="C14" s="5" t="inlineStr">
        <is>
          <t>FY2024</t>
        </is>
      </c>
      <c r="D14" s="5" t="inlineStr">
        <is>
          <t>FY2025</t>
        </is>
      </c>
    </row>
    <row r="15">
      <c r="A15" s="6" t="inlineStr">
        <is>
          <t>Offshore Contracting</t>
        </is>
      </c>
      <c r="B15" s="27" t="n">
        <v>424419</v>
      </c>
      <c r="C15" s="27" t="n">
        <v>497703</v>
      </c>
      <c r="D15" s="27" t="n">
        <v>623065</v>
      </c>
    </row>
    <row r="16">
      <c r="A16" s="6" t="inlineStr">
        <is>
          <t>Offshore Services</t>
        </is>
      </c>
      <c r="B16" s="27" t="n">
        <v>92741</v>
      </c>
      <c r="C16" s="27" t="n">
        <v>134880</v>
      </c>
      <c r="D16" s="27" t="n">
        <v>178369</v>
      </c>
    </row>
    <row r="17">
      <c r="A17" s="6" t="inlineStr">
        <is>
          <t>Offshore Projects</t>
        </is>
      </c>
      <c r="B17" s="27" t="n">
        <v>10439</v>
      </c>
      <c r="C17" s="27" t="n">
        <v>54240</v>
      </c>
      <c r="D17" s="27" t="n">
        <v>28024</v>
      </c>
    </row>
    <row r="18">
      <c r="A18" s="6" t="inlineStr">
        <is>
          <t>Tankers</t>
        </is>
      </c>
      <c r="B18" s="27" t="n">
        <v>159260</v>
      </c>
      <c r="C18" s="27" t="n">
        <v>239700</v>
      </c>
      <c r="D18" s="27" t="n">
        <v>451220</v>
      </c>
    </row>
    <row r="19">
      <c r="A19" s="6" t="inlineStr">
        <is>
          <t>Gas Carriers</t>
        </is>
      </c>
      <c r="B19" s="27" t="n">
        <v>101022</v>
      </c>
      <c r="C19" s="27" t="n">
        <v>87308</v>
      </c>
      <c r="D19" s="27" t="n">
        <v>129547</v>
      </c>
    </row>
    <row r="20">
      <c r="A20" s="6" t="inlineStr">
        <is>
          <t>Dry-Bulk and Containers</t>
        </is>
      </c>
      <c r="B20" s="27" t="n">
        <v>60280</v>
      </c>
      <c r="C20" s="27" t="n">
        <v>69440</v>
      </c>
      <c r="D20" s="27" t="n">
        <v>37862</v>
      </c>
    </row>
    <row r="21">
      <c r="A21" s="6" t="inlineStr">
        <is>
          <t>Services</t>
        </is>
      </c>
      <c r="B21" s="27" t="n">
        <v>44488</v>
      </c>
      <c r="C21" s="27" t="n">
        <v>56000</v>
      </c>
      <c r="D21" s="27" t="n">
        <v>60273</v>
      </c>
    </row>
    <row r="22">
      <c r="A22" s="11" t="inlineStr">
        <is>
          <t>Total segment EBITDA</t>
        </is>
      </c>
      <c r="B22" s="41">
        <f>SUM(B15:B21)</f>
        <v/>
      </c>
      <c r="C22" s="41">
        <f>SUM(C15:C21)</f>
        <v/>
      </c>
      <c r="D22" s="41">
        <f>SUM(D15:D21)</f>
        <v/>
      </c>
    </row>
    <row r="23">
      <c r="A23" s="6" t="inlineStr">
        <is>
          <t>Segment EBITDA margin</t>
        </is>
      </c>
      <c r="B23" s="10">
        <f>B22/B12</f>
        <v/>
      </c>
      <c r="C23" s="10">
        <f>C22/C12</f>
        <v/>
      </c>
      <c r="D23" s="10">
        <f>D22/D12</f>
        <v/>
      </c>
    </row>
    <row r="25">
      <c r="A25" s="11" t="inlineStr">
        <is>
          <t>TANKERS — THE UNIT BUILD, VESSEL BY VESSEL</t>
        </is>
      </c>
      <c r="B25" s="14" t="inlineStr">
        <is>
          <t>Handysize</t>
        </is>
      </c>
      <c r="C25" s="14" t="inlineStr">
        <is>
          <t>Medium range</t>
        </is>
      </c>
      <c r="D25" s="14" t="inlineStr">
        <is>
          <t>Long range 1</t>
        </is>
      </c>
      <c r="E25" s="14" t="inlineStr">
        <is>
          <t>Long range 2</t>
        </is>
      </c>
      <c r="F25" s="14" t="inlineStr">
        <is>
          <t>Very large crude carrier</t>
        </is>
      </c>
      <c r="G25" s="14" t="n"/>
      <c r="H25" s="14" t="n"/>
      <c r="I25" s="14" t="n"/>
    </row>
    <row r="26">
      <c r="A26" s="6" t="inlineStr">
        <is>
          <t>Vessels owned at 31 December 2025</t>
        </is>
      </c>
      <c r="B26" s="18">
        <f>Assumptions!$B$38</f>
        <v/>
      </c>
      <c r="C26" s="18">
        <f>Assumptions!$C$38</f>
        <v/>
      </c>
      <c r="D26" s="18">
        <f>Assumptions!$D$38</f>
        <v/>
      </c>
      <c r="E26" s="18">
        <f>Assumptions!$E$38</f>
        <v/>
      </c>
      <c r="F26" s="18">
        <f>Assumptions!$F$38</f>
        <v/>
      </c>
    </row>
    <row r="27">
      <c r="A27" s="6" t="inlineStr">
        <is>
          <t>Less vessels sold between the year end and the valuation date</t>
        </is>
      </c>
      <c r="B27" s="18">
        <f>Assumptions!$B$39</f>
        <v/>
      </c>
      <c r="C27" s="18">
        <f>Assumptions!$C$39</f>
        <v/>
      </c>
      <c r="D27" s="18">
        <f>Assumptions!$D$39</f>
        <v/>
      </c>
      <c r="E27" s="18">
        <f>Assumptions!$E$39</f>
        <v/>
      </c>
      <c r="F27" s="18">
        <f>Assumptions!$F$39</f>
        <v/>
      </c>
    </row>
    <row r="28">
      <c r="A28" s="34" t="inlineStr">
        <is>
          <t>Vessels owned at the 31 March 2026 valuation date</t>
        </is>
      </c>
      <c r="B28" s="35">
        <f>B26-B27</f>
        <v/>
      </c>
      <c r="C28" s="35">
        <f>C26-C27</f>
        <v/>
      </c>
      <c r="D28" s="35">
        <f>D26-D27</f>
        <v/>
      </c>
      <c r="E28" s="35">
        <f>E26-E27</f>
        <v/>
      </c>
      <c r="F28" s="35">
        <f>F26-F27</f>
        <v/>
      </c>
    </row>
    <row r="29">
      <c r="A29" s="6" t="inlineStr">
        <is>
          <t>Vessels bought in the purchase announced 7 August 2026</t>
        </is>
      </c>
      <c r="B29" s="33">
        <f>0</f>
        <v/>
      </c>
      <c r="C29" s="33">
        <f>0</f>
        <v/>
      </c>
      <c r="D29" s="33">
        <f>0</f>
        <v/>
      </c>
      <c r="E29" s="33">
        <f>0</f>
        <v/>
      </c>
      <c r="F29" s="18">
        <f>Assumptions!$B$83</f>
        <v/>
      </c>
    </row>
    <row r="30">
      <c r="A30" s="6" t="inlineStr">
        <is>
          <t>Their delivery date — they earn nothing before it and at the implied spot rate after it</t>
        </is>
      </c>
      <c r="B30" s="33">
        <f>0</f>
        <v/>
      </c>
      <c r="C30" s="33">
        <f>0</f>
        <v/>
      </c>
      <c r="D30" s="33">
        <f>0</f>
        <v/>
      </c>
      <c r="E30" s="33">
        <f>0</f>
        <v/>
      </c>
      <c r="F30" s="43">
        <f>Assumptions!$C$83</f>
        <v/>
      </c>
    </row>
    <row r="32">
      <c r="A32" s="11" t="inlineStr">
        <is>
          <t>THE PUBLISHED BLEND, CONVERTED TO A SPOT RATE — WINDOW BY WINDOW. The company publishes ONE rate per class and states it is a blend across the whole class, charters out included, so the spot rate is SOLVED out of it here</t>
        </is>
      </c>
      <c r="B32" s="14" t="inlineStr">
        <is>
          <t>Q1 2025</t>
        </is>
      </c>
      <c r="C32" s="14" t="inlineStr">
        <is>
          <t>Q2 2025</t>
        </is>
      </c>
      <c r="D32" s="14" t="inlineStr">
        <is>
          <t>Q3 2025</t>
        </is>
      </c>
      <c r="E32" s="14" t="inlineStr">
        <is>
          <t>Q4 2025</t>
        </is>
      </c>
      <c r="F32" s="14" t="inlineStr">
        <is>
          <t>Q1 2026</t>
        </is>
      </c>
      <c r="G32" s="14" t="inlineStr">
        <is>
          <t>Q2 2026</t>
        </is>
      </c>
      <c r="H32" s="14" t="inlineStr">
        <is>
          <t>Mid-cycle anchor</t>
        </is>
      </c>
      <c r="I32" s="14" t="n"/>
    </row>
    <row r="33">
      <c r="A33" s="6" t="inlineStr">
        <is>
          <t>Window begins</t>
        </is>
      </c>
      <c r="B33" s="43">
        <f>Assumptions!$B$74</f>
        <v/>
      </c>
      <c r="C33" s="43">
        <f>Assumptions!$C$74</f>
        <v/>
      </c>
      <c r="D33" s="43">
        <f>Assumptions!$D$74</f>
        <v/>
      </c>
      <c r="E33" s="43">
        <f>Assumptions!$E$74</f>
        <v/>
      </c>
      <c r="F33" s="43">
        <f>Assumptions!$F$74</f>
        <v/>
      </c>
      <c r="G33" s="43">
        <f>Assumptions!$G$74</f>
        <v/>
      </c>
      <c r="H33" s="32">
        <f>B33</f>
        <v/>
      </c>
    </row>
    <row r="34">
      <c r="A34" s="6" t="inlineStr">
        <is>
          <t>Window ends</t>
        </is>
      </c>
      <c r="B34" s="43">
        <f>Assumptions!$B$75</f>
        <v/>
      </c>
      <c r="C34" s="43">
        <f>Assumptions!$C$75</f>
        <v/>
      </c>
      <c r="D34" s="43">
        <f>Assumptions!$D$75</f>
        <v/>
      </c>
      <c r="E34" s="43">
        <f>Assumptions!$E$75</f>
        <v/>
      </c>
      <c r="F34" s="43">
        <f>Assumptions!$F$75</f>
        <v/>
      </c>
      <c r="G34" s="43">
        <f>Assumptions!$G$75</f>
        <v/>
      </c>
      <c r="H34" s="32">
        <f>B34</f>
        <v/>
      </c>
    </row>
    <row r="35">
      <c r="A35" s="6" t="inlineStr">
        <is>
          <t>Days in the window</t>
        </is>
      </c>
      <c r="B35" s="33">
        <f>B34-B33</f>
        <v/>
      </c>
      <c r="C35" s="33">
        <f>C34-C33</f>
        <v/>
      </c>
      <c r="D35" s="33">
        <f>D34-D33</f>
        <v/>
      </c>
      <c r="E35" s="33">
        <f>E34-E33</f>
        <v/>
      </c>
      <c r="F35" s="33">
        <f>F34-F33</f>
        <v/>
      </c>
      <c r="G35" s="33">
        <f>G34-G33</f>
        <v/>
      </c>
      <c r="H35" s="33">
        <f>H34-H33</f>
        <v/>
      </c>
    </row>
    <row r="37">
      <c r="A37" s="11" t="inlineStr">
        <is>
          <t>Published blended rate by class (USD per day)</t>
        </is>
      </c>
      <c r="B37" s="14" t="n"/>
      <c r="C37" s="14" t="n"/>
      <c r="D37" s="14" t="n"/>
      <c r="E37" s="14" t="n"/>
      <c r="F37" s="14" t="n"/>
      <c r="G37" s="14" t="n"/>
      <c r="H37" s="14" t="n"/>
      <c r="I37" s="14" t="n"/>
    </row>
    <row r="38">
      <c r="A38" s="6" t="inlineStr">
        <is>
          <t>Handysize</t>
        </is>
      </c>
      <c r="B38" s="18">
        <f>AVERAGE(Assumptions!$B$45:$E$45)*Assumptions!$C$57</f>
        <v/>
      </c>
      <c r="C38" s="18">
        <f>AVERAGE(Assumptions!$B$45:$E$45)*Assumptions!$C$57</f>
        <v/>
      </c>
      <c r="D38" s="18">
        <f>AVERAGE(Assumptions!$B$45:$E$45)*Assumptions!$C$57</f>
        <v/>
      </c>
      <c r="E38" s="18">
        <f>AVERAGE(Assumptions!$B$45:$E$45)*Assumptions!$C$57</f>
        <v/>
      </c>
      <c r="F38" s="18">
        <f>Assumptions!$B$51*Assumptions!$C$57</f>
        <v/>
      </c>
      <c r="G38" s="18">
        <f>Assumptions!$C$51*Assumptions!$C$57</f>
        <v/>
      </c>
      <c r="H38" s="18">
        <f>AVERAGE(Assumptions!$B$45:$E$45)*Assumptions!$C$57</f>
        <v/>
      </c>
    </row>
    <row r="39">
      <c r="A39" s="6" t="inlineStr">
        <is>
          <t>Medium range</t>
        </is>
      </c>
      <c r="B39" s="18">
        <f>Assumptions!$B$45</f>
        <v/>
      </c>
      <c r="C39" s="18">
        <f>Assumptions!$C$45</f>
        <v/>
      </c>
      <c r="D39" s="18">
        <f>Assumptions!$D$45</f>
        <v/>
      </c>
      <c r="E39" s="18">
        <f>Assumptions!$E$45</f>
        <v/>
      </c>
      <c r="F39" s="18">
        <f>Assumptions!$B$51</f>
        <v/>
      </c>
      <c r="G39" s="18">
        <f>Assumptions!$C$51</f>
        <v/>
      </c>
      <c r="H39" s="18">
        <f>AVERAGE(Assumptions!$B$45:$E$45)</f>
        <v/>
      </c>
    </row>
    <row r="40">
      <c r="A40" s="6" t="inlineStr">
        <is>
          <t>Long range 1</t>
        </is>
      </c>
      <c r="B40" s="18">
        <f>Assumptions!$B$46</f>
        <v/>
      </c>
      <c r="C40" s="18">
        <f>Assumptions!$C$46</f>
        <v/>
      </c>
      <c r="D40" s="18">
        <f>Assumptions!$D$46</f>
        <v/>
      </c>
      <c r="E40" s="18">
        <f>Assumptions!$E$46</f>
        <v/>
      </c>
      <c r="F40" s="18">
        <f>Assumptions!$B$52</f>
        <v/>
      </c>
      <c r="G40" s="18">
        <f>Assumptions!$C$52</f>
        <v/>
      </c>
      <c r="H40" s="18">
        <f>(AVERAGE(Assumptions!$B$42:$E$42)+AVERAGE(Assumptions!$B$46:$E$46))/2</f>
        <v/>
      </c>
    </row>
    <row r="41">
      <c r="A41" s="6" t="inlineStr">
        <is>
          <t>Long range 2</t>
        </is>
      </c>
      <c r="B41" s="18">
        <f>Assumptions!$B$47</f>
        <v/>
      </c>
      <c r="C41" s="18">
        <f>Assumptions!$C$47</f>
        <v/>
      </c>
      <c r="D41" s="18">
        <f>Assumptions!$D$47</f>
        <v/>
      </c>
      <c r="E41" s="18">
        <f>Assumptions!$E$47</f>
        <v/>
      </c>
      <c r="F41" s="18">
        <f>Assumptions!$B$53</f>
        <v/>
      </c>
      <c r="G41" s="18">
        <f>Assumptions!$C$53</f>
        <v/>
      </c>
      <c r="H41" s="18">
        <f>(AVERAGE(Assumptions!$B$43:$E$43)+AVERAGE(Assumptions!$B$47:$E$47))/2</f>
        <v/>
      </c>
    </row>
    <row r="42">
      <c r="A42" s="6" t="inlineStr">
        <is>
          <t>Very large crude carrier</t>
        </is>
      </c>
      <c r="B42" s="18">
        <f>Assumptions!$B$48</f>
        <v/>
      </c>
      <c r="C42" s="18">
        <f>Assumptions!$C$48</f>
        <v/>
      </c>
      <c r="D42" s="18">
        <f>Assumptions!$D$48</f>
        <v/>
      </c>
      <c r="E42" s="18">
        <f>Assumptions!$E$48</f>
        <v/>
      </c>
      <c r="F42" s="18">
        <f>Assumptions!$B$54</f>
        <v/>
      </c>
      <c r="G42" s="18">
        <f>Assumptions!$C$54</f>
        <v/>
      </c>
      <c r="H42" s="18">
        <f>(AVERAGE(Assumptions!$B$44:$E$44)+AVERAGE(Assumptions!$B$48:$E$48))/2</f>
        <v/>
      </c>
    </row>
    <row r="44">
      <c r="A44" s="11" t="inlineStr">
        <is>
          <t>Class vessel-days in the window — vessels owned x days</t>
        </is>
      </c>
      <c r="B44" s="14" t="n"/>
      <c r="C44" s="14" t="n"/>
      <c r="D44" s="14" t="n"/>
      <c r="E44" s="14" t="n"/>
      <c r="F44" s="14" t="n"/>
      <c r="G44" s="14" t="n"/>
      <c r="H44" s="14" t="n"/>
      <c r="I44" s="14" t="n"/>
    </row>
    <row r="45">
      <c r="A45" s="6" t="inlineStr">
        <is>
          <t>Handysize</t>
        </is>
      </c>
      <c r="B45" s="33">
        <f>$B$26*B$35</f>
        <v/>
      </c>
      <c r="C45" s="33">
        <f>$B$26*C$35</f>
        <v/>
      </c>
      <c r="D45" s="33">
        <f>$B$26*D$35</f>
        <v/>
      </c>
      <c r="E45" s="33">
        <f>$B$26*E$35</f>
        <v/>
      </c>
      <c r="F45" s="33">
        <f>$B$28*F$35</f>
        <v/>
      </c>
      <c r="G45" s="33">
        <f>$B$28*G$35</f>
        <v/>
      </c>
      <c r="H45" s="33">
        <f>$B$26*H$35</f>
        <v/>
      </c>
    </row>
    <row r="46">
      <c r="A46" s="6" t="inlineStr">
        <is>
          <t>Medium range</t>
        </is>
      </c>
      <c r="B46" s="33">
        <f>$C$26*B$35</f>
        <v/>
      </c>
      <c r="C46" s="33">
        <f>$C$26*C$35</f>
        <v/>
      </c>
      <c r="D46" s="33">
        <f>$C$26*D$35</f>
        <v/>
      </c>
      <c r="E46" s="33">
        <f>$C$26*E$35</f>
        <v/>
      </c>
      <c r="F46" s="33">
        <f>$C$28*F$35</f>
        <v/>
      </c>
      <c r="G46" s="33">
        <f>$C$28*G$35</f>
        <v/>
      </c>
      <c r="H46" s="33">
        <f>$C$26*H$35</f>
        <v/>
      </c>
    </row>
    <row r="47">
      <c r="A47" s="6" t="inlineStr">
        <is>
          <t>Long range 1</t>
        </is>
      </c>
      <c r="B47" s="33">
        <f>$D$26*B$35</f>
        <v/>
      </c>
      <c r="C47" s="33">
        <f>$D$26*C$35</f>
        <v/>
      </c>
      <c r="D47" s="33">
        <f>$D$26*D$35</f>
        <v/>
      </c>
      <c r="E47" s="33">
        <f>$D$26*E$35</f>
        <v/>
      </c>
      <c r="F47" s="33">
        <f>$D$28*F$35</f>
        <v/>
      </c>
      <c r="G47" s="33">
        <f>$D$28*G$35</f>
        <v/>
      </c>
      <c r="H47" s="33">
        <f>$D$26*H$35</f>
        <v/>
      </c>
    </row>
    <row r="48">
      <c r="A48" s="6" t="inlineStr">
        <is>
          <t>Long range 2</t>
        </is>
      </c>
      <c r="B48" s="33">
        <f>$E$26*B$35</f>
        <v/>
      </c>
      <c r="C48" s="33">
        <f>$E$26*C$35</f>
        <v/>
      </c>
      <c r="D48" s="33">
        <f>$E$26*D$35</f>
        <v/>
      </c>
      <c r="E48" s="33">
        <f>$E$26*E$35</f>
        <v/>
      </c>
      <c r="F48" s="33">
        <f>$E$28*F$35</f>
        <v/>
      </c>
      <c r="G48" s="33">
        <f>$E$28*G$35</f>
        <v/>
      </c>
      <c r="H48" s="33">
        <f>$E$26*H$35</f>
        <v/>
      </c>
    </row>
    <row r="49">
      <c r="A49" s="6" t="inlineStr">
        <is>
          <t>Very large crude carrier</t>
        </is>
      </c>
      <c r="B49" s="33">
        <f>$F$26*B$35</f>
        <v/>
      </c>
      <c r="C49" s="33">
        <f>$F$26*C$35</f>
        <v/>
      </c>
      <c r="D49" s="33">
        <f>$F$26*D$35</f>
        <v/>
      </c>
      <c r="E49" s="33">
        <f>$F$26*E$35</f>
        <v/>
      </c>
      <c r="F49" s="33">
        <f>$F$28*F$35</f>
        <v/>
      </c>
      <c r="G49" s="33">
        <f>$F$28*G$35</f>
        <v/>
      </c>
      <c r="H49" s="33">
        <f>$F$26*H$35</f>
        <v/>
      </c>
    </row>
    <row r="51">
      <c r="A51" s="11" t="inlineStr">
        <is>
          <t>Charter vessel-days in the window — each fixture for exactly the days its own contract runs</t>
        </is>
      </c>
      <c r="B51" s="14" t="n"/>
      <c r="C51" s="14" t="n"/>
      <c r="D51" s="14" t="n"/>
      <c r="E51" s="14" t="n"/>
      <c r="F51" s="14" t="n"/>
      <c r="G51" s="14" t="n"/>
      <c r="H51" s="14" t="n"/>
      <c r="I51" s="14" t="n"/>
    </row>
    <row r="52">
      <c r="A52" s="6" t="inlineStr">
        <is>
          <t>Handysize</t>
        </is>
      </c>
      <c r="B52" s="33">
        <f>0</f>
        <v/>
      </c>
      <c r="C52" s="33">
        <f>0</f>
        <v/>
      </c>
      <c r="D52" s="33">
        <f>0</f>
        <v/>
      </c>
      <c r="E52" s="33">
        <f>0</f>
        <v/>
      </c>
      <c r="F52" s="33">
        <f>0</f>
        <v/>
      </c>
      <c r="G52" s="33">
        <f>0</f>
        <v/>
      </c>
      <c r="H52" s="33">
        <f>0</f>
        <v/>
      </c>
    </row>
    <row r="53">
      <c r="A53" s="6" t="inlineStr">
        <is>
          <t>Medium range</t>
        </is>
      </c>
      <c r="B53" s="33">
        <f>0</f>
        <v/>
      </c>
      <c r="C53" s="33">
        <f>0</f>
        <v/>
      </c>
      <c r="D53" s="33">
        <f>0</f>
        <v/>
      </c>
      <c r="E53" s="33">
        <f>0</f>
        <v/>
      </c>
      <c r="F53" s="33">
        <f>0</f>
        <v/>
      </c>
      <c r="G53" s="33">
        <f>0</f>
        <v/>
      </c>
      <c r="H53" s="33">
        <f>0</f>
        <v/>
      </c>
    </row>
    <row r="54">
      <c r="A54" s="6" t="inlineStr">
        <is>
          <t>Long range 1</t>
        </is>
      </c>
      <c r="B54" s="33">
        <f>MAX(MIN(Assumptions!$D$60,B$34)-MAX(Assumptions!$C$60,B$33),0)+MAX(MIN(Assumptions!$D$61,B$34)-MAX(Assumptions!$C$61,B$33),0)</f>
        <v/>
      </c>
      <c r="C54" s="33">
        <f>MAX(MIN(Assumptions!$D$60,C$34)-MAX(Assumptions!$C$60,C$33),0)+MAX(MIN(Assumptions!$D$61,C$34)-MAX(Assumptions!$C$61,C$33),0)</f>
        <v/>
      </c>
      <c r="D54" s="33">
        <f>MAX(MIN(Assumptions!$D$60,D$34)-MAX(Assumptions!$C$60,D$33),0)+MAX(MIN(Assumptions!$D$61,D$34)-MAX(Assumptions!$C$61,D$33),0)</f>
        <v/>
      </c>
      <c r="E54" s="33">
        <f>MAX(MIN(Assumptions!$D$60,E$34)-MAX(Assumptions!$C$60,E$33),0)+MAX(MIN(Assumptions!$D$61,E$34)-MAX(Assumptions!$C$61,E$33),0)</f>
        <v/>
      </c>
      <c r="F54" s="33">
        <f>MAX(MIN(Assumptions!$D$60,F$34)-MAX(Assumptions!$C$60,F$33),0)+MAX(MIN(Assumptions!$D$61,F$34)-MAX(Assumptions!$C$61,F$33),0)</f>
        <v/>
      </c>
      <c r="G54" s="33">
        <f>MAX(MIN(Assumptions!$D$60,G$34)-MAX(Assumptions!$C$60,G$33),0)+MAX(MIN(Assumptions!$D$61,G$34)-MAX(Assumptions!$C$61,G$33),0)</f>
        <v/>
      </c>
      <c r="H54" s="33">
        <f>MAX(MIN(Assumptions!$D$60,H$34)-MAX(Assumptions!$C$60,H$33),0)+MAX(MIN(Assumptions!$D$61,H$34)-MAX(Assumptions!$C$61,H$33),0)</f>
        <v/>
      </c>
    </row>
    <row r="55">
      <c r="A55" s="6" t="inlineStr">
        <is>
          <t>Long range 2</t>
        </is>
      </c>
      <c r="B55" s="33">
        <f>MAX(MIN(Assumptions!$D$62,B$34)-MAX(Assumptions!$C$62,B$33),0)+MAX(MIN(Assumptions!$D$63,B$34)-MAX(Assumptions!$C$63,B$33),0)+MAX(MIN(Assumptions!$D$64,B$34)-MAX(Assumptions!$C$64,B$33),0)+MAX(MIN(Assumptions!$D$65,B$34)-MAX(Assumptions!$C$65,B$33),0)+MAX(MIN(Assumptions!$D$66,B$34)-MAX(Assumptions!$C$66,B$33),0)+MAX(MIN(Assumptions!$D$67,B$34)-MAX(Assumptions!$C$67,B$33),0)</f>
        <v/>
      </c>
      <c r="C55" s="33">
        <f>MAX(MIN(Assumptions!$D$62,C$34)-MAX(Assumptions!$C$62,C$33),0)+MAX(MIN(Assumptions!$D$63,C$34)-MAX(Assumptions!$C$63,C$33),0)+MAX(MIN(Assumptions!$D$64,C$34)-MAX(Assumptions!$C$64,C$33),0)+MAX(MIN(Assumptions!$D$65,C$34)-MAX(Assumptions!$C$65,C$33),0)+MAX(MIN(Assumptions!$D$66,C$34)-MAX(Assumptions!$C$66,C$33),0)+MAX(MIN(Assumptions!$D$67,C$34)-MAX(Assumptions!$C$67,C$33),0)</f>
        <v/>
      </c>
      <c r="D55" s="33">
        <f>MAX(MIN(Assumptions!$D$62,D$34)-MAX(Assumptions!$C$62,D$33),0)+MAX(MIN(Assumptions!$D$63,D$34)-MAX(Assumptions!$C$63,D$33),0)+MAX(MIN(Assumptions!$D$64,D$34)-MAX(Assumptions!$C$64,D$33),0)+MAX(MIN(Assumptions!$D$65,D$34)-MAX(Assumptions!$C$65,D$33),0)+MAX(MIN(Assumptions!$D$66,D$34)-MAX(Assumptions!$C$66,D$33),0)+MAX(MIN(Assumptions!$D$67,D$34)-MAX(Assumptions!$C$67,D$33),0)</f>
        <v/>
      </c>
      <c r="E55" s="33">
        <f>MAX(MIN(Assumptions!$D$62,E$34)-MAX(Assumptions!$C$62,E$33),0)+MAX(MIN(Assumptions!$D$63,E$34)-MAX(Assumptions!$C$63,E$33),0)+MAX(MIN(Assumptions!$D$64,E$34)-MAX(Assumptions!$C$64,E$33),0)+MAX(MIN(Assumptions!$D$65,E$34)-MAX(Assumptions!$C$65,E$33),0)+MAX(MIN(Assumptions!$D$66,E$34)-MAX(Assumptions!$C$66,E$33),0)+MAX(MIN(Assumptions!$D$67,E$34)-MAX(Assumptions!$C$67,E$33),0)</f>
        <v/>
      </c>
      <c r="F55" s="33">
        <f>MAX(MIN(Assumptions!$D$62,F$34)-MAX(Assumptions!$C$62,F$33),0)+MAX(MIN(Assumptions!$D$63,F$34)-MAX(Assumptions!$C$63,F$33),0)+MAX(MIN(Assumptions!$D$64,F$34)-MAX(Assumptions!$C$64,F$33),0)+MAX(MIN(Assumptions!$D$65,F$34)-MAX(Assumptions!$C$65,F$33),0)+MAX(MIN(Assumptions!$D$66,F$34)-MAX(Assumptions!$C$66,F$33),0)+MAX(MIN(Assumptions!$D$67,F$34)-MAX(Assumptions!$C$67,F$33),0)</f>
        <v/>
      </c>
      <c r="G55" s="33">
        <f>MAX(MIN(Assumptions!$D$62,G$34)-MAX(Assumptions!$C$62,G$33),0)+MAX(MIN(Assumptions!$D$63,G$34)-MAX(Assumptions!$C$63,G$33),0)+MAX(MIN(Assumptions!$D$64,G$34)-MAX(Assumptions!$C$64,G$33),0)+MAX(MIN(Assumptions!$D$65,G$34)-MAX(Assumptions!$C$65,G$33),0)+MAX(MIN(Assumptions!$D$66,G$34)-MAX(Assumptions!$C$66,G$33),0)+MAX(MIN(Assumptions!$D$67,G$34)-MAX(Assumptions!$C$67,G$33),0)</f>
        <v/>
      </c>
      <c r="H55" s="33">
        <f>MAX(MIN(Assumptions!$D$62,H$34)-MAX(Assumptions!$C$62,H$33),0)+MAX(MIN(Assumptions!$D$63,H$34)-MAX(Assumptions!$C$63,H$33),0)+MAX(MIN(Assumptions!$D$64,H$34)-MAX(Assumptions!$C$64,H$33),0)+MAX(MIN(Assumptions!$D$65,H$34)-MAX(Assumptions!$C$65,H$33),0)+MAX(MIN(Assumptions!$D$66,H$34)-MAX(Assumptions!$C$66,H$33),0)+MAX(MIN(Assumptions!$D$67,H$34)-MAX(Assumptions!$C$67,H$33),0)</f>
        <v/>
      </c>
    </row>
    <row r="56">
      <c r="A56" s="6" t="inlineStr">
        <is>
          <t>Very large crude carrier</t>
        </is>
      </c>
      <c r="B56" s="33">
        <f>MAX(MIN(Assumptions!$D$68,B$34)-MAX(Assumptions!$C$68,B$33),0)+MAX(MIN(Assumptions!$D$69,B$34)-MAX(Assumptions!$C$69,B$33),0)+MAX(MIN(Assumptions!$D$70,B$34)-MAX(Assumptions!$C$70,B$33),0)+MAX(MIN(Assumptions!$D$71,B$34)-MAX(Assumptions!$C$71,B$33),0)</f>
        <v/>
      </c>
      <c r="C56" s="33">
        <f>MAX(MIN(Assumptions!$D$68,C$34)-MAX(Assumptions!$C$68,C$33),0)+MAX(MIN(Assumptions!$D$69,C$34)-MAX(Assumptions!$C$69,C$33),0)+MAX(MIN(Assumptions!$D$70,C$34)-MAX(Assumptions!$C$70,C$33),0)+MAX(MIN(Assumptions!$D$71,C$34)-MAX(Assumptions!$C$71,C$33),0)</f>
        <v/>
      </c>
      <c r="D56" s="33">
        <f>MAX(MIN(Assumptions!$D$68,D$34)-MAX(Assumptions!$C$68,D$33),0)+MAX(MIN(Assumptions!$D$69,D$34)-MAX(Assumptions!$C$69,D$33),0)+MAX(MIN(Assumptions!$D$70,D$34)-MAX(Assumptions!$C$70,D$33),0)+MAX(MIN(Assumptions!$D$71,D$34)-MAX(Assumptions!$C$71,D$33),0)</f>
        <v/>
      </c>
      <c r="E56" s="33">
        <f>MAX(MIN(Assumptions!$D$68,E$34)-MAX(Assumptions!$C$68,E$33),0)+MAX(MIN(Assumptions!$D$69,E$34)-MAX(Assumptions!$C$69,E$33),0)+MAX(MIN(Assumptions!$D$70,E$34)-MAX(Assumptions!$C$70,E$33),0)+MAX(MIN(Assumptions!$D$71,E$34)-MAX(Assumptions!$C$71,E$33),0)</f>
        <v/>
      </c>
      <c r="F56" s="33">
        <f>MAX(MIN(Assumptions!$D$68,F$34)-MAX(Assumptions!$C$68,F$33),0)+MAX(MIN(Assumptions!$D$69,F$34)-MAX(Assumptions!$C$69,F$33),0)+MAX(MIN(Assumptions!$D$70,F$34)-MAX(Assumptions!$C$70,F$33),0)+MAX(MIN(Assumptions!$D$71,F$34)-MAX(Assumptions!$C$71,F$33),0)</f>
        <v/>
      </c>
      <c r="G56" s="33">
        <f>MAX(MIN(Assumptions!$D$68,G$34)-MAX(Assumptions!$C$68,G$33),0)+MAX(MIN(Assumptions!$D$69,G$34)-MAX(Assumptions!$C$69,G$33),0)+MAX(MIN(Assumptions!$D$70,G$34)-MAX(Assumptions!$C$70,G$33),0)+MAX(MIN(Assumptions!$D$71,G$34)-MAX(Assumptions!$C$71,G$33),0)</f>
        <v/>
      </c>
      <c r="H56" s="33">
        <f>MAX(MIN(Assumptions!$D$68,H$34)-MAX(Assumptions!$C$68,H$33),0)+MAX(MIN(Assumptions!$D$69,H$34)-MAX(Assumptions!$C$69,H$33),0)+MAX(MIN(Assumptions!$D$70,H$34)-MAX(Assumptions!$C$70,H$33),0)+MAX(MIN(Assumptions!$D$71,H$34)-MAX(Assumptions!$C$71,H$33),0)</f>
        <v/>
      </c>
    </row>
    <row r="58">
      <c r="A58" s="11" t="inlineStr">
        <is>
          <t>Charter revenue in the window (USD) — each fixture at its own contracted rate</t>
        </is>
      </c>
      <c r="B58" s="14" t="n"/>
      <c r="C58" s="14" t="n"/>
      <c r="D58" s="14" t="n"/>
      <c r="E58" s="14" t="n"/>
      <c r="F58" s="14" t="n"/>
      <c r="G58" s="14" t="n"/>
      <c r="H58" s="14" t="n"/>
      <c r="I58" s="14" t="n"/>
    </row>
    <row r="59">
      <c r="A59" s="6" t="inlineStr">
        <is>
          <t>Handysize</t>
        </is>
      </c>
      <c r="B59" s="33">
        <f>0</f>
        <v/>
      </c>
      <c r="C59" s="33">
        <f>0</f>
        <v/>
      </c>
      <c r="D59" s="33">
        <f>0</f>
        <v/>
      </c>
      <c r="E59" s="33">
        <f>0</f>
        <v/>
      </c>
      <c r="F59" s="33">
        <f>0</f>
        <v/>
      </c>
      <c r="G59" s="33">
        <f>0</f>
        <v/>
      </c>
      <c r="H59" s="33">
        <f>0</f>
        <v/>
      </c>
    </row>
    <row r="60">
      <c r="A60" s="6" t="inlineStr">
        <is>
          <t>Medium range</t>
        </is>
      </c>
      <c r="B60" s="33">
        <f>0</f>
        <v/>
      </c>
      <c r="C60" s="33">
        <f>0</f>
        <v/>
      </c>
      <c r="D60" s="33">
        <f>0</f>
        <v/>
      </c>
      <c r="E60" s="33">
        <f>0</f>
        <v/>
      </c>
      <c r="F60" s="33">
        <f>0</f>
        <v/>
      </c>
      <c r="G60" s="33">
        <f>0</f>
        <v/>
      </c>
      <c r="H60" s="33">
        <f>0</f>
        <v/>
      </c>
    </row>
    <row r="61">
      <c r="A61" s="6" t="inlineStr">
        <is>
          <t>Long range 1</t>
        </is>
      </c>
      <c r="B61" s="33">
        <f>Assumptions!$B$60*MAX(MIN(Assumptions!$D$60,B$34)-MAX(Assumptions!$C$60,B$33),0)+Assumptions!$B$61*MAX(MIN(Assumptions!$D$61,B$34)-MAX(Assumptions!$C$61,B$33),0)</f>
        <v/>
      </c>
      <c r="C61" s="33">
        <f>Assumptions!$B$60*MAX(MIN(Assumptions!$D$60,C$34)-MAX(Assumptions!$C$60,C$33),0)+Assumptions!$B$61*MAX(MIN(Assumptions!$D$61,C$34)-MAX(Assumptions!$C$61,C$33),0)</f>
        <v/>
      </c>
      <c r="D61" s="33">
        <f>Assumptions!$B$60*MAX(MIN(Assumptions!$D$60,D$34)-MAX(Assumptions!$C$60,D$33),0)+Assumptions!$B$61*MAX(MIN(Assumptions!$D$61,D$34)-MAX(Assumptions!$C$61,D$33),0)</f>
        <v/>
      </c>
      <c r="E61" s="33">
        <f>Assumptions!$B$60*MAX(MIN(Assumptions!$D$60,E$34)-MAX(Assumptions!$C$60,E$33),0)+Assumptions!$B$61*MAX(MIN(Assumptions!$D$61,E$34)-MAX(Assumptions!$C$61,E$33),0)</f>
        <v/>
      </c>
      <c r="F61" s="33">
        <f>Assumptions!$B$60*MAX(MIN(Assumptions!$D$60,F$34)-MAX(Assumptions!$C$60,F$33),0)+Assumptions!$B$61*MAX(MIN(Assumptions!$D$61,F$34)-MAX(Assumptions!$C$61,F$33),0)</f>
        <v/>
      </c>
      <c r="G61" s="33">
        <f>Assumptions!$B$60*MAX(MIN(Assumptions!$D$60,G$34)-MAX(Assumptions!$C$60,G$33),0)+Assumptions!$B$61*MAX(MIN(Assumptions!$D$61,G$34)-MAX(Assumptions!$C$61,G$33),0)</f>
        <v/>
      </c>
      <c r="H61" s="33">
        <f>Assumptions!$B$60*MAX(MIN(Assumptions!$D$60,H$34)-MAX(Assumptions!$C$60,H$33),0)+Assumptions!$B$61*MAX(MIN(Assumptions!$D$61,H$34)-MAX(Assumptions!$C$61,H$33),0)</f>
        <v/>
      </c>
    </row>
    <row r="62">
      <c r="A62" s="6" t="inlineStr">
        <is>
          <t>Long range 2</t>
        </is>
      </c>
      <c r="B62" s="33">
        <f>Assumptions!$B$62*MAX(MIN(Assumptions!$D$62,B$34)-MAX(Assumptions!$C$62,B$33),0)+Assumptions!$B$63*MAX(MIN(Assumptions!$D$63,B$34)-MAX(Assumptions!$C$63,B$33),0)+Assumptions!$B$64*MAX(MIN(Assumptions!$D$64,B$34)-MAX(Assumptions!$C$64,B$33),0)+Assumptions!$B$65*MAX(MIN(Assumptions!$D$65,B$34)-MAX(Assumptions!$C$65,B$33),0)+Assumptions!$B$66*MAX(MIN(Assumptions!$D$66,B$34)-MAX(Assumptions!$C$66,B$33),0)+Assumptions!$B$67*MAX(MIN(Assumptions!$D$67,B$34)-MAX(Assumptions!$C$67,B$33),0)</f>
        <v/>
      </c>
      <c r="C62" s="33">
        <f>Assumptions!$B$62*MAX(MIN(Assumptions!$D$62,C$34)-MAX(Assumptions!$C$62,C$33),0)+Assumptions!$B$63*MAX(MIN(Assumptions!$D$63,C$34)-MAX(Assumptions!$C$63,C$33),0)+Assumptions!$B$64*MAX(MIN(Assumptions!$D$64,C$34)-MAX(Assumptions!$C$64,C$33),0)+Assumptions!$B$65*MAX(MIN(Assumptions!$D$65,C$34)-MAX(Assumptions!$C$65,C$33),0)+Assumptions!$B$66*MAX(MIN(Assumptions!$D$66,C$34)-MAX(Assumptions!$C$66,C$33),0)+Assumptions!$B$67*MAX(MIN(Assumptions!$D$67,C$34)-MAX(Assumptions!$C$67,C$33),0)</f>
        <v/>
      </c>
      <c r="D62" s="33">
        <f>Assumptions!$B$62*MAX(MIN(Assumptions!$D$62,D$34)-MAX(Assumptions!$C$62,D$33),0)+Assumptions!$B$63*MAX(MIN(Assumptions!$D$63,D$34)-MAX(Assumptions!$C$63,D$33),0)+Assumptions!$B$64*MAX(MIN(Assumptions!$D$64,D$34)-MAX(Assumptions!$C$64,D$33),0)+Assumptions!$B$65*MAX(MIN(Assumptions!$D$65,D$34)-MAX(Assumptions!$C$65,D$33),0)+Assumptions!$B$66*MAX(MIN(Assumptions!$D$66,D$34)-MAX(Assumptions!$C$66,D$33),0)+Assumptions!$B$67*MAX(MIN(Assumptions!$D$67,D$34)-MAX(Assumptions!$C$67,D$33),0)</f>
        <v/>
      </c>
      <c r="E62" s="33">
        <f>Assumptions!$B$62*MAX(MIN(Assumptions!$D$62,E$34)-MAX(Assumptions!$C$62,E$33),0)+Assumptions!$B$63*MAX(MIN(Assumptions!$D$63,E$34)-MAX(Assumptions!$C$63,E$33),0)+Assumptions!$B$64*MAX(MIN(Assumptions!$D$64,E$34)-MAX(Assumptions!$C$64,E$33),0)+Assumptions!$B$65*MAX(MIN(Assumptions!$D$65,E$34)-MAX(Assumptions!$C$65,E$33),0)+Assumptions!$B$66*MAX(MIN(Assumptions!$D$66,E$34)-MAX(Assumptions!$C$66,E$33),0)+Assumptions!$B$67*MAX(MIN(Assumptions!$D$67,E$34)-MAX(Assumptions!$C$67,E$33),0)</f>
        <v/>
      </c>
      <c r="F62" s="33">
        <f>Assumptions!$B$62*MAX(MIN(Assumptions!$D$62,F$34)-MAX(Assumptions!$C$62,F$33),0)+Assumptions!$B$63*MAX(MIN(Assumptions!$D$63,F$34)-MAX(Assumptions!$C$63,F$33),0)+Assumptions!$B$64*MAX(MIN(Assumptions!$D$64,F$34)-MAX(Assumptions!$C$64,F$33),0)+Assumptions!$B$65*MAX(MIN(Assumptions!$D$65,F$34)-MAX(Assumptions!$C$65,F$33),0)+Assumptions!$B$66*MAX(MIN(Assumptions!$D$66,F$34)-MAX(Assumptions!$C$66,F$33),0)+Assumptions!$B$67*MAX(MIN(Assumptions!$D$67,F$34)-MAX(Assumptions!$C$67,F$33),0)</f>
        <v/>
      </c>
      <c r="G62" s="33">
        <f>Assumptions!$B$62*MAX(MIN(Assumptions!$D$62,G$34)-MAX(Assumptions!$C$62,G$33),0)+Assumptions!$B$63*MAX(MIN(Assumptions!$D$63,G$34)-MAX(Assumptions!$C$63,G$33),0)+Assumptions!$B$64*MAX(MIN(Assumptions!$D$64,G$34)-MAX(Assumptions!$C$64,G$33),0)+Assumptions!$B$65*MAX(MIN(Assumptions!$D$65,G$34)-MAX(Assumptions!$C$65,G$33),0)+Assumptions!$B$66*MAX(MIN(Assumptions!$D$66,G$34)-MAX(Assumptions!$C$66,G$33),0)+Assumptions!$B$67*MAX(MIN(Assumptions!$D$67,G$34)-MAX(Assumptions!$C$67,G$33),0)</f>
        <v/>
      </c>
      <c r="H62" s="33">
        <f>Assumptions!$B$62*MAX(MIN(Assumptions!$D$62,H$34)-MAX(Assumptions!$C$62,H$33),0)+Assumptions!$B$63*MAX(MIN(Assumptions!$D$63,H$34)-MAX(Assumptions!$C$63,H$33),0)+Assumptions!$B$64*MAX(MIN(Assumptions!$D$64,H$34)-MAX(Assumptions!$C$64,H$33),0)+Assumptions!$B$65*MAX(MIN(Assumptions!$D$65,H$34)-MAX(Assumptions!$C$65,H$33),0)+Assumptions!$B$66*MAX(MIN(Assumptions!$D$66,H$34)-MAX(Assumptions!$C$66,H$33),0)+Assumptions!$B$67*MAX(MIN(Assumptions!$D$67,H$34)-MAX(Assumptions!$C$67,H$33),0)</f>
        <v/>
      </c>
    </row>
    <row r="63">
      <c r="A63" s="6" t="inlineStr">
        <is>
          <t>Very large crude carrier</t>
        </is>
      </c>
      <c r="B63" s="33">
        <f>Assumptions!$B$68*MAX(MIN(Assumptions!$D$68,B$34)-MAX(Assumptions!$C$68,B$33),0)+Assumptions!$B$69*MAX(MIN(Assumptions!$D$69,B$34)-MAX(Assumptions!$C$69,B$33),0)+Assumptions!$B$70*MAX(MIN(Assumptions!$D$70,B$34)-MAX(Assumptions!$C$70,B$33),0)+Assumptions!$B$71*MAX(MIN(Assumptions!$D$71,B$34)-MAX(Assumptions!$C$71,B$33),0)</f>
        <v/>
      </c>
      <c r="C63" s="33">
        <f>Assumptions!$B$68*MAX(MIN(Assumptions!$D$68,C$34)-MAX(Assumptions!$C$68,C$33),0)+Assumptions!$B$69*MAX(MIN(Assumptions!$D$69,C$34)-MAX(Assumptions!$C$69,C$33),0)+Assumptions!$B$70*MAX(MIN(Assumptions!$D$70,C$34)-MAX(Assumptions!$C$70,C$33),0)+Assumptions!$B$71*MAX(MIN(Assumptions!$D$71,C$34)-MAX(Assumptions!$C$71,C$33),0)</f>
        <v/>
      </c>
      <c r="D63" s="33">
        <f>Assumptions!$B$68*MAX(MIN(Assumptions!$D$68,D$34)-MAX(Assumptions!$C$68,D$33),0)+Assumptions!$B$69*MAX(MIN(Assumptions!$D$69,D$34)-MAX(Assumptions!$C$69,D$33),0)+Assumptions!$B$70*MAX(MIN(Assumptions!$D$70,D$34)-MAX(Assumptions!$C$70,D$33),0)+Assumptions!$B$71*MAX(MIN(Assumptions!$D$71,D$34)-MAX(Assumptions!$C$71,D$33),0)</f>
        <v/>
      </c>
      <c r="E63" s="33">
        <f>Assumptions!$B$68*MAX(MIN(Assumptions!$D$68,E$34)-MAX(Assumptions!$C$68,E$33),0)+Assumptions!$B$69*MAX(MIN(Assumptions!$D$69,E$34)-MAX(Assumptions!$C$69,E$33),0)+Assumptions!$B$70*MAX(MIN(Assumptions!$D$70,E$34)-MAX(Assumptions!$C$70,E$33),0)+Assumptions!$B$71*MAX(MIN(Assumptions!$D$71,E$34)-MAX(Assumptions!$C$71,E$33),0)</f>
        <v/>
      </c>
      <c r="F63" s="33">
        <f>Assumptions!$B$68*MAX(MIN(Assumptions!$D$68,F$34)-MAX(Assumptions!$C$68,F$33),0)+Assumptions!$B$69*MAX(MIN(Assumptions!$D$69,F$34)-MAX(Assumptions!$C$69,F$33),0)+Assumptions!$B$70*MAX(MIN(Assumptions!$D$70,F$34)-MAX(Assumptions!$C$70,F$33),0)+Assumptions!$B$71*MAX(MIN(Assumptions!$D$71,F$34)-MAX(Assumptions!$C$71,F$33),0)</f>
        <v/>
      </c>
      <c r="G63" s="33">
        <f>Assumptions!$B$68*MAX(MIN(Assumptions!$D$68,G$34)-MAX(Assumptions!$C$68,G$33),0)+Assumptions!$B$69*MAX(MIN(Assumptions!$D$69,G$34)-MAX(Assumptions!$C$69,G$33),0)+Assumptions!$B$70*MAX(MIN(Assumptions!$D$70,G$34)-MAX(Assumptions!$C$70,G$33),0)+Assumptions!$B$71*MAX(MIN(Assumptions!$D$71,G$34)-MAX(Assumptions!$C$71,G$33),0)</f>
        <v/>
      </c>
      <c r="H63" s="33">
        <f>Assumptions!$B$68*MAX(MIN(Assumptions!$D$68,H$34)-MAX(Assumptions!$C$68,H$33),0)+Assumptions!$B$69*MAX(MIN(Assumptions!$D$69,H$34)-MAX(Assumptions!$C$69,H$33),0)+Assumptions!$B$70*MAX(MIN(Assumptions!$D$70,H$34)-MAX(Assumptions!$C$70,H$33),0)+Assumptions!$B$71*MAX(MIN(Assumptions!$D$71,H$34)-MAX(Assumptions!$C$71,H$33),0)</f>
        <v/>
      </c>
    </row>
    <row r="65">
      <c r="A65" s="11" t="inlineStr">
        <is>
          <t>Spot vessel-days — class days less charter days</t>
        </is>
      </c>
      <c r="B65" s="14" t="n"/>
      <c r="C65" s="14" t="n"/>
      <c r="D65" s="14" t="n"/>
      <c r="E65" s="14" t="n"/>
      <c r="F65" s="14" t="n"/>
      <c r="G65" s="14" t="n"/>
      <c r="H65" s="14" t="n"/>
      <c r="I65" s="14" t="n"/>
    </row>
    <row r="66">
      <c r="A66" s="6" t="inlineStr">
        <is>
          <t>Handysize</t>
        </is>
      </c>
      <c r="B66" s="33">
        <f>B45-B52</f>
        <v/>
      </c>
      <c r="C66" s="33">
        <f>C45-C52</f>
        <v/>
      </c>
      <c r="D66" s="33">
        <f>D45-D52</f>
        <v/>
      </c>
      <c r="E66" s="33">
        <f>E45-E52</f>
        <v/>
      </c>
      <c r="F66" s="33">
        <f>F45-F52</f>
        <v/>
      </c>
      <c r="G66" s="33">
        <f>G45-G52</f>
        <v/>
      </c>
      <c r="H66" s="33">
        <f>H45-H52</f>
        <v/>
      </c>
    </row>
    <row r="67">
      <c r="A67" s="6" t="inlineStr">
        <is>
          <t>Medium range</t>
        </is>
      </c>
      <c r="B67" s="33">
        <f>B46-B53</f>
        <v/>
      </c>
      <c r="C67" s="33">
        <f>C46-C53</f>
        <v/>
      </c>
      <c r="D67" s="33">
        <f>D46-D53</f>
        <v/>
      </c>
      <c r="E67" s="33">
        <f>E46-E53</f>
        <v/>
      </c>
      <c r="F67" s="33">
        <f>F46-F53</f>
        <v/>
      </c>
      <c r="G67" s="33">
        <f>G46-G53</f>
        <v/>
      </c>
      <c r="H67" s="33">
        <f>H46-H53</f>
        <v/>
      </c>
    </row>
    <row r="68">
      <c r="A68" s="6" t="inlineStr">
        <is>
          <t>Long range 1</t>
        </is>
      </c>
      <c r="B68" s="33">
        <f>B47-B54</f>
        <v/>
      </c>
      <c r="C68" s="33">
        <f>C47-C54</f>
        <v/>
      </c>
      <c r="D68" s="33">
        <f>D47-D54</f>
        <v/>
      </c>
      <c r="E68" s="33">
        <f>E47-E54</f>
        <v/>
      </c>
      <c r="F68" s="33">
        <f>F47-F54</f>
        <v/>
      </c>
      <c r="G68" s="33">
        <f>G47-G54</f>
        <v/>
      </c>
      <c r="H68" s="33">
        <f>H47-H54</f>
        <v/>
      </c>
    </row>
    <row r="69">
      <c r="A69" s="6" t="inlineStr">
        <is>
          <t>Long range 2</t>
        </is>
      </c>
      <c r="B69" s="33">
        <f>B48-B55</f>
        <v/>
      </c>
      <c r="C69" s="33">
        <f>C48-C55</f>
        <v/>
      </c>
      <c r="D69" s="33">
        <f>D48-D55</f>
        <v/>
      </c>
      <c r="E69" s="33">
        <f>E48-E55</f>
        <v/>
      </c>
      <c r="F69" s="33">
        <f>F48-F55</f>
        <v/>
      </c>
      <c r="G69" s="33">
        <f>G48-G55</f>
        <v/>
      </c>
      <c r="H69" s="33">
        <f>H48-H55</f>
        <v/>
      </c>
    </row>
    <row r="70">
      <c r="A70" s="6" t="inlineStr">
        <is>
          <t>Very large crude carrier</t>
        </is>
      </c>
      <c r="B70" s="33">
        <f>B49-B56</f>
        <v/>
      </c>
      <c r="C70" s="33">
        <f>C49-C56</f>
        <v/>
      </c>
      <c r="D70" s="33">
        <f>D49-D56</f>
        <v/>
      </c>
      <c r="E70" s="33">
        <f>E49-E56</f>
        <v/>
      </c>
      <c r="F70" s="33">
        <f>F49-F56</f>
        <v/>
      </c>
      <c r="G70" s="33">
        <f>G49-G56</f>
        <v/>
      </c>
      <c r="H70" s="33">
        <f>H49-H56</f>
        <v/>
      </c>
    </row>
    <row r="72">
      <c r="A72" s="11" t="inlineStr">
        <is>
          <t>IMPLIED SPOT RATE — the blend with the chartered vessels removed (USD per day)</t>
        </is>
      </c>
      <c r="B72" s="14" t="n"/>
      <c r="C72" s="14" t="n"/>
      <c r="D72" s="14" t="n"/>
      <c r="E72" s="14" t="n"/>
      <c r="F72" s="14" t="n"/>
      <c r="G72" s="14" t="n"/>
      <c r="H72" s="14" t="n"/>
      <c r="I72" s="14" t="n"/>
    </row>
    <row r="73">
      <c r="A73" s="6" t="inlineStr">
        <is>
          <t>Handysize</t>
        </is>
      </c>
      <c r="B73" s="35">
        <f>(B38*B45-B59)/B66</f>
        <v/>
      </c>
      <c r="C73" s="35">
        <f>(C38*C45-C59)/C66</f>
        <v/>
      </c>
      <c r="D73" s="35">
        <f>(D38*D45-D59)/D66</f>
        <v/>
      </c>
      <c r="E73" s="35">
        <f>(E38*E45-E59)/E66</f>
        <v/>
      </c>
      <c r="F73" s="35">
        <f>(F38*F45-F59)/F66</f>
        <v/>
      </c>
      <c r="G73" s="35">
        <f>(G38*G45-G59)/G66</f>
        <v/>
      </c>
      <c r="H73" s="35">
        <f>(H38*H45-H59)/H66</f>
        <v/>
      </c>
    </row>
    <row r="74">
      <c r="A74" s="6" t="inlineStr">
        <is>
          <t>Medium range</t>
        </is>
      </c>
      <c r="B74" s="35">
        <f>(B39*B46-B60)/B67</f>
        <v/>
      </c>
      <c r="C74" s="35">
        <f>(C39*C46-C60)/C67</f>
        <v/>
      </c>
      <c r="D74" s="35">
        <f>(D39*D46-D60)/D67</f>
        <v/>
      </c>
      <c r="E74" s="35">
        <f>(E39*E46-E60)/E67</f>
        <v/>
      </c>
      <c r="F74" s="35">
        <f>(F39*F46-F60)/F67</f>
        <v/>
      </c>
      <c r="G74" s="35">
        <f>(G39*G46-G60)/G67</f>
        <v/>
      </c>
      <c r="H74" s="35">
        <f>(H39*H46-H60)/H67</f>
        <v/>
      </c>
    </row>
    <row r="75">
      <c r="A75" s="6" t="inlineStr">
        <is>
          <t>Long range 1</t>
        </is>
      </c>
      <c r="B75" s="35">
        <f>(B40*B47-B61)/B68</f>
        <v/>
      </c>
      <c r="C75" s="35">
        <f>(C40*C47-C61)/C68</f>
        <v/>
      </c>
      <c r="D75" s="35">
        <f>(D40*D47-D61)/D68</f>
        <v/>
      </c>
      <c r="E75" s="35">
        <f>(E40*E47-E61)/E68</f>
        <v/>
      </c>
      <c r="F75" s="35">
        <f>(F40*F47-F61)/F68</f>
        <v/>
      </c>
      <c r="G75" s="35">
        <f>(G40*G47-G61)/G68</f>
        <v/>
      </c>
      <c r="H75" s="35">
        <f>(H40*H47-H61)/H68</f>
        <v/>
      </c>
    </row>
    <row r="76">
      <c r="A76" s="6" t="inlineStr">
        <is>
          <t>Long range 2</t>
        </is>
      </c>
      <c r="B76" s="35">
        <f>(B41*B48-B62)/B69</f>
        <v/>
      </c>
      <c r="C76" s="35">
        <f>(C41*C48-C62)/C69</f>
        <v/>
      </c>
      <c r="D76" s="35">
        <f>(D41*D48-D62)/D69</f>
        <v/>
      </c>
      <c r="E76" s="35">
        <f>(E41*E48-E62)/E69</f>
        <v/>
      </c>
      <c r="F76" s="35">
        <f>(F41*F48-F62)/F69</f>
        <v/>
      </c>
      <c r="G76" s="35">
        <f>(G41*G48-G62)/G69</f>
        <v/>
      </c>
      <c r="H76" s="35">
        <f>(H41*H48-H62)/H69</f>
        <v/>
      </c>
    </row>
    <row r="77">
      <c r="A77" s="6" t="inlineStr">
        <is>
          <t>Very large crude carrier</t>
        </is>
      </c>
      <c r="B77" s="35">
        <f>(B42*B49-B63)/B70</f>
        <v/>
      </c>
      <c r="C77" s="35">
        <f>(C42*C49-C63)/C70</f>
        <v/>
      </c>
      <c r="D77" s="35">
        <f>(D42*D49-D63)/D70</f>
        <v/>
      </c>
      <c r="E77" s="35">
        <f>(E42*E49-E63)/E70</f>
        <v/>
      </c>
      <c r="F77" s="35">
        <f>(F42*F49-F63)/F70</f>
        <v/>
      </c>
      <c r="G77" s="35">
        <f>(G42*G49-G63)/G70</f>
        <v/>
      </c>
      <c r="H77" s="35">
        <f>(H42*H49-H63)/H70</f>
        <v/>
      </c>
    </row>
    <row r="79">
      <c r="A79" s="11" t="inlineStr">
        <is>
          <t>THE IMPLIED SPOT RATE PATH — NEVER THE PUBLISHED BLEND</t>
        </is>
      </c>
      <c r="B79" s="14" t="inlineStr">
        <is>
          <t>Handysize</t>
        </is>
      </c>
      <c r="C79" s="14" t="inlineStr">
        <is>
          <t>Medium range</t>
        </is>
      </c>
      <c r="D79" s="14" t="inlineStr">
        <is>
          <t>Long range 1</t>
        </is>
      </c>
      <c r="E79" s="14" t="inlineStr">
        <is>
          <t>Long range 2</t>
        </is>
      </c>
      <c r="F79" s="14" t="inlineStr">
        <is>
          <t>Very large crude carrier</t>
        </is>
      </c>
    </row>
    <row r="80">
      <c r="A80" s="6" t="inlineStr">
        <is>
          <t>2025 implied spot rate — the four quarters averaged (USD per day)</t>
        </is>
      </c>
      <c r="B80" s="33">
        <f>AVERAGE(B73:E73)</f>
        <v/>
      </c>
      <c r="C80" s="33">
        <f>AVERAGE(B74:E74)</f>
        <v/>
      </c>
      <c r="D80" s="33">
        <f>AVERAGE(B75:E75)</f>
        <v/>
      </c>
      <c r="E80" s="33">
        <f>AVERAGE(B76:E76)</f>
        <v/>
      </c>
      <c r="F80" s="33">
        <f>AVERAGE(B77:E77)</f>
        <v/>
      </c>
    </row>
    <row r="81">
      <c r="A81" s="6" t="inlineStr">
        <is>
          <t>Mid-cycle implied spot anchor (USD per day)</t>
        </is>
      </c>
      <c r="B81" s="33">
        <f>H73</f>
        <v/>
      </c>
      <c r="C81" s="33">
        <f>H74</f>
        <v/>
      </c>
      <c r="D81" s="33">
        <f>H75</f>
        <v/>
      </c>
      <c r="E81" s="33">
        <f>H76</f>
        <v/>
      </c>
      <c r="F81" s="33">
        <f>H77</f>
        <v/>
      </c>
    </row>
    <row r="82">
      <c r="A82" s="6" t="inlineStr">
        <is>
          <t>First-quarter 2026 implied spot rate (USD per day)</t>
        </is>
      </c>
      <c r="B82" s="33">
        <f>F73</f>
        <v/>
      </c>
      <c r="C82" s="33">
        <f>F74</f>
        <v/>
      </c>
      <c r="D82" s="33">
        <f>F75</f>
        <v/>
      </c>
      <c r="E82" s="33">
        <f>F76</f>
        <v/>
      </c>
      <c r="F82" s="33">
        <f>F77</f>
        <v/>
      </c>
    </row>
    <row r="83">
      <c r="A83" s="6" t="inlineStr">
        <is>
          <t>Second-quarter 2026 implied spot rate (USD per day)</t>
        </is>
      </c>
      <c r="B83" s="33">
        <f>G73</f>
        <v/>
      </c>
      <c r="C83" s="33">
        <f>G74</f>
        <v/>
      </c>
      <c r="D83" s="33">
        <f>G75</f>
        <v/>
      </c>
      <c r="E83" s="33">
        <f>G76</f>
        <v/>
      </c>
      <c r="F83" s="33">
        <f>G77</f>
        <v/>
      </c>
    </row>
    <row r="84">
      <c r="A84" s="6" t="inlineStr">
        <is>
          <t>Second half of 2026 — the first quarter stepped back toward the 2025 implied spot rate (USD per day)</t>
        </is>
      </c>
      <c r="B84" s="33">
        <f>B82*(1-Assumptions!$C$90)+B80*Assumptions!$C$90</f>
        <v/>
      </c>
      <c r="C84" s="33">
        <f>C82*(1-Assumptions!$C$90)+C80*Assumptions!$C$90</f>
        <v/>
      </c>
      <c r="D84" s="33">
        <f>D82*(1-Assumptions!$C$90)+D80*Assumptions!$C$90</f>
        <v/>
      </c>
      <c r="E84" s="33">
        <f>E82*(1-Assumptions!$C$90)+E80*Assumptions!$C$90</f>
        <v/>
      </c>
      <c r="F84" s="33">
        <f>F82*(1-Assumptions!$C$90)+F80*Assumptions!$C$90</f>
        <v/>
      </c>
    </row>
    <row r="85">
      <c r="A85" s="6" t="inlineStr">
        <is>
          <t>FY2026 implied spot rate — the four quarters averaged (USD per day)</t>
        </is>
      </c>
      <c r="B85" s="33">
        <f>(B82+B83+2*B84)/4</f>
        <v/>
      </c>
      <c r="C85" s="33">
        <f>(C82+C83+2*C84)/4</f>
        <v/>
      </c>
      <c r="D85" s="33">
        <f>(D82+D83+2*D84)/4</f>
        <v/>
      </c>
      <c r="E85" s="33">
        <f>(E82+E83+2*E84)/4</f>
        <v/>
      </c>
      <c r="F85" s="33">
        <f>(F82+F83+2*F84)/4</f>
        <v/>
      </c>
    </row>
    <row r="87">
      <c r="A87" s="11" t="inlineStr">
        <is>
          <t>Implied spot rate by class, gliding to the mid-cycle anchor (USD per day)</t>
        </is>
      </c>
      <c r="B87" s="14" t="inlineStr">
        <is>
          <t>FY2026</t>
        </is>
      </c>
      <c r="C87" s="14" t="inlineStr">
        <is>
          <t>FY2027</t>
        </is>
      </c>
      <c r="D87" s="14" t="inlineStr">
        <is>
          <t>FY2028</t>
        </is>
      </c>
      <c r="E87" s="14" t="inlineStr">
        <is>
          <t>FY2029</t>
        </is>
      </c>
      <c r="F87" s="14" t="inlineStr">
        <is>
          <t>FY2030</t>
        </is>
      </c>
    </row>
    <row r="88">
      <c r="A88" s="6" t="inlineStr">
        <is>
          <t>Handysize</t>
        </is>
      </c>
      <c r="B88" s="33">
        <f>$B$85</f>
        <v/>
      </c>
      <c r="C88" s="33">
        <f>$B$85+($B$81-$B$85)*1/4</f>
        <v/>
      </c>
      <c r="D88" s="33">
        <f>$B$85+($B$81-$B$85)*2/4</f>
        <v/>
      </c>
      <c r="E88" s="33">
        <f>$B$85+($B$81-$B$85)*3/4</f>
        <v/>
      </c>
      <c r="F88" s="33">
        <f>$B$85+($B$81-$B$85)*4/4</f>
        <v/>
      </c>
    </row>
    <row r="89">
      <c r="A89" s="6" t="inlineStr">
        <is>
          <t>Medium range</t>
        </is>
      </c>
      <c r="B89" s="33">
        <f>$C$85</f>
        <v/>
      </c>
      <c r="C89" s="33">
        <f>$C$85+($C$81-$C$85)*1/4</f>
        <v/>
      </c>
      <c r="D89" s="33">
        <f>$C$85+($C$81-$C$85)*2/4</f>
        <v/>
      </c>
      <c r="E89" s="33">
        <f>$C$85+($C$81-$C$85)*3/4</f>
        <v/>
      </c>
      <c r="F89" s="33">
        <f>$C$85+($C$81-$C$85)*4/4</f>
        <v/>
      </c>
    </row>
    <row r="90">
      <c r="A90" s="6" t="inlineStr">
        <is>
          <t>Long range 1</t>
        </is>
      </c>
      <c r="B90" s="33">
        <f>$D$85</f>
        <v/>
      </c>
      <c r="C90" s="33">
        <f>$D$85+($D$81-$D$85)*1/4</f>
        <v/>
      </c>
      <c r="D90" s="33">
        <f>$D$85+($D$81-$D$85)*2/4</f>
        <v/>
      </c>
      <c r="E90" s="33">
        <f>$D$85+($D$81-$D$85)*3/4</f>
        <v/>
      </c>
      <c r="F90" s="33">
        <f>$D$85+($D$81-$D$85)*4/4</f>
        <v/>
      </c>
    </row>
    <row r="91">
      <c r="A91" s="6" t="inlineStr">
        <is>
          <t>Long range 2</t>
        </is>
      </c>
      <c r="B91" s="33">
        <f>$E$85</f>
        <v/>
      </c>
      <c r="C91" s="33">
        <f>$E$85+($E$81-$E$85)*1/4</f>
        <v/>
      </c>
      <c r="D91" s="33">
        <f>$E$85+($E$81-$E$85)*2/4</f>
        <v/>
      </c>
      <c r="E91" s="33">
        <f>$E$85+($E$81-$E$85)*3/4</f>
        <v/>
      </c>
      <c r="F91" s="33">
        <f>$E$85+($E$81-$E$85)*4/4</f>
        <v/>
      </c>
    </row>
    <row r="92">
      <c r="A92" s="6" t="inlineStr">
        <is>
          <t>Very large crude carrier</t>
        </is>
      </c>
      <c r="B92" s="33">
        <f>$F$85</f>
        <v/>
      </c>
      <c r="C92" s="33">
        <f>$F$85+($F$81-$F$85)*1/4</f>
        <v/>
      </c>
      <c r="D92" s="33">
        <f>$F$85+($F$81-$F$85)*2/4</f>
        <v/>
      </c>
      <c r="E92" s="33">
        <f>$F$85+($F$81-$F$85)*3/4</f>
        <v/>
      </c>
      <c r="F92" s="33">
        <f>$F$85+($F$81-$F$85)*4/4</f>
        <v/>
      </c>
    </row>
    <row r="94">
      <c r="A94" s="11" t="inlineStr">
        <is>
          <t>THE FORECAST YEARS — EVERY VESSEL PRICED ON ITS OWN TERMS</t>
        </is>
      </c>
      <c r="B94" s="14" t="inlineStr">
        <is>
          <t>FY2026</t>
        </is>
      </c>
      <c r="C94" s="14" t="inlineStr">
        <is>
          <t>FY2027</t>
        </is>
      </c>
      <c r="D94" s="14" t="inlineStr">
        <is>
          <t>FY2028</t>
        </is>
      </c>
      <c r="E94" s="14" t="inlineStr">
        <is>
          <t>FY2029</t>
        </is>
      </c>
      <c r="F94" s="14" t="inlineStr">
        <is>
          <t>FY2030</t>
        </is>
      </c>
    </row>
    <row r="95">
      <c r="A95" s="6" t="inlineStr">
        <is>
          <t>Year begins</t>
        </is>
      </c>
      <c r="B95" s="43">
        <f>Assumptions!$B$78</f>
        <v/>
      </c>
      <c r="C95" s="43">
        <f>Assumptions!$C$78</f>
        <v/>
      </c>
      <c r="D95" s="43">
        <f>Assumptions!$D$78</f>
        <v/>
      </c>
      <c r="E95" s="43">
        <f>Assumptions!$E$78</f>
        <v/>
      </c>
      <c r="F95" s="43">
        <f>Assumptions!$F$78</f>
        <v/>
      </c>
    </row>
    <row r="96">
      <c r="A96" s="6" t="inlineStr">
        <is>
          <t>Year ends</t>
        </is>
      </c>
      <c r="B96" s="43">
        <f>Assumptions!$B$79</f>
        <v/>
      </c>
      <c r="C96" s="43">
        <f>Assumptions!$C$79</f>
        <v/>
      </c>
      <c r="D96" s="43">
        <f>Assumptions!$D$79</f>
        <v/>
      </c>
      <c r="E96" s="43">
        <f>Assumptions!$E$79</f>
        <v/>
      </c>
      <c r="F96" s="43">
        <f>Assumptions!$F$79</f>
        <v/>
      </c>
    </row>
    <row r="97">
      <c r="A97" s="6" t="inlineStr">
        <is>
          <t>Days in the year</t>
        </is>
      </c>
      <c r="B97" s="33">
        <f>B96-B95</f>
        <v/>
      </c>
      <c r="C97" s="33">
        <f>C96-C95</f>
        <v/>
      </c>
      <c r="D97" s="33">
        <f>D96-D95</f>
        <v/>
      </c>
      <c r="E97" s="33">
        <f>E96-E95</f>
        <v/>
      </c>
      <c r="F97" s="33">
        <f>F96-F95</f>
        <v/>
      </c>
    </row>
    <row r="99">
      <c r="A99" s="11" t="inlineStr">
        <is>
          <t>Charter vessel-days by class</t>
        </is>
      </c>
      <c r="B99" s="14" t="inlineStr">
        <is>
          <t>FY2026</t>
        </is>
      </c>
      <c r="C99" s="14" t="inlineStr">
        <is>
          <t>FY2027</t>
        </is>
      </c>
      <c r="D99" s="14" t="inlineStr">
        <is>
          <t>FY2028</t>
        </is>
      </c>
      <c r="E99" s="14" t="inlineStr">
        <is>
          <t>FY2029</t>
        </is>
      </c>
      <c r="F99" s="14" t="inlineStr">
        <is>
          <t>FY2030</t>
        </is>
      </c>
    </row>
    <row r="100">
      <c r="A100" s="6" t="inlineStr">
        <is>
          <t>Handysize</t>
        </is>
      </c>
      <c r="B100" s="33">
        <f>0</f>
        <v/>
      </c>
      <c r="C100" s="33">
        <f>0</f>
        <v/>
      </c>
      <c r="D100" s="33">
        <f>0</f>
        <v/>
      </c>
      <c r="E100" s="33">
        <f>0</f>
        <v/>
      </c>
      <c r="F100" s="33">
        <f>0</f>
        <v/>
      </c>
    </row>
    <row r="101">
      <c r="A101" s="6" t="inlineStr">
        <is>
          <t>Medium range</t>
        </is>
      </c>
      <c r="B101" s="33">
        <f>0</f>
        <v/>
      </c>
      <c r="C101" s="33">
        <f>0</f>
        <v/>
      </c>
      <c r="D101" s="33">
        <f>0</f>
        <v/>
      </c>
      <c r="E101" s="33">
        <f>0</f>
        <v/>
      </c>
      <c r="F101" s="33">
        <f>0</f>
        <v/>
      </c>
    </row>
    <row r="102">
      <c r="A102" s="6" t="inlineStr">
        <is>
          <t>Long range 1</t>
        </is>
      </c>
      <c r="B102" s="33">
        <f>MAX(MIN(Assumptions!$D$60,B$96)-MAX(Assumptions!$C$60,B$95),0)+MAX(MIN(Assumptions!$D$61,B$96)-MAX(Assumptions!$C$61,B$95),0)</f>
        <v/>
      </c>
      <c r="C102" s="33">
        <f>MAX(MIN(Assumptions!$D$60,C$96)-MAX(Assumptions!$C$60,C$95),0)+MAX(MIN(Assumptions!$D$61,C$96)-MAX(Assumptions!$C$61,C$95),0)</f>
        <v/>
      </c>
      <c r="D102" s="33">
        <f>MAX(MIN(Assumptions!$D$60,D$96)-MAX(Assumptions!$C$60,D$95),0)+MAX(MIN(Assumptions!$D$61,D$96)-MAX(Assumptions!$C$61,D$95),0)</f>
        <v/>
      </c>
      <c r="E102" s="33">
        <f>MAX(MIN(Assumptions!$D$60,E$96)-MAX(Assumptions!$C$60,E$95),0)+MAX(MIN(Assumptions!$D$61,E$96)-MAX(Assumptions!$C$61,E$95),0)</f>
        <v/>
      </c>
      <c r="F102" s="33">
        <f>MAX(MIN(Assumptions!$D$60,F$96)-MAX(Assumptions!$C$60,F$95),0)+MAX(MIN(Assumptions!$D$61,F$96)-MAX(Assumptions!$C$61,F$95),0)</f>
        <v/>
      </c>
    </row>
    <row r="103">
      <c r="A103" s="6" t="inlineStr">
        <is>
          <t>Long range 2</t>
        </is>
      </c>
      <c r="B103" s="33">
        <f>MAX(MIN(Assumptions!$D$62,B$96)-MAX(Assumptions!$C$62,B$95),0)+MAX(MIN(Assumptions!$D$63,B$96)-MAX(Assumptions!$C$63,B$95),0)+MAX(MIN(Assumptions!$D$64,B$96)-MAX(Assumptions!$C$64,B$95),0)+MAX(MIN(Assumptions!$D$65,B$96)-MAX(Assumptions!$C$65,B$95),0)+MAX(MIN(Assumptions!$D$66,B$96)-MAX(Assumptions!$C$66,B$95),0)+MAX(MIN(Assumptions!$D$67,B$96)-MAX(Assumptions!$C$67,B$95),0)</f>
        <v/>
      </c>
      <c r="C103" s="33">
        <f>MAX(MIN(Assumptions!$D$62,C$96)-MAX(Assumptions!$C$62,C$95),0)+MAX(MIN(Assumptions!$D$63,C$96)-MAX(Assumptions!$C$63,C$95),0)+MAX(MIN(Assumptions!$D$64,C$96)-MAX(Assumptions!$C$64,C$95),0)+MAX(MIN(Assumptions!$D$65,C$96)-MAX(Assumptions!$C$65,C$95),0)+MAX(MIN(Assumptions!$D$66,C$96)-MAX(Assumptions!$C$66,C$95),0)+MAX(MIN(Assumptions!$D$67,C$96)-MAX(Assumptions!$C$67,C$95),0)</f>
        <v/>
      </c>
      <c r="D103" s="33">
        <f>MAX(MIN(Assumptions!$D$62,D$96)-MAX(Assumptions!$C$62,D$95),0)+MAX(MIN(Assumptions!$D$63,D$96)-MAX(Assumptions!$C$63,D$95),0)+MAX(MIN(Assumptions!$D$64,D$96)-MAX(Assumptions!$C$64,D$95),0)+MAX(MIN(Assumptions!$D$65,D$96)-MAX(Assumptions!$C$65,D$95),0)+MAX(MIN(Assumptions!$D$66,D$96)-MAX(Assumptions!$C$66,D$95),0)+MAX(MIN(Assumptions!$D$67,D$96)-MAX(Assumptions!$C$67,D$95),0)</f>
        <v/>
      </c>
      <c r="E103" s="33">
        <f>MAX(MIN(Assumptions!$D$62,E$96)-MAX(Assumptions!$C$62,E$95),0)+MAX(MIN(Assumptions!$D$63,E$96)-MAX(Assumptions!$C$63,E$95),0)+MAX(MIN(Assumptions!$D$64,E$96)-MAX(Assumptions!$C$64,E$95),0)+MAX(MIN(Assumptions!$D$65,E$96)-MAX(Assumptions!$C$65,E$95),0)+MAX(MIN(Assumptions!$D$66,E$96)-MAX(Assumptions!$C$66,E$95),0)+MAX(MIN(Assumptions!$D$67,E$96)-MAX(Assumptions!$C$67,E$95),0)</f>
        <v/>
      </c>
      <c r="F103" s="33">
        <f>MAX(MIN(Assumptions!$D$62,F$96)-MAX(Assumptions!$C$62,F$95),0)+MAX(MIN(Assumptions!$D$63,F$96)-MAX(Assumptions!$C$63,F$95),0)+MAX(MIN(Assumptions!$D$64,F$96)-MAX(Assumptions!$C$64,F$95),0)+MAX(MIN(Assumptions!$D$65,F$96)-MAX(Assumptions!$C$65,F$95),0)+MAX(MIN(Assumptions!$D$66,F$96)-MAX(Assumptions!$C$66,F$95),0)+MAX(MIN(Assumptions!$D$67,F$96)-MAX(Assumptions!$C$67,F$95),0)</f>
        <v/>
      </c>
    </row>
    <row r="104">
      <c r="A104" s="6" t="inlineStr">
        <is>
          <t>Very large crude carrier</t>
        </is>
      </c>
      <c r="B104" s="33">
        <f>MAX(MIN(Assumptions!$D$68,B$96)-MAX(Assumptions!$C$68,B$95),0)+MAX(MIN(Assumptions!$D$69,B$96)-MAX(Assumptions!$C$69,B$95),0)+MAX(MIN(Assumptions!$D$70,B$96)-MAX(Assumptions!$C$70,B$95),0)+MAX(MIN(Assumptions!$D$71,B$96)-MAX(Assumptions!$C$71,B$95),0)</f>
        <v/>
      </c>
      <c r="C104" s="33">
        <f>MAX(MIN(Assumptions!$D$68,C$96)-MAX(Assumptions!$C$68,C$95),0)+MAX(MIN(Assumptions!$D$69,C$96)-MAX(Assumptions!$C$69,C$95),0)+MAX(MIN(Assumptions!$D$70,C$96)-MAX(Assumptions!$C$70,C$95),0)+MAX(MIN(Assumptions!$D$71,C$96)-MAX(Assumptions!$C$71,C$95),0)</f>
        <v/>
      </c>
      <c r="D104" s="33">
        <f>MAX(MIN(Assumptions!$D$68,D$96)-MAX(Assumptions!$C$68,D$95),0)+MAX(MIN(Assumptions!$D$69,D$96)-MAX(Assumptions!$C$69,D$95),0)+MAX(MIN(Assumptions!$D$70,D$96)-MAX(Assumptions!$C$70,D$95),0)+MAX(MIN(Assumptions!$D$71,D$96)-MAX(Assumptions!$C$71,D$95),0)</f>
        <v/>
      </c>
      <c r="E104" s="33">
        <f>MAX(MIN(Assumptions!$D$68,E$96)-MAX(Assumptions!$C$68,E$95),0)+MAX(MIN(Assumptions!$D$69,E$96)-MAX(Assumptions!$C$69,E$95),0)+MAX(MIN(Assumptions!$D$70,E$96)-MAX(Assumptions!$C$70,E$95),0)+MAX(MIN(Assumptions!$D$71,E$96)-MAX(Assumptions!$C$71,E$95),0)</f>
        <v/>
      </c>
      <c r="F104" s="33">
        <f>MAX(MIN(Assumptions!$D$68,F$96)-MAX(Assumptions!$C$68,F$95),0)+MAX(MIN(Assumptions!$D$69,F$96)-MAX(Assumptions!$C$69,F$95),0)+MAX(MIN(Assumptions!$D$70,F$96)-MAX(Assumptions!$C$70,F$95),0)+MAX(MIN(Assumptions!$D$71,F$96)-MAX(Assumptions!$C$71,F$95),0)</f>
        <v/>
      </c>
    </row>
    <row r="106">
      <c r="A106" s="11" t="inlineStr">
        <is>
          <t>Charter revenue by class (USD 000)</t>
        </is>
      </c>
      <c r="B106" s="14" t="inlineStr">
        <is>
          <t>FY2026</t>
        </is>
      </c>
      <c r="C106" s="14" t="inlineStr">
        <is>
          <t>FY2027</t>
        </is>
      </c>
      <c r="D106" s="14" t="inlineStr">
        <is>
          <t>FY2028</t>
        </is>
      </c>
      <c r="E106" s="14" t="inlineStr">
        <is>
          <t>FY2029</t>
        </is>
      </c>
      <c r="F106" s="14" t="inlineStr">
        <is>
          <t>FY2030</t>
        </is>
      </c>
    </row>
    <row r="107">
      <c r="A107" s="6" t="inlineStr">
        <is>
          <t>Handysize</t>
        </is>
      </c>
      <c r="B107" s="33">
        <f>0</f>
        <v/>
      </c>
      <c r="C107" s="33">
        <f>0</f>
        <v/>
      </c>
      <c r="D107" s="33">
        <f>0</f>
        <v/>
      </c>
      <c r="E107" s="33">
        <f>0</f>
        <v/>
      </c>
      <c r="F107" s="33">
        <f>0</f>
        <v/>
      </c>
    </row>
    <row r="108">
      <c r="A108" s="6" t="inlineStr">
        <is>
          <t>Medium range</t>
        </is>
      </c>
      <c r="B108" s="33">
        <f>0</f>
        <v/>
      </c>
      <c r="C108" s="33">
        <f>0</f>
        <v/>
      </c>
      <c r="D108" s="33">
        <f>0</f>
        <v/>
      </c>
      <c r="E108" s="33">
        <f>0</f>
        <v/>
      </c>
      <c r="F108" s="33">
        <f>0</f>
        <v/>
      </c>
    </row>
    <row r="109">
      <c r="A109" s="6" t="inlineStr">
        <is>
          <t>Long range 1</t>
        </is>
      </c>
      <c r="B109" s="33">
        <f>(Assumptions!$B$60*MAX(MIN(Assumptions!$D$60,B$96)-MAX(Assumptions!$C$60,B$95),0)+Assumptions!$B$61*MAX(MIN(Assumptions!$D$61,B$96)-MAX(Assumptions!$C$61,B$95),0))/1000</f>
        <v/>
      </c>
      <c r="C109" s="33">
        <f>(Assumptions!$B$60*MAX(MIN(Assumptions!$D$60,C$96)-MAX(Assumptions!$C$60,C$95),0)+Assumptions!$B$61*MAX(MIN(Assumptions!$D$61,C$96)-MAX(Assumptions!$C$61,C$95),0))/1000</f>
        <v/>
      </c>
      <c r="D109" s="33">
        <f>(Assumptions!$B$60*MAX(MIN(Assumptions!$D$60,D$96)-MAX(Assumptions!$C$60,D$95),0)+Assumptions!$B$61*MAX(MIN(Assumptions!$D$61,D$96)-MAX(Assumptions!$C$61,D$95),0))/1000</f>
        <v/>
      </c>
      <c r="E109" s="33">
        <f>(Assumptions!$B$60*MAX(MIN(Assumptions!$D$60,E$96)-MAX(Assumptions!$C$60,E$95),0)+Assumptions!$B$61*MAX(MIN(Assumptions!$D$61,E$96)-MAX(Assumptions!$C$61,E$95),0))/1000</f>
        <v/>
      </c>
      <c r="F109" s="33">
        <f>(Assumptions!$B$60*MAX(MIN(Assumptions!$D$60,F$96)-MAX(Assumptions!$C$60,F$95),0)+Assumptions!$B$61*MAX(MIN(Assumptions!$D$61,F$96)-MAX(Assumptions!$C$61,F$95),0))/1000</f>
        <v/>
      </c>
    </row>
    <row r="110">
      <c r="A110" s="6" t="inlineStr">
        <is>
          <t>Long range 2</t>
        </is>
      </c>
      <c r="B110" s="33">
        <f>(Assumptions!$B$62*MAX(MIN(Assumptions!$D$62,B$96)-MAX(Assumptions!$C$62,B$95),0)+Assumptions!$B$63*MAX(MIN(Assumptions!$D$63,B$96)-MAX(Assumptions!$C$63,B$95),0)+Assumptions!$B$64*MAX(MIN(Assumptions!$D$64,B$96)-MAX(Assumptions!$C$64,B$95),0)+Assumptions!$B$65*MAX(MIN(Assumptions!$D$65,B$96)-MAX(Assumptions!$C$65,B$95),0)+Assumptions!$B$66*MAX(MIN(Assumptions!$D$66,B$96)-MAX(Assumptions!$C$66,B$95),0)+Assumptions!$B$67*MAX(MIN(Assumptions!$D$67,B$96)-MAX(Assumptions!$C$67,B$95),0))/1000</f>
        <v/>
      </c>
      <c r="C110" s="33">
        <f>(Assumptions!$B$62*MAX(MIN(Assumptions!$D$62,C$96)-MAX(Assumptions!$C$62,C$95),0)+Assumptions!$B$63*MAX(MIN(Assumptions!$D$63,C$96)-MAX(Assumptions!$C$63,C$95),0)+Assumptions!$B$64*MAX(MIN(Assumptions!$D$64,C$96)-MAX(Assumptions!$C$64,C$95),0)+Assumptions!$B$65*MAX(MIN(Assumptions!$D$65,C$96)-MAX(Assumptions!$C$65,C$95),0)+Assumptions!$B$66*MAX(MIN(Assumptions!$D$66,C$96)-MAX(Assumptions!$C$66,C$95),0)+Assumptions!$B$67*MAX(MIN(Assumptions!$D$67,C$96)-MAX(Assumptions!$C$67,C$95),0))/1000</f>
        <v/>
      </c>
      <c r="D110" s="33">
        <f>(Assumptions!$B$62*MAX(MIN(Assumptions!$D$62,D$96)-MAX(Assumptions!$C$62,D$95),0)+Assumptions!$B$63*MAX(MIN(Assumptions!$D$63,D$96)-MAX(Assumptions!$C$63,D$95),0)+Assumptions!$B$64*MAX(MIN(Assumptions!$D$64,D$96)-MAX(Assumptions!$C$64,D$95),0)+Assumptions!$B$65*MAX(MIN(Assumptions!$D$65,D$96)-MAX(Assumptions!$C$65,D$95),0)+Assumptions!$B$66*MAX(MIN(Assumptions!$D$66,D$96)-MAX(Assumptions!$C$66,D$95),0)+Assumptions!$B$67*MAX(MIN(Assumptions!$D$67,D$96)-MAX(Assumptions!$C$67,D$95),0))/1000</f>
        <v/>
      </c>
      <c r="E110" s="33">
        <f>(Assumptions!$B$62*MAX(MIN(Assumptions!$D$62,E$96)-MAX(Assumptions!$C$62,E$95),0)+Assumptions!$B$63*MAX(MIN(Assumptions!$D$63,E$96)-MAX(Assumptions!$C$63,E$95),0)+Assumptions!$B$64*MAX(MIN(Assumptions!$D$64,E$96)-MAX(Assumptions!$C$64,E$95),0)+Assumptions!$B$65*MAX(MIN(Assumptions!$D$65,E$96)-MAX(Assumptions!$C$65,E$95),0)+Assumptions!$B$66*MAX(MIN(Assumptions!$D$66,E$96)-MAX(Assumptions!$C$66,E$95),0)+Assumptions!$B$67*MAX(MIN(Assumptions!$D$67,E$96)-MAX(Assumptions!$C$67,E$95),0))/1000</f>
        <v/>
      </c>
      <c r="F110" s="33">
        <f>(Assumptions!$B$62*MAX(MIN(Assumptions!$D$62,F$96)-MAX(Assumptions!$C$62,F$95),0)+Assumptions!$B$63*MAX(MIN(Assumptions!$D$63,F$96)-MAX(Assumptions!$C$63,F$95),0)+Assumptions!$B$64*MAX(MIN(Assumptions!$D$64,F$96)-MAX(Assumptions!$C$64,F$95),0)+Assumptions!$B$65*MAX(MIN(Assumptions!$D$65,F$96)-MAX(Assumptions!$C$65,F$95),0)+Assumptions!$B$66*MAX(MIN(Assumptions!$D$66,F$96)-MAX(Assumptions!$C$66,F$95),0)+Assumptions!$B$67*MAX(MIN(Assumptions!$D$67,F$96)-MAX(Assumptions!$C$67,F$95),0))/1000</f>
        <v/>
      </c>
    </row>
    <row r="111">
      <c r="A111" s="6" t="inlineStr">
        <is>
          <t>Very large crude carrier</t>
        </is>
      </c>
      <c r="B111" s="33">
        <f>(Assumptions!$B$68*MAX(MIN(Assumptions!$D$68,B$96)-MAX(Assumptions!$C$68,B$95),0)+Assumptions!$B$69*MAX(MIN(Assumptions!$D$69,B$96)-MAX(Assumptions!$C$69,B$95),0)+Assumptions!$B$70*MAX(MIN(Assumptions!$D$70,B$96)-MAX(Assumptions!$C$70,B$95),0)+Assumptions!$B$71*MAX(MIN(Assumptions!$D$71,B$96)-MAX(Assumptions!$C$71,B$95),0))/1000</f>
        <v/>
      </c>
      <c r="C111" s="33">
        <f>(Assumptions!$B$68*MAX(MIN(Assumptions!$D$68,C$96)-MAX(Assumptions!$C$68,C$95),0)+Assumptions!$B$69*MAX(MIN(Assumptions!$D$69,C$96)-MAX(Assumptions!$C$69,C$95),0)+Assumptions!$B$70*MAX(MIN(Assumptions!$D$70,C$96)-MAX(Assumptions!$C$70,C$95),0)+Assumptions!$B$71*MAX(MIN(Assumptions!$D$71,C$96)-MAX(Assumptions!$C$71,C$95),0))/1000</f>
        <v/>
      </c>
      <c r="D111" s="33">
        <f>(Assumptions!$B$68*MAX(MIN(Assumptions!$D$68,D$96)-MAX(Assumptions!$C$68,D$95),0)+Assumptions!$B$69*MAX(MIN(Assumptions!$D$69,D$96)-MAX(Assumptions!$C$69,D$95),0)+Assumptions!$B$70*MAX(MIN(Assumptions!$D$70,D$96)-MAX(Assumptions!$C$70,D$95),0)+Assumptions!$B$71*MAX(MIN(Assumptions!$D$71,D$96)-MAX(Assumptions!$C$71,D$95),0))/1000</f>
        <v/>
      </c>
      <c r="E111" s="33">
        <f>(Assumptions!$B$68*MAX(MIN(Assumptions!$D$68,E$96)-MAX(Assumptions!$C$68,E$95),0)+Assumptions!$B$69*MAX(MIN(Assumptions!$D$69,E$96)-MAX(Assumptions!$C$69,E$95),0)+Assumptions!$B$70*MAX(MIN(Assumptions!$D$70,E$96)-MAX(Assumptions!$C$70,E$95),0)+Assumptions!$B$71*MAX(MIN(Assumptions!$D$71,E$96)-MAX(Assumptions!$C$71,E$95),0))/1000</f>
        <v/>
      </c>
      <c r="F111" s="33">
        <f>(Assumptions!$B$68*MAX(MIN(Assumptions!$D$68,F$96)-MAX(Assumptions!$C$68,F$95),0)+Assumptions!$B$69*MAX(MIN(Assumptions!$D$69,F$96)-MAX(Assumptions!$C$69,F$95),0)+Assumptions!$B$70*MAX(MIN(Assumptions!$D$70,F$96)-MAX(Assumptions!$C$70,F$95),0)+Assumptions!$B$71*MAX(MIN(Assumptions!$D$71,F$96)-MAX(Assumptions!$C$71,F$95),0))/1000</f>
        <v/>
      </c>
    </row>
    <row r="113">
      <c r="A113" s="11" t="inlineStr">
        <is>
          <t>Acquired vessel-days by class — the vessels bought on 7 August 2026, counted from their own delivery date</t>
        </is>
      </c>
      <c r="B113" s="14" t="inlineStr">
        <is>
          <t>FY2026</t>
        </is>
      </c>
      <c r="C113" s="14" t="inlineStr">
        <is>
          <t>FY2027</t>
        </is>
      </c>
      <c r="D113" s="14" t="inlineStr">
        <is>
          <t>FY2028</t>
        </is>
      </c>
      <c r="E113" s="14" t="inlineStr">
        <is>
          <t>FY2029</t>
        </is>
      </c>
      <c r="F113" s="14" t="inlineStr">
        <is>
          <t>FY2030</t>
        </is>
      </c>
    </row>
    <row r="114">
      <c r="A114" s="6" t="inlineStr">
        <is>
          <t>Handysize</t>
        </is>
      </c>
      <c r="B114" s="33">
        <f>$B$29*MAX(B$96-MAX(B$95,$B$30),0)</f>
        <v/>
      </c>
      <c r="C114" s="33">
        <f>$B$29*MAX(C$96-MAX(C$95,$B$30),0)</f>
        <v/>
      </c>
      <c r="D114" s="33">
        <f>$B$29*MAX(D$96-MAX(D$95,$B$30),0)</f>
        <v/>
      </c>
      <c r="E114" s="33">
        <f>$B$29*MAX(E$96-MAX(E$95,$B$30),0)</f>
        <v/>
      </c>
      <c r="F114" s="33">
        <f>$B$29*MAX(F$96-MAX(F$95,$B$30),0)</f>
        <v/>
      </c>
    </row>
    <row r="115">
      <c r="A115" s="6" t="inlineStr">
        <is>
          <t>Medium range</t>
        </is>
      </c>
      <c r="B115" s="33">
        <f>$C$29*MAX(B$96-MAX(B$95,$C$30),0)</f>
        <v/>
      </c>
      <c r="C115" s="33">
        <f>$C$29*MAX(C$96-MAX(C$95,$C$30),0)</f>
        <v/>
      </c>
      <c r="D115" s="33">
        <f>$C$29*MAX(D$96-MAX(D$95,$C$30),0)</f>
        <v/>
      </c>
      <c r="E115" s="33">
        <f>$C$29*MAX(E$96-MAX(E$95,$C$30),0)</f>
        <v/>
      </c>
      <c r="F115" s="33">
        <f>$C$29*MAX(F$96-MAX(F$95,$C$30),0)</f>
        <v/>
      </c>
    </row>
    <row r="116">
      <c r="A116" s="6" t="inlineStr">
        <is>
          <t>Long range 1</t>
        </is>
      </c>
      <c r="B116" s="33">
        <f>$D$29*MAX(B$96-MAX(B$95,$D$30),0)</f>
        <v/>
      </c>
      <c r="C116" s="33">
        <f>$D$29*MAX(C$96-MAX(C$95,$D$30),0)</f>
        <v/>
      </c>
      <c r="D116" s="33">
        <f>$D$29*MAX(D$96-MAX(D$95,$D$30),0)</f>
        <v/>
      </c>
      <c r="E116" s="33">
        <f>$D$29*MAX(E$96-MAX(E$95,$D$30),0)</f>
        <v/>
      </c>
      <c r="F116" s="33">
        <f>$D$29*MAX(F$96-MAX(F$95,$D$30),0)</f>
        <v/>
      </c>
    </row>
    <row r="117">
      <c r="A117" s="6" t="inlineStr">
        <is>
          <t>Long range 2</t>
        </is>
      </c>
      <c r="B117" s="33">
        <f>$E$29*MAX(B$96-MAX(B$95,$E$30),0)</f>
        <v/>
      </c>
      <c r="C117" s="33">
        <f>$E$29*MAX(C$96-MAX(C$95,$E$30),0)</f>
        <v/>
      </c>
      <c r="D117" s="33">
        <f>$E$29*MAX(D$96-MAX(D$95,$E$30),0)</f>
        <v/>
      </c>
      <c r="E117" s="33">
        <f>$E$29*MAX(E$96-MAX(E$95,$E$30),0)</f>
        <v/>
      </c>
      <c r="F117" s="33">
        <f>$E$29*MAX(F$96-MAX(F$95,$E$30),0)</f>
        <v/>
      </c>
    </row>
    <row r="118">
      <c r="A118" s="6" t="inlineStr">
        <is>
          <t>Very large crude carrier</t>
        </is>
      </c>
      <c r="B118" s="33">
        <f>$F$29*MAX(B$96-MAX(B$95,$F$30),0)</f>
        <v/>
      </c>
      <c r="C118" s="33">
        <f>$F$29*MAX(C$96-MAX(C$95,$F$30),0)</f>
        <v/>
      </c>
      <c r="D118" s="33">
        <f>$F$29*MAX(D$96-MAX(D$95,$F$30),0)</f>
        <v/>
      </c>
      <c r="E118" s="33">
        <f>$F$29*MAX(E$96-MAX(E$95,$F$30),0)</f>
        <v/>
      </c>
      <c r="F118" s="33">
        <f>$F$29*MAX(F$96-MAX(F$95,$F$30),0)</f>
        <v/>
      </c>
    </row>
    <row r="120">
      <c r="A120" s="11" t="inlineStr">
        <is>
          <t>Spot vessel-days by class — owned vessels x days, less charter days, plus the acquired vessels from delivery</t>
        </is>
      </c>
      <c r="B120" s="14" t="inlineStr">
        <is>
          <t>FY2026</t>
        </is>
      </c>
      <c r="C120" s="14" t="inlineStr">
        <is>
          <t>FY2027</t>
        </is>
      </c>
      <c r="D120" s="14" t="inlineStr">
        <is>
          <t>FY2028</t>
        </is>
      </c>
      <c r="E120" s="14" t="inlineStr">
        <is>
          <t>FY2029</t>
        </is>
      </c>
      <c r="F120" s="14" t="inlineStr">
        <is>
          <t>FY2030</t>
        </is>
      </c>
    </row>
    <row r="121">
      <c r="A121" s="6" t="inlineStr">
        <is>
          <t>Handysize</t>
        </is>
      </c>
      <c r="B121" s="33">
        <f>$B$28*B97-B100+B114</f>
        <v/>
      </c>
      <c r="C121" s="33">
        <f>$B$28*C97-C100+C114</f>
        <v/>
      </c>
      <c r="D121" s="33">
        <f>$B$28*D97-D100+D114</f>
        <v/>
      </c>
      <c r="E121" s="33">
        <f>$B$28*E97-E100+E114</f>
        <v/>
      </c>
      <c r="F121" s="33">
        <f>$B$28*F97-F100+F114</f>
        <v/>
      </c>
    </row>
    <row r="122">
      <c r="A122" s="6" t="inlineStr">
        <is>
          <t>Medium range</t>
        </is>
      </c>
      <c r="B122" s="33">
        <f>$C$28*B97-B101+B115</f>
        <v/>
      </c>
      <c r="C122" s="33">
        <f>$C$28*C97-C101+C115</f>
        <v/>
      </c>
      <c r="D122" s="33">
        <f>$C$28*D97-D101+D115</f>
        <v/>
      </c>
      <c r="E122" s="33">
        <f>$C$28*E97-E101+E115</f>
        <v/>
      </c>
      <c r="F122" s="33">
        <f>$C$28*F97-F101+F115</f>
        <v/>
      </c>
    </row>
    <row r="123">
      <c r="A123" s="6" t="inlineStr">
        <is>
          <t>Long range 1</t>
        </is>
      </c>
      <c r="B123" s="33">
        <f>$D$28*B97-B102+B116</f>
        <v/>
      </c>
      <c r="C123" s="33">
        <f>$D$28*C97-C102+C116</f>
        <v/>
      </c>
      <c r="D123" s="33">
        <f>$D$28*D97-D102+D116</f>
        <v/>
      </c>
      <c r="E123" s="33">
        <f>$D$28*E97-E102+E116</f>
        <v/>
      </c>
      <c r="F123" s="33">
        <f>$D$28*F97-F102+F116</f>
        <v/>
      </c>
    </row>
    <row r="124">
      <c r="A124" s="6" t="inlineStr">
        <is>
          <t>Long range 2</t>
        </is>
      </c>
      <c r="B124" s="33">
        <f>$E$28*B97-B103+B117</f>
        <v/>
      </c>
      <c r="C124" s="33">
        <f>$E$28*C97-C103+C117</f>
        <v/>
      </c>
      <c r="D124" s="33">
        <f>$E$28*D97-D103+D117</f>
        <v/>
      </c>
      <c r="E124" s="33">
        <f>$E$28*E97-E103+E117</f>
        <v/>
      </c>
      <c r="F124" s="33">
        <f>$E$28*F97-F103+F117</f>
        <v/>
      </c>
    </row>
    <row r="125">
      <c r="A125" s="6" t="inlineStr">
        <is>
          <t>Very large crude carrier</t>
        </is>
      </c>
      <c r="B125" s="33">
        <f>$F$28*B97-B104+B118</f>
        <v/>
      </c>
      <c r="C125" s="33">
        <f>$F$28*C97-C104+C118</f>
        <v/>
      </c>
      <c r="D125" s="33">
        <f>$F$28*D97-D104+D118</f>
        <v/>
      </c>
      <c r="E125" s="33">
        <f>$F$28*E97-E104+E118</f>
        <v/>
      </c>
      <c r="F125" s="33">
        <f>$F$28*F97-F104+F118</f>
        <v/>
      </c>
    </row>
    <row r="127">
      <c r="A127" s="11" t="inlineStr">
        <is>
          <t>Spot revenue by class (USD 000) — spot vessel-days x the implied spot rate</t>
        </is>
      </c>
      <c r="B127" s="14" t="inlineStr">
        <is>
          <t>FY2026</t>
        </is>
      </c>
      <c r="C127" s="14" t="inlineStr">
        <is>
          <t>FY2027</t>
        </is>
      </c>
      <c r="D127" s="14" t="inlineStr">
        <is>
          <t>FY2028</t>
        </is>
      </c>
      <c r="E127" s="14" t="inlineStr">
        <is>
          <t>FY2029</t>
        </is>
      </c>
      <c r="F127" s="14" t="inlineStr">
        <is>
          <t>FY2030</t>
        </is>
      </c>
    </row>
    <row r="128">
      <c r="A128" s="6" t="inlineStr">
        <is>
          <t>Handysize</t>
        </is>
      </c>
      <c r="B128" s="33">
        <f>B121*B88/1000</f>
        <v/>
      </c>
      <c r="C128" s="33">
        <f>C121*C88/1000</f>
        <v/>
      </c>
      <c r="D128" s="33">
        <f>D121*D88/1000</f>
        <v/>
      </c>
      <c r="E128" s="33">
        <f>E121*E88/1000</f>
        <v/>
      </c>
      <c r="F128" s="33">
        <f>F121*F88/1000</f>
        <v/>
      </c>
    </row>
    <row r="129">
      <c r="A129" s="6" t="inlineStr">
        <is>
          <t>Medium range</t>
        </is>
      </c>
      <c r="B129" s="33">
        <f>B122*B89/1000</f>
        <v/>
      </c>
      <c r="C129" s="33">
        <f>C122*C89/1000</f>
        <v/>
      </c>
      <c r="D129" s="33">
        <f>D122*D89/1000</f>
        <v/>
      </c>
      <c r="E129" s="33">
        <f>E122*E89/1000</f>
        <v/>
      </c>
      <c r="F129" s="33">
        <f>F122*F89/1000</f>
        <v/>
      </c>
    </row>
    <row r="130">
      <c r="A130" s="6" t="inlineStr">
        <is>
          <t>Long range 1</t>
        </is>
      </c>
      <c r="B130" s="33">
        <f>B123*B90/1000</f>
        <v/>
      </c>
      <c r="C130" s="33">
        <f>C123*C90/1000</f>
        <v/>
      </c>
      <c r="D130" s="33">
        <f>D123*D90/1000</f>
        <v/>
      </c>
      <c r="E130" s="33">
        <f>E123*E90/1000</f>
        <v/>
      </c>
      <c r="F130" s="33">
        <f>F123*F90/1000</f>
        <v/>
      </c>
    </row>
    <row r="131">
      <c r="A131" s="6" t="inlineStr">
        <is>
          <t>Long range 2</t>
        </is>
      </c>
      <c r="B131" s="33">
        <f>B124*B91/1000</f>
        <v/>
      </c>
      <c r="C131" s="33">
        <f>C124*C91/1000</f>
        <v/>
      </c>
      <c r="D131" s="33">
        <f>D124*D91/1000</f>
        <v/>
      </c>
      <c r="E131" s="33">
        <f>E124*E91/1000</f>
        <v/>
      </c>
      <c r="F131" s="33">
        <f>F124*F91/1000</f>
        <v/>
      </c>
    </row>
    <row r="132">
      <c r="A132" s="6" t="inlineStr">
        <is>
          <t>Very large crude carrier</t>
        </is>
      </c>
      <c r="B132" s="33">
        <f>B125*B92/1000</f>
        <v/>
      </c>
      <c r="C132" s="33">
        <f>C125*C92/1000</f>
        <v/>
      </c>
      <c r="D132" s="33">
        <f>D125*D92/1000</f>
        <v/>
      </c>
      <c r="E132" s="33">
        <f>E125*E92/1000</f>
        <v/>
      </c>
      <c r="F132" s="33">
        <f>F125*F92/1000</f>
        <v/>
      </c>
    </row>
    <row r="134">
      <c r="A134" s="6" t="inlineStr">
        <is>
          <t>Charter revenue — all classes</t>
        </is>
      </c>
      <c r="B134" s="33">
        <f>SUM(B107:B111)</f>
        <v/>
      </c>
      <c r="C134" s="33">
        <f>SUM(C107:C111)</f>
        <v/>
      </c>
      <c r="D134" s="33">
        <f>SUM(D107:D111)</f>
        <v/>
      </c>
      <c r="E134" s="33">
        <f>SUM(E107:E111)</f>
        <v/>
      </c>
      <c r="F134" s="33">
        <f>SUM(F107:F111)</f>
        <v/>
      </c>
    </row>
    <row r="135">
      <c r="A135" s="6" t="inlineStr">
        <is>
          <t>Spot revenue — all classes</t>
        </is>
      </c>
      <c r="B135" s="33">
        <f>SUM(B128:B132)</f>
        <v/>
      </c>
      <c r="C135" s="33">
        <f>SUM(C128:C132)</f>
        <v/>
      </c>
      <c r="D135" s="33">
        <f>SUM(D128:D132)</f>
        <v/>
      </c>
      <c r="E135" s="33">
        <f>SUM(E128:E132)</f>
        <v/>
      </c>
      <c r="F135" s="33">
        <f>SUM(F128:F132)</f>
        <v/>
      </c>
    </row>
    <row r="136">
      <c r="A136" s="34" t="inlineStr">
        <is>
          <t>Time-charter-equivalent revenue</t>
        </is>
      </c>
      <c r="B136" s="35">
        <f>B134+B135</f>
        <v/>
      </c>
      <c r="C136" s="35">
        <f>C134+C135</f>
        <v/>
      </c>
      <c r="D136" s="35">
        <f>D134+D135</f>
        <v/>
      </c>
      <c r="E136" s="35">
        <f>E134+E135</f>
        <v/>
      </c>
      <c r="F136" s="35">
        <f>F134+F135</f>
        <v/>
      </c>
    </row>
    <row r="138">
      <c r="A138" s="11" t="inlineStr">
        <is>
          <t>THE RUNNING COST — SOLVED FROM THE 2025 OUTCOME, NOT ASSUMED</t>
        </is>
      </c>
      <c r="B138" s="14" t="n"/>
      <c r="C138" s="14" t="n"/>
      <c r="D138" s="14" t="n"/>
      <c r="E138" s="14" t="n"/>
      <c r="F138" s="14" t="n"/>
    </row>
    <row r="139">
      <c r="A139" s="6" t="inlineStr">
        <is>
          <t>Vessel-days in 2025 (fleet at 31 December 2025 x 365)</t>
        </is>
      </c>
      <c r="B139" s="33">
        <f>SUM(B26:F26)*365</f>
        <v/>
      </c>
    </row>
    <row r="140">
      <c r="A140" s="6" t="inlineStr">
        <is>
          <t>2025 charter-equivalent revenue on the published blends (USD 000)</t>
        </is>
      </c>
      <c r="B140" s="33">
        <f>(B26*AVERAGE(B38:E38)+C26*AVERAGE(B39:E39)+D26*AVERAGE(B40:E40)+E26*AVERAGE(B41:E41)+F26*AVERAGE(B42:E42))*365/1000</f>
        <v/>
      </c>
    </row>
    <row r="141">
      <c r="A141" s="6" t="inlineStr">
        <is>
          <t>2025 Tankers EBITDA as disclosed (USD 000)</t>
        </is>
      </c>
      <c r="B141" s="18">
        <f>D18</f>
        <v/>
      </c>
    </row>
    <row r="142">
      <c r="A142" s="34" t="inlineStr">
        <is>
          <t>Implied all-in running cost per vessel-day — the gap between the two, over the vessel-days that earned it (USD)</t>
        </is>
      </c>
      <c r="B142" s="37">
        <f>(B140-B141)*1000/B139</f>
        <v/>
      </c>
    </row>
    <row r="144">
      <c r="A144" s="11" t="inlineStr">
        <is>
          <t>Running cost per vessel-day, escalated (USD)</t>
        </is>
      </c>
      <c r="B144" s="44">
        <f>Assumptions!$C$91*(1+Assumptions!$C$92)^1</f>
        <v/>
      </c>
      <c r="C144" s="44">
        <f>Assumptions!$C$91*(1+Assumptions!$C$92)^2</f>
        <v/>
      </c>
      <c r="D144" s="44">
        <f>Assumptions!$C$91*(1+Assumptions!$C$92)^3</f>
        <v/>
      </c>
      <c r="E144" s="44">
        <f>Assumptions!$C$91*(1+Assumptions!$C$92)^4</f>
        <v/>
      </c>
      <c r="F144" s="44">
        <f>Assumptions!$C$91*(1+Assumptions!$C$92)^5</f>
        <v/>
      </c>
    </row>
    <row r="145">
      <c r="A145" s="6" t="inlineStr">
        <is>
          <t>Total running cost — cost per day x vessel-days</t>
        </is>
      </c>
      <c r="B145" s="33">
        <f>$B$139*B144/1000</f>
        <v/>
      </c>
      <c r="C145" s="33">
        <f>$B$139*C144/1000</f>
        <v/>
      </c>
      <c r="D145" s="33">
        <f>$B$139*D144/1000</f>
        <v/>
      </c>
      <c r="E145" s="33">
        <f>$B$139*E144/1000</f>
        <v/>
      </c>
      <c r="F145" s="33">
        <f>$B$139*F144/1000</f>
        <v/>
      </c>
    </row>
    <row r="146">
      <c r="A146" s="34" t="inlineStr">
        <is>
          <t>Tankers EBITDA</t>
        </is>
      </c>
      <c r="B146" s="35">
        <f>B136-B145</f>
        <v/>
      </c>
      <c r="C146" s="35">
        <f>C136-C145</f>
        <v/>
      </c>
      <c r="D146" s="35">
        <f>D136-D145</f>
        <v/>
      </c>
      <c r="E146" s="35">
        <f>E136-E145</f>
        <v/>
      </c>
      <c r="F146" s="35">
        <f>F136-F145</f>
        <v/>
      </c>
    </row>
    <row r="147">
      <c r="A147" s="6" t="inlineStr">
        <is>
          <t>Gross-up from time-charter-equivalent to reported revenue</t>
        </is>
      </c>
      <c r="B147" s="38">
        <f>Assumptions!$C$93</f>
        <v/>
      </c>
      <c r="C147" s="38">
        <f>Assumptions!$C$93</f>
        <v/>
      </c>
      <c r="D147" s="38">
        <f>Assumptions!$C$93</f>
        <v/>
      </c>
      <c r="E147" s="38">
        <f>Assumptions!$C$93</f>
        <v/>
      </c>
      <c r="F147" s="38">
        <f>Assumptions!$C$93</f>
        <v/>
      </c>
    </row>
    <row r="148">
      <c r="A148" s="34" t="inlineStr">
        <is>
          <t>Tankers revenue</t>
        </is>
      </c>
      <c r="B148" s="35">
        <f>B136*B147</f>
        <v/>
      </c>
      <c r="C148" s="35">
        <f>C136*C147</f>
        <v/>
      </c>
      <c r="D148" s="35">
        <f>D136*D147</f>
        <v/>
      </c>
      <c r="E148" s="35">
        <f>E136*E147</f>
        <v/>
      </c>
      <c r="F148" s="35">
        <f>F136*F147</f>
        <v/>
      </c>
    </row>
    <row r="150">
      <c r="A150" s="11" t="inlineStr">
        <is>
          <t>GAS CARRIERS — CONTRACTED VESSEL-YEARS x IMPLIED DAY RATE</t>
        </is>
      </c>
      <c r="B150" s="14" t="n"/>
      <c r="C150" s="14" t="n"/>
      <c r="D150" s="14" t="n"/>
      <c r="E150" s="14" t="n"/>
      <c r="F150" s="14" t="n"/>
    </row>
    <row r="151">
      <c r="A151" s="6" t="inlineStr">
        <is>
          <t>Consolidated gas vessels in service through 2025 (vessel-years)</t>
        </is>
      </c>
      <c r="B151" s="17">
        <f>Assumptions!$C$96</f>
        <v/>
      </c>
    </row>
    <row r="152">
      <c r="A152" s="6" t="inlineStr">
        <is>
          <t>2025 Gas Carriers revenue as disclosed (USD 000)</t>
        </is>
      </c>
      <c r="B152" s="18">
        <f>D9</f>
        <v/>
      </c>
    </row>
    <row r="153">
      <c r="A153" s="34" t="inlineStr">
        <is>
          <t>Implied revenue per gas vessel-day — solved from the two above (USD)</t>
        </is>
      </c>
      <c r="B153" s="35">
        <f>B152*1000/(B151*365)</f>
        <v/>
      </c>
    </row>
    <row r="155">
      <c r="A155" s="11" t="inlineStr">
        <is>
          <t>Contracted vessel-years before the August 2026 purchase</t>
        </is>
      </c>
      <c r="B155" s="45">
        <f>Assumptions!$B$103</f>
        <v/>
      </c>
      <c r="C155" s="45">
        <f>Assumptions!$C$103</f>
        <v/>
      </c>
      <c r="D155" s="45">
        <f>Assumptions!$D$103</f>
        <v/>
      </c>
      <c r="E155" s="45">
        <f>Assumptions!$E$103</f>
        <v/>
      </c>
      <c r="F155" s="45">
        <f>Assumptions!$F$103</f>
        <v/>
      </c>
    </row>
    <row r="156">
      <c r="A156" s="6" t="inlineStr">
        <is>
          <t>Vessel-years the five gas carriers bought on 7 August 2026 add — each tranche from its own delivery date</t>
        </is>
      </c>
      <c r="B156" s="17">
        <f>Assumptions!$B$104</f>
        <v/>
      </c>
      <c r="C156" s="17">
        <f>Assumptions!$C$104</f>
        <v/>
      </c>
      <c r="D156" s="17">
        <f>Assumptions!$D$104</f>
        <v/>
      </c>
      <c r="E156" s="17">
        <f>Assumptions!$E$104</f>
        <v/>
      </c>
      <c r="F156" s="17">
        <f>Assumptions!$F$104</f>
        <v/>
      </c>
    </row>
    <row r="157">
      <c r="A157" s="34" t="inlineStr">
        <is>
          <t>Contracted vessel-years</t>
        </is>
      </c>
      <c r="B157" s="46">
        <f>Assumptions!$B$105</f>
        <v/>
      </c>
      <c r="C157" s="46">
        <f>Assumptions!$C$105</f>
        <v/>
      </c>
      <c r="D157" s="46">
        <f>Assumptions!$D$105</f>
        <v/>
      </c>
      <c r="E157" s="46">
        <f>Assumptions!$E$105</f>
        <v/>
      </c>
      <c r="F157" s="46">
        <f>Assumptions!$F$105</f>
        <v/>
      </c>
    </row>
    <row r="158">
      <c r="A158" s="6" t="inlineStr">
        <is>
          <t>Revenue per vessel-day, escalated (USD)</t>
        </is>
      </c>
      <c r="B158" s="33">
        <f>Assumptions!$C$97*(1+Assumptions!$C$92)^1</f>
        <v/>
      </c>
      <c r="C158" s="33">
        <f>Assumptions!$C$97*(1+Assumptions!$C$92)^2</f>
        <v/>
      </c>
      <c r="D158" s="33">
        <f>Assumptions!$C$97*(1+Assumptions!$C$92)^3</f>
        <v/>
      </c>
      <c r="E158" s="33">
        <f>Assumptions!$C$97*(1+Assumptions!$C$92)^4</f>
        <v/>
      </c>
      <c r="F158" s="33">
        <f>Assumptions!$C$97*(1+Assumptions!$C$92)^5</f>
        <v/>
      </c>
    </row>
    <row r="159">
      <c r="A159" s="6" t="inlineStr">
        <is>
          <t>Gas Carriers revenue</t>
        </is>
      </c>
      <c r="B159" s="33">
        <f>B157*365*B158/1000</f>
        <v/>
      </c>
      <c r="C159" s="33">
        <f>C157*365*C158/1000</f>
        <v/>
      </c>
      <c r="D159" s="33">
        <f>D157*365*D158/1000</f>
        <v/>
      </c>
      <c r="E159" s="33">
        <f>E157*365*E158/1000</f>
        <v/>
      </c>
      <c r="F159" s="33">
        <f>F157*365*F158/1000</f>
        <v/>
      </c>
    </row>
    <row r="160">
      <c r="A160" s="6" t="inlineStr">
        <is>
          <t>Gas Carriers earnings margin</t>
        </is>
      </c>
      <c r="B160" s="8">
        <f>Assumptions!$C$98</f>
        <v/>
      </c>
      <c r="C160" s="8">
        <f>Assumptions!$C$98</f>
        <v/>
      </c>
      <c r="D160" s="8">
        <f>Assumptions!$C$98</f>
        <v/>
      </c>
      <c r="E160" s="8">
        <f>Assumptions!$C$98</f>
        <v/>
      </c>
      <c r="F160" s="8">
        <f>Assumptions!$C$98</f>
        <v/>
      </c>
    </row>
    <row r="161">
      <c r="A161" s="6" t="inlineStr">
        <is>
          <t>Gas Carriers earnings before the joint-venture share</t>
        </is>
      </c>
      <c r="B161" s="33">
        <f>B159*B160</f>
        <v/>
      </c>
      <c r="C161" s="33">
        <f>C159*C160</f>
        <v/>
      </c>
      <c r="D161" s="33">
        <f>D159*D160</f>
        <v/>
      </c>
      <c r="E161" s="33">
        <f>E159*E160</f>
        <v/>
      </c>
      <c r="F161" s="33">
        <f>F159*F160</f>
        <v/>
      </c>
    </row>
    <row r="162">
      <c r="A162" s="6" t="inlineStr">
        <is>
          <t>Less the share of joint-venture profit carried inside the disclosed segment, escalated — the equity bridge already adds those ventures at carrying value</t>
        </is>
      </c>
      <c r="B162" s="33">
        <f>-Assumptions!$C$99*(1+Assumptions!$C$92)^1</f>
        <v/>
      </c>
      <c r="C162" s="33">
        <f>-Assumptions!$C$99*(1+Assumptions!$C$92)^2</f>
        <v/>
      </c>
      <c r="D162" s="33">
        <f>-Assumptions!$C$99*(1+Assumptions!$C$92)^3</f>
        <v/>
      </c>
      <c r="E162" s="33">
        <f>-Assumptions!$C$99*(1+Assumptions!$C$92)^4</f>
        <v/>
      </c>
      <c r="F162" s="33">
        <f>-Assumptions!$C$99*(1+Assumptions!$C$92)^5</f>
        <v/>
      </c>
    </row>
    <row r="163">
      <c r="A163" s="34" t="inlineStr">
        <is>
          <t>Gas Carriers EBITDA</t>
        </is>
      </c>
      <c r="B163" s="35">
        <f>B161+B162</f>
        <v/>
      </c>
      <c r="C163" s="35">
        <f>C161+C162</f>
        <v/>
      </c>
      <c r="D163" s="35">
        <f>D161+D162</f>
        <v/>
      </c>
      <c r="E163" s="35">
        <f>E161+E162</f>
        <v/>
      </c>
      <c r="F163" s="35">
        <f>F161+F162</f>
        <v/>
      </c>
    </row>
    <row r="165">
      <c r="A165" s="11" t="inlineStr">
        <is>
          <t>THE REMAINING FIVE UNITS — REVENUE DRIVER x MARGIN DRIVER</t>
        </is>
      </c>
      <c r="B165" s="14" t="inlineStr">
        <is>
          <t>FY2026</t>
        </is>
      </c>
      <c r="C165" s="14" t="inlineStr">
        <is>
          <t>FY2027</t>
        </is>
      </c>
      <c r="D165" s="14" t="inlineStr">
        <is>
          <t>FY2028</t>
        </is>
      </c>
      <c r="E165" s="14" t="inlineStr">
        <is>
          <t>FY2029</t>
        </is>
      </c>
      <c r="F165" s="14" t="inlineStr">
        <is>
          <t>FY2030</t>
        </is>
      </c>
    </row>
    <row r="166">
      <c r="A166" s="6" t="inlineStr">
        <is>
          <t>Offshore Contracting — revenue</t>
        </is>
      </c>
      <c r="B166" s="18">
        <f>Assumptions!$B$108</f>
        <v/>
      </c>
      <c r="C166" s="18">
        <f>Assumptions!$C$108</f>
        <v/>
      </c>
      <c r="D166" s="18">
        <f>Assumptions!$D$108</f>
        <v/>
      </c>
      <c r="E166" s="18">
        <f>Assumptions!$E$108</f>
        <v/>
      </c>
      <c r="F166" s="18">
        <f>Assumptions!$F$108</f>
        <v/>
      </c>
    </row>
    <row r="167">
      <c r="A167" s="6" t="inlineStr">
        <is>
          <t>Offshore Contracting — EBITDA</t>
        </is>
      </c>
      <c r="B167" s="33">
        <f>B166*Assumptions!$B$109</f>
        <v/>
      </c>
      <c r="C167" s="33">
        <f>C166*Assumptions!$C$109</f>
        <v/>
      </c>
      <c r="D167" s="33">
        <f>D166*Assumptions!$D$109</f>
        <v/>
      </c>
      <c r="E167" s="33">
        <f>E166*Assumptions!$E$109</f>
        <v/>
      </c>
      <c r="F167" s="33">
        <f>F166*Assumptions!$F$109</f>
        <v/>
      </c>
    </row>
    <row r="168">
      <c r="A168" s="6" t="inlineStr">
        <is>
          <t>Offshore Services — revenue</t>
        </is>
      </c>
      <c r="B168" s="18">
        <f>Assumptions!$B$110</f>
        <v/>
      </c>
      <c r="C168" s="18">
        <f>Assumptions!$C$110</f>
        <v/>
      </c>
      <c r="D168" s="18">
        <f>Assumptions!$D$110</f>
        <v/>
      </c>
      <c r="E168" s="18">
        <f>Assumptions!$E$110</f>
        <v/>
      </c>
      <c r="F168" s="18">
        <f>Assumptions!$F$110</f>
        <v/>
      </c>
    </row>
    <row r="169">
      <c r="A169" s="6" t="inlineStr">
        <is>
          <t>Offshore Services — EBITDA</t>
        </is>
      </c>
      <c r="B169" s="33">
        <f>B168*Assumptions!$B$111</f>
        <v/>
      </c>
      <c r="C169" s="33">
        <f>C168*Assumptions!$C$111</f>
        <v/>
      </c>
      <c r="D169" s="33">
        <f>D168*Assumptions!$D$111</f>
        <v/>
      </c>
      <c r="E169" s="33">
        <f>E168*Assumptions!$E$111</f>
        <v/>
      </c>
      <c r="F169" s="33">
        <f>F168*Assumptions!$F$111</f>
        <v/>
      </c>
    </row>
    <row r="170">
      <c r="A170" s="6" t="inlineStr">
        <is>
          <t>Offshore Projects — revenue</t>
        </is>
      </c>
      <c r="B170" s="18">
        <f>Assumptions!$B$112</f>
        <v/>
      </c>
      <c r="C170" s="18">
        <f>Assumptions!$C$112</f>
        <v/>
      </c>
      <c r="D170" s="18">
        <f>Assumptions!$D$112</f>
        <v/>
      </c>
      <c r="E170" s="18">
        <f>Assumptions!$E$112</f>
        <v/>
      </c>
      <c r="F170" s="18">
        <f>Assumptions!$F$112</f>
        <v/>
      </c>
    </row>
    <row r="171">
      <c r="A171" s="6" t="inlineStr">
        <is>
          <t>Offshore Projects — EBITDA</t>
        </is>
      </c>
      <c r="B171" s="33">
        <f>B170*Assumptions!$B$113</f>
        <v/>
      </c>
      <c r="C171" s="33">
        <f>C170*Assumptions!$C$113</f>
        <v/>
      </c>
      <c r="D171" s="33">
        <f>D170*Assumptions!$D$113</f>
        <v/>
      </c>
      <c r="E171" s="33">
        <f>E170*Assumptions!$E$113</f>
        <v/>
      </c>
      <c r="F171" s="33">
        <f>F170*Assumptions!$F$113</f>
        <v/>
      </c>
    </row>
    <row r="172">
      <c r="A172" s="6" t="inlineStr">
        <is>
          <t>Dry-Bulk and Containers — revenue</t>
        </is>
      </c>
      <c r="B172" s="18">
        <f>Assumptions!$B$114</f>
        <v/>
      </c>
      <c r="C172" s="18">
        <f>Assumptions!$C$114</f>
        <v/>
      </c>
      <c r="D172" s="18">
        <f>Assumptions!$D$114</f>
        <v/>
      </c>
      <c r="E172" s="18">
        <f>Assumptions!$E$114</f>
        <v/>
      </c>
      <c r="F172" s="18">
        <f>Assumptions!$F$114</f>
        <v/>
      </c>
    </row>
    <row r="173">
      <c r="A173" s="6" t="inlineStr">
        <is>
          <t>Dry-Bulk and Containers — EBITDA</t>
        </is>
      </c>
      <c r="B173" s="33">
        <f>B172*Assumptions!$B$115</f>
        <v/>
      </c>
      <c r="C173" s="33">
        <f>C172*Assumptions!$C$115</f>
        <v/>
      </c>
      <c r="D173" s="33">
        <f>D172*Assumptions!$D$115</f>
        <v/>
      </c>
      <c r="E173" s="33">
        <f>E172*Assumptions!$E$115</f>
        <v/>
      </c>
      <c r="F173" s="33">
        <f>F172*Assumptions!$F$115</f>
        <v/>
      </c>
    </row>
    <row r="174">
      <c r="A174" s="6" t="inlineStr">
        <is>
          <t>Services — revenue</t>
        </is>
      </c>
      <c r="B174" s="18">
        <f>Assumptions!$B$116</f>
        <v/>
      </c>
      <c r="C174" s="18">
        <f>Assumptions!$C$116</f>
        <v/>
      </c>
      <c r="D174" s="18">
        <f>Assumptions!$D$116</f>
        <v/>
      </c>
      <c r="E174" s="18">
        <f>Assumptions!$E$116</f>
        <v/>
      </c>
      <c r="F174" s="18">
        <f>Assumptions!$F$116</f>
        <v/>
      </c>
    </row>
    <row r="175">
      <c r="A175" s="6" t="inlineStr">
        <is>
          <t>Services — earnings before the joint-venture share</t>
        </is>
      </c>
      <c r="B175" s="33">
        <f>B174*Assumptions!$B$117</f>
        <v/>
      </c>
      <c r="C175" s="33">
        <f>C174*Assumptions!$C$117</f>
        <v/>
      </c>
      <c r="D175" s="33">
        <f>D174*Assumptions!$D$117</f>
        <v/>
      </c>
      <c r="E175" s="33">
        <f>E174*Assumptions!$E$117</f>
        <v/>
      </c>
      <c r="F175" s="33">
        <f>F174*Assumptions!$F$117</f>
        <v/>
      </c>
    </row>
    <row r="176">
      <c r="A176" s="6" t="inlineStr">
        <is>
          <t>Services — less the share of joint-venture profit carried inside the disclosed segment, escalated</t>
        </is>
      </c>
      <c r="B176" s="33">
        <f>-Assumptions!$C$100*(1+Assumptions!$C$92)^1</f>
        <v/>
      </c>
      <c r="C176" s="33">
        <f>-Assumptions!$C$100*(1+Assumptions!$C$92)^2</f>
        <v/>
      </c>
      <c r="D176" s="33">
        <f>-Assumptions!$C$100*(1+Assumptions!$C$92)^3</f>
        <v/>
      </c>
      <c r="E176" s="33">
        <f>-Assumptions!$C$100*(1+Assumptions!$C$92)^4</f>
        <v/>
      </c>
      <c r="F176" s="33">
        <f>-Assumptions!$C$100*(1+Assumptions!$C$92)^5</f>
        <v/>
      </c>
    </row>
    <row r="177">
      <c r="A177" s="6" t="inlineStr">
        <is>
          <t>Services — EBITDA</t>
        </is>
      </c>
      <c r="B177" s="33">
        <f>B175+B176</f>
        <v/>
      </c>
      <c r="C177" s="33">
        <f>C175+C176</f>
        <v/>
      </c>
      <c r="D177" s="33">
        <f>D175+D176</f>
        <v/>
      </c>
      <c r="E177" s="33">
        <f>E175+E176</f>
        <v/>
      </c>
      <c r="F177" s="33">
        <f>F175+F176</f>
        <v/>
      </c>
    </row>
    <row r="179">
      <c r="A179" s="11" t="inlineStr">
        <is>
          <t>FORECAST REVENUE BY SEGMENT</t>
        </is>
      </c>
      <c r="B179" s="14" t="inlineStr">
        <is>
          <t>FY2026E</t>
        </is>
      </c>
      <c r="C179" s="14" t="inlineStr">
        <is>
          <t>FY2027E</t>
        </is>
      </c>
      <c r="D179" s="14" t="inlineStr">
        <is>
          <t>FY2028E</t>
        </is>
      </c>
      <c r="E179" s="14" t="inlineStr">
        <is>
          <t>FY2029E</t>
        </is>
      </c>
      <c r="F179" s="14" t="inlineStr">
        <is>
          <t>FY2030E</t>
        </is>
      </c>
    </row>
    <row r="180">
      <c r="A180" s="6" t="inlineStr">
        <is>
          <t>Offshore Contracting</t>
        </is>
      </c>
      <c r="B180" s="33">
        <f>B166</f>
        <v/>
      </c>
      <c r="C180" s="33">
        <f>C166</f>
        <v/>
      </c>
      <c r="D180" s="33">
        <f>D166</f>
        <v/>
      </c>
      <c r="E180" s="33">
        <f>E166</f>
        <v/>
      </c>
      <c r="F180" s="33">
        <f>F166</f>
        <v/>
      </c>
    </row>
    <row r="181">
      <c r="A181" s="6" t="inlineStr">
        <is>
          <t>Offshore Services</t>
        </is>
      </c>
      <c r="B181" s="33">
        <f>B168</f>
        <v/>
      </c>
      <c r="C181" s="33">
        <f>C168</f>
        <v/>
      </c>
      <c r="D181" s="33">
        <f>D168</f>
        <v/>
      </c>
      <c r="E181" s="33">
        <f>E168</f>
        <v/>
      </c>
      <c r="F181" s="33">
        <f>F168</f>
        <v/>
      </c>
    </row>
    <row r="182">
      <c r="A182" s="6" t="inlineStr">
        <is>
          <t>Offshore Projects</t>
        </is>
      </c>
      <c r="B182" s="33">
        <f>B170</f>
        <v/>
      </c>
      <c r="C182" s="33">
        <f>C170</f>
        <v/>
      </c>
      <c r="D182" s="33">
        <f>D170</f>
        <v/>
      </c>
      <c r="E182" s="33">
        <f>E170</f>
        <v/>
      </c>
      <c r="F182" s="33">
        <f>F170</f>
        <v/>
      </c>
    </row>
    <row r="183">
      <c r="A183" s="6" t="inlineStr">
        <is>
          <t>Tankers</t>
        </is>
      </c>
      <c r="B183" s="33">
        <f>B148</f>
        <v/>
      </c>
      <c r="C183" s="33">
        <f>C148</f>
        <v/>
      </c>
      <c r="D183" s="33">
        <f>D148</f>
        <v/>
      </c>
      <c r="E183" s="33">
        <f>E148</f>
        <v/>
      </c>
      <c r="F183" s="33">
        <f>F148</f>
        <v/>
      </c>
    </row>
    <row r="184">
      <c r="A184" s="6" t="inlineStr">
        <is>
          <t>Gas Carriers</t>
        </is>
      </c>
      <c r="B184" s="33">
        <f>B159</f>
        <v/>
      </c>
      <c r="C184" s="33">
        <f>C159</f>
        <v/>
      </c>
      <c r="D184" s="33">
        <f>D159</f>
        <v/>
      </c>
      <c r="E184" s="33">
        <f>E159</f>
        <v/>
      </c>
      <c r="F184" s="33">
        <f>F159</f>
        <v/>
      </c>
    </row>
    <row r="185">
      <c r="A185" s="6" t="inlineStr">
        <is>
          <t>Dry-Bulk and Containers</t>
        </is>
      </c>
      <c r="B185" s="33">
        <f>B172</f>
        <v/>
      </c>
      <c r="C185" s="33">
        <f>C172</f>
        <v/>
      </c>
      <c r="D185" s="33">
        <f>D172</f>
        <v/>
      </c>
      <c r="E185" s="33">
        <f>E172</f>
        <v/>
      </c>
      <c r="F185" s="33">
        <f>F172</f>
        <v/>
      </c>
    </row>
    <row r="186">
      <c r="A186" s="6" t="inlineStr">
        <is>
          <t>Services</t>
        </is>
      </c>
      <c r="B186" s="33">
        <f>B174</f>
        <v/>
      </c>
      <c r="C186" s="33">
        <f>C174</f>
        <v/>
      </c>
      <c r="D186" s="33">
        <f>D174</f>
        <v/>
      </c>
      <c r="E186" s="33">
        <f>E174</f>
        <v/>
      </c>
      <c r="F186" s="33">
        <f>F174</f>
        <v/>
      </c>
    </row>
    <row r="187">
      <c r="A187" s="11" t="inlineStr">
        <is>
          <t>Total revenue</t>
        </is>
      </c>
      <c r="B187" s="41">
        <f>SUM(B180:B186)</f>
        <v/>
      </c>
      <c r="C187" s="41">
        <f>SUM(C180:C186)</f>
        <v/>
      </c>
      <c r="D187" s="41">
        <f>SUM(D180:D186)</f>
        <v/>
      </c>
      <c r="E187" s="41">
        <f>SUM(E180:E186)</f>
        <v/>
      </c>
      <c r="F187" s="41">
        <f>SUM(F180:F186)</f>
        <v/>
      </c>
    </row>
    <row r="189">
      <c r="A189" s="11" t="inlineStr">
        <is>
          <t>FORECAST EBITDA BY SEGMENT</t>
        </is>
      </c>
      <c r="B189" s="14" t="inlineStr">
        <is>
          <t>FY2026E</t>
        </is>
      </c>
      <c r="C189" s="14" t="inlineStr">
        <is>
          <t>FY2027E</t>
        </is>
      </c>
      <c r="D189" s="14" t="inlineStr">
        <is>
          <t>FY2028E</t>
        </is>
      </c>
      <c r="E189" s="14" t="inlineStr">
        <is>
          <t>FY2029E</t>
        </is>
      </c>
      <c r="F189" s="14" t="inlineStr">
        <is>
          <t>FY2030E</t>
        </is>
      </c>
    </row>
    <row r="190">
      <c r="A190" s="6" t="inlineStr">
        <is>
          <t>Offshore Contracting</t>
        </is>
      </c>
      <c r="B190" s="33">
        <f>B167</f>
        <v/>
      </c>
      <c r="C190" s="33">
        <f>C167</f>
        <v/>
      </c>
      <c r="D190" s="33">
        <f>D167</f>
        <v/>
      </c>
      <c r="E190" s="33">
        <f>E167</f>
        <v/>
      </c>
      <c r="F190" s="33">
        <f>F167</f>
        <v/>
      </c>
    </row>
    <row r="191">
      <c r="A191" s="6" t="inlineStr">
        <is>
          <t>Offshore Services</t>
        </is>
      </c>
      <c r="B191" s="33">
        <f>B169</f>
        <v/>
      </c>
      <c r="C191" s="33">
        <f>C169</f>
        <v/>
      </c>
      <c r="D191" s="33">
        <f>D169</f>
        <v/>
      </c>
      <c r="E191" s="33">
        <f>E169</f>
        <v/>
      </c>
      <c r="F191" s="33">
        <f>F169</f>
        <v/>
      </c>
    </row>
    <row r="192">
      <c r="A192" s="6" t="inlineStr">
        <is>
          <t>Offshore Projects</t>
        </is>
      </c>
      <c r="B192" s="33">
        <f>B171</f>
        <v/>
      </c>
      <c r="C192" s="33">
        <f>C171</f>
        <v/>
      </c>
      <c r="D192" s="33">
        <f>D171</f>
        <v/>
      </c>
      <c r="E192" s="33">
        <f>E171</f>
        <v/>
      </c>
      <c r="F192" s="33">
        <f>F171</f>
        <v/>
      </c>
    </row>
    <row r="193">
      <c r="A193" s="6" t="inlineStr">
        <is>
          <t>Tankers</t>
        </is>
      </c>
      <c r="B193" s="33">
        <f>B146</f>
        <v/>
      </c>
      <c r="C193" s="33">
        <f>C146</f>
        <v/>
      </c>
      <c r="D193" s="33">
        <f>D146</f>
        <v/>
      </c>
      <c r="E193" s="33">
        <f>E146</f>
        <v/>
      </c>
      <c r="F193" s="33">
        <f>F146</f>
        <v/>
      </c>
    </row>
    <row r="194">
      <c r="A194" s="6" t="inlineStr">
        <is>
          <t>Gas Carriers</t>
        </is>
      </c>
      <c r="B194" s="33">
        <f>B163</f>
        <v/>
      </c>
      <c r="C194" s="33">
        <f>C163</f>
        <v/>
      </c>
      <c r="D194" s="33">
        <f>D163</f>
        <v/>
      </c>
      <c r="E194" s="33">
        <f>E163</f>
        <v/>
      </c>
      <c r="F194" s="33">
        <f>F163</f>
        <v/>
      </c>
    </row>
    <row r="195">
      <c r="A195" s="6" t="inlineStr">
        <is>
          <t>Dry-Bulk and Containers</t>
        </is>
      </c>
      <c r="B195" s="33">
        <f>B173</f>
        <v/>
      </c>
      <c r="C195" s="33">
        <f>C173</f>
        <v/>
      </c>
      <c r="D195" s="33">
        <f>D173</f>
        <v/>
      </c>
      <c r="E195" s="33">
        <f>E173</f>
        <v/>
      </c>
      <c r="F195" s="33">
        <f>F173</f>
        <v/>
      </c>
    </row>
    <row r="196">
      <c r="A196" s="6" t="inlineStr">
        <is>
          <t>Services</t>
        </is>
      </c>
      <c r="B196" s="33">
        <f>B177</f>
        <v/>
      </c>
      <c r="C196" s="33">
        <f>C177</f>
        <v/>
      </c>
      <c r="D196" s="33">
        <f>D177</f>
        <v/>
      </c>
      <c r="E196" s="33">
        <f>E177</f>
        <v/>
      </c>
      <c r="F196" s="33">
        <f>F177</f>
        <v/>
      </c>
    </row>
    <row r="197">
      <c r="A197" s="11" t="inlineStr">
        <is>
          <t>Total EBITDA</t>
        </is>
      </c>
      <c r="B197" s="41">
        <f>SUM(B190:B196)</f>
        <v/>
      </c>
      <c r="C197" s="41">
        <f>SUM(C190:C196)</f>
        <v/>
      </c>
      <c r="D197" s="41">
        <f>SUM(D190:D196)</f>
        <v/>
      </c>
      <c r="E197" s="41">
        <f>SUM(E190:E196)</f>
        <v/>
      </c>
      <c r="F197" s="41">
        <f>SUM(F190:F196)</f>
        <v/>
      </c>
    </row>
    <row r="198">
      <c r="A198" s="6" t="inlineStr">
        <is>
          <t>Group EBITDA margin</t>
        </is>
      </c>
      <c r="B198" s="10">
        <f>B197/B187</f>
        <v/>
      </c>
      <c r="C198" s="10">
        <f>C197/C187</f>
        <v/>
      </c>
      <c r="D198" s="10">
        <f>D197/D187</f>
        <v/>
      </c>
      <c r="E198" s="10">
        <f>E197/E187</f>
        <v/>
      </c>
      <c r="F198" s="10">
        <f>F197/F187</f>
        <v/>
      </c>
    </row>
    <row r="200">
      <c r="A200" s="11" t="inlineStr">
        <is>
          <t>FORECAST BY BUSINESS UNIT</t>
        </is>
      </c>
      <c r="B200" s="14" t="inlineStr">
        <is>
          <t>FY2026E</t>
        </is>
      </c>
      <c r="C200" s="14" t="inlineStr">
        <is>
          <t>FY2027E</t>
        </is>
      </c>
      <c r="D200" s="14" t="inlineStr">
        <is>
          <t>FY2028E</t>
        </is>
      </c>
      <c r="E200" s="14" t="inlineStr">
        <is>
          <t>FY2029E</t>
        </is>
      </c>
      <c r="F200" s="14" t="inlineStr">
        <is>
          <t>FY2030E</t>
        </is>
      </c>
    </row>
    <row r="201">
      <c r="A201" s="6" t="inlineStr">
        <is>
          <t>Integrated Logistics — revenue</t>
        </is>
      </c>
      <c r="B201" s="33">
        <f>B180+B181+B182</f>
        <v/>
      </c>
      <c r="C201" s="33">
        <f>C180+C181+C182</f>
        <v/>
      </c>
      <c r="D201" s="33">
        <f>D180+D181+D182</f>
        <v/>
      </c>
      <c r="E201" s="33">
        <f>E180+E181+E182</f>
        <v/>
      </c>
      <c r="F201" s="33">
        <f>F180+F181+F182</f>
        <v/>
      </c>
    </row>
    <row r="202">
      <c r="A202" s="6" t="inlineStr">
        <is>
          <t>Shipping — revenue</t>
        </is>
      </c>
      <c r="B202" s="33">
        <f>B183+B184+B185</f>
        <v/>
      </c>
      <c r="C202" s="33">
        <f>C183+C184+C185</f>
        <v/>
      </c>
      <c r="D202" s="33">
        <f>D183+D184+D185</f>
        <v/>
      </c>
      <c r="E202" s="33">
        <f>E183+E184+E185</f>
        <v/>
      </c>
      <c r="F202" s="33">
        <f>F183+F184+F185</f>
        <v/>
      </c>
    </row>
    <row r="203">
      <c r="A203" s="6" t="inlineStr">
        <is>
          <t>Services — revenue</t>
        </is>
      </c>
      <c r="B203" s="33">
        <f>B186</f>
        <v/>
      </c>
      <c r="C203" s="33">
        <f>C186</f>
        <v/>
      </c>
      <c r="D203" s="33">
        <f>D186</f>
        <v/>
      </c>
      <c r="E203" s="33">
        <f>E186</f>
        <v/>
      </c>
      <c r="F203" s="33">
        <f>F186</f>
        <v/>
      </c>
    </row>
    <row r="204">
      <c r="A204" s="6" t="inlineStr">
        <is>
          <t>Integrated Logistics — EBITDA</t>
        </is>
      </c>
      <c r="B204" s="33">
        <f>B190+B191+B192</f>
        <v/>
      </c>
      <c r="C204" s="33">
        <f>C190+C191+C192</f>
        <v/>
      </c>
      <c r="D204" s="33">
        <f>D190+D191+D192</f>
        <v/>
      </c>
      <c r="E204" s="33">
        <f>E190+E191+E192</f>
        <v/>
      </c>
      <c r="F204" s="33">
        <f>F190+F191+F192</f>
        <v/>
      </c>
    </row>
    <row r="205">
      <c r="A205" s="6" t="inlineStr">
        <is>
          <t>Shipping — EBITDA</t>
        </is>
      </c>
      <c r="B205" s="33">
        <f>B193+B194+B195</f>
        <v/>
      </c>
      <c r="C205" s="33">
        <f>C193+C194+C195</f>
        <v/>
      </c>
      <c r="D205" s="33">
        <f>D193+D194+D195</f>
        <v/>
      </c>
      <c r="E205" s="33">
        <f>E193+E194+E195</f>
        <v/>
      </c>
      <c r="F205" s="33">
        <f>F193+F194+F195</f>
        <v/>
      </c>
    </row>
    <row r="206">
      <c r="A206" s="6" t="inlineStr">
        <is>
          <t>Services — EBITDA</t>
        </is>
      </c>
      <c r="B206" s="33">
        <f>B196</f>
        <v/>
      </c>
      <c r="C206" s="33">
        <f>C196</f>
        <v/>
      </c>
      <c r="D206" s="33">
        <f>D196</f>
        <v/>
      </c>
      <c r="E206" s="33">
        <f>E196</f>
        <v/>
      </c>
      <c r="F206" s="33">
        <f>F196</f>
        <v/>
      </c>
    </row>
    <row r="207">
      <c r="A207" s="6" t="inlineStr">
        <is>
          <t>Integrated Logistics — EBITDA margin</t>
        </is>
      </c>
      <c r="B207" s="10">
        <f>B204/B201</f>
        <v/>
      </c>
      <c r="C207" s="10">
        <f>C204/C201</f>
        <v/>
      </c>
      <c r="D207" s="10">
        <f>D204/D201</f>
        <v/>
      </c>
      <c r="E207" s="10">
        <f>E204/E201</f>
        <v/>
      </c>
      <c r="F207" s="10">
        <f>F204/F201</f>
        <v/>
      </c>
    </row>
    <row r="208">
      <c r="A208" s="6" t="inlineStr">
        <is>
          <t>Shipping — EBITDA margin</t>
        </is>
      </c>
      <c r="B208" s="10">
        <f>B205/B202</f>
        <v/>
      </c>
      <c r="C208" s="10">
        <f>C205/C202</f>
        <v/>
      </c>
      <c r="D208" s="10">
        <f>D205/D202</f>
        <v/>
      </c>
      <c r="E208" s="10">
        <f>E205/E202</f>
        <v/>
      </c>
      <c r="F208" s="10">
        <f>F205/F202</f>
        <v/>
      </c>
    </row>
    <row r="209">
      <c r="A209" s="6" t="inlineStr">
        <is>
          <t>Services — EBITDA margin</t>
        </is>
      </c>
      <c r="B209" s="10">
        <f>B206/B203</f>
        <v/>
      </c>
      <c r="C209" s="10">
        <f>C206/C203</f>
        <v/>
      </c>
      <c r="D209" s="10">
        <f>D206/D203</f>
        <v/>
      </c>
      <c r="E209" s="10">
        <f>E206/E203</f>
        <v/>
      </c>
      <c r="F209" s="10">
        <f>F206/F203</f>
        <v/>
      </c>
    </row>
    <row r="211">
      <c r="A211" s="4" t="inlineStr">
        <is>
          <t>The tanker gross-up moves reported revenue only, never earnings: earnings are struck on time-charter-equivalent revenue less the running cost of the same vessels. It does NOT follow that it cannot change the valuation, and an earlier edition of this workbook said so wrongly. It reaches the valuation through the balance sheet: receivable days are measured on reported revenue, so the gross-up sets the revenue base those days are re-based onto, and through the change in working capital it reaches free cash flow. The re-basing is built in cells on the Assumptions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cols>
    <col width="62" customWidth="1" min="1" max="1"/>
    <col width="17" customWidth="1" min="2" max="2"/>
    <col width="17" customWidth="1" min="3" max="3"/>
    <col width="17" customWidth="1" min="4" max="4"/>
    <col width="17" customWidth="1" min="5" max="5"/>
  </cols>
  <sheetData>
    <row r="1">
      <c r="A1" s="1" t="inlineStr">
        <is>
          <t>Relative multiples, normalised earnings power and the book lens</t>
        </is>
      </c>
      <c r="B1" s="2" t="n"/>
      <c r="C1" s="2" t="n"/>
      <c r="D1" s="2" t="n"/>
      <c r="E1" s="2" t="n"/>
    </row>
    <row r="2">
      <c r="A2" s="4" t="inlineStr">
        <is>
          <t>USD thousand unless stated. Per-share figures in dirhams.</t>
        </is>
      </c>
    </row>
    <row r="4">
      <c r="A4" s="5" t="inlineStr">
        <is>
          <t>Relative lens</t>
        </is>
      </c>
      <c r="B4" s="5" t="inlineStr"/>
      <c r="C4" s="5" t="inlineStr">
        <is>
          <t>Value</t>
        </is>
      </c>
    </row>
    <row r="5">
      <c r="A5" s="6" t="inlineStr">
        <is>
          <t>FY2026E group EBITDA</t>
        </is>
      </c>
      <c r="C5" s="18">
        <f>DCF!B6</f>
        <v/>
      </c>
    </row>
    <row r="6">
      <c r="A6" s="6" t="inlineStr">
        <is>
          <t>Blended enterprise multiple</t>
        </is>
      </c>
      <c r="C6" s="42">
        <f>'Peer &amp; Sector'!$C$13</f>
        <v/>
      </c>
    </row>
    <row r="7">
      <c r="A7" s="6" t="inlineStr">
        <is>
          <t>Implied enterprise value</t>
        </is>
      </c>
      <c r="C7" s="33">
        <f>C5*C6</f>
        <v/>
      </c>
    </row>
    <row r="8">
      <c r="A8" s="6" t="inlineStr">
        <is>
          <t>Plus joint ventures and associates at carrying value</t>
        </is>
      </c>
      <c r="C8" s="18">
        <f>Assumptions!$C$157</f>
        <v/>
      </c>
    </row>
    <row r="9">
      <c r="A9" s="6" t="inlineStr">
        <is>
          <t>Less net debt at 31 March 2026</t>
        </is>
      </c>
      <c r="C9" s="18">
        <f>-Assumptions!$C$150</f>
        <v/>
      </c>
    </row>
    <row r="10">
      <c r="A10" s="6" t="inlineStr">
        <is>
          <t>Less deferred consideration on acquisitions</t>
        </is>
      </c>
      <c r="C10" s="18">
        <f>-Assumptions!$C$151</f>
        <v/>
      </c>
    </row>
    <row r="11">
      <c r="A11" s="6" t="inlineStr">
        <is>
          <t>Less the eleven vessels bought on 7 August 2026, at the announced price</t>
        </is>
      </c>
      <c r="C11" s="18">
        <f>-Assumptions!$C$82</f>
        <v/>
      </c>
    </row>
    <row r="12">
      <c r="A12" s="6" t="inlineStr">
        <is>
          <t>Less perpetual capital securities at carrying value</t>
        </is>
      </c>
      <c r="C12" s="18">
        <f>-Assumptions!$C$152</f>
        <v/>
      </c>
    </row>
    <row r="13">
      <c r="A13" s="6" t="inlineStr">
        <is>
          <t>Implied equity value before the minorities</t>
        </is>
      </c>
      <c r="C13" s="33">
        <f>C7+C8+C9+C10+C11+C12</f>
        <v/>
      </c>
    </row>
    <row r="14">
      <c r="A14" s="6" t="inlineStr">
        <is>
          <t>Less non-controlling interests — the contracted slice at its contracted price, the rest at the greater of book and value</t>
        </is>
      </c>
      <c r="C14" s="33">
        <f>-(DCF!$C$56+MAX(DCF!$C$57,C13*DCF!$C$58))</f>
        <v/>
      </c>
    </row>
    <row r="15">
      <c r="A15" s="6" t="inlineStr">
        <is>
          <t>Implied equity attributable to ordinary shareholders</t>
        </is>
      </c>
      <c r="C15" s="33">
        <f>C13+C14</f>
        <v/>
      </c>
    </row>
    <row r="16">
      <c r="A16" s="6" t="inlineStr">
        <is>
          <t>Value per share on the enterprise multiple (AED)</t>
        </is>
      </c>
      <c r="C16" s="9">
        <f>C15/Assumptions!$C$6/1000*Assumptions!$C$7</f>
        <v/>
      </c>
    </row>
    <row r="17">
      <c r="A17" s="6" t="inlineStr">
        <is>
          <t>Blended FORWARD price/earnings — applied to forward earnings below, so the multiple and the earnings are on the same basis</t>
        </is>
      </c>
      <c r="C17" s="42">
        <f>'Peer &amp; Sector'!$C$16</f>
        <v/>
      </c>
    </row>
    <row r="18">
      <c r="A18" s="6" t="inlineStr">
        <is>
          <t>FY2026E earnings attributable to ordinary shareholders</t>
        </is>
      </c>
      <c r="C18" s="18">
        <f>'Income Statement'!E30</f>
        <v/>
      </c>
    </row>
    <row r="19">
      <c r="A19" s="6" t="inlineStr">
        <is>
          <t>Value per share on the earnings multiple (AED)</t>
        </is>
      </c>
      <c r="C19" s="9">
        <f>C18*C17/Assumptions!$C$6/1000*Assumptions!$C$7</f>
        <v/>
      </c>
    </row>
    <row r="20">
      <c r="A20" s="6" t="inlineStr">
        <is>
          <t>Weight on the enterprise multiple</t>
        </is>
      </c>
      <c r="C20" s="8">
        <f>Assumptions!$C$169</f>
        <v/>
      </c>
    </row>
    <row r="21">
      <c r="A21" s="11" t="inlineStr">
        <is>
          <t>RELATIVE LENS — value per share (AED)</t>
        </is>
      </c>
      <c r="B21" s="14" t="n"/>
      <c r="C21" s="12">
        <f>C20*C16+(1-C20)*C19</f>
        <v/>
      </c>
      <c r="D21" s="14" t="n"/>
      <c r="E21" s="14" t="n"/>
    </row>
    <row r="22">
      <c r="A22" s="6" t="inlineStr">
        <is>
          <t>Bear and bull — enterprise value on the spot-tanker multiple (C) / on the contracted multiple (D)</t>
        </is>
      </c>
      <c r="C22" s="33">
        <f>C5*'Peer &amp; Sector'!$C$11</f>
        <v/>
      </c>
      <c r="D22" s="33">
        <f>C5*'Peer &amp; Sector'!$C$10</f>
        <v/>
      </c>
    </row>
    <row r="23">
      <c r="A23" s="6" t="inlineStr">
        <is>
          <t>Equity value before the minorities</t>
        </is>
      </c>
      <c r="C23" s="33">
        <f>C22+Assumptions!$C$157-Assumptions!$C$150-Assumptions!$C$151-Assumptions!$C$82-Assumptions!$C$152</f>
        <v/>
      </c>
      <c r="D23" s="33">
        <f>D22+Assumptions!$C$157-Assumptions!$C$150-Assumptions!$C$151-Assumptions!$C$82-Assumptions!$C$152</f>
        <v/>
      </c>
    </row>
    <row r="24">
      <c r="A24" s="6" t="inlineStr">
        <is>
          <t>Less non-controlling interests — the same two-part deduction</t>
        </is>
      </c>
      <c r="C24" s="33">
        <f>-(DCF!$C$56+MAX(DCF!$C$57,C23*DCF!$C$58))</f>
        <v/>
      </c>
      <c r="D24" s="33">
        <f>-(DCF!$C$56+MAX(DCF!$C$57,D23*DCF!$C$58))</f>
        <v/>
      </c>
    </row>
    <row r="25">
      <c r="A25" s="6" t="inlineStr">
        <is>
          <t>Equity attributable to ordinary shareholders</t>
        </is>
      </c>
      <c r="C25" s="33">
        <f>C23+C24</f>
        <v/>
      </c>
      <c r="D25" s="33">
        <f>D23+D24</f>
        <v/>
      </c>
    </row>
    <row r="26">
      <c r="A26" s="6" t="inlineStr">
        <is>
          <t>Bear on the spot multiple (C) / bull on the contracted multiple (D), same construction</t>
        </is>
      </c>
      <c r="C26" s="9">
        <f>C25/Assumptions!$C$6/1000*Assumptions!$C$7</f>
        <v/>
      </c>
      <c r="D26" s="9">
        <f>D25/Assumptions!$C$6/1000*Assumptions!$C$7</f>
        <v/>
      </c>
    </row>
    <row r="28">
      <c r="A28" s="11" t="inlineStr">
        <is>
          <t>THE COMPANY'S OWN MULTIPLES AT THE ANCHOR PRICE</t>
        </is>
      </c>
      <c r="B28" s="14" t="n"/>
      <c r="C28" s="14" t="n"/>
      <c r="D28" s="14" t="n"/>
      <c r="E28" s="14" t="n"/>
    </row>
    <row r="29">
      <c r="A29" s="6" t="inlineStr">
        <is>
          <t>Share price (USD)</t>
        </is>
      </c>
      <c r="C29" s="7">
        <f>Assumptions!$C$5/Assumptions!$C$7</f>
        <v/>
      </c>
    </row>
    <row r="30">
      <c r="A30" s="6" t="inlineStr">
        <is>
          <t>Market capitalisation (USD 000)</t>
        </is>
      </c>
      <c r="C30" s="33">
        <f>C29*Assumptions!$C$6*1000</f>
        <v/>
      </c>
    </row>
    <row r="31">
      <c r="A31" s="6" t="inlineStr">
        <is>
          <t>Net debt including the deferred consideration and the vessels bought on 7 August 2026 (USD 000)</t>
        </is>
      </c>
      <c r="C31" s="18">
        <f>Assumptions!$C$150+Assumptions!$C$151+Assumptions!$C$82</f>
        <v/>
      </c>
    </row>
    <row r="32">
      <c r="A32" s="6" t="inlineStr">
        <is>
          <t>Enterprise value (USD 000)</t>
        </is>
      </c>
      <c r="C32" s="33">
        <f>C30+C31</f>
        <v/>
      </c>
    </row>
    <row r="33">
      <c r="A33" s="6" t="inlineStr">
        <is>
          <t>Enterprise value / 2025 reported EBITDA</t>
        </is>
      </c>
      <c r="C33" s="42">
        <f>C32/'Income Statement'!D16</f>
        <v/>
      </c>
    </row>
    <row r="34">
      <c r="A34" s="6" t="inlineStr">
        <is>
          <t>Enterprise value / FY2026E EBITDA</t>
        </is>
      </c>
      <c r="C34" s="40">
        <f>C32/C5</f>
        <v/>
      </c>
    </row>
    <row r="35">
      <c r="A35" s="6" t="inlineStr">
        <is>
          <t>Price / 2025 earnings attributable to ordinary shareholders — the TRAILING basis</t>
        </is>
      </c>
      <c r="C35" s="42">
        <f>C30/'Income Statement'!D30</f>
        <v/>
      </c>
    </row>
    <row r="36">
      <c r="A36" s="6" t="inlineStr">
        <is>
          <t>Price / FY2026E earnings attributable to ordinary shareholders — the FORWARD basis, the one the peer multiples are quoted on</t>
        </is>
      </c>
      <c r="C36" s="40">
        <f>C30/C18</f>
        <v/>
      </c>
    </row>
    <row r="37">
      <c r="A37" s="6" t="inlineStr">
        <is>
          <t>Price / book at 31 March 2026</t>
        </is>
      </c>
      <c r="C37" s="40">
        <f>C30/(Assumptions!$C$158+Assumptions!$C$152)</f>
        <v/>
      </c>
    </row>
    <row r="38">
      <c r="A38" s="6" t="inlineStr">
        <is>
          <t>Dividend yield on the 2026 distribution</t>
        </is>
      </c>
      <c r="C38" s="8">
        <f>Assumptions!$C$162/C30</f>
        <v/>
      </c>
    </row>
    <row r="39">
      <c r="A39" s="6" t="inlineStr">
        <is>
          <t>Enterprise value on the equity bridge's own convention — adding the perpetual capital securities and the minorities (USD 000)</t>
        </is>
      </c>
      <c r="C39" s="33">
        <f>C32+Assumptions!$C$152+Assumptions!$C$154</f>
        <v/>
      </c>
    </row>
    <row r="40">
      <c r="A40" s="6" t="inlineStr">
        <is>
          <t>Enterprise value / 2025 reported EBITDA — bridge convention</t>
        </is>
      </c>
      <c r="C40" s="40">
        <f>C39/'Income Statement'!D16</f>
        <v/>
      </c>
    </row>
    <row r="41">
      <c r="A41" s="6" t="inlineStr">
        <is>
          <t>Enterprise value / FY2026E EBITDA — bridge convention</t>
        </is>
      </c>
      <c r="C41" s="40">
        <f>C39/C5</f>
        <v/>
      </c>
    </row>
    <row r="42">
      <c r="A42" s="4" t="inlineStr">
        <is>
          <t>The two multiples immediately above are the company's own on the SAME enterprise value the equity bridge uses. The three rows before them use the narrower market-capitalisation-plus-net-debt convention, because that is the convention the peer figures are published on and the comparison has to be like for like. Both are shown rather than one chosen.</t>
        </is>
      </c>
    </row>
    <row r="43">
      <c r="A43" s="5" t="inlineStr">
        <is>
          <t>Normalised earnings lens — the five-year average of the model's own forecast</t>
        </is>
      </c>
      <c r="B43" s="5" t="inlineStr"/>
      <c r="C43" s="5" t="inlineStr">
        <is>
          <t>Value</t>
        </is>
      </c>
    </row>
    <row r="44">
      <c r="A44" s="6" t="inlineStr">
        <is>
          <t>Mid-cycle EBITDA — five-year average</t>
        </is>
      </c>
      <c r="C44" s="18">
        <f>AVERAGE(DCF!B6:F6)</f>
        <v/>
      </c>
    </row>
    <row r="45">
      <c r="A45" s="6" t="inlineStr">
        <is>
          <t>Implied enterprise value</t>
        </is>
      </c>
      <c r="C45" s="33">
        <f>C44*C6</f>
        <v/>
      </c>
    </row>
    <row r="46">
      <c r="A46" s="6" t="inlineStr">
        <is>
          <t>Implied equity value before the minorities</t>
        </is>
      </c>
      <c r="C46" s="33">
        <f>C45+Assumptions!$C$157-Assumptions!$C$150-Assumptions!$C$151-Assumptions!$C$82-Assumptions!$C$152</f>
        <v/>
      </c>
    </row>
    <row r="47">
      <c r="A47" s="6" t="inlineStr">
        <is>
          <t>Less non-controlling interests — the same two-part deduction</t>
        </is>
      </c>
      <c r="C47" s="33">
        <f>-(DCF!$C$56+MAX(DCF!$C$57,C46*DCF!$C$58))</f>
        <v/>
      </c>
    </row>
    <row r="48">
      <c r="A48" s="6" t="inlineStr">
        <is>
          <t>Implied equity attributable to ordinary shareholders</t>
        </is>
      </c>
      <c r="C48" s="33">
        <f>C46+C47</f>
        <v/>
      </c>
    </row>
    <row r="49">
      <c r="A49" s="6" t="inlineStr">
        <is>
          <t>Value per share on the enterprise multiple (AED)</t>
        </is>
      </c>
      <c r="C49" s="9">
        <f>C48/Assumptions!$C$6/1000*Assumptions!$C$7</f>
        <v/>
      </c>
    </row>
    <row r="50">
      <c r="A50" s="6" t="inlineStr">
        <is>
          <t>Mid-cycle earnings attributable to ordinary shareholders — five-year average</t>
        </is>
      </c>
      <c r="C50" s="18">
        <f>AVERAGE('Income Statement'!E30:I30)</f>
        <v/>
      </c>
    </row>
    <row r="51">
      <c r="A51" s="6" t="inlineStr">
        <is>
          <t>Mid-cycle earnings per share (USD)</t>
        </is>
      </c>
      <c r="C51" s="47">
        <f>C50/Assumptions!$C$6/1000</f>
        <v/>
      </c>
    </row>
    <row r="52">
      <c r="A52" s="6" t="inlineStr">
        <is>
          <t>Value per share on the earnings multiple (AED)</t>
        </is>
      </c>
      <c r="C52" s="9">
        <f>C51*C17*Assumptions!$C$7</f>
        <v/>
      </c>
    </row>
    <row r="53">
      <c r="A53" s="11" t="inlineStr">
        <is>
          <t>NORMALISED LENS — value per share (AED)</t>
        </is>
      </c>
      <c r="B53" s="14" t="n"/>
      <c r="C53" s="12">
        <f>(C49+C52)/2</f>
        <v/>
      </c>
      <c r="D53" s="14" t="n"/>
      <c r="E53" s="14" t="n"/>
    </row>
    <row r="54">
      <c r="A54" s="6" t="inlineStr">
        <is>
          <t>Bear and bull — enterprise value on the spot-tanker multiple (C) / on the contracted multiple (D)</t>
        </is>
      </c>
      <c r="C54" s="33">
        <f>C44*'Peer &amp; Sector'!$C$11</f>
        <v/>
      </c>
      <c r="D54" s="33">
        <f>C44*'Peer &amp; Sector'!$C$10</f>
        <v/>
      </c>
    </row>
    <row r="55">
      <c r="A55" s="6" t="inlineStr">
        <is>
          <t>Equity value before the minorities</t>
        </is>
      </c>
      <c r="C55" s="33">
        <f>C54+Assumptions!$C$157-Assumptions!$C$150-Assumptions!$C$151-Assumptions!$C$82-Assumptions!$C$152</f>
        <v/>
      </c>
      <c r="D55" s="33">
        <f>D54+Assumptions!$C$157-Assumptions!$C$150-Assumptions!$C$151-Assumptions!$C$82-Assumptions!$C$152</f>
        <v/>
      </c>
    </row>
    <row r="56">
      <c r="A56" s="6" t="inlineStr">
        <is>
          <t>Less non-controlling interests — the same two-part deduction</t>
        </is>
      </c>
      <c r="C56" s="33">
        <f>-(DCF!$C$56+MAX(DCF!$C$57,C55*DCF!$C$58))</f>
        <v/>
      </c>
      <c r="D56" s="33">
        <f>-(DCF!$C$56+MAX(DCF!$C$57,D55*DCF!$C$58))</f>
        <v/>
      </c>
    </row>
    <row r="57">
      <c r="A57" s="6" t="inlineStr">
        <is>
          <t>Equity attributable to ordinary shareholders</t>
        </is>
      </c>
      <c r="C57" s="33">
        <f>C55+C56</f>
        <v/>
      </c>
      <c r="D57" s="33">
        <f>D55+D56</f>
        <v/>
      </c>
    </row>
    <row r="58">
      <c r="A58" s="6" t="inlineStr">
        <is>
          <t>Bear on the spot multiple (C) / bull on the contracted multiple (D), same construction</t>
        </is>
      </c>
      <c r="C58" s="9">
        <f>C57/Assumptions!$C$6/1000*Assumptions!$C$7</f>
        <v/>
      </c>
      <c r="D58" s="9">
        <f>D57/Assumptions!$C$6/1000*Assumptions!$C$7</f>
        <v/>
      </c>
    </row>
    <row r="60">
      <c r="A60" s="5" t="inlineStr">
        <is>
          <t>Book value and sustainable return — a RESIDUAL INCOME build</t>
        </is>
      </c>
      <c r="B60" s="5" t="inlineStr"/>
      <c r="C60" s="5" t="inlineStr">
        <is>
          <t>Value</t>
        </is>
      </c>
    </row>
    <row r="61">
      <c r="A61" s="6" t="inlineStr">
        <is>
          <t>Equity attributable to shareholders at 31 March 2026 (USD 000)</t>
        </is>
      </c>
      <c r="C61" s="18">
        <f>Assumptions!$C$158</f>
        <v/>
      </c>
    </row>
    <row r="62">
      <c r="A62" s="6" t="inlineStr">
        <is>
          <t>Book value per share (USD)</t>
        </is>
      </c>
      <c r="C62" s="47">
        <f>C61/Assumptions!$C$6/1000</f>
        <v/>
      </c>
    </row>
    <row r="63">
      <c r="A63" s="6" t="inlineStr">
        <is>
          <t>Book value per share (AED)</t>
        </is>
      </c>
      <c r="C63" s="9">
        <f>C62*Assumptions!$C$7</f>
        <v/>
      </c>
    </row>
    <row r="64">
      <c r="A64" s="6" t="inlineStr">
        <is>
          <t>Sustainable return on equity — five-year forecast average</t>
        </is>
      </c>
      <c r="C64" s="8">
        <f>AVERAGE('Balance Sheet'!E28:I28)</f>
        <v/>
      </c>
    </row>
    <row r="65">
      <c r="A65" s="6" t="inlineStr">
        <is>
          <t>Cost of equity</t>
        </is>
      </c>
      <c r="C65" s="19">
        <f>DCF!$C$69</f>
        <v/>
      </c>
    </row>
    <row r="66">
      <c r="A66" s="6" t="inlineStr">
        <is>
          <t>Terminal growth</t>
        </is>
      </c>
      <c r="C66" s="8">
        <f>Assumptions!$C$164</f>
        <v/>
      </c>
    </row>
    <row r="67">
      <c r="A67" s="6" t="inlineStr">
        <is>
          <t>Rate at which the return above the cost of equity fades beyond the forecast</t>
        </is>
      </c>
      <c r="C67" s="8">
        <f>Assumptions!$C$168</f>
        <v/>
      </c>
    </row>
    <row r="68">
      <c r="A68" s="11" t="inlineStr">
        <is>
          <t>THE RESIDUAL-INCOME LADDER — BASE</t>
        </is>
      </c>
      <c r="B68" s="14" t="inlineStr">
        <is>
          <t>FY2026</t>
        </is>
      </c>
      <c r="C68" s="14" t="inlineStr">
        <is>
          <t>FY2027</t>
        </is>
      </c>
      <c r="D68" s="14" t="inlineStr">
        <is>
          <t>FY2028</t>
        </is>
      </c>
      <c r="E68" s="14" t="inlineStr">
        <is>
          <t>FY2029</t>
        </is>
      </c>
      <c r="F68" s="14" t="inlineStr">
        <is>
          <t>FY2030</t>
        </is>
      </c>
    </row>
    <row r="69">
      <c r="A69" s="6" t="inlineStr">
        <is>
          <t>Opening ordinary book value (USD mn) — the balance sheet's own roll-forward</t>
        </is>
      </c>
      <c r="B69" s="36">
        <f>C61/1000</f>
        <v/>
      </c>
      <c r="C69" s="17">
        <f>'Balance Sheet'!B69/1000</f>
        <v/>
      </c>
      <c r="D69" s="17">
        <f>'Balance Sheet'!C69/1000</f>
        <v/>
      </c>
      <c r="E69" s="17">
        <f>'Balance Sheet'!D69/1000</f>
        <v/>
      </c>
      <c r="F69" s="17">
        <f>'Balance Sheet'!E69/1000</f>
        <v/>
      </c>
    </row>
    <row r="70">
      <c r="A70" s="6" t="inlineStr">
        <is>
          <t>Return on ordinary equity — profit after the perpetual coupon, over closing ordinary book</t>
        </is>
      </c>
      <c r="B70" s="8">
        <f>'Income Statement'!E30/'Balance Sheet'!B69</f>
        <v/>
      </c>
      <c r="C70" s="8">
        <f>'Income Statement'!F30/'Balance Sheet'!C69</f>
        <v/>
      </c>
      <c r="D70" s="8">
        <f>'Income Statement'!G30/'Balance Sheet'!D69</f>
        <v/>
      </c>
      <c r="E70" s="8">
        <f>'Income Statement'!H30/'Balance Sheet'!E69</f>
        <v/>
      </c>
      <c r="F70" s="8">
        <f>'Income Statement'!I30/'Balance Sheet'!F69</f>
        <v/>
      </c>
    </row>
    <row r="71">
      <c r="A71" s="6" t="inlineStr">
        <is>
          <t>Residual income — (return less cost of equity) x opening book (USD mn)</t>
        </is>
      </c>
      <c r="B71" s="36">
        <f>(B70-C65)*B69</f>
        <v/>
      </c>
      <c r="C71" s="36">
        <f>(C70-C65)*C69</f>
        <v/>
      </c>
      <c r="D71" s="36">
        <f>(D70-C65)*D69</f>
        <v/>
      </c>
      <c r="E71" s="36">
        <f>(E70-C65)*E69</f>
        <v/>
      </c>
      <c r="F71" s="36">
        <f>(F70-C65)*F69</f>
        <v/>
      </c>
    </row>
    <row r="72">
      <c r="A72" s="6" t="inlineStr">
        <is>
          <t>Discount factor at the cost of equity</t>
        </is>
      </c>
      <c r="B72" s="48">
        <f>1/(1+C65)^1</f>
        <v/>
      </c>
      <c r="C72" s="48">
        <f>1/(1+C65)^2</f>
        <v/>
      </c>
      <c r="D72" s="48">
        <f>1/(1+C65)^3</f>
        <v/>
      </c>
      <c r="E72" s="48">
        <f>1/(1+C65)^4</f>
        <v/>
      </c>
      <c r="F72" s="48">
        <f>1/(1+C65)^5</f>
        <v/>
      </c>
    </row>
    <row r="73">
      <c r="A73" s="6" t="inlineStr">
        <is>
          <t>Present value of the residual income (USD mn)</t>
        </is>
      </c>
      <c r="B73" s="36">
        <f>B71*B72</f>
        <v/>
      </c>
      <c r="C73" s="36">
        <f>C71*C72</f>
        <v/>
      </c>
      <c r="D73" s="36">
        <f>D71*D72</f>
        <v/>
      </c>
      <c r="E73" s="36">
        <f>E71*E72</f>
        <v/>
      </c>
      <c r="F73" s="36">
        <f>F71*F72</f>
        <v/>
      </c>
    </row>
    <row r="74">
      <c r="A74" s="6" t="inlineStr">
        <is>
          <t>Present value of the five forecast years (USD mn)</t>
        </is>
      </c>
      <c r="C74" s="36">
        <f>SUM(B73:F73)</f>
        <v/>
      </c>
    </row>
    <row r="75">
      <c r="A75" s="6" t="inlineStr">
        <is>
          <t>Terminal residual income — the final year's excess return on the closing book (USD mn)</t>
        </is>
      </c>
      <c r="C75" s="36">
        <f>(F70-C65)*'Balance Sheet'!F69/1000</f>
        <v/>
      </c>
    </row>
    <row r="76">
      <c r="A76" s="6" t="inlineStr">
        <is>
          <t>Terminal value — that excess fading toward the cost of equity (USD mn)</t>
        </is>
      </c>
      <c r="C76" s="36">
        <f>C75/(C65+C67-C66)</f>
        <v/>
      </c>
    </row>
    <row r="77">
      <c r="A77" s="6" t="inlineStr">
        <is>
          <t>Present value of the terminal value (USD mn)</t>
        </is>
      </c>
      <c r="C77" s="36">
        <f>C76/(1+C65)^5</f>
        <v/>
      </c>
    </row>
    <row r="78">
      <c r="A78" s="34" t="inlineStr">
        <is>
          <t>Equity value — opening book plus the residual income it earns (USD mn)</t>
        </is>
      </c>
      <c r="C78" s="37">
        <f>C61/1000+C74+C77</f>
        <v/>
      </c>
    </row>
    <row r="79">
      <c r="A79" s="6" t="inlineStr">
        <is>
          <t>Implied price / book — the equity value over the book it starts from</t>
        </is>
      </c>
      <c r="C79" s="40">
        <f>C78/(C61/1000)</f>
        <v/>
      </c>
    </row>
    <row r="80">
      <c r="A80" s="11" t="inlineStr">
        <is>
          <t>BOOK LENS — value per share (AED)</t>
        </is>
      </c>
      <c r="B80" s="14" t="n"/>
      <c r="C80" s="12">
        <f>C78/Assumptions!$C$6*Assumptions!$C$7</f>
        <v/>
      </c>
      <c r="D80" s="14" t="n"/>
      <c r="E80" s="14" t="n"/>
    </row>
    <row r="82">
      <c r="A82" s="11" t="inlineStr">
        <is>
          <t>THE SAME LADDER — BEAR: the return 15% lower, discounted at the cost of equity built on the TOP of the beta's 90% confidence interval</t>
        </is>
      </c>
      <c r="B82" s="14" t="inlineStr">
        <is>
          <t>FY2026</t>
        </is>
      </c>
      <c r="C82" s="14" t="inlineStr">
        <is>
          <t>FY2027</t>
        </is>
      </c>
      <c r="D82" s="14" t="inlineStr">
        <is>
          <t>FY2028</t>
        </is>
      </c>
      <c r="E82" s="14" t="inlineStr">
        <is>
          <t>FY2029</t>
        </is>
      </c>
      <c r="F82" s="14" t="inlineStr">
        <is>
          <t>FY2030</t>
        </is>
      </c>
    </row>
    <row r="83">
      <c r="A83" s="6" t="inlineStr">
        <is>
          <t>Return on ordinary equity — profit after the perpetual coupon, over closing ordinary book (scaled 0.85x)</t>
        </is>
      </c>
      <c r="B83" s="8">
        <f>'Income Statement'!E30/'Balance Sheet'!B69*0.85</f>
        <v/>
      </c>
      <c r="C83" s="8">
        <f>'Income Statement'!F30/'Balance Sheet'!C69*0.85</f>
        <v/>
      </c>
      <c r="D83" s="8">
        <f>'Income Statement'!G30/'Balance Sheet'!D69*0.85</f>
        <v/>
      </c>
      <c r="E83" s="8">
        <f>'Income Statement'!H30/'Balance Sheet'!E69*0.85</f>
        <v/>
      </c>
      <c r="F83" s="8">
        <f>'Income Statement'!I30/'Balance Sheet'!F69*0.85</f>
        <v/>
      </c>
    </row>
    <row r="84">
      <c r="A84" s="6" t="inlineStr">
        <is>
          <t>Residual income — (return less cost of equity) x opening book (USD mn)</t>
        </is>
      </c>
      <c r="B84" s="36">
        <f>(B83-DCF!$C$124)*B69</f>
        <v/>
      </c>
      <c r="C84" s="36">
        <f>(C83-DCF!$C$124)*C69</f>
        <v/>
      </c>
      <c r="D84" s="36">
        <f>(D83-DCF!$C$124)*D69</f>
        <v/>
      </c>
      <c r="E84" s="36">
        <f>(E83-DCF!$C$124)*E69</f>
        <v/>
      </c>
      <c r="F84" s="36">
        <f>(F83-DCF!$C$124)*F69</f>
        <v/>
      </c>
    </row>
    <row r="85">
      <c r="A85" s="6" t="inlineStr">
        <is>
          <t>Discount factor at the cost of equity</t>
        </is>
      </c>
      <c r="B85" s="48">
        <f>1/(1+DCF!$C$124)^1</f>
        <v/>
      </c>
      <c r="C85" s="48">
        <f>1/(1+DCF!$C$124)^2</f>
        <v/>
      </c>
      <c r="D85" s="48">
        <f>1/(1+DCF!$C$124)^3</f>
        <v/>
      </c>
      <c r="E85" s="48">
        <f>1/(1+DCF!$C$124)^4</f>
        <v/>
      </c>
      <c r="F85" s="48">
        <f>1/(1+DCF!$C$124)^5</f>
        <v/>
      </c>
    </row>
    <row r="86">
      <c r="A86" s="6" t="inlineStr">
        <is>
          <t>Present value of the residual income (USD mn)</t>
        </is>
      </c>
      <c r="B86" s="36">
        <f>B84*B85</f>
        <v/>
      </c>
      <c r="C86" s="36">
        <f>C84*C85</f>
        <v/>
      </c>
      <c r="D86" s="36">
        <f>D84*D85</f>
        <v/>
      </c>
      <c r="E86" s="36">
        <f>E84*E85</f>
        <v/>
      </c>
      <c r="F86" s="36">
        <f>F84*F85</f>
        <v/>
      </c>
    </row>
    <row r="87">
      <c r="A87" s="6" t="inlineStr">
        <is>
          <t>Present value of the five forecast years (USD mn)</t>
        </is>
      </c>
      <c r="C87" s="36">
        <f>SUM(B86:F86)</f>
        <v/>
      </c>
    </row>
    <row r="88">
      <c r="A88" s="6" t="inlineStr">
        <is>
          <t>Terminal residual income — the final year's excess return on the closing book (USD mn)</t>
        </is>
      </c>
      <c r="C88" s="36">
        <f>(F83-DCF!$C$124)*'Balance Sheet'!F69/1000</f>
        <v/>
      </c>
    </row>
    <row r="89">
      <c r="A89" s="6" t="inlineStr">
        <is>
          <t>Terminal value — that excess fading toward the cost of equity (USD mn)</t>
        </is>
      </c>
      <c r="C89" s="36">
        <f>C88/(DCF!$C$124+C67-C66)</f>
        <v/>
      </c>
    </row>
    <row r="90">
      <c r="A90" s="6" t="inlineStr">
        <is>
          <t>Present value of the terminal value (USD mn)</t>
        </is>
      </c>
      <c r="C90" s="36">
        <f>C89/(1+DCF!$C$124)^5</f>
        <v/>
      </c>
    </row>
    <row r="91">
      <c r="A91" s="34" t="inlineStr">
        <is>
          <t>Equity value — opening book plus the residual income it earns (USD mn)</t>
        </is>
      </c>
      <c r="C91" s="37">
        <f>C61/1000+C87+C90</f>
        <v/>
      </c>
    </row>
    <row r="92">
      <c r="A92" s="11" t="inlineStr">
        <is>
          <t>THE SAME LADDER — BULL: the return 15% higher, discounted at the cost of equity built on the BOTTOM of the same interval</t>
        </is>
      </c>
      <c r="B92" s="14" t="inlineStr">
        <is>
          <t>FY2026</t>
        </is>
      </c>
      <c r="C92" s="14" t="inlineStr">
        <is>
          <t>FY2027</t>
        </is>
      </c>
      <c r="D92" s="14" t="inlineStr">
        <is>
          <t>FY2028</t>
        </is>
      </c>
      <c r="E92" s="14" t="inlineStr">
        <is>
          <t>FY2029</t>
        </is>
      </c>
      <c r="F92" s="14" t="inlineStr">
        <is>
          <t>FY2030</t>
        </is>
      </c>
    </row>
    <row r="93">
      <c r="A93" s="6" t="inlineStr">
        <is>
          <t>Return on ordinary equity — profit after the perpetual coupon, over closing ordinary book (scaled 1.15x)</t>
        </is>
      </c>
      <c r="B93" s="8">
        <f>'Income Statement'!E30/'Balance Sheet'!B69*1.15</f>
        <v/>
      </c>
      <c r="C93" s="8">
        <f>'Income Statement'!F30/'Balance Sheet'!C69*1.15</f>
        <v/>
      </c>
      <c r="D93" s="8">
        <f>'Income Statement'!G30/'Balance Sheet'!D69*1.15</f>
        <v/>
      </c>
      <c r="E93" s="8">
        <f>'Income Statement'!H30/'Balance Sheet'!E69*1.15</f>
        <v/>
      </c>
      <c r="F93" s="8">
        <f>'Income Statement'!I30/'Balance Sheet'!F69*1.15</f>
        <v/>
      </c>
    </row>
    <row r="94">
      <c r="A94" s="6" t="inlineStr">
        <is>
          <t>Residual income — (return less cost of equity) x opening book (USD mn)</t>
        </is>
      </c>
      <c r="B94" s="36">
        <f>(B93-DCF!$C$123)*B69</f>
        <v/>
      </c>
      <c r="C94" s="36">
        <f>(C93-DCF!$C$123)*C69</f>
        <v/>
      </c>
      <c r="D94" s="36">
        <f>(D93-DCF!$C$123)*D69</f>
        <v/>
      </c>
      <c r="E94" s="36">
        <f>(E93-DCF!$C$123)*E69</f>
        <v/>
      </c>
      <c r="F94" s="36">
        <f>(F93-DCF!$C$123)*F69</f>
        <v/>
      </c>
    </row>
    <row r="95">
      <c r="A95" s="6" t="inlineStr">
        <is>
          <t>Discount factor at the cost of equity</t>
        </is>
      </c>
      <c r="B95" s="48">
        <f>1/(1+DCF!$C$123)^1</f>
        <v/>
      </c>
      <c r="C95" s="48">
        <f>1/(1+DCF!$C$123)^2</f>
        <v/>
      </c>
      <c r="D95" s="48">
        <f>1/(1+DCF!$C$123)^3</f>
        <v/>
      </c>
      <c r="E95" s="48">
        <f>1/(1+DCF!$C$123)^4</f>
        <v/>
      </c>
      <c r="F95" s="48">
        <f>1/(1+DCF!$C$123)^5</f>
        <v/>
      </c>
    </row>
    <row r="96">
      <c r="A96" s="6" t="inlineStr">
        <is>
          <t>Present value of the residual income (USD mn)</t>
        </is>
      </c>
      <c r="B96" s="36">
        <f>B94*B95</f>
        <v/>
      </c>
      <c r="C96" s="36">
        <f>C94*C95</f>
        <v/>
      </c>
      <c r="D96" s="36">
        <f>D94*D95</f>
        <v/>
      </c>
      <c r="E96" s="36">
        <f>E94*E95</f>
        <v/>
      </c>
      <c r="F96" s="36">
        <f>F94*F95</f>
        <v/>
      </c>
    </row>
    <row r="97">
      <c r="A97" s="6" t="inlineStr">
        <is>
          <t>Present value of the five forecast years (USD mn)</t>
        </is>
      </c>
      <c r="C97" s="36">
        <f>SUM(B96:F96)</f>
        <v/>
      </c>
    </row>
    <row r="98">
      <c r="A98" s="6" t="inlineStr">
        <is>
          <t>Terminal residual income — the final year's excess return on the closing book (USD mn)</t>
        </is>
      </c>
      <c r="C98" s="36">
        <f>(F93-DCF!$C$123)*'Balance Sheet'!F69/1000</f>
        <v/>
      </c>
    </row>
    <row r="99">
      <c r="A99" s="6" t="inlineStr">
        <is>
          <t>Terminal value — that excess fading toward the cost of equity (USD mn)</t>
        </is>
      </c>
      <c r="C99" s="36">
        <f>C98/(DCF!$C$123+C67-C66)</f>
        <v/>
      </c>
    </row>
    <row r="100">
      <c r="A100" s="6" t="inlineStr">
        <is>
          <t>Present value of the terminal value (USD mn)</t>
        </is>
      </c>
      <c r="C100" s="36">
        <f>C99/(1+DCF!$C$123)^5</f>
        <v/>
      </c>
    </row>
    <row r="101">
      <c r="A101" s="34" t="inlineStr">
        <is>
          <t>Equity value — opening book plus the residual income it earns (USD mn)</t>
        </is>
      </c>
      <c r="C101" s="37">
        <f>C61/1000+C97+C100</f>
        <v/>
      </c>
    </row>
    <row r="102">
      <c r="A102" s="6" t="inlineStr">
        <is>
          <t>Bear — return 15% lower, discounted at the cost of equity built on the TOP of the beta's 90% confidence interval (C) / bull — return 15% higher, discounted at the cost of equity built on the BOTTOM of the same interval (D)</t>
        </is>
      </c>
      <c r="C102" s="9">
        <f>C91/Assumptions!$C$6*Assumptions!$C$7</f>
        <v/>
      </c>
      <c r="D102" s="9">
        <f>C101/Assumptions!$C$6*Assumptions!$C$7</f>
        <v/>
      </c>
    </row>
    <row r="104">
      <c r="A104" s="11" t="inlineStr">
        <is>
          <t>THE REALISED VESSEL SALE — DIRECT EVIDENCE ON CARRYING VALUES</t>
        </is>
      </c>
      <c r="B104" s="14" t="n"/>
      <c r="C104" s="14" t="n"/>
      <c r="D104" s="14" t="n"/>
      <c r="E104" s="14" t="n"/>
    </row>
    <row r="105">
      <c r="A105" s="6" t="inlineStr">
        <is>
          <t>Carrying value of the very large crude carrier sold (USD 000)</t>
        </is>
      </c>
      <c r="C105" s="27" t="n">
        <v>83000</v>
      </c>
    </row>
    <row r="106">
      <c r="A106" s="6" t="inlineStr">
        <is>
          <t>Realised sale price, January 2026 (USD 000)</t>
        </is>
      </c>
      <c r="C106" s="27" t="n">
        <v>111000</v>
      </c>
    </row>
    <row r="107">
      <c r="A107" s="34" t="inlineStr">
        <is>
          <t>Realised price over carrying value</t>
        </is>
      </c>
      <c r="C107" s="49">
        <f>C106/C105</f>
        <v/>
      </c>
    </row>
    <row r="108">
      <c r="A108" s="6" t="inlineStr">
        <is>
          <t>Capital gain recognised on the sale, as disclosed (USD 000)</t>
        </is>
      </c>
      <c r="C108" s="27" t="n">
        <v>27000</v>
      </c>
    </row>
    <row r="109">
      <c r="A109" s="4" t="inlineStr">
        <is>
          <t>This is the only direct evidence in the study on how far the balance sheet's carrying values sit below what the fleet would actually fetch: one 2017-built very large crude carrier, ninety per cent owned, sold in January 2026 at about a third above its carrying value. The book lens above values the equity at its carried book, so a fleet that would realise more than book is a reason that lens reads low rather than a reason to adjust 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3"/>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USD thousand. Every line is a live formula: the cost of capital is built below from its own components, the discount factors compound year on year off the glide, and 2026 is a three-quarter stub because the valuation date is 31 March 2026.</t>
        </is>
      </c>
    </row>
    <row r="4">
      <c r="A4" s="5" t="inlineStr">
        <is>
          <t>USD 000</t>
        </is>
      </c>
      <c r="B4" s="5" t="inlineStr">
        <is>
          <t>FY2026E</t>
        </is>
      </c>
      <c r="C4" s="5" t="inlineStr">
        <is>
          <t>FY2027E</t>
        </is>
      </c>
      <c r="D4" s="5" t="inlineStr">
        <is>
          <t>FY2028E</t>
        </is>
      </c>
      <c r="E4" s="5" t="inlineStr">
        <is>
          <t>FY2029E</t>
        </is>
      </c>
      <c r="F4" s="5" t="inlineStr">
        <is>
          <t>FY2030E</t>
        </is>
      </c>
    </row>
    <row r="5">
      <c r="A5" s="6" t="inlineStr">
        <is>
          <t>Revenue</t>
        </is>
      </c>
      <c r="B5" s="18">
        <f>Segments!B187</f>
        <v/>
      </c>
      <c r="C5" s="18">
        <f>Segments!C187</f>
        <v/>
      </c>
      <c r="D5" s="18">
        <f>Segments!D187</f>
        <v/>
      </c>
      <c r="E5" s="18">
        <f>Segments!E187</f>
        <v/>
      </c>
      <c r="F5" s="18">
        <f>Segments!F187</f>
        <v/>
      </c>
    </row>
    <row r="6">
      <c r="A6" s="6" t="inlineStr">
        <is>
          <t>EBITDA</t>
        </is>
      </c>
      <c r="B6" s="18">
        <f>Segments!B197</f>
        <v/>
      </c>
      <c r="C6" s="18">
        <f>Segments!C197</f>
        <v/>
      </c>
      <c r="D6" s="18">
        <f>Segments!D197</f>
        <v/>
      </c>
      <c r="E6" s="18">
        <f>Segments!E197</f>
        <v/>
      </c>
      <c r="F6" s="18">
        <f>Segments!F197</f>
        <v/>
      </c>
    </row>
    <row r="7">
      <c r="A7" s="6" t="inlineStr">
        <is>
          <t>EBITDA margin</t>
        </is>
      </c>
      <c r="B7" s="10">
        <f>B6/B5</f>
        <v/>
      </c>
      <c r="C7" s="10">
        <f>C6/C5</f>
        <v/>
      </c>
      <c r="D7" s="10">
        <f>D6/D5</f>
        <v/>
      </c>
      <c r="E7" s="10">
        <f>E6/E5</f>
        <v/>
      </c>
      <c r="F7" s="10">
        <f>F6/F5</f>
        <v/>
      </c>
    </row>
    <row r="8">
      <c r="A8" s="6" t="inlineStr">
        <is>
          <t>Less depreciation and amortisation</t>
        </is>
      </c>
      <c r="B8" s="18">
        <f>-'Balance Sheet'!B39</f>
        <v/>
      </c>
      <c r="C8" s="18">
        <f>-'Balance Sheet'!C39</f>
        <v/>
      </c>
      <c r="D8" s="18">
        <f>-'Balance Sheet'!D39</f>
        <v/>
      </c>
      <c r="E8" s="18">
        <f>-'Balance Sheet'!E39</f>
        <v/>
      </c>
      <c r="F8" s="18">
        <f>-'Balance Sheet'!F39</f>
        <v/>
      </c>
    </row>
    <row r="9">
      <c r="A9" s="14" t="inlineStr">
        <is>
          <t>EBIT</t>
        </is>
      </c>
      <c r="B9" s="39">
        <f>B6+B8</f>
        <v/>
      </c>
      <c r="C9" s="39">
        <f>C6+C8</f>
        <v/>
      </c>
      <c r="D9" s="39">
        <f>D6+D8</f>
        <v/>
      </c>
      <c r="E9" s="39">
        <f>E6+E8</f>
        <v/>
      </c>
      <c r="F9" s="39">
        <f>F6+F8</f>
        <v/>
      </c>
    </row>
    <row r="10">
      <c r="A10" s="6" t="inlineStr">
        <is>
          <t>Less tax on operating profit — the business-unit mix below</t>
        </is>
      </c>
      <c r="B10" s="33">
        <f>-B35</f>
        <v/>
      </c>
      <c r="C10" s="33">
        <f>-C35</f>
        <v/>
      </c>
      <c r="D10" s="33">
        <f>-D35</f>
        <v/>
      </c>
      <c r="E10" s="33">
        <f>-E35</f>
        <v/>
      </c>
      <c r="F10" s="33">
        <f>-F35</f>
        <v/>
      </c>
    </row>
    <row r="11">
      <c r="A11" s="14" t="inlineStr">
        <is>
          <t>NOPAT</t>
        </is>
      </c>
      <c r="B11" s="39">
        <f>B9+B10</f>
        <v/>
      </c>
      <c r="C11" s="39">
        <f>C9+C10</f>
        <v/>
      </c>
      <c r="D11" s="39">
        <f>D9+D10</f>
        <v/>
      </c>
      <c r="E11" s="39">
        <f>E9+E10</f>
        <v/>
      </c>
      <c r="F11" s="39">
        <f>F9+F10</f>
        <v/>
      </c>
    </row>
    <row r="12">
      <c r="A12" s="6" t="inlineStr">
        <is>
          <t>Add back depreciation and amortisation</t>
        </is>
      </c>
      <c r="B12" s="33">
        <f>-B8</f>
        <v/>
      </c>
      <c r="C12" s="33">
        <f>-C8</f>
        <v/>
      </c>
      <c r="D12" s="33">
        <f>-D8</f>
        <v/>
      </c>
      <c r="E12" s="33">
        <f>-E8</f>
        <v/>
      </c>
      <c r="F12" s="33">
        <f>-F8</f>
        <v/>
      </c>
    </row>
    <row r="13">
      <c r="A13" s="6" t="inlineStr">
        <is>
          <t>Less capital expenditure</t>
        </is>
      </c>
      <c r="B13" s="18">
        <f>-Assumptions!$B$120</f>
        <v/>
      </c>
      <c r="C13" s="18">
        <f>-Assumptions!$C$120</f>
        <v/>
      </c>
      <c r="D13" s="18">
        <f>-Assumptions!$D$120</f>
        <v/>
      </c>
      <c r="E13" s="18">
        <f>-Assumptions!$E$120</f>
        <v/>
      </c>
      <c r="F13" s="18">
        <f>-Assumptions!$F$120</f>
        <v/>
      </c>
    </row>
    <row r="14">
      <c r="A14" s="6" t="inlineStr">
        <is>
          <t>Less change in working capital</t>
        </is>
      </c>
      <c r="B14" s="18">
        <f>-'Balance Sheet'!B50</f>
        <v/>
      </c>
      <c r="C14" s="18">
        <f>-'Balance Sheet'!C50</f>
        <v/>
      </c>
      <c r="D14" s="18">
        <f>-'Balance Sheet'!D50</f>
        <v/>
      </c>
      <c r="E14" s="18">
        <f>-'Balance Sheet'!E50</f>
        <v/>
      </c>
      <c r="F14" s="18">
        <f>-'Balance Sheet'!F50</f>
        <v/>
      </c>
    </row>
    <row r="15">
      <c r="A15" s="14" t="inlineStr">
        <is>
          <t>Free cash flow to the firm</t>
        </is>
      </c>
      <c r="B15" s="39">
        <f>B11+B12+B13+B14</f>
        <v/>
      </c>
      <c r="C15" s="39">
        <f>C11+C12+C13+C14</f>
        <v/>
      </c>
      <c r="D15" s="39">
        <f>D11+D12+D13+D14</f>
        <v/>
      </c>
      <c r="E15" s="39">
        <f>E11+E12+E13+E14</f>
        <v/>
      </c>
      <c r="F15" s="39">
        <f>F11+F12+F13+F14</f>
        <v/>
      </c>
    </row>
    <row r="16">
      <c r="A16" s="6" t="inlineStr">
        <is>
          <t>Less first-quarter 2026 free cash flow, already inside net debt at the valuation date</t>
        </is>
      </c>
      <c r="B16" s="18">
        <f>-Assumptions!$C$9</f>
        <v/>
      </c>
      <c r="C16" s="33">
        <f>0</f>
        <v/>
      </c>
      <c r="D16" s="33">
        <f>0</f>
        <v/>
      </c>
      <c r="E16" s="33">
        <f>0</f>
        <v/>
      </c>
      <c r="F16" s="33">
        <f>0</f>
        <v/>
      </c>
    </row>
    <row r="17">
      <c r="A17" s="14" t="inlineStr">
        <is>
          <t>Free cash flow discounted from 31 March 2026</t>
        </is>
      </c>
      <c r="B17" s="39">
        <f>B15+B16</f>
        <v/>
      </c>
      <c r="C17" s="39">
        <f>C15+C16</f>
        <v/>
      </c>
      <c r="D17" s="39">
        <f>D15+D16</f>
        <v/>
      </c>
      <c r="E17" s="39">
        <f>E15+E16</f>
        <v/>
      </c>
      <c r="F17" s="39">
        <f>F15+F16</f>
        <v/>
      </c>
    </row>
    <row r="18">
      <c r="A18" s="6" t="inlineStr">
        <is>
          <t>Forward cost of capital — the glide from current to terminal</t>
        </is>
      </c>
      <c r="B18" s="50">
        <f>$C$105+($C$111-$C$105)*1/5</f>
        <v/>
      </c>
      <c r="C18" s="50">
        <f>$C$105+($C$111-$C$105)*2/5</f>
        <v/>
      </c>
      <c r="D18" s="50">
        <f>$C$105+($C$111-$C$105)*3/5</f>
        <v/>
      </c>
      <c r="E18" s="50">
        <f>$C$105+($C$111-$C$105)*4/5</f>
        <v/>
      </c>
      <c r="F18" s="50">
        <f>$C$105+($C$111-$C$105)*5/5</f>
        <v/>
      </c>
    </row>
    <row r="19">
      <c r="A19" s="6" t="inlineStr">
        <is>
          <t>Discount factor — each year compounded onto the last</t>
        </is>
      </c>
      <c r="B19" s="48">
        <f>1/(1+B18)^Assumptions!$C$8</f>
        <v/>
      </c>
      <c r="C19" s="48">
        <f>B19/(1+C18)</f>
        <v/>
      </c>
      <c r="D19" s="48">
        <f>C19/(1+D18)</f>
        <v/>
      </c>
      <c r="E19" s="48">
        <f>D19/(1+E18)</f>
        <v/>
      </c>
      <c r="F19" s="48">
        <f>E19/(1+F18)</f>
        <v/>
      </c>
    </row>
    <row r="20">
      <c r="A20" s="14" t="inlineStr">
        <is>
          <t>Present value of free cash flow</t>
        </is>
      </c>
      <c r="B20" s="39">
        <f>B17*B19</f>
        <v/>
      </c>
      <c r="C20" s="39">
        <f>C17*C19</f>
        <v/>
      </c>
      <c r="D20" s="39">
        <f>D17*D19</f>
        <v/>
      </c>
      <c r="E20" s="39">
        <f>E17*E19</f>
        <v/>
      </c>
      <c r="F20" s="39">
        <f>F17*F19</f>
        <v/>
      </c>
    </row>
    <row r="22">
      <c r="A22" s="11" t="inlineStr">
        <is>
          <t>THE TAX MIX — EACH BUSINESS UNIT AT ITS OWN DISCLOSED RATE</t>
        </is>
      </c>
      <c r="B22" s="14" t="inlineStr">
        <is>
          <t>FY2026E</t>
        </is>
      </c>
      <c r="C22" s="14" t="inlineStr">
        <is>
          <t>FY2027E</t>
        </is>
      </c>
      <c r="D22" s="14" t="inlineStr">
        <is>
          <t>FY2028E</t>
        </is>
      </c>
      <c r="E22" s="14" t="inlineStr">
        <is>
          <t>FY2029E</t>
        </is>
      </c>
      <c r="F22" s="14" t="inlineStr">
        <is>
          <t>FY2030E</t>
        </is>
      </c>
    </row>
    <row r="23">
      <c r="A23" s="6" t="inlineStr">
        <is>
          <t>Integrated Logistics — EBITDA</t>
        </is>
      </c>
      <c r="B23" s="18">
        <f>Segments!B204</f>
        <v/>
      </c>
      <c r="C23" s="18">
        <f>Segments!C204</f>
        <v/>
      </c>
      <c r="D23" s="18">
        <f>Segments!D204</f>
        <v/>
      </c>
      <c r="E23" s="18">
        <f>Segments!E204</f>
        <v/>
      </c>
      <c r="F23" s="18">
        <f>Segments!F204</f>
        <v/>
      </c>
    </row>
    <row r="24">
      <c r="A24" s="6" t="inlineStr">
        <is>
          <t>Shipping — EBITDA</t>
        </is>
      </c>
      <c r="B24" s="18">
        <f>Segments!B205</f>
        <v/>
      </c>
      <c r="C24" s="18">
        <f>Segments!C205</f>
        <v/>
      </c>
      <c r="D24" s="18">
        <f>Segments!D205</f>
        <v/>
      </c>
      <c r="E24" s="18">
        <f>Segments!E205</f>
        <v/>
      </c>
      <c r="F24" s="18">
        <f>Segments!F205</f>
        <v/>
      </c>
    </row>
    <row r="25">
      <c r="A25" s="6" t="inlineStr">
        <is>
          <t>Services — EBITDA</t>
        </is>
      </c>
      <c r="B25" s="18">
        <f>Segments!B206</f>
        <v/>
      </c>
      <c r="C25" s="18">
        <f>Segments!C206</f>
        <v/>
      </c>
      <c r="D25" s="18">
        <f>Segments!D206</f>
        <v/>
      </c>
      <c r="E25" s="18">
        <f>Segments!E206</f>
        <v/>
      </c>
      <c r="F25" s="18">
        <f>Segments!F206</f>
        <v/>
      </c>
    </row>
    <row r="26">
      <c r="A26" s="6" t="inlineStr">
        <is>
          <t>Integrated Logistics — share of depreciation and amortisation</t>
        </is>
      </c>
      <c r="B26" s="33">
        <f>-B8*(Assumptions!$C$141+Assumptions!$C$142+Assumptions!$C$143)/(Assumptions!$C$141+Assumptions!$C$142+Assumptions!$C$143+Assumptions!$C$144+Assumptions!$C$145+Assumptions!$C$146+Assumptions!$C$147)</f>
        <v/>
      </c>
      <c r="C26" s="33">
        <f>-C8*(Assumptions!$C$141+Assumptions!$C$142+Assumptions!$C$143)/(Assumptions!$C$141+Assumptions!$C$142+Assumptions!$C$143+Assumptions!$C$144+Assumptions!$C$145+Assumptions!$C$146+Assumptions!$C$147)</f>
        <v/>
      </c>
      <c r="D26" s="33">
        <f>-D8*(Assumptions!$C$141+Assumptions!$C$142+Assumptions!$C$143)/(Assumptions!$C$141+Assumptions!$C$142+Assumptions!$C$143+Assumptions!$C$144+Assumptions!$C$145+Assumptions!$C$146+Assumptions!$C$147)</f>
        <v/>
      </c>
      <c r="E26" s="33">
        <f>-E8*(Assumptions!$C$141+Assumptions!$C$142+Assumptions!$C$143)/(Assumptions!$C$141+Assumptions!$C$142+Assumptions!$C$143+Assumptions!$C$144+Assumptions!$C$145+Assumptions!$C$146+Assumptions!$C$147)</f>
        <v/>
      </c>
      <c r="F26" s="33">
        <f>-F8*(Assumptions!$C$141+Assumptions!$C$142+Assumptions!$C$143)/(Assumptions!$C$141+Assumptions!$C$142+Assumptions!$C$143+Assumptions!$C$144+Assumptions!$C$145+Assumptions!$C$146+Assumptions!$C$147)</f>
        <v/>
      </c>
    </row>
    <row r="27">
      <c r="A27" s="6" t="inlineStr">
        <is>
          <t>Shipping — share of depreciation and amortisation</t>
        </is>
      </c>
      <c r="B27" s="33">
        <f>-B8*(Assumptions!$C$144+Assumptions!$C$145+Assumptions!$C$146)/(Assumptions!$C$141+Assumptions!$C$142+Assumptions!$C$143+Assumptions!$C$144+Assumptions!$C$145+Assumptions!$C$146+Assumptions!$C$147)</f>
        <v/>
      </c>
      <c r="C27" s="33">
        <f>-C8*(Assumptions!$C$144+Assumptions!$C$145+Assumptions!$C$146)/(Assumptions!$C$141+Assumptions!$C$142+Assumptions!$C$143+Assumptions!$C$144+Assumptions!$C$145+Assumptions!$C$146+Assumptions!$C$147)</f>
        <v/>
      </c>
      <c r="D27" s="33">
        <f>-D8*(Assumptions!$C$144+Assumptions!$C$145+Assumptions!$C$146)/(Assumptions!$C$141+Assumptions!$C$142+Assumptions!$C$143+Assumptions!$C$144+Assumptions!$C$145+Assumptions!$C$146+Assumptions!$C$147)</f>
        <v/>
      </c>
      <c r="E27" s="33">
        <f>-E8*(Assumptions!$C$144+Assumptions!$C$145+Assumptions!$C$146)/(Assumptions!$C$141+Assumptions!$C$142+Assumptions!$C$143+Assumptions!$C$144+Assumptions!$C$145+Assumptions!$C$146+Assumptions!$C$147)</f>
        <v/>
      </c>
      <c r="F27" s="33">
        <f>-F8*(Assumptions!$C$144+Assumptions!$C$145+Assumptions!$C$146)/(Assumptions!$C$141+Assumptions!$C$142+Assumptions!$C$143+Assumptions!$C$144+Assumptions!$C$145+Assumptions!$C$146+Assumptions!$C$147)</f>
        <v/>
      </c>
    </row>
    <row r="28">
      <c r="A28" s="6" t="inlineStr">
        <is>
          <t>Services — share of depreciation and amortisation</t>
        </is>
      </c>
      <c r="B28" s="33">
        <f>-B8*(Assumptions!$C$147)/(Assumptions!$C$141+Assumptions!$C$142+Assumptions!$C$143+Assumptions!$C$144+Assumptions!$C$145+Assumptions!$C$146+Assumptions!$C$147)</f>
        <v/>
      </c>
      <c r="C28" s="33">
        <f>-C8*(Assumptions!$C$147)/(Assumptions!$C$141+Assumptions!$C$142+Assumptions!$C$143+Assumptions!$C$144+Assumptions!$C$145+Assumptions!$C$146+Assumptions!$C$147)</f>
        <v/>
      </c>
      <c r="D28" s="33">
        <f>-D8*(Assumptions!$C$147)/(Assumptions!$C$141+Assumptions!$C$142+Assumptions!$C$143+Assumptions!$C$144+Assumptions!$C$145+Assumptions!$C$146+Assumptions!$C$147)</f>
        <v/>
      </c>
      <c r="E28" s="33">
        <f>-E8*(Assumptions!$C$147)/(Assumptions!$C$141+Assumptions!$C$142+Assumptions!$C$143+Assumptions!$C$144+Assumptions!$C$145+Assumptions!$C$146+Assumptions!$C$147)</f>
        <v/>
      </c>
      <c r="F28" s="33">
        <f>-F8*(Assumptions!$C$147)/(Assumptions!$C$141+Assumptions!$C$142+Assumptions!$C$143+Assumptions!$C$144+Assumptions!$C$145+Assumptions!$C$146+Assumptions!$C$147)</f>
        <v/>
      </c>
    </row>
    <row r="29">
      <c r="A29" s="6" t="inlineStr">
        <is>
          <t>Integrated Logistics — taxable profit</t>
        </is>
      </c>
      <c r="B29" s="33">
        <f>MAX(B23-B26,0)</f>
        <v/>
      </c>
      <c r="C29" s="33">
        <f>MAX(C23-C26,0)</f>
        <v/>
      </c>
      <c r="D29" s="33">
        <f>MAX(D23-D26,0)</f>
        <v/>
      </c>
      <c r="E29" s="33">
        <f>MAX(E23-E26,0)</f>
        <v/>
      </c>
      <c r="F29" s="33">
        <f>MAX(F23-F26,0)</f>
        <v/>
      </c>
    </row>
    <row r="30">
      <c r="A30" s="6" t="inlineStr">
        <is>
          <t>Shipping — taxable profit</t>
        </is>
      </c>
      <c r="B30" s="33">
        <f>MAX(B24-B27,0)</f>
        <v/>
      </c>
      <c r="C30" s="33">
        <f>MAX(C24-C27,0)</f>
        <v/>
      </c>
      <c r="D30" s="33">
        <f>MAX(D24-D27,0)</f>
        <v/>
      </c>
      <c r="E30" s="33">
        <f>MAX(E24-E27,0)</f>
        <v/>
      </c>
      <c r="F30" s="33">
        <f>MAX(F24-F27,0)</f>
        <v/>
      </c>
    </row>
    <row r="31">
      <c r="A31" s="6" t="inlineStr">
        <is>
          <t>Services — taxable profit</t>
        </is>
      </c>
      <c r="B31" s="33">
        <f>MAX(B25-B28,0)</f>
        <v/>
      </c>
      <c r="C31" s="33">
        <f>MAX(C25-C28,0)</f>
        <v/>
      </c>
      <c r="D31" s="33">
        <f>MAX(D25-D28,0)</f>
        <v/>
      </c>
      <c r="E31" s="33">
        <f>MAX(E25-E28,0)</f>
        <v/>
      </c>
      <c r="F31" s="33">
        <f>MAX(F25-F28,0)</f>
        <v/>
      </c>
    </row>
    <row r="32">
      <c r="A32" s="6" t="inlineStr">
        <is>
          <t>Integrated Logistics — tax charge at 9%</t>
        </is>
      </c>
      <c r="B32" s="33">
        <f>B29*Assumptions!$C$138</f>
        <v/>
      </c>
      <c r="C32" s="33">
        <f>C29*Assumptions!$C$138</f>
        <v/>
      </c>
      <c r="D32" s="33">
        <f>D29*Assumptions!$C$138</f>
        <v/>
      </c>
      <c r="E32" s="33">
        <f>E29*Assumptions!$C$138</f>
        <v/>
      </c>
      <c r="F32" s="33">
        <f>F29*Assumptions!$C$138</f>
        <v/>
      </c>
    </row>
    <row r="33">
      <c r="A33" s="6" t="inlineStr">
        <is>
          <t>Shipping — tax charge at 1%</t>
        </is>
      </c>
      <c r="B33" s="33">
        <f>B30*Assumptions!$C$139</f>
        <v/>
      </c>
      <c r="C33" s="33">
        <f>C30*Assumptions!$C$139</f>
        <v/>
      </c>
      <c r="D33" s="33">
        <f>D30*Assumptions!$C$139</f>
        <v/>
      </c>
      <c r="E33" s="33">
        <f>E30*Assumptions!$C$139</f>
        <v/>
      </c>
      <c r="F33" s="33">
        <f>F30*Assumptions!$C$139</f>
        <v/>
      </c>
    </row>
    <row r="34">
      <c r="A34" s="6" t="inlineStr">
        <is>
          <t>Services — tax charge at 4%</t>
        </is>
      </c>
      <c r="B34" s="33">
        <f>B31*Assumptions!$C$140</f>
        <v/>
      </c>
      <c r="C34" s="33">
        <f>C31*Assumptions!$C$140</f>
        <v/>
      </c>
      <c r="D34" s="33">
        <f>D31*Assumptions!$C$140</f>
        <v/>
      </c>
      <c r="E34" s="33">
        <f>E31*Assumptions!$C$140</f>
        <v/>
      </c>
      <c r="F34" s="33">
        <f>F31*Assumptions!$C$140</f>
        <v/>
      </c>
    </row>
    <row r="35">
      <c r="A35" s="14" t="inlineStr">
        <is>
          <t>Tax on operating profit</t>
        </is>
      </c>
      <c r="B35" s="39">
        <f>SUM(B32:B34)</f>
        <v/>
      </c>
      <c r="C35" s="39">
        <f>SUM(C32:C34)</f>
        <v/>
      </c>
      <c r="D35" s="39">
        <f>SUM(D32:D34)</f>
        <v/>
      </c>
      <c r="E35" s="39">
        <f>SUM(E32:E34)</f>
        <v/>
      </c>
      <c r="F35" s="39">
        <f>SUM(F32:F34)</f>
        <v/>
      </c>
    </row>
    <row r="36">
      <c r="A36" s="6" t="inlineStr">
        <is>
          <t>Effective tax rate on operating profit</t>
        </is>
      </c>
      <c r="B36" s="50">
        <f>B35/B9</f>
        <v/>
      </c>
      <c r="C36" s="50">
        <f>C35/C9</f>
        <v/>
      </c>
      <c r="D36" s="50">
        <f>D35/D9</f>
        <v/>
      </c>
      <c r="E36" s="50">
        <f>E35/E9</f>
        <v/>
      </c>
      <c r="F36" s="50">
        <f>F35/F9</f>
        <v/>
      </c>
    </row>
    <row r="38">
      <c r="A38" s="11" t="inlineStr">
        <is>
          <t>TERMINAL VALUE AND THE BRIDGE TO EQUITY</t>
        </is>
      </c>
      <c r="B38" s="14" t="n"/>
      <c r="C38" s="14" t="n"/>
      <c r="D38" s="14" t="n"/>
      <c r="E38" s="14" t="n"/>
      <c r="F38" s="14" t="n"/>
    </row>
    <row r="39">
      <c r="A39" s="6" t="inlineStr">
        <is>
          <t>Terminal growth</t>
        </is>
      </c>
      <c r="C39" s="8">
        <f>Assumptions!$C$164</f>
        <v/>
      </c>
    </row>
    <row r="40">
      <c r="A40" s="6" t="inlineStr">
        <is>
          <t>Terminal invested capital</t>
        </is>
      </c>
      <c r="C40" s="18">
        <f>'Balance Sheet'!I26</f>
        <v/>
      </c>
    </row>
    <row r="41">
      <c r="A41" s="6" t="inlineStr">
        <is>
          <t>Terminal return on invested capital</t>
        </is>
      </c>
      <c r="C41" s="10">
        <f>F11/C40</f>
        <v/>
      </c>
    </row>
    <row r="42">
      <c r="A42" s="6" t="inlineStr">
        <is>
          <t>Required reinvestment rate — terminal growth over the return on invested capital</t>
        </is>
      </c>
      <c r="C42" s="10">
        <f>C39/C41</f>
        <v/>
      </c>
    </row>
    <row r="43">
      <c r="A43" s="6" t="inlineStr">
        <is>
          <t>Terminal-year NOPAT grown one year</t>
        </is>
      </c>
      <c r="C43" s="33">
        <f>F11*(1+C39)</f>
        <v/>
      </c>
    </row>
    <row r="44">
      <c r="A44" s="6" t="inlineStr">
        <is>
          <t>Terminal value — grown NOPAT net of reinvestment, capitalised at the terminal rate</t>
        </is>
      </c>
      <c r="C44" s="33">
        <f>C43*(1-C42)/(C111-C39)</f>
        <v/>
      </c>
    </row>
    <row r="45">
      <c r="A45" s="6" t="inlineStr">
        <is>
          <t>Present value of the five forecast years</t>
        </is>
      </c>
      <c r="C45" s="33">
        <f>SUM(B20:F20)</f>
        <v/>
      </c>
    </row>
    <row r="46">
      <c r="A46" s="6" t="inlineStr">
        <is>
          <t>Present value of the terminal value</t>
        </is>
      </c>
      <c r="C46" s="33">
        <f>C44*F19</f>
        <v/>
      </c>
    </row>
    <row r="47">
      <c r="A47" s="6" t="inlineStr">
        <is>
          <t>Enterprise value of operations</t>
        </is>
      </c>
      <c r="C47" s="33">
        <f>C45+C46</f>
        <v/>
      </c>
    </row>
    <row r="48">
      <c r="A48" s="6" t="inlineStr">
        <is>
          <t>Terminal value as a share of enterprise value</t>
        </is>
      </c>
      <c r="C48" s="10">
        <f>C46/C47</f>
        <v/>
      </c>
    </row>
    <row r="49">
      <c r="A49" s="6" t="inlineStr">
        <is>
          <t>Plus joint ventures and associates at carrying value</t>
        </is>
      </c>
      <c r="C49" s="18">
        <f>Assumptions!$C$157</f>
        <v/>
      </c>
    </row>
    <row r="50">
      <c r="A50" s="6" t="inlineStr">
        <is>
          <t>Enterprise value</t>
        </is>
      </c>
      <c r="C50" s="35">
        <f>C47+C49</f>
        <v/>
      </c>
    </row>
    <row r="51">
      <c r="A51" s="6" t="inlineStr">
        <is>
          <t>Less net debt at 31 March 2026</t>
        </is>
      </c>
      <c r="C51" s="18">
        <f>-Assumptions!$C$150</f>
        <v/>
      </c>
    </row>
    <row r="52">
      <c r="A52" s="6" t="inlineStr">
        <is>
          <t>Less deferred consideration on acquisitions</t>
        </is>
      </c>
      <c r="C52" s="18">
        <f>-Assumptions!$C$151</f>
        <v/>
      </c>
    </row>
    <row r="53">
      <c r="A53" s="6" t="inlineStr">
        <is>
          <t>Less the eleven vessels bought on 7 August 2026 — committed and funded, so their price is carried here and their earnings are in the forecast above</t>
        </is>
      </c>
      <c r="C53" s="18">
        <f>-Assumptions!$C$82</f>
        <v/>
      </c>
    </row>
    <row r="54">
      <c r="A54" s="6" t="inlineStr">
        <is>
          <t>Less perpetual capital securities at carrying value</t>
        </is>
      </c>
      <c r="C54" s="18">
        <f>-Assumptions!$C$152</f>
        <v/>
      </c>
    </row>
    <row r="55">
      <c r="A55" s="6" t="inlineStr">
        <is>
          <t>Equity value before the minorities</t>
        </is>
      </c>
      <c r="C55" s="33">
        <f>C50+C51+C52+C53+C54</f>
        <v/>
      </c>
    </row>
    <row r="56">
      <c r="A56" s="6" t="inlineStr">
        <is>
          <t>Minorities arising on the tanker combination — 20% CONTRACTED for purchase in mid-2027, whose price already sits in the bridge above as deferred consideration, so it is deducted at that contracted price, not at a share of value</t>
        </is>
      </c>
      <c r="C56" s="18">
        <f>Assumptions!$C$155</f>
        <v/>
      </c>
    </row>
    <row r="57">
      <c r="A57" s="6" t="inlineStr">
        <is>
          <t>The remaining minorities at carrying value</t>
        </is>
      </c>
      <c r="C57" s="33">
        <f>Assumptions!$C$154-C56</f>
        <v/>
      </c>
    </row>
    <row r="58">
      <c r="A58" s="6" t="inlineStr">
        <is>
          <t>Their share of profit — the profit share scaled to their share of the carried minority balance</t>
        </is>
      </c>
      <c r="C58" s="50">
        <f>Assumptions!$C$156*C57/Assumptions!$C$154</f>
        <v/>
      </c>
    </row>
    <row r="59">
      <c r="A59" s="6" t="inlineStr">
        <is>
          <t>Less non-controlling interests — the contracted slice at its contracted price, the rest at the greater of book and value</t>
        </is>
      </c>
      <c r="C59" s="33">
        <f>-(C56+MAX(C57,C55*C58))</f>
        <v/>
      </c>
    </row>
    <row r="60">
      <c r="A60" s="14" t="inlineStr">
        <is>
          <t>Equity attributable to ordinary shareholders</t>
        </is>
      </c>
      <c r="B60" s="14" t="n"/>
      <c r="C60" s="39">
        <f>C55+C59</f>
        <v/>
      </c>
      <c r="D60" s="14" t="n"/>
    </row>
    <row r="61">
      <c r="A61" s="6" t="inlineStr">
        <is>
          <t>Fair value per share (USD)</t>
        </is>
      </c>
      <c r="C61" s="9">
        <f>C60/Assumptions!$C$6/1000</f>
        <v/>
      </c>
    </row>
    <row r="62">
      <c r="A62" s="14" t="inlineStr">
        <is>
          <t>Fair value per share (AED)</t>
        </is>
      </c>
      <c r="B62" s="14" t="n"/>
      <c r="C62" s="15">
        <f>C61*Assumptions!$C$7</f>
        <v/>
      </c>
      <c r="D62" s="14" t="n"/>
    </row>
    <row r="63">
      <c r="A63" s="11" t="inlineStr">
        <is>
          <t>COST OF EQUITY — BUILT HERE, NOT ASSUMED</t>
        </is>
      </c>
      <c r="B63" s="14" t="n"/>
      <c r="C63" s="14" t="n"/>
      <c r="D63" s="14" t="n"/>
      <c r="E63" s="14" t="n"/>
      <c r="F63" s="14" t="n"/>
    </row>
    <row r="64">
      <c r="A64" s="6" t="inlineStr">
        <is>
          <t>Observed government bond yield (dirham tranche, January 2031)</t>
        </is>
      </c>
      <c r="C64" s="19">
        <f>Assumptions!$C$12</f>
        <v/>
      </c>
    </row>
    <row r="65">
      <c r="A65" s="6" t="inlineStr">
        <is>
          <t>Less sovereign default spread — country risk enters once, through the premium</t>
        </is>
      </c>
      <c r="C65" s="19">
        <f>Assumptions!$C$13</f>
        <v/>
      </c>
    </row>
    <row r="66">
      <c r="A66" s="6" t="inlineStr">
        <is>
          <t>Normalised risk-free rate</t>
        </is>
      </c>
      <c r="C66" s="50">
        <f>C64-C65</f>
        <v/>
      </c>
    </row>
    <row r="67">
      <c r="A67" s="6" t="inlineStr">
        <is>
          <t>Beta — own-stock weekly regression against its local index</t>
        </is>
      </c>
      <c r="C67" s="23">
        <f>Assumptions!$C$14</f>
        <v/>
      </c>
    </row>
    <row r="68">
      <c r="A68" s="6" t="inlineStr">
        <is>
          <t>Equity risk premium</t>
        </is>
      </c>
      <c r="C68" s="19">
        <f>Assumptions!$C$19</f>
        <v/>
      </c>
    </row>
    <row r="69">
      <c r="A69" s="14" t="inlineStr">
        <is>
          <t>Cost of equity</t>
        </is>
      </c>
      <c r="B69" s="14" t="n"/>
      <c r="C69" s="51">
        <f>C66+C67*C68</f>
        <v/>
      </c>
      <c r="D69" s="14" t="n"/>
    </row>
    <row r="71">
      <c r="A71" s="11" t="inlineStr">
        <is>
          <t>COST OF DEBT — THREE CONSTRUCTIONS, AVERAGED HERE</t>
        </is>
      </c>
      <c r="B71" s="14" t="n"/>
      <c r="C71" s="14" t="n"/>
      <c r="D71" s="14" t="n"/>
      <c r="E71" s="14" t="n"/>
      <c r="F71" s="14" t="n"/>
    </row>
    <row r="72">
      <c r="A72" s="6" t="inlineStr">
        <is>
          <t>Secured overnight financing rate</t>
        </is>
      </c>
      <c r="C72" s="19">
        <f>Assumptions!$C$24</f>
        <v/>
      </c>
    </row>
    <row r="73">
      <c r="A73" s="6" t="inlineStr">
        <is>
          <t>Parent revolving credit facility margin</t>
        </is>
      </c>
      <c r="C73" s="19">
        <f>Assumptions!$C$25</f>
        <v/>
      </c>
    </row>
    <row r="74">
      <c r="A74" s="6" t="inlineStr">
        <is>
          <t>METHOD 1 — parent revolving facility rate drawn January 2026</t>
        </is>
      </c>
      <c r="C74" s="50">
        <f>C72+C73</f>
        <v/>
      </c>
    </row>
    <row r="75">
      <c r="A75" s="6" t="inlineStr">
        <is>
          <t>Third-party bank loans — low end of the disclosed range</t>
        </is>
      </c>
      <c r="C75" s="19">
        <f>Assumptions!$C$26</f>
        <v/>
      </c>
    </row>
    <row r="76">
      <c r="A76" s="6" t="inlineStr">
        <is>
          <t>Third-party bank loans — high end of the disclosed range</t>
        </is>
      </c>
      <c r="C76" s="19">
        <f>Assumptions!$C$27</f>
        <v/>
      </c>
    </row>
    <row r="77">
      <c r="A77" s="6" t="inlineStr">
        <is>
          <t>Bank-loan midpoint</t>
        </is>
      </c>
      <c r="C77" s="50">
        <f>(C75+C76)/2</f>
        <v/>
      </c>
    </row>
    <row r="78">
      <c r="A78" s="6" t="inlineStr">
        <is>
          <t>Other third-party borrowings — low end of the disclosed range</t>
        </is>
      </c>
      <c r="C78" s="19">
        <f>Assumptions!$C$28</f>
        <v/>
      </c>
    </row>
    <row r="79">
      <c r="A79" s="6" t="inlineStr">
        <is>
          <t>Other third-party borrowings — high end of the disclosed range</t>
        </is>
      </c>
      <c r="C79" s="19">
        <f>Assumptions!$C$29</f>
        <v/>
      </c>
    </row>
    <row r="80">
      <c r="A80" s="6" t="inlineStr">
        <is>
          <t>Other-borrowings midpoint</t>
        </is>
      </c>
      <c r="C80" s="50">
        <f>(C78+C79)/2</f>
        <v/>
      </c>
    </row>
    <row r="81">
      <c r="A81" s="6" t="inlineStr">
        <is>
          <t>Third-party blended rate — the two midpoints averaged</t>
        </is>
      </c>
      <c r="C81" s="50">
        <f>(C77+C80)/2</f>
        <v/>
      </c>
    </row>
    <row r="82">
      <c r="A82" s="6" t="inlineStr">
        <is>
          <t>Lease interest charged in 2025 (USD 000)</t>
        </is>
      </c>
      <c r="C82" s="18">
        <f>Assumptions!$C$30</f>
        <v/>
      </c>
    </row>
    <row r="83">
      <c r="A83" s="6" t="inlineStr">
        <is>
          <t>Lease liabilities, opening balance (USD 000)</t>
        </is>
      </c>
      <c r="C83" s="18">
        <f>Assumptions!$C$31</f>
        <v/>
      </c>
    </row>
    <row r="84">
      <c r="A84" s="6" t="inlineStr">
        <is>
          <t>Lease liabilities, closing balance (USD 000)</t>
        </is>
      </c>
      <c r="C84" s="18">
        <f>Assumptions!$C$32</f>
        <v/>
      </c>
    </row>
    <row r="85">
      <c r="A85" s="6" t="inlineStr">
        <is>
          <t>Implied lease borrowing rate — interest over the average balance</t>
        </is>
      </c>
      <c r="C85" s="50">
        <f>C82/((C83+C84)/2)</f>
        <v/>
      </c>
    </row>
    <row r="86">
      <c r="A86" s="6" t="inlineStr">
        <is>
          <t>Shareholder loan at 31 March 2026 (USD 000)</t>
        </is>
      </c>
      <c r="C86" s="18">
        <f>Assumptions!$C$33</f>
        <v/>
      </c>
    </row>
    <row r="87">
      <c r="A87" s="6" t="inlineStr">
        <is>
          <t>Third-party borrowings at 31 March 2026 (USD 000)</t>
        </is>
      </c>
      <c r="C87" s="18">
        <f>Assumptions!$C$34</f>
        <v/>
      </c>
    </row>
    <row r="88">
      <c r="A88" s="6" t="inlineStr">
        <is>
          <t>Lease liabilities at 31 March 2026 (USD 000)</t>
        </is>
      </c>
      <c r="C88" s="18">
        <f>Assumptions!$C$35</f>
        <v/>
      </c>
    </row>
    <row r="89">
      <c r="A89" s="6" t="inlineStr">
        <is>
          <t>Borrowings at 31 March 2026 (USD 000)</t>
        </is>
      </c>
      <c r="C89" s="33">
        <f>C86+C87+C88</f>
        <v/>
      </c>
    </row>
    <row r="90">
      <c r="A90" s="6" t="inlineStr">
        <is>
          <t>METHOD 2 — the instruments actually outstanding, weighted by balance</t>
        </is>
      </c>
      <c r="C90" s="50">
        <f>(C86*C74+C87*C81+C88*C85)/C89</f>
        <v/>
      </c>
    </row>
    <row r="91">
      <c r="A91" s="6" t="inlineStr">
        <is>
          <t>METHOD 3 — the disclosed third-party bank-loan midpoint</t>
        </is>
      </c>
      <c r="C91" s="50">
        <f>C77</f>
        <v/>
      </c>
    </row>
    <row r="92">
      <c r="A92" s="14" t="inlineStr">
        <is>
          <t>Cost of debt — the three constructions averaged. This is a simple average of three independent readings, NOT a figure weighted by what is drawn; the weighted one is the line below</t>
        </is>
      </c>
      <c r="B92" s="14" t="n"/>
      <c r="C92" s="51">
        <f>AVERAGE(C74,C90,C91)</f>
        <v/>
      </c>
      <c r="D92" s="14" t="n"/>
    </row>
    <row r="93">
      <c r="A93" s="6" t="inlineStr">
        <is>
          <t>Memorandum — cost of debt on the balance-weighted construction alone (method 2), the only one of the three that is weighted by the instruments actually outstanding</t>
        </is>
      </c>
      <c r="C93" s="50">
        <f>C90</f>
        <v/>
      </c>
    </row>
    <row r="94">
      <c r="A94" s="6" t="inlineStr">
        <is>
          <t>Statutory corporate tax rate</t>
        </is>
      </c>
      <c r="C94" s="8">
        <f>Assumptions!$C$21</f>
        <v/>
      </c>
    </row>
    <row r="95">
      <c r="A95" s="6" t="inlineStr">
        <is>
          <t>Cost of debt after tax</t>
        </is>
      </c>
      <c r="C95" s="50">
        <f>C92*(1-C94)</f>
        <v/>
      </c>
    </row>
    <row r="96">
      <c r="A96" s="11" t="inlineStr">
        <is>
          <t>WEIGHTS AND THE COST OF CAPITAL — EQUITY, DEBT AND THE PERPETUAL SECURITIES</t>
        </is>
      </c>
      <c r="B96" s="14" t="n"/>
      <c r="C96" s="14" t="n"/>
      <c r="D96" s="14" t="n"/>
      <c r="E96" s="14" t="n"/>
      <c r="F96" s="14" t="n"/>
    </row>
    <row r="97">
      <c r="A97" s="6" t="inlineStr">
        <is>
          <t>Market capitalisation (USD 000)</t>
        </is>
      </c>
      <c r="C97" s="33">
        <f>Assumptions!$C$5/Assumptions!$C$7*Assumptions!$C$6*1000</f>
        <v/>
      </c>
    </row>
    <row r="98">
      <c r="A98" s="6" t="inlineStr">
        <is>
          <t>Borrowings at 31 March 2026 (USD 000)</t>
        </is>
      </c>
      <c r="C98" s="33">
        <f>C89</f>
        <v/>
      </c>
    </row>
    <row r="99">
      <c r="A99" s="6" t="inlineStr">
        <is>
          <t>Perpetual capital securities at carrying value (USD 000)</t>
        </is>
      </c>
      <c r="C99" s="18">
        <f>Assumptions!$C$152</f>
        <v/>
      </c>
    </row>
    <row r="100">
      <c r="A100" s="6" t="inlineStr">
        <is>
          <t>Total capital (USD 000)</t>
        </is>
      </c>
      <c r="C100" s="33">
        <f>C97+C98+C99</f>
        <v/>
      </c>
    </row>
    <row r="101">
      <c r="A101" s="6" t="inlineStr">
        <is>
          <t>Equity weight — market capitalisation over the total</t>
        </is>
      </c>
      <c r="C101" s="50">
        <f>C97/C100</f>
        <v/>
      </c>
    </row>
    <row r="102">
      <c r="A102" s="6" t="inlineStr">
        <is>
          <t>Debt weight</t>
        </is>
      </c>
      <c r="C102" s="50">
        <f>C98/C100</f>
        <v/>
      </c>
    </row>
    <row r="103">
      <c r="A103" s="6" t="inlineStr">
        <is>
          <t>Perpetual capital securities weight</t>
        </is>
      </c>
      <c r="C103" s="50">
        <f>C99/C100</f>
        <v/>
      </c>
    </row>
    <row r="104">
      <c r="A104" s="6" t="inlineStr">
        <is>
          <t>Cost of the perpetual capital securities — their own coupon. It is not tax-deductible, because it is an equity distribution, so it is not taxed down</t>
        </is>
      </c>
      <c r="C104" s="50">
        <f>C72+Assumptions!$C$153</f>
        <v/>
      </c>
    </row>
    <row r="105">
      <c r="A105" s="14" t="inlineStr">
        <is>
          <t>Cost of capital — explicit window</t>
        </is>
      </c>
      <c r="B105" s="14" t="n"/>
      <c r="C105" s="51">
        <f>C101*C69+C102*C95+C103*C104</f>
        <v/>
      </c>
      <c r="D105" s="14" t="n"/>
    </row>
    <row r="106">
      <c r="A106" s="6" t="inlineStr">
        <is>
          <t>Terminal risk-free rate</t>
        </is>
      </c>
      <c r="C106" s="19">
        <f>Assumptions!$C$20</f>
        <v/>
      </c>
    </row>
    <row r="107">
      <c r="A107" s="6" t="inlineStr">
        <is>
          <t>Terminal cost of equity</t>
        </is>
      </c>
      <c r="C107" s="50">
        <f>C106+C67*C68</f>
        <v/>
      </c>
    </row>
    <row r="108">
      <c r="A108" s="6" t="inlineStr">
        <is>
          <t>Terminal cost of debt — the same spread over the terminal rate</t>
        </is>
      </c>
      <c r="C108" s="50">
        <f>C106+(C92-C66)</f>
        <v/>
      </c>
    </row>
    <row r="109">
      <c r="A109" s="6" t="inlineStr">
        <is>
          <t>Terminal cost of debt after tax</t>
        </is>
      </c>
      <c r="C109" s="50">
        <f>C108*(1-C94)</f>
        <v/>
      </c>
    </row>
    <row r="110">
      <c r="A110" s="6" t="inlineStr">
        <is>
          <t>Terminal cost of the perpetual securities — the coupon floats, so it normalises with the risk-free rate</t>
        </is>
      </c>
      <c r="C110" s="50">
        <f>C106+Assumptions!$C$153</f>
        <v/>
      </c>
    </row>
    <row r="111">
      <c r="A111" s="14" t="inlineStr">
        <is>
          <t>Terminal cost of capital</t>
        </is>
      </c>
      <c r="B111" s="14" t="n"/>
      <c r="C111" s="51">
        <f>C101*C107+C102*C109+C103*C110</f>
        <v/>
      </c>
      <c r="D111" s="14" t="n"/>
    </row>
    <row r="112">
      <c r="A112" s="4" t="inlineStr">
        <is>
          <t>The perpetual capital securities are deducted in the equity bridge above as a claim ranking ahead of the ordinary shares. A claim that is deducted from enterprise value must also be weighted in the cost of capital at its own cost — those are two halves of one treatment, not a double count.</t>
        </is>
      </c>
    </row>
    <row r="113">
      <c r="A113" s="11" t="inlineStr">
        <is>
          <t>THE CONTESTED JUDGEMENT — THE SAME MODEL ON THE COMPOSITE-INDEX BETA</t>
        </is>
      </c>
      <c r="B113" s="14" t="n"/>
      <c r="C113" s="14" t="n"/>
      <c r="D113" s="14" t="n"/>
      <c r="E113" s="14" t="n"/>
      <c r="F113" s="14" t="n"/>
    </row>
    <row r="114">
      <c r="A114" s="6" t="inlineStr">
        <is>
          <t>Beta against an equal-weight composite of the exchange's names — the disclosed alternative construction</t>
        </is>
      </c>
      <c r="C114" s="23">
        <f>Assumptions!$C$15</f>
        <v/>
      </c>
    </row>
    <row r="115">
      <c r="A115" s="6" t="inlineStr">
        <is>
          <t>Cost of equity on the composite-index beta</t>
        </is>
      </c>
      <c r="C115" s="50">
        <f>C66+C114*C68</f>
        <v/>
      </c>
    </row>
    <row r="116">
      <c r="A116" s="6" t="inlineStr">
        <is>
          <t>Terminal cost of equity on the composite-index beta</t>
        </is>
      </c>
      <c r="C116" s="50">
        <f>C106+C114*C68</f>
        <v/>
      </c>
    </row>
    <row r="117">
      <c r="A117" s="6" t="inlineStr">
        <is>
          <t>Cost of capital — explicit window, composite-index beta. Only the cost of EQUITY changes: the same three tranches of capital are carried, because how the market is measured does not change what the company is financed with</t>
        </is>
      </c>
      <c r="C117" s="50">
        <f>C101*C115+C102*C95+C103*C104</f>
        <v/>
      </c>
    </row>
    <row r="118">
      <c r="A118" s="6" t="inlineStr">
        <is>
          <t>Terminal cost of capital, composite-index beta</t>
        </is>
      </c>
      <c r="C118" s="50">
        <f>C101*C116+C102*C109+C103*C110</f>
        <v/>
      </c>
    </row>
    <row r="120">
      <c r="A120" s="11" t="inlineStr">
        <is>
          <t>HOW PRECISE THE PRIMARY BETA IS — THE INTERVAL AROUND IT, PRICED</t>
        </is>
      </c>
      <c r="B120" s="14" t="n"/>
      <c r="C120" s="14" t="n"/>
      <c r="D120" s="14" t="n"/>
      <c r="E120" s="14" t="n"/>
      <c r="F120" s="14" t="n"/>
    </row>
    <row r="121">
      <c r="A121" s="6" t="inlineStr">
        <is>
          <t>Beta — lower bound of the 90% confidence interval on the primary regression</t>
        </is>
      </c>
      <c r="C121" s="23">
        <f>Assumptions!$C$16</f>
        <v/>
      </c>
    </row>
    <row r="122">
      <c r="A122" s="6" t="inlineStr">
        <is>
          <t>Beta — upper bound of the 90% confidence interval on the primary regression</t>
        </is>
      </c>
      <c r="C122" s="23">
        <f>Assumptions!$C$17</f>
        <v/>
      </c>
    </row>
    <row r="123">
      <c r="A123" s="6" t="inlineStr">
        <is>
          <t>Cost of equity at the lower confidence bound — the bull-case discount rate</t>
        </is>
      </c>
      <c r="C123" s="50">
        <f>C66+C121*C68</f>
        <v/>
      </c>
    </row>
    <row r="124">
      <c r="A124" s="6" t="inlineStr">
        <is>
          <t>Cost of equity at the upper confidence bound — the bear-case discount rate</t>
        </is>
      </c>
      <c r="C124" s="50">
        <f>C66+C122*C68</f>
        <v/>
      </c>
    </row>
    <row r="125">
      <c r="A125" s="6" t="inlineStr">
        <is>
          <t>Beta — lead-lag sum beta, one lead and two lags</t>
        </is>
      </c>
      <c r="C125" s="23">
        <f>Assumptions!$C$18</f>
        <v/>
      </c>
    </row>
    <row r="126">
      <c r="A126" s="6" t="inlineStr">
        <is>
          <t>Cost of equity on the lead-lag sum beta</t>
        </is>
      </c>
      <c r="C126" s="50">
        <f>C66+C125*C68</f>
        <v/>
      </c>
    </row>
    <row r="128">
      <c r="A128" s="5" t="inlineStr">
        <is>
          <t>The same cash flows, discounted at the composite-index cost of capital</t>
        </is>
      </c>
      <c r="B128" s="5" t="inlineStr">
        <is>
          <t>FY2026E</t>
        </is>
      </c>
      <c r="C128" s="5" t="inlineStr">
        <is>
          <t>FY2027E</t>
        </is>
      </c>
      <c r="D128" s="5" t="inlineStr">
        <is>
          <t>FY2028E</t>
        </is>
      </c>
      <c r="E128" s="5" t="inlineStr">
        <is>
          <t>FY2029E</t>
        </is>
      </c>
      <c r="F128" s="5" t="inlineStr">
        <is>
          <t>FY2030E</t>
        </is>
      </c>
    </row>
    <row r="129">
      <c r="A129" s="6" t="inlineStr">
        <is>
          <t>Forward cost of capital — the glide</t>
        </is>
      </c>
      <c r="B129" s="50">
        <f>$C$117+($C$118-$C$117)*1/5</f>
        <v/>
      </c>
      <c r="C129" s="50">
        <f>$C$117+($C$118-$C$117)*2/5</f>
        <v/>
      </c>
      <c r="D129" s="50">
        <f>$C$117+($C$118-$C$117)*3/5</f>
        <v/>
      </c>
      <c r="E129" s="50">
        <f>$C$117+($C$118-$C$117)*4/5</f>
        <v/>
      </c>
      <c r="F129" s="50">
        <f>$C$117+($C$118-$C$117)*5/5</f>
        <v/>
      </c>
    </row>
    <row r="130">
      <c r="A130" s="6" t="inlineStr">
        <is>
          <t>Discount factor</t>
        </is>
      </c>
      <c r="B130" s="48">
        <f>1/(1+B129)^Assumptions!$C$8</f>
        <v/>
      </c>
      <c r="C130" s="48">
        <f>B130/(1+C129)</f>
        <v/>
      </c>
      <c r="D130" s="48">
        <f>C130/(1+D129)</f>
        <v/>
      </c>
      <c r="E130" s="48">
        <f>D130/(1+E129)</f>
        <v/>
      </c>
      <c r="F130" s="48">
        <f>E130/(1+F129)</f>
        <v/>
      </c>
    </row>
    <row r="131">
      <c r="A131" s="6" t="inlineStr">
        <is>
          <t>Present value of free cash flow</t>
        </is>
      </c>
      <c r="B131" s="33">
        <f>B17*B130</f>
        <v/>
      </c>
      <c r="C131" s="33">
        <f>C17*C130</f>
        <v/>
      </c>
      <c r="D131" s="33">
        <f>D17*D130</f>
        <v/>
      </c>
      <c r="E131" s="33">
        <f>E17*E130</f>
        <v/>
      </c>
      <c r="F131" s="33">
        <f>F17*F130</f>
        <v/>
      </c>
    </row>
    <row r="132">
      <c r="A132" s="6" t="inlineStr">
        <is>
          <t>Present value of the five forecast years</t>
        </is>
      </c>
      <c r="C132" s="33">
        <f>SUM(B131:F131)</f>
        <v/>
      </c>
    </row>
    <row r="133">
      <c r="A133" s="6" t="inlineStr">
        <is>
          <t>Terminal value</t>
        </is>
      </c>
      <c r="C133" s="33">
        <f>C43*(1-C42)/(C118-C39)</f>
        <v/>
      </c>
    </row>
    <row r="134">
      <c r="A134" s="6" t="inlineStr">
        <is>
          <t>Present value of the terminal value</t>
        </is>
      </c>
      <c r="C134" s="33">
        <f>C133*F130</f>
        <v/>
      </c>
    </row>
    <row r="135">
      <c r="A135" s="6" t="inlineStr">
        <is>
          <t>Enterprise value of operations</t>
        </is>
      </c>
      <c r="C135" s="33">
        <f>C132+C134</f>
        <v/>
      </c>
    </row>
    <row r="136">
      <c r="A136" s="6" t="inlineStr">
        <is>
          <t>Terminal value as a share of enterprise value</t>
        </is>
      </c>
      <c r="C136" s="10">
        <f>C134/C135</f>
        <v/>
      </c>
    </row>
    <row r="137">
      <c r="A137" s="6" t="inlineStr">
        <is>
          <t>Enterprise value</t>
        </is>
      </c>
      <c r="C137" s="33">
        <f>C135+C49</f>
        <v/>
      </c>
    </row>
    <row r="138">
      <c r="A138" s="6" t="inlineStr">
        <is>
          <t>Equity value before the minorities</t>
        </is>
      </c>
      <c r="C138" s="33">
        <f>C137+C51+C52+C53+C54</f>
        <v/>
      </c>
    </row>
    <row r="139">
      <c r="A139" s="6" t="inlineStr">
        <is>
          <t>Less non-controlling interests — the same two-part deduction</t>
        </is>
      </c>
      <c r="C139" s="33">
        <f>-(C56+MAX(C57,C138*C58))</f>
        <v/>
      </c>
    </row>
    <row r="140">
      <c r="A140" s="6" t="inlineStr">
        <is>
          <t>Equity attributable to ordinary shareholders</t>
        </is>
      </c>
      <c r="C140" s="33">
        <f>C138+C139</f>
        <v/>
      </c>
    </row>
    <row r="141">
      <c r="A141" s="14" t="inlineStr">
        <is>
          <t>Fair value per share (AED) — composite-index beta</t>
        </is>
      </c>
      <c r="B141" s="14" t="n"/>
      <c r="C141" s="15">
        <f>C140/Assumptions!$C$6/1000*Assumptions!$C$7</f>
        <v/>
      </c>
      <c r="D141" s="14" t="n"/>
    </row>
    <row r="143">
      <c r="A143" s="4" t="inlineStr">
        <is>
          <t>The two readings above are carried side by side and are never averaged. They are the SAME regression of the same weekly returns; only the measure of the market differs. The published index of the exchange is what the method asks for and is the primary reading — it is weighted by size, and is therefore dominated by the same large-capitalisation group this company belongs to. The equal-weight composite gives the exchange's smallest names the same say as its largest and is the construction an earlier version of this study used; it is published beside the primary reading because a gap of this size is a fact about how the index is built, not about the company, and the reader is entitled to see it. The gap between the two is the single most consequential judgement in this study.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Income statement — three years audited, five years forecast</t>
        </is>
      </c>
      <c r="B1" s="2" t="n"/>
      <c r="C1" s="2" t="n"/>
      <c r="D1" s="2" t="n"/>
      <c r="E1" s="2" t="n"/>
      <c r="F1" s="2" t="n"/>
      <c r="G1" s="2" t="n"/>
      <c r="H1" s="2" t="n"/>
      <c r="I1" s="2" t="n"/>
    </row>
    <row r="2">
      <c r="A2" s="4" t="inlineStr">
        <is>
          <t>USD thousand, consolidated. History is the audited record; every forecast line is a formula.</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14" t="inlineStr">
        <is>
          <t>Revenue</t>
        </is>
      </c>
      <c r="B5" s="39">
        <f>Segments!B12</f>
        <v/>
      </c>
      <c r="C5" s="39">
        <f>Segments!C12</f>
        <v/>
      </c>
      <c r="D5" s="39">
        <f>Segments!D12</f>
        <v/>
      </c>
      <c r="E5" s="39">
        <f>DCF!B5</f>
        <v/>
      </c>
      <c r="F5" s="39">
        <f>DCF!C5</f>
        <v/>
      </c>
      <c r="G5" s="39">
        <f>DCF!D5</f>
        <v/>
      </c>
      <c r="H5" s="39">
        <f>DCF!E5</f>
        <v/>
      </c>
      <c r="I5" s="39">
        <f>DCF!F5</f>
        <v/>
      </c>
    </row>
    <row r="6">
      <c r="A6" s="6" t="inlineStr">
        <is>
          <t>Direct costs</t>
        </is>
      </c>
      <c r="B6" s="27" t="n">
        <v>-2003225</v>
      </c>
      <c r="C6" s="27" t="n">
        <v>-2608784</v>
      </c>
      <c r="D6" s="27" t="n">
        <v>-3908236</v>
      </c>
      <c r="E6" s="33" t="inlineStr">
        <is>
          <t>-</t>
        </is>
      </c>
      <c r="F6" s="33" t="inlineStr">
        <is>
          <t>-</t>
        </is>
      </c>
      <c r="G6" s="33" t="inlineStr">
        <is>
          <t>-</t>
        </is>
      </c>
      <c r="H6" s="33" t="inlineStr">
        <is>
          <t>-</t>
        </is>
      </c>
      <c r="I6" s="33" t="inlineStr">
        <is>
          <t>-</t>
        </is>
      </c>
    </row>
    <row r="7">
      <c r="A7" s="6" t="inlineStr">
        <is>
          <t>Gross profit</t>
        </is>
      </c>
      <c r="B7" s="33">
        <f>B5+B6</f>
        <v/>
      </c>
      <c r="C7" s="33">
        <f>C5+C6</f>
        <v/>
      </c>
      <c r="D7" s="33">
        <f>D5+D6</f>
        <v/>
      </c>
      <c r="E7" s="33" t="inlineStr">
        <is>
          <t>-</t>
        </is>
      </c>
      <c r="F7" s="33" t="inlineStr">
        <is>
          <t>-</t>
        </is>
      </c>
      <c r="G7" s="33" t="inlineStr">
        <is>
          <t>-</t>
        </is>
      </c>
      <c r="H7" s="33" t="inlineStr">
        <is>
          <t>-</t>
        </is>
      </c>
      <c r="I7" s="33" t="inlineStr">
        <is>
          <t>-</t>
        </is>
      </c>
    </row>
    <row r="8">
      <c r="A8" s="6" t="inlineStr">
        <is>
          <t>General and administrative expenses</t>
        </is>
      </c>
      <c r="B8" s="27" t="n">
        <v>-146436</v>
      </c>
      <c r="C8" s="27" t="n">
        <v>-141522</v>
      </c>
      <c r="D8" s="27" t="n">
        <v>-204983</v>
      </c>
      <c r="E8" s="33" t="inlineStr">
        <is>
          <t>-</t>
        </is>
      </c>
      <c r="F8" s="33" t="inlineStr">
        <is>
          <t>-</t>
        </is>
      </c>
      <c r="G8" s="33" t="inlineStr">
        <is>
          <t>-</t>
        </is>
      </c>
      <c r="H8" s="33" t="inlineStr">
        <is>
          <t>-</t>
        </is>
      </c>
      <c r="I8" s="33" t="inlineStr">
        <is>
          <t>-</t>
        </is>
      </c>
    </row>
    <row r="9">
      <c r="A9" s="6" t="inlineStr">
        <is>
          <t>Expected credit losses</t>
        </is>
      </c>
      <c r="B9" s="27" t="n">
        <v>-2672</v>
      </c>
      <c r="C9" s="27" t="n">
        <v>2649</v>
      </c>
      <c r="D9" s="27" t="n">
        <v>-9590</v>
      </c>
      <c r="E9" s="33" t="inlineStr">
        <is>
          <t>-</t>
        </is>
      </c>
      <c r="F9" s="33" t="inlineStr">
        <is>
          <t>-</t>
        </is>
      </c>
      <c r="G9" s="33" t="inlineStr">
        <is>
          <t>-</t>
        </is>
      </c>
      <c r="H9" s="33" t="inlineStr">
        <is>
          <t>-</t>
        </is>
      </c>
      <c r="I9" s="33" t="inlineStr">
        <is>
          <t>-</t>
        </is>
      </c>
    </row>
    <row r="10">
      <c r="A10" s="6" t="inlineStr">
        <is>
          <t>Other income</t>
        </is>
      </c>
      <c r="B10" s="27" t="n">
        <v>10865</v>
      </c>
      <c r="C10" s="27" t="n">
        <v>19896</v>
      </c>
      <c r="D10" s="27" t="n">
        <v>50459</v>
      </c>
      <c r="E10" s="33" t="inlineStr">
        <is>
          <t>-</t>
        </is>
      </c>
      <c r="F10" s="33" t="inlineStr">
        <is>
          <t>-</t>
        </is>
      </c>
      <c r="G10" s="33" t="inlineStr">
        <is>
          <t>-</t>
        </is>
      </c>
      <c r="H10" s="33" t="inlineStr">
        <is>
          <t>-</t>
        </is>
      </c>
      <c r="I10" s="33" t="inlineStr">
        <is>
          <t>-</t>
        </is>
      </c>
    </row>
    <row r="11">
      <c r="A11" s="6" t="inlineStr">
        <is>
          <t>Other expenses</t>
        </is>
      </c>
      <c r="B11" s="27" t="n">
        <v>0</v>
      </c>
      <c r="C11" s="27" t="n">
        <v>-4310</v>
      </c>
      <c r="D11" s="27" t="n">
        <v>0</v>
      </c>
      <c r="E11" s="33" t="inlineStr">
        <is>
          <t>-</t>
        </is>
      </c>
      <c r="F11" s="33" t="inlineStr">
        <is>
          <t>-</t>
        </is>
      </c>
      <c r="G11" s="33" t="inlineStr">
        <is>
          <t>-</t>
        </is>
      </c>
      <c r="H11" s="33" t="inlineStr">
        <is>
          <t>-</t>
        </is>
      </c>
      <c r="I11" s="33" t="inlineStr">
        <is>
          <t>-</t>
        </is>
      </c>
    </row>
    <row r="12">
      <c r="A12" s="14" t="inlineStr">
        <is>
          <t>Operating profit</t>
        </is>
      </c>
      <c r="B12" s="39">
        <f>B7+B8+B9+B10+B11</f>
        <v/>
      </c>
      <c r="C12" s="39">
        <f>C7+C8+C9+C10+C11</f>
        <v/>
      </c>
      <c r="D12" s="39">
        <f>D7+D8+D9+D10+D11</f>
        <v/>
      </c>
      <c r="E12" s="39">
        <f>E14-E13</f>
        <v/>
      </c>
      <c r="F12" s="39">
        <f>F14-F13</f>
        <v/>
      </c>
      <c r="G12" s="39">
        <f>G14-G13</f>
        <v/>
      </c>
      <c r="H12" s="39">
        <f>H14-H13</f>
        <v/>
      </c>
      <c r="I12" s="39">
        <f>I14-I13</f>
        <v/>
      </c>
    </row>
    <row r="13">
      <c r="A13" s="6" t="inlineStr">
        <is>
          <t>Depreciation and amortisation</t>
        </is>
      </c>
      <c r="B13" s="27" t="n">
        <v>248526</v>
      </c>
      <c r="C13" s="27" t="n">
        <v>317339</v>
      </c>
      <c r="D13" s="27" t="n">
        <v>524809</v>
      </c>
      <c r="E13" s="18">
        <f>'Balance Sheet'!B39</f>
        <v/>
      </c>
      <c r="F13" s="18">
        <f>'Balance Sheet'!C39</f>
        <v/>
      </c>
      <c r="G13" s="18">
        <f>'Balance Sheet'!D39</f>
        <v/>
      </c>
      <c r="H13" s="18">
        <f>'Balance Sheet'!E39</f>
        <v/>
      </c>
      <c r="I13" s="18">
        <f>'Balance Sheet'!F39</f>
        <v/>
      </c>
    </row>
    <row r="14">
      <c r="A14" s="14" t="inlineStr">
        <is>
          <t>EBITDA (operating)</t>
        </is>
      </c>
      <c r="B14" s="39">
        <f>B12+B13</f>
        <v/>
      </c>
      <c r="C14" s="39">
        <f>C12+C13</f>
        <v/>
      </c>
      <c r="D14" s="39">
        <f>D12+D13</f>
        <v/>
      </c>
      <c r="E14" s="39">
        <f>DCF!B6</f>
        <v/>
      </c>
      <c r="F14" s="39">
        <f>DCF!C6</f>
        <v/>
      </c>
      <c r="G14" s="39">
        <f>DCF!D6</f>
        <v/>
      </c>
      <c r="H14" s="39">
        <f>DCF!E6</f>
        <v/>
      </c>
      <c r="I14" s="39">
        <f>DCF!F6</f>
        <v/>
      </c>
    </row>
    <row r="15">
      <c r="A15" s="6" t="inlineStr">
        <is>
          <t>Add share of joint ventures and one-off gains carried in reported EBITDA</t>
        </is>
      </c>
      <c r="B15" s="33">
        <f>B19+B20+B21</f>
        <v/>
      </c>
      <c r="C15" s="33">
        <f>C19+C20+C21</f>
        <v/>
      </c>
      <c r="D15" s="33">
        <f>D19+D20+D21</f>
        <v/>
      </c>
      <c r="E15" s="33" t="inlineStr">
        <is>
          <t>-</t>
        </is>
      </c>
      <c r="F15" s="33" t="inlineStr">
        <is>
          <t>-</t>
        </is>
      </c>
      <c r="G15" s="33" t="inlineStr">
        <is>
          <t>-</t>
        </is>
      </c>
      <c r="H15" s="33" t="inlineStr">
        <is>
          <t>-</t>
        </is>
      </c>
      <c r="I15" s="33" t="inlineStr">
        <is>
          <t>-</t>
        </is>
      </c>
    </row>
    <row r="16">
      <c r="A16" s="6" t="inlineStr">
        <is>
          <t>EBITDA as reported</t>
        </is>
      </c>
      <c r="B16" s="33">
        <f>B14+B15</f>
        <v/>
      </c>
      <c r="C16" s="33">
        <f>C14+C15</f>
        <v/>
      </c>
      <c r="D16" s="33">
        <f>D14+D15</f>
        <v/>
      </c>
      <c r="E16" s="33">
        <f>E14</f>
        <v/>
      </c>
      <c r="F16" s="33">
        <f>F14</f>
        <v/>
      </c>
      <c r="G16" s="33">
        <f>G14</f>
        <v/>
      </c>
      <c r="H16" s="33">
        <f>H14</f>
        <v/>
      </c>
      <c r="I16" s="33">
        <f>I14</f>
        <v/>
      </c>
    </row>
    <row r="17">
      <c r="A17" s="6" t="inlineStr">
        <is>
          <t>Total operating costs</t>
        </is>
      </c>
      <c r="B17" s="33">
        <f>B5-B14</f>
        <v/>
      </c>
      <c r="C17" s="33">
        <f>C5-C14</f>
        <v/>
      </c>
      <c r="D17" s="33">
        <f>D5-D14</f>
        <v/>
      </c>
      <c r="E17" s="33">
        <f>E5-E14</f>
        <v/>
      </c>
      <c r="F17" s="33">
        <f>F5-F14</f>
        <v/>
      </c>
      <c r="G17" s="33">
        <f>G5-G14</f>
        <v/>
      </c>
      <c r="H17" s="33">
        <f>H5-H14</f>
        <v/>
      </c>
      <c r="I17" s="33">
        <f>I5-I14</f>
        <v/>
      </c>
    </row>
    <row r="18">
      <c r="A18" s="6" t="inlineStr">
        <is>
          <t>EBITDA margin (operating)</t>
        </is>
      </c>
      <c r="B18" s="10">
        <f>B14/B5</f>
        <v/>
      </c>
      <c r="C18" s="10">
        <f>C14/C5</f>
        <v/>
      </c>
      <c r="D18" s="10">
        <f>D14/D5</f>
        <v/>
      </c>
      <c r="E18" s="10">
        <f>E14/E5</f>
        <v/>
      </c>
      <c r="F18" s="10">
        <f>F14/F5</f>
        <v/>
      </c>
      <c r="G18" s="10">
        <f>G14/G5</f>
        <v/>
      </c>
      <c r="H18" s="10">
        <f>H14/H5</f>
        <v/>
      </c>
      <c r="I18" s="10">
        <f>I14/I5</f>
        <v/>
      </c>
    </row>
    <row r="19">
      <c r="A19" s="6" t="inlineStr">
        <is>
          <t>Share of joint ventures and associates</t>
        </is>
      </c>
      <c r="B19" s="27" t="n">
        <v>14071</v>
      </c>
      <c r="C19" s="27" t="n">
        <v>14198</v>
      </c>
      <c r="D19" s="27" t="n">
        <v>37392</v>
      </c>
      <c r="E19" s="33" t="inlineStr">
        <is>
          <t>-</t>
        </is>
      </c>
      <c r="F19" s="33" t="inlineStr">
        <is>
          <t>-</t>
        </is>
      </c>
      <c r="G19" s="33" t="inlineStr">
        <is>
          <t>-</t>
        </is>
      </c>
      <c r="H19" s="33" t="inlineStr">
        <is>
          <t>-</t>
        </is>
      </c>
      <c r="I19" s="33" t="inlineStr">
        <is>
          <t>-</t>
        </is>
      </c>
    </row>
    <row r="20">
      <c r="A20" s="6" t="inlineStr">
        <is>
          <t>Gain on bargain purchase</t>
        </is>
      </c>
      <c r="B20" s="27" t="n">
        <v>0</v>
      </c>
      <c r="C20" s="27" t="n">
        <v>0</v>
      </c>
      <c r="D20" s="27" t="n">
        <v>12056</v>
      </c>
      <c r="E20" s="33" t="inlineStr">
        <is>
          <t>-</t>
        </is>
      </c>
      <c r="F20" s="33" t="inlineStr">
        <is>
          <t>-</t>
        </is>
      </c>
      <c r="G20" s="33" t="inlineStr">
        <is>
          <t>-</t>
        </is>
      </c>
      <c r="H20" s="33" t="inlineStr">
        <is>
          <t>-</t>
        </is>
      </c>
      <c r="I20" s="33" t="inlineStr">
        <is>
          <t>-</t>
        </is>
      </c>
    </row>
    <row r="21">
      <c r="A21" s="6" t="inlineStr">
        <is>
          <t>Loss on the previously held interest</t>
        </is>
      </c>
      <c r="B21" s="27" t="n">
        <v>0</v>
      </c>
      <c r="C21" s="27" t="n">
        <v>0</v>
      </c>
      <c r="D21" s="27" t="n">
        <v>-3398</v>
      </c>
      <c r="E21" s="33" t="inlineStr">
        <is>
          <t>-</t>
        </is>
      </c>
      <c r="F21" s="33" t="inlineStr">
        <is>
          <t>-</t>
        </is>
      </c>
      <c r="G21" s="33" t="inlineStr">
        <is>
          <t>-</t>
        </is>
      </c>
      <c r="H21" s="33" t="inlineStr">
        <is>
          <t>-</t>
        </is>
      </c>
      <c r="I21" s="33" t="inlineStr">
        <is>
          <t>-</t>
        </is>
      </c>
    </row>
    <row r="22">
      <c r="A22" s="6" t="inlineStr">
        <is>
          <t>Finance income</t>
        </is>
      </c>
      <c r="B22" s="27" t="n">
        <v>9785</v>
      </c>
      <c r="C22" s="27" t="n">
        <v>15594</v>
      </c>
      <c r="D22" s="27" t="n">
        <v>18959</v>
      </c>
      <c r="E22" s="18">
        <f>Assumptions!$C$24*Assumptions!$C$159</f>
        <v/>
      </c>
      <c r="F22" s="18">
        <f>Assumptions!$C$24*Assumptions!$C$159</f>
        <v/>
      </c>
      <c r="G22" s="18">
        <f>Assumptions!$C$24*Assumptions!$C$159</f>
        <v/>
      </c>
      <c r="H22" s="18">
        <f>Assumptions!$C$24*Assumptions!$C$159</f>
        <v/>
      </c>
      <c r="I22" s="18">
        <f>Assumptions!$C$24*Assumptions!$C$159</f>
        <v/>
      </c>
    </row>
    <row r="23">
      <c r="A23" s="6" t="inlineStr">
        <is>
          <t>Finance costs</t>
        </is>
      </c>
      <c r="B23" s="27" t="n">
        <v>-15098</v>
      </c>
      <c r="C23" s="27" t="n">
        <v>-18034</v>
      </c>
      <c r="D23" s="27" t="n">
        <v>-87143</v>
      </c>
      <c r="E23" s="18">
        <f>-DCF!$C$92*'Balance Sheet'!B54</f>
        <v/>
      </c>
      <c r="F23" s="18">
        <f>-DCF!$C$92*'Balance Sheet'!C54</f>
        <v/>
      </c>
      <c r="G23" s="18">
        <f>-DCF!$C$92*'Balance Sheet'!D54</f>
        <v/>
      </c>
      <c r="H23" s="18">
        <f>-DCF!$C$92*'Balance Sheet'!E54</f>
        <v/>
      </c>
      <c r="I23" s="18">
        <f>-DCF!$C$92*'Balance Sheet'!F54</f>
        <v/>
      </c>
    </row>
    <row r="24">
      <c r="A24" s="14" t="inlineStr">
        <is>
          <t>Profit before tax</t>
        </is>
      </c>
      <c r="B24" s="39">
        <f>B12+B19+B20+B21+B22+B23</f>
        <v/>
      </c>
      <c r="C24" s="39">
        <f>C12+C19+C20+C21+C22+C23</f>
        <v/>
      </c>
      <c r="D24" s="39">
        <f>D12+D19+D20+D21+D22+D23</f>
        <v/>
      </c>
      <c r="E24" s="39">
        <f>E12+E22+E23</f>
        <v/>
      </c>
      <c r="F24" s="39">
        <f>F12+F22+F23</f>
        <v/>
      </c>
      <c r="G24" s="39">
        <f>G12+G22+G23</f>
        <v/>
      </c>
      <c r="H24" s="39">
        <f>H12+H22+H23</f>
        <v/>
      </c>
      <c r="I24" s="39">
        <f>I12+I22+I23</f>
        <v/>
      </c>
    </row>
    <row r="25">
      <c r="A25" s="6" t="inlineStr">
        <is>
          <t>Income tax</t>
        </is>
      </c>
      <c r="B25" s="27" t="n">
        <v>-2283</v>
      </c>
      <c r="C25" s="27" t="n">
        <v>-72847</v>
      </c>
      <c r="D25" s="27" t="n">
        <v>-58781</v>
      </c>
      <c r="E25" s="33">
        <f>-E24*DCF!B36</f>
        <v/>
      </c>
      <c r="F25" s="33">
        <f>-F24*DCF!C36</f>
        <v/>
      </c>
      <c r="G25" s="33">
        <f>-G24*DCF!D36</f>
        <v/>
      </c>
      <c r="H25" s="33">
        <f>-H24*DCF!E36</f>
        <v/>
      </c>
      <c r="I25" s="33">
        <f>-I24*DCF!F36</f>
        <v/>
      </c>
    </row>
    <row r="26">
      <c r="A26" s="6" t="inlineStr">
        <is>
          <t>Profit for the year</t>
        </is>
      </c>
      <c r="B26" s="33">
        <f>B24+B25</f>
        <v/>
      </c>
      <c r="C26" s="33">
        <f>C24+C25</f>
        <v/>
      </c>
      <c r="D26" s="33">
        <f>D24+D25</f>
        <v/>
      </c>
      <c r="E26" s="33">
        <f>E24+E25</f>
        <v/>
      </c>
      <c r="F26" s="33">
        <f>F24+F25</f>
        <v/>
      </c>
      <c r="G26" s="33">
        <f>G24+G25</f>
        <v/>
      </c>
      <c r="H26" s="33">
        <f>H24+H25</f>
        <v/>
      </c>
      <c r="I26" s="33">
        <f>I24+I25</f>
        <v/>
      </c>
    </row>
    <row r="27">
      <c r="A27" s="6" t="inlineStr">
        <is>
          <t>Non-controlling interests</t>
        </is>
      </c>
      <c r="B27" s="27" t="n">
        <v>0</v>
      </c>
      <c r="C27" s="27" t="n">
        <v>0</v>
      </c>
      <c r="D27" s="27" t="n">
        <v>-24306</v>
      </c>
      <c r="E27" s="33">
        <f>-E26*Assumptions!$C$156</f>
        <v/>
      </c>
      <c r="F27" s="33">
        <f>-F26*Assumptions!$C$156</f>
        <v/>
      </c>
      <c r="G27" s="33">
        <f>-G26*Assumptions!$C$156</f>
        <v/>
      </c>
      <c r="H27" s="33">
        <f>-H26*Assumptions!$C$156</f>
        <v/>
      </c>
      <c r="I27" s="33">
        <f>-I26*Assumptions!$C$156</f>
        <v/>
      </c>
    </row>
    <row r="28">
      <c r="A28" s="14" t="inlineStr">
        <is>
          <t>Profit attributable to shareholders</t>
        </is>
      </c>
      <c r="B28" s="39">
        <f>B26+B27</f>
        <v/>
      </c>
      <c r="C28" s="39">
        <f>C26+C27</f>
        <v/>
      </c>
      <c r="D28" s="39">
        <f>D26+D27</f>
        <v/>
      </c>
      <c r="E28" s="39">
        <f>E26+E27</f>
        <v/>
      </c>
      <c r="F28" s="39">
        <f>F26+F27</f>
        <v/>
      </c>
      <c r="G28" s="39">
        <f>G26+G27</f>
        <v/>
      </c>
      <c r="H28" s="39">
        <f>H26+H27</f>
        <v/>
      </c>
      <c r="I28" s="39">
        <f>I26+I27</f>
        <v/>
      </c>
    </row>
    <row r="29">
      <c r="A29" s="6" t="inlineStr">
        <is>
          <t>Perpetual capital securities coupon</t>
        </is>
      </c>
      <c r="B29" s="27" t="n">
        <v>0</v>
      </c>
      <c r="C29" s="27" t="n">
        <v>0</v>
      </c>
      <c r="D29" s="27" t="n">
        <v>-61333</v>
      </c>
      <c r="E29" s="33">
        <f>-Assumptions!$C$152*(Assumptions!$C$24+Assumptions!$C$153)</f>
        <v/>
      </c>
      <c r="F29" s="33">
        <f>-Assumptions!$C$152*(Assumptions!$C$24+Assumptions!$C$153)</f>
        <v/>
      </c>
      <c r="G29" s="33">
        <f>-Assumptions!$C$152*(Assumptions!$C$24+Assumptions!$C$153)</f>
        <v/>
      </c>
      <c r="H29" s="33">
        <f>-Assumptions!$C$152*(Assumptions!$C$24+Assumptions!$C$153)</f>
        <v/>
      </c>
      <c r="I29" s="33">
        <f>-Assumptions!$C$152*(Assumptions!$C$24+Assumptions!$C$153)</f>
        <v/>
      </c>
    </row>
    <row r="30">
      <c r="A30" s="14" t="inlineStr">
        <is>
          <t>Earnings attributable to ordinary shareholders, AFTER the perpetual capital securities coupon</t>
        </is>
      </c>
      <c r="B30" s="39">
        <f>B28+B29</f>
        <v/>
      </c>
      <c r="C30" s="39">
        <f>C28+C29</f>
        <v/>
      </c>
      <c r="D30" s="39">
        <f>D28+D29</f>
        <v/>
      </c>
      <c r="E30" s="39">
        <f>E28+E29</f>
        <v/>
      </c>
      <c r="F30" s="39">
        <f>F28+F29</f>
        <v/>
      </c>
      <c r="G30" s="39">
        <f>G28+G29</f>
        <v/>
      </c>
      <c r="H30" s="39">
        <f>H28+H29</f>
        <v/>
      </c>
      <c r="I30" s="39">
        <f>I28+I29</f>
        <v/>
      </c>
    </row>
    <row r="31">
      <c r="A31" s="6" t="inlineStr">
        <is>
          <t>Earnings per ordinary share, AFTER the perpetual coupon (USD) — the coupon ranks ahead of the ordinary shares, so it comes out of the numerator</t>
        </is>
      </c>
      <c r="B31" s="47">
        <f>B30/Assumptions!$C$6/1000</f>
        <v/>
      </c>
      <c r="C31" s="47">
        <f>C30/Assumptions!$C$6/1000</f>
        <v/>
      </c>
      <c r="D31" s="47">
        <f>D30/Assumptions!$C$6/1000</f>
        <v/>
      </c>
      <c r="E31" s="47">
        <f>E30/Assumptions!$C$6/1000</f>
        <v/>
      </c>
      <c r="F31" s="47">
        <f>F30/Assumptions!$C$6/1000</f>
        <v/>
      </c>
      <c r="G31" s="47">
        <f>G30/Assumptions!$C$6/1000</f>
        <v/>
      </c>
      <c r="H31" s="47">
        <f>H30/Assumptions!$C$6/1000</f>
        <v/>
      </c>
      <c r="I31" s="47">
        <f>I30/Assumptions!$C$6/1000</f>
        <v/>
      </c>
    </row>
    <row r="32">
      <c r="A32" s="6" t="inlineStr">
        <is>
          <t>Earnings per ordinary share, AFTER the perpetual coupon (AED)</t>
        </is>
      </c>
      <c r="B32" s="47">
        <f>B31*Assumptions!$C$7</f>
        <v/>
      </c>
      <c r="C32" s="47">
        <f>C31*Assumptions!$C$7</f>
        <v/>
      </c>
      <c r="D32" s="47">
        <f>D31*Assumptions!$C$7</f>
        <v/>
      </c>
      <c r="E32" s="47">
        <f>E31*Assumptions!$C$7</f>
        <v/>
      </c>
      <c r="F32" s="47">
        <f>F31*Assumptions!$C$7</f>
        <v/>
      </c>
      <c r="G32" s="47">
        <f>G31*Assumptions!$C$7</f>
        <v/>
      </c>
      <c r="H32" s="47">
        <f>H31*Assumptions!$C$7</f>
        <v/>
      </c>
      <c r="I32" s="47">
        <f>I31*Assumptions!$C$7</f>
        <v/>
      </c>
    </row>
    <row r="33">
      <c r="A33" s="6" t="inlineStr">
        <is>
          <t>Memorandum — earnings per share BEFORE the perpetual coupon (USD), on attributable profit; shown so the two are never confused</t>
        </is>
      </c>
      <c r="B33" s="47">
        <f>B28/Assumptions!$C$6/1000</f>
        <v/>
      </c>
      <c r="C33" s="47">
        <f>C28/Assumptions!$C$6/1000</f>
        <v/>
      </c>
      <c r="D33" s="47">
        <f>D28/Assumptions!$C$6/1000</f>
        <v/>
      </c>
      <c r="E33" s="47">
        <f>E28/Assumptions!$C$6/1000</f>
        <v/>
      </c>
      <c r="F33" s="47">
        <f>F28/Assumptions!$C$6/1000</f>
        <v/>
      </c>
      <c r="G33" s="47">
        <f>G28/Assumptions!$C$6/1000</f>
        <v/>
      </c>
      <c r="H33" s="47">
        <f>H28/Assumptions!$C$6/1000</f>
        <v/>
      </c>
      <c r="I33" s="47">
        <f>I28/Assumptions!$C$6/1000</f>
        <v/>
      </c>
    </row>
    <row r="35">
      <c r="A35" s="4" t="inlineStr">
        <is>
          <t>Every FY2023-25 line above is the audited figure. In the forecast the company's own disclosure-only lines — direct costs, gross profit, the general and administrative split, the share of joint ventures and the two 2025 acquisition items — are not projected, because the forecast is built at the business-unit level on earnings before depreciation rather than on a cost-line split the filings do not support forward. The finance charge is computed on gross borrowings, which move with the net-debt roll, so profit is struck after interest and differs from the pre-financing discounted-cash-flow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Balance sheet — condensed, and the rolls that drive it</t>
        </is>
      </c>
      <c r="B1" s="2" t="n"/>
      <c r="C1" s="2" t="n"/>
      <c r="D1" s="2" t="n"/>
      <c r="E1" s="2" t="n"/>
      <c r="F1" s="2" t="n"/>
      <c r="G1" s="2" t="n"/>
      <c r="H1" s="2" t="n"/>
      <c r="I1" s="2" t="n"/>
    </row>
    <row r="2">
      <c r="A2" s="4" t="inlineStr">
        <is>
          <t>USD thousand, consolidated. Every FY2023-25 line is the audited closing figure; every forecast line is rolled forward from a driver.</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Property, plant and equipment</t>
        </is>
      </c>
      <c r="B5" s="27" t="n">
        <v>3806543</v>
      </c>
      <c r="C5" s="27" t="n">
        <v>4543335</v>
      </c>
      <c r="D5" s="27" t="n">
        <v>6884178</v>
      </c>
      <c r="E5" s="33">
        <f>B37</f>
        <v/>
      </c>
      <c r="F5" s="33">
        <f>C37</f>
        <v/>
      </c>
      <c r="G5" s="33">
        <f>D37</f>
        <v/>
      </c>
      <c r="H5" s="33">
        <f>E37</f>
        <v/>
      </c>
      <c r="I5" s="33">
        <f>F37</f>
        <v/>
      </c>
    </row>
    <row r="6">
      <c r="A6" s="6" t="inlineStr">
        <is>
          <t>Right-of-use assets</t>
        </is>
      </c>
      <c r="B6" s="27" t="n">
        <v>148146</v>
      </c>
      <c r="C6" s="27" t="n">
        <v>161691</v>
      </c>
      <c r="D6" s="27" t="n">
        <v>225292</v>
      </c>
      <c r="E6" s="33" t="inlineStr">
        <is>
          <t>-</t>
        </is>
      </c>
      <c r="F6" s="33" t="inlineStr">
        <is>
          <t>-</t>
        </is>
      </c>
      <c r="G6" s="33" t="inlineStr">
        <is>
          <t>-</t>
        </is>
      </c>
      <c r="H6" s="33" t="inlineStr">
        <is>
          <t>-</t>
        </is>
      </c>
      <c r="I6" s="33" t="inlineStr">
        <is>
          <t>-</t>
        </is>
      </c>
    </row>
    <row r="7">
      <c r="A7" s="6" t="inlineStr">
        <is>
          <t>Intangible assets</t>
        </is>
      </c>
      <c r="B7" s="27" t="n">
        <v>11440</v>
      </c>
      <c r="C7" s="27" t="n">
        <v>11078</v>
      </c>
      <c r="D7" s="27" t="n">
        <v>19434</v>
      </c>
      <c r="E7" s="18">
        <f>Assumptions!$C$160</f>
        <v/>
      </c>
      <c r="F7" s="18">
        <f>Assumptions!$C$160</f>
        <v/>
      </c>
      <c r="G7" s="18">
        <f>Assumptions!$C$160</f>
        <v/>
      </c>
      <c r="H7" s="18">
        <f>Assumptions!$C$160</f>
        <v/>
      </c>
      <c r="I7" s="18">
        <f>Assumptions!$C$160</f>
        <v/>
      </c>
    </row>
    <row r="8">
      <c r="A8" s="6" t="inlineStr">
        <is>
          <t>Goodwill</t>
        </is>
      </c>
      <c r="B8" s="27" t="n">
        <v>51368</v>
      </c>
      <c r="C8" s="27" t="n">
        <v>51368</v>
      </c>
      <c r="D8" s="27" t="n">
        <v>51368</v>
      </c>
      <c r="E8" s="18">
        <f>Assumptions!$C$161</f>
        <v/>
      </c>
      <c r="F8" s="18">
        <f>Assumptions!$C$161</f>
        <v/>
      </c>
      <c r="G8" s="18">
        <f>Assumptions!$C$161</f>
        <v/>
      </c>
      <c r="H8" s="18">
        <f>Assumptions!$C$161</f>
        <v/>
      </c>
      <c r="I8" s="18">
        <f>Assumptions!$C$161</f>
        <v/>
      </c>
    </row>
    <row r="9">
      <c r="A9" s="6" t="inlineStr">
        <is>
          <t>Investment properties</t>
        </is>
      </c>
      <c r="B9" s="27" t="n">
        <v>95269</v>
      </c>
      <c r="C9" s="27" t="n">
        <v>92501</v>
      </c>
      <c r="D9" s="27" t="n">
        <v>89154</v>
      </c>
      <c r="E9" s="33" t="inlineStr">
        <is>
          <t>-</t>
        </is>
      </c>
      <c r="F9" s="33" t="inlineStr">
        <is>
          <t>-</t>
        </is>
      </c>
      <c r="G9" s="33" t="inlineStr">
        <is>
          <t>-</t>
        </is>
      </c>
      <c r="H9" s="33" t="inlineStr">
        <is>
          <t>-</t>
        </is>
      </c>
      <c r="I9" s="33" t="inlineStr">
        <is>
          <t>-</t>
        </is>
      </c>
    </row>
    <row r="10">
      <c r="A10" s="6" t="inlineStr">
        <is>
          <t>Investments in joint ventures and associates</t>
        </is>
      </c>
      <c r="B10" s="27" t="n">
        <v>76712</v>
      </c>
      <c r="C10" s="27" t="n">
        <v>267775</v>
      </c>
      <c r="D10" s="27" t="n">
        <v>577769</v>
      </c>
      <c r="E10" s="18">
        <f>Assumptions!$C$157</f>
        <v/>
      </c>
      <c r="F10" s="18">
        <f>Assumptions!$C$157</f>
        <v/>
      </c>
      <c r="G10" s="18">
        <f>Assumptions!$C$157</f>
        <v/>
      </c>
      <c r="H10" s="18">
        <f>Assumptions!$C$157</f>
        <v/>
      </c>
      <c r="I10" s="18">
        <f>Assumptions!$C$157</f>
        <v/>
      </c>
    </row>
    <row r="11">
      <c r="A11" s="6" t="inlineStr">
        <is>
          <t>Inventories</t>
        </is>
      </c>
      <c r="B11" s="27" t="n">
        <v>120720</v>
      </c>
      <c r="C11" s="27" t="n">
        <v>132687</v>
      </c>
      <c r="D11" s="27" t="n">
        <v>137108</v>
      </c>
      <c r="E11" s="33">
        <f>B47</f>
        <v/>
      </c>
      <c r="F11" s="33">
        <f>C47</f>
        <v/>
      </c>
      <c r="G11" s="33">
        <f>D47</f>
        <v/>
      </c>
      <c r="H11" s="33">
        <f>E47</f>
        <v/>
      </c>
      <c r="I11" s="33">
        <f>F47</f>
        <v/>
      </c>
    </row>
    <row r="12">
      <c r="A12" s="6" t="inlineStr">
        <is>
          <t>Trade and other receivables, including amounts due from related parties</t>
        </is>
      </c>
      <c r="B12" s="27" t="n">
        <v>1131167</v>
      </c>
      <c r="C12" s="27" t="n">
        <v>1284889</v>
      </c>
      <c r="D12" s="27" t="n">
        <v>1489668</v>
      </c>
      <c r="E12" s="33">
        <f>B46</f>
        <v/>
      </c>
      <c r="F12" s="33">
        <f>C46</f>
        <v/>
      </c>
      <c r="G12" s="33">
        <f>D46</f>
        <v/>
      </c>
      <c r="H12" s="33">
        <f>E46</f>
        <v/>
      </c>
      <c r="I12" s="33">
        <f>F46</f>
        <v/>
      </c>
    </row>
    <row r="13">
      <c r="A13" s="6" t="inlineStr">
        <is>
          <t>Cash and cash equivalents</t>
        </is>
      </c>
      <c r="B13" s="27" t="n">
        <v>215709</v>
      </c>
      <c r="C13" s="27" t="n">
        <v>198919</v>
      </c>
      <c r="D13" s="27" t="n">
        <v>337794</v>
      </c>
      <c r="E13" s="18">
        <f>Assumptions!$C$159</f>
        <v/>
      </c>
      <c r="F13" s="18">
        <f>Assumptions!$C$159</f>
        <v/>
      </c>
      <c r="G13" s="18">
        <f>Assumptions!$C$159</f>
        <v/>
      </c>
      <c r="H13" s="18">
        <f>Assumptions!$C$159</f>
        <v/>
      </c>
      <c r="I13" s="18">
        <f>Assumptions!$C$159</f>
        <v/>
      </c>
    </row>
    <row r="14">
      <c r="A14" s="14" t="inlineStr">
        <is>
          <t>Total assets</t>
        </is>
      </c>
      <c r="B14" s="39" t="n">
        <v>5745668</v>
      </c>
      <c r="C14" s="39" t="n">
        <v>7003326</v>
      </c>
      <c r="D14" s="39" t="n">
        <v>9965153</v>
      </c>
      <c r="E14" s="39" t="inlineStr">
        <is>
          <t>-</t>
        </is>
      </c>
      <c r="F14" s="39" t="inlineStr">
        <is>
          <t>-</t>
        </is>
      </c>
      <c r="G14" s="39" t="inlineStr">
        <is>
          <t>-</t>
        </is>
      </c>
      <c r="H14" s="39" t="inlineStr">
        <is>
          <t>-</t>
        </is>
      </c>
      <c r="I14" s="39" t="inlineStr">
        <is>
          <t>-</t>
        </is>
      </c>
    </row>
    <row r="15">
      <c r="A15" s="6" t="inlineStr">
        <is>
          <t>Trade and other payables, including amounts due to related parties</t>
        </is>
      </c>
      <c r="B15" s="27" t="n">
        <v>962048</v>
      </c>
      <c r="C15" s="27" t="n">
        <v>1227680</v>
      </c>
      <c r="D15" s="27" t="n">
        <v>1280361</v>
      </c>
      <c r="E15" s="33">
        <f>B48</f>
        <v/>
      </c>
      <c r="F15" s="33">
        <f>C48</f>
        <v/>
      </c>
      <c r="G15" s="33">
        <f>D48</f>
        <v/>
      </c>
      <c r="H15" s="33">
        <f>E48</f>
        <v/>
      </c>
      <c r="I15" s="33">
        <f>F48</f>
        <v/>
      </c>
    </row>
    <row r="16">
      <c r="A16" s="6" t="inlineStr">
        <is>
          <t>Net working capital</t>
        </is>
      </c>
      <c r="B16" s="33">
        <f>B12+B11-B15</f>
        <v/>
      </c>
      <c r="C16" s="33">
        <f>C12+C11-C15</f>
        <v/>
      </c>
      <c r="D16" s="33">
        <f>D12+D11-D15</f>
        <v/>
      </c>
      <c r="E16" s="33">
        <f>E12+E11-E15</f>
        <v/>
      </c>
      <c r="F16" s="33">
        <f>F12+F11-F15</f>
        <v/>
      </c>
      <c r="G16" s="33">
        <f>G12+G11-G15</f>
        <v/>
      </c>
      <c r="H16" s="33">
        <f>H12+H11-H15</f>
        <v/>
      </c>
      <c r="I16" s="33">
        <f>I12+I11-I15</f>
        <v/>
      </c>
    </row>
    <row r="17">
      <c r="A17" s="6" t="inlineStr">
        <is>
          <t>Gross borrowings</t>
        </is>
      </c>
      <c r="B17" s="27" t="n">
        <v>289554</v>
      </c>
      <c r="C17" s="27" t="n">
        <v>739301</v>
      </c>
      <c r="D17" s="27" t="n">
        <v>1031879</v>
      </c>
      <c r="E17" s="33">
        <f>B54</f>
        <v/>
      </c>
      <c r="F17" s="33">
        <f>C54</f>
        <v/>
      </c>
      <c r="G17" s="33">
        <f>D54</f>
        <v/>
      </c>
      <c r="H17" s="33">
        <f>E54</f>
        <v/>
      </c>
      <c r="I17" s="33">
        <f>F54</f>
        <v/>
      </c>
    </row>
    <row r="18">
      <c r="A18" s="14" t="inlineStr">
        <is>
          <t>Net debt</t>
        </is>
      </c>
      <c r="B18" s="39">
        <f>B17-B13</f>
        <v/>
      </c>
      <c r="C18" s="39">
        <f>C17-C13</f>
        <v/>
      </c>
      <c r="D18" s="39">
        <f>D17-D13</f>
        <v/>
      </c>
      <c r="E18" s="39">
        <f>B62</f>
        <v/>
      </c>
      <c r="F18" s="39">
        <f>C62</f>
        <v/>
      </c>
      <c r="G18" s="39">
        <f>D62</f>
        <v/>
      </c>
      <c r="H18" s="39">
        <f>E62</f>
        <v/>
      </c>
      <c r="I18" s="39">
        <f>F62</f>
        <v/>
      </c>
    </row>
    <row r="19">
      <c r="A19" s="6" t="inlineStr">
        <is>
          <t>Perpetual capital securities</t>
        </is>
      </c>
      <c r="B19" s="27" t="n">
        <v>0</v>
      </c>
      <c r="C19" s="27" t="n">
        <v>0</v>
      </c>
      <c r="D19" s="27" t="n">
        <v>1978619</v>
      </c>
      <c r="E19" s="18">
        <f>Assumptions!$C$152</f>
        <v/>
      </c>
      <c r="F19" s="18">
        <f>Assumptions!$C$152</f>
        <v/>
      </c>
      <c r="G19" s="18">
        <f>Assumptions!$C$152</f>
        <v/>
      </c>
      <c r="H19" s="18">
        <f>Assumptions!$C$152</f>
        <v/>
      </c>
      <c r="I19" s="18">
        <f>Assumptions!$C$152</f>
        <v/>
      </c>
    </row>
    <row r="20">
      <c r="A20" s="6" t="inlineStr">
        <is>
          <t>Non-controlling interests</t>
        </is>
      </c>
      <c r="B20" s="27" t="n">
        <v>0</v>
      </c>
      <c r="C20" s="27" t="n">
        <v>0</v>
      </c>
      <c r="D20" s="27" t="n">
        <v>264512</v>
      </c>
      <c r="E20" s="18">
        <f>Assumptions!$C$154</f>
        <v/>
      </c>
      <c r="F20" s="18">
        <f>Assumptions!$C$154</f>
        <v/>
      </c>
      <c r="G20" s="18">
        <f>Assumptions!$C$154</f>
        <v/>
      </c>
      <c r="H20" s="18">
        <f>Assumptions!$C$154</f>
        <v/>
      </c>
      <c r="I20" s="18">
        <f>Assumptions!$C$154</f>
        <v/>
      </c>
    </row>
    <row r="21">
      <c r="A21" s="14" t="inlineStr">
        <is>
          <t>Equity attributable to shareholders</t>
        </is>
      </c>
      <c r="B21" s="39" t="n">
        <v>4405982</v>
      </c>
      <c r="C21" s="39" t="n">
        <v>4894627</v>
      </c>
      <c r="D21" s="39" t="n">
        <v>4981987</v>
      </c>
      <c r="E21" s="39">
        <f>B69</f>
        <v/>
      </c>
      <c r="F21" s="39">
        <f>C69</f>
        <v/>
      </c>
      <c r="G21" s="39">
        <f>D69</f>
        <v/>
      </c>
      <c r="H21" s="39">
        <f>E69</f>
        <v/>
      </c>
      <c r="I21" s="39">
        <f>F69</f>
        <v/>
      </c>
    </row>
    <row r="22">
      <c r="A22" s="14" t="inlineStr">
        <is>
          <t>Total equity</t>
        </is>
      </c>
      <c r="B22" s="39">
        <f>B21+B19+B20</f>
        <v/>
      </c>
      <c r="C22" s="39">
        <f>C21+C19+C20</f>
        <v/>
      </c>
      <c r="D22" s="39">
        <f>D21+D19+D20</f>
        <v/>
      </c>
      <c r="E22" s="39">
        <f>E21+E19+E20</f>
        <v/>
      </c>
      <c r="F22" s="39">
        <f>F21+F19+F20</f>
        <v/>
      </c>
      <c r="G22" s="39">
        <f>G21+G19+G20</f>
        <v/>
      </c>
      <c r="H22" s="39">
        <f>H21+H19+H20</f>
        <v/>
      </c>
      <c r="I22" s="39">
        <f>I21+I19+I20</f>
        <v/>
      </c>
    </row>
    <row r="23">
      <c r="A23" s="6" t="inlineStr">
        <is>
          <t>Net debt / EBITDA</t>
        </is>
      </c>
      <c r="B23" s="40">
        <f>B18/'Income Statement'!B14</f>
        <v/>
      </c>
      <c r="C23" s="40">
        <f>C18/'Income Statement'!C14</f>
        <v/>
      </c>
      <c r="D23" s="40">
        <f>D18/'Income Statement'!D14</f>
        <v/>
      </c>
      <c r="E23" s="40">
        <f>E18/'Income Statement'!E14</f>
        <v/>
      </c>
      <c r="F23" s="40">
        <f>F18/'Income Statement'!F14</f>
        <v/>
      </c>
      <c r="G23" s="40">
        <f>G18/'Income Statement'!G14</f>
        <v/>
      </c>
      <c r="H23" s="40">
        <f>H18/'Income Statement'!H14</f>
        <v/>
      </c>
      <c r="I23" s="40">
        <f>I18/'Income Statement'!I14</f>
        <v/>
      </c>
    </row>
    <row r="24">
      <c r="A24" s="6" t="inlineStr">
        <is>
          <t>Book value per share (USD)</t>
        </is>
      </c>
      <c r="B24" s="47">
        <f>B21/Assumptions!$C$6/1000</f>
        <v/>
      </c>
      <c r="C24" s="47">
        <f>C21/Assumptions!$C$6/1000</f>
        <v/>
      </c>
      <c r="D24" s="47">
        <f>D21/Assumptions!$C$6/1000</f>
        <v/>
      </c>
      <c r="E24" s="47">
        <f>E21/Assumptions!$C$6/1000</f>
        <v/>
      </c>
      <c r="F24" s="47">
        <f>F21/Assumptions!$C$6/1000</f>
        <v/>
      </c>
      <c r="G24" s="47">
        <f>G21/Assumptions!$C$6/1000</f>
        <v/>
      </c>
      <c r="H24" s="47">
        <f>H21/Assumptions!$C$6/1000</f>
        <v/>
      </c>
      <c r="I24" s="47">
        <f>I21/Assumptions!$C$6/1000</f>
        <v/>
      </c>
    </row>
    <row r="25">
      <c r="A25" s="6" t="inlineStr">
        <is>
          <t>Book value per share (AED)</t>
        </is>
      </c>
      <c r="B25" s="9">
        <f>B24*Assumptions!$C$7</f>
        <v/>
      </c>
      <c r="C25" s="9">
        <f>C24*Assumptions!$C$7</f>
        <v/>
      </c>
      <c r="D25" s="9">
        <f>D24*Assumptions!$C$7</f>
        <v/>
      </c>
      <c r="E25" s="9">
        <f>E24*Assumptions!$C$7</f>
        <v/>
      </c>
      <c r="F25" s="9">
        <f>F24*Assumptions!$C$7</f>
        <v/>
      </c>
      <c r="G25" s="9">
        <f>G24*Assumptions!$C$7</f>
        <v/>
      </c>
      <c r="H25" s="9">
        <f>H24*Assumptions!$C$7</f>
        <v/>
      </c>
      <c r="I25" s="9">
        <f>I24*Assumptions!$C$7</f>
        <v/>
      </c>
    </row>
    <row r="26">
      <c r="A26" s="6" t="inlineStr">
        <is>
          <t>Invested capital</t>
        </is>
      </c>
      <c r="B26" s="33">
        <f>B5+B16+B7+B8</f>
        <v/>
      </c>
      <c r="C26" s="33">
        <f>C5+C16+C7+C8</f>
        <v/>
      </c>
      <c r="D26" s="33">
        <f>D5+D16+D7+D8</f>
        <v/>
      </c>
      <c r="E26" s="33">
        <f>E5+E16+E7+E8</f>
        <v/>
      </c>
      <c r="F26" s="33">
        <f>F5+F16+F7+F8</f>
        <v/>
      </c>
      <c r="G26" s="33">
        <f>G5+G16+G7+G8</f>
        <v/>
      </c>
      <c r="H26" s="33">
        <f>H5+H16+H7+H8</f>
        <v/>
      </c>
      <c r="I26" s="33">
        <f>I5+I16+I7+I8</f>
        <v/>
      </c>
    </row>
    <row r="27">
      <c r="A27" s="6" t="inlineStr">
        <is>
          <t>Return on invested capital</t>
        </is>
      </c>
      <c r="B27" s="10" t="inlineStr">
        <is>
          <t>-</t>
        </is>
      </c>
      <c r="C27" s="10" t="inlineStr">
        <is>
          <t>-</t>
        </is>
      </c>
      <c r="D27" s="10" t="inlineStr">
        <is>
          <t>-</t>
        </is>
      </c>
      <c r="E27" s="10">
        <f>DCF!B11/E26</f>
        <v/>
      </c>
      <c r="F27" s="10">
        <f>DCF!C11/F26</f>
        <v/>
      </c>
      <c r="G27" s="10">
        <f>DCF!D11/G26</f>
        <v/>
      </c>
      <c r="H27" s="10">
        <f>DCF!E11/H26</f>
        <v/>
      </c>
      <c r="I27" s="10">
        <f>DCF!F11/I26</f>
        <v/>
      </c>
    </row>
    <row r="28">
      <c r="A28" s="6" t="inlineStr">
        <is>
          <t>Return on equity (profit over average equity)</t>
        </is>
      </c>
      <c r="B28" s="10" t="inlineStr">
        <is>
          <t>-</t>
        </is>
      </c>
      <c r="C28" s="10">
        <f>'Income Statement'!C28/((B21+C21)/2)</f>
        <v/>
      </c>
      <c r="D28" s="10">
        <f>'Income Statement'!D28/((C21+D21)/2)</f>
        <v/>
      </c>
      <c r="E28" s="10">
        <f>'Income Statement'!E28/((Assumptions!$C$158+E21)/2)</f>
        <v/>
      </c>
      <c r="F28" s="10">
        <f>'Income Statement'!F28/((E21+F21)/2)</f>
        <v/>
      </c>
      <c r="G28" s="10">
        <f>'Income Statement'!G28/((F21+G21)/2)</f>
        <v/>
      </c>
      <c r="H28" s="10">
        <f>'Income Statement'!H28/((G21+H21)/2)</f>
        <v/>
      </c>
      <c r="I28" s="10">
        <f>'Income Statement'!I28/((H21+I21)/2)</f>
        <v/>
      </c>
    </row>
    <row r="30">
      <c r="A30" s="11" t="inlineStr">
        <is>
          <t>THE PROPERTY, PLANT AND EQUIPMENT ROLL</t>
        </is>
      </c>
      <c r="B30" s="14" t="inlineStr">
        <is>
          <t>FY2026E</t>
        </is>
      </c>
      <c r="C30" s="14" t="inlineStr">
        <is>
          <t>FY2027E</t>
        </is>
      </c>
      <c r="D30" s="14" t="inlineStr">
        <is>
          <t>FY2028E</t>
        </is>
      </c>
      <c r="E30" s="14" t="inlineStr">
        <is>
          <t>FY2029E</t>
        </is>
      </c>
      <c r="F30" s="14" t="inlineStr">
        <is>
          <t>FY2030E</t>
        </is>
      </c>
    </row>
    <row r="31">
      <c r="A31" s="6" t="inlineStr">
        <is>
          <t>Opening property, plant and equipment</t>
        </is>
      </c>
      <c r="B31" s="18">
        <f>D5</f>
        <v/>
      </c>
      <c r="C31" s="33">
        <f>B37</f>
        <v/>
      </c>
      <c r="D31" s="33">
        <f>C37</f>
        <v/>
      </c>
      <c r="E31" s="33">
        <f>D37</f>
        <v/>
      </c>
      <c r="F31" s="33">
        <f>E37</f>
        <v/>
      </c>
    </row>
    <row r="32">
      <c r="A32" s="6" t="inlineStr">
        <is>
          <t>Capital expenditure</t>
        </is>
      </c>
      <c r="B32" s="18">
        <f>Assumptions!$B$120</f>
        <v/>
      </c>
      <c r="C32" s="18">
        <f>Assumptions!$C$120</f>
        <v/>
      </c>
      <c r="D32" s="18">
        <f>Assumptions!$D$120</f>
        <v/>
      </c>
      <c r="E32" s="18">
        <f>Assumptions!$E$120</f>
        <v/>
      </c>
      <c r="F32" s="18">
        <f>Assumptions!$F$120</f>
        <v/>
      </c>
    </row>
    <row r="33">
      <c r="A33" s="6" t="inlineStr">
        <is>
          <t>Vessels acquired in the purchase announced 7 August 2026 — the same price that is carried in net debt below</t>
        </is>
      </c>
      <c r="B33" s="18">
        <f>Assumptions!$C$82</f>
        <v/>
      </c>
      <c r="C33" s="33">
        <f>0</f>
        <v/>
      </c>
      <c r="D33" s="33">
        <f>0</f>
        <v/>
      </c>
      <c r="E33" s="33">
        <f>0</f>
        <v/>
      </c>
      <c r="F33" s="33">
        <f>0</f>
        <v/>
      </c>
    </row>
    <row r="34">
      <c r="A34" s="6" t="inlineStr">
        <is>
          <t>Depreciation rate on property, plant and equipment</t>
        </is>
      </c>
      <c r="B34" s="19">
        <f>Assumptions!$C$121</f>
        <v/>
      </c>
      <c r="C34" s="19">
        <f>Assumptions!$C$121</f>
        <v/>
      </c>
      <c r="D34" s="19">
        <f>Assumptions!$C$121</f>
        <v/>
      </c>
      <c r="E34" s="19">
        <f>Assumptions!$C$121</f>
        <v/>
      </c>
      <c r="F34" s="19">
        <f>Assumptions!$C$121</f>
        <v/>
      </c>
    </row>
    <row r="35">
      <c r="A35" s="6" t="inlineStr">
        <is>
          <t>First-pass depreciation, on the opening balance plus the full additions</t>
        </is>
      </c>
      <c r="B35" s="33">
        <f>B34*(B31+(B31+B32+B33))/2</f>
        <v/>
      </c>
      <c r="C35" s="33">
        <f>C34*(C31+(C31+C32+C33))/2</f>
        <v/>
      </c>
      <c r="D35" s="33">
        <f>D34*(D31+(D31+D32+D33))/2</f>
        <v/>
      </c>
      <c r="E35" s="33">
        <f>E34*(E31+(E31+E32+E33))/2</f>
        <v/>
      </c>
      <c r="F35" s="33">
        <f>F34*(F31+(F31+F32+F33))/2</f>
        <v/>
      </c>
    </row>
    <row r="36">
      <c r="A36" s="6" t="inlineStr">
        <is>
          <t>Depreciation on property, plant and equipment — on the average of opening and closing</t>
        </is>
      </c>
      <c r="B36" s="33">
        <f>B34*(B31+(B31+B32+B33-B35))/2</f>
        <v/>
      </c>
      <c r="C36" s="33">
        <f>C34*(C31+(C31+C32+C33-C35))/2</f>
        <v/>
      </c>
      <c r="D36" s="33">
        <f>D34*(D31+(D31+D32+D33-D35))/2</f>
        <v/>
      </c>
      <c r="E36" s="33">
        <f>E34*(E31+(E31+E32+E33-E35))/2</f>
        <v/>
      </c>
      <c r="F36" s="33">
        <f>F34*(F31+(F31+F32+F33-F35))/2</f>
        <v/>
      </c>
    </row>
    <row r="37">
      <c r="A37" s="34" t="inlineStr">
        <is>
          <t>Closing property, plant and equipment</t>
        </is>
      </c>
      <c r="B37" s="35">
        <f>B31+B32+B33-B36</f>
        <v/>
      </c>
      <c r="C37" s="35">
        <f>C31+C32+C33-C36</f>
        <v/>
      </c>
      <c r="D37" s="35">
        <f>D31+D32+D33-D36</f>
        <v/>
      </c>
      <c r="E37" s="35">
        <f>E31+E32+E33-E36</f>
        <v/>
      </c>
      <c r="F37" s="35">
        <f>F31+F32+F33-F36</f>
        <v/>
      </c>
    </row>
    <row r="38">
      <c r="A38" s="6" t="inlineStr">
        <is>
          <t>Other depreciation and amortisation, escalated</t>
        </is>
      </c>
      <c r="B38" s="33">
        <f>Assumptions!$C$122*(1+Assumptions!$C$92)^1</f>
        <v/>
      </c>
      <c r="C38" s="33">
        <f>Assumptions!$C$122*(1+Assumptions!$C$92)^2</f>
        <v/>
      </c>
      <c r="D38" s="33">
        <f>Assumptions!$C$122*(1+Assumptions!$C$92)^3</f>
        <v/>
      </c>
      <c r="E38" s="33">
        <f>Assumptions!$C$122*(1+Assumptions!$C$92)^4</f>
        <v/>
      </c>
      <c r="F38" s="33">
        <f>Assumptions!$C$122*(1+Assumptions!$C$92)^5</f>
        <v/>
      </c>
    </row>
    <row r="39">
      <c r="A39" s="14" t="inlineStr">
        <is>
          <t>Total depreciation and amortisation</t>
        </is>
      </c>
      <c r="B39" s="39">
        <f>B36+B38</f>
        <v/>
      </c>
      <c r="C39" s="39">
        <f>C36+C38</f>
        <v/>
      </c>
      <c r="D39" s="39">
        <f>D36+D38</f>
        <v/>
      </c>
      <c r="E39" s="39">
        <f>E36+E38</f>
        <v/>
      </c>
      <c r="F39" s="39">
        <f>F36+F38</f>
        <v/>
      </c>
    </row>
    <row r="40">
      <c r="A40" s="11" t="inlineStr">
        <is>
          <t>THE WORKING-CAPITAL ROLL FROM THE DAYS RATIOS</t>
        </is>
      </c>
      <c r="B40" s="14" t="inlineStr">
        <is>
          <t>FY2026E</t>
        </is>
      </c>
      <c r="C40" s="14" t="inlineStr">
        <is>
          <t>FY2027E</t>
        </is>
      </c>
      <c r="D40" s="14" t="inlineStr">
        <is>
          <t>FY2028E</t>
        </is>
      </c>
      <c r="E40" s="14" t="inlineStr">
        <is>
          <t>FY2029E</t>
        </is>
      </c>
      <c r="F40" s="14" t="inlineStr">
        <is>
          <t>FY2030E</t>
        </is>
      </c>
    </row>
    <row r="41">
      <c r="A41" s="6" t="inlineStr">
        <is>
          <t>Revenue</t>
        </is>
      </c>
      <c r="B41" s="18">
        <f>DCF!B5</f>
        <v/>
      </c>
      <c r="C41" s="18">
        <f>DCF!C5</f>
        <v/>
      </c>
      <c r="D41" s="18">
        <f>DCF!D5</f>
        <v/>
      </c>
      <c r="E41" s="18">
        <f>DCF!E5</f>
        <v/>
      </c>
      <c r="F41" s="18">
        <f>DCF!F5</f>
        <v/>
      </c>
    </row>
    <row r="42">
      <c r="A42" s="6" t="inlineStr">
        <is>
          <t>Total operating costs</t>
        </is>
      </c>
      <c r="B42" s="33">
        <f>B41-DCF!B6</f>
        <v/>
      </c>
      <c r="C42" s="33">
        <f>C41-DCF!C6</f>
        <v/>
      </c>
      <c r="D42" s="33">
        <f>D41-DCF!D6</f>
        <v/>
      </c>
      <c r="E42" s="33">
        <f>E41-DCF!E6</f>
        <v/>
      </c>
      <c r="F42" s="33">
        <f>F41-DCF!F6</f>
        <v/>
      </c>
    </row>
    <row r="43">
      <c r="A43" s="6" t="inlineStr">
        <is>
          <t>Days sales outstanding</t>
        </is>
      </c>
      <c r="B43" s="17">
        <f>Assumptions!$C$126</f>
        <v/>
      </c>
      <c r="C43" s="17">
        <f>Assumptions!$C$126</f>
        <v/>
      </c>
      <c r="D43" s="17">
        <f>Assumptions!$C$126</f>
        <v/>
      </c>
      <c r="E43" s="17">
        <f>Assumptions!$C$126</f>
        <v/>
      </c>
      <c r="F43" s="17">
        <f>Assumptions!$C$126</f>
        <v/>
      </c>
    </row>
    <row r="44">
      <c r="A44" s="6" t="inlineStr">
        <is>
          <t>Days inventory outstanding</t>
        </is>
      </c>
      <c r="B44" s="17">
        <f>Assumptions!$C$127</f>
        <v/>
      </c>
      <c r="C44" s="17">
        <f>Assumptions!$C$127</f>
        <v/>
      </c>
      <c r="D44" s="17">
        <f>Assumptions!$C$127</f>
        <v/>
      </c>
      <c r="E44" s="17">
        <f>Assumptions!$C$127</f>
        <v/>
      </c>
      <c r="F44" s="17">
        <f>Assumptions!$C$127</f>
        <v/>
      </c>
    </row>
    <row r="45">
      <c r="A45" s="6" t="inlineStr">
        <is>
          <t>Days payable outstanding</t>
        </is>
      </c>
      <c r="B45" s="17">
        <f>Assumptions!$C$128</f>
        <v/>
      </c>
      <c r="C45" s="17">
        <f>Assumptions!$C$128</f>
        <v/>
      </c>
      <c r="D45" s="17">
        <f>Assumptions!$C$128</f>
        <v/>
      </c>
      <c r="E45" s="17">
        <f>Assumptions!$C$128</f>
        <v/>
      </c>
      <c r="F45" s="17">
        <f>Assumptions!$C$128</f>
        <v/>
      </c>
    </row>
    <row r="46">
      <c r="A46" s="6" t="inlineStr">
        <is>
          <t>Trade and other receivables — revenue x days / 365</t>
        </is>
      </c>
      <c r="B46" s="33">
        <f>B41*B43/365</f>
        <v/>
      </c>
      <c r="C46" s="33">
        <f>C41*C43/365</f>
        <v/>
      </c>
      <c r="D46" s="33">
        <f>D41*D43/365</f>
        <v/>
      </c>
      <c r="E46" s="33">
        <f>E41*E43/365</f>
        <v/>
      </c>
      <c r="F46" s="33">
        <f>F41*F43/365</f>
        <v/>
      </c>
    </row>
    <row r="47">
      <c r="A47" s="6" t="inlineStr">
        <is>
          <t>Inventories — operating cost x days / 365</t>
        </is>
      </c>
      <c r="B47" s="33">
        <f>B42*B44/365</f>
        <v/>
      </c>
      <c r="C47" s="33">
        <f>C42*C44/365</f>
        <v/>
      </c>
      <c r="D47" s="33">
        <f>D42*D44/365</f>
        <v/>
      </c>
      <c r="E47" s="33">
        <f>E42*E44/365</f>
        <v/>
      </c>
      <c r="F47" s="33">
        <f>F42*F44/365</f>
        <v/>
      </c>
    </row>
    <row r="48">
      <c r="A48" s="6" t="inlineStr">
        <is>
          <t>Trade and other payables — operating cost x days / 365</t>
        </is>
      </c>
      <c r="B48" s="33">
        <f>B42*B45/365</f>
        <v/>
      </c>
      <c r="C48" s="33">
        <f>C42*C45/365</f>
        <v/>
      </c>
      <c r="D48" s="33">
        <f>D42*D45/365</f>
        <v/>
      </c>
      <c r="E48" s="33">
        <f>E42*E45/365</f>
        <v/>
      </c>
      <c r="F48" s="33">
        <f>F42*F45/365</f>
        <v/>
      </c>
    </row>
    <row r="49">
      <c r="A49" s="14" t="inlineStr">
        <is>
          <t>Net working capital</t>
        </is>
      </c>
      <c r="B49" s="39">
        <f>B46+B47-B48</f>
        <v/>
      </c>
      <c r="C49" s="39">
        <f>C46+C47-C48</f>
        <v/>
      </c>
      <c r="D49" s="39">
        <f>D46+D47-D48</f>
        <v/>
      </c>
      <c r="E49" s="39">
        <f>E46+E47-E48</f>
        <v/>
      </c>
      <c r="F49" s="39">
        <f>F46+F47-F48</f>
        <v/>
      </c>
    </row>
    <row r="50">
      <c r="A50" s="34" t="inlineStr">
        <is>
          <t>Change in net working capital</t>
        </is>
      </c>
      <c r="B50" s="35">
        <f>B49-Assumptions!$C$129</f>
        <v/>
      </c>
      <c r="C50" s="35">
        <f>C49-B49</f>
        <v/>
      </c>
      <c r="D50" s="35">
        <f>D49-C49</f>
        <v/>
      </c>
      <c r="E50" s="35">
        <f>E49-D49</f>
        <v/>
      </c>
      <c r="F50" s="35">
        <f>F49-E49</f>
        <v/>
      </c>
    </row>
    <row r="52">
      <c r="A52" s="11" t="inlineStr">
        <is>
          <t>THE NET-DEBT ROLL</t>
        </is>
      </c>
      <c r="B52" s="14" t="inlineStr">
        <is>
          <t>FY2026E</t>
        </is>
      </c>
      <c r="C52" s="14" t="inlineStr">
        <is>
          <t>FY2027E</t>
        </is>
      </c>
      <c r="D52" s="14" t="inlineStr">
        <is>
          <t>FY2028E</t>
        </is>
      </c>
      <c r="E52" s="14" t="inlineStr">
        <is>
          <t>FY2029E</t>
        </is>
      </c>
      <c r="F52" s="14" t="inlineStr">
        <is>
          <t>FY2030E</t>
        </is>
      </c>
    </row>
    <row r="53">
      <c r="A53" s="6" t="inlineStr">
        <is>
          <t>Opening net debt — including the deferred consideration and the price of the vessels bought on 7 August 2026</t>
        </is>
      </c>
      <c r="B53" s="18">
        <f>Assumptions!$C$150+Assumptions!$C$151+Assumptions!$C$82</f>
        <v/>
      </c>
      <c r="C53" s="33">
        <f>B62</f>
        <v/>
      </c>
      <c r="D53" s="33">
        <f>C62</f>
        <v/>
      </c>
      <c r="E53" s="33">
        <f>D62</f>
        <v/>
      </c>
      <c r="F53" s="33">
        <f>E62</f>
        <v/>
      </c>
    </row>
    <row r="54">
      <c r="A54" s="6" t="inlineStr">
        <is>
          <t>Gross borrowings — opening net debt plus the cash held</t>
        </is>
      </c>
      <c r="B54" s="33">
        <f>B53+Assumptions!$C$159</f>
        <v/>
      </c>
      <c r="C54" s="33">
        <f>C53+Assumptions!$C$159</f>
        <v/>
      </c>
      <c r="D54" s="33">
        <f>D53+Assumptions!$C$159</f>
        <v/>
      </c>
      <c r="E54" s="33">
        <f>E53+Assumptions!$C$159</f>
        <v/>
      </c>
      <c r="F54" s="33">
        <f>F53+Assumptions!$C$159</f>
        <v/>
      </c>
    </row>
    <row r="55">
      <c r="A55" s="6" t="inlineStr">
        <is>
          <t>Interest charge on gross borrowings</t>
        </is>
      </c>
      <c r="B55" s="33">
        <f>DCF!$C$92*B54</f>
        <v/>
      </c>
      <c r="C55" s="33">
        <f>DCF!$C$92*C54</f>
        <v/>
      </c>
      <c r="D55" s="33">
        <f>DCF!$C$92*D54</f>
        <v/>
      </c>
      <c r="E55" s="33">
        <f>DCF!$C$92*E54</f>
        <v/>
      </c>
      <c r="F55" s="33">
        <f>DCF!$C$92*F54</f>
        <v/>
      </c>
    </row>
    <row r="56">
      <c r="A56" s="6" t="inlineStr">
        <is>
          <t>Free cash flow to the firm</t>
        </is>
      </c>
      <c r="B56" s="18">
        <f>DCF!B15</f>
        <v/>
      </c>
      <c r="C56" s="18">
        <f>DCF!C15</f>
        <v/>
      </c>
      <c r="D56" s="18">
        <f>DCF!D15</f>
        <v/>
      </c>
      <c r="E56" s="18">
        <f>DCF!E15</f>
        <v/>
      </c>
      <c r="F56" s="18">
        <f>DCF!F15</f>
        <v/>
      </c>
    </row>
    <row r="57">
      <c r="A57" s="6" t="inlineStr">
        <is>
          <t>Less interest after tax</t>
        </is>
      </c>
      <c r="B57" s="33">
        <f>-B55*(1-Assumptions!$C$21)</f>
        <v/>
      </c>
      <c r="C57" s="33">
        <f>-C55*(1-Assumptions!$C$21)</f>
        <v/>
      </c>
      <c r="D57" s="33">
        <f>-D55*(1-Assumptions!$C$21)</f>
        <v/>
      </c>
      <c r="E57" s="33">
        <f>-E55*(1-Assumptions!$C$21)</f>
        <v/>
      </c>
      <c r="F57" s="33">
        <f>-F55*(1-Assumptions!$C$21)</f>
        <v/>
      </c>
    </row>
    <row r="58">
      <c r="A58" s="6" t="inlineStr">
        <is>
          <t>Plus finance income after tax</t>
        </is>
      </c>
      <c r="B58" s="33">
        <f>Assumptions!$C$24*Assumptions!$C$159*(1-Assumptions!$C$21)</f>
        <v/>
      </c>
      <c r="C58" s="33">
        <f>Assumptions!$C$24*Assumptions!$C$159*(1-Assumptions!$C$21)</f>
        <v/>
      </c>
      <c r="D58" s="33">
        <f>Assumptions!$C$24*Assumptions!$C$159*(1-Assumptions!$C$21)</f>
        <v/>
      </c>
      <c r="E58" s="33">
        <f>Assumptions!$C$24*Assumptions!$C$159*(1-Assumptions!$C$21)</f>
        <v/>
      </c>
      <c r="F58" s="33">
        <f>Assumptions!$C$24*Assumptions!$C$159*(1-Assumptions!$C$21)</f>
        <v/>
      </c>
    </row>
    <row r="59">
      <c r="A59" s="6" t="inlineStr">
        <is>
          <t>Less perpetual capital securities coupon</t>
        </is>
      </c>
      <c r="B59" s="33">
        <f>-Assumptions!$C$152*(Assumptions!$C$24+Assumptions!$C$153)</f>
        <v/>
      </c>
      <c r="C59" s="33">
        <f>-Assumptions!$C$152*(Assumptions!$C$24+Assumptions!$C$153)</f>
        <v/>
      </c>
      <c r="D59" s="33">
        <f>-Assumptions!$C$152*(Assumptions!$C$24+Assumptions!$C$153)</f>
        <v/>
      </c>
      <c r="E59" s="33">
        <f>-Assumptions!$C$152*(Assumptions!$C$24+Assumptions!$C$153)</f>
        <v/>
      </c>
      <c r="F59" s="33">
        <f>-Assumptions!$C$152*(Assumptions!$C$24+Assumptions!$C$153)</f>
        <v/>
      </c>
    </row>
    <row r="60">
      <c r="A60" s="34" t="inlineStr">
        <is>
          <t>Free cash flow to equity</t>
        </is>
      </c>
      <c r="B60" s="35">
        <f>B56+B57+B58+B59</f>
        <v/>
      </c>
      <c r="C60" s="35">
        <f>C56+C57+C58+C59</f>
        <v/>
      </c>
      <c r="D60" s="35">
        <f>D56+D57+D58+D59</f>
        <v/>
      </c>
      <c r="E60" s="35">
        <f>E56+E57+E58+E59</f>
        <v/>
      </c>
      <c r="F60" s="35">
        <f>F56+F57+F58+F59</f>
        <v/>
      </c>
    </row>
    <row r="61">
      <c r="A61" s="6" t="inlineStr">
        <is>
          <t>Less ordinary dividends</t>
        </is>
      </c>
      <c r="B61" s="33">
        <f>-Assumptions!$C$162*(1+Assumptions!$C$163)^0</f>
        <v/>
      </c>
      <c r="C61" s="33">
        <f>-Assumptions!$C$162*(1+Assumptions!$C$163)^1</f>
        <v/>
      </c>
      <c r="D61" s="33">
        <f>-Assumptions!$C$162*(1+Assumptions!$C$163)^2</f>
        <v/>
      </c>
      <c r="E61" s="33">
        <f>-Assumptions!$C$162*(1+Assumptions!$C$163)^3</f>
        <v/>
      </c>
      <c r="F61" s="33">
        <f>-Assumptions!$C$162*(1+Assumptions!$C$163)^4</f>
        <v/>
      </c>
    </row>
    <row r="62">
      <c r="A62" s="14" t="inlineStr">
        <is>
          <t>Closing net debt</t>
        </is>
      </c>
      <c r="B62" s="39">
        <f>B53-B60-B61</f>
        <v/>
      </c>
      <c r="C62" s="39">
        <f>C53-C60-C61</f>
        <v/>
      </c>
      <c r="D62" s="39">
        <f>D53-D60-D61</f>
        <v/>
      </c>
      <c r="E62" s="39">
        <f>E53-E60-E61</f>
        <v/>
      </c>
      <c r="F62" s="39">
        <f>F53-F60-F61</f>
        <v/>
      </c>
    </row>
    <row r="64">
      <c r="A64" s="11" t="inlineStr">
        <is>
          <t>THE EQUITY ROLL</t>
        </is>
      </c>
      <c r="B64" s="14" t="inlineStr">
        <is>
          <t>FY2026E</t>
        </is>
      </c>
      <c r="C64" s="14" t="inlineStr">
        <is>
          <t>FY2027E</t>
        </is>
      </c>
      <c r="D64" s="14" t="inlineStr">
        <is>
          <t>FY2028E</t>
        </is>
      </c>
      <c r="E64" s="14" t="inlineStr">
        <is>
          <t>FY2029E</t>
        </is>
      </c>
      <c r="F64" s="14" t="inlineStr">
        <is>
          <t>FY2030E</t>
        </is>
      </c>
    </row>
    <row r="65">
      <c r="A65" s="6" t="inlineStr">
        <is>
          <t>Opening equity attributable to shareholders</t>
        </is>
      </c>
      <c r="B65" s="18">
        <f>Assumptions!$C$158</f>
        <v/>
      </c>
      <c r="C65" s="33">
        <f>B69</f>
        <v/>
      </c>
      <c r="D65" s="33">
        <f>C69</f>
        <v/>
      </c>
      <c r="E65" s="33">
        <f>D69</f>
        <v/>
      </c>
      <c r="F65" s="33">
        <f>E69</f>
        <v/>
      </c>
    </row>
    <row r="66">
      <c r="A66" s="6" t="inlineStr">
        <is>
          <t>Add profit attributable to shareholders</t>
        </is>
      </c>
      <c r="B66" s="18">
        <f>'Income Statement'!E28</f>
        <v/>
      </c>
      <c r="C66" s="18">
        <f>'Income Statement'!F28</f>
        <v/>
      </c>
      <c r="D66" s="18">
        <f>'Income Statement'!G28</f>
        <v/>
      </c>
      <c r="E66" s="18">
        <f>'Income Statement'!H28</f>
        <v/>
      </c>
      <c r="F66" s="18">
        <f>'Income Statement'!I28</f>
        <v/>
      </c>
    </row>
    <row r="67">
      <c r="A67" s="6" t="inlineStr">
        <is>
          <t>Less ordinary dividends</t>
        </is>
      </c>
      <c r="B67" s="33">
        <f>B61</f>
        <v/>
      </c>
      <c r="C67" s="33">
        <f>C61</f>
        <v/>
      </c>
      <c r="D67" s="33">
        <f>D61</f>
        <v/>
      </c>
      <c r="E67" s="33">
        <f>E61</f>
        <v/>
      </c>
      <c r="F67" s="33">
        <f>F61</f>
        <v/>
      </c>
    </row>
    <row r="68">
      <c r="A68" s="6" t="inlineStr">
        <is>
          <t>Less perpetual capital securities coupon</t>
        </is>
      </c>
      <c r="B68" s="33">
        <f>B59</f>
        <v/>
      </c>
      <c r="C68" s="33">
        <f>C59</f>
        <v/>
      </c>
      <c r="D68" s="33">
        <f>D59</f>
        <v/>
      </c>
      <c r="E68" s="33">
        <f>E59</f>
        <v/>
      </c>
      <c r="F68" s="33">
        <f>F59</f>
        <v/>
      </c>
    </row>
    <row r="69">
      <c r="A69" s="14" t="inlineStr">
        <is>
          <t>Closing equity attributable to shareholders</t>
        </is>
      </c>
      <c r="B69" s="39">
        <f>B65+B66+B67+B68</f>
        <v/>
      </c>
      <c r="C69" s="39">
        <f>C65+C66+C67+C68</f>
        <v/>
      </c>
      <c r="D69" s="39">
        <f>D65+D66+D67+D68</f>
        <v/>
      </c>
      <c r="E69" s="39">
        <f>E65+E66+E67+E68</f>
        <v/>
      </c>
      <c r="F69" s="39">
        <f>F65+F66+F67+F68</f>
        <v/>
      </c>
    </row>
    <row r="70">
      <c r="A70" s="6" t="inlineStr">
        <is>
          <t>Ordinary dividend per share (USD)</t>
        </is>
      </c>
      <c r="B70" s="47">
        <f>-B67/Assumptions!$C$6/1000</f>
        <v/>
      </c>
      <c r="C70" s="47">
        <f>-C67/Assumptions!$C$6/1000</f>
        <v/>
      </c>
      <c r="D70" s="47">
        <f>-D67/Assumptions!$C$6/1000</f>
        <v/>
      </c>
      <c r="E70" s="47">
        <f>-E67/Assumptions!$C$6/1000</f>
        <v/>
      </c>
      <c r="F70" s="47">
        <f>-F67/Assumptions!$C$6/1000</f>
        <v/>
      </c>
    </row>
    <row r="72">
      <c r="A72" s="4" t="inlineStr">
        <is>
          <t>The condensed layout above does not foot to zero: right-of-use assets, investment properties, provisions, deferred tax and the other liabilities not shown separately are omitted from the forecast columns because they are not driven by anything in this model. The audited FY2023-25 columns carry every line as reported.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Cash flow — the audited record and the forecast waterfall</t>
        </is>
      </c>
      <c r="B1" s="2" t="n"/>
      <c r="C1" s="2" t="n"/>
      <c r="D1" s="2" t="n"/>
      <c r="E1" s="2" t="n"/>
      <c r="F1" s="2" t="n"/>
      <c r="G1" s="2" t="n"/>
      <c r="H1" s="2" t="n"/>
      <c r="I1" s="2" t="n"/>
    </row>
    <row r="2">
      <c r="A2" s="4" t="inlineStr">
        <is>
          <t>USD thousand.</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EBITDA (operating)</t>
        </is>
      </c>
      <c r="B5" s="18">
        <f>'Income Statement'!B14</f>
        <v/>
      </c>
      <c r="C5" s="18">
        <f>'Income Statement'!C14</f>
        <v/>
      </c>
      <c r="D5" s="18">
        <f>'Income Statement'!D14</f>
        <v/>
      </c>
      <c r="E5" s="18">
        <f>'Income Statement'!E14</f>
        <v/>
      </c>
      <c r="F5" s="18">
        <f>'Income Statement'!F14</f>
        <v/>
      </c>
      <c r="G5" s="18">
        <f>'Income Statement'!G14</f>
        <v/>
      </c>
      <c r="H5" s="18">
        <f>'Income Statement'!H14</f>
        <v/>
      </c>
      <c r="I5" s="18">
        <f>'Income Statement'!I14</f>
        <v/>
      </c>
    </row>
    <row r="6">
      <c r="A6" s="6" t="inlineStr">
        <is>
          <t>Operating cash flow, as reported</t>
        </is>
      </c>
      <c r="B6" s="27" t="n">
        <v>822648</v>
      </c>
      <c r="C6" s="27" t="n">
        <v>1068865</v>
      </c>
      <c r="D6" s="27" t="n">
        <v>1370729</v>
      </c>
      <c r="E6" s="33" t="inlineStr">
        <is>
          <t>-</t>
        </is>
      </c>
      <c r="F6" s="33" t="inlineStr">
        <is>
          <t>-</t>
        </is>
      </c>
      <c r="G6" s="33" t="inlineStr">
        <is>
          <t>-</t>
        </is>
      </c>
      <c r="H6" s="33" t="inlineStr">
        <is>
          <t>-</t>
        </is>
      </c>
      <c r="I6" s="33" t="inlineStr">
        <is>
          <t>-</t>
        </is>
      </c>
    </row>
    <row r="7">
      <c r="A7" s="6" t="inlineStr">
        <is>
          <t>Capital expenditure</t>
        </is>
      </c>
      <c r="B7" s="27" t="n">
        <v>-774015</v>
      </c>
      <c r="C7" s="27" t="n">
        <v>-810851</v>
      </c>
      <c r="D7" s="27" t="n">
        <v>-1106529</v>
      </c>
      <c r="E7" s="18">
        <f>DCF!B13</f>
        <v/>
      </c>
      <c r="F7" s="18">
        <f>DCF!C13</f>
        <v/>
      </c>
      <c r="G7" s="18">
        <f>DCF!D13</f>
        <v/>
      </c>
      <c r="H7" s="18">
        <f>DCF!E13</f>
        <v/>
      </c>
      <c r="I7" s="18">
        <f>DCF!F13</f>
        <v/>
      </c>
    </row>
    <row r="8">
      <c r="A8" s="14" t="inlineStr">
        <is>
          <t>Free cash flow, as reported</t>
        </is>
      </c>
      <c r="B8" s="39">
        <f>B6+B7</f>
        <v/>
      </c>
      <c r="C8" s="39">
        <f>C6+C7</f>
        <v/>
      </c>
      <c r="D8" s="39">
        <f>D6+D7</f>
        <v/>
      </c>
      <c r="E8" s="39" t="inlineStr">
        <is>
          <t>-</t>
        </is>
      </c>
      <c r="F8" s="39" t="inlineStr">
        <is>
          <t>-</t>
        </is>
      </c>
      <c r="G8" s="39" t="inlineStr">
        <is>
          <t>-</t>
        </is>
      </c>
      <c r="H8" s="39" t="inlineStr">
        <is>
          <t>-</t>
        </is>
      </c>
      <c r="I8" s="39" t="inlineStr">
        <is>
          <t>-</t>
        </is>
      </c>
    </row>
    <row r="10">
      <c r="A10" s="11" t="inlineStr">
        <is>
          <t>THE FORECAST WATERFALL — LINKED TO THE DISCOUNTED-CASH-FLOW SHEET</t>
        </is>
      </c>
      <c r="B10" s="14" t="n"/>
      <c r="C10" s="14" t="n"/>
      <c r="D10" s="14" t="n"/>
      <c r="E10" s="14" t="inlineStr">
        <is>
          <t>FY2026E</t>
        </is>
      </c>
      <c r="F10" s="14" t="inlineStr">
        <is>
          <t>FY2027E</t>
        </is>
      </c>
      <c r="G10" s="14" t="inlineStr">
        <is>
          <t>FY2028E</t>
        </is>
      </c>
      <c r="H10" s="14" t="inlineStr">
        <is>
          <t>FY2029E</t>
        </is>
      </c>
      <c r="I10" s="14" t="inlineStr">
        <is>
          <t>FY2030E</t>
        </is>
      </c>
    </row>
    <row r="11">
      <c r="A11" s="6" t="inlineStr">
        <is>
          <t>NOPAT</t>
        </is>
      </c>
      <c r="B11" s="33" t="inlineStr">
        <is>
          <t>-</t>
        </is>
      </c>
      <c r="C11" s="33" t="inlineStr">
        <is>
          <t>-</t>
        </is>
      </c>
      <c r="D11" s="33" t="inlineStr">
        <is>
          <t>-</t>
        </is>
      </c>
      <c r="E11" s="18">
        <f>DCF!B11</f>
        <v/>
      </c>
      <c r="F11" s="18">
        <f>DCF!C11</f>
        <v/>
      </c>
      <c r="G11" s="18">
        <f>DCF!D11</f>
        <v/>
      </c>
      <c r="H11" s="18">
        <f>DCF!E11</f>
        <v/>
      </c>
      <c r="I11" s="18">
        <f>DCF!F11</f>
        <v/>
      </c>
    </row>
    <row r="12">
      <c r="A12" s="6" t="inlineStr">
        <is>
          <t>Add back depreciation and amortisation</t>
        </is>
      </c>
      <c r="B12" s="33" t="inlineStr">
        <is>
          <t>-</t>
        </is>
      </c>
      <c r="C12" s="33" t="inlineStr">
        <is>
          <t>-</t>
        </is>
      </c>
      <c r="D12" s="33" t="inlineStr">
        <is>
          <t>-</t>
        </is>
      </c>
      <c r="E12" s="18">
        <f>DCF!B12</f>
        <v/>
      </c>
      <c r="F12" s="18">
        <f>DCF!C12</f>
        <v/>
      </c>
      <c r="G12" s="18">
        <f>DCF!D12</f>
        <v/>
      </c>
      <c r="H12" s="18">
        <f>DCF!E12</f>
        <v/>
      </c>
      <c r="I12" s="18">
        <f>DCF!F12</f>
        <v/>
      </c>
    </row>
    <row r="13">
      <c r="A13" s="6" t="inlineStr">
        <is>
          <t>Less capital expenditure</t>
        </is>
      </c>
      <c r="B13" s="33" t="inlineStr">
        <is>
          <t>-</t>
        </is>
      </c>
      <c r="C13" s="33" t="inlineStr">
        <is>
          <t>-</t>
        </is>
      </c>
      <c r="D13" s="33" t="inlineStr">
        <is>
          <t>-</t>
        </is>
      </c>
      <c r="E13" s="18">
        <f>DCF!B13</f>
        <v/>
      </c>
      <c r="F13" s="18">
        <f>DCF!C13</f>
        <v/>
      </c>
      <c r="G13" s="18">
        <f>DCF!D13</f>
        <v/>
      </c>
      <c r="H13" s="18">
        <f>DCF!E13</f>
        <v/>
      </c>
      <c r="I13" s="18">
        <f>DCF!F13</f>
        <v/>
      </c>
    </row>
    <row r="14">
      <c r="A14" s="6" t="inlineStr">
        <is>
          <t>Less change in working capital</t>
        </is>
      </c>
      <c r="B14" s="33" t="inlineStr">
        <is>
          <t>-</t>
        </is>
      </c>
      <c r="C14" s="33" t="inlineStr">
        <is>
          <t>-</t>
        </is>
      </c>
      <c r="D14" s="33" t="inlineStr">
        <is>
          <t>-</t>
        </is>
      </c>
      <c r="E14" s="18">
        <f>DCF!B14</f>
        <v/>
      </c>
      <c r="F14" s="18">
        <f>DCF!C14</f>
        <v/>
      </c>
      <c r="G14" s="18">
        <f>DCF!D14</f>
        <v/>
      </c>
      <c r="H14" s="18">
        <f>DCF!E14</f>
        <v/>
      </c>
      <c r="I14" s="18">
        <f>DCF!F14</f>
        <v/>
      </c>
    </row>
    <row r="15">
      <c r="A15" s="14" t="inlineStr">
        <is>
          <t>Free cash flow to the firm</t>
        </is>
      </c>
      <c r="B15" s="39" t="inlineStr">
        <is>
          <t>-</t>
        </is>
      </c>
      <c r="C15" s="39" t="inlineStr">
        <is>
          <t>-</t>
        </is>
      </c>
      <c r="D15" s="39" t="inlineStr">
        <is>
          <t>-</t>
        </is>
      </c>
      <c r="E15" s="39">
        <f>E11+E12+E13+E14</f>
        <v/>
      </c>
      <c r="F15" s="39">
        <f>F11+F12+F13+F14</f>
        <v/>
      </c>
      <c r="G15" s="39">
        <f>G11+G12+G13+G14</f>
        <v/>
      </c>
      <c r="H15" s="39">
        <f>H11+H12+H13+H14</f>
        <v/>
      </c>
      <c r="I15" s="39">
        <f>I11+I12+I13+I14</f>
        <v/>
      </c>
    </row>
    <row r="16">
      <c r="A16" s="6" t="inlineStr">
        <is>
          <t>Less interest after tax</t>
        </is>
      </c>
      <c r="B16" s="33" t="inlineStr">
        <is>
          <t>-</t>
        </is>
      </c>
      <c r="C16" s="33" t="inlineStr">
        <is>
          <t>-</t>
        </is>
      </c>
      <c r="D16" s="33" t="inlineStr">
        <is>
          <t>-</t>
        </is>
      </c>
      <c r="E16" s="18">
        <f>'Balance Sheet'!B57</f>
        <v/>
      </c>
      <c r="F16" s="18">
        <f>'Balance Sheet'!C57</f>
        <v/>
      </c>
      <c r="G16" s="18">
        <f>'Balance Sheet'!D57</f>
        <v/>
      </c>
      <c r="H16" s="18">
        <f>'Balance Sheet'!E57</f>
        <v/>
      </c>
      <c r="I16" s="18">
        <f>'Balance Sheet'!F57</f>
        <v/>
      </c>
    </row>
    <row r="17">
      <c r="A17" s="6" t="inlineStr">
        <is>
          <t>Plus finance income after tax</t>
        </is>
      </c>
      <c r="B17" s="33" t="inlineStr">
        <is>
          <t>-</t>
        </is>
      </c>
      <c r="C17" s="33" t="inlineStr">
        <is>
          <t>-</t>
        </is>
      </c>
      <c r="D17" s="33" t="inlineStr">
        <is>
          <t>-</t>
        </is>
      </c>
      <c r="E17" s="18">
        <f>'Balance Sheet'!B58</f>
        <v/>
      </c>
      <c r="F17" s="18">
        <f>'Balance Sheet'!C58</f>
        <v/>
      </c>
      <c r="G17" s="18">
        <f>'Balance Sheet'!D58</f>
        <v/>
      </c>
      <c r="H17" s="18">
        <f>'Balance Sheet'!E58</f>
        <v/>
      </c>
      <c r="I17" s="18">
        <f>'Balance Sheet'!F58</f>
        <v/>
      </c>
    </row>
    <row r="18">
      <c r="A18" s="6" t="inlineStr">
        <is>
          <t>Less perpetual capital securities coupon</t>
        </is>
      </c>
      <c r="B18" s="33" t="inlineStr">
        <is>
          <t>-</t>
        </is>
      </c>
      <c r="C18" s="33" t="inlineStr">
        <is>
          <t>-</t>
        </is>
      </c>
      <c r="D18" s="33" t="inlineStr">
        <is>
          <t>-</t>
        </is>
      </c>
      <c r="E18" s="18">
        <f>'Balance Sheet'!B59</f>
        <v/>
      </c>
      <c r="F18" s="18">
        <f>'Balance Sheet'!C59</f>
        <v/>
      </c>
      <c r="G18" s="18">
        <f>'Balance Sheet'!D59</f>
        <v/>
      </c>
      <c r="H18" s="18">
        <f>'Balance Sheet'!E59</f>
        <v/>
      </c>
      <c r="I18" s="18">
        <f>'Balance Sheet'!F59</f>
        <v/>
      </c>
    </row>
    <row r="19">
      <c r="A19" s="14" t="inlineStr">
        <is>
          <t>Free cash flow to equity</t>
        </is>
      </c>
      <c r="B19" s="39" t="inlineStr">
        <is>
          <t>-</t>
        </is>
      </c>
      <c r="C19" s="39" t="inlineStr">
        <is>
          <t>-</t>
        </is>
      </c>
      <c r="D19" s="39" t="inlineStr">
        <is>
          <t>-</t>
        </is>
      </c>
      <c r="E19" s="39">
        <f>E15+E16+E17+E18</f>
        <v/>
      </c>
      <c r="F19" s="39">
        <f>F15+F16+F17+F18</f>
        <v/>
      </c>
      <c r="G19" s="39">
        <f>G15+G16+G17+G18</f>
        <v/>
      </c>
      <c r="H19" s="39">
        <f>H15+H16+H17+H18</f>
        <v/>
      </c>
      <c r="I19" s="39">
        <f>I15+I16+I17+I18</f>
        <v/>
      </c>
    </row>
    <row r="20">
      <c r="A20" s="6" t="inlineStr">
        <is>
          <t>Less ordinary dividends</t>
        </is>
      </c>
      <c r="B20" s="33" t="inlineStr">
        <is>
          <t>-</t>
        </is>
      </c>
      <c r="C20" s="33" t="inlineStr">
        <is>
          <t>-</t>
        </is>
      </c>
      <c r="D20" s="33" t="inlineStr">
        <is>
          <t>-</t>
        </is>
      </c>
      <c r="E20" s="18">
        <f>'Balance Sheet'!B61</f>
        <v/>
      </c>
      <c r="F20" s="18">
        <f>'Balance Sheet'!C61</f>
        <v/>
      </c>
      <c r="G20" s="18">
        <f>'Balance Sheet'!D61</f>
        <v/>
      </c>
      <c r="H20" s="18">
        <f>'Balance Sheet'!E61</f>
        <v/>
      </c>
      <c r="I20" s="18">
        <f>'Balance Sheet'!F61</f>
        <v/>
      </c>
    </row>
    <row r="21">
      <c r="A21" s="6" t="inlineStr">
        <is>
          <t>Movement in net debt (a fall is a negative)</t>
        </is>
      </c>
      <c r="B21" s="33" t="inlineStr">
        <is>
          <t>-</t>
        </is>
      </c>
      <c r="C21" s="33" t="inlineStr">
        <is>
          <t>-</t>
        </is>
      </c>
      <c r="D21" s="33" t="inlineStr">
        <is>
          <t>-</t>
        </is>
      </c>
      <c r="E21" s="33">
        <f>-E19-E20</f>
        <v/>
      </c>
      <c r="F21" s="33">
        <f>-F19-F20</f>
        <v/>
      </c>
      <c r="G21" s="33">
        <f>-G19-G20</f>
        <v/>
      </c>
      <c r="H21" s="33">
        <f>-H19-H20</f>
        <v/>
      </c>
      <c r="I21" s="33">
        <f>-I19-I20</f>
        <v/>
      </c>
    </row>
    <row r="22">
      <c r="A22" s="6" t="inlineStr">
        <is>
          <t>Cash conversion — free cash flow to the firm over EBITDA</t>
        </is>
      </c>
      <c r="B22" s="10" t="inlineStr">
        <is>
          <t>-</t>
        </is>
      </c>
      <c r="C22" s="10" t="inlineStr">
        <is>
          <t>-</t>
        </is>
      </c>
      <c r="D22" s="10" t="inlineStr">
        <is>
          <t>-</t>
        </is>
      </c>
      <c r="E22" s="10">
        <f>E15/E5</f>
        <v/>
      </c>
      <c r="F22" s="10">
        <f>F15/F5</f>
        <v/>
      </c>
      <c r="G22" s="10">
        <f>G15/G5</f>
        <v/>
      </c>
      <c r="H22" s="10">
        <f>H15/H5</f>
        <v/>
      </c>
      <c r="I22" s="10">
        <f>I15/I5</f>
        <v/>
      </c>
    </row>
    <row r="24">
      <c r="A24" s="4" t="inlineStr">
        <is>
          <t>Cash conversion is the crux of an asset-heavy fleet owner: in 2026 the newbuild programme absorbs more than the whole of the operating cash the business generates, and only as that programme delivers does free cash flow to the firm turn materially positive.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Summary financials — the eight-year picture</t>
        </is>
      </c>
      <c r="B1" s="2" t="n"/>
      <c r="C1" s="2" t="n"/>
      <c r="D1" s="2" t="n"/>
      <c r="E1" s="2" t="n"/>
      <c r="F1" s="2" t="n"/>
      <c r="G1" s="2" t="n"/>
      <c r="H1" s="2" t="n"/>
      <c r="I1" s="2" t="n"/>
    </row>
    <row r="2">
      <c r="A2" s="4" t="inlineStr">
        <is>
          <t>USD thousand unless stated. Every cell on this sheet is a link or a ratio; nothing is typed twice.</t>
        </is>
      </c>
    </row>
    <row r="4">
      <c r="A4" s="5" t="inlineStr">
        <is>
          <t>USD 000</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Revenue</t>
        </is>
      </c>
      <c r="B5" s="18">
        <f>'Income Statement'!B5</f>
        <v/>
      </c>
      <c r="C5" s="18">
        <f>'Income Statement'!C5</f>
        <v/>
      </c>
      <c r="D5" s="18">
        <f>'Income Statement'!D5</f>
        <v/>
      </c>
      <c r="E5" s="18">
        <f>'Income Statement'!E5</f>
        <v/>
      </c>
      <c r="F5" s="18">
        <f>'Income Statement'!F5</f>
        <v/>
      </c>
      <c r="G5" s="18">
        <f>'Income Statement'!G5</f>
        <v/>
      </c>
      <c r="H5" s="18">
        <f>'Income Statement'!H5</f>
        <v/>
      </c>
      <c r="I5" s="18">
        <f>'Income Statement'!I5</f>
        <v/>
      </c>
    </row>
    <row r="6">
      <c r="A6" s="6" t="inlineStr">
        <is>
          <t>Revenue growth</t>
        </is>
      </c>
      <c r="B6" s="10" t="inlineStr">
        <is>
          <t>-</t>
        </is>
      </c>
      <c r="C6" s="10">
        <f>C5/B5-1</f>
        <v/>
      </c>
      <c r="D6" s="10">
        <f>D5/C5-1</f>
        <v/>
      </c>
      <c r="E6" s="10">
        <f>E5/D5-1</f>
        <v/>
      </c>
      <c r="F6" s="10">
        <f>F5/E5-1</f>
        <v/>
      </c>
      <c r="G6" s="10">
        <f>G5/F5-1</f>
        <v/>
      </c>
      <c r="H6" s="10">
        <f>H5/G5-1</f>
        <v/>
      </c>
      <c r="I6" s="10">
        <f>I5/H5-1</f>
        <v/>
      </c>
    </row>
    <row r="7">
      <c r="A7" s="6" t="inlineStr">
        <is>
          <t>EBITDA (operating)</t>
        </is>
      </c>
      <c r="B7" s="18">
        <f>'Income Statement'!B14</f>
        <v/>
      </c>
      <c r="C7" s="18">
        <f>'Income Statement'!C14</f>
        <v/>
      </c>
      <c r="D7" s="18">
        <f>'Income Statement'!D14</f>
        <v/>
      </c>
      <c r="E7" s="18">
        <f>'Income Statement'!E14</f>
        <v/>
      </c>
      <c r="F7" s="18">
        <f>'Income Statement'!F14</f>
        <v/>
      </c>
      <c r="G7" s="18">
        <f>'Income Statement'!G14</f>
        <v/>
      </c>
      <c r="H7" s="18">
        <f>'Income Statement'!H14</f>
        <v/>
      </c>
      <c r="I7" s="18">
        <f>'Income Statement'!I14</f>
        <v/>
      </c>
    </row>
    <row r="8">
      <c r="A8" s="6" t="inlineStr">
        <is>
          <t>EBITDA margin</t>
        </is>
      </c>
      <c r="B8" s="8">
        <f>'Income Statement'!B18</f>
        <v/>
      </c>
      <c r="C8" s="8">
        <f>'Income Statement'!C18</f>
        <v/>
      </c>
      <c r="D8" s="8">
        <f>'Income Statement'!D18</f>
        <v/>
      </c>
      <c r="E8" s="8">
        <f>'Income Statement'!E18</f>
        <v/>
      </c>
      <c r="F8" s="8">
        <f>'Income Statement'!F18</f>
        <v/>
      </c>
      <c r="G8" s="8">
        <f>'Income Statement'!G18</f>
        <v/>
      </c>
      <c r="H8" s="8">
        <f>'Income Statement'!H18</f>
        <v/>
      </c>
      <c r="I8" s="8">
        <f>'Income Statement'!I18</f>
        <v/>
      </c>
    </row>
    <row r="9">
      <c r="A9" s="6" t="inlineStr">
        <is>
          <t>EBIT</t>
        </is>
      </c>
      <c r="B9" s="18">
        <f>'Income Statement'!B12</f>
        <v/>
      </c>
      <c r="C9" s="18">
        <f>'Income Statement'!C12</f>
        <v/>
      </c>
      <c r="D9" s="18">
        <f>'Income Statement'!D12</f>
        <v/>
      </c>
      <c r="E9" s="18">
        <f>'Income Statement'!E12</f>
        <v/>
      </c>
      <c r="F9" s="18">
        <f>'Income Statement'!F12</f>
        <v/>
      </c>
      <c r="G9" s="18">
        <f>'Income Statement'!G12</f>
        <v/>
      </c>
      <c r="H9" s="18">
        <f>'Income Statement'!H12</f>
        <v/>
      </c>
      <c r="I9" s="18">
        <f>'Income Statement'!I12</f>
        <v/>
      </c>
    </row>
    <row r="10">
      <c r="A10" s="6" t="inlineStr">
        <is>
          <t>Depreciation and amortisation</t>
        </is>
      </c>
      <c r="B10" s="18">
        <f>'Income Statement'!B13</f>
        <v/>
      </c>
      <c r="C10" s="18">
        <f>'Income Statement'!C13</f>
        <v/>
      </c>
      <c r="D10" s="18">
        <f>'Income Statement'!D13</f>
        <v/>
      </c>
      <c r="E10" s="18">
        <f>'Income Statement'!E13</f>
        <v/>
      </c>
      <c r="F10" s="18">
        <f>'Income Statement'!F13</f>
        <v/>
      </c>
      <c r="G10" s="18">
        <f>'Income Statement'!G13</f>
        <v/>
      </c>
      <c r="H10" s="18">
        <f>'Income Statement'!H13</f>
        <v/>
      </c>
      <c r="I10" s="18">
        <f>'Income Statement'!I13</f>
        <v/>
      </c>
    </row>
    <row r="11">
      <c r="A11" s="6" t="inlineStr">
        <is>
          <t>Profit attributable to shareholders</t>
        </is>
      </c>
      <c r="B11" s="18">
        <f>'Income Statement'!B28</f>
        <v/>
      </c>
      <c r="C11" s="18">
        <f>'Income Statement'!C28</f>
        <v/>
      </c>
      <c r="D11" s="18">
        <f>'Income Statement'!D28</f>
        <v/>
      </c>
      <c r="E11" s="18">
        <f>'Income Statement'!E28</f>
        <v/>
      </c>
      <c r="F11" s="18">
        <f>'Income Statement'!F28</f>
        <v/>
      </c>
      <c r="G11" s="18">
        <f>'Income Statement'!G28</f>
        <v/>
      </c>
      <c r="H11" s="18">
        <f>'Income Statement'!H28</f>
        <v/>
      </c>
      <c r="I11" s="18">
        <f>'Income Statement'!I28</f>
        <v/>
      </c>
    </row>
    <row r="12">
      <c r="A12" s="6" t="inlineStr">
        <is>
          <t>Earnings attributable to ordinary shareholders</t>
        </is>
      </c>
      <c r="B12" s="18">
        <f>'Income Statement'!B30</f>
        <v/>
      </c>
      <c r="C12" s="18">
        <f>'Income Statement'!C30</f>
        <v/>
      </c>
      <c r="D12" s="18">
        <f>'Income Statement'!D30</f>
        <v/>
      </c>
      <c r="E12" s="18">
        <f>'Income Statement'!E30</f>
        <v/>
      </c>
      <c r="F12" s="18">
        <f>'Income Statement'!F30</f>
        <v/>
      </c>
      <c r="G12" s="18">
        <f>'Income Statement'!G30</f>
        <v/>
      </c>
      <c r="H12" s="18">
        <f>'Income Statement'!H30</f>
        <v/>
      </c>
      <c r="I12" s="18">
        <f>'Income Statement'!I30</f>
        <v/>
      </c>
    </row>
    <row r="13">
      <c r="A13" s="6" t="inlineStr">
        <is>
          <t>Earnings per ordinary share (AED)</t>
        </is>
      </c>
      <c r="B13" s="52">
        <f>'Income Statement'!B32</f>
        <v/>
      </c>
      <c r="C13" s="52">
        <f>'Income Statement'!C32</f>
        <v/>
      </c>
      <c r="D13" s="52">
        <f>'Income Statement'!D32</f>
        <v/>
      </c>
      <c r="E13" s="52">
        <f>'Income Statement'!E32</f>
        <v/>
      </c>
      <c r="F13" s="52">
        <f>'Income Statement'!F32</f>
        <v/>
      </c>
      <c r="G13" s="52">
        <f>'Income Statement'!G32</f>
        <v/>
      </c>
      <c r="H13" s="52">
        <f>'Income Statement'!H32</f>
        <v/>
      </c>
      <c r="I13" s="52">
        <f>'Income Statement'!I32</f>
        <v/>
      </c>
    </row>
    <row r="14">
      <c r="A14" s="6" t="inlineStr">
        <is>
          <t>Free cash flow to the firm</t>
        </is>
      </c>
      <c r="B14" s="33" t="inlineStr">
        <is>
          <t>-</t>
        </is>
      </c>
      <c r="C14" s="33" t="inlineStr">
        <is>
          <t>-</t>
        </is>
      </c>
      <c r="D14" s="33" t="inlineStr">
        <is>
          <t>-</t>
        </is>
      </c>
      <c r="E14" s="18">
        <f>'Cash Flow'!E15</f>
        <v/>
      </c>
      <c r="F14" s="18">
        <f>'Cash Flow'!F15</f>
        <v/>
      </c>
      <c r="G14" s="18">
        <f>'Cash Flow'!G15</f>
        <v/>
      </c>
      <c r="H14" s="18">
        <f>'Cash Flow'!H15</f>
        <v/>
      </c>
      <c r="I14" s="18">
        <f>'Cash Flow'!I15</f>
        <v/>
      </c>
    </row>
    <row r="15">
      <c r="A15" s="6" t="inlineStr">
        <is>
          <t>Capital expenditure</t>
        </is>
      </c>
      <c r="B15" s="18">
        <f>'Cash Flow'!B7</f>
        <v/>
      </c>
      <c r="C15" s="18">
        <f>'Cash Flow'!C7</f>
        <v/>
      </c>
      <c r="D15" s="18">
        <f>'Cash Flow'!D7</f>
        <v/>
      </c>
      <c r="E15" s="18">
        <f>'Cash Flow'!E7</f>
        <v/>
      </c>
      <c r="F15" s="18">
        <f>'Cash Flow'!F7</f>
        <v/>
      </c>
      <c r="G15" s="18">
        <f>'Cash Flow'!G7</f>
        <v/>
      </c>
      <c r="H15" s="18">
        <f>'Cash Flow'!H7</f>
        <v/>
      </c>
      <c r="I15" s="18">
        <f>'Cash Flow'!I7</f>
        <v/>
      </c>
    </row>
    <row r="16">
      <c r="A16" s="6" t="inlineStr">
        <is>
          <t>Capital expenditure / revenue</t>
        </is>
      </c>
      <c r="B16" s="10">
        <f>-B15/B5</f>
        <v/>
      </c>
      <c r="C16" s="10">
        <f>-C15/C5</f>
        <v/>
      </c>
      <c r="D16" s="10">
        <f>-D15/D5</f>
        <v/>
      </c>
      <c r="E16" s="10">
        <f>-E15/E5</f>
        <v/>
      </c>
      <c r="F16" s="10">
        <f>-F15/F5</f>
        <v/>
      </c>
      <c r="G16" s="10">
        <f>-G15/G5</f>
        <v/>
      </c>
      <c r="H16" s="10">
        <f>-H15/H5</f>
        <v/>
      </c>
      <c r="I16" s="10">
        <f>-I15/I5</f>
        <v/>
      </c>
    </row>
    <row r="17">
      <c r="A17" s="6" t="inlineStr">
        <is>
          <t>Net working capital</t>
        </is>
      </c>
      <c r="B17" s="18">
        <f>'Balance Sheet'!B16</f>
        <v/>
      </c>
      <c r="C17" s="18">
        <f>'Balance Sheet'!C16</f>
        <v/>
      </c>
      <c r="D17" s="18">
        <f>'Balance Sheet'!D16</f>
        <v/>
      </c>
      <c r="E17" s="18">
        <f>'Balance Sheet'!E16</f>
        <v/>
      </c>
      <c r="F17" s="18">
        <f>'Balance Sheet'!F16</f>
        <v/>
      </c>
      <c r="G17" s="18">
        <f>'Balance Sheet'!G16</f>
        <v/>
      </c>
      <c r="H17" s="18">
        <f>'Balance Sheet'!H16</f>
        <v/>
      </c>
      <c r="I17" s="18">
        <f>'Balance Sheet'!I16</f>
        <v/>
      </c>
    </row>
    <row r="18">
      <c r="A18" s="6" t="inlineStr">
        <is>
          <t>Net working capital / revenue</t>
        </is>
      </c>
      <c r="B18" s="10">
        <f>B17/B5</f>
        <v/>
      </c>
      <c r="C18" s="10">
        <f>C17/C5</f>
        <v/>
      </c>
      <c r="D18" s="10">
        <f>D17/D5</f>
        <v/>
      </c>
      <c r="E18" s="10">
        <f>E17/E5</f>
        <v/>
      </c>
      <c r="F18" s="10">
        <f>F17/F5</f>
        <v/>
      </c>
      <c r="G18" s="10">
        <f>G17/G5</f>
        <v/>
      </c>
      <c r="H18" s="10">
        <f>H17/H5</f>
        <v/>
      </c>
      <c r="I18" s="10">
        <f>I17/I5</f>
        <v/>
      </c>
    </row>
    <row r="19">
      <c r="A19" s="6" t="inlineStr">
        <is>
          <t>Net debt</t>
        </is>
      </c>
      <c r="B19" s="18">
        <f>'Balance Sheet'!B18</f>
        <v/>
      </c>
      <c r="C19" s="18">
        <f>'Balance Sheet'!C18</f>
        <v/>
      </c>
      <c r="D19" s="18">
        <f>'Balance Sheet'!D18</f>
        <v/>
      </c>
      <c r="E19" s="18">
        <f>'Balance Sheet'!E18</f>
        <v/>
      </c>
      <c r="F19" s="18">
        <f>'Balance Sheet'!F18</f>
        <v/>
      </c>
      <c r="G19" s="18">
        <f>'Balance Sheet'!G18</f>
        <v/>
      </c>
      <c r="H19" s="18">
        <f>'Balance Sheet'!H18</f>
        <v/>
      </c>
      <c r="I19" s="18">
        <f>'Balance Sheet'!I18</f>
        <v/>
      </c>
    </row>
    <row r="20">
      <c r="A20" s="6" t="inlineStr">
        <is>
          <t>Net debt / EBITDA</t>
        </is>
      </c>
      <c r="B20" s="42">
        <f>'Balance Sheet'!B23</f>
        <v/>
      </c>
      <c r="C20" s="42">
        <f>'Balance Sheet'!C23</f>
        <v/>
      </c>
      <c r="D20" s="42">
        <f>'Balance Sheet'!D23</f>
        <v/>
      </c>
      <c r="E20" s="42">
        <f>'Balance Sheet'!E23</f>
        <v/>
      </c>
      <c r="F20" s="42">
        <f>'Balance Sheet'!F23</f>
        <v/>
      </c>
      <c r="G20" s="42">
        <f>'Balance Sheet'!G23</f>
        <v/>
      </c>
      <c r="H20" s="42">
        <f>'Balance Sheet'!H23</f>
        <v/>
      </c>
      <c r="I20" s="42">
        <f>'Balance Sheet'!I23</f>
        <v/>
      </c>
    </row>
    <row r="21">
      <c r="A21" s="6" t="inlineStr">
        <is>
          <t>Equity attributable to shareholders</t>
        </is>
      </c>
      <c r="B21" s="18">
        <f>'Balance Sheet'!B21</f>
        <v/>
      </c>
      <c r="C21" s="18">
        <f>'Balance Sheet'!C21</f>
        <v/>
      </c>
      <c r="D21" s="18">
        <f>'Balance Sheet'!D21</f>
        <v/>
      </c>
      <c r="E21" s="18">
        <f>'Balance Sheet'!E21</f>
        <v/>
      </c>
      <c r="F21" s="18">
        <f>'Balance Sheet'!F21</f>
        <v/>
      </c>
      <c r="G21" s="18">
        <f>'Balance Sheet'!G21</f>
        <v/>
      </c>
      <c r="H21" s="18">
        <f>'Balance Sheet'!H21</f>
        <v/>
      </c>
      <c r="I21" s="18">
        <f>'Balance Sheet'!I21</f>
        <v/>
      </c>
    </row>
    <row r="22">
      <c r="A22" s="6" t="inlineStr">
        <is>
          <t>Invested capital</t>
        </is>
      </c>
      <c r="B22" s="18">
        <f>'Balance Sheet'!B26</f>
        <v/>
      </c>
      <c r="C22" s="18">
        <f>'Balance Sheet'!C26</f>
        <v/>
      </c>
      <c r="D22" s="18">
        <f>'Balance Sheet'!D26</f>
        <v/>
      </c>
      <c r="E22" s="18">
        <f>'Balance Sheet'!E26</f>
        <v/>
      </c>
      <c r="F22" s="18">
        <f>'Balance Sheet'!F26</f>
        <v/>
      </c>
      <c r="G22" s="18">
        <f>'Balance Sheet'!G26</f>
        <v/>
      </c>
      <c r="H22" s="18">
        <f>'Balance Sheet'!H26</f>
        <v/>
      </c>
      <c r="I22" s="18">
        <f>'Balance Sheet'!I26</f>
        <v/>
      </c>
    </row>
    <row r="23">
      <c r="A23" s="6" t="inlineStr">
        <is>
          <t>Return on invested capital</t>
        </is>
      </c>
      <c r="B23" s="10" t="inlineStr">
        <is>
          <t>-</t>
        </is>
      </c>
      <c r="C23" s="10" t="inlineStr">
        <is>
          <t>-</t>
        </is>
      </c>
      <c r="D23" s="10" t="inlineStr">
        <is>
          <t>-</t>
        </is>
      </c>
      <c r="E23" s="8">
        <f>'Balance Sheet'!E27</f>
        <v/>
      </c>
      <c r="F23" s="8">
        <f>'Balance Sheet'!F27</f>
        <v/>
      </c>
      <c r="G23" s="8">
        <f>'Balance Sheet'!G27</f>
        <v/>
      </c>
      <c r="H23" s="8">
        <f>'Balance Sheet'!H27</f>
        <v/>
      </c>
      <c r="I23" s="8">
        <f>'Balance Sheet'!I27</f>
        <v/>
      </c>
    </row>
    <row r="24">
      <c r="A24" s="6" t="inlineStr">
        <is>
          <t>Return on equity</t>
        </is>
      </c>
      <c r="B24" s="10" t="inlineStr">
        <is>
          <t>-</t>
        </is>
      </c>
      <c r="C24" s="8">
        <f>'Balance Sheet'!C28</f>
        <v/>
      </c>
      <c r="D24" s="8">
        <f>'Balance Sheet'!D28</f>
        <v/>
      </c>
      <c r="E24" s="8">
        <f>'Balance Sheet'!E28</f>
        <v/>
      </c>
      <c r="F24" s="8">
        <f>'Balance Sheet'!F28</f>
        <v/>
      </c>
      <c r="G24" s="8">
        <f>'Balance Sheet'!G28</f>
        <v/>
      </c>
      <c r="H24" s="8">
        <f>'Balance Sheet'!H28</f>
        <v/>
      </c>
      <c r="I24" s="8">
        <f>'Balance Sheet'!I28</f>
        <v/>
      </c>
    </row>
    <row r="26">
      <c r="A26" s="4" t="inlineStr">
        <is>
          <t>Return on invested capital is the discounted-cash-flow sheet's NOPAT over the same year's invested capital, which is why the audited years carry capital but no return: their tax charge is struck on a post-financing basis and is not comparable with the pre-financing NOPAT the forecast uses.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over the next one and three months. It carries no view on value and is never blended with the valuation. Each figure is a complete engine re-run, so it is a pasted value and does NOT redraw when a driver is changed.</t>
        </is>
      </c>
    </row>
    <row r="4">
      <c r="A4" s="5" t="inlineStr">
        <is>
          <t>Horizon (AED)</t>
        </is>
      </c>
      <c r="B4" s="5" t="inlineStr">
        <is>
          <t>5th</t>
        </is>
      </c>
      <c r="C4" s="5" t="inlineStr">
        <is>
          <t>25th</t>
        </is>
      </c>
      <c r="D4" s="5" t="inlineStr">
        <is>
          <t>Median</t>
        </is>
      </c>
      <c r="E4" s="5" t="inlineStr">
        <is>
          <t>75th</t>
        </is>
      </c>
      <c r="F4" s="5" t="inlineStr">
        <is>
          <t>95th</t>
        </is>
      </c>
      <c r="G4" s="5" t="inlineStr">
        <is>
          <t>Probability above spot</t>
        </is>
      </c>
    </row>
    <row r="5">
      <c r="A5" s="6" t="inlineStr">
        <is>
          <t>One month — graded 2026-09-07</t>
        </is>
      </c>
      <c r="B5" s="21" t="n">
        <v>5.474008898785125</v>
      </c>
      <c r="C5" s="21" t="n">
        <v>5.88933321848616</v>
      </c>
      <c r="D5" s="21" t="n">
        <v>6.164121008679707</v>
      </c>
      <c r="E5" s="21" t="n">
        <v>6.453225115627275</v>
      </c>
      <c r="F5" s="21" t="n">
        <v>6.92808563076805</v>
      </c>
      <c r="G5" s="30" t="n">
        <v>0.50406</v>
      </c>
    </row>
    <row r="6">
      <c r="A6" s="6" t="inlineStr">
        <is>
          <t>Three months — graded 2026-11-09</t>
        </is>
      </c>
      <c r="B6" s="21" t="n">
        <v>4.945077982333779</v>
      </c>
      <c r="C6" s="21" t="n">
        <v>5.672464109137894</v>
      </c>
      <c r="D6" s="21" t="n">
        <v>6.178480100840813</v>
      </c>
      <c r="E6" s="21" t="n">
        <v>6.727685936316127</v>
      </c>
      <c r="F6" s="21" t="n">
        <v>7.728370123428927</v>
      </c>
      <c r="G6" s="30" t="n">
        <v>0.5092</v>
      </c>
    </row>
    <row r="8">
      <c r="A8" s="5" t="inlineStr">
        <is>
          <t>Level event</t>
        </is>
      </c>
      <c r="B8" s="5" t="inlineStr">
        <is>
          <t>One month</t>
        </is>
      </c>
      <c r="C8" s="5" t="inlineStr">
        <is>
          <t>Three months</t>
        </is>
      </c>
    </row>
    <row r="9">
      <c r="A9" s="6" t="inlineStr">
        <is>
          <t>Finishes 10% or more above spot</t>
        </is>
      </c>
      <c r="B9" s="30" t="n">
        <v>0.08631999999999999</v>
      </c>
      <c r="C9" s="30" t="n">
        <v>0.23286</v>
      </c>
    </row>
    <row r="10">
      <c r="A10" s="6" t="inlineStr">
        <is>
          <t>Finishes 10% or more below spot</t>
        </is>
      </c>
      <c r="B10" s="30" t="n">
        <v>0.06752</v>
      </c>
      <c r="C10" s="30" t="n">
        <v>0.19752</v>
      </c>
    </row>
    <row r="11">
      <c r="A11" s="6" t="inlineStr">
        <is>
          <t>Touches 10% above spot at any point</t>
        </is>
      </c>
      <c r="B11" s="30" t="n">
        <v>0.14278</v>
      </c>
      <c r="C11" s="30" t="n">
        <v>0.42208</v>
      </c>
    </row>
    <row r="12">
      <c r="A12" s="6" t="inlineStr">
        <is>
          <t>Touches 10% below spot at any point</t>
        </is>
      </c>
      <c r="B12" s="30" t="n">
        <v>0.11002</v>
      </c>
      <c r="C12" s="30" t="n">
        <v>0.3644</v>
      </c>
    </row>
    <row r="14">
      <c r="A14" s="5" t="inlineStr">
        <is>
          <t>Engine setting</t>
        </is>
      </c>
      <c r="B14" s="5" t="inlineStr"/>
      <c r="C14" s="5" t="inlineStr">
        <is>
          <t>Value</t>
        </is>
      </c>
    </row>
    <row r="15">
      <c r="A15" s="6" t="inlineStr">
        <is>
          <t>Simulated paths</t>
        </is>
      </c>
      <c r="C15" s="27" t="n">
        <v>50000</v>
      </c>
    </row>
    <row r="16">
      <c r="A16" s="6" t="inlineStr">
        <is>
          <t>Annualised volatility (three-month anchor)</t>
        </is>
      </c>
      <c r="C16" s="30" t="n">
        <v>0.2817324653066295</v>
      </c>
    </row>
    <row r="17">
      <c r="A17" s="6" t="inlineStr">
        <is>
          <t>Spot price (AED)</t>
        </is>
      </c>
      <c r="C17" s="7">
        <f>Summary!$C$16</f>
        <v/>
      </c>
    </row>
    <row r="18">
      <c r="A18" s="6" t="inlineStr">
        <is>
          <t>Anchor date</t>
        </is>
      </c>
      <c r="C18" s="53" t="inlineStr">
        <is>
          <t>2026-08-07</t>
        </is>
      </c>
    </row>
    <row r="19">
      <c r="A19" s="6" t="inlineStr">
        <is>
          <t>Calibration verdict on the five-year walk-forward</t>
        </is>
      </c>
      <c r="C19" s="53" t="inlineStr">
        <is>
          <t>PARITY</t>
        </is>
      </c>
    </row>
    <row r="21">
      <c r="A21" s="4" t="inlineStr">
        <is>
          <t>The price map is a dispersion forecast from the price series alone. It is deliberately not reconciled to the valuation lenses: one is a statement about what a price could do over weeks, the other about what a business is worth.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Sensitivity — what the valuation needs the world to do</t>
        </is>
      </c>
      <c r="B1" s="2" t="n"/>
      <c r="C1" s="2" t="n"/>
      <c r="D1" s="2" t="n"/>
      <c r="E1" s="2" t="n"/>
      <c r="F1" s="2" t="n"/>
      <c r="G1" s="2" t="n"/>
      <c r="H1" s="2" t="n"/>
    </row>
    <row r="2">
      <c r="A2" s="4" t="inlineStr">
        <is>
          <t>AED per share. Each cell is a complete re-run of the whole model, including the fleet build, so these grids are engine outputs rather than formulas and do NOT redraw when a driver is changed.</t>
        </is>
      </c>
    </row>
    <row r="4">
      <c r="A4" s="11" t="inlineStr">
        <is>
          <t>Beta (rows) x terminal growth (columns)</t>
        </is>
      </c>
      <c r="B4" s="14" t="n"/>
      <c r="C4" s="14" t="n"/>
      <c r="D4" s="14" t="n"/>
      <c r="E4" s="14" t="n"/>
      <c r="F4" s="14" t="n"/>
      <c r="G4" s="14" t="n"/>
      <c r="H4" s="14" t="n"/>
    </row>
    <row r="5">
      <c r="A5" s="5" t="inlineStr">
        <is>
          <t>Beta</t>
        </is>
      </c>
      <c r="B5" s="5" t="inlineStr">
        <is>
          <t>1.0%</t>
        </is>
      </c>
      <c r="C5" s="5" t="inlineStr">
        <is>
          <t>1.5%</t>
        </is>
      </c>
      <c r="D5" s="5" t="inlineStr">
        <is>
          <t>2.0%</t>
        </is>
      </c>
      <c r="E5" s="5" t="inlineStr">
        <is>
          <t>2.5%</t>
        </is>
      </c>
    </row>
    <row r="6">
      <c r="A6" s="6" t="inlineStr">
        <is>
          <t>0.705</t>
        </is>
      </c>
      <c r="B6" s="21" t="n">
        <v>8.374944338037677</v>
      </c>
      <c r="C6" s="21" t="n">
        <v>8.822531851772526</v>
      </c>
      <c r="D6" s="21" t="n">
        <v>9.370468800365373</v>
      </c>
      <c r="E6" s="21" t="n">
        <v>10.05887125454404</v>
      </c>
    </row>
    <row r="7">
      <c r="A7" s="6" t="inlineStr">
        <is>
          <t>0.900</t>
        </is>
      </c>
      <c r="B7" s="21" t="n">
        <v>7.070580934793161</v>
      </c>
      <c r="C7" s="21" t="n">
        <v>7.354128948659886</v>
      </c>
      <c r="D7" s="21" t="n">
        <v>7.690219368556742</v>
      </c>
      <c r="E7" s="21" t="n">
        <v>8.096318366520435</v>
      </c>
    </row>
    <row r="8">
      <c r="A8" s="6" t="inlineStr">
        <is>
          <t>1.085</t>
        </is>
      </c>
      <c r="B8" s="21" t="n">
        <v>6.104211768824626</v>
      </c>
      <c r="C8" s="21" t="n">
        <v>6.290365806735382</v>
      </c>
      <c r="D8" s="21" t="n">
        <v>6.50557697172203</v>
      </c>
      <c r="E8" s="21" t="n">
        <v>6.758173447014873</v>
      </c>
    </row>
    <row r="9">
      <c r="A9" s="6" t="inlineStr">
        <is>
          <t>1.250</t>
        </is>
      </c>
      <c r="B9" s="21" t="n">
        <v>5.400935220772635</v>
      </c>
      <c r="C9" s="21" t="n">
        <v>5.528638734441224</v>
      </c>
      <c r="D9" s="21" t="n">
        <v>5.673387508676271</v>
      </c>
      <c r="E9" s="21" t="n">
        <v>5.839532255632811</v>
      </c>
    </row>
    <row r="10">
      <c r="A10" s="6" t="inlineStr">
        <is>
          <t>1.412</t>
        </is>
      </c>
      <c r="B10" s="21" t="n">
        <v>4.819724922415764</v>
      </c>
      <c r="C10" s="21" t="n">
        <v>4.906776041409081</v>
      </c>
      <c r="D10" s="21" t="n">
        <v>5.003609464167625</v>
      </c>
      <c r="E10" s="21" t="n">
        <v>5.112479795523905</v>
      </c>
    </row>
    <row r="11">
      <c r="A11" s="4" t="inlineStr">
        <is>
          <t>The beta rows are not evenly spaced round numbers. They span the two index constructions and the interval around the adopted one: 0.705 is the equal-weight composite of the exchange's own names, 1.085 is the adopted regression against the exchange's published index, and 1.412 is the top of that regression's own 90% confidence interval (its bottom, 0.758, sits just above the composite reading). The terminal growth column at 2.0% is the one the model runs on, so the cell where that column meets the 1.085 row is the published cash-flow value of AED 6.51 — every cell here is a complete re-run of the model discounted at the same three tranches of capital the valuation itself uses, equity, debt and the perpetual securities, so the grid is centred on the figure it brackets.</t>
        </is>
      </c>
    </row>
    <row r="12">
      <c r="A12" s="11" t="inlineStr">
        <is>
          <t>Mid-cycle tanker rate anchor, as a multiple of the base anchor</t>
        </is>
      </c>
      <c r="B12" s="14" t="n"/>
      <c r="C12" s="14" t="n"/>
      <c r="D12" s="14" t="n"/>
      <c r="E12" s="14" t="n"/>
      <c r="F12" s="14" t="n"/>
      <c r="G12" s="14" t="n"/>
      <c r="H12" s="14" t="n"/>
    </row>
    <row r="13">
      <c r="A13" s="5" t="inlineStr"/>
      <c r="B13" s="5" t="inlineStr">
        <is>
          <t>0.80x</t>
        </is>
      </c>
      <c r="C13" s="5" t="inlineStr">
        <is>
          <t>0.90x</t>
        </is>
      </c>
      <c r="D13" s="5" t="inlineStr">
        <is>
          <t>1.00x</t>
        </is>
      </c>
      <c r="E13" s="5" t="inlineStr">
        <is>
          <t>1.10x</t>
        </is>
      </c>
      <c r="F13" s="5" t="inlineStr">
        <is>
          <t>1.20x</t>
        </is>
      </c>
    </row>
    <row r="14">
      <c r="A14" s="6" t="inlineStr">
        <is>
          <t>Fair value per share (AED)</t>
        </is>
      </c>
      <c r="B14" s="21" t="n">
        <v>5.466895404238599</v>
      </c>
      <c r="C14" s="21" t="n">
        <v>5.986236187980316</v>
      </c>
      <c r="D14" s="21" t="n">
        <v>6.50557697172203</v>
      </c>
      <c r="E14" s="21" t="n">
        <v>7.024917755463745</v>
      </c>
      <c r="F14" s="21" t="n">
        <v>7.544258539205458</v>
      </c>
    </row>
    <row r="15">
      <c r="A15" s="6" t="inlineStr">
        <is>
          <t>Swing across the grid</t>
        </is>
      </c>
      <c r="C15" s="9">
        <f>MAX(B14:F14)-MIN(B14:F14)</f>
        <v/>
      </c>
    </row>
    <row r="16">
      <c r="A16" s="4" t="inlineStr">
        <is>
          <t>This row and the one below it are re-runs of the whole model at the same 8.49% cost of capital the valuation uses, so the 1.00x cell reproduces the published AED 6.51 exactly and the swing across the row is a clean read of what that single driver is worth.</t>
        </is>
      </c>
    </row>
    <row r="17">
      <c r="A17" s="11" t="inlineStr">
        <is>
          <t>Capital expenditure, as a multiple of the guided path</t>
        </is>
      </c>
      <c r="B17" s="14" t="n"/>
      <c r="C17" s="14" t="n"/>
      <c r="D17" s="14" t="n"/>
      <c r="E17" s="14" t="n"/>
      <c r="F17" s="14" t="n"/>
      <c r="G17" s="14" t="n"/>
      <c r="H17" s="14" t="n"/>
    </row>
    <row r="18">
      <c r="A18" s="5" t="inlineStr"/>
      <c r="B18" s="5" t="inlineStr">
        <is>
          <t>0.90x</t>
        </is>
      </c>
      <c r="C18" s="5" t="inlineStr">
        <is>
          <t>1.00x</t>
        </is>
      </c>
      <c r="D18" s="5" t="inlineStr">
        <is>
          <t>1.10x</t>
        </is>
      </c>
      <c r="E18" s="5" t="inlineStr">
        <is>
          <t>1.20x</t>
        </is>
      </c>
    </row>
    <row r="19">
      <c r="A19" s="6" t="inlineStr">
        <is>
          <t>Fair value per share (AED)</t>
        </is>
      </c>
      <c r="B19" s="21" t="n">
        <v>6.914940440302763</v>
      </c>
      <c r="C19" s="21" t="n">
        <v>6.50557697172203</v>
      </c>
      <c r="D19" s="21" t="n">
        <v>6.096213503141294</v>
      </c>
      <c r="E19" s="21" t="n">
        <v>5.686850034560557</v>
      </c>
    </row>
    <row r="20">
      <c r="A20" s="6" t="inlineStr">
        <is>
          <t>Swing across the grid</t>
        </is>
      </c>
      <c r="C20" s="9">
        <f>MAX(B19:E19)-MIN(B19:E19)</f>
        <v/>
      </c>
    </row>
    <row r="22">
      <c r="A22" s="11" t="inlineStr">
        <is>
          <t>A uniform group tax rate — the global-minimum-tax case</t>
        </is>
      </c>
      <c r="B22" s="14" t="n"/>
      <c r="C22" s="14" t="n"/>
      <c r="D22" s="14" t="n"/>
      <c r="E22" s="14" t="n"/>
      <c r="F22" s="14" t="n"/>
      <c r="G22" s="14" t="n"/>
      <c r="H22" s="14" t="n"/>
    </row>
    <row r="23">
      <c r="A23" s="5" t="inlineStr"/>
      <c r="B23" s="5" t="inlineStr">
        <is>
          <t>5%</t>
        </is>
      </c>
      <c r="C23" s="5" t="inlineStr">
        <is>
          <t>9%</t>
        </is>
      </c>
      <c r="D23" s="5" t="inlineStr">
        <is>
          <t>15%</t>
        </is>
      </c>
    </row>
    <row r="24">
      <c r="A24" s="6" t="inlineStr">
        <is>
          <t>Fair value per share (AED)</t>
        </is>
      </c>
      <c r="B24" s="21" t="n">
        <v>6.415224723153202</v>
      </c>
      <c r="C24" s="21" t="n">
        <v>5.963130365206823</v>
      </c>
      <c r="D24" s="21" t="n">
        <v>5.284988828287254</v>
      </c>
    </row>
    <row r="25">
      <c r="A25" s="4" t="inlineStr">
        <is>
          <t>The shipping units currently bear under one per cent, because international shipping income is relieved under the corporate tax law; the group's blended charge on operating profit is therefore only a few per cent. A fifteen per cent rate reaching that income — a global minimum tax applied without the shipping relief — is the downside case, and it is a whole-model re-run rather than a formula because the mix itself changes.</t>
        </is>
      </c>
    </row>
    <row r="27">
      <c r="A27" s="11" t="inlineStr">
        <is>
          <t>THE RATE PATH AGAINST WHAT THE FORWARD MARKET WAS ACTUALLY PAYING</t>
        </is>
      </c>
      <c r="B27" s="14" t="n"/>
      <c r="C27" s="14" t="n"/>
      <c r="D27" s="14" t="n"/>
      <c r="E27" s="14" t="n"/>
      <c r="F27" s="14" t="n"/>
      <c r="G27" s="14" t="n"/>
      <c r="H27" s="14" t="n"/>
    </row>
    <row r="28">
      <c r="A28" s="6" t="inlineStr">
        <is>
          <t>One-year time charter fixed in early 2026, very large crude carrier (USD per day)</t>
        </is>
      </c>
      <c r="C28" s="27" t="n">
        <v>76900</v>
      </c>
    </row>
    <row r="29">
      <c r="A29" s="6" t="inlineStr">
        <is>
          <t>Broker spot print for the same vessel class (USD per day)</t>
        </is>
      </c>
      <c r="C29" s="27" t="n">
        <v>102897</v>
      </c>
    </row>
    <row r="30">
      <c r="A30" s="5" t="inlineStr">
        <is>
          <t>This study's own path for the same vessel class (USD per day)</t>
        </is>
      </c>
      <c r="B30" s="5" t="inlineStr">
        <is>
          <t>FY2026E</t>
        </is>
      </c>
      <c r="C30" s="5" t="inlineStr">
        <is>
          <t>FY2027E</t>
        </is>
      </c>
      <c r="D30" s="5" t="inlineStr">
        <is>
          <t>FY2028E</t>
        </is>
      </c>
      <c r="E30" s="5" t="inlineStr">
        <is>
          <t>FY2029E</t>
        </is>
      </c>
      <c r="F30" s="5" t="inlineStr">
        <is>
          <t>FY2030E</t>
        </is>
      </c>
    </row>
    <row r="31">
      <c r="A31" s="6" t="inlineStr">
        <is>
          <t>Very large crude carrier — spot time-charter equivalent</t>
        </is>
      </c>
      <c r="B31" s="18">
        <f>Segments!B92</f>
        <v/>
      </c>
      <c r="C31" s="18">
        <f>Segments!C92</f>
        <v/>
      </c>
      <c r="D31" s="18">
        <f>Segments!D92</f>
        <v/>
      </c>
      <c r="E31" s="18">
        <f>Segments!E92</f>
        <v/>
      </c>
      <c r="F31" s="18">
        <f>Segments!F92</f>
        <v/>
      </c>
    </row>
    <row r="32">
      <c r="A32" s="6" t="inlineStr">
        <is>
          <t>The study's 2027 path over the one-year time charter</t>
        </is>
      </c>
      <c r="C32" s="40">
        <f>C31/C28</f>
        <v/>
      </c>
    </row>
    <row r="33">
      <c r="A33" s="6" t="inlineStr">
        <is>
          <t>Crude tanker order book as a share of the trading fleet</t>
        </is>
      </c>
      <c r="C33" s="30" t="n">
        <v>0.27</v>
      </c>
    </row>
    <row r="34">
      <c r="A34" s="4" t="inlineStr">
        <is>
          <t>An independent one-year time charter fixed in early 2026 priced a very large crude carrier at USD 76,900 a day, well below the spot rate of the moment. A forward market that will not pay spot for a year of time is telling the reader it does not expect spot to hold, and a crude tanker order book near 27% of the trading fleet is the supply reason why. Both point the same way as the reversion path this study uses as its base, and both are reasons the sustained-strength path is published as an alternative rather than adopted.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Per-share and ratio analysis</t>
        </is>
      </c>
      <c r="B1" s="2" t="n"/>
      <c r="C1" s="2" t="n"/>
      <c r="D1" s="2" t="n"/>
      <c r="E1" s="2" t="n"/>
      <c r="F1" s="2" t="n"/>
      <c r="G1" s="2" t="n"/>
      <c r="H1" s="2" t="n"/>
      <c r="I1" s="2" t="n"/>
    </row>
    <row r="2">
      <c r="A2" s="4" t="inlineStr">
        <is>
          <t>The indicator set for an asset-heavy marine logistics operator. Every ratio is a formula off the statements; per-share figures convert to dirhams at the fixed parity.</t>
        </is>
      </c>
    </row>
    <row r="4">
      <c r="A4" s="5" t="inlineStr">
        <is>
          <t>Measure</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Earnings per ordinary share (USD)</t>
        </is>
      </c>
      <c r="B5" s="47">
        <f>'Income Statement'!B31</f>
        <v/>
      </c>
      <c r="C5" s="47">
        <f>'Income Statement'!C31</f>
        <v/>
      </c>
      <c r="D5" s="47">
        <f>'Income Statement'!D31</f>
        <v/>
      </c>
      <c r="E5" s="47">
        <f>'Income Statement'!E31</f>
        <v/>
      </c>
      <c r="F5" s="47">
        <f>'Income Statement'!F31</f>
        <v/>
      </c>
      <c r="G5" s="47">
        <f>'Income Statement'!G31</f>
        <v/>
      </c>
      <c r="H5" s="47">
        <f>'Income Statement'!H31</f>
        <v/>
      </c>
      <c r="I5" s="47">
        <f>'Income Statement'!I31</f>
        <v/>
      </c>
    </row>
    <row r="6">
      <c r="A6" s="6" t="inlineStr">
        <is>
          <t>Earnings per ordinary share (AED)</t>
        </is>
      </c>
      <c r="B6" s="47">
        <f>'Income Statement'!B32</f>
        <v/>
      </c>
      <c r="C6" s="47">
        <f>'Income Statement'!C32</f>
        <v/>
      </c>
      <c r="D6" s="47">
        <f>'Income Statement'!D32</f>
        <v/>
      </c>
      <c r="E6" s="47">
        <f>'Income Statement'!E32</f>
        <v/>
      </c>
      <c r="F6" s="47">
        <f>'Income Statement'!F32</f>
        <v/>
      </c>
      <c r="G6" s="47">
        <f>'Income Statement'!G32</f>
        <v/>
      </c>
      <c r="H6" s="47">
        <f>'Income Statement'!H32</f>
        <v/>
      </c>
      <c r="I6" s="47">
        <f>'Income Statement'!I32</f>
        <v/>
      </c>
    </row>
    <row r="7">
      <c r="A7" s="6" t="inlineStr">
        <is>
          <t>Attributable profit per share (AED, before the perpetual coupon)</t>
        </is>
      </c>
      <c r="B7" s="47">
        <f>'Income Statement'!B28/Assumptions!$C$6/1000*Assumptions!$C$7</f>
        <v/>
      </c>
      <c r="C7" s="47">
        <f>'Income Statement'!C28/Assumptions!$C$6/1000*Assumptions!$C$7</f>
        <v/>
      </c>
      <c r="D7" s="47">
        <f>'Income Statement'!D28/Assumptions!$C$6/1000*Assumptions!$C$7</f>
        <v/>
      </c>
      <c r="E7" s="47">
        <f>'Income Statement'!E28/Assumptions!$C$6/1000*Assumptions!$C$7</f>
        <v/>
      </c>
      <c r="F7" s="47">
        <f>'Income Statement'!F28/Assumptions!$C$6/1000*Assumptions!$C$7</f>
        <v/>
      </c>
      <c r="G7" s="47">
        <f>'Income Statement'!G28/Assumptions!$C$6/1000*Assumptions!$C$7</f>
        <v/>
      </c>
      <c r="H7" s="47">
        <f>'Income Statement'!H28/Assumptions!$C$6/1000*Assumptions!$C$7</f>
        <v/>
      </c>
      <c r="I7" s="47">
        <f>'Income Statement'!I28/Assumptions!$C$6/1000*Assumptions!$C$7</f>
        <v/>
      </c>
    </row>
    <row r="8">
      <c r="A8" s="6" t="inlineStr">
        <is>
          <t>Book value per share (AED)</t>
        </is>
      </c>
      <c r="B8" s="9">
        <f>'Balance Sheet'!B25</f>
        <v/>
      </c>
      <c r="C8" s="9">
        <f>'Balance Sheet'!C25</f>
        <v/>
      </c>
      <c r="D8" s="9">
        <f>'Balance Sheet'!D25</f>
        <v/>
      </c>
      <c r="E8" s="9">
        <f>'Balance Sheet'!E25</f>
        <v/>
      </c>
      <c r="F8" s="9">
        <f>'Balance Sheet'!F25</f>
        <v/>
      </c>
      <c r="G8" s="9">
        <f>'Balance Sheet'!G25</f>
        <v/>
      </c>
      <c r="H8" s="9">
        <f>'Balance Sheet'!H25</f>
        <v/>
      </c>
      <c r="I8" s="9">
        <f>'Balance Sheet'!I25</f>
        <v/>
      </c>
    </row>
    <row r="9">
      <c r="A9" s="6" t="inlineStr">
        <is>
          <t>Free cash flow to the firm per share (AED)</t>
        </is>
      </c>
      <c r="B9" s="47" t="inlineStr">
        <is>
          <t>-</t>
        </is>
      </c>
      <c r="C9" s="47" t="inlineStr">
        <is>
          <t>-</t>
        </is>
      </c>
      <c r="D9" s="47" t="inlineStr">
        <is>
          <t>-</t>
        </is>
      </c>
      <c r="E9" s="47">
        <f>'Cash Flow'!E15/Assumptions!$C$6/1000*Assumptions!$C$7</f>
        <v/>
      </c>
      <c r="F9" s="47">
        <f>'Cash Flow'!F15/Assumptions!$C$6/1000*Assumptions!$C$7</f>
        <v/>
      </c>
      <c r="G9" s="47">
        <f>'Cash Flow'!G15/Assumptions!$C$6/1000*Assumptions!$C$7</f>
        <v/>
      </c>
      <c r="H9" s="47">
        <f>'Cash Flow'!H15/Assumptions!$C$6/1000*Assumptions!$C$7</f>
        <v/>
      </c>
      <c r="I9" s="47">
        <f>'Cash Flow'!I15/Assumptions!$C$6/1000*Assumptions!$C$7</f>
        <v/>
      </c>
    </row>
    <row r="10">
      <c r="A10" s="6" t="inlineStr">
        <is>
          <t>Ordinary dividend per share (AED)</t>
        </is>
      </c>
      <c r="B10" s="47" t="inlineStr">
        <is>
          <t>-</t>
        </is>
      </c>
      <c r="C10" s="47" t="inlineStr">
        <is>
          <t>-</t>
        </is>
      </c>
      <c r="D10" s="47" t="inlineStr">
        <is>
          <t>-</t>
        </is>
      </c>
      <c r="E10" s="47">
        <f>'Balance Sheet'!B70*Assumptions!$C$7</f>
        <v/>
      </c>
      <c r="F10" s="47">
        <f>'Balance Sheet'!C70*Assumptions!$C$7</f>
        <v/>
      </c>
      <c r="G10" s="47">
        <f>'Balance Sheet'!D70*Assumptions!$C$7</f>
        <v/>
      </c>
      <c r="H10" s="47">
        <f>'Balance Sheet'!E70*Assumptions!$C$7</f>
        <v/>
      </c>
      <c r="I10" s="47">
        <f>'Balance Sheet'!F70*Assumptions!$C$7</f>
        <v/>
      </c>
    </row>
    <row r="11">
      <c r="A11" s="6" t="inlineStr">
        <is>
          <t>Ordinary dividend payout ratio</t>
        </is>
      </c>
      <c r="B11" s="10" t="inlineStr">
        <is>
          <t>-</t>
        </is>
      </c>
      <c r="C11" s="10" t="inlineStr">
        <is>
          <t>-</t>
        </is>
      </c>
      <c r="D11" s="10" t="inlineStr">
        <is>
          <t>-</t>
        </is>
      </c>
      <c r="E11" s="10">
        <f>-'Balance Sheet'!B67/'Income Statement'!E28</f>
        <v/>
      </c>
      <c r="F11" s="10">
        <f>-'Balance Sheet'!C67/'Income Statement'!F28</f>
        <v/>
      </c>
      <c r="G11" s="10">
        <f>-'Balance Sheet'!D67/'Income Statement'!G28</f>
        <v/>
      </c>
      <c r="H11" s="10">
        <f>-'Balance Sheet'!E67/'Income Statement'!H28</f>
        <v/>
      </c>
      <c r="I11" s="10">
        <f>-'Balance Sheet'!F67/'Income Statement'!I28</f>
        <v/>
      </c>
    </row>
    <row r="12">
      <c r="A12" s="6" t="inlineStr">
        <is>
          <t>Gross margin</t>
        </is>
      </c>
      <c r="B12" s="10">
        <f>'Income Statement'!B7/'Income Statement'!B5</f>
        <v/>
      </c>
      <c r="C12" s="10">
        <f>'Income Statement'!C7/'Income Statement'!C5</f>
        <v/>
      </c>
      <c r="D12" s="10">
        <f>'Income Statement'!D7/'Income Statement'!D5</f>
        <v/>
      </c>
      <c r="E12" s="10" t="inlineStr">
        <is>
          <t>-</t>
        </is>
      </c>
      <c r="F12" s="10" t="inlineStr">
        <is>
          <t>-</t>
        </is>
      </c>
      <c r="G12" s="10" t="inlineStr">
        <is>
          <t>-</t>
        </is>
      </c>
      <c r="H12" s="10" t="inlineStr">
        <is>
          <t>-</t>
        </is>
      </c>
      <c r="I12" s="10" t="inlineStr">
        <is>
          <t>-</t>
        </is>
      </c>
    </row>
    <row r="13">
      <c r="A13" s="6" t="inlineStr">
        <is>
          <t>EBITDA margin</t>
        </is>
      </c>
      <c r="B13" s="10">
        <f>'Income Statement'!B18</f>
        <v/>
      </c>
      <c r="C13" s="10">
        <f>'Income Statement'!C18</f>
        <v/>
      </c>
      <c r="D13" s="10">
        <f>'Income Statement'!D18</f>
        <v/>
      </c>
      <c r="E13" s="10">
        <f>'Income Statement'!E18</f>
        <v/>
      </c>
      <c r="F13" s="10">
        <f>'Income Statement'!F18</f>
        <v/>
      </c>
      <c r="G13" s="10">
        <f>'Income Statement'!G18</f>
        <v/>
      </c>
      <c r="H13" s="10">
        <f>'Income Statement'!H18</f>
        <v/>
      </c>
      <c r="I13" s="10">
        <f>'Income Statement'!I18</f>
        <v/>
      </c>
    </row>
    <row r="14">
      <c r="A14" s="6" t="inlineStr">
        <is>
          <t>EBIT margin</t>
        </is>
      </c>
      <c r="B14" s="10">
        <f>'Income Statement'!B12/'Income Statement'!B5</f>
        <v/>
      </c>
      <c r="C14" s="10">
        <f>'Income Statement'!C12/'Income Statement'!C5</f>
        <v/>
      </c>
      <c r="D14" s="10">
        <f>'Income Statement'!D12/'Income Statement'!D5</f>
        <v/>
      </c>
      <c r="E14" s="10">
        <f>'Income Statement'!E12/'Income Statement'!E5</f>
        <v/>
      </c>
      <c r="F14" s="10">
        <f>'Income Statement'!F12/'Income Statement'!F5</f>
        <v/>
      </c>
      <c r="G14" s="10">
        <f>'Income Statement'!G12/'Income Statement'!G5</f>
        <v/>
      </c>
      <c r="H14" s="10">
        <f>'Income Statement'!H12/'Income Statement'!H5</f>
        <v/>
      </c>
      <c r="I14" s="10">
        <f>'Income Statement'!I12/'Income Statement'!I5</f>
        <v/>
      </c>
    </row>
    <row r="15">
      <c r="A15" s="6" t="inlineStr">
        <is>
          <t>Net margin (attributable)</t>
        </is>
      </c>
      <c r="B15" s="10">
        <f>'Income Statement'!B28/'Income Statement'!B5</f>
        <v/>
      </c>
      <c r="C15" s="10">
        <f>'Income Statement'!C28/'Income Statement'!C5</f>
        <v/>
      </c>
      <c r="D15" s="10">
        <f>'Income Statement'!D28/'Income Statement'!D5</f>
        <v/>
      </c>
      <c r="E15" s="10">
        <f>'Income Statement'!E28/'Income Statement'!E5</f>
        <v/>
      </c>
      <c r="F15" s="10">
        <f>'Income Statement'!F28/'Income Statement'!F5</f>
        <v/>
      </c>
      <c r="G15" s="10">
        <f>'Income Statement'!G28/'Income Statement'!G5</f>
        <v/>
      </c>
      <c r="H15" s="10">
        <f>'Income Statement'!H28/'Income Statement'!H5</f>
        <v/>
      </c>
      <c r="I15" s="10">
        <f>'Income Statement'!I28/'Income Statement'!I5</f>
        <v/>
      </c>
    </row>
    <row r="16">
      <c r="A16" s="6" t="inlineStr">
        <is>
          <t>Return on equity</t>
        </is>
      </c>
      <c r="B16" s="10" t="inlineStr">
        <is>
          <t>-</t>
        </is>
      </c>
      <c r="C16" s="10">
        <f>'Balance Sheet'!C28</f>
        <v/>
      </c>
      <c r="D16" s="10">
        <f>'Balance Sheet'!D28</f>
        <v/>
      </c>
      <c r="E16" s="10">
        <f>'Balance Sheet'!E28</f>
        <v/>
      </c>
      <c r="F16" s="10">
        <f>'Balance Sheet'!F28</f>
        <v/>
      </c>
      <c r="G16" s="10">
        <f>'Balance Sheet'!G28</f>
        <v/>
      </c>
      <c r="H16" s="10">
        <f>'Balance Sheet'!H28</f>
        <v/>
      </c>
      <c r="I16" s="10">
        <f>'Balance Sheet'!I28</f>
        <v/>
      </c>
    </row>
    <row r="17">
      <c r="A17" s="6" t="inlineStr">
        <is>
          <t>Return on invested capital</t>
        </is>
      </c>
      <c r="B17" s="10" t="inlineStr">
        <is>
          <t>-</t>
        </is>
      </c>
      <c r="C17" s="10" t="inlineStr">
        <is>
          <t>-</t>
        </is>
      </c>
      <c r="D17" s="10" t="inlineStr">
        <is>
          <t>-</t>
        </is>
      </c>
      <c r="E17" s="10">
        <f>'Balance Sheet'!E27</f>
        <v/>
      </c>
      <c r="F17" s="10">
        <f>'Balance Sheet'!F27</f>
        <v/>
      </c>
      <c r="G17" s="10">
        <f>'Balance Sheet'!G27</f>
        <v/>
      </c>
      <c r="H17" s="10">
        <f>'Balance Sheet'!H27</f>
        <v/>
      </c>
      <c r="I17" s="10">
        <f>'Balance Sheet'!I27</f>
        <v/>
      </c>
    </row>
    <row r="18">
      <c r="A18" s="6" t="inlineStr">
        <is>
          <t>Net debt / EBITDA</t>
        </is>
      </c>
      <c r="B18" s="40">
        <f>'Balance Sheet'!B23</f>
        <v/>
      </c>
      <c r="C18" s="40">
        <f>'Balance Sheet'!C23</f>
        <v/>
      </c>
      <c r="D18" s="40">
        <f>'Balance Sheet'!D23</f>
        <v/>
      </c>
      <c r="E18" s="40">
        <f>'Balance Sheet'!E23</f>
        <v/>
      </c>
      <c r="F18" s="40">
        <f>'Balance Sheet'!F23</f>
        <v/>
      </c>
      <c r="G18" s="40">
        <f>'Balance Sheet'!G23</f>
        <v/>
      </c>
      <c r="H18" s="40">
        <f>'Balance Sheet'!H23</f>
        <v/>
      </c>
      <c r="I18" s="40">
        <f>'Balance Sheet'!I23</f>
        <v/>
      </c>
    </row>
    <row r="19">
      <c r="A19" s="6" t="inlineStr">
        <is>
          <t>Interest cover (EBIT over finance costs)</t>
        </is>
      </c>
      <c r="B19" s="40">
        <f>-'Income Statement'!B12/'Income Statement'!B23</f>
        <v/>
      </c>
      <c r="C19" s="40">
        <f>-'Income Statement'!C12/'Income Statement'!C23</f>
        <v/>
      </c>
      <c r="D19" s="40">
        <f>-'Income Statement'!D12/'Income Statement'!D23</f>
        <v/>
      </c>
      <c r="E19" s="40">
        <f>-'Income Statement'!E12/'Income Statement'!E23</f>
        <v/>
      </c>
      <c r="F19" s="40">
        <f>-'Income Statement'!F12/'Income Statement'!F23</f>
        <v/>
      </c>
      <c r="G19" s="40">
        <f>-'Income Statement'!G12/'Income Statement'!G23</f>
        <v/>
      </c>
      <c r="H19" s="40">
        <f>-'Income Statement'!H12/'Income Statement'!H23</f>
        <v/>
      </c>
      <c r="I19" s="40">
        <f>-'Income Statement'!I12/'Income Statement'!I23</f>
        <v/>
      </c>
    </row>
    <row r="20">
      <c r="A20" s="6" t="inlineStr">
        <is>
          <t>Days sales outstanding</t>
        </is>
      </c>
      <c r="B20" s="36">
        <f>'Balance Sheet'!B12/'Income Statement'!B5*365</f>
        <v/>
      </c>
      <c r="C20" s="36">
        <f>'Balance Sheet'!C12/'Income Statement'!C5*365</f>
        <v/>
      </c>
      <c r="D20" s="36">
        <f>'Balance Sheet'!D12/'Income Statement'!D5*365</f>
        <v/>
      </c>
      <c r="E20" s="36">
        <f>'Balance Sheet'!E12/'Income Statement'!E5*365</f>
        <v/>
      </c>
      <c r="F20" s="36">
        <f>'Balance Sheet'!F12/'Income Statement'!F5*365</f>
        <v/>
      </c>
      <c r="G20" s="36">
        <f>'Balance Sheet'!G12/'Income Statement'!G5*365</f>
        <v/>
      </c>
      <c r="H20" s="36">
        <f>'Balance Sheet'!H12/'Income Statement'!H5*365</f>
        <v/>
      </c>
      <c r="I20" s="36">
        <f>'Balance Sheet'!I12/'Income Statement'!I5*365</f>
        <v/>
      </c>
    </row>
    <row r="21">
      <c r="A21" s="6" t="inlineStr">
        <is>
          <t>Days inventory outstanding</t>
        </is>
      </c>
      <c r="B21" s="36">
        <f>'Balance Sheet'!B11/'Income Statement'!B17*365</f>
        <v/>
      </c>
      <c r="C21" s="36">
        <f>'Balance Sheet'!C11/'Income Statement'!C17*365</f>
        <v/>
      </c>
      <c r="D21" s="36">
        <f>'Balance Sheet'!D11/'Income Statement'!D17*365</f>
        <v/>
      </c>
      <c r="E21" s="36">
        <f>'Balance Sheet'!E11/'Income Statement'!E17*365</f>
        <v/>
      </c>
      <c r="F21" s="36">
        <f>'Balance Sheet'!F11/'Income Statement'!F17*365</f>
        <v/>
      </c>
      <c r="G21" s="36">
        <f>'Balance Sheet'!G11/'Income Statement'!G17*365</f>
        <v/>
      </c>
      <c r="H21" s="36">
        <f>'Balance Sheet'!H11/'Income Statement'!H17*365</f>
        <v/>
      </c>
      <c r="I21" s="36">
        <f>'Balance Sheet'!I11/'Income Statement'!I17*365</f>
        <v/>
      </c>
    </row>
    <row r="22">
      <c r="A22" s="6" t="inlineStr">
        <is>
          <t>Days payable outstanding</t>
        </is>
      </c>
      <c r="B22" s="36">
        <f>'Balance Sheet'!B15/'Income Statement'!B17*365</f>
        <v/>
      </c>
      <c r="C22" s="36">
        <f>'Balance Sheet'!C15/'Income Statement'!C17*365</f>
        <v/>
      </c>
      <c r="D22" s="36">
        <f>'Balance Sheet'!D15/'Income Statement'!D17*365</f>
        <v/>
      </c>
      <c r="E22" s="36">
        <f>'Balance Sheet'!E15/'Income Statement'!E17*365</f>
        <v/>
      </c>
      <c r="F22" s="36">
        <f>'Balance Sheet'!F15/'Income Statement'!F17*365</f>
        <v/>
      </c>
      <c r="G22" s="36">
        <f>'Balance Sheet'!G15/'Income Statement'!G17*365</f>
        <v/>
      </c>
      <c r="H22" s="36">
        <f>'Balance Sheet'!H15/'Income Statement'!H17*365</f>
        <v/>
      </c>
      <c r="I22" s="36">
        <f>'Balance Sheet'!I15/'Income Statement'!I17*365</f>
        <v/>
      </c>
    </row>
    <row r="23">
      <c r="A23" s="6" t="inlineStr">
        <is>
          <t>Cash conversion cycle (days)</t>
        </is>
      </c>
      <c r="B23" s="36">
        <f>B20+B21-B22</f>
        <v/>
      </c>
      <c r="C23" s="36">
        <f>C20+C21-C22</f>
        <v/>
      </c>
      <c r="D23" s="36">
        <f>D20+D21-D22</f>
        <v/>
      </c>
      <c r="E23" s="36">
        <f>E20+E21-E22</f>
        <v/>
      </c>
      <c r="F23" s="36">
        <f>F20+F21-F22</f>
        <v/>
      </c>
      <c r="G23" s="36">
        <f>G20+G21-G22</f>
        <v/>
      </c>
      <c r="H23" s="36">
        <f>H20+H21-H22</f>
        <v/>
      </c>
      <c r="I23" s="36">
        <f>I20+I21-I22</f>
        <v/>
      </c>
    </row>
    <row r="24">
      <c r="A24" s="6" t="inlineStr">
        <is>
          <t>Capital expenditure / revenue</t>
        </is>
      </c>
      <c r="B24" s="10">
        <f>-'Cash Flow'!B7/'Income Statement'!B5</f>
        <v/>
      </c>
      <c r="C24" s="10">
        <f>-'Cash Flow'!C7/'Income Statement'!C5</f>
        <v/>
      </c>
      <c r="D24" s="10">
        <f>-'Cash Flow'!D7/'Income Statement'!D5</f>
        <v/>
      </c>
      <c r="E24" s="10">
        <f>-'Cash Flow'!E7/'Income Statement'!E5</f>
        <v/>
      </c>
      <c r="F24" s="10">
        <f>-'Cash Flow'!F7/'Income Statement'!F5</f>
        <v/>
      </c>
      <c r="G24" s="10">
        <f>-'Cash Flow'!G7/'Income Statement'!G5</f>
        <v/>
      </c>
      <c r="H24" s="10">
        <f>-'Cash Flow'!H7/'Income Statement'!H5</f>
        <v/>
      </c>
      <c r="I24" s="10">
        <f>-'Cash Flow'!I7/'Income Statement'!I5</f>
        <v/>
      </c>
    </row>
    <row r="26">
      <c r="A26" s="11" t="inlineStr">
        <is>
          <t>MULTIPLES AT THE ANCHOR PRICE</t>
        </is>
      </c>
      <c r="B26" s="14" t="n"/>
      <c r="C26" s="14" t="n"/>
      <c r="D26" s="14" t="n"/>
      <c r="E26" s="14" t="n"/>
      <c r="F26" s="14" t="n"/>
      <c r="G26" s="14" t="n"/>
      <c r="H26" s="14" t="n"/>
      <c r="I26" s="14" t="n"/>
    </row>
    <row r="27">
      <c r="A27" s="6" t="inlineStr">
        <is>
          <t>Share price (AED)</t>
        </is>
      </c>
      <c r="C27" s="7">
        <f>Summary!$C$16</f>
        <v/>
      </c>
    </row>
    <row r="28">
      <c r="A28" s="6" t="inlineStr">
        <is>
          <t>Share price (USD)</t>
        </is>
      </c>
      <c r="C28" s="7">
        <f>'Relative &amp; Normalized'!$C$29</f>
        <v/>
      </c>
    </row>
    <row r="29">
      <c r="A29" s="6" t="inlineStr">
        <is>
          <t>Market capitalisation (USD 000)</t>
        </is>
      </c>
      <c r="C29" s="18">
        <f>'Relative &amp; Normalized'!$C$30</f>
        <v/>
      </c>
    </row>
    <row r="30">
      <c r="A30" s="6" t="inlineStr">
        <is>
          <t>Enterprise value (USD 000)</t>
        </is>
      </c>
      <c r="C30" s="18">
        <f>'Relative &amp; Normalized'!$C$32</f>
        <v/>
      </c>
    </row>
    <row r="31">
      <c r="A31" s="6" t="inlineStr">
        <is>
          <t>Enterprise value / 2025 reported EBITDA</t>
        </is>
      </c>
      <c r="C31" s="42">
        <f>'Relative &amp; Normalized'!$C$33</f>
        <v/>
      </c>
    </row>
    <row r="32">
      <c r="A32" s="6" t="inlineStr">
        <is>
          <t>Enterprise value / FY2026E EBITDA</t>
        </is>
      </c>
      <c r="C32" s="42">
        <f>'Relative &amp; Normalized'!$C$34</f>
        <v/>
      </c>
    </row>
    <row r="33">
      <c r="A33" s="6" t="inlineStr">
        <is>
          <t>Price / 2025 ordinary earnings</t>
        </is>
      </c>
      <c r="C33" s="42">
        <f>'Relative &amp; Normalized'!$C$35</f>
        <v/>
      </c>
    </row>
    <row r="34">
      <c r="A34" s="6" t="inlineStr">
        <is>
          <t>Price / book at 31 March 2026</t>
        </is>
      </c>
      <c r="C34" s="42">
        <f>'Relative &amp; Normalized'!$C$37</f>
        <v/>
      </c>
    </row>
    <row r="35">
      <c r="A35" s="6" t="inlineStr">
        <is>
          <t>Dividend yield on the 2026 distribution</t>
        </is>
      </c>
      <c r="C35" s="8">
        <f>'Relative &amp; Normalized'!$C$38</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0" customWidth="1" min="1" max="1"/>
    <col width="15" customWidth="1" min="2" max="2"/>
    <col width="30" customWidth="1" min="3" max="3"/>
    <col width="15" customWidth="1" min="4" max="4"/>
    <col width="15" customWidth="1" min="5" max="5"/>
    <col width="15" customWidth="1" min="6" max="6"/>
    <col width="15" customWidth="1" min="7" max="7"/>
    <col width="15" customWidth="1" min="8" max="8"/>
    <col width="34" customWidth="1" min="9" max="9"/>
    <col width="15" customWidth="1" min="10" max="10"/>
  </cols>
  <sheetData>
    <row r="1">
      <c r="A1" s="1" t="inlineStr">
        <is>
          <t>Peer frame and sector context</t>
        </is>
      </c>
      <c r="B1" s="2" t="n"/>
      <c r="C1" s="2" t="n"/>
      <c r="D1" s="2" t="n"/>
      <c r="E1" s="2" t="n"/>
      <c r="F1" s="2" t="n"/>
      <c r="G1" s="2" t="n"/>
      <c r="H1" s="2" t="n"/>
      <c r="I1" s="2" t="n"/>
      <c r="J1" s="2" t="n"/>
    </row>
    <row r="2">
      <c r="A2" s="4" t="inlineStr">
        <is>
          <t>No single clean comparable exists: the company is part contracted marine logistics and part spot tanker owner, so the frame is built from both ends and blended on the company's own disclosed exposure.</t>
        </is>
      </c>
    </row>
    <row r="4">
      <c r="A4" s="5" t="inlineStr">
        <is>
          <t>Company</t>
        </is>
      </c>
      <c r="B4" s="5" t="inlineStr">
        <is>
          <t>Market</t>
        </is>
      </c>
      <c r="C4" s="5" t="inlineStr">
        <is>
          <t>Business model</t>
        </is>
      </c>
      <c r="D4" s="5" t="inlineStr">
        <is>
          <t>EV/EBITDA</t>
        </is>
      </c>
      <c r="E4" s="5" t="inlineStr">
        <is>
          <t>Forward P/E</t>
        </is>
      </c>
      <c r="F4" s="5" t="inlineStr">
        <is>
          <t>Trailing P/E</t>
        </is>
      </c>
      <c r="G4" s="5" t="inlineStr">
        <is>
          <t>Price / book</t>
        </is>
      </c>
      <c r="H4" s="5" t="inlineStr">
        <is>
          <t>Dividend yield</t>
        </is>
      </c>
      <c r="I4" s="5" t="inlineStr">
        <is>
          <t>Source</t>
        </is>
      </c>
      <c r="J4" s="5" t="inlineStr">
        <is>
          <t>As at</t>
        </is>
      </c>
    </row>
    <row r="5" ht="28" customHeight="1">
      <c r="A5" s="6" t="inlineStr">
        <is>
          <t>Qatar Gas Transport (Nakilat)</t>
        </is>
      </c>
      <c r="B5" s="6" t="inlineStr">
        <is>
          <t>Qatar</t>
        </is>
      </c>
      <c r="C5" s="20" t="inlineStr">
        <is>
          <t>long-term contracted gas shipping</t>
        </is>
      </c>
      <c r="D5" s="54" t="n">
        <v>12.26</v>
      </c>
      <c r="E5" s="54" t="n">
        <v>13.97</v>
      </c>
      <c r="F5" s="54" t="n">
        <v>14.15</v>
      </c>
      <c r="G5" s="54" t="n">
        <v>1.65</v>
      </c>
      <c r="H5" s="30" t="n">
        <v>0.0336</v>
      </c>
      <c r="I5" s="20" t="inlineStr">
        <is>
          <t>stockanalysis.com company statistics page</t>
        </is>
      </c>
      <c r="J5" s="6" t="inlineStr">
        <is>
          <t>2026-08-09</t>
        </is>
      </c>
    </row>
    <row r="6" ht="28" customHeight="1">
      <c r="A6" s="6" t="inlineStr">
        <is>
          <t>Frontline plc</t>
        </is>
      </c>
      <c r="B6" s="6" t="inlineStr">
        <is>
          <t>Oslo / New York</t>
        </is>
      </c>
      <c r="C6" s="20" t="inlineStr">
        <is>
          <t>spot crude tankers</t>
        </is>
      </c>
      <c r="D6" s="54" t="n">
        <v>8.960000000000001</v>
      </c>
      <c r="E6" s="54" t="n">
        <v>6.44</v>
      </c>
      <c r="F6" s="54" t="n">
        <v>9.98</v>
      </c>
      <c r="G6" s="54" t="inlineStr">
        <is>
          <t>n/a</t>
        </is>
      </c>
      <c r="H6" s="30" t="inlineStr">
        <is>
          <t>n/a</t>
        </is>
      </c>
      <c r="I6" s="20" t="inlineStr">
        <is>
          <t>stockanalysis.com company statistics page</t>
        </is>
      </c>
      <c r="J6" s="6" t="inlineStr">
        <is>
          <t>2026-08-09</t>
        </is>
      </c>
    </row>
    <row r="7" ht="28" customHeight="1">
      <c r="A7" s="6" t="inlineStr">
        <is>
          <t>International Seaways</t>
        </is>
      </c>
      <c r="B7" s="6" t="inlineStr">
        <is>
          <t>New York</t>
        </is>
      </c>
      <c r="C7" s="20" t="inlineStr">
        <is>
          <t>spot crude and product tankers</t>
        </is>
      </c>
      <c r="D7" s="54" t="n">
        <v>8.1</v>
      </c>
      <c r="E7" s="54" t="inlineStr">
        <is>
          <t>n/a</t>
        </is>
      </c>
      <c r="F7" s="54" t="inlineStr">
        <is>
          <t>n/a</t>
        </is>
      </c>
      <c r="G7" s="54" t="inlineStr">
        <is>
          <t>n/a</t>
        </is>
      </c>
      <c r="H7" s="30" t="inlineStr">
        <is>
          <t>n/a</t>
        </is>
      </c>
      <c r="I7" s="20" t="inlineStr">
        <is>
          <t>valueinvesting.io enterprise-value-to-earnings page</t>
        </is>
      </c>
      <c r="J7" s="6" t="inlineStr">
        <is>
          <t>2026-07-26</t>
        </is>
      </c>
    </row>
    <row r="9">
      <c r="A9" s="11" t="inlineStr">
        <is>
          <t>THE MULTIPLES USED IN THE RELATIVE LENS</t>
        </is>
      </c>
      <c r="B9" s="14" t="n"/>
      <c r="C9" s="14" t="n"/>
      <c r="D9" s="14" t="n"/>
      <c r="E9" s="14" t="n"/>
      <c r="F9" s="14" t="n"/>
      <c r="G9" s="14" t="n"/>
      <c r="H9" s="14" t="n"/>
      <c r="I9" s="14" t="n"/>
      <c r="J9" s="14" t="n"/>
    </row>
    <row r="10">
      <c r="A10" s="6" t="inlineStr">
        <is>
          <t>Contracted-shipping multiple</t>
        </is>
      </c>
      <c r="C10" s="40">
        <f>D5</f>
        <v/>
      </c>
    </row>
    <row r="11">
      <c r="A11" s="6" t="inlineStr">
        <is>
          <t>Spot-tanker multiple — the two spot owners averaged</t>
        </is>
      </c>
      <c r="C11" s="40">
        <f>(D6+D7)/2</f>
        <v/>
      </c>
    </row>
    <row r="12">
      <c r="A12" s="6" t="inlineStr">
        <is>
          <t>Share of 2026 earnings exposed to spot rates, as disclosed</t>
        </is>
      </c>
      <c r="C12" s="8">
        <f>Assumptions!$C$167</f>
        <v/>
      </c>
    </row>
    <row r="13">
      <c r="A13" s="6" t="inlineStr">
        <is>
          <t>Blended enterprise multiple</t>
        </is>
      </c>
      <c r="C13" s="40">
        <f>(1-C12)*C10+C12*C11</f>
        <v/>
      </c>
    </row>
    <row r="14">
      <c r="A14" s="6" t="inlineStr">
        <is>
          <t>Contracted-shipping forward price/earnings</t>
        </is>
      </c>
      <c r="C14" s="40">
        <f>E5</f>
        <v/>
      </c>
    </row>
    <row r="15">
      <c r="A15" s="6" t="inlineStr">
        <is>
          <t>Spot-tanker forward price/earnings</t>
        </is>
      </c>
      <c r="C15" s="40">
        <f>E6</f>
        <v/>
      </c>
    </row>
    <row r="16">
      <c r="A16" s="6" t="inlineStr">
        <is>
          <t>Blended forward price/earnings — the multiple the relative lens applies to forward earnings</t>
        </is>
      </c>
      <c r="C16" s="40">
        <f>(1-C12)*C14+C12*C15</f>
        <v/>
      </c>
    </row>
    <row r="17">
      <c r="A17" s="6" t="inlineStr">
        <is>
          <t>Contracted-shipping trailing price/earnings</t>
        </is>
      </c>
      <c r="C17" s="40">
        <f>F5</f>
        <v/>
      </c>
    </row>
    <row r="18">
      <c r="A18" s="6" t="inlineStr">
        <is>
          <t>Spot-tanker trailing price/earnings</t>
        </is>
      </c>
      <c r="C18" s="40">
        <f>F6</f>
        <v/>
      </c>
    </row>
    <row r="19">
      <c r="A19" s="6" t="inlineStr">
        <is>
          <t>Blended trailing price/earnings — the same blend on the trailing basis, so the company can be compared with the peers on either basis rather than one against the other</t>
        </is>
      </c>
      <c r="C19" s="40">
        <f>(1-C12)*C17+C12*C18</f>
        <v/>
      </c>
    </row>
    <row r="21">
      <c r="A21" s="11" t="inlineStr">
        <is>
          <t>THE COMPANY'S OWN MULTIPLES AT THE ANCHOR PRICE</t>
        </is>
      </c>
      <c r="B21" s="14" t="n"/>
      <c r="C21" s="14" t="n"/>
      <c r="D21" s="14" t="n"/>
      <c r="E21" s="14" t="n"/>
      <c r="F21" s="14" t="n"/>
      <c r="G21" s="14" t="n"/>
      <c r="H21" s="14" t="n"/>
      <c r="I21" s="14" t="n"/>
      <c r="J21" s="14" t="n"/>
    </row>
    <row r="22">
      <c r="A22" s="6" t="inlineStr">
        <is>
          <t>Enterprise value / 2025 reported EBITDA</t>
        </is>
      </c>
      <c r="C22" s="42">
        <f>'Relative &amp; Normalized'!$C$33</f>
        <v/>
      </c>
    </row>
    <row r="23">
      <c r="A23" s="6" t="inlineStr">
        <is>
          <t>Enterprise value / FY2026E EBITDA</t>
        </is>
      </c>
      <c r="C23" s="42">
        <f>'Relative &amp; Normalized'!$C$34</f>
        <v/>
      </c>
    </row>
    <row r="24">
      <c r="A24" s="6" t="inlineStr">
        <is>
          <t>Price / 2025 ordinary earnings — trailing, against the blended trailing multiple above</t>
        </is>
      </c>
      <c r="C24" s="42">
        <f>'Relative &amp; Normalized'!$C$35</f>
        <v/>
      </c>
    </row>
    <row r="25">
      <c r="A25" s="6" t="inlineStr">
        <is>
          <t>Price / FY2026E ordinary earnings — forward, against the blended forward multiple above</t>
        </is>
      </c>
      <c r="C25" s="42">
        <f>'Relative &amp; Normalized'!$C$36</f>
        <v/>
      </c>
    </row>
    <row r="26">
      <c r="A26" s="6" t="inlineStr">
        <is>
          <t>Price / book at 31 March 2026</t>
        </is>
      </c>
      <c r="C26" s="42">
        <f>'Relative &amp; Normalized'!$C$37</f>
        <v/>
      </c>
    </row>
    <row r="27">
      <c r="A27" s="6" t="inlineStr">
        <is>
          <t>Dividend yield on the 2026 distribution</t>
        </is>
      </c>
      <c r="C27" s="8">
        <f>'Relative &amp; Normalized'!$C$38</f>
        <v/>
      </c>
    </row>
    <row r="28">
      <c r="A28" s="4" t="inlineStr">
        <is>
          <t>The contracted peer is a long-term contracted gas shipping company whose earnings look nothing like a spot tanker owner's; the two spot owners carry the opposite exposure. Neither is a comparable on its own, which is why the multiple applied is a blend weighted by the share of earnings the company itself discloses as spot-exposed, and why the relative lens is a cross-check rather than an independent 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2026-08-17T22:22:32Z</dcterms:created>
  <dcterms:modified xmlns:dcterms="http://purl.org/dc/terms/" xmlns:xsi="http://www.w3.org/2001/XMLSchema-instance" xsi:type="dcterms:W3CDTF">2026-08-17T22:22:32Z</dcterms:modified>
</cp:coreProperties>
</file>