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FIRST" sheetId="1" state="visible" r:id="rId3"/>
    <sheet name="Summary" sheetId="2" state="visible" r:id="rId4"/>
    <sheet name="Fundamental Valuation" sheetId="3" state="visible" r:id="rId5"/>
    <sheet name="Assumptions" sheetId="4" state="visible" r:id="rId6"/>
    <sheet name="SOTP" sheetId="5" state="visible" r:id="rId7"/>
    <sheet name="Segments" sheetId="6" state="visible" r:id="rId8"/>
    <sheet name="Relative &amp; Normalized" sheetId="7" state="visible" r:id="rId9"/>
    <sheet name="DCF" sheetId="8" state="visible" r:id="rId10"/>
    <sheet name="Income Statement" sheetId="9" state="visible" r:id="rId11"/>
    <sheet name="Balance Sheet" sheetId="10" state="visible" r:id="rId12"/>
    <sheet name="Cash Flow" sheetId="11" state="visible" r:id="rId13"/>
    <sheet name="Summary Financials" sheetId="12" state="visible" r:id="rId14"/>
    <sheet name="Monte Carlo" sheetId="13" state="visible" r:id="rId15"/>
    <sheet name="Sensitivity" sheetId="14" state="visible" r:id="rId16"/>
    <sheet name="Per-Share &amp; Ratios" sheetId="15" state="visible" r:id="rId17"/>
    <sheet name="Peer &amp; Sector" sheetId="16" state="visible" r:id="rId1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<sst xmlns="http://schemas.openxmlformats.org/spreadsheetml/2006/main" count="314" uniqueCount="232">
  <si>
    <t xml:space="preserve">Testahil — Tata Motors Passenger Vehicles Ltd (NSE: TMPV)</t>
  </si>
  <si>
    <t xml:space="preserve">Companion model · Independent Valuation Study · Educational analysis · Not investment advice</t>
  </si>
  <si>
    <t xml:space="preserve">What this workbook is. A transparent companion to the TMPV valuation study. Every blue cell is an input; every</t>
  </si>
  <si>
    <t xml:space="preserve">black cell is a formula; green cells link across sheets. All inputs live on the Assumptions sheet — change one</t>
  </si>
  <si>
    <t xml:space="preserve">(the holdco discount, a JLR multiple, a growth rate) and the whole model reprices.</t>
  </si>
  <si>
    <t xml:space="preserve">What it is not. It is not investment advice, a recommendation, or a price target. Values are model outputs shown</t>
  </si>
  <si>
    <t xml:space="preserve">as ranges. The preparer is not licensed by any securities regulator and may hold a position in the security.</t>
  </si>
  <si>
    <t xml:space="preserve">Entity note. Following the Oct-2025 demerger, the name 'Tata Motors Limited' now belongs to the separately-listed</t>
  </si>
  <si>
    <t xml:space="preserve">commercial-vehicle company (NSE: TMCV). This model concerns the passenger-vehicle entity, NSE: TMPV (PV + EV + JLR).</t>
  </si>
  <si>
    <t xml:space="preserve">Currency. ₹ crore unless stated; JLR in £; FX at study date GBP/INR 125, USD/INR 88. Spot ₹352.20 (30 Jun 2026).</t>
  </si>
  <si>
    <t xml:space="preserve">Historical financials are company disclosure (FY26 results, 14 May 2026); some balance-sheet line items are</t>
  </si>
  <si>
    <t xml:space="preserve">estimated to balance to disclosed totals (equity, borrowings, cash, provisions) — flagged on the Balance Sheet.</t>
  </si>
  <si>
    <t xml:space="preserve">Sheets: Summary · Fundamental Valuation · Assumptions · SOTP · Segments · Relative &amp; Normalized · DCF ·</t>
  </si>
  <si>
    <t xml:space="preserve">Income Statement · Balance Sheet · Cash Flow · Summary Financials · Monte Carlo · Sensitivity · Per-Share &amp; Ratios · Peer &amp; Sector.</t>
  </si>
  <si>
    <t xml:space="preserve">Valuation summary — Tata Motors PV (NSE: TMPV)</t>
  </si>
  <si>
    <t xml:space="preserve">Four-lens fair value vs spot. Base links live; bear/bull are scenario outputs (see study §1.5).</t>
  </si>
  <si>
    <t xml:space="preserve">Bear</t>
  </si>
  <si>
    <t xml:space="preserve">Base</t>
  </si>
  <si>
    <t xml:space="preserve">Bull</t>
  </si>
  <si>
    <t xml:space="preserve">Weight</t>
  </si>
  <si>
    <t xml:space="preserve">Sum-of-the-parts</t>
  </si>
  <si>
    <t xml:space="preserve">Consolidated DCF</t>
  </si>
  <si>
    <t xml:space="preserve">Relative multiples</t>
  </si>
  <si>
    <t xml:space="preserve">Normalized earnings</t>
  </si>
  <si>
    <t xml:space="preserve">Weighted central</t>
  </si>
  <si>
    <t xml:space="preserve">Spot price (₹)</t>
  </si>
  <si>
    <t xml:space="preserve">Upside to central base</t>
  </si>
  <si>
    <t xml:space="preserve">Read: modestly undervalued; the swing factor is JLR's margin normalization and the conglomerate discount.</t>
  </si>
  <si>
    <t xml:space="preserve">Fundamental valuation — football field data</t>
  </si>
  <si>
    <t xml:space="preserve">Bear/base/bull per lens (links to Summary).</t>
  </si>
  <si>
    <t xml:space="preserve">Lens</t>
  </si>
  <si>
    <t xml:space="preserve">Spot</t>
  </si>
  <si>
    <t xml:space="preserve">Assumptions — the single input layer</t>
  </si>
  <si>
    <t xml:space="preserve">All blue cells are inputs. Every other sheet links here.</t>
  </si>
  <si>
    <t xml:space="preserve">ANCHORS</t>
  </si>
  <si>
    <t xml:space="preserve">Spot price (₹/share)</t>
  </si>
  <si>
    <t xml:space="preserve">Shares outstanding (cr)</t>
  </si>
  <si>
    <t xml:space="preserve">GBP/INR</t>
  </si>
  <si>
    <t xml:space="preserve">USD/INR</t>
  </si>
  <si>
    <t xml:space="preserve">Consolidated net debt (₹ cr)</t>
  </si>
  <si>
    <t xml:space="preserve">WACC</t>
  </si>
  <si>
    <t xml:space="preserve">Terminal growth</t>
  </si>
  <si>
    <t xml:space="preserve">Tax rate</t>
  </si>
  <si>
    <t xml:space="preserve">SOTP — base marks</t>
  </si>
  <si>
    <t xml:space="preserve">JLR normalized revenue (£bn)</t>
  </si>
  <si>
    <t xml:space="preserve">JLR normalized EBITDA margin</t>
  </si>
  <si>
    <t xml:space="preserve">JLR EV/EBITDA multiple</t>
  </si>
  <si>
    <t xml:space="preserve">JLR net debt (£bn)</t>
  </si>
  <si>
    <t xml:space="preserve">India PV-ICE normalized EBITDA (₹ cr)</t>
  </si>
  <si>
    <t xml:space="preserve">India PV-ICE EV/EBITDA</t>
  </si>
  <si>
    <t xml:space="preserve">India EV (TPEM) mark (₹ cr)</t>
  </si>
  <si>
    <t xml:space="preserve">Other (JV/brand/financing, ₹ cr)</t>
  </si>
  <si>
    <t xml:space="preserve">Conglomerate / complexity discount</t>
  </si>
  <si>
    <t xml:space="preserve">Other revenue, forecast (₹ cr)</t>
  </si>
  <si>
    <t xml:space="preserve">RELATIVE &amp; NORMALIZED</t>
  </si>
  <si>
    <t xml:space="preserve">Normalized consolidated EBITDA (₹ cr)</t>
  </si>
  <si>
    <t xml:space="preserve">EV/EBITDA target multiple</t>
  </si>
  <si>
    <t xml:space="preserve">Mid-cycle PAT (₹ cr)</t>
  </si>
  <si>
    <t xml:space="preserve">Justified P/E</t>
  </si>
  <si>
    <t xml:space="preserve">SYNTHESIS WEIGHTS</t>
  </si>
  <si>
    <t xml:space="preserve">SOTP weight</t>
  </si>
  <si>
    <t xml:space="preserve">DCF weight</t>
  </si>
  <si>
    <t xml:space="preserve">Relative weight</t>
  </si>
  <si>
    <t xml:space="preserve">Normalized-earnings weight</t>
  </si>
  <si>
    <t xml:space="preserve">WORKING CAPITAL (% of revenue)</t>
  </si>
  <si>
    <t xml:space="preserve">Inventory</t>
  </si>
  <si>
    <t xml:space="preserve">Receivables</t>
  </si>
  <si>
    <t xml:space="preserve">Payables</t>
  </si>
  <si>
    <t xml:space="preserve">MONTE CARLO</t>
  </si>
  <si>
    <t xml:space="preserve">Diffusion volatility (annualized)</t>
  </si>
  <si>
    <t xml:space="preserve">Net 3-month drift</t>
  </si>
  <si>
    <t xml:space="preserve">KVOL (calibration multiplier)</t>
  </si>
  <si>
    <t xml:space="preserve">FORECAST DRIVERS (FY27E–FY31E)</t>
  </si>
  <si>
    <t xml:space="preserve">FY27E</t>
  </si>
  <si>
    <t xml:space="preserve">FY28E</t>
  </si>
  <si>
    <t xml:space="preserve">FY29E</t>
  </si>
  <si>
    <t xml:space="preserve">FY30E</t>
  </si>
  <si>
    <t xml:space="preserve">FY31E</t>
  </si>
  <si>
    <t xml:space="preserve">JLR revenue growth</t>
  </si>
  <si>
    <t xml:space="preserve">India revenue growth</t>
  </si>
  <si>
    <t xml:space="preserve">JLR EBIT margin</t>
  </si>
  <si>
    <t xml:space="preserve">India EBIT margin</t>
  </si>
  <si>
    <t xml:space="preserve">D&amp;A (% of revenue)</t>
  </si>
  <si>
    <t xml:space="preserve">Finance cost (₹ cr)</t>
  </si>
  <si>
    <t xml:space="preserve">Other income (₹ cr)</t>
  </si>
  <si>
    <t xml:space="preserve">JV/associates (₹ cr)</t>
  </si>
  <si>
    <t xml:space="preserve">Capex (₹ cr)</t>
  </si>
  <si>
    <t xml:space="preserve">Dividend (₹ cr)</t>
  </si>
  <si>
    <t xml:space="preserve">Debt repayment (₹ cr)</t>
  </si>
  <si>
    <t xml:space="preserve">Sum-of-the-parts (primary lens)</t>
  </si>
  <si>
    <t xml:space="preserve">Each part marked on the basis that fits it, spot-FX. Links to Assumptions.</t>
  </si>
  <si>
    <t xml:space="preserve">Part</t>
  </si>
  <si>
    <t xml:space="preserve">Basis</t>
  </si>
  <si>
    <t xml:space="preserve">Value (₹ cr)</t>
  </si>
  <si>
    <t xml:space="preserve">Jaguar Land Rover</t>
  </si>
  <si>
    <t xml:space="preserve">Norm. EBITDA × EV/EBITDA, £→₹</t>
  </si>
  <si>
    <t xml:space="preserve">India PV (ICE)</t>
  </si>
  <si>
    <t xml:space="preserve">EBITDA × multiple</t>
  </si>
  <si>
    <t xml:space="preserve">India EV (TPEM)</t>
  </si>
  <si>
    <t xml:space="preserve">Haircut private mark</t>
  </si>
  <si>
    <t xml:space="preserve">Other (JV/brand/financing)</t>
  </si>
  <si>
    <t xml:space="preserve">Residual</t>
  </si>
  <si>
    <t xml:space="preserve">Σ Enterprise value</t>
  </si>
  <si>
    <t xml:space="preserve">less: consolidated net debt</t>
  </si>
  <si>
    <t xml:space="preserve">Equity value (pre-discount)</t>
  </si>
  <si>
    <t xml:space="preserve">  per share (₹)</t>
  </si>
  <si>
    <t xml:space="preserve">less: conglomerate discount</t>
  </si>
  <si>
    <t xml:space="preserve">applied</t>
  </si>
  <si>
    <t xml:space="preserve">SOTP equity value</t>
  </si>
  <si>
    <t xml:space="preserve">SOTP fair value per share (₹)</t>
  </si>
  <si>
    <t xml:space="preserve">JLR EV (£bn), for reference</t>
  </si>
  <si>
    <t xml:space="preserve">Segment view</t>
  </si>
  <si>
    <t xml:space="preserve">Revenue and EBIT by segment, FY24–FY31 (links to Income Statement).</t>
  </si>
  <si>
    <t xml:space="preserve">FY24</t>
  </si>
  <si>
    <t xml:space="preserve">FY25</t>
  </si>
  <si>
    <t xml:space="preserve">FY26</t>
  </si>
  <si>
    <t xml:space="preserve">JLR revenue</t>
  </si>
  <si>
    <t xml:space="preserve">India PV+EV revenue</t>
  </si>
  <si>
    <t xml:space="preserve">JLR EBIT</t>
  </si>
  <si>
    <t xml:space="preserve">India EBIT</t>
  </si>
  <si>
    <t xml:space="preserve">JLR % of revenue</t>
  </si>
  <si>
    <t xml:space="preserve">Relative &amp; normalized-earnings lenses</t>
  </si>
  <si>
    <t xml:space="preserve">Links to Assumptions.</t>
  </si>
  <si>
    <t xml:space="preserve">Workings</t>
  </si>
  <si>
    <t xml:space="preserve">₹/share</t>
  </si>
  <si>
    <t xml:space="preserve">Relative EV/EBITDA</t>
  </si>
  <si>
    <t xml:space="preserve">Norm EBITDA × mult − net debt, /sh</t>
  </si>
  <si>
    <t xml:space="preserve">  implied EV (₹ cr)</t>
  </si>
  <si>
    <t xml:space="preserve">Mid-cycle PAT × P/E, /sh</t>
  </si>
  <si>
    <t xml:space="preserve">  normalized EPS (₹)</t>
  </si>
  <si>
    <t xml:space="preserve">Discounted cash flow — explicit 5-year FCFF</t>
  </si>
  <si>
    <t xml:space="preserve">NOPAT + D&amp;A − capex − ΔWC, discounted at WACC. Links to Income Statement / Balance Sheet / Assumptions.</t>
  </si>
  <si>
    <t xml:space="preserve">EBIT</t>
  </si>
  <si>
    <t xml:space="preserve">NOPAT = EBIT×(1−tax)</t>
  </si>
  <si>
    <t xml:space="preserve">+ D&amp;A</t>
  </si>
  <si>
    <t xml:space="preserve">− Capex</t>
  </si>
  <si>
    <t xml:space="preserve">− Increase in net WC</t>
  </si>
  <si>
    <t xml:space="preserve">FCFF</t>
  </si>
  <si>
    <t xml:space="preserve">Discount factor</t>
  </si>
  <si>
    <t xml:space="preserve">PV of FCFF</t>
  </si>
  <si>
    <t xml:space="preserve">Σ PV of explicit FCFF (FY27–31)</t>
  </si>
  <si>
    <t xml:space="preserve">Terminal value (Gordon)</t>
  </si>
  <si>
    <t xml:space="preserve">PV of terminal value</t>
  </si>
  <si>
    <t xml:space="preserve">Enterprise value</t>
  </si>
  <si>
    <t xml:space="preserve">Equity value</t>
  </si>
  <si>
    <t xml:space="preserve">Fair value per share (₹)</t>
  </si>
  <si>
    <t xml:space="preserve">% terminal of EV</t>
  </si>
  <si>
    <t xml:space="preserve">Income statement (₹ cr, consolidated, continuing ops)</t>
  </si>
  <si>
    <t xml:space="preserve">FY24–FY26 disclosed (blue); FY27–FY31 forecast (formulas linking to Assumptions)</t>
  </si>
  <si>
    <t xml:space="preserve">Other revenue</t>
  </si>
  <si>
    <t xml:space="preserve">Total revenue</t>
  </si>
  <si>
    <t xml:space="preserve">Corporate / other / elim</t>
  </si>
  <si>
    <t xml:space="preserve">D&amp;A</t>
  </si>
  <si>
    <t xml:space="preserve">EBITDA</t>
  </si>
  <si>
    <t xml:space="preserve">EBITDA margin</t>
  </si>
  <si>
    <t xml:space="preserve">Finance cost</t>
  </si>
  <si>
    <t xml:space="preserve">Other income</t>
  </si>
  <si>
    <t xml:space="preserve">JV / associates</t>
  </si>
  <si>
    <t xml:space="preserve">PBT (before exceptionals)</t>
  </si>
  <si>
    <t xml:space="preserve">Exceptional items</t>
  </si>
  <si>
    <t xml:space="preserve">PBT</t>
  </si>
  <si>
    <t xml:space="preserve">Tax</t>
  </si>
  <si>
    <t xml:space="preserve">PAT</t>
  </si>
  <si>
    <t xml:space="preserve">Source: TMPV FY26 results (14 May 2026); FY24 a PV-entity proxy (£28,995mn@~104 + India ₹52,353cr). Forecast = formulas.</t>
  </si>
  <si>
    <t xml:space="preserve">Balance sheet (₹ cr, consolidated)</t>
  </si>
  <si>
    <t xml:space="preserve">Historical anchored to disclosed equity/borrowings/cash/provisions; PP&amp;E plugs to balance. Forecast rolls forward.</t>
  </si>
  <si>
    <t xml:space="preserve">PP&amp;E + intangibles</t>
  </si>
  <si>
    <t xml:space="preserve">Cash &amp; equivalents</t>
  </si>
  <si>
    <t xml:space="preserve">Current investments</t>
  </si>
  <si>
    <t xml:space="preserve">Other assets</t>
  </si>
  <si>
    <t xml:space="preserve">Total assets</t>
  </si>
  <si>
    <t xml:space="preserve">Equity</t>
  </si>
  <si>
    <t xml:space="preserve">Borrowings</t>
  </si>
  <si>
    <t xml:space="preserve">Provisions</t>
  </si>
  <si>
    <t xml:space="preserve">Other liabilities</t>
  </si>
  <si>
    <t xml:space="preserve">Total liabilities &amp; equity</t>
  </si>
  <si>
    <t xml:space="preserve">Balance check (assets − L&amp;E)</t>
  </si>
  <si>
    <t xml:space="preserve">Net debt</t>
  </si>
  <si>
    <t xml:space="preserve">Cash flow (₹ cr, forecast)</t>
  </si>
  <si>
    <t xml:space="preserve">Derived from the Income Statement and Balance Sheet. Closing cash ties to the Balance Sheet.</t>
  </si>
  <si>
    <t xml:space="preserve">− Increase in net working capital</t>
  </si>
  <si>
    <t xml:space="preserve">Operating cash flow</t>
  </si>
  <si>
    <t xml:space="preserve">Free cash flow</t>
  </si>
  <si>
    <t xml:space="preserve">− Dividend</t>
  </si>
  <si>
    <t xml:space="preserve">− Debt repayment</t>
  </si>
  <si>
    <t xml:space="preserve">Net change in cash</t>
  </si>
  <si>
    <t xml:space="preserve">Opening cash</t>
  </si>
  <si>
    <t xml:space="preserve">Closing cash</t>
  </si>
  <si>
    <t xml:space="preserve">Summary financials (₹ cr)</t>
  </si>
  <si>
    <t xml:space="preserve">Every cell links to the statement sheets.</t>
  </si>
  <si>
    <t xml:space="preserve">Revenue</t>
  </si>
  <si>
    <t xml:space="preserve">Monte Carlo — engine outputs</t>
  </si>
  <si>
    <t xml:space="preserve">50,000 paths · 16 factors · seed 42 · computed by the Testahil MC engine (values, not a sheet simulation).</t>
  </si>
  <si>
    <t xml:space="preserve">Percentile map (₹/share)</t>
  </si>
  <si>
    <t xml:space="preserve">Horizon</t>
  </si>
  <si>
    <t xml:space="preserve">p5</t>
  </si>
  <si>
    <t xml:space="preserve">p25</t>
  </si>
  <si>
    <t xml:space="preserve">p50</t>
  </si>
  <si>
    <t xml:space="preserve">p75</t>
  </si>
  <si>
    <t xml:space="preserve">p95</t>
  </si>
  <si>
    <t xml:space="preserve">T+20 sessions</t>
  </si>
  <si>
    <t xml:space="preserve">T+60 sessions</t>
  </si>
  <si>
    <t xml:space="preserve">Inputs (from Assumptions): σ</t>
  </si>
  <si>
    <t xml:space="preserve">net 3-month drift</t>
  </si>
  <si>
    <t xml:space="preserve">KVOL (calibration)</t>
  </si>
  <si>
    <t xml:space="preserve">Level-touch ladder</t>
  </si>
  <si>
    <t xml:space="preserve">Level</t>
  </si>
  <si>
    <t xml:space="preserve">T+20</t>
  </si>
  <si>
    <t xml:space="preserve">T+60</t>
  </si>
  <si>
    <t xml:space="preserve">SOTP sensitivity — the JLR swing</t>
  </si>
  <si>
    <t xml:space="preserve">Fair value (₹/share, post-discount) by JLR EBITDA margin × EV/EBITDA multiple. Live off Assumptions.</t>
  </si>
  <si>
    <t xml:space="preserve">margin \ mult</t>
  </si>
  <si>
    <t xml:space="preserve">Cells near spot (₹352) indicate how much JLR recovery is already in the price.</t>
  </si>
  <si>
    <t xml:space="preserve">Per-share &amp; ratios</t>
  </si>
  <si>
    <t xml:space="preserve">Links to statements / Assumptions.</t>
  </si>
  <si>
    <t xml:space="preserve">EPS (₹)</t>
  </si>
  <si>
    <t xml:space="preserve">Book value/share (₹)</t>
  </si>
  <si>
    <t xml:space="preserve">EBIT margin</t>
  </si>
  <si>
    <t xml:space="preserve">Net debt / EBITDA</t>
  </si>
  <si>
    <t xml:space="preserve">Revenue YoY</t>
  </si>
  <si>
    <t xml:space="preserve">Peer set &amp; sector</t>
  </si>
  <si>
    <t xml:space="preserve">No clean comparable — split by part.</t>
  </si>
  <si>
    <t xml:space="preserve">Closest peers</t>
  </si>
  <si>
    <t xml:space="preserve">Typical valuation</t>
  </si>
  <si>
    <t xml:space="preserve">JLR (premium auto)</t>
  </si>
  <si>
    <t xml:space="preserve">Mercedes-Benz, BMW, Aston Martin</t>
  </si>
  <si>
    <t xml:space="preserve">EV/EBITDA ~2.5–4.0x; cyclical</t>
  </si>
  <si>
    <t xml:space="preserve">Maruti Suzuki, M&amp;M, Hyundai India</t>
  </si>
  <si>
    <t xml:space="preserve">P/E ~20–28x; EV/EBITDA ~12–18x</t>
  </si>
  <si>
    <t xml:space="preserve">BYD, MG (JSW), Mahindra EV</t>
  </si>
  <si>
    <t xml:space="preserve">Growth / strategic; private marks</t>
  </si>
  <si>
    <t xml:space="preserve">Analyst targets (context): Nomura ₹373 (Neutral), BofA ₹335 (Underperform), HSBC ₹450 (Hold). Not used as model inputs.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</si>
</sst>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.00"/>
    <numFmt numFmtId="166" formatCode="0.0%"/>
    <numFmt numFmtId="167" formatCode="#,##0.0"/>
    <numFmt numFmtId="168" formatCode="#,##0;\(#,##0\);\-"/>
    <numFmt numFmtId="169" formatCode="0.0\x"/>
    <numFmt numFmtId="170" formatCode="0.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C3A3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1C3A3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3A36"/>
        <bgColor rgb="FF333300"/>
      </patternFill>
    </fill>
    <fill>
      <patternFill patternType="solid">
        <fgColor rgb="FFF6F1E6"/>
        <bgColor rgb="FFEAF0EE"/>
      </patternFill>
    </fill>
    <fill>
      <patternFill patternType="solid">
        <fgColor rgb="FFEAF0EE"/>
        <bgColor rgb="FFF6F1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BD6D2"/>
      </left>
      <right style="thin">
        <color rgb="FFCBD6D2"/>
      </right>
      <top style="thin">
        <color rgb="FFCBD6D2"/>
      </top>
      <bottom style="thin">
        <color rgb="FFCBD6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8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7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6F1E6"/>
      <rgbColor rgb="FFEAF0EE"/>
      <rgbColor rgb="FF660066"/>
      <rgbColor rgb="FFFF8080"/>
      <rgbColor rgb="FF0066CC"/>
      <rgbColor rgb="FFCBD6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C3A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3" t="s">
        <v>4</v>
      </c>
    </row>
    <row r="8" customFormat="false" ht="15" hidden="false" customHeight="false" outlineLevel="0" collapsed="false">
      <c r="A8" s="3"/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3" t="s">
        <v>6</v>
      </c>
    </row>
    <row r="11" customFormat="false" ht="15" hidden="false" customHeight="false" outlineLevel="0" collapsed="false">
      <c r="A11" s="3"/>
    </row>
    <row r="12" customFormat="false" ht="15" hidden="false" customHeight="false" outlineLevel="0" collapsed="false">
      <c r="A12" s="3" t="s">
        <v>7</v>
      </c>
    </row>
    <row r="13" customFormat="false" ht="15" hidden="false" customHeight="false" outlineLevel="0" collapsed="false">
      <c r="A13" s="3" t="s">
        <v>8</v>
      </c>
    </row>
    <row r="14" customFormat="false" ht="15" hidden="false" customHeight="false" outlineLevel="0" collapsed="false">
      <c r="A14" s="3"/>
    </row>
    <row r="15" customFormat="false" ht="15" hidden="false" customHeight="false" outlineLevel="0" collapsed="false">
      <c r="A15" s="3" t="s">
        <v>9</v>
      </c>
    </row>
    <row r="16" customFormat="false" ht="15" hidden="false" customHeight="false" outlineLevel="0" collapsed="false">
      <c r="A16" s="3" t="s">
        <v>10</v>
      </c>
    </row>
    <row r="17" customFormat="false" ht="15" hidden="false" customHeight="false" outlineLevel="0" collapsed="false">
      <c r="A17" s="3" t="s">
        <v>11</v>
      </c>
    </row>
    <row r="18" customFormat="false" ht="15" hidden="false" customHeight="false" outlineLevel="0" collapsed="false">
      <c r="A18" s="3"/>
    </row>
    <row r="19" customFormat="false" ht="15" hidden="false" customHeight="false" outlineLevel="0" collapsed="false">
      <c r="A19" s="3" t="s">
        <v>12</v>
      </c>
    </row>
    <row r="20" customFormat="false" ht="15" hidden="false" customHeight="false" outlineLevel="0" collapsed="false">
      <c r="A20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5" min="2" style="0" width="11"/>
  </cols>
  <sheetData>
    <row r="1" customFormat="false" ht="17.35" hidden="false" customHeight="false" outlineLevel="0" collapsed="false">
      <c r="A1" s="1" t="s">
        <v>14</v>
      </c>
    </row>
    <row r="2" customFormat="false" ht="15" hidden="false" customHeight="false" outlineLevel="0" collapsed="false">
      <c r="A2" s="2" t="s">
        <v>15</v>
      </c>
    </row>
    <row r="3" customFormat="false" ht="15" hidden="false" customHeight="false" outlineLevel="0" collapsed="false">
      <c r="A3" s="4"/>
      <c r="B3" s="5" t="s">
        <v>16</v>
      </c>
      <c r="C3" s="5" t="s">
        <v>17</v>
      </c>
      <c r="D3" s="5" t="s">
        <v>18</v>
      </c>
      <c r="E3" s="5" t="s">
        <v>19</v>
      </c>
    </row>
    <row r="4" customFormat="false" ht="15" hidden="false" customHeight="false" outlineLevel="0" collapsed="false">
      <c r="A4" s="6" t="s">
        <v>20</v>
      </c>
      <c r="B4" s="7" t="n">
        <v>221</v>
      </c>
      <c r="C4" s="8" t="n">
        <f aca="false">SOTP!C14</f>
        <v>379.075577763898</v>
      </c>
      <c r="D4" s="7" t="n">
        <v>641</v>
      </c>
      <c r="E4" s="9" t="n">
        <f aca="false">Assumptions!$B$32</f>
        <v>0.4</v>
      </c>
    </row>
    <row r="5" customFormat="false" ht="15" hidden="false" customHeight="false" outlineLevel="0" collapsed="false">
      <c r="A5" s="6" t="s">
        <v>21</v>
      </c>
      <c r="B5" s="7" t="n">
        <v>217</v>
      </c>
      <c r="C5" s="8" t="n">
        <f aca="false">DCF!B19</f>
        <v>369.993710540819</v>
      </c>
      <c r="D5" s="7" t="n">
        <v>582</v>
      </c>
      <c r="E5" s="9" t="n">
        <f aca="false">Assumptions!$B$33</f>
        <v>0.2</v>
      </c>
    </row>
    <row r="6" customFormat="false" ht="15" hidden="false" customHeight="false" outlineLevel="0" collapsed="false">
      <c r="A6" s="6" t="s">
        <v>22</v>
      </c>
      <c r="B6" s="7" t="n">
        <v>223</v>
      </c>
      <c r="C6" s="8" t="n">
        <f aca="false">'Relative &amp; Normalized'!C4</f>
        <v>327.241126469869</v>
      </c>
      <c r="D6" s="7" t="n">
        <v>426</v>
      </c>
      <c r="E6" s="9" t="n">
        <f aca="false">Assumptions!$B$34</f>
        <v>0.15</v>
      </c>
    </row>
    <row r="7" customFormat="false" ht="15" hidden="false" customHeight="false" outlineLevel="0" collapsed="false">
      <c r="A7" s="6" t="s">
        <v>23</v>
      </c>
      <c r="B7" s="7" t="n">
        <v>285</v>
      </c>
      <c r="C7" s="8" t="n">
        <f aca="false">'Relative &amp; Normalized'!C6</f>
        <v>415.501181326888</v>
      </c>
      <c r="D7" s="7" t="n">
        <v>570</v>
      </c>
      <c r="E7" s="9" t="n">
        <f aca="false">Assumptions!$B$35</f>
        <v>0.25</v>
      </c>
    </row>
    <row r="8" customFormat="false" ht="15" hidden="false" customHeight="false" outlineLevel="0" collapsed="false">
      <c r="A8" s="10" t="s">
        <v>24</v>
      </c>
      <c r="B8" s="11" t="n">
        <f aca="false">SUMPRODUCT(B4:B7,E4:E7)</f>
        <v>236.5</v>
      </c>
      <c r="C8" s="11" t="n">
        <f aca="false">SUMPRODUCT(C4:C7,E4:E7)</f>
        <v>378.590437515925</v>
      </c>
      <c r="D8" s="11" t="n">
        <f aca="false">SUMPRODUCT(D4:D7,E4:E7)</f>
        <v>579.2</v>
      </c>
    </row>
    <row r="10" customFormat="false" ht="15" hidden="false" customHeight="false" outlineLevel="0" collapsed="false">
      <c r="A10" s="3" t="s">
        <v>25</v>
      </c>
      <c r="C10" s="12" t="n">
        <f aca="false">Assumptions!$B$4</f>
        <v>352.2</v>
      </c>
    </row>
    <row r="11" customFormat="false" ht="15" hidden="false" customHeight="false" outlineLevel="0" collapsed="false">
      <c r="A11" s="3" t="s">
        <v>26</v>
      </c>
      <c r="C11" s="13" t="n">
        <f aca="false">C8/C10-1</f>
        <v>0.0749302598407875</v>
      </c>
    </row>
    <row r="13" customFormat="false" ht="15" hidden="false" customHeight="false" outlineLevel="0" collapsed="false">
      <c r="A13" s="2" t="s">
        <v>27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4" min="2" style="0" width="11"/>
  </cols>
  <sheetData>
    <row r="1" customFormat="false" ht="17.35" hidden="false" customHeight="false" outlineLevel="0" collapsed="false">
      <c r="A1" s="1" t="s">
        <v>28</v>
      </c>
    </row>
    <row r="2" customFormat="false" ht="15" hidden="false" customHeight="false" outlineLevel="0" collapsed="false">
      <c r="A2" s="2" t="s">
        <v>29</v>
      </c>
    </row>
    <row r="3" customFormat="false" ht="15" hidden="false" customHeight="false" outlineLevel="0" collapsed="false">
      <c r="A3" s="14" t="s">
        <v>30</v>
      </c>
      <c r="B3" s="5" t="s">
        <v>16</v>
      </c>
      <c r="C3" s="5" t="s">
        <v>17</v>
      </c>
      <c r="D3" s="5" t="s">
        <v>18</v>
      </c>
    </row>
    <row r="4" customFormat="false" ht="15" hidden="false" customHeight="false" outlineLevel="0" collapsed="false">
      <c r="A4" s="6" t="s">
        <v>20</v>
      </c>
      <c r="B4" s="8" t="n">
        <f aca="false">Summary!B4</f>
        <v>221</v>
      </c>
      <c r="C4" s="8" t="n">
        <f aca="false">Summary!C4</f>
        <v>379.075577763898</v>
      </c>
      <c r="D4" s="8" t="n">
        <f aca="false">Summary!D4</f>
        <v>641</v>
      </c>
    </row>
    <row r="5" customFormat="false" ht="15" hidden="false" customHeight="false" outlineLevel="0" collapsed="false">
      <c r="A5" s="6" t="s">
        <v>21</v>
      </c>
      <c r="B5" s="8" t="n">
        <f aca="false">Summary!B5</f>
        <v>217</v>
      </c>
      <c r="C5" s="8" t="n">
        <f aca="false">Summary!C5</f>
        <v>369.993710540819</v>
      </c>
      <c r="D5" s="8" t="n">
        <f aca="false">Summary!D5</f>
        <v>582</v>
      </c>
    </row>
    <row r="6" customFormat="false" ht="15" hidden="false" customHeight="false" outlineLevel="0" collapsed="false">
      <c r="A6" s="6" t="s">
        <v>22</v>
      </c>
      <c r="B6" s="8" t="n">
        <f aca="false">Summary!B6</f>
        <v>223</v>
      </c>
      <c r="C6" s="8" t="n">
        <f aca="false">Summary!C6</f>
        <v>327.241126469869</v>
      </c>
      <c r="D6" s="8" t="n">
        <f aca="false">Summary!D6</f>
        <v>426</v>
      </c>
    </row>
    <row r="7" customFormat="false" ht="15" hidden="false" customHeight="false" outlineLevel="0" collapsed="false">
      <c r="A7" s="6" t="s">
        <v>23</v>
      </c>
      <c r="B7" s="8" t="n">
        <f aca="false">Summary!B7</f>
        <v>285</v>
      </c>
      <c r="C7" s="8" t="n">
        <f aca="false">Summary!C7</f>
        <v>415.501181326888</v>
      </c>
      <c r="D7" s="8" t="n">
        <f aca="false">Summary!D7</f>
        <v>570</v>
      </c>
    </row>
    <row r="8" customFormat="false" ht="15" hidden="false" customHeight="false" outlineLevel="0" collapsed="false">
      <c r="A8" s="15" t="s">
        <v>24</v>
      </c>
      <c r="B8" s="16" t="n">
        <f aca="false">Summary!B8</f>
        <v>236.5</v>
      </c>
      <c r="C8" s="16" t="n">
        <f aca="false">Summary!C8</f>
        <v>378.590437515925</v>
      </c>
      <c r="D8" s="16" t="n">
        <f aca="false">Summary!D8</f>
        <v>579.2</v>
      </c>
    </row>
    <row r="9" customFormat="false" ht="15" hidden="false" customHeight="false" outlineLevel="0" collapsed="false">
      <c r="A9" s="3" t="s">
        <v>31</v>
      </c>
      <c r="C9" s="12" t="n">
        <f aca="false">Assumptions!$B$4</f>
        <v>352.2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7" min="2" style="0" width="12"/>
  </cols>
  <sheetData>
    <row r="1" customFormat="false" ht="17.35" hidden="false" customHeight="false" outlineLevel="0" collapsed="false">
      <c r="A1" s="1" t="s">
        <v>32</v>
      </c>
    </row>
    <row r="2" customFormat="false" ht="15" hidden="false" customHeight="false" outlineLevel="0" collapsed="false">
      <c r="A2" s="2" t="s">
        <v>33</v>
      </c>
    </row>
    <row r="3" customFormat="false" ht="15" hidden="false" customHeight="false" outlineLevel="0" collapsed="false">
      <c r="A3" s="17" t="s">
        <v>34</v>
      </c>
    </row>
    <row r="4" customFormat="false" ht="15" hidden="false" customHeight="false" outlineLevel="0" collapsed="false">
      <c r="A4" s="3" t="s">
        <v>35</v>
      </c>
      <c r="B4" s="18" t="n">
        <v>352.2</v>
      </c>
    </row>
    <row r="5" customFormat="false" ht="15" hidden="false" customHeight="false" outlineLevel="0" collapsed="false">
      <c r="A5" s="3" t="s">
        <v>36</v>
      </c>
      <c r="B5" s="19" t="n">
        <v>368.23</v>
      </c>
    </row>
    <row r="6" customFormat="false" ht="15" hidden="false" customHeight="false" outlineLevel="0" collapsed="false">
      <c r="A6" s="3" t="s">
        <v>37</v>
      </c>
      <c r="B6" s="19" t="n">
        <v>125</v>
      </c>
    </row>
    <row r="7" customFormat="false" ht="15" hidden="false" customHeight="false" outlineLevel="0" collapsed="false">
      <c r="A7" s="3" t="s">
        <v>38</v>
      </c>
      <c r="B7" s="19" t="n">
        <v>88</v>
      </c>
    </row>
    <row r="8" customFormat="false" ht="15" hidden="false" customHeight="false" outlineLevel="0" collapsed="false">
      <c r="A8" s="3" t="s">
        <v>39</v>
      </c>
      <c r="B8" s="20" t="n">
        <v>30700</v>
      </c>
    </row>
    <row r="9" customFormat="false" ht="15" hidden="false" customHeight="false" outlineLevel="0" collapsed="false">
      <c r="A9" s="3" t="s">
        <v>40</v>
      </c>
      <c r="B9" s="21" t="n">
        <v>0.13</v>
      </c>
    </row>
    <row r="10" customFormat="false" ht="15" hidden="false" customHeight="false" outlineLevel="0" collapsed="false">
      <c r="A10" s="3" t="s">
        <v>41</v>
      </c>
      <c r="B10" s="21" t="n">
        <v>0.05</v>
      </c>
    </row>
    <row r="11" customFormat="false" ht="15" hidden="false" customHeight="false" outlineLevel="0" collapsed="false">
      <c r="A11" s="3" t="s">
        <v>42</v>
      </c>
      <c r="B11" s="21" t="n">
        <v>0.25</v>
      </c>
    </row>
    <row r="13" customFormat="false" ht="15" hidden="false" customHeight="false" outlineLevel="0" collapsed="false">
      <c r="A13" s="17" t="s">
        <v>43</v>
      </c>
    </row>
    <row r="14" customFormat="false" ht="15" hidden="false" customHeight="false" outlineLevel="0" collapsed="false">
      <c r="A14" s="3" t="s">
        <v>44</v>
      </c>
      <c r="B14" s="19" t="n">
        <v>28</v>
      </c>
    </row>
    <row r="15" customFormat="false" ht="15" hidden="false" customHeight="false" outlineLevel="0" collapsed="false">
      <c r="A15" s="3" t="s">
        <v>45</v>
      </c>
      <c r="B15" s="21" t="n">
        <v>0.12</v>
      </c>
    </row>
    <row r="16" customFormat="false" ht="15" hidden="false" customHeight="false" outlineLevel="0" collapsed="false">
      <c r="A16" s="3" t="s">
        <v>46</v>
      </c>
      <c r="B16" s="22" t="n">
        <v>3</v>
      </c>
    </row>
    <row r="17" customFormat="false" ht="15" hidden="false" customHeight="false" outlineLevel="0" collapsed="false">
      <c r="A17" s="3" t="s">
        <v>47</v>
      </c>
      <c r="B17" s="19" t="n">
        <v>2.6</v>
      </c>
    </row>
    <row r="18" customFormat="false" ht="15" hidden="false" customHeight="false" outlineLevel="0" collapsed="false">
      <c r="A18" s="3" t="s">
        <v>48</v>
      </c>
      <c r="B18" s="20" t="n">
        <v>3560</v>
      </c>
    </row>
    <row r="19" customFormat="false" ht="15" hidden="false" customHeight="false" outlineLevel="0" collapsed="false">
      <c r="A19" s="3" t="s">
        <v>49</v>
      </c>
      <c r="B19" s="22" t="n">
        <v>7</v>
      </c>
    </row>
    <row r="20" customFormat="false" ht="15" hidden="false" customHeight="false" outlineLevel="0" collapsed="false">
      <c r="A20" s="3" t="s">
        <v>50</v>
      </c>
      <c r="B20" s="20" t="n">
        <v>38000</v>
      </c>
    </row>
    <row r="21" customFormat="false" ht="15" hidden="false" customHeight="false" outlineLevel="0" collapsed="false">
      <c r="A21" s="3" t="s">
        <v>51</v>
      </c>
      <c r="B21" s="20" t="n">
        <v>6000</v>
      </c>
    </row>
    <row r="22" customFormat="false" ht="15" hidden="false" customHeight="false" outlineLevel="0" collapsed="false">
      <c r="A22" s="3" t="s">
        <v>52</v>
      </c>
      <c r="B22" s="21" t="n">
        <v>0.15</v>
      </c>
    </row>
    <row r="23" customFormat="false" ht="15" hidden="false" customHeight="false" outlineLevel="0" collapsed="false">
      <c r="A23" s="3" t="s">
        <v>53</v>
      </c>
      <c r="B23" s="20" t="n">
        <v>4000</v>
      </c>
    </row>
    <row r="25" customFormat="false" ht="15" hidden="false" customHeight="false" outlineLevel="0" collapsed="false">
      <c r="A25" s="17" t="s">
        <v>54</v>
      </c>
    </row>
    <row r="26" customFormat="false" ht="15" hidden="false" customHeight="false" outlineLevel="0" collapsed="false">
      <c r="A26" s="3" t="s">
        <v>55</v>
      </c>
      <c r="B26" s="20" t="n">
        <v>42000</v>
      </c>
    </row>
    <row r="27" customFormat="false" ht="15" hidden="false" customHeight="false" outlineLevel="0" collapsed="false">
      <c r="A27" s="3" t="s">
        <v>56</v>
      </c>
      <c r="B27" s="22" t="n">
        <v>3.6</v>
      </c>
    </row>
    <row r="28" customFormat="false" ht="15" hidden="false" customHeight="false" outlineLevel="0" collapsed="false">
      <c r="A28" s="3" t="s">
        <v>57</v>
      </c>
      <c r="B28" s="20" t="n">
        <v>18000</v>
      </c>
    </row>
    <row r="29" customFormat="false" ht="15" hidden="false" customHeight="false" outlineLevel="0" collapsed="false">
      <c r="A29" s="3" t="s">
        <v>58</v>
      </c>
      <c r="B29" s="22" t="n">
        <v>8.5</v>
      </c>
    </row>
    <row r="31" customFormat="false" ht="15" hidden="false" customHeight="false" outlineLevel="0" collapsed="false">
      <c r="A31" s="17" t="s">
        <v>59</v>
      </c>
    </row>
    <row r="32" customFormat="false" ht="15" hidden="false" customHeight="false" outlineLevel="0" collapsed="false">
      <c r="A32" s="3" t="s">
        <v>60</v>
      </c>
      <c r="B32" s="21" t="n">
        <v>0.4</v>
      </c>
    </row>
    <row r="33" customFormat="false" ht="15" hidden="false" customHeight="false" outlineLevel="0" collapsed="false">
      <c r="A33" s="3" t="s">
        <v>61</v>
      </c>
      <c r="B33" s="21" t="n">
        <v>0.2</v>
      </c>
    </row>
    <row r="34" customFormat="false" ht="15" hidden="false" customHeight="false" outlineLevel="0" collapsed="false">
      <c r="A34" s="3" t="s">
        <v>62</v>
      </c>
      <c r="B34" s="21" t="n">
        <v>0.15</v>
      </c>
    </row>
    <row r="35" customFormat="false" ht="15" hidden="false" customHeight="false" outlineLevel="0" collapsed="false">
      <c r="A35" s="3" t="s">
        <v>63</v>
      </c>
      <c r="B35" s="21" t="n">
        <v>0.25</v>
      </c>
    </row>
    <row r="37" customFormat="false" ht="15" hidden="false" customHeight="false" outlineLevel="0" collapsed="false">
      <c r="A37" s="17" t="s">
        <v>64</v>
      </c>
    </row>
    <row r="38" customFormat="false" ht="15" hidden="false" customHeight="false" outlineLevel="0" collapsed="false">
      <c r="A38" s="3" t="s">
        <v>65</v>
      </c>
      <c r="B38" s="21" t="n">
        <v>0.135</v>
      </c>
    </row>
    <row r="39" customFormat="false" ht="15" hidden="false" customHeight="false" outlineLevel="0" collapsed="false">
      <c r="A39" s="3" t="s">
        <v>66</v>
      </c>
      <c r="B39" s="21" t="n">
        <v>0.085</v>
      </c>
    </row>
    <row r="40" customFormat="false" ht="15" hidden="false" customHeight="false" outlineLevel="0" collapsed="false">
      <c r="A40" s="3" t="s">
        <v>67</v>
      </c>
      <c r="B40" s="21" t="n">
        <v>0.22</v>
      </c>
    </row>
    <row r="42" customFormat="false" ht="15" hidden="false" customHeight="false" outlineLevel="0" collapsed="false">
      <c r="A42" s="17" t="s">
        <v>68</v>
      </c>
    </row>
    <row r="43" customFormat="false" ht="15" hidden="false" customHeight="false" outlineLevel="0" collapsed="false">
      <c r="A43" s="3" t="s">
        <v>69</v>
      </c>
      <c r="B43" s="21" t="n">
        <v>0.354012351990438</v>
      </c>
    </row>
    <row r="44" customFormat="false" ht="15" hidden="false" customHeight="false" outlineLevel="0" collapsed="false">
      <c r="A44" s="3" t="s">
        <v>70</v>
      </c>
      <c r="B44" s="21" t="n">
        <v>0.01785</v>
      </c>
    </row>
    <row r="45" customFormat="false" ht="15" hidden="false" customHeight="false" outlineLevel="0" collapsed="false">
      <c r="A45" s="3" t="s">
        <v>71</v>
      </c>
      <c r="B45" s="22" t="n">
        <v>1.15</v>
      </c>
    </row>
    <row r="47" customFormat="false" ht="15" hidden="false" customHeight="false" outlineLevel="0" collapsed="false">
      <c r="A47" s="17" t="s">
        <v>72</v>
      </c>
    </row>
    <row r="48" customFormat="false" ht="15" hidden="false" customHeight="false" outlineLevel="0" collapsed="false">
      <c r="A48" s="4"/>
      <c r="B48" s="5" t="s">
        <v>73</v>
      </c>
      <c r="C48" s="5" t="s">
        <v>74</v>
      </c>
      <c r="D48" s="5" t="s">
        <v>75</v>
      </c>
      <c r="E48" s="5" t="s">
        <v>76</v>
      </c>
      <c r="F48" s="5" t="s">
        <v>77</v>
      </c>
    </row>
    <row r="49" customFormat="false" ht="15" hidden="false" customHeight="false" outlineLevel="0" collapsed="false">
      <c r="A49" s="3" t="s">
        <v>78</v>
      </c>
      <c r="E49" s="21" t="n">
        <v>0.14</v>
      </c>
      <c r="F49" s="21" t="n">
        <v>0.08</v>
      </c>
      <c r="G49" s="21" t="n">
        <v>0.06</v>
      </c>
      <c r="H49" s="21" t="n">
        <v>0.05</v>
      </c>
      <c r="I49" s="21" t="n">
        <v>0.04</v>
      </c>
    </row>
    <row r="50" customFormat="false" ht="15" hidden="false" customHeight="false" outlineLevel="0" collapsed="false">
      <c r="A50" s="3" t="s">
        <v>79</v>
      </c>
      <c r="E50" s="21" t="n">
        <v>0.18</v>
      </c>
      <c r="F50" s="21" t="n">
        <v>0.16</v>
      </c>
      <c r="G50" s="21" t="n">
        <v>0.14</v>
      </c>
      <c r="H50" s="21" t="n">
        <v>0.12</v>
      </c>
      <c r="I50" s="21" t="n">
        <v>0.1</v>
      </c>
    </row>
    <row r="51" customFormat="false" ht="15" hidden="false" customHeight="false" outlineLevel="0" collapsed="false">
      <c r="A51" s="3" t="s">
        <v>80</v>
      </c>
      <c r="E51" s="21" t="n">
        <v>0.04</v>
      </c>
      <c r="F51" s="21" t="n">
        <v>0.055</v>
      </c>
      <c r="G51" s="21" t="n">
        <v>0.065</v>
      </c>
      <c r="H51" s="21" t="n">
        <v>0.07</v>
      </c>
      <c r="I51" s="21" t="n">
        <v>0.07</v>
      </c>
    </row>
    <row r="52" customFormat="false" ht="15" hidden="false" customHeight="false" outlineLevel="0" collapsed="false">
      <c r="A52" s="3" t="s">
        <v>81</v>
      </c>
      <c r="E52" s="21" t="n">
        <v>0.025</v>
      </c>
      <c r="F52" s="21" t="n">
        <v>0.03</v>
      </c>
      <c r="G52" s="21" t="n">
        <v>0.035</v>
      </c>
      <c r="H52" s="21" t="n">
        <v>0.04</v>
      </c>
      <c r="I52" s="21" t="n">
        <v>0.045</v>
      </c>
    </row>
    <row r="53" customFormat="false" ht="15" hidden="false" customHeight="false" outlineLevel="0" collapsed="false">
      <c r="A53" s="3" t="s">
        <v>82</v>
      </c>
      <c r="E53" s="21" t="n">
        <v>0.055</v>
      </c>
      <c r="F53" s="21" t="n">
        <v>0.054</v>
      </c>
      <c r="G53" s="21" t="n">
        <v>0.053</v>
      </c>
      <c r="H53" s="21" t="n">
        <v>0.052</v>
      </c>
      <c r="I53" s="21" t="n">
        <v>0.051</v>
      </c>
    </row>
    <row r="54" customFormat="false" ht="15" hidden="false" customHeight="false" outlineLevel="0" collapsed="false">
      <c r="A54" s="3" t="s">
        <v>83</v>
      </c>
      <c r="E54" s="20" t="n">
        <v>2800</v>
      </c>
      <c r="F54" s="20" t="n">
        <v>2600</v>
      </c>
      <c r="G54" s="20" t="n">
        <v>2400</v>
      </c>
      <c r="H54" s="20" t="n">
        <v>2200</v>
      </c>
      <c r="I54" s="20" t="n">
        <v>2000</v>
      </c>
    </row>
    <row r="55" customFormat="false" ht="15" hidden="false" customHeight="false" outlineLevel="0" collapsed="false">
      <c r="A55" s="3" t="s">
        <v>84</v>
      </c>
      <c r="E55" s="20" t="n">
        <v>2700</v>
      </c>
      <c r="F55" s="20" t="n">
        <v>2750</v>
      </c>
      <c r="G55" s="20" t="n">
        <v>2800</v>
      </c>
      <c r="H55" s="20" t="n">
        <v>2850</v>
      </c>
      <c r="I55" s="20" t="n">
        <v>2900</v>
      </c>
    </row>
    <row r="56" customFormat="false" ht="15" hidden="false" customHeight="false" outlineLevel="0" collapsed="false">
      <c r="A56" s="3" t="s">
        <v>85</v>
      </c>
      <c r="E56" s="20" t="n">
        <v>0</v>
      </c>
      <c r="F56" s="20" t="n">
        <v>300</v>
      </c>
      <c r="G56" s="20" t="n">
        <v>500</v>
      </c>
      <c r="H56" s="20" t="n">
        <v>700</v>
      </c>
      <c r="I56" s="20" t="n">
        <v>800</v>
      </c>
    </row>
    <row r="57" customFormat="false" ht="15" hidden="false" customHeight="false" outlineLevel="0" collapsed="false">
      <c r="A57" s="3" t="s">
        <v>86</v>
      </c>
      <c r="E57" s="20" t="n">
        <v>38000</v>
      </c>
      <c r="F57" s="20" t="n">
        <v>37000</v>
      </c>
      <c r="G57" s="20" t="n">
        <v>33000</v>
      </c>
      <c r="H57" s="20" t="n">
        <v>31000</v>
      </c>
      <c r="I57" s="20" t="n">
        <v>30000</v>
      </c>
    </row>
    <row r="58" customFormat="false" ht="15" hidden="false" customHeight="false" outlineLevel="0" collapsed="false">
      <c r="A58" s="3" t="s">
        <v>87</v>
      </c>
      <c r="E58" s="20" t="n">
        <v>2200</v>
      </c>
      <c r="F58" s="20" t="n">
        <v>2600</v>
      </c>
      <c r="G58" s="20" t="n">
        <v>3200</v>
      </c>
      <c r="H58" s="20" t="n">
        <v>4000</v>
      </c>
      <c r="I58" s="20" t="n">
        <v>5000</v>
      </c>
    </row>
    <row r="59" customFormat="false" ht="15" hidden="false" customHeight="false" outlineLevel="0" collapsed="false">
      <c r="A59" s="3" t="s">
        <v>88</v>
      </c>
      <c r="E59" s="20" t="n">
        <v>0</v>
      </c>
      <c r="F59" s="20" t="n">
        <v>0</v>
      </c>
      <c r="G59" s="20" t="n">
        <v>4000</v>
      </c>
      <c r="H59" s="20" t="n">
        <v>5000</v>
      </c>
      <c r="I59" s="20" t="n">
        <v>5000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  <col collapsed="false" customWidth="true" hidden="false" outlineLevel="0" max="3" min="3" style="0" width="15"/>
  </cols>
  <sheetData>
    <row r="1" customFormat="false" ht="17.35" hidden="false" customHeight="false" outlineLevel="0" collapsed="false">
      <c r="A1" s="1" t="s">
        <v>89</v>
      </c>
    </row>
    <row r="2" customFormat="false" ht="15" hidden="false" customHeight="false" outlineLevel="0" collapsed="false">
      <c r="A2" s="2" t="s">
        <v>90</v>
      </c>
    </row>
    <row r="3" customFormat="false" ht="15" hidden="false" customHeight="false" outlineLevel="0" collapsed="false">
      <c r="A3" s="14" t="s">
        <v>91</v>
      </c>
      <c r="B3" s="14" t="s">
        <v>92</v>
      </c>
      <c r="C3" s="5" t="s">
        <v>93</v>
      </c>
    </row>
    <row r="4" customFormat="false" ht="15" hidden="false" customHeight="false" outlineLevel="0" collapsed="false">
      <c r="A4" s="6" t="s">
        <v>94</v>
      </c>
      <c r="B4" s="6" t="s">
        <v>95</v>
      </c>
      <c r="C4" s="23" t="n">
        <f aca="false">Assumptions!$B$14*Assumptions!$B$15*Assumptions!$B$16*Assumptions!$B$6*100</f>
        <v>126000</v>
      </c>
    </row>
    <row r="5" customFormat="false" ht="15" hidden="false" customHeight="false" outlineLevel="0" collapsed="false">
      <c r="A5" s="6" t="s">
        <v>96</v>
      </c>
      <c r="B5" s="6" t="s">
        <v>97</v>
      </c>
      <c r="C5" s="23" t="n">
        <f aca="false">Assumptions!$B$18*Assumptions!$B$19</f>
        <v>24920</v>
      </c>
    </row>
    <row r="6" customFormat="false" ht="15" hidden="false" customHeight="false" outlineLevel="0" collapsed="false">
      <c r="A6" s="6" t="s">
        <v>98</v>
      </c>
      <c r="B6" s="6" t="s">
        <v>99</v>
      </c>
      <c r="C6" s="23" t="n">
        <f aca="false">Assumptions!$B$20</f>
        <v>38000</v>
      </c>
    </row>
    <row r="7" customFormat="false" ht="15" hidden="false" customHeight="false" outlineLevel="0" collapsed="false">
      <c r="A7" s="6" t="s">
        <v>100</v>
      </c>
      <c r="B7" s="6" t="s">
        <v>101</v>
      </c>
      <c r="C7" s="23" t="n">
        <f aca="false">Assumptions!$B$21</f>
        <v>6000</v>
      </c>
    </row>
    <row r="8" customFormat="false" ht="15" hidden="false" customHeight="false" outlineLevel="0" collapsed="false">
      <c r="A8" s="15" t="s">
        <v>102</v>
      </c>
      <c r="B8" s="6"/>
      <c r="C8" s="24" t="n">
        <f aca="false">SUM(C4:C7)</f>
        <v>194920</v>
      </c>
    </row>
    <row r="9" customFormat="false" ht="15" hidden="false" customHeight="false" outlineLevel="0" collapsed="false">
      <c r="A9" s="6" t="s">
        <v>103</v>
      </c>
      <c r="B9" s="6"/>
      <c r="C9" s="23" t="n">
        <f aca="false">-Assumptions!$B$8</f>
        <v>-30700</v>
      </c>
    </row>
    <row r="10" customFormat="false" ht="15" hidden="false" customHeight="false" outlineLevel="0" collapsed="false">
      <c r="A10" s="15" t="s">
        <v>104</v>
      </c>
      <c r="B10" s="6"/>
      <c r="C10" s="24" t="n">
        <f aca="false">C8+C9</f>
        <v>164220</v>
      </c>
    </row>
    <row r="11" customFormat="false" ht="15" hidden="false" customHeight="false" outlineLevel="0" collapsed="false">
      <c r="A11" s="15" t="s">
        <v>105</v>
      </c>
      <c r="B11" s="6"/>
      <c r="C11" s="16" t="n">
        <f aca="false">C10/Assumptions!$B$5</f>
        <v>445.971267957527</v>
      </c>
    </row>
    <row r="12" customFormat="false" ht="15" hidden="false" customHeight="false" outlineLevel="0" collapsed="false">
      <c r="A12" s="6" t="s">
        <v>106</v>
      </c>
      <c r="B12" s="6" t="s">
        <v>107</v>
      </c>
      <c r="C12" s="23" t="n">
        <f aca="false">-C10*Assumptions!$B$22</f>
        <v>-24633</v>
      </c>
    </row>
    <row r="13" customFormat="false" ht="15" hidden="false" customHeight="false" outlineLevel="0" collapsed="false">
      <c r="A13" s="15" t="s">
        <v>108</v>
      </c>
      <c r="B13" s="6"/>
      <c r="C13" s="24" t="n">
        <f aca="false">C10+C12</f>
        <v>139587</v>
      </c>
    </row>
    <row r="14" customFormat="false" ht="15" hidden="false" customHeight="false" outlineLevel="0" collapsed="false">
      <c r="A14" s="15" t="s">
        <v>109</v>
      </c>
      <c r="B14" s="6"/>
      <c r="C14" s="16" t="n">
        <f aca="false">C13/Assumptions!$B$5</f>
        <v>379.075577763898</v>
      </c>
    </row>
    <row r="15" customFormat="false" ht="15" hidden="false" customHeight="false" outlineLevel="0" collapsed="false">
      <c r="A15" s="6" t="s">
        <v>110</v>
      </c>
      <c r="B15" s="6"/>
      <c r="C15" s="25" t="n">
        <f aca="false">Assumptions!$B$14*Assumptions!$B$15*Assumptions!$B$16</f>
        <v>10.08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1" t="s">
        <v>111</v>
      </c>
    </row>
    <row r="2" customFormat="false" ht="15" hidden="false" customHeight="false" outlineLevel="0" collapsed="false">
      <c r="A2" s="2" t="s">
        <v>112</v>
      </c>
    </row>
    <row r="3" customFormat="false" ht="15" hidden="false" customHeight="false" outlineLevel="0" collapsed="false">
      <c r="A3" s="4"/>
      <c r="B3" s="5" t="s">
        <v>113</v>
      </c>
      <c r="C3" s="5" t="s">
        <v>114</v>
      </c>
      <c r="D3" s="5" t="s">
        <v>115</v>
      </c>
      <c r="E3" s="5" t="s">
        <v>73</v>
      </c>
      <c r="F3" s="5" t="s">
        <v>74</v>
      </c>
      <c r="G3" s="5" t="s">
        <v>75</v>
      </c>
      <c r="H3" s="5" t="s">
        <v>76</v>
      </c>
      <c r="I3" s="5" t="s">
        <v>77</v>
      </c>
    </row>
    <row r="4" customFormat="false" ht="15" hidden="false" customHeight="false" outlineLevel="0" collapsed="false">
      <c r="A4" s="6" t="s">
        <v>116</v>
      </c>
      <c r="B4" s="26" t="n">
        <f aca="false">'Income Statement'!B4</f>
        <v>301548</v>
      </c>
      <c r="C4" s="26" t="n">
        <f aca="false">'Income Statement'!C4</f>
        <v>314220</v>
      </c>
      <c r="D4" s="26" t="n">
        <f aca="false">'Income Statement'!D4</f>
        <v>273303</v>
      </c>
      <c r="E4" s="26" t="n">
        <f aca="false">'Income Statement'!E4</f>
        <v>311565.42</v>
      </c>
      <c r="F4" s="26" t="n">
        <f aca="false">'Income Statement'!F4</f>
        <v>336490.6536</v>
      </c>
      <c r="G4" s="26" t="n">
        <f aca="false">'Income Statement'!G4</f>
        <v>356680.092816</v>
      </c>
      <c r="H4" s="26" t="n">
        <f aca="false">'Income Statement'!H4</f>
        <v>374514.0974568</v>
      </c>
      <c r="I4" s="26" t="n">
        <f aca="false">'Income Statement'!I4</f>
        <v>389494.661355072</v>
      </c>
    </row>
    <row r="5" customFormat="false" ht="15" hidden="false" customHeight="false" outlineLevel="0" collapsed="false">
      <c r="A5" s="6" t="s">
        <v>117</v>
      </c>
      <c r="B5" s="26" t="n">
        <f aca="false">'Income Statement'!B5</f>
        <v>52353</v>
      </c>
      <c r="C5" s="26" t="n">
        <f aca="false">'Income Statement'!C5</f>
        <v>48451</v>
      </c>
      <c r="D5" s="26" t="n">
        <f aca="false">'Income Statement'!D5</f>
        <v>58465</v>
      </c>
      <c r="E5" s="26" t="n">
        <f aca="false">'Income Statement'!E5</f>
        <v>68988.7</v>
      </c>
      <c r="F5" s="26" t="n">
        <f aca="false">'Income Statement'!F5</f>
        <v>80026.892</v>
      </c>
      <c r="G5" s="26" t="n">
        <f aca="false">'Income Statement'!G5</f>
        <v>91230.65688</v>
      </c>
      <c r="H5" s="26" t="n">
        <f aca="false">'Income Statement'!H5</f>
        <v>102178.3357056</v>
      </c>
      <c r="I5" s="26" t="n">
        <f aca="false">'Income Statement'!I5</f>
        <v>112396.16927616</v>
      </c>
    </row>
    <row r="6" customFormat="false" ht="15" hidden="false" customHeight="false" outlineLevel="0" collapsed="false">
      <c r="A6" s="6" t="s">
        <v>118</v>
      </c>
      <c r="B6" s="26" t="n">
        <f aca="false">'Income Statement'!B9</f>
        <v>25632</v>
      </c>
      <c r="C6" s="26" t="n">
        <f aca="false">'Income Statement'!C9</f>
        <v>27764</v>
      </c>
      <c r="D6" s="26" t="n">
        <f aca="false">'Income Statement'!D9</f>
        <v>2680</v>
      </c>
      <c r="E6" s="26" t="n">
        <f aca="false">'Income Statement'!E9</f>
        <v>12462.6168</v>
      </c>
      <c r="F6" s="26" t="n">
        <f aca="false">'Income Statement'!F9</f>
        <v>18506.985948</v>
      </c>
      <c r="G6" s="26" t="n">
        <f aca="false">'Income Statement'!G9</f>
        <v>23184.20603304</v>
      </c>
      <c r="H6" s="26" t="n">
        <f aca="false">'Income Statement'!H9</f>
        <v>26215.986821976</v>
      </c>
      <c r="I6" s="26" t="n">
        <f aca="false">'Income Statement'!I9</f>
        <v>27264.6262948551</v>
      </c>
    </row>
    <row r="7" customFormat="false" ht="15" hidden="false" customHeight="false" outlineLevel="0" collapsed="false">
      <c r="A7" s="6" t="s">
        <v>119</v>
      </c>
      <c r="B7" s="26" t="n">
        <f aca="false">'Income Statement'!B10</f>
        <v>1000</v>
      </c>
      <c r="C7" s="26" t="n">
        <f aca="false">'Income Statement'!C10</f>
        <v>471</v>
      </c>
      <c r="D7" s="26" t="n">
        <f aca="false">'Income Statement'!D10</f>
        <v>825</v>
      </c>
      <c r="E7" s="26" t="n">
        <f aca="false">'Income Statement'!E10</f>
        <v>1724.7175</v>
      </c>
      <c r="F7" s="26" t="n">
        <f aca="false">'Income Statement'!F10</f>
        <v>2400.80676</v>
      </c>
      <c r="G7" s="26" t="n">
        <f aca="false">'Income Statement'!G10</f>
        <v>3193.0729908</v>
      </c>
      <c r="H7" s="26" t="n">
        <f aca="false">'Income Statement'!H10</f>
        <v>4087.133428224</v>
      </c>
      <c r="I7" s="26" t="n">
        <f aca="false">'Income Statement'!I10</f>
        <v>5057.8276174272</v>
      </c>
    </row>
    <row r="8" customFormat="false" ht="15" hidden="false" customHeight="false" outlineLevel="0" collapsed="false">
      <c r="A8" s="6" t="s">
        <v>80</v>
      </c>
      <c r="B8" s="27" t="n">
        <f aca="false">B6/B4</f>
        <v>0.0850013928130845</v>
      </c>
      <c r="C8" s="27" t="n">
        <f aca="false">C6/C4</f>
        <v>0.088358474953854</v>
      </c>
      <c r="D8" s="27" t="n">
        <f aca="false">D6/D4</f>
        <v>0.00980596627186676</v>
      </c>
      <c r="E8" s="27" t="n">
        <f aca="false">E6/E4</f>
        <v>0.04</v>
      </c>
      <c r="F8" s="27" t="n">
        <f aca="false">F6/F4</f>
        <v>0.055</v>
      </c>
      <c r="G8" s="27" t="n">
        <f aca="false">G6/G4</f>
        <v>0.065</v>
      </c>
      <c r="H8" s="27" t="n">
        <f aca="false">H6/H4</f>
        <v>0.07</v>
      </c>
      <c r="I8" s="27" t="n">
        <f aca="false">I6/I4</f>
        <v>0.07</v>
      </c>
    </row>
    <row r="9" customFormat="false" ht="15" hidden="false" customHeight="false" outlineLevel="0" collapsed="false">
      <c r="A9" s="6" t="s">
        <v>81</v>
      </c>
      <c r="B9" s="27" t="n">
        <f aca="false">B7/B5</f>
        <v>0.0191011021335931</v>
      </c>
      <c r="C9" s="27" t="n">
        <f aca="false">C7/C5</f>
        <v>0.00972116158593218</v>
      </c>
      <c r="D9" s="27" t="n">
        <f aca="false">D7/D5</f>
        <v>0.0141110065851364</v>
      </c>
      <c r="E9" s="27" t="n">
        <f aca="false">E7/E5</f>
        <v>0.025</v>
      </c>
      <c r="F9" s="27" t="n">
        <f aca="false">F7/F5</f>
        <v>0.03</v>
      </c>
      <c r="G9" s="27" t="n">
        <f aca="false">G7/G5</f>
        <v>0.035</v>
      </c>
      <c r="H9" s="27" t="n">
        <f aca="false">H7/H5</f>
        <v>0.04</v>
      </c>
      <c r="I9" s="27" t="n">
        <f aca="false">I7/I5</f>
        <v>0.045</v>
      </c>
    </row>
    <row r="10" customFormat="false" ht="15" hidden="false" customHeight="false" outlineLevel="0" collapsed="false">
      <c r="A10" s="6" t="s">
        <v>120</v>
      </c>
      <c r="B10" s="27" t="n">
        <f aca="false">B4/'Income Statement'!B7</f>
        <v>0.851830508474576</v>
      </c>
      <c r="C10" s="27" t="n">
        <f aca="false">C4/'Income Statement'!C7</f>
        <v>0.858304151392812</v>
      </c>
      <c r="D10" s="27" t="n">
        <f aca="false">D4/'Income Statement'!D7</f>
        <v>0.814414956702088</v>
      </c>
      <c r="E10" s="27" t="n">
        <f aca="false">E4/'Income Statement'!E7</f>
        <v>0.810199147001728</v>
      </c>
      <c r="F10" s="27" t="n">
        <f aca="false">F4/'Income Statement'!F7</f>
        <v>0.800182197201524</v>
      </c>
      <c r="G10" s="27" t="n">
        <f aca="false">G4/'Income Statement'!G7</f>
        <v>0.789271096241766</v>
      </c>
      <c r="H10" s="27" t="n">
        <f aca="false">H4/'Income Statement'!H7</f>
        <v>0.779113777583164</v>
      </c>
      <c r="I10" s="27" t="n">
        <f aca="false">I4/'Income Statement'!I7</f>
        <v>0.769918404864296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34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121</v>
      </c>
    </row>
    <row r="2" customFormat="false" ht="15" hidden="false" customHeight="false" outlineLevel="0" collapsed="false">
      <c r="A2" s="2" t="s">
        <v>122</v>
      </c>
    </row>
    <row r="3" customFormat="false" ht="15" hidden="false" customHeight="false" outlineLevel="0" collapsed="false">
      <c r="A3" s="14" t="s">
        <v>30</v>
      </c>
      <c r="B3" s="14" t="s">
        <v>123</v>
      </c>
      <c r="C3" s="5" t="s">
        <v>124</v>
      </c>
    </row>
    <row r="4" customFormat="false" ht="15" hidden="false" customHeight="false" outlineLevel="0" collapsed="false">
      <c r="A4" s="15" t="s">
        <v>125</v>
      </c>
      <c r="B4" s="6" t="s">
        <v>126</v>
      </c>
      <c r="C4" s="16" t="n">
        <f aca="false">(Assumptions!$B$26*Assumptions!$B$27-Assumptions!$B$8)/Assumptions!$B$5</f>
        <v>327.241126469869</v>
      </c>
    </row>
    <row r="5" customFormat="false" ht="15" hidden="false" customHeight="false" outlineLevel="0" collapsed="false">
      <c r="A5" s="6" t="s">
        <v>127</v>
      </c>
      <c r="B5" s="6"/>
      <c r="C5" s="23" t="n">
        <f aca="false">Assumptions!$B$26*Assumptions!$B$27</f>
        <v>151200</v>
      </c>
    </row>
    <row r="6" customFormat="false" ht="15" hidden="false" customHeight="false" outlineLevel="0" collapsed="false">
      <c r="A6" s="15" t="s">
        <v>23</v>
      </c>
      <c r="B6" s="6" t="s">
        <v>128</v>
      </c>
      <c r="C6" s="16" t="n">
        <f aca="false">Assumptions!$B$28*Assumptions!$B$29/Assumptions!$B$5</f>
        <v>415.501181326888</v>
      </c>
    </row>
    <row r="7" customFormat="false" ht="15" hidden="false" customHeight="false" outlineLevel="0" collapsed="false">
      <c r="A7" s="6" t="s">
        <v>129</v>
      </c>
      <c r="B7" s="6"/>
      <c r="C7" s="25" t="n">
        <f aca="false">Assumptions!$B$28/Assumptions!$B$5</f>
        <v>48.8824919208104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5" style="0" width="12"/>
  </cols>
  <sheetData>
    <row r="1" customFormat="false" ht="17.35" hidden="false" customHeight="false" outlineLevel="0" collapsed="false">
      <c r="A1" s="1" t="s">
        <v>130</v>
      </c>
    </row>
    <row r="2" customFormat="false" ht="15" hidden="false" customHeight="false" outlineLevel="0" collapsed="false">
      <c r="A2" s="2" t="s">
        <v>131</v>
      </c>
    </row>
    <row r="3" customFormat="false" ht="15" hidden="false" customHeight="false" outlineLevel="0" collapsed="false">
      <c r="A3" s="4"/>
      <c r="B3" s="5" t="s">
        <v>73</v>
      </c>
      <c r="C3" s="5" t="s">
        <v>74</v>
      </c>
      <c r="D3" s="5" t="s">
        <v>75</v>
      </c>
      <c r="E3" s="5" t="s">
        <v>76</v>
      </c>
      <c r="F3" s="5" t="s">
        <v>77</v>
      </c>
    </row>
    <row r="4" customFormat="false" ht="15" hidden="false" customHeight="false" outlineLevel="0" collapsed="false">
      <c r="A4" s="6" t="s">
        <v>132</v>
      </c>
      <c r="E4" s="26" t="n">
        <f aca="false">'Income Statement'!E12</f>
        <v>14187.3343</v>
      </c>
      <c r="F4" s="26" t="n">
        <f aca="false">'Income Statement'!F12</f>
        <v>20907.792708</v>
      </c>
      <c r="G4" s="26" t="n">
        <f aca="false">'Income Statement'!G12</f>
        <v>26377.27902384</v>
      </c>
      <c r="H4" s="26" t="n">
        <f aca="false">'Income Statement'!H12</f>
        <v>30303.1202502</v>
      </c>
      <c r="I4" s="26" t="n">
        <f aca="false">'Income Statement'!I12</f>
        <v>32322.4539122823</v>
      </c>
    </row>
    <row r="5" customFormat="false" ht="15" hidden="false" customHeight="false" outlineLevel="0" collapsed="false">
      <c r="A5" s="6" t="s">
        <v>133</v>
      </c>
      <c r="E5" s="23" t="n">
        <f aca="false">E4*(1-Assumptions!$B$11)</f>
        <v>10640.500725</v>
      </c>
      <c r="F5" s="23" t="n">
        <f aca="false">F4*(1-Assumptions!$B$11)</f>
        <v>15680.844531</v>
      </c>
      <c r="G5" s="23" t="n">
        <f aca="false">G4*(1-Assumptions!$B$11)</f>
        <v>19782.95926788</v>
      </c>
      <c r="H5" s="23" t="n">
        <f aca="false">H4*(1-Assumptions!$B$11)</f>
        <v>22727.34018765</v>
      </c>
      <c r="I5" s="23" t="n">
        <f aca="false">I4*(1-Assumptions!$B$11)</f>
        <v>24241.8404342117</v>
      </c>
    </row>
    <row r="6" customFormat="false" ht="15" hidden="false" customHeight="false" outlineLevel="0" collapsed="false">
      <c r="A6" s="6" t="s">
        <v>134</v>
      </c>
      <c r="E6" s="26" t="n">
        <f aca="false">'Income Statement'!E13</f>
        <v>21150.4766</v>
      </c>
      <c r="F6" s="26" t="n">
        <f aca="false">'Income Statement'!F13</f>
        <v>22707.9474624</v>
      </c>
      <c r="G6" s="26" t="n">
        <f aca="false">'Income Statement'!G13</f>
        <v>23951.269733888</v>
      </c>
      <c r="H6" s="26" t="n">
        <f aca="false">'Income Statement'!H13</f>
        <v>24996.0065244448</v>
      </c>
      <c r="I6" s="26" t="n">
        <f aca="false">'Income Statement'!I13</f>
        <v>25800.4323621928</v>
      </c>
    </row>
    <row r="7" customFormat="false" ht="15" hidden="false" customHeight="false" outlineLevel="0" collapsed="false">
      <c r="A7" s="6" t="s">
        <v>135</v>
      </c>
      <c r="E7" s="26" t="n">
        <f aca="false">-Assumptions!E57</f>
        <v>-38000</v>
      </c>
      <c r="F7" s="26" t="n">
        <f aca="false">-Assumptions!F57</f>
        <v>-37000</v>
      </c>
      <c r="G7" s="26" t="n">
        <f aca="false">-Assumptions!G57</f>
        <v>-33000</v>
      </c>
      <c r="H7" s="26" t="n">
        <f aca="false">-Assumptions!H57</f>
        <v>-31000</v>
      </c>
      <c r="I7" s="26" t="n">
        <f aca="false">-Assumptions!I57</f>
        <v>-30000</v>
      </c>
    </row>
    <row r="8" customFormat="false" ht="15" hidden="false" customHeight="false" outlineLevel="0" collapsed="false">
      <c r="A8" s="6" t="s">
        <v>136</v>
      </c>
      <c r="E8" s="26" t="n">
        <f aca="false">-(('Balance Sheet'!E5+'Balance Sheet'!E6-'Balance Sheet'!E15)-('Balance Sheet'!D5+'Balance Sheet'!D6-'Balance Sheet'!D15))</f>
        <v>-0</v>
      </c>
      <c r="F8" s="26" t="n">
        <f aca="false">-(('Balance Sheet'!F5+'Balance Sheet'!F6-'Balance Sheet'!F15)-('Balance Sheet'!E5+'Balance Sheet'!E6-'Balance Sheet'!E15))</f>
        <v>-0</v>
      </c>
      <c r="G8" s="26" t="n">
        <f aca="false">-(('Balance Sheet'!G5+'Balance Sheet'!G6-'Balance Sheet'!G15)-('Balance Sheet'!F5+'Balance Sheet'!F6-'Balance Sheet'!F15))</f>
        <v>-0</v>
      </c>
      <c r="H8" s="26" t="n">
        <f aca="false">-(('Balance Sheet'!H5+'Balance Sheet'!H6-'Balance Sheet'!H15)-('Balance Sheet'!G5+'Balance Sheet'!G6-'Balance Sheet'!G15))</f>
        <v>-0</v>
      </c>
      <c r="I8" s="26" t="n">
        <f aca="false">-(('Balance Sheet'!I5+'Balance Sheet'!I6-'Balance Sheet'!I15)-('Balance Sheet'!H5+'Balance Sheet'!H6-'Balance Sheet'!H15))</f>
        <v>-0</v>
      </c>
    </row>
    <row r="9" customFormat="false" ht="15" hidden="false" customHeight="false" outlineLevel="0" collapsed="false">
      <c r="A9" s="15" t="s">
        <v>137</v>
      </c>
      <c r="E9" s="24" t="n">
        <f aca="false">E5+E6+E7+E8</f>
        <v>-6209.022675</v>
      </c>
      <c r="F9" s="24" t="n">
        <f aca="false">F5+F6+F7+F8</f>
        <v>1388.79199340001</v>
      </c>
      <c r="G9" s="24" t="n">
        <f aca="false">G5+G6+G7+G8</f>
        <v>10734.229001768</v>
      </c>
      <c r="H9" s="24" t="n">
        <f aca="false">H5+H6+H7+H8</f>
        <v>16723.3467120948</v>
      </c>
      <c r="I9" s="24" t="n">
        <f aca="false">I5+I6+I7+I8</f>
        <v>20042.2727964045</v>
      </c>
    </row>
    <row r="10" customFormat="false" ht="15" hidden="false" customHeight="false" outlineLevel="0" collapsed="false">
      <c r="A10" s="6" t="s">
        <v>138</v>
      </c>
      <c r="E10" s="28" t="n">
        <f aca="false">1/(1+Assumptions!$B$9)^1</f>
        <v>0.884955752212389</v>
      </c>
      <c r="F10" s="28" t="n">
        <f aca="false">1/(1+Assumptions!$B$9)^2</f>
        <v>0.783146683373796</v>
      </c>
      <c r="G10" s="28" t="n">
        <f aca="false">1/(1+Assumptions!$B$9)^3</f>
        <v>0.693050162277696</v>
      </c>
      <c r="H10" s="28" t="n">
        <f aca="false">1/(1+Assumptions!$B$9)^4</f>
        <v>0.613318727679377</v>
      </c>
      <c r="I10" s="28" t="n">
        <f aca="false">1/(1+Assumptions!$B$9)^5</f>
        <v>0.542759935999449</v>
      </c>
    </row>
    <row r="11" customFormat="false" ht="15" hidden="false" customHeight="false" outlineLevel="0" collapsed="false">
      <c r="A11" s="15" t="s">
        <v>139</v>
      </c>
      <c r="E11" s="24" t="n">
        <f aca="false">E9*E10</f>
        <v>-5494.7103318584</v>
      </c>
      <c r="F11" s="24" t="n">
        <f aca="false">F9*F10</f>
        <v>1087.6278435273</v>
      </c>
      <c r="G11" s="24" t="n">
        <f aca="false">G9*G10</f>
        <v>7439.35915160127</v>
      </c>
      <c r="H11" s="24" t="n">
        <f aca="false">H9*H10</f>
        <v>10256.7417280031</v>
      </c>
      <c r="I11" s="24" t="n">
        <f aca="false">I9*I10</f>
        <v>10878.14270026</v>
      </c>
    </row>
    <row r="13" customFormat="false" ht="15" hidden="false" customHeight="false" outlineLevel="0" collapsed="false">
      <c r="A13" s="29" t="s">
        <v>140</v>
      </c>
      <c r="B13" s="30" t="n">
        <f aca="false">SUM(E11:I11)</f>
        <v>24167.1610915333</v>
      </c>
    </row>
    <row r="14" customFormat="false" ht="15" hidden="false" customHeight="false" outlineLevel="0" collapsed="false">
      <c r="A14" s="3" t="s">
        <v>141</v>
      </c>
      <c r="B14" s="31" t="n">
        <f aca="false">I9*(1+Assumptions!$B$10)/(Assumptions!$B$9-Assumptions!$B$10)</f>
        <v>263054.830452809</v>
      </c>
    </row>
    <row r="15" customFormat="false" ht="15" hidden="false" customHeight="false" outlineLevel="0" collapsed="false">
      <c r="A15" s="3" t="s">
        <v>142</v>
      </c>
      <c r="B15" s="31" t="n">
        <f aca="false">B14/(1+Assumptions!$B$9)^5</f>
        <v>142775.622940913</v>
      </c>
    </row>
    <row r="16" customFormat="false" ht="15" hidden="false" customHeight="false" outlineLevel="0" collapsed="false">
      <c r="A16" s="29" t="s">
        <v>143</v>
      </c>
      <c r="B16" s="30" t="n">
        <f aca="false">B13+B15</f>
        <v>166942.784032446</v>
      </c>
    </row>
    <row r="17" customFormat="false" ht="15" hidden="false" customHeight="false" outlineLevel="0" collapsed="false">
      <c r="A17" s="3" t="s">
        <v>103</v>
      </c>
      <c r="B17" s="31" t="n">
        <f aca="false">-Assumptions!$B$8</f>
        <v>-30700</v>
      </c>
    </row>
    <row r="18" customFormat="false" ht="15" hidden="false" customHeight="false" outlineLevel="0" collapsed="false">
      <c r="A18" s="29" t="s">
        <v>144</v>
      </c>
      <c r="B18" s="30" t="n">
        <f aca="false">B16+B17</f>
        <v>136242.784032446</v>
      </c>
    </row>
    <row r="19" customFormat="false" ht="15" hidden="false" customHeight="false" outlineLevel="0" collapsed="false">
      <c r="A19" s="29" t="s">
        <v>145</v>
      </c>
      <c r="B19" s="32" t="n">
        <f aca="false">B18/Assumptions!$B$5</f>
        <v>369.993710540819</v>
      </c>
    </row>
    <row r="20" customFormat="false" ht="15" hidden="false" customHeight="false" outlineLevel="0" collapsed="false">
      <c r="A20" s="3" t="s">
        <v>146</v>
      </c>
      <c r="B20" s="33" t="n">
        <f aca="false">B15/B16</f>
        <v>0.855236863146859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1" t="s">
        <v>147</v>
      </c>
    </row>
    <row r="2" customFormat="false" ht="15" hidden="false" customHeight="false" outlineLevel="0" collapsed="false">
      <c r="A2" s="2" t="s">
        <v>148</v>
      </c>
    </row>
    <row r="3" customFormat="false" ht="15" hidden="false" customHeight="false" outlineLevel="0" collapsed="false">
      <c r="A3" s="4"/>
      <c r="B3" s="5" t="s">
        <v>113</v>
      </c>
      <c r="C3" s="5" t="s">
        <v>114</v>
      </c>
      <c r="D3" s="5" t="s">
        <v>115</v>
      </c>
      <c r="E3" s="5" t="s">
        <v>73</v>
      </c>
      <c r="F3" s="5" t="s">
        <v>74</v>
      </c>
      <c r="G3" s="5" t="s">
        <v>75</v>
      </c>
      <c r="H3" s="5" t="s">
        <v>76</v>
      </c>
      <c r="I3" s="5" t="s">
        <v>77</v>
      </c>
    </row>
    <row r="4" customFormat="false" ht="15" hidden="false" customHeight="false" outlineLevel="0" collapsed="false">
      <c r="A4" s="6" t="s">
        <v>116</v>
      </c>
      <c r="B4" s="34" t="n">
        <v>301548</v>
      </c>
      <c r="C4" s="34" t="n">
        <v>314220</v>
      </c>
      <c r="D4" s="34" t="n">
        <v>273303</v>
      </c>
      <c r="E4" s="23" t="n">
        <f aca="false">D4*(1+Assumptions!E49)</f>
        <v>311565.42</v>
      </c>
      <c r="F4" s="23" t="n">
        <f aca="false">E4*(1+Assumptions!F49)</f>
        <v>336490.6536</v>
      </c>
      <c r="G4" s="23" t="n">
        <f aca="false">F4*(1+Assumptions!G49)</f>
        <v>356680.092816</v>
      </c>
      <c r="H4" s="23" t="n">
        <f aca="false">G4*(1+Assumptions!H49)</f>
        <v>374514.0974568</v>
      </c>
      <c r="I4" s="23" t="n">
        <f aca="false">H4*(1+Assumptions!I49)</f>
        <v>389494.661355072</v>
      </c>
    </row>
    <row r="5" customFormat="false" ht="15" hidden="false" customHeight="false" outlineLevel="0" collapsed="false">
      <c r="A5" s="6" t="s">
        <v>117</v>
      </c>
      <c r="B5" s="34" t="n">
        <v>52353</v>
      </c>
      <c r="C5" s="34" t="n">
        <v>48451</v>
      </c>
      <c r="D5" s="34" t="n">
        <v>58465</v>
      </c>
      <c r="E5" s="23" t="n">
        <f aca="false">D5*(1+Assumptions!E50)</f>
        <v>68988.7</v>
      </c>
      <c r="F5" s="23" t="n">
        <f aca="false">E5*(1+Assumptions!F50)</f>
        <v>80026.892</v>
      </c>
      <c r="G5" s="23" t="n">
        <f aca="false">F5*(1+Assumptions!G50)</f>
        <v>91230.65688</v>
      </c>
      <c r="H5" s="23" t="n">
        <f aca="false">G5*(1+Assumptions!H50)</f>
        <v>102178.3357056</v>
      </c>
      <c r="I5" s="23" t="n">
        <f aca="false">H5*(1+Assumptions!I50)</f>
        <v>112396.16927616</v>
      </c>
    </row>
    <row r="6" customFormat="false" ht="15" hidden="false" customHeight="false" outlineLevel="0" collapsed="false">
      <c r="A6" s="6" t="s">
        <v>149</v>
      </c>
      <c r="B6" s="34" t="n">
        <v>99</v>
      </c>
      <c r="C6" s="34" t="n">
        <v>3423</v>
      </c>
      <c r="D6" s="34" t="n">
        <v>3814</v>
      </c>
      <c r="E6" s="26" t="n">
        <f aca="false">Assumptions!$B$23</f>
        <v>4000</v>
      </c>
      <c r="F6" s="26" t="n">
        <f aca="false">Assumptions!$B$23</f>
        <v>4000</v>
      </c>
      <c r="G6" s="26" t="n">
        <f aca="false">Assumptions!$B$23</f>
        <v>4000</v>
      </c>
      <c r="H6" s="26" t="n">
        <f aca="false">Assumptions!$B$23</f>
        <v>4000</v>
      </c>
      <c r="I6" s="26" t="n">
        <f aca="false">Assumptions!$B$23</f>
        <v>4000</v>
      </c>
    </row>
    <row r="7" customFormat="false" ht="15" hidden="false" customHeight="false" outlineLevel="0" collapsed="false">
      <c r="A7" s="15" t="s">
        <v>150</v>
      </c>
      <c r="B7" s="24" t="n">
        <f aca="false">SUM(B4:B6)</f>
        <v>354000</v>
      </c>
      <c r="C7" s="24" t="n">
        <f aca="false">SUM(C4:C6)</f>
        <v>366094</v>
      </c>
      <c r="D7" s="24" t="n">
        <f aca="false">SUM(D4:D6)</f>
        <v>335582</v>
      </c>
      <c r="E7" s="24" t="n">
        <f aca="false">SUM(E4:E6)</f>
        <v>384554.12</v>
      </c>
      <c r="F7" s="24" t="n">
        <f aca="false">SUM(F4:F6)</f>
        <v>420517.5456</v>
      </c>
      <c r="G7" s="24" t="n">
        <f aca="false">SUM(G4:G6)</f>
        <v>451910.749696</v>
      </c>
      <c r="H7" s="24" t="n">
        <f aca="false">SUM(H4:H6)</f>
        <v>480692.4331624</v>
      </c>
      <c r="I7" s="24" t="n">
        <f aca="false">SUM(I4:I6)</f>
        <v>505890.830631232</v>
      </c>
    </row>
    <row r="9" customFormat="false" ht="15" hidden="false" customHeight="false" outlineLevel="0" collapsed="false">
      <c r="A9" s="6" t="s">
        <v>118</v>
      </c>
      <c r="B9" s="34" t="n">
        <v>25632</v>
      </c>
      <c r="C9" s="34" t="n">
        <v>27764</v>
      </c>
      <c r="D9" s="34" t="n">
        <v>2680</v>
      </c>
      <c r="E9" s="23" t="n">
        <f aca="false">E4*Assumptions!E51</f>
        <v>12462.6168</v>
      </c>
      <c r="F9" s="23" t="n">
        <f aca="false">F4*Assumptions!F51</f>
        <v>18506.985948</v>
      </c>
      <c r="G9" s="23" t="n">
        <f aca="false">G4*Assumptions!G51</f>
        <v>23184.20603304</v>
      </c>
      <c r="H9" s="23" t="n">
        <f aca="false">H4*Assumptions!H51</f>
        <v>26215.986821976</v>
      </c>
      <c r="I9" s="23" t="n">
        <f aca="false">I4*Assumptions!I51</f>
        <v>27264.6262948551</v>
      </c>
    </row>
    <row r="10" customFormat="false" ht="15" hidden="false" customHeight="false" outlineLevel="0" collapsed="false">
      <c r="A10" s="6" t="s">
        <v>119</v>
      </c>
      <c r="B10" s="34" t="n">
        <v>1000</v>
      </c>
      <c r="C10" s="34" t="n">
        <v>471</v>
      </c>
      <c r="D10" s="34" t="n">
        <v>825</v>
      </c>
      <c r="E10" s="23" t="n">
        <f aca="false">E5*Assumptions!E52</f>
        <v>1724.7175</v>
      </c>
      <c r="F10" s="23" t="n">
        <f aca="false">F5*Assumptions!F52</f>
        <v>2400.80676</v>
      </c>
      <c r="G10" s="23" t="n">
        <f aca="false">G5*Assumptions!G52</f>
        <v>3193.0729908</v>
      </c>
      <c r="H10" s="23" t="n">
        <f aca="false">H5*Assumptions!H52</f>
        <v>4087.133428224</v>
      </c>
      <c r="I10" s="23" t="n">
        <f aca="false">I5*Assumptions!I52</f>
        <v>5057.8276174272</v>
      </c>
    </row>
    <row r="11" customFormat="false" ht="15" hidden="false" customHeight="false" outlineLevel="0" collapsed="false">
      <c r="A11" s="6" t="s">
        <v>151</v>
      </c>
      <c r="B11" s="34" t="n">
        <v>-2200</v>
      </c>
      <c r="C11" s="34" t="n">
        <v>-5000</v>
      </c>
      <c r="D11" s="34" t="n">
        <v>185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</row>
    <row r="12" customFormat="false" ht="15" hidden="false" customHeight="false" outlineLevel="0" collapsed="false">
      <c r="A12" s="15" t="s">
        <v>132</v>
      </c>
      <c r="B12" s="24" t="n">
        <f aca="false">SUM(B9:B11)</f>
        <v>24432</v>
      </c>
      <c r="C12" s="24" t="n">
        <f aca="false">SUM(C9:C11)</f>
        <v>23235</v>
      </c>
      <c r="D12" s="24" t="n">
        <f aca="false">SUM(D9:D11)</f>
        <v>3690</v>
      </c>
      <c r="E12" s="24" t="n">
        <f aca="false">SUM(E9:E11)</f>
        <v>14187.3343</v>
      </c>
      <c r="F12" s="24" t="n">
        <f aca="false">SUM(F9:F11)</f>
        <v>20907.792708</v>
      </c>
      <c r="G12" s="24" t="n">
        <f aca="false">SUM(G9:G11)</f>
        <v>26377.27902384</v>
      </c>
      <c r="H12" s="24" t="n">
        <f aca="false">SUM(H9:H11)</f>
        <v>30303.1202502</v>
      </c>
      <c r="I12" s="24" t="n">
        <f aca="false">SUM(I9:I11)</f>
        <v>32322.4539122823</v>
      </c>
    </row>
    <row r="13" customFormat="false" ht="15" hidden="false" customHeight="false" outlineLevel="0" collapsed="false">
      <c r="A13" s="6" t="s">
        <v>152</v>
      </c>
      <c r="B13" s="34" t="n">
        <v>23600</v>
      </c>
      <c r="C13" s="34" t="n">
        <v>23900</v>
      </c>
      <c r="D13" s="34" t="n">
        <v>19130</v>
      </c>
      <c r="E13" s="23" t="n">
        <f aca="false">E7*Assumptions!E53</f>
        <v>21150.4766</v>
      </c>
      <c r="F13" s="23" t="n">
        <f aca="false">F7*Assumptions!F53</f>
        <v>22707.9474624</v>
      </c>
      <c r="G13" s="23" t="n">
        <f aca="false">G7*Assumptions!G53</f>
        <v>23951.269733888</v>
      </c>
      <c r="H13" s="23" t="n">
        <f aca="false">H7*Assumptions!H53</f>
        <v>24996.0065244448</v>
      </c>
      <c r="I13" s="23" t="n">
        <f aca="false">I7*Assumptions!I53</f>
        <v>25800.4323621928</v>
      </c>
    </row>
    <row r="14" customFormat="false" ht="15" hidden="false" customHeight="false" outlineLevel="0" collapsed="false">
      <c r="A14" s="15" t="s">
        <v>153</v>
      </c>
      <c r="B14" s="24" t="n">
        <f aca="false">B12+B13</f>
        <v>48032</v>
      </c>
      <c r="C14" s="24" t="n">
        <f aca="false">C12+C13</f>
        <v>47135</v>
      </c>
      <c r="D14" s="24" t="n">
        <f aca="false">D12+D13</f>
        <v>22820</v>
      </c>
      <c r="E14" s="24" t="n">
        <f aca="false">E12+E13</f>
        <v>35337.8109</v>
      </c>
      <c r="F14" s="24" t="n">
        <f aca="false">F12+F13</f>
        <v>43615.7401704</v>
      </c>
      <c r="G14" s="24" t="n">
        <f aca="false">G12+G13</f>
        <v>50328.548757728</v>
      </c>
      <c r="H14" s="24" t="n">
        <f aca="false">H12+H13</f>
        <v>55299.1267746448</v>
      </c>
      <c r="I14" s="24" t="n">
        <f aca="false">I12+I13</f>
        <v>58122.8862744751</v>
      </c>
    </row>
    <row r="15" customFormat="false" ht="15" hidden="false" customHeight="false" outlineLevel="0" collapsed="false">
      <c r="A15" s="6" t="s">
        <v>154</v>
      </c>
      <c r="B15" s="27" t="n">
        <f aca="false">B14/B7</f>
        <v>0.135683615819209</v>
      </c>
      <c r="C15" s="27" t="n">
        <f aca="false">C14/C7</f>
        <v>0.128751085786711</v>
      </c>
      <c r="D15" s="27" t="n">
        <f aca="false">D14/D7</f>
        <v>0.0680012634765869</v>
      </c>
      <c r="E15" s="27" t="n">
        <f aca="false">E14/E7</f>
        <v>0.091892945783548</v>
      </c>
      <c r="F15" s="27" t="n">
        <f aca="false">F14/F7</f>
        <v>0.103719192282853</v>
      </c>
      <c r="G15" s="27" t="n">
        <f aca="false">G14/G7</f>
        <v>0.11136833720283</v>
      </c>
      <c r="H15" s="27" t="n">
        <f aca="false">H14/H7</f>
        <v>0.115040560157855</v>
      </c>
      <c r="I15" s="27" t="n">
        <f aca="false">I14/I7</f>
        <v>0.114892152130829</v>
      </c>
    </row>
    <row r="16" customFormat="false" ht="15" hidden="false" customHeight="false" outlineLevel="0" collapsed="false">
      <c r="A16" s="6" t="s">
        <v>155</v>
      </c>
      <c r="B16" s="34" t="n">
        <v>4500</v>
      </c>
      <c r="C16" s="34" t="n">
        <v>3901</v>
      </c>
      <c r="D16" s="34" t="n">
        <v>2827</v>
      </c>
      <c r="E16" s="26" t="n">
        <f aca="false">Assumptions!E54</f>
        <v>2800</v>
      </c>
      <c r="F16" s="26" t="n">
        <f aca="false">Assumptions!F54</f>
        <v>2600</v>
      </c>
      <c r="G16" s="26" t="n">
        <f aca="false">Assumptions!G54</f>
        <v>2400</v>
      </c>
      <c r="H16" s="26" t="n">
        <f aca="false">Assumptions!H54</f>
        <v>2200</v>
      </c>
      <c r="I16" s="26" t="n">
        <f aca="false">Assumptions!I54</f>
        <v>2000</v>
      </c>
    </row>
    <row r="17" customFormat="false" ht="15" hidden="false" customHeight="false" outlineLevel="0" collapsed="false">
      <c r="A17" s="6" t="s">
        <v>156</v>
      </c>
      <c r="B17" s="34" t="n">
        <v>2721</v>
      </c>
      <c r="C17" s="34" t="n">
        <v>2769</v>
      </c>
      <c r="D17" s="34" t="n">
        <v>2700</v>
      </c>
      <c r="E17" s="26" t="n">
        <f aca="false">Assumptions!E55</f>
        <v>2700</v>
      </c>
      <c r="F17" s="26" t="n">
        <f aca="false">Assumptions!F55</f>
        <v>2750</v>
      </c>
      <c r="G17" s="26" t="n">
        <f aca="false">Assumptions!G55</f>
        <v>2800</v>
      </c>
      <c r="H17" s="26" t="n">
        <f aca="false">Assumptions!H55</f>
        <v>2850</v>
      </c>
      <c r="I17" s="26" t="n">
        <f aca="false">Assumptions!I55</f>
        <v>2900</v>
      </c>
    </row>
    <row r="18" customFormat="false" ht="15" hidden="false" customHeight="false" outlineLevel="0" collapsed="false">
      <c r="A18" s="6" t="s">
        <v>157</v>
      </c>
      <c r="B18" s="34" t="n">
        <v>700</v>
      </c>
      <c r="C18" s="34" t="n">
        <v>288</v>
      </c>
      <c r="D18" s="34" t="n">
        <v>-1044</v>
      </c>
      <c r="E18" s="26" t="n">
        <f aca="false">Assumptions!E56</f>
        <v>0</v>
      </c>
      <c r="F18" s="26" t="n">
        <f aca="false">Assumptions!F56</f>
        <v>300</v>
      </c>
      <c r="G18" s="26" t="n">
        <f aca="false">Assumptions!G56</f>
        <v>500</v>
      </c>
      <c r="H18" s="26" t="n">
        <f aca="false">Assumptions!H56</f>
        <v>700</v>
      </c>
      <c r="I18" s="26" t="n">
        <f aca="false">Assumptions!I56</f>
        <v>800</v>
      </c>
    </row>
    <row r="19" customFormat="false" ht="15" hidden="false" customHeight="false" outlineLevel="0" collapsed="false">
      <c r="A19" s="15" t="s">
        <v>158</v>
      </c>
      <c r="B19" s="24" t="n">
        <f aca="false">B12-B16+B17+B18</f>
        <v>23353</v>
      </c>
      <c r="C19" s="24" t="n">
        <f aca="false">C12-C16+C17+C18</f>
        <v>22391</v>
      </c>
      <c r="D19" s="24" t="n">
        <f aca="false">D12-D16+D17+D18</f>
        <v>2519</v>
      </c>
      <c r="E19" s="24" t="n">
        <f aca="false">E12-E16+E17+E18</f>
        <v>14087.3343</v>
      </c>
      <c r="F19" s="24" t="n">
        <f aca="false">F12-F16+F17+F18</f>
        <v>21357.792708</v>
      </c>
      <c r="G19" s="24" t="n">
        <f aca="false">G12-G16+G17+G18</f>
        <v>27277.27902384</v>
      </c>
      <c r="H19" s="24" t="n">
        <f aca="false">H12-H16+H17+H18</f>
        <v>31653.1202502</v>
      </c>
      <c r="I19" s="24" t="n">
        <f aca="false">I12-I16+I17+I18</f>
        <v>34022.4539122822</v>
      </c>
    </row>
    <row r="20" customFormat="false" ht="15" hidden="false" customHeight="false" outlineLevel="0" collapsed="false">
      <c r="A20" s="6" t="s">
        <v>159</v>
      </c>
      <c r="B20" s="34" t="n">
        <v>0</v>
      </c>
      <c r="C20" s="34" t="n">
        <v>-196</v>
      </c>
      <c r="D20" s="34" t="n">
        <v>-4142</v>
      </c>
      <c r="E20" s="23" t="n">
        <v>0</v>
      </c>
      <c r="F20" s="23" t="n">
        <v>0</v>
      </c>
      <c r="G20" s="23" t="n">
        <v>0</v>
      </c>
      <c r="H20" s="23" t="n">
        <v>0</v>
      </c>
      <c r="I20" s="23" t="n">
        <v>0</v>
      </c>
    </row>
    <row r="21" customFormat="false" ht="15" hidden="false" customHeight="false" outlineLevel="0" collapsed="false">
      <c r="A21" s="15" t="s">
        <v>160</v>
      </c>
      <c r="B21" s="24" t="n">
        <f aca="false">B19+B20</f>
        <v>23353</v>
      </c>
      <c r="C21" s="24" t="n">
        <f aca="false">C19+C20</f>
        <v>22195</v>
      </c>
      <c r="D21" s="24" t="n">
        <f aca="false">D19+D20</f>
        <v>-1623</v>
      </c>
      <c r="E21" s="24" t="n">
        <f aca="false">E19+E20</f>
        <v>14087.3343</v>
      </c>
      <c r="F21" s="24" t="n">
        <f aca="false">F19+F20</f>
        <v>21357.792708</v>
      </c>
      <c r="G21" s="24" t="n">
        <f aca="false">G19+G20</f>
        <v>27277.27902384</v>
      </c>
      <c r="H21" s="24" t="n">
        <f aca="false">H19+H20</f>
        <v>31653.1202502</v>
      </c>
      <c r="I21" s="24" t="n">
        <f aca="false">I19+I20</f>
        <v>34022.4539122822</v>
      </c>
    </row>
    <row r="22" customFormat="false" ht="15" hidden="false" customHeight="false" outlineLevel="0" collapsed="false">
      <c r="A22" s="6" t="s">
        <v>161</v>
      </c>
      <c r="B22" s="34" t="n">
        <v>5838.25</v>
      </c>
      <c r="C22" s="34" t="n">
        <v>2801</v>
      </c>
      <c r="D22" s="34" t="n">
        <v>-246</v>
      </c>
      <c r="E22" s="23" t="n">
        <f aca="false">MAX(0,E21)*Assumptions!$B$11</f>
        <v>3521.833575</v>
      </c>
      <c r="F22" s="23" t="n">
        <f aca="false">MAX(0,F21)*Assumptions!$B$11</f>
        <v>5339.448177</v>
      </c>
      <c r="G22" s="23" t="n">
        <f aca="false">MAX(0,G21)*Assumptions!$B$11</f>
        <v>6819.31975596</v>
      </c>
      <c r="H22" s="23" t="n">
        <f aca="false">MAX(0,H21)*Assumptions!$B$11</f>
        <v>7913.28006255</v>
      </c>
      <c r="I22" s="23" t="n">
        <f aca="false">MAX(0,I21)*Assumptions!$B$11</f>
        <v>8505.61347807056</v>
      </c>
    </row>
    <row r="23" customFormat="false" ht="15" hidden="false" customHeight="false" outlineLevel="0" collapsed="false">
      <c r="A23" s="15" t="s">
        <v>162</v>
      </c>
      <c r="B23" s="34" t="n">
        <v>17514.75</v>
      </c>
      <c r="C23" s="34" t="n">
        <v>19394</v>
      </c>
      <c r="D23" s="34" t="n">
        <v>-1377</v>
      </c>
      <c r="E23" s="24" t="n">
        <f aca="false">E21-E22</f>
        <v>10565.500725</v>
      </c>
      <c r="F23" s="24" t="n">
        <f aca="false">F21-F22</f>
        <v>16018.344531</v>
      </c>
      <c r="G23" s="24" t="n">
        <f aca="false">G21-G22</f>
        <v>20457.95926788</v>
      </c>
      <c r="H23" s="24" t="n">
        <f aca="false">H21-H22</f>
        <v>23739.84018765</v>
      </c>
      <c r="I23" s="24" t="n">
        <f aca="false">I21-I22</f>
        <v>25516.8404342117</v>
      </c>
    </row>
    <row r="25" customFormat="false" ht="15" hidden="false" customHeight="false" outlineLevel="0" collapsed="false">
      <c r="A25" s="2" t="s">
        <v>163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1" t="s">
        <v>164</v>
      </c>
    </row>
    <row r="2" customFormat="false" ht="15" hidden="false" customHeight="false" outlineLevel="0" collapsed="false">
      <c r="A2" s="2" t="s">
        <v>165</v>
      </c>
    </row>
    <row r="3" customFormat="false" ht="15" hidden="false" customHeight="false" outlineLevel="0" collapsed="false">
      <c r="A3" s="4"/>
      <c r="B3" s="5" t="s">
        <v>113</v>
      </c>
      <c r="C3" s="5" t="s">
        <v>114</v>
      </c>
      <c r="D3" s="5" t="s">
        <v>115</v>
      </c>
      <c r="E3" s="5" t="s">
        <v>73</v>
      </c>
      <c r="F3" s="5" t="s">
        <v>74</v>
      </c>
      <c r="G3" s="5" t="s">
        <v>75</v>
      </c>
      <c r="H3" s="5" t="s">
        <v>76</v>
      </c>
      <c r="I3" s="5" t="s">
        <v>77</v>
      </c>
    </row>
    <row r="4" customFormat="false" ht="15" hidden="false" customHeight="false" outlineLevel="0" collapsed="false">
      <c r="A4" s="6" t="s">
        <v>166</v>
      </c>
      <c r="B4" s="23" t="n">
        <f aca="false">(B12+B13+B14+B15+B16)-(B5+B6+B7+B8+B9)</f>
        <v>206500</v>
      </c>
      <c r="C4" s="23" t="n">
        <f aca="false">(C12+C13+C14+C15+C16)-(C5+C6+C7+C8+C9)</f>
        <v>198954</v>
      </c>
      <c r="D4" s="23" t="n">
        <f aca="false">(D12+D13+D14+D15+D16)-(D5+D6+D7+D8+D9)</f>
        <v>195405</v>
      </c>
      <c r="E4" s="23" t="n">
        <f aca="false">D4+Assumptions!E57-'Income Statement'!E13</f>
        <v>212254.5234</v>
      </c>
      <c r="F4" s="23" t="n">
        <f aca="false">E4+Assumptions!F57-'Income Statement'!F13</f>
        <v>226546.5759376</v>
      </c>
      <c r="G4" s="23" t="n">
        <f aca="false">F4+Assumptions!G57-'Income Statement'!G13</f>
        <v>235595.306203712</v>
      </c>
      <c r="H4" s="23" t="n">
        <f aca="false">G4+Assumptions!H57-'Income Statement'!H13</f>
        <v>241599.299679267</v>
      </c>
      <c r="I4" s="23" t="n">
        <f aca="false">H4+Assumptions!I57-'Income Statement'!I13</f>
        <v>245798.867317074</v>
      </c>
    </row>
    <row r="5" customFormat="false" ht="15" hidden="false" customHeight="false" outlineLevel="0" collapsed="false">
      <c r="A5" s="6" t="s">
        <v>65</v>
      </c>
      <c r="B5" s="26" t="n">
        <f aca="false">'Income Statement'!B7*Assumptions!$B$38</f>
        <v>47790</v>
      </c>
      <c r="C5" s="26" t="n">
        <f aca="false">'Income Statement'!C7*Assumptions!$B$38</f>
        <v>49422.69</v>
      </c>
      <c r="D5" s="26" t="n">
        <f aca="false">'Income Statement'!D7*Assumptions!$B$38</f>
        <v>45303.57</v>
      </c>
      <c r="E5" s="26" t="n">
        <f aca="false">'Income Statement'!E7*Assumptions!$B$38</f>
        <v>51914.8062</v>
      </c>
      <c r="F5" s="26" t="n">
        <f aca="false">'Income Statement'!F7*Assumptions!$B$38</f>
        <v>56769.868656</v>
      </c>
      <c r="G5" s="26" t="n">
        <f aca="false">'Income Statement'!G7*Assumptions!$B$38</f>
        <v>61007.95120896</v>
      </c>
      <c r="H5" s="26" t="n">
        <f aca="false">'Income Statement'!H7*Assumptions!$B$38</f>
        <v>64893.478476924</v>
      </c>
      <c r="I5" s="26" t="n">
        <f aca="false">'Income Statement'!I7*Assumptions!$B$38</f>
        <v>68295.2621352163</v>
      </c>
    </row>
    <row r="6" customFormat="false" ht="15" hidden="false" customHeight="false" outlineLevel="0" collapsed="false">
      <c r="A6" s="6" t="s">
        <v>66</v>
      </c>
      <c r="B6" s="26" t="n">
        <f aca="false">'Income Statement'!B7*Assumptions!$B$39</f>
        <v>30090</v>
      </c>
      <c r="C6" s="26" t="n">
        <f aca="false">'Income Statement'!C7*Assumptions!$B$39</f>
        <v>31117.99</v>
      </c>
      <c r="D6" s="26" t="n">
        <f aca="false">'Income Statement'!D7*Assumptions!$B$39</f>
        <v>28524.47</v>
      </c>
      <c r="E6" s="26" t="n">
        <f aca="false">'Income Statement'!E7*Assumptions!$B$39</f>
        <v>32687.1002</v>
      </c>
      <c r="F6" s="26" t="n">
        <f aca="false">'Income Statement'!F7*Assumptions!$B$39</f>
        <v>35743.991376</v>
      </c>
      <c r="G6" s="26" t="n">
        <f aca="false">'Income Statement'!G7*Assumptions!$B$39</f>
        <v>38412.41372416</v>
      </c>
      <c r="H6" s="26" t="n">
        <f aca="false">'Income Statement'!H7*Assumptions!$B$39</f>
        <v>40858.856818804</v>
      </c>
      <c r="I6" s="26" t="n">
        <f aca="false">'Income Statement'!I7*Assumptions!$B$39</f>
        <v>43000.7206036547</v>
      </c>
    </row>
    <row r="7" customFormat="false" ht="15" hidden="false" customHeight="false" outlineLevel="0" collapsed="false">
      <c r="A7" s="6" t="s">
        <v>167</v>
      </c>
      <c r="B7" s="34" t="n">
        <v>27500</v>
      </c>
      <c r="C7" s="34" t="n">
        <v>24600</v>
      </c>
      <c r="D7" s="34" t="n">
        <v>22880</v>
      </c>
      <c r="E7" s="23" t="n">
        <f aca="false">D7+('Income Statement'!E23+'Income Statement'!E13-((E5+E6-E15)-(D5+D6-D15)))-Assumptions!E57-Assumptions!E58-Assumptions!E59</f>
        <v>14395.977325</v>
      </c>
      <c r="F7" s="23" t="n">
        <f aca="false">E7+('Income Statement'!F23+'Income Statement'!F13-((F5+F6-F15)-(E5+E6-E15)))-Assumptions!F57-Assumptions!F58-Assumptions!F59</f>
        <v>13522.2693184</v>
      </c>
      <c r="G7" s="23" t="n">
        <f aca="false">F7+('Income Statement'!G23+'Income Statement'!G13-((G5+G6-G15)-(F5+F6-F15)))-Assumptions!G57-Assumptions!G58-Assumptions!G59</f>
        <v>17731.498320168</v>
      </c>
      <c r="H7" s="23" t="n">
        <f aca="false">G7+('Income Statement'!H23+'Income Statement'!H13-((H5+H6-H15)-(G5+G6-G15)))-Assumptions!H57-Assumptions!H58-Assumptions!H59</f>
        <v>26467.3450322628</v>
      </c>
      <c r="I7" s="23" t="n">
        <f aca="false">H7+('Income Statement'!I23+'Income Statement'!I13-((I5+I6-I15)-(H5+H6-H15)))-Assumptions!I57-Assumptions!I58-Assumptions!I59</f>
        <v>37784.6178286674</v>
      </c>
    </row>
    <row r="8" customFormat="false" ht="15" hidden="false" customHeight="false" outlineLevel="0" collapsed="false">
      <c r="A8" s="6" t="s">
        <v>168</v>
      </c>
      <c r="B8" s="34" t="n">
        <v>14000</v>
      </c>
      <c r="C8" s="34" t="n">
        <v>15200</v>
      </c>
      <c r="D8" s="34" t="n">
        <v>16200</v>
      </c>
      <c r="E8" s="23" t="n">
        <f aca="false">D8</f>
        <v>16200</v>
      </c>
      <c r="F8" s="23" t="n">
        <f aca="false">E8</f>
        <v>16200</v>
      </c>
      <c r="G8" s="23" t="n">
        <f aca="false">F8</f>
        <v>16200</v>
      </c>
      <c r="H8" s="23" t="n">
        <f aca="false">G8</f>
        <v>16200</v>
      </c>
      <c r="I8" s="23" t="n">
        <f aca="false">H8</f>
        <v>16200</v>
      </c>
    </row>
    <row r="9" customFormat="false" ht="15" hidden="false" customHeight="false" outlineLevel="0" collapsed="false">
      <c r="A9" s="6" t="s">
        <v>169</v>
      </c>
      <c r="B9" s="34" t="n">
        <v>38000</v>
      </c>
      <c r="C9" s="34" t="n">
        <v>39000</v>
      </c>
      <c r="D9" s="34" t="n">
        <v>40000</v>
      </c>
      <c r="E9" s="23" t="n">
        <f aca="false">D9</f>
        <v>40000</v>
      </c>
      <c r="F9" s="23" t="n">
        <f aca="false">E9</f>
        <v>40000</v>
      </c>
      <c r="G9" s="23" t="n">
        <f aca="false">F9</f>
        <v>40000</v>
      </c>
      <c r="H9" s="23" t="n">
        <f aca="false">G9</f>
        <v>40000</v>
      </c>
      <c r="I9" s="23" t="n">
        <f aca="false">H9</f>
        <v>40000</v>
      </c>
    </row>
    <row r="10" customFormat="false" ht="15" hidden="false" customHeight="false" outlineLevel="0" collapsed="false">
      <c r="A10" s="15" t="s">
        <v>170</v>
      </c>
      <c r="B10" s="24" t="n">
        <f aca="false">SUM(B4:B9)</f>
        <v>363880</v>
      </c>
      <c r="C10" s="24" t="n">
        <f aca="false">SUM(C4:C9)</f>
        <v>358294.68</v>
      </c>
      <c r="D10" s="24" t="n">
        <f aca="false">SUM(D4:D9)</f>
        <v>348313.04</v>
      </c>
      <c r="E10" s="24" t="n">
        <f aca="false">SUM(E4:E9)</f>
        <v>367452.407125</v>
      </c>
      <c r="F10" s="24" t="n">
        <f aca="false">SUM(F4:F9)</f>
        <v>388782.705288</v>
      </c>
      <c r="G10" s="24" t="n">
        <f aca="false">SUM(G4:G9)</f>
        <v>408947.169457</v>
      </c>
      <c r="H10" s="24" t="n">
        <f aca="false">SUM(H4:H9)</f>
        <v>430018.980007258</v>
      </c>
      <c r="I10" s="24" t="n">
        <f aca="false">SUM(I4:I9)</f>
        <v>451079.467884613</v>
      </c>
    </row>
    <row r="12" customFormat="false" ht="15" hidden="false" customHeight="false" outlineLevel="0" collapsed="false">
      <c r="A12" s="6" t="s">
        <v>171</v>
      </c>
      <c r="B12" s="34" t="n">
        <v>131500</v>
      </c>
      <c r="C12" s="34" t="n">
        <v>122754</v>
      </c>
      <c r="D12" s="34" t="n">
        <v>118842</v>
      </c>
      <c r="E12" s="23" t="n">
        <f aca="false">D12+'Income Statement'!E23-Assumptions!E58</f>
        <v>127207.500725</v>
      </c>
      <c r="F12" s="23" t="n">
        <f aca="false">E12+'Income Statement'!F23-Assumptions!F58</f>
        <v>140625.845256</v>
      </c>
      <c r="G12" s="23" t="n">
        <f aca="false">F12+'Income Statement'!G23-Assumptions!G58</f>
        <v>157883.80452388</v>
      </c>
      <c r="H12" s="23" t="n">
        <f aca="false">G12+'Income Statement'!H23-Assumptions!H58</f>
        <v>177623.64471153</v>
      </c>
      <c r="I12" s="23" t="n">
        <f aca="false">H12+'Income Statement'!I23-Assumptions!I58</f>
        <v>198140.485145742</v>
      </c>
    </row>
    <row r="13" customFormat="false" ht="15" hidden="false" customHeight="false" outlineLevel="0" collapsed="false">
      <c r="A13" s="6" t="s">
        <v>172</v>
      </c>
      <c r="B13" s="34" t="n">
        <v>78500</v>
      </c>
      <c r="C13" s="34" t="n">
        <v>74200</v>
      </c>
      <c r="D13" s="34" t="n">
        <v>69953</v>
      </c>
      <c r="E13" s="23" t="n">
        <f aca="false">D13-Assumptions!E59</f>
        <v>69953</v>
      </c>
      <c r="F13" s="23" t="n">
        <f aca="false">E13-Assumptions!F59</f>
        <v>69953</v>
      </c>
      <c r="G13" s="23" t="n">
        <f aca="false">F13-Assumptions!G59</f>
        <v>65953</v>
      </c>
      <c r="H13" s="23" t="n">
        <f aca="false">G13-Assumptions!H59</f>
        <v>60953</v>
      </c>
      <c r="I13" s="23" t="n">
        <f aca="false">H13-Assumptions!I59</f>
        <v>55953</v>
      </c>
    </row>
    <row r="14" customFormat="false" ht="15" hidden="false" customHeight="false" outlineLevel="0" collapsed="false">
      <c r="A14" s="6" t="s">
        <v>173</v>
      </c>
      <c r="B14" s="34" t="n">
        <v>34000</v>
      </c>
      <c r="C14" s="34" t="n">
        <v>36800</v>
      </c>
      <c r="D14" s="34" t="n">
        <v>39690</v>
      </c>
      <c r="E14" s="23" t="n">
        <f aca="false">D14</f>
        <v>39690</v>
      </c>
      <c r="F14" s="23" t="n">
        <f aca="false">E14</f>
        <v>39690</v>
      </c>
      <c r="G14" s="23" t="n">
        <f aca="false">F14</f>
        <v>39690</v>
      </c>
      <c r="H14" s="23" t="n">
        <f aca="false">G14</f>
        <v>39690</v>
      </c>
      <c r="I14" s="23" t="n">
        <f aca="false">H14</f>
        <v>39690</v>
      </c>
    </row>
    <row r="15" customFormat="false" ht="15" hidden="false" customHeight="false" outlineLevel="0" collapsed="false">
      <c r="A15" s="6" t="s">
        <v>67</v>
      </c>
      <c r="B15" s="26" t="n">
        <f aca="false">'Income Statement'!B7*Assumptions!$B$40</f>
        <v>77880</v>
      </c>
      <c r="C15" s="26" t="n">
        <f aca="false">'Income Statement'!C7*Assumptions!$B$40</f>
        <v>80540.68</v>
      </c>
      <c r="D15" s="26" t="n">
        <f aca="false">'Income Statement'!D7*Assumptions!$B$40</f>
        <v>73828.04</v>
      </c>
      <c r="E15" s="26" t="n">
        <f aca="false">'Income Statement'!E7*Assumptions!$B$40</f>
        <v>84601.9064</v>
      </c>
      <c r="F15" s="26" t="n">
        <f aca="false">'Income Statement'!F7*Assumptions!$B$40</f>
        <v>92513.860032</v>
      </c>
      <c r="G15" s="26" t="n">
        <f aca="false">'Income Statement'!G7*Assumptions!$B$40</f>
        <v>99420.36493312</v>
      </c>
      <c r="H15" s="26" t="n">
        <f aca="false">'Income Statement'!H7*Assumptions!$B$40</f>
        <v>105752.335295728</v>
      </c>
      <c r="I15" s="26" t="n">
        <f aca="false">'Income Statement'!I7*Assumptions!$B$40</f>
        <v>111295.982738871</v>
      </c>
    </row>
    <row r="16" customFormat="false" ht="15" hidden="false" customHeight="false" outlineLevel="0" collapsed="false">
      <c r="A16" s="6" t="s">
        <v>174</v>
      </c>
      <c r="B16" s="34" t="n">
        <v>42000</v>
      </c>
      <c r="C16" s="34" t="n">
        <v>44000</v>
      </c>
      <c r="D16" s="34" t="n">
        <v>46000</v>
      </c>
      <c r="E16" s="23" t="n">
        <f aca="false">D16</f>
        <v>46000</v>
      </c>
      <c r="F16" s="23" t="n">
        <f aca="false">E16</f>
        <v>46000</v>
      </c>
      <c r="G16" s="23" t="n">
        <f aca="false">F16</f>
        <v>46000</v>
      </c>
      <c r="H16" s="23" t="n">
        <f aca="false">G16</f>
        <v>46000</v>
      </c>
      <c r="I16" s="23" t="n">
        <f aca="false">H16</f>
        <v>46000</v>
      </c>
    </row>
    <row r="17" customFormat="false" ht="15" hidden="false" customHeight="false" outlineLevel="0" collapsed="false">
      <c r="A17" s="15" t="s">
        <v>175</v>
      </c>
      <c r="B17" s="24" t="n">
        <f aca="false">B12+B13+B14+B15+B16</f>
        <v>363880</v>
      </c>
      <c r="C17" s="24" t="n">
        <f aca="false">C12+C13+C14+C15+C16</f>
        <v>358294.68</v>
      </c>
      <c r="D17" s="24" t="n">
        <f aca="false">D12+D13+D14+D15+D16</f>
        <v>348313.04</v>
      </c>
      <c r="E17" s="24" t="n">
        <f aca="false">E12+E13+E14+E15+E16</f>
        <v>367452.407125</v>
      </c>
      <c r="F17" s="24" t="n">
        <f aca="false">F12+F13+F14+F15+F16</f>
        <v>388782.705288</v>
      </c>
      <c r="G17" s="24" t="n">
        <f aca="false">G12+G13+G14+G15+G16</f>
        <v>408947.169457</v>
      </c>
      <c r="H17" s="24" t="n">
        <f aca="false">H12+H13+H14+H15+H16</f>
        <v>430018.980007258</v>
      </c>
      <c r="I17" s="24" t="n">
        <f aca="false">I12+I13+I14+I15+I16</f>
        <v>451079.467884613</v>
      </c>
    </row>
    <row r="19" customFormat="false" ht="15" hidden="false" customHeight="false" outlineLevel="0" collapsed="false">
      <c r="A19" s="6" t="s">
        <v>176</v>
      </c>
      <c r="B19" s="23" t="n">
        <f aca="false">B10-B17</f>
        <v>0</v>
      </c>
      <c r="C19" s="23" t="n">
        <f aca="false">C10-C17</f>
        <v>0</v>
      </c>
      <c r="D19" s="23" t="n">
        <f aca="false">D10-D17</f>
        <v>0</v>
      </c>
      <c r="E19" s="23" t="n">
        <f aca="false">E10-E17</f>
        <v>0</v>
      </c>
      <c r="F19" s="23" t="n">
        <f aca="false">F10-F17</f>
        <v>0</v>
      </c>
      <c r="G19" s="23" t="n">
        <f aca="false">G10-G17</f>
        <v>0</v>
      </c>
      <c r="H19" s="23" t="n">
        <f aca="false">H10-H17</f>
        <v>0</v>
      </c>
      <c r="I19" s="23" t="n">
        <f aca="false">I10-I17</f>
        <v>0</v>
      </c>
    </row>
    <row r="20" customFormat="false" ht="15" hidden="false" customHeight="false" outlineLevel="0" collapsed="false">
      <c r="A20" s="6" t="s">
        <v>177</v>
      </c>
      <c r="B20" s="23" t="n">
        <f aca="false">B13-B7-B8</f>
        <v>37000</v>
      </c>
      <c r="C20" s="23" t="n">
        <f aca="false">C13-C7-C8</f>
        <v>34400</v>
      </c>
      <c r="D20" s="23" t="n">
        <f aca="false">D13-D7-D8</f>
        <v>30873</v>
      </c>
      <c r="E20" s="23" t="n">
        <f aca="false">E13-E7-E8</f>
        <v>39357.022675</v>
      </c>
      <c r="F20" s="23" t="n">
        <f aca="false">F13-F7-F8</f>
        <v>40230.7306816</v>
      </c>
      <c r="G20" s="23" t="n">
        <f aca="false">G13-G7-G8</f>
        <v>32021.501679832</v>
      </c>
      <c r="H20" s="23" t="n">
        <f aca="false">H13-H7-H8</f>
        <v>18285.6549677372</v>
      </c>
      <c r="I20" s="23" t="n">
        <f aca="false">I13-I7-I8</f>
        <v>1968.38217133265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9" min="5" style="0" width="12"/>
  </cols>
  <sheetData>
    <row r="1" customFormat="false" ht="17.35" hidden="false" customHeight="false" outlineLevel="0" collapsed="false">
      <c r="A1" s="1" t="s">
        <v>178</v>
      </c>
    </row>
    <row r="2" customFormat="false" ht="15" hidden="false" customHeight="false" outlineLevel="0" collapsed="false">
      <c r="A2" s="2" t="s">
        <v>179</v>
      </c>
    </row>
    <row r="3" customFormat="false" ht="15" hidden="false" customHeight="false" outlineLevel="0" collapsed="false">
      <c r="A3" s="4"/>
      <c r="B3" s="5" t="s">
        <v>73</v>
      </c>
      <c r="C3" s="5" t="s">
        <v>74</v>
      </c>
      <c r="D3" s="5" t="s">
        <v>75</v>
      </c>
      <c r="E3" s="5" t="s">
        <v>76</v>
      </c>
      <c r="F3" s="5" t="s">
        <v>77</v>
      </c>
    </row>
    <row r="4" customFormat="false" ht="15" hidden="false" customHeight="false" outlineLevel="0" collapsed="false">
      <c r="A4" s="6" t="s">
        <v>162</v>
      </c>
      <c r="E4" s="26" t="n">
        <f aca="false">'Income Statement'!E23</f>
        <v>10565.500725</v>
      </c>
      <c r="F4" s="26" t="n">
        <f aca="false">'Income Statement'!F23</f>
        <v>16018.344531</v>
      </c>
      <c r="G4" s="26" t="n">
        <f aca="false">'Income Statement'!G23</f>
        <v>20457.95926788</v>
      </c>
      <c r="H4" s="26" t="n">
        <f aca="false">'Income Statement'!H23</f>
        <v>23739.84018765</v>
      </c>
      <c r="I4" s="26" t="n">
        <f aca="false">'Income Statement'!I23</f>
        <v>25516.8404342117</v>
      </c>
    </row>
    <row r="5" customFormat="false" ht="15" hidden="false" customHeight="false" outlineLevel="0" collapsed="false">
      <c r="A5" s="6" t="s">
        <v>134</v>
      </c>
      <c r="E5" s="26" t="n">
        <f aca="false">'Income Statement'!E13</f>
        <v>21150.4766</v>
      </c>
      <c r="F5" s="26" t="n">
        <f aca="false">'Income Statement'!F13</f>
        <v>22707.9474624</v>
      </c>
      <c r="G5" s="26" t="n">
        <f aca="false">'Income Statement'!G13</f>
        <v>23951.269733888</v>
      </c>
      <c r="H5" s="26" t="n">
        <f aca="false">'Income Statement'!H13</f>
        <v>24996.0065244448</v>
      </c>
      <c r="I5" s="26" t="n">
        <f aca="false">'Income Statement'!I13</f>
        <v>25800.4323621928</v>
      </c>
    </row>
    <row r="6" customFormat="false" ht="15" hidden="false" customHeight="false" outlineLevel="0" collapsed="false">
      <c r="A6" s="6" t="s">
        <v>180</v>
      </c>
      <c r="E6" s="26" t="n">
        <f aca="false">-(('Balance Sheet'!E5+'Balance Sheet'!E6-'Balance Sheet'!E15)-('Balance Sheet'!D5+'Balance Sheet'!D6-'Balance Sheet'!D15))</f>
        <v>-0</v>
      </c>
      <c r="F6" s="26" t="n">
        <f aca="false">-(('Balance Sheet'!F5+'Balance Sheet'!F6-'Balance Sheet'!F15)-('Balance Sheet'!E5+'Balance Sheet'!E6-'Balance Sheet'!E15))</f>
        <v>-0</v>
      </c>
      <c r="G6" s="26" t="n">
        <f aca="false">-(('Balance Sheet'!G5+'Balance Sheet'!G6-'Balance Sheet'!G15)-('Balance Sheet'!F5+'Balance Sheet'!F6-'Balance Sheet'!F15))</f>
        <v>-0</v>
      </c>
      <c r="H6" s="26" t="n">
        <f aca="false">-(('Balance Sheet'!H5+'Balance Sheet'!H6-'Balance Sheet'!H15)-('Balance Sheet'!G5+'Balance Sheet'!G6-'Balance Sheet'!G15))</f>
        <v>-0</v>
      </c>
      <c r="I6" s="26" t="n">
        <f aca="false">-(('Balance Sheet'!I5+'Balance Sheet'!I6-'Balance Sheet'!I15)-('Balance Sheet'!H5+'Balance Sheet'!H6-'Balance Sheet'!H15))</f>
        <v>-0</v>
      </c>
    </row>
    <row r="7" customFormat="false" ht="15" hidden="false" customHeight="false" outlineLevel="0" collapsed="false">
      <c r="A7" s="15" t="s">
        <v>181</v>
      </c>
      <c r="E7" s="24" t="n">
        <f aca="false">E4+E5+E6</f>
        <v>31715.977325</v>
      </c>
      <c r="F7" s="24" t="n">
        <f aca="false">F4+F5+F6</f>
        <v>38726.2919934</v>
      </c>
      <c r="G7" s="24" t="n">
        <f aca="false">G4+G5+G6</f>
        <v>44409.229001768</v>
      </c>
      <c r="H7" s="24" t="n">
        <f aca="false">H4+H5+H6</f>
        <v>48735.8467120948</v>
      </c>
      <c r="I7" s="24" t="n">
        <f aca="false">I4+I5+I6</f>
        <v>51317.2727964045</v>
      </c>
    </row>
    <row r="8" customFormat="false" ht="15" hidden="false" customHeight="false" outlineLevel="0" collapsed="false">
      <c r="A8" s="6" t="s">
        <v>135</v>
      </c>
      <c r="E8" s="26" t="n">
        <f aca="false">-Assumptions!E57</f>
        <v>-38000</v>
      </c>
      <c r="F8" s="26" t="n">
        <f aca="false">-Assumptions!F57</f>
        <v>-37000</v>
      </c>
      <c r="G8" s="26" t="n">
        <f aca="false">-Assumptions!G57</f>
        <v>-33000</v>
      </c>
      <c r="H8" s="26" t="n">
        <f aca="false">-Assumptions!H57</f>
        <v>-31000</v>
      </c>
      <c r="I8" s="26" t="n">
        <f aca="false">-Assumptions!I57</f>
        <v>-30000</v>
      </c>
    </row>
    <row r="9" customFormat="false" ht="15" hidden="false" customHeight="false" outlineLevel="0" collapsed="false">
      <c r="A9" s="15" t="s">
        <v>182</v>
      </c>
      <c r="E9" s="24" t="n">
        <f aca="false">E7+E8</f>
        <v>-6284.022675</v>
      </c>
      <c r="F9" s="24" t="n">
        <f aca="false">F7+F8</f>
        <v>1726.29199340001</v>
      </c>
      <c r="G9" s="24" t="n">
        <f aca="false">G7+G8</f>
        <v>11409.229001768</v>
      </c>
      <c r="H9" s="24" t="n">
        <f aca="false">H7+H8</f>
        <v>17735.8467120948</v>
      </c>
      <c r="I9" s="24" t="n">
        <f aca="false">I7+I8</f>
        <v>21317.2727964045</v>
      </c>
    </row>
    <row r="10" customFormat="false" ht="15" hidden="false" customHeight="false" outlineLevel="0" collapsed="false">
      <c r="A10" s="6" t="s">
        <v>183</v>
      </c>
      <c r="E10" s="26" t="n">
        <f aca="false">-Assumptions!E58</f>
        <v>-2200</v>
      </c>
      <c r="F10" s="26" t="n">
        <f aca="false">-Assumptions!F58</f>
        <v>-2600</v>
      </c>
      <c r="G10" s="26" t="n">
        <f aca="false">-Assumptions!G58</f>
        <v>-3200</v>
      </c>
      <c r="H10" s="26" t="n">
        <f aca="false">-Assumptions!H58</f>
        <v>-4000</v>
      </c>
      <c r="I10" s="26" t="n">
        <f aca="false">-Assumptions!I58</f>
        <v>-5000</v>
      </c>
    </row>
    <row r="11" customFormat="false" ht="15" hidden="false" customHeight="false" outlineLevel="0" collapsed="false">
      <c r="A11" s="6" t="s">
        <v>184</v>
      </c>
      <c r="E11" s="26" t="n">
        <f aca="false">-Assumptions!E59</f>
        <v>-0</v>
      </c>
      <c r="F11" s="26" t="n">
        <f aca="false">-Assumptions!F59</f>
        <v>-0</v>
      </c>
      <c r="G11" s="26" t="n">
        <f aca="false">-Assumptions!G59</f>
        <v>-4000</v>
      </c>
      <c r="H11" s="26" t="n">
        <f aca="false">-Assumptions!H59</f>
        <v>-5000</v>
      </c>
      <c r="I11" s="26" t="n">
        <f aca="false">-Assumptions!I59</f>
        <v>-5000</v>
      </c>
    </row>
    <row r="12" customFormat="false" ht="15" hidden="false" customHeight="false" outlineLevel="0" collapsed="false">
      <c r="A12" s="15" t="s">
        <v>185</v>
      </c>
      <c r="E12" s="24" t="n">
        <f aca="false">E9+E10+E11</f>
        <v>-8484.022675</v>
      </c>
      <c r="F12" s="24" t="n">
        <f aca="false">F9+F10+F11</f>
        <v>-873.708006599991</v>
      </c>
      <c r="G12" s="24" t="n">
        <f aca="false">G9+G10+G11</f>
        <v>4209.22900176801</v>
      </c>
      <c r="H12" s="24" t="n">
        <f aca="false">H9+H10+H11</f>
        <v>8735.84671209481</v>
      </c>
      <c r="I12" s="24" t="n">
        <f aca="false">I9+I10+I11</f>
        <v>11317.2727964045</v>
      </c>
    </row>
    <row r="13" customFormat="false" ht="15" hidden="false" customHeight="false" outlineLevel="0" collapsed="false">
      <c r="A13" s="6" t="s">
        <v>186</v>
      </c>
      <c r="E13" s="26" t="n">
        <f aca="false">'Balance Sheet'!D7</f>
        <v>22880</v>
      </c>
      <c r="F13" s="26" t="n">
        <f aca="false">'Balance Sheet'!E7</f>
        <v>14395.977325</v>
      </c>
      <c r="G13" s="26" t="n">
        <f aca="false">'Balance Sheet'!F7</f>
        <v>13522.2693184</v>
      </c>
      <c r="H13" s="26" t="n">
        <f aca="false">'Balance Sheet'!G7</f>
        <v>17731.498320168</v>
      </c>
      <c r="I13" s="26" t="n">
        <f aca="false">'Balance Sheet'!H7</f>
        <v>26467.3450322628</v>
      </c>
    </row>
    <row r="14" customFormat="false" ht="15" hidden="false" customHeight="false" outlineLevel="0" collapsed="false">
      <c r="A14" s="15" t="s">
        <v>187</v>
      </c>
      <c r="E14" s="24" t="n">
        <f aca="false">E13+E12</f>
        <v>14395.977325</v>
      </c>
      <c r="F14" s="24" t="n">
        <f aca="false">F13+F12</f>
        <v>13522.2693184</v>
      </c>
      <c r="G14" s="24" t="n">
        <f aca="false">G13+G12</f>
        <v>17731.498320168</v>
      </c>
      <c r="H14" s="24" t="n">
        <f aca="false">H13+H12</f>
        <v>26467.3450322628</v>
      </c>
      <c r="I14" s="24" t="n">
        <f aca="false">I13+I12</f>
        <v>37784.6178286674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1" t="s">
        <v>188</v>
      </c>
    </row>
    <row r="2" customFormat="false" ht="15" hidden="false" customHeight="false" outlineLevel="0" collapsed="false">
      <c r="A2" s="2" t="s">
        <v>189</v>
      </c>
    </row>
    <row r="3" customFormat="false" ht="15" hidden="false" customHeight="false" outlineLevel="0" collapsed="false">
      <c r="A3" s="4"/>
      <c r="B3" s="5" t="s">
        <v>113</v>
      </c>
      <c r="C3" s="5" t="s">
        <v>114</v>
      </c>
      <c r="D3" s="5" t="s">
        <v>115</v>
      </c>
      <c r="E3" s="5" t="s">
        <v>73</v>
      </c>
      <c r="F3" s="5" t="s">
        <v>74</v>
      </c>
      <c r="G3" s="5" t="s">
        <v>75</v>
      </c>
      <c r="H3" s="5" t="s">
        <v>76</v>
      </c>
      <c r="I3" s="5" t="s">
        <v>77</v>
      </c>
    </row>
    <row r="4" customFormat="false" ht="15" hidden="false" customHeight="false" outlineLevel="0" collapsed="false">
      <c r="A4" s="6" t="s">
        <v>190</v>
      </c>
      <c r="B4" s="26" t="n">
        <f aca="false">'Income Statement'!B7</f>
        <v>354000</v>
      </c>
      <c r="C4" s="26" t="n">
        <f aca="false">'Income Statement'!C7</f>
        <v>366094</v>
      </c>
      <c r="D4" s="26" t="n">
        <f aca="false">'Income Statement'!D7</f>
        <v>335582</v>
      </c>
      <c r="E4" s="26" t="n">
        <f aca="false">'Income Statement'!E7</f>
        <v>384554.12</v>
      </c>
      <c r="F4" s="26" t="n">
        <f aca="false">'Income Statement'!F7</f>
        <v>420517.5456</v>
      </c>
      <c r="G4" s="26" t="n">
        <f aca="false">'Income Statement'!G7</f>
        <v>451910.749696</v>
      </c>
      <c r="H4" s="26" t="n">
        <f aca="false">'Income Statement'!H7</f>
        <v>480692.4331624</v>
      </c>
      <c r="I4" s="26" t="n">
        <f aca="false">'Income Statement'!I7</f>
        <v>505890.830631232</v>
      </c>
    </row>
    <row r="5" customFormat="false" ht="15" hidden="false" customHeight="false" outlineLevel="0" collapsed="false">
      <c r="A5" s="6" t="s">
        <v>153</v>
      </c>
      <c r="B5" s="26" t="n">
        <f aca="false">'Income Statement'!B14</f>
        <v>48032</v>
      </c>
      <c r="C5" s="26" t="n">
        <f aca="false">'Income Statement'!C14</f>
        <v>47135</v>
      </c>
      <c r="D5" s="26" t="n">
        <f aca="false">'Income Statement'!D14</f>
        <v>22820</v>
      </c>
      <c r="E5" s="26" t="n">
        <f aca="false">'Income Statement'!E14</f>
        <v>35337.8109</v>
      </c>
      <c r="F5" s="26" t="n">
        <f aca="false">'Income Statement'!F14</f>
        <v>43615.7401704</v>
      </c>
      <c r="G5" s="26" t="n">
        <f aca="false">'Income Statement'!G14</f>
        <v>50328.548757728</v>
      </c>
      <c r="H5" s="26" t="n">
        <f aca="false">'Income Statement'!H14</f>
        <v>55299.1267746448</v>
      </c>
      <c r="I5" s="26" t="n">
        <f aca="false">'Income Statement'!I14</f>
        <v>58122.8862744751</v>
      </c>
    </row>
    <row r="6" customFormat="false" ht="15" hidden="false" customHeight="false" outlineLevel="0" collapsed="false">
      <c r="A6" s="6" t="s">
        <v>132</v>
      </c>
      <c r="B6" s="26" t="n">
        <f aca="false">'Income Statement'!B12</f>
        <v>24432</v>
      </c>
      <c r="C6" s="26" t="n">
        <f aca="false">'Income Statement'!C12</f>
        <v>23235</v>
      </c>
      <c r="D6" s="26" t="n">
        <f aca="false">'Income Statement'!D12</f>
        <v>3690</v>
      </c>
      <c r="E6" s="26" t="n">
        <f aca="false">'Income Statement'!E12</f>
        <v>14187.3343</v>
      </c>
      <c r="F6" s="26" t="n">
        <f aca="false">'Income Statement'!F12</f>
        <v>20907.792708</v>
      </c>
      <c r="G6" s="26" t="n">
        <f aca="false">'Income Statement'!G12</f>
        <v>26377.27902384</v>
      </c>
      <c r="H6" s="26" t="n">
        <f aca="false">'Income Statement'!H12</f>
        <v>30303.1202502</v>
      </c>
      <c r="I6" s="26" t="n">
        <f aca="false">'Income Statement'!I12</f>
        <v>32322.4539122823</v>
      </c>
    </row>
    <row r="7" customFormat="false" ht="15" hidden="false" customHeight="false" outlineLevel="0" collapsed="false">
      <c r="A7" s="6" t="s">
        <v>162</v>
      </c>
      <c r="B7" s="26" t="n">
        <f aca="false">'Income Statement'!B23</f>
        <v>17514.75</v>
      </c>
      <c r="C7" s="26" t="n">
        <f aca="false">'Income Statement'!C23</f>
        <v>19394</v>
      </c>
      <c r="D7" s="26" t="n">
        <f aca="false">'Income Statement'!D23</f>
        <v>-1377</v>
      </c>
      <c r="E7" s="26" t="n">
        <f aca="false">'Income Statement'!E23</f>
        <v>10565.500725</v>
      </c>
      <c r="F7" s="26" t="n">
        <f aca="false">'Income Statement'!F23</f>
        <v>16018.344531</v>
      </c>
      <c r="G7" s="26" t="n">
        <f aca="false">'Income Statement'!G23</f>
        <v>20457.95926788</v>
      </c>
      <c r="H7" s="26" t="n">
        <f aca="false">'Income Statement'!H23</f>
        <v>23739.84018765</v>
      </c>
      <c r="I7" s="26" t="n">
        <f aca="false">'Income Statement'!I23</f>
        <v>25516.8404342117</v>
      </c>
    </row>
    <row r="8" customFormat="false" ht="15" hidden="false" customHeight="false" outlineLevel="0" collapsed="false">
      <c r="A8" s="6" t="s">
        <v>170</v>
      </c>
      <c r="B8" s="26" t="n">
        <f aca="false">'Balance Sheet'!B10</f>
        <v>363880</v>
      </c>
      <c r="C8" s="26" t="n">
        <f aca="false">'Balance Sheet'!C10</f>
        <v>358294.68</v>
      </c>
      <c r="D8" s="26" t="n">
        <f aca="false">'Balance Sheet'!D10</f>
        <v>348313.04</v>
      </c>
      <c r="E8" s="26" t="n">
        <f aca="false">'Balance Sheet'!E10</f>
        <v>367452.407125</v>
      </c>
      <c r="F8" s="26" t="n">
        <f aca="false">'Balance Sheet'!F10</f>
        <v>388782.705288</v>
      </c>
      <c r="G8" s="26" t="n">
        <f aca="false">'Balance Sheet'!G10</f>
        <v>408947.169457</v>
      </c>
      <c r="H8" s="26" t="n">
        <f aca="false">'Balance Sheet'!H10</f>
        <v>430018.980007258</v>
      </c>
      <c r="I8" s="26" t="n">
        <f aca="false">'Balance Sheet'!I10</f>
        <v>451079.467884613</v>
      </c>
    </row>
    <row r="9" customFormat="false" ht="15" hidden="false" customHeight="false" outlineLevel="0" collapsed="false">
      <c r="A9" s="6" t="s">
        <v>171</v>
      </c>
      <c r="B9" s="26" t="n">
        <f aca="false">'Balance Sheet'!B12</f>
        <v>131500</v>
      </c>
      <c r="C9" s="26" t="n">
        <f aca="false">'Balance Sheet'!C12</f>
        <v>122754</v>
      </c>
      <c r="D9" s="26" t="n">
        <f aca="false">'Balance Sheet'!D12</f>
        <v>118842</v>
      </c>
      <c r="E9" s="26" t="n">
        <f aca="false">'Balance Sheet'!E12</f>
        <v>127207.500725</v>
      </c>
      <c r="F9" s="26" t="n">
        <f aca="false">'Balance Sheet'!F12</f>
        <v>140625.845256</v>
      </c>
      <c r="G9" s="26" t="n">
        <f aca="false">'Balance Sheet'!G12</f>
        <v>157883.80452388</v>
      </c>
      <c r="H9" s="26" t="n">
        <f aca="false">'Balance Sheet'!H12</f>
        <v>177623.64471153</v>
      </c>
      <c r="I9" s="26" t="n">
        <f aca="false">'Balance Sheet'!I12</f>
        <v>198140.485145742</v>
      </c>
    </row>
    <row r="10" customFormat="false" ht="15" hidden="false" customHeight="false" outlineLevel="0" collapsed="false">
      <c r="A10" s="6" t="s">
        <v>177</v>
      </c>
      <c r="B10" s="26" t="n">
        <f aca="false">'Balance Sheet'!B20</f>
        <v>37000</v>
      </c>
      <c r="C10" s="26" t="n">
        <f aca="false">'Balance Sheet'!C20</f>
        <v>34400</v>
      </c>
      <c r="D10" s="26" t="n">
        <f aca="false">'Balance Sheet'!D20</f>
        <v>30873</v>
      </c>
      <c r="E10" s="26" t="n">
        <f aca="false">'Balance Sheet'!E20</f>
        <v>39357.022675</v>
      </c>
      <c r="F10" s="26" t="n">
        <f aca="false">'Balance Sheet'!F20</f>
        <v>40230.7306816</v>
      </c>
      <c r="G10" s="26" t="n">
        <f aca="false">'Balance Sheet'!G20</f>
        <v>32021.501679832</v>
      </c>
      <c r="H10" s="26" t="n">
        <f aca="false">'Balance Sheet'!H20</f>
        <v>18285.6549677372</v>
      </c>
      <c r="I10" s="26" t="n">
        <f aca="false">'Balance Sheet'!I20</f>
        <v>1968.38217133265</v>
      </c>
    </row>
    <row r="11" customFormat="false" ht="15" hidden="false" customHeight="false" outlineLevel="0" collapsed="false">
      <c r="A11" s="6" t="s">
        <v>182</v>
      </c>
      <c r="E11" s="26" t="n">
        <f aca="false">'Cash Flow'!E9</f>
        <v>-6284.022675</v>
      </c>
      <c r="F11" s="26" t="n">
        <f aca="false">'Cash Flow'!F9</f>
        <v>1726.29199340001</v>
      </c>
      <c r="G11" s="26" t="n">
        <f aca="false">'Cash Flow'!G9</f>
        <v>11409.229001768</v>
      </c>
      <c r="H11" s="26" t="n">
        <f aca="false">'Cash Flow'!H9</f>
        <v>17735.8467120948</v>
      </c>
      <c r="I11" s="26" t="n">
        <f aca="false">'Cash Flow'!I9</f>
        <v>21317.2727964045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6" min="2" style="0" width="11"/>
  </cols>
  <sheetData>
    <row r="1" customFormat="false" ht="17.35" hidden="false" customHeight="false" outlineLevel="0" collapsed="false">
      <c r="A1" s="1" t="s">
        <v>191</v>
      </c>
    </row>
    <row r="2" customFormat="false" ht="15" hidden="false" customHeight="false" outlineLevel="0" collapsed="false">
      <c r="A2" s="2" t="s">
        <v>192</v>
      </c>
    </row>
    <row r="3" customFormat="false" ht="15" hidden="false" customHeight="false" outlineLevel="0" collapsed="false">
      <c r="A3" s="17" t="s">
        <v>193</v>
      </c>
    </row>
    <row r="4" customFormat="false" ht="15" hidden="false" customHeight="false" outlineLevel="0" collapsed="false">
      <c r="A4" s="5" t="s">
        <v>194</v>
      </c>
      <c r="B4" s="5" t="s">
        <v>195</v>
      </c>
      <c r="C4" s="5" t="s">
        <v>196</v>
      </c>
      <c r="D4" s="5" t="s">
        <v>197</v>
      </c>
      <c r="E4" s="5" t="s">
        <v>198</v>
      </c>
      <c r="F4" s="5" t="s">
        <v>199</v>
      </c>
    </row>
    <row r="5" customFormat="false" ht="15" hidden="false" customHeight="false" outlineLevel="0" collapsed="false">
      <c r="A5" s="6" t="s">
        <v>200</v>
      </c>
      <c r="B5" s="7" t="n">
        <v>294</v>
      </c>
      <c r="C5" s="7" t="n">
        <v>327</v>
      </c>
      <c r="D5" s="7" t="n">
        <v>353</v>
      </c>
      <c r="E5" s="7" t="n">
        <v>379</v>
      </c>
      <c r="F5" s="7" t="n">
        <v>422</v>
      </c>
    </row>
    <row r="6" customFormat="false" ht="15" hidden="false" customHeight="false" outlineLevel="0" collapsed="false">
      <c r="A6" s="6" t="s">
        <v>201</v>
      </c>
      <c r="B6" s="7" t="n">
        <v>258</v>
      </c>
      <c r="C6" s="7" t="n">
        <v>310</v>
      </c>
      <c r="D6" s="7" t="n">
        <v>352</v>
      </c>
      <c r="E6" s="7" t="n">
        <v>400</v>
      </c>
      <c r="F6" s="7" t="n">
        <v>481</v>
      </c>
    </row>
    <row r="8" customFormat="false" ht="15" hidden="false" customHeight="false" outlineLevel="0" collapsed="false">
      <c r="A8" s="3" t="s">
        <v>202</v>
      </c>
      <c r="D8" s="35" t="n">
        <f aca="false">Assumptions!$B$43</f>
        <v>0.354012351990438</v>
      </c>
    </row>
    <row r="9" customFormat="false" ht="15" hidden="false" customHeight="false" outlineLevel="0" collapsed="false">
      <c r="A9" s="3" t="s">
        <v>203</v>
      </c>
      <c r="D9" s="35" t="n">
        <f aca="false">Assumptions!$B$44</f>
        <v>0.01785</v>
      </c>
    </row>
    <row r="10" customFormat="false" ht="15" hidden="false" customHeight="false" outlineLevel="0" collapsed="false">
      <c r="A10" s="3" t="s">
        <v>204</v>
      </c>
      <c r="D10" s="36" t="n">
        <f aca="false">Assumptions!$B$45</f>
        <v>1.15</v>
      </c>
    </row>
    <row r="12" customFormat="false" ht="15" hidden="false" customHeight="false" outlineLevel="0" collapsed="false">
      <c r="A12" s="17" t="s">
        <v>205</v>
      </c>
    </row>
    <row r="13" customFormat="false" ht="15" hidden="false" customHeight="false" outlineLevel="0" collapsed="false">
      <c r="A13" s="5" t="s">
        <v>206</v>
      </c>
      <c r="B13" s="5" t="s">
        <v>207</v>
      </c>
      <c r="C13" s="5" t="s">
        <v>208</v>
      </c>
    </row>
    <row r="14" customFormat="false" ht="15" hidden="false" customHeight="false" outlineLevel="0" collapsed="false">
      <c r="A14" s="7" t="n">
        <v>420</v>
      </c>
      <c r="B14" s="37" t="n">
        <v>0.084</v>
      </c>
      <c r="C14" s="37" t="n">
        <v>0.315</v>
      </c>
    </row>
    <row r="15" customFormat="false" ht="15" hidden="false" customHeight="false" outlineLevel="0" collapsed="false">
      <c r="A15" s="7" t="n">
        <v>400</v>
      </c>
      <c r="B15" s="37" t="n">
        <v>0.197</v>
      </c>
      <c r="C15" s="37" t="n">
        <v>0.456</v>
      </c>
    </row>
    <row r="16" customFormat="false" ht="15" hidden="false" customHeight="false" outlineLevel="0" collapsed="false">
      <c r="A16" s="7" t="n">
        <v>380</v>
      </c>
      <c r="B16" s="37" t="n">
        <v>0.406</v>
      </c>
      <c r="C16" s="37" t="n">
        <v>0.632</v>
      </c>
    </row>
    <row r="17" customFormat="false" ht="15" hidden="false" customHeight="false" outlineLevel="0" collapsed="false">
      <c r="A17" s="7" t="n">
        <v>360</v>
      </c>
      <c r="B17" s="37" t="n">
        <v>0.74</v>
      </c>
      <c r="C17" s="37" t="n">
        <v>0.849</v>
      </c>
    </row>
    <row r="18" customFormat="false" ht="15" hidden="false" customHeight="false" outlineLevel="0" collapsed="false">
      <c r="A18" s="7" t="n">
        <v>340</v>
      </c>
      <c r="B18" s="37" t="n">
        <v>0.645</v>
      </c>
      <c r="C18" s="37" t="n">
        <v>0.79</v>
      </c>
    </row>
    <row r="19" customFormat="false" ht="15" hidden="false" customHeight="false" outlineLevel="0" collapsed="false">
      <c r="A19" s="7" t="n">
        <v>320</v>
      </c>
      <c r="B19" s="37" t="n">
        <v>0.312</v>
      </c>
      <c r="C19" s="37" t="n">
        <v>0.559</v>
      </c>
    </row>
    <row r="20" customFormat="false" ht="15" hidden="false" customHeight="false" outlineLevel="0" collapsed="false">
      <c r="A20" s="7" t="n">
        <v>300</v>
      </c>
      <c r="B20" s="37" t="n">
        <v>0.112</v>
      </c>
      <c r="C20" s="37" t="n">
        <v>0.356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7" min="2" style="0" width="10"/>
  </cols>
  <sheetData>
    <row r="1" customFormat="false" ht="17.35" hidden="false" customHeight="false" outlineLevel="0" collapsed="false">
      <c r="A1" s="1" t="s">
        <v>209</v>
      </c>
    </row>
    <row r="2" customFormat="false" ht="15" hidden="false" customHeight="false" outlineLevel="0" collapsed="false">
      <c r="A2" s="2" t="s">
        <v>210</v>
      </c>
    </row>
    <row r="4" customFormat="false" ht="15" hidden="false" customHeight="false" outlineLevel="0" collapsed="false">
      <c r="A4" s="15" t="s">
        <v>211</v>
      </c>
      <c r="B4" s="38" t="n">
        <v>2.5</v>
      </c>
      <c r="C4" s="38" t="n">
        <v>2.75</v>
      </c>
      <c r="D4" s="38" t="n">
        <v>3</v>
      </c>
      <c r="E4" s="38" t="n">
        <v>3.25</v>
      </c>
      <c r="F4" s="38" t="n">
        <v>3.5</v>
      </c>
      <c r="G4" s="38" t="n">
        <v>3.75</v>
      </c>
    </row>
    <row r="5" customFormat="false" ht="15" hidden="false" customHeight="false" outlineLevel="0" collapsed="false">
      <c r="A5" s="37" t="n">
        <v>0.1</v>
      </c>
      <c r="B5" s="39" t="n">
        <f aca="false">((Assumptions!$B$14*$A5*B$4*Assumptions!$B$6*100)+Assumptions!$B$18*Assumptions!$B$19+Assumptions!$B$20+Assumptions!$B$21-Assumptions!$B$8)*(1-Assumptions!$B$22)/Assumptions!$B$5</f>
        <v>290.204491757869</v>
      </c>
      <c r="C5" s="39" t="n">
        <f aca="false">((Assumptions!$B$14*$A5*C$4*Assumptions!$B$6*100)+Assumptions!$B$18*Assumptions!$B$19+Assumptions!$B$20+Assumptions!$B$21-Assumptions!$B$8)*(1-Assumptions!$B$22)/Assumptions!$B$5</f>
        <v>310.402465850148</v>
      </c>
      <c r="D5" s="39" t="n">
        <f aca="false">((Assumptions!$B$14*$A5*D$4*Assumptions!$B$6*100)+Assumptions!$B$18*Assumptions!$B$19+Assumptions!$B$20+Assumptions!$B$21-Assumptions!$B$8)*(1-Assumptions!$B$22)/Assumptions!$B$5</f>
        <v>330.600439942427</v>
      </c>
      <c r="E5" s="39" t="n">
        <f aca="false">((Assumptions!$B$14*$A5*E$4*Assumptions!$B$6*100)+Assumptions!$B$18*Assumptions!$B$19+Assumptions!$B$20+Assumptions!$B$21-Assumptions!$B$8)*(1-Assumptions!$B$22)/Assumptions!$B$5</f>
        <v>350.798414034707</v>
      </c>
      <c r="F5" s="39" t="n">
        <f aca="false">((Assumptions!$B$14*$A5*F$4*Assumptions!$B$6*100)+Assumptions!$B$18*Assumptions!$B$19+Assumptions!$B$20+Assumptions!$B$21-Assumptions!$B$8)*(1-Assumptions!$B$22)/Assumptions!$B$5</f>
        <v>370.996388126986</v>
      </c>
      <c r="G5" s="39" t="n">
        <f aca="false">((Assumptions!$B$14*$A5*G$4*Assumptions!$B$6*100)+Assumptions!$B$18*Assumptions!$B$19+Assumptions!$B$20+Assumptions!$B$21-Assumptions!$B$8)*(1-Assumptions!$B$22)/Assumptions!$B$5</f>
        <v>391.194362219265</v>
      </c>
    </row>
    <row r="6" customFormat="false" ht="15" hidden="false" customHeight="false" outlineLevel="0" collapsed="false">
      <c r="A6" s="37" t="n">
        <v>0.11</v>
      </c>
      <c r="B6" s="39" t="n">
        <f aca="false">((Assumptions!$B$14*$A6*B$4*Assumptions!$B$6*100)+Assumptions!$B$18*Assumptions!$B$19+Assumptions!$B$20+Assumptions!$B$21-Assumptions!$B$8)*(1-Assumptions!$B$22)/Assumptions!$B$5</f>
        <v>310.402465850148</v>
      </c>
      <c r="C6" s="39" t="n">
        <f aca="false">((Assumptions!$B$14*$A6*C$4*Assumptions!$B$6*100)+Assumptions!$B$18*Assumptions!$B$19+Assumptions!$B$20+Assumptions!$B$21-Assumptions!$B$8)*(1-Assumptions!$B$22)/Assumptions!$B$5</f>
        <v>332.620237351655</v>
      </c>
      <c r="D6" s="39" t="n">
        <f aca="false">((Assumptions!$B$14*$A6*D$4*Assumptions!$B$6*100)+Assumptions!$B$18*Assumptions!$B$19+Assumptions!$B$20+Assumptions!$B$21-Assumptions!$B$8)*(1-Assumptions!$B$22)/Assumptions!$B$5</f>
        <v>354.838008853162</v>
      </c>
      <c r="E6" s="39" t="n">
        <f aca="false">((Assumptions!$B$14*$A6*E$4*Assumptions!$B$6*100)+Assumptions!$B$18*Assumptions!$B$19+Assumptions!$B$20+Assumptions!$B$21-Assumptions!$B$8)*(1-Assumptions!$B$22)/Assumptions!$B$5</f>
        <v>377.05578035467</v>
      </c>
      <c r="F6" s="39" t="n">
        <f aca="false">((Assumptions!$B$14*$A6*F$4*Assumptions!$B$6*100)+Assumptions!$B$18*Assumptions!$B$19+Assumptions!$B$20+Assumptions!$B$21-Assumptions!$B$8)*(1-Assumptions!$B$22)/Assumptions!$B$5</f>
        <v>399.273551856177</v>
      </c>
      <c r="G6" s="39" t="n">
        <f aca="false">((Assumptions!$B$14*$A6*G$4*Assumptions!$B$6*100)+Assumptions!$B$18*Assumptions!$B$19+Assumptions!$B$20+Assumptions!$B$21-Assumptions!$B$8)*(1-Assumptions!$B$22)/Assumptions!$B$5</f>
        <v>421.491323357684</v>
      </c>
    </row>
    <row r="7" customFormat="false" ht="15" hidden="false" customHeight="false" outlineLevel="0" collapsed="false">
      <c r="A7" s="37" t="n">
        <v>0.12</v>
      </c>
      <c r="B7" s="39" t="n">
        <f aca="false">((Assumptions!$B$14*$A7*B$4*Assumptions!$B$6*100)+Assumptions!$B$18*Assumptions!$B$19+Assumptions!$B$20+Assumptions!$B$21-Assumptions!$B$8)*(1-Assumptions!$B$22)/Assumptions!$B$5</f>
        <v>330.600439942427</v>
      </c>
      <c r="C7" s="39" t="n">
        <f aca="false">((Assumptions!$B$14*$A7*C$4*Assumptions!$B$6*100)+Assumptions!$B$18*Assumptions!$B$19+Assumptions!$B$20+Assumptions!$B$21-Assumptions!$B$8)*(1-Assumptions!$B$22)/Assumptions!$B$5</f>
        <v>354.838008853162</v>
      </c>
      <c r="D7" s="39" t="n">
        <f aca="false">((Assumptions!$B$14*$A7*D$4*Assumptions!$B$6*100)+Assumptions!$B$18*Assumptions!$B$19+Assumptions!$B$20+Assumptions!$B$21-Assumptions!$B$8)*(1-Assumptions!$B$22)/Assumptions!$B$5</f>
        <v>379.075577763898</v>
      </c>
      <c r="E7" s="39" t="n">
        <f aca="false">((Assumptions!$B$14*$A7*E$4*Assumptions!$B$6*100)+Assumptions!$B$18*Assumptions!$B$19+Assumptions!$B$20+Assumptions!$B$21-Assumptions!$B$8)*(1-Assumptions!$B$22)/Assumptions!$B$5</f>
        <v>403.313146674633</v>
      </c>
      <c r="F7" s="39" t="n">
        <f aca="false">((Assumptions!$B$14*$A7*F$4*Assumptions!$B$6*100)+Assumptions!$B$18*Assumptions!$B$19+Assumptions!$B$20+Assumptions!$B$21-Assumptions!$B$8)*(1-Assumptions!$B$22)/Assumptions!$B$5</f>
        <v>427.550715585368</v>
      </c>
      <c r="G7" s="39" t="n">
        <f aca="false">((Assumptions!$B$14*$A7*G$4*Assumptions!$B$6*100)+Assumptions!$B$18*Assumptions!$B$19+Assumptions!$B$20+Assumptions!$B$21-Assumptions!$B$8)*(1-Assumptions!$B$22)/Assumptions!$B$5</f>
        <v>451.788284496103</v>
      </c>
    </row>
    <row r="8" customFormat="false" ht="15" hidden="false" customHeight="false" outlineLevel="0" collapsed="false">
      <c r="A8" s="37" t="n">
        <v>0.13</v>
      </c>
      <c r="B8" s="39" t="n">
        <f aca="false">((Assumptions!$B$14*$A8*B$4*Assumptions!$B$6*100)+Assumptions!$B$18*Assumptions!$B$19+Assumptions!$B$20+Assumptions!$B$21-Assumptions!$B$8)*(1-Assumptions!$B$22)/Assumptions!$B$5</f>
        <v>350.798414034707</v>
      </c>
      <c r="C8" s="39" t="n">
        <f aca="false">((Assumptions!$B$14*$A8*C$4*Assumptions!$B$6*100)+Assumptions!$B$18*Assumptions!$B$19+Assumptions!$B$20+Assumptions!$B$21-Assumptions!$B$8)*(1-Assumptions!$B$22)/Assumptions!$B$5</f>
        <v>377.05578035467</v>
      </c>
      <c r="D8" s="39" t="n">
        <f aca="false">((Assumptions!$B$14*$A8*D$4*Assumptions!$B$6*100)+Assumptions!$B$18*Assumptions!$B$19+Assumptions!$B$20+Assumptions!$B$21-Assumptions!$B$8)*(1-Assumptions!$B$22)/Assumptions!$B$5</f>
        <v>403.313146674633</v>
      </c>
      <c r="E8" s="39" t="n">
        <f aca="false">((Assumptions!$B$14*$A8*E$4*Assumptions!$B$6*100)+Assumptions!$B$18*Assumptions!$B$19+Assumptions!$B$20+Assumptions!$B$21-Assumptions!$B$8)*(1-Assumptions!$B$22)/Assumptions!$B$5</f>
        <v>429.570512994596</v>
      </c>
      <c r="F8" s="39" t="n">
        <f aca="false">((Assumptions!$B$14*$A8*F$4*Assumptions!$B$6*100)+Assumptions!$B$18*Assumptions!$B$19+Assumptions!$B$20+Assumptions!$B$21-Assumptions!$B$8)*(1-Assumptions!$B$22)/Assumptions!$B$5</f>
        <v>455.827879314559</v>
      </c>
      <c r="G8" s="39" t="n">
        <f aca="false">((Assumptions!$B$14*$A8*G$4*Assumptions!$B$6*100)+Assumptions!$B$18*Assumptions!$B$19+Assumptions!$B$20+Assumptions!$B$21-Assumptions!$B$8)*(1-Assumptions!$B$22)/Assumptions!$B$5</f>
        <v>482.085245634522</v>
      </c>
    </row>
    <row r="9" customFormat="false" ht="15" hidden="false" customHeight="false" outlineLevel="0" collapsed="false">
      <c r="A9" s="37" t="n">
        <v>0.14</v>
      </c>
      <c r="B9" s="39" t="n">
        <f aca="false">((Assumptions!$B$14*$A9*B$4*Assumptions!$B$6*100)+Assumptions!$B$18*Assumptions!$B$19+Assumptions!$B$20+Assumptions!$B$21-Assumptions!$B$8)*(1-Assumptions!$B$22)/Assumptions!$B$5</f>
        <v>370.996388126986</v>
      </c>
      <c r="C9" s="39" t="n">
        <f aca="false">((Assumptions!$B$14*$A9*C$4*Assumptions!$B$6*100)+Assumptions!$B$18*Assumptions!$B$19+Assumptions!$B$20+Assumptions!$B$21-Assumptions!$B$8)*(1-Assumptions!$B$22)/Assumptions!$B$5</f>
        <v>399.273551856177</v>
      </c>
      <c r="D9" s="39" t="n">
        <f aca="false">((Assumptions!$B$14*$A9*D$4*Assumptions!$B$6*100)+Assumptions!$B$18*Assumptions!$B$19+Assumptions!$B$20+Assumptions!$B$21-Assumptions!$B$8)*(1-Assumptions!$B$22)/Assumptions!$B$5</f>
        <v>427.550715585368</v>
      </c>
      <c r="E9" s="39" t="n">
        <f aca="false">((Assumptions!$B$14*$A9*E$4*Assumptions!$B$6*100)+Assumptions!$B$18*Assumptions!$B$19+Assumptions!$B$20+Assumptions!$B$21-Assumptions!$B$8)*(1-Assumptions!$B$22)/Assumptions!$B$5</f>
        <v>455.827879314559</v>
      </c>
      <c r="F9" s="39" t="n">
        <f aca="false">((Assumptions!$B$14*$A9*F$4*Assumptions!$B$6*100)+Assumptions!$B$18*Assumptions!$B$19+Assumptions!$B$20+Assumptions!$B$21-Assumptions!$B$8)*(1-Assumptions!$B$22)/Assumptions!$B$5</f>
        <v>484.10504304375</v>
      </c>
      <c r="G9" s="39" t="n">
        <f aca="false">((Assumptions!$B$14*$A9*G$4*Assumptions!$B$6*100)+Assumptions!$B$18*Assumptions!$B$19+Assumptions!$B$20+Assumptions!$B$21-Assumptions!$B$8)*(1-Assumptions!$B$22)/Assumptions!$B$5</f>
        <v>512.382206772941</v>
      </c>
    </row>
    <row r="11" customFormat="false" ht="15" hidden="false" customHeight="false" outlineLevel="0" collapsed="false">
      <c r="A11" s="2" t="s">
        <v>212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9" min="2" style="0" width="11"/>
  </cols>
  <sheetData>
    <row r="1" customFormat="false" ht="17.35" hidden="false" customHeight="false" outlineLevel="0" collapsed="false">
      <c r="A1" s="1" t="s">
        <v>213</v>
      </c>
    </row>
    <row r="2" customFormat="false" ht="15" hidden="false" customHeight="false" outlineLevel="0" collapsed="false">
      <c r="A2" s="2" t="s">
        <v>214</v>
      </c>
    </row>
    <row r="3" customFormat="false" ht="15" hidden="false" customHeight="false" outlineLevel="0" collapsed="false">
      <c r="A3" s="4"/>
      <c r="B3" s="5" t="s">
        <v>113</v>
      </c>
      <c r="C3" s="5" t="s">
        <v>114</v>
      </c>
      <c r="D3" s="5" t="s">
        <v>115</v>
      </c>
      <c r="E3" s="5" t="s">
        <v>73</v>
      </c>
      <c r="F3" s="5" t="s">
        <v>74</v>
      </c>
      <c r="G3" s="5" t="s">
        <v>75</v>
      </c>
      <c r="H3" s="5" t="s">
        <v>76</v>
      </c>
      <c r="I3" s="5" t="s">
        <v>77</v>
      </c>
    </row>
    <row r="4" customFormat="false" ht="15" hidden="false" customHeight="false" outlineLevel="0" collapsed="false">
      <c r="A4" s="6" t="s">
        <v>215</v>
      </c>
      <c r="B4" s="39" t="n">
        <f aca="false">'Income Statement'!B23/Assumptions!$B$5</f>
        <v>47.5647014094452</v>
      </c>
      <c r="C4" s="39" t="n">
        <f aca="false">'Income Statement'!C23/Assumptions!$B$5</f>
        <v>52.6681693506776</v>
      </c>
      <c r="D4" s="39" t="n">
        <f aca="false">'Income Statement'!D23/Assumptions!$B$5</f>
        <v>-3.73951063194199</v>
      </c>
      <c r="E4" s="39" t="n">
        <f aca="false">'Income Statement'!E23/Assumptions!$B$5</f>
        <v>28.692666879396</v>
      </c>
      <c r="F4" s="39" t="n">
        <f aca="false">'Income Statement'!F23/Assumptions!$B$5</f>
        <v>43.500922062298</v>
      </c>
      <c r="G4" s="39" t="n">
        <f aca="false">'Income Statement'!G23/Assumptions!$B$5</f>
        <v>55.5575571460229</v>
      </c>
      <c r="H4" s="39" t="n">
        <f aca="false">'Income Statement'!H23/Assumptions!$B$5</f>
        <v>64.4701414541184</v>
      </c>
      <c r="I4" s="39" t="n">
        <f aca="false">'Income Statement'!I23/Assumptions!$B$5</f>
        <v>69.2959303538867</v>
      </c>
    </row>
    <row r="5" customFormat="false" ht="15" hidden="false" customHeight="false" outlineLevel="0" collapsed="false">
      <c r="A5" s="6" t="s">
        <v>216</v>
      </c>
      <c r="B5" s="39" t="n">
        <f aca="false">'Balance Sheet'!B12/Assumptions!$B$5</f>
        <v>357.113760421476</v>
      </c>
      <c r="C5" s="39" t="n">
        <f aca="false">'Balance Sheet'!C12/Assumptions!$B$5</f>
        <v>333.362300735953</v>
      </c>
      <c r="D5" s="39" t="n">
        <f aca="false">'Balance Sheet'!D12/Assumptions!$B$5</f>
        <v>322.738505825164</v>
      </c>
      <c r="E5" s="39" t="n">
        <f aca="false">'Balance Sheet'!E12/Assumptions!$B$5</f>
        <v>345.456645914238</v>
      </c>
      <c r="F5" s="39" t="n">
        <f aca="false">'Balance Sheet'!F12/Assumptions!$B$5</f>
        <v>381.896763587975</v>
      </c>
      <c r="G5" s="39" t="n">
        <f aca="false">'Balance Sheet'!G12/Assumptions!$B$5</f>
        <v>428.764099948076</v>
      </c>
      <c r="H5" s="39" t="n">
        <f aca="false">'Balance Sheet'!H12/Assumptions!$B$5</f>
        <v>482.371465419792</v>
      </c>
      <c r="I5" s="39" t="n">
        <f aca="false">'Balance Sheet'!I12/Assumptions!$B$5</f>
        <v>538.088925795676</v>
      </c>
    </row>
    <row r="6" customFormat="false" ht="15" hidden="false" customHeight="false" outlineLevel="0" collapsed="false">
      <c r="A6" s="6" t="s">
        <v>154</v>
      </c>
      <c r="B6" s="27" t="n">
        <f aca="false">'Income Statement'!B14/'Income Statement'!B7</f>
        <v>0.135683615819209</v>
      </c>
      <c r="C6" s="27" t="n">
        <f aca="false">'Income Statement'!C14/'Income Statement'!C7</f>
        <v>0.128751085786711</v>
      </c>
      <c r="D6" s="27" t="n">
        <f aca="false">'Income Statement'!D14/'Income Statement'!D7</f>
        <v>0.0680012634765869</v>
      </c>
      <c r="E6" s="27" t="n">
        <f aca="false">'Income Statement'!E14/'Income Statement'!E7</f>
        <v>0.091892945783548</v>
      </c>
      <c r="F6" s="27" t="n">
        <f aca="false">'Income Statement'!F14/'Income Statement'!F7</f>
        <v>0.103719192282853</v>
      </c>
      <c r="G6" s="27" t="n">
        <f aca="false">'Income Statement'!G14/'Income Statement'!G7</f>
        <v>0.11136833720283</v>
      </c>
      <c r="H6" s="27" t="n">
        <f aca="false">'Income Statement'!H14/'Income Statement'!H7</f>
        <v>0.115040560157855</v>
      </c>
      <c r="I6" s="27" t="n">
        <f aca="false">'Income Statement'!I14/'Income Statement'!I7</f>
        <v>0.114892152130829</v>
      </c>
    </row>
    <row r="7" customFormat="false" ht="15" hidden="false" customHeight="false" outlineLevel="0" collapsed="false">
      <c r="A7" s="6" t="s">
        <v>217</v>
      </c>
      <c r="B7" s="27" t="n">
        <f aca="false">'Income Statement'!B12/'Income Statement'!B7</f>
        <v>0.0690169491525424</v>
      </c>
      <c r="C7" s="27" t="n">
        <f aca="false">'Income Statement'!C12/'Income Statement'!C7</f>
        <v>0.0634673062109731</v>
      </c>
      <c r="D7" s="27" t="n">
        <f aca="false">'Income Statement'!D12/'Income Statement'!D7</f>
        <v>0.0109958221835498</v>
      </c>
      <c r="E7" s="27" t="n">
        <f aca="false">'Income Statement'!E12/'Income Statement'!E7</f>
        <v>0.036892945783548</v>
      </c>
      <c r="F7" s="27" t="n">
        <f aca="false">'Income Statement'!F12/'Income Statement'!F7</f>
        <v>0.0497191922828535</v>
      </c>
      <c r="G7" s="27" t="n">
        <f aca="false">'Income Statement'!G12/'Income Statement'!G7</f>
        <v>0.0583683372028304</v>
      </c>
      <c r="H7" s="27" t="n">
        <f aca="false">'Income Statement'!H12/'Income Statement'!H7</f>
        <v>0.0630405601578551</v>
      </c>
      <c r="I7" s="27" t="n">
        <f aca="false">'Income Statement'!I12/'Income Statement'!I7</f>
        <v>0.0638921521308292</v>
      </c>
    </row>
    <row r="8" customFormat="false" ht="15" hidden="false" customHeight="false" outlineLevel="0" collapsed="false">
      <c r="A8" s="6" t="s">
        <v>218</v>
      </c>
      <c r="B8" s="40" t="n">
        <f aca="false">'Balance Sheet'!B20/'Income Statement'!B14</f>
        <v>0.770319786808794</v>
      </c>
      <c r="C8" s="40" t="n">
        <f aca="false">'Balance Sheet'!C20/'Income Statement'!C14</f>
        <v>0.729818606131325</v>
      </c>
      <c r="D8" s="40" t="n">
        <f aca="false">'Balance Sheet'!D20/'Income Statement'!D14</f>
        <v>1.35289219982472</v>
      </c>
      <c r="E8" s="40" t="n">
        <f aca="false">'Balance Sheet'!E20/'Income Statement'!E14</f>
        <v>1.11373686350786</v>
      </c>
      <c r="F8" s="40" t="n">
        <f aca="false">'Balance Sheet'!F20/'Income Statement'!F14</f>
        <v>0.922390185846318</v>
      </c>
      <c r="G8" s="40" t="n">
        <f aca="false">'Balance Sheet'!G20/'Income Statement'!G14</f>
        <v>0.636249255546337</v>
      </c>
      <c r="H8" s="40" t="n">
        <f aca="false">'Balance Sheet'!H20/'Income Statement'!H14</f>
        <v>0.330668059954272</v>
      </c>
      <c r="I8" s="40" t="n">
        <f aca="false">'Balance Sheet'!I20/'Income Statement'!I14</f>
        <v>0.0338658710449669</v>
      </c>
    </row>
    <row r="9" customFormat="false" ht="15" hidden="false" customHeight="false" outlineLevel="0" collapsed="false">
      <c r="A9" s="6" t="s">
        <v>219</v>
      </c>
      <c r="C9" s="27" t="n">
        <f aca="false">'Income Statement'!C7/'Income Statement'!B7-1</f>
        <v>0.0341638418079095</v>
      </c>
      <c r="D9" s="27" t="n">
        <f aca="false">'Income Statement'!D7/'Income Statement'!C7-1</f>
        <v>-0.0833447147453933</v>
      </c>
      <c r="E9" s="27" t="n">
        <f aca="false">'Income Statement'!E7/'Income Statement'!D7-1</f>
        <v>0.1459319033798</v>
      </c>
      <c r="F9" s="27" t="n">
        <f aca="false">'Income Statement'!F7/'Income Statement'!E7-1</f>
        <v>0.0935198031424029</v>
      </c>
      <c r="G9" s="27" t="n">
        <f aca="false">'Income Statement'!G7/'Income Statement'!F7-1</f>
        <v>0.07465373187035</v>
      </c>
      <c r="H9" s="27" t="n">
        <f aca="false">'Income Statement'!H7/'Income Statement'!G7-1</f>
        <v>0.0636888666307705</v>
      </c>
      <c r="I9" s="27" t="n">
        <f aca="false">'Income Statement'!I7/'Income Statement'!H7-1</f>
        <v>0.0524210404209105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4"/>
    <col collapsed="false" customWidth="true" hidden="false" outlineLevel="0" max="3" min="3" style="0" width="32"/>
  </cols>
  <sheetData>
    <row r="1" customFormat="false" ht="17.35" hidden="false" customHeight="false" outlineLevel="0" collapsed="false">
      <c r="A1" s="1" t="s">
        <v>220</v>
      </c>
    </row>
    <row r="2" customFormat="false" ht="15" hidden="false" customHeight="false" outlineLevel="0" collapsed="false">
      <c r="A2" s="2" t="s">
        <v>221</v>
      </c>
    </row>
    <row r="3" customFormat="false" ht="15" hidden="false" customHeight="false" outlineLevel="0" collapsed="false">
      <c r="A3" s="14" t="s">
        <v>91</v>
      </c>
      <c r="B3" s="14" t="s">
        <v>222</v>
      </c>
      <c r="C3" s="14" t="s">
        <v>223</v>
      </c>
    </row>
    <row r="4" customFormat="false" ht="15" hidden="false" customHeight="false" outlineLevel="0" collapsed="false">
      <c r="A4" s="6" t="s">
        <v>224</v>
      </c>
      <c r="B4" s="6" t="s">
        <v>225</v>
      </c>
      <c r="C4" s="6" t="s">
        <v>226</v>
      </c>
    </row>
    <row r="5" customFormat="false" ht="15" hidden="false" customHeight="false" outlineLevel="0" collapsed="false">
      <c r="A5" s="6" t="s">
        <v>96</v>
      </c>
      <c r="B5" s="6" t="s">
        <v>227</v>
      </c>
      <c r="C5" s="6" t="s">
        <v>228</v>
      </c>
    </row>
    <row r="6" customFormat="false" ht="15" hidden="false" customHeight="false" outlineLevel="0" collapsed="false">
      <c r="A6" s="6" t="s">
        <v>98</v>
      </c>
      <c r="B6" s="6" t="s">
        <v>229</v>
      </c>
      <c r="C6" s="6" t="s">
        <v>230</v>
      </c>
    </row>
    <row r="8" customFormat="false" ht="15" hidden="false" customHeight="false" outlineLevel="0" collapsed="false">
      <c r="A8" s="2" t="s">
        <v>231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2026-06-30T19:05:47Z</dcterms:created>
  <dc:creator>openpyxl</dc:creator>
  <dc:description/>
  <dc:language>en-US</dc:language>
  <cp:lastModifiedBy/>
  <dcterms:modified xsi:type="dcterms:W3CDTF">2026-06-30T19:05:47Z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