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Valuation Bridg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-"/>
    <numFmt numFmtId="165" formatCode="0.0%"/>
    <numFmt numFmtId="166" formatCode="0.000"/>
    <numFmt numFmtId="167" formatCode="0.0&quot;x&quot;"/>
    <numFmt numFmtId="168" formatCode="0.00&quot;x&quot;"/>
    <numFmt numFmtId="169" formatCode="+0.0000"/>
    <numFmt numFmtId="170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1C3A36"/>
      <sz val="13"/>
    </font>
    <font>
      <name val="Arial"/>
      <color rgb="00000000"/>
      <sz val="10"/>
    </font>
    <font>
      <name val="Arial"/>
      <b val="1"/>
      <color rgb="001C3A36"/>
      <sz val="10"/>
    </font>
    <font>
      <name val="Arial"/>
      <color rgb="006E7B77"/>
      <sz val="9"/>
    </font>
    <font>
      <name val="Arial"/>
      <i val="1"/>
      <color rgb="006E7B77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6E7B77"/>
      <sz val="8.5"/>
    </font>
    <font>
      <name val="Arial"/>
      <color rgb="00008000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color rgb="006E7B77"/>
      <sz val="8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FFFF00"/>
      </patternFill>
    </fill>
    <fill>
      <patternFill patternType="solid">
        <fgColor rgb="00EAF0EE"/>
      </patternFill>
    </fill>
  </fills>
  <borders count="2">
    <border>
      <left/>
      <right/>
      <top/>
      <bottom/>
      <diagonal/>
    </border>
    <border>
      <left style="thin">
        <color rgb="00C9D4D1"/>
      </left>
      <right style="thin">
        <color rgb="00C9D4D1"/>
      </right>
      <top style="thin">
        <color rgb="00C9D4D1"/>
      </top>
      <bottom style="thin">
        <color rgb="00C9D4D1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4" fontId="9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5" fillId="0" borderId="0" pivotButton="0" quotePrefix="0" xfId="0"/>
    <xf numFmtId="4" fontId="7" fillId="0" borderId="1" applyAlignment="1" pivotButton="0" quotePrefix="0" xfId="0">
      <alignment vertical="center"/>
    </xf>
    <xf numFmtId="4" fontId="10" fillId="3" borderId="1" applyAlignment="1" pivotButton="0" quotePrefix="0" xfId="0">
      <alignment vertical="center"/>
    </xf>
    <xf numFmtId="0" fontId="8" fillId="0" borderId="1" applyAlignment="1" pivotButton="0" quotePrefix="0" xfId="0">
      <alignment vertical="top" wrapText="1"/>
    </xf>
    <xf numFmtId="4" fontId="7" fillId="3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2" fontId="7" fillId="3" borderId="1" applyAlignment="1" pivotButton="0" quotePrefix="0" xfId="0">
      <alignment vertical="center"/>
    </xf>
    <xf numFmtId="165" fontId="7" fillId="3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164" fontId="9" fillId="0" borderId="1" applyAlignment="1" pivotButton="0" quotePrefix="0" xfId="0">
      <alignment vertical="center"/>
    </xf>
    <xf numFmtId="164" fontId="10" fillId="4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4" fontId="10" fillId="4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5" fontId="10" fillId="3" borderId="1" applyAlignment="1" pivotButton="0" quotePrefix="0" xfId="0">
      <alignment vertical="center"/>
    </xf>
    <xf numFmtId="0" fontId="12" fillId="0" borderId="1" applyAlignment="1" pivotButton="0" quotePrefix="0" xfId="0">
      <alignment vertical="top" wrapText="1"/>
    </xf>
    <xf numFmtId="165" fontId="2" fillId="3" borderId="1" applyAlignment="1" pivotButton="0" quotePrefix="0" xfId="0">
      <alignment vertical="center"/>
    </xf>
    <xf numFmtId="164" fontId="11" fillId="4" borderId="1" applyAlignment="1" pivotButton="0" quotePrefix="0" xfId="0">
      <alignment vertical="center"/>
    </xf>
    <xf numFmtId="164" fontId="10" fillId="0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9" fontId="2" fillId="0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170" fontId="2" fillId="0" borderId="1" applyAlignment="1" pivotButton="0" quotePrefix="0" xfId="0">
      <alignment vertical="center"/>
    </xf>
    <xf numFmtId="167" fontId="9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RMDA — Tenth of Ramadan Pharmaceuticals (Rameda) — Valuation Model — READ FIRST</t>
        </is>
      </c>
    </row>
    <row r="4" ht="28" customHeight="1">
      <c r="A4" s="2" t="inlineStr">
        <is>
          <t>TESTAHIL · Independent Valuation Study · Educational Analysis · EGX: RMDA · edition 13-07-2026 · reporting currency EGP (mn unless stated).</t>
        </is>
      </c>
    </row>
    <row r="6" ht="42" customHeight="1">
      <c r="A6" s="2" t="inlineStr">
        <is>
          <t>This workbook is the companion model to RMDA_Valuation_Study_13-07-2026. It contains fair-value ranges and probability distributions only — no rating, no price target, no buy/sell/hold language.</t>
        </is>
      </c>
    </row>
    <row r="8" ht="42" customHeight="1">
      <c r="A8" s="2" t="inlineStr">
        <is>
          <t>HOW TO USE: every hardcoded input lives in BLUE on the Assumptions sheet (and the blue actual-history columns of the statements, each tied to the audited FS). All black cells are formulas; green cells link across sheets. Change a blue cell and the whole model recalculates.</t>
        </is>
      </c>
    </row>
    <row r="10" ht="42" customHeight="1">
      <c r="A10" s="2" t="inlineStr">
        <is>
          <t>STRUCTURE (canonical): Summary -&gt; Fundamental Valuation (four lenses) -&gt; Assumptions -&gt; Valuation Bridge -&gt; Segments -&gt; Relative &amp; Normalized -&gt; DCF (full FCFF waterfall) -&gt; Income Statement / Balance Sheet / Cash Flow (3 audited + 5 forecast columns) -&gt; Summary Financials -&gt; Monte Carlo -&gt; Sensitivity -&gt; Per-Share &amp; Ratios -&gt; Peer &amp; Sector.</t>
        </is>
      </c>
    </row>
    <row r="12" ht="42" customHeight="1">
      <c r="A12" s="2" t="inlineStr">
        <is>
          <t>TWO CLOCKS: the fundamental fair-value range is a ~12-month risk-adjusted anchor at the sourced EGP cost of capital; the Monte Carlo T+20/T+60 percentiles are the only genuinely 3-month figures. They are different objects and are never blended.</t>
        </is>
      </c>
    </row>
    <row r="14" ht="28" customHeight="1">
      <c r="A14" s="2" t="inlineStr">
        <is>
          <t>DUAL FRAMING: net debt is stated both ex-lease (EGP 2,225mn, the ER framing) and including leases (EGP 2,307mn) wherever it appears.</t>
        </is>
      </c>
    </row>
    <row r="16" ht="42" customHeight="1">
      <c r="A16" s="2" t="inlineStr">
        <is>
          <t>DISCLAIMER (summary; full text in the study): educational only; not investment advice; no licence with the FRA or any regulator; the preparer may hold positions; sources are the company's audited FS and official IR releases, believed reliable but not independently verified; forward-looking inputs are the preparer's judgments; do your own research; you are solely responsible for your decisions.</t>
        </is>
      </c>
    </row>
    <row r="18">
      <c r="A18" s="3" t="inlineStr">
        <is>
          <t>Legend: BLUE = input you can edit · BLACK = formula · GREEN = link to another sheet · yellow fill = key levers.</t>
        </is>
      </c>
    </row>
    <row r="20">
      <c r="A20" s="4" t="inlineStr">
        <is>
          <t>Example edit: Assumptions!B17 (FY26E EBITDA margin) — set 0.300 and watch DCF!B36 (fair value per share) move.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>
      <c r="A1" s="1" t="inlineStr">
        <is>
          <t>Summary — the two clocks, side by side</t>
        </is>
      </c>
    </row>
    <row r="3">
      <c r="A3" s="5" t="inlineStr">
        <is>
          <t>Read</t>
        </is>
      </c>
      <c r="B3" s="5" t="inlineStr">
        <is>
          <t>Value</t>
        </is>
      </c>
      <c r="C3" s="5" t="inlineStr">
        <is>
          <t>Meaning</t>
        </is>
      </c>
    </row>
    <row r="4">
      <c r="A4" s="3" t="inlineStr">
        <is>
          <t>Spot (12-Jul-2026)</t>
        </is>
      </c>
      <c r="B4" s="6">
        <f>Assumptions!$B$4</f>
        <v/>
      </c>
      <c r="C4" s="2" t="inlineStr">
        <is>
          <t>EGX close, uploaded OHLC</t>
        </is>
      </c>
    </row>
    <row r="5">
      <c r="A5" s="3" t="inlineStr">
        <is>
          <t>Fundamental central (weighted, ~12m anchor)</t>
        </is>
      </c>
      <c r="B5" s="6">
        <f>'Fundamental Valuation'!C8</f>
        <v/>
      </c>
      <c r="C5" s="2" t="inlineStr">
        <is>
          <t>At the sourced 22.55% EGP rf; the lens divergence is the finding</t>
        </is>
      </c>
    </row>
    <row r="6">
      <c r="A6" s="3" t="inlineStr">
        <is>
          <t>Central band (bear–bull)</t>
        </is>
      </c>
      <c r="B6" s="7">
        <f>TEXT('Fundamental Valuation'!B8,"0.00")&amp;" – "&amp;TEXT('Fundamental Valuation'!D8,"0.00")</f>
        <v/>
      </c>
      <c r="C6" s="2" t="inlineStr">
        <is>
          <t>Rate-path dependent</t>
        </is>
      </c>
    </row>
    <row r="7">
      <c r="A7" s="3" t="inlineStr">
        <is>
          <t>DCF (discipline lens)</t>
        </is>
      </c>
      <c r="B7" s="6">
        <f>DCF!B36</f>
        <v/>
      </c>
      <c r="C7" s="2" t="inlineStr">
        <is>
          <t>TV share of EV disclosed on DCF!B30</t>
        </is>
      </c>
    </row>
    <row r="8">
      <c r="A8" s="3" t="inlineStr">
        <is>
          <t>MC T+60 median (3-month clock)</t>
        </is>
      </c>
      <c r="B8" s="6">
        <f>Assumptions!$B$36</f>
        <v/>
      </c>
      <c r="C8" s="2" t="inlineStr">
        <is>
          <t>Engine output; the only genuinely 3-month figure</t>
        </is>
      </c>
    </row>
    <row r="9">
      <c r="A9" s="3" t="inlineStr">
        <is>
          <t>MC T+60 5–95% band</t>
        </is>
      </c>
      <c r="B9" s="8" t="inlineStr">
        <is>
          <t>3.95 – 6.84</t>
        </is>
      </c>
      <c r="C9" s="2" t="inlineStr">
        <is>
          <t>50,000 paths, seed 42</t>
        </is>
      </c>
    </row>
    <row r="10">
      <c r="A10" s="3" t="inlineStr">
        <is>
          <t>P(T+60 above spot)</t>
        </is>
      </c>
      <c r="B10" s="9" t="n">
        <v>0.61544</v>
      </c>
      <c r="C10" s="2" t="inlineStr">
        <is>
          <t>Carry-anchored</t>
        </is>
      </c>
    </row>
    <row r="11">
      <c r="A11" s="3" t="inlineStr">
        <is>
          <t>Step 0 verdict</t>
        </is>
      </c>
      <c r="B11" s="8" t="inlineStr">
        <is>
          <t>PASS</t>
        </is>
      </c>
      <c r="C11" s="2" t="inlineStr">
        <is>
          <t>13 windows, CRPS +0.0273 CI[+0.004,+0.051]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58" customWidth="1" min="5" max="5"/>
  </cols>
  <sheetData>
    <row r="1">
      <c r="A1" s="1" t="inlineStr">
        <is>
          <t>Four lenses and the weighted central (EGP/share)</t>
        </is>
      </c>
    </row>
    <row r="2">
      <c r="A2" s="10" t="inlineStr">
        <is>
          <t>EFG house rule honoured: the DCF-vs-multiple gap is disclosed, not blended away — the divergence is the rate-path bet.</t>
        </is>
      </c>
    </row>
    <row r="3">
      <c r="A3" s="5" t="inlineStr">
        <is>
          <t>Lens</t>
        </is>
      </c>
      <c r="B3" s="5" t="inlineStr">
        <is>
          <t>Bear</t>
        </is>
      </c>
      <c r="C3" s="5" t="inlineStr">
        <is>
          <t>Base</t>
        </is>
      </c>
      <c r="D3" s="5" t="inlineStr">
        <is>
          <t>Bull</t>
        </is>
      </c>
      <c r="E3" s="5" t="inlineStr">
        <is>
          <t>Weight / note</t>
        </is>
      </c>
    </row>
    <row r="4">
      <c r="A4" s="3" t="inlineStr">
        <is>
          <t>FCFF DCF</t>
        </is>
      </c>
      <c r="B4" s="11" t="n">
        <v>1.178354752759995</v>
      </c>
      <c r="C4" s="6">
        <f>DCF!B36</f>
        <v/>
      </c>
      <c r="D4" s="11" t="n">
        <v>2.310320265275299</v>
      </c>
      <c r="E4" s="8" t="inlineStr">
        <is>
          <t>0.35 — the discipline lens at the sourced 22.55% rf</t>
        </is>
      </c>
    </row>
    <row r="5">
      <c r="A5" s="3" t="inlineStr">
        <is>
          <t>DDM (policy lens)</t>
        </is>
      </c>
      <c r="B5" s="11" t="n">
        <v>0.7768583165122082</v>
      </c>
      <c r="C5" s="11" t="n">
        <v>1.004324399871367</v>
      </c>
      <c r="D5" s="11" t="n">
        <v>1.540246377587563</v>
      </c>
      <c r="E5" s="8" t="inlineStr">
        <is>
          <t>0.15 — payout still ramping; near-noise at a 32% Ke</t>
        </is>
      </c>
    </row>
    <row r="6">
      <c r="A6" s="3" t="inlineStr">
        <is>
          <t>Relative (own EV/EBITDA band)</t>
        </is>
      </c>
      <c r="B6" s="6">
        <f>'Relative &amp; Normalized'!B8</f>
        <v/>
      </c>
      <c r="C6" s="6">
        <f>'Relative &amp; Normalized'!C8</f>
        <v/>
      </c>
      <c r="D6" s="6">
        <f>'Relative &amp; Normalized'!D8</f>
        <v/>
      </c>
      <c r="E6" s="8" t="inlineStr">
        <is>
          <t>0.25 — what the market pays for this name</t>
        </is>
      </c>
    </row>
    <row r="7">
      <c r="A7" s="3" t="inlineStr">
        <is>
          <t>Normalized earnings power</t>
        </is>
      </c>
      <c r="B7" s="6">
        <f>'Relative &amp; Normalized'!B12</f>
        <v/>
      </c>
      <c r="C7" s="6">
        <f>'Relative &amp; Normalized'!C12</f>
        <v/>
      </c>
      <c r="D7" s="6">
        <f>'Relative &amp; Normalized'!D12</f>
        <v/>
      </c>
      <c r="E7" s="8" t="inlineStr">
        <is>
          <t>0.25 — FY26E EPS × through-cycle P/E</t>
        </is>
      </c>
    </row>
    <row r="8">
      <c r="A8" s="3" t="inlineStr">
        <is>
          <t>Weighted central</t>
        </is>
      </c>
      <c r="B8" s="12">
        <f>0.35*B4+0.15*B5+0.25*B6+0.25*B7</f>
        <v/>
      </c>
      <c r="C8" s="12">
        <f>0.35*C4+0.15*C5+0.25*C6+0.25*C7</f>
        <v/>
      </c>
      <c r="D8" s="12">
        <f>0.35*D4+0.15*D5+0.25*D6+0.25*D7</f>
        <v/>
      </c>
    </row>
    <row r="9">
      <c r="A9" s="8" t="inlineStr">
        <is>
          <t>vs spot</t>
        </is>
      </c>
      <c r="B9" s="9">
        <f>B8/Assumptions!$B$4-1</f>
        <v/>
      </c>
      <c r="C9" s="9">
        <f>C8/Assumptions!$B$4-1</f>
        <v/>
      </c>
      <c r="D9" s="9">
        <f>D8/Assumptions!$B$4-1</f>
        <v/>
      </c>
    </row>
    <row r="11">
      <c r="A11" s="13" t="inlineStr">
        <is>
          <t>Two clocks: this central band is the ~12-month risk-adjusted fundamental anchor; the Monte Carlo sheet carries the only genuinely 3-month figures. Full-execution upside (rate normalisation to a ~20% Ke) is a multi-year ceiling, not a near-term forecast.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Assumptions — the single blue-cell input layer</t>
        </is>
      </c>
    </row>
    <row r="2">
      <c r="A2" s="10" t="inlineStr">
        <is>
          <t>Every downstream sheet links back here. Sources per input; four-ring Sweep classification in the study §1.6.</t>
        </is>
      </c>
    </row>
    <row r="3">
      <c r="A3" s="5" t="inlineStr">
        <is>
          <t>Input</t>
        </is>
      </c>
      <c r="B3" s="5" t="inlineStr">
        <is>
          <t>Value / FY26E</t>
        </is>
      </c>
      <c r="C3" s="5" t="inlineStr">
        <is>
          <t>FY27E</t>
        </is>
      </c>
      <c r="D3" s="5" t="inlineStr">
        <is>
          <t>FY28E</t>
        </is>
      </c>
      <c r="E3" s="5" t="inlineStr">
        <is>
          <t>FY29E</t>
        </is>
      </c>
      <c r="F3" s="5" t="inlineStr">
        <is>
          <t>FY30E</t>
        </is>
      </c>
      <c r="G3" s="5" t="inlineStr"/>
      <c r="H3" s="5" t="inlineStr">
        <is>
          <t>Source / note</t>
        </is>
      </c>
    </row>
    <row r="4">
      <c r="A4" s="3" t="inlineStr">
        <is>
          <t>Spot (EGP, 12-Jul-2026)</t>
        </is>
      </c>
      <c r="B4" s="14" t="n">
        <v>5</v>
      </c>
      <c r="H4" s="13" t="inlineStr">
        <is>
          <t>Uploaded OHLC last close</t>
        </is>
      </c>
    </row>
    <row r="5">
      <c r="A5" s="3" t="inlineStr">
        <is>
          <t>Shares outstanding (mn)</t>
        </is>
      </c>
      <c r="B5" s="15" t="n">
        <v>2032.817336</v>
      </c>
      <c r="H5" s="13" t="inlineStr">
        <is>
          <t>FY25 FS Note 17: 2,000,000,000 post 0.3236 bonus (Nov-25)</t>
        </is>
      </c>
    </row>
    <row r="6">
      <c r="A6" s="3" t="inlineStr">
        <is>
          <t>Forward tax rate</t>
        </is>
      </c>
      <c r="B6" s="16" t="n">
        <v>0.24</v>
      </c>
      <c r="H6" s="13" t="inlineStr">
        <is>
          <t>Normalised ETR (statutory 22.5% + non-deductibles; FY23-25: 22.7/23.6/26.2%)</t>
        </is>
      </c>
    </row>
    <row r="7">
      <c r="A7" s="3" t="inlineStr">
        <is>
          <t>Risk-free (EGP 10Y)</t>
        </is>
      </c>
      <c r="B7" s="16" t="n">
        <v>0.2255</v>
      </c>
      <c r="H7" s="13" t="inlineStr">
        <is>
          <t>investing.com 3-Jul-2026 (&lt;60d cache, CoC Reference)</t>
        </is>
      </c>
    </row>
    <row r="8">
      <c r="A8" s="3" t="inlineStr">
        <is>
          <t>ERP — CDS basis (primary)</t>
        </is>
      </c>
      <c r="B8" s="16" t="n">
        <v>0.0941</v>
      </c>
      <c r="H8" s="13" t="inlineStr">
        <is>
          <t>Damodaran ORIGINAL ctryprem, Egypt row</t>
        </is>
      </c>
    </row>
    <row r="9">
      <c r="A9" s="3" t="inlineStr">
        <is>
          <t>ERP — rating basis (alt)</t>
        </is>
      </c>
      <c r="B9" s="16" t="n">
        <v>0.1394</v>
      </c>
      <c r="H9" s="13" t="inlineStr">
        <is>
          <t>Damodaran ORIGINAL ctryprem, Egypt row</t>
        </is>
      </c>
    </row>
    <row r="10">
      <c r="A10" s="3" t="inlineStr">
        <is>
          <t>Beta</t>
        </is>
      </c>
      <c r="B10" s="17" t="n">
        <v>1</v>
      </c>
      <c r="H10" s="13" t="inlineStr">
        <is>
          <t>House fallback 1.00 — genuine usability-gate failure (no EGX30 daily accessible); aggregators 0.26-0.49 as colour; sensitised 0.8-1.3</t>
        </is>
      </c>
    </row>
    <row r="11">
      <c r="A11" s="3" t="inlineStr">
        <is>
          <t>Kd pre-tax (facility book)</t>
        </is>
      </c>
      <c r="B11" s="18" t="n">
        <v>0.235</v>
      </c>
      <c r="H11" s="13" t="inlineStr">
        <is>
          <t>100% EGP-denominated (Note 20, 11 banks all EGP); anchored on 1Q26 observed effective 24.0% (132mn/2,204mn avg); no FX debt to blend</t>
        </is>
      </c>
    </row>
    <row r="12">
      <c r="A12" s="3" t="inlineStr">
        <is>
          <t>Terminal growth (nominal EGP)</t>
        </is>
      </c>
      <c r="B12" s="18" t="n">
        <v>0.05</v>
      </c>
      <c r="H12" s="13" t="inlineStr">
        <is>
          <t>Standing Research Protocol (13-Jul-26): center 5% default for a mature EM name post-currency-turbulence; sensitised 3/4/5/6/7% x WACC grid; historical-CAGR/ROIC-RR reconciliation on the Assumptions tab below</t>
        </is>
      </c>
    </row>
    <row r="13">
      <c r="A13" s="3" t="inlineStr">
        <is>
          <t>Private sales growth</t>
        </is>
      </c>
      <c r="B13" s="16" t="n">
        <v>0.16</v>
      </c>
      <c r="C13" s="16" t="n">
        <v>0.115</v>
      </c>
      <c r="D13" s="16" t="n">
        <v>0.1</v>
      </c>
      <c r="E13" s="16" t="n">
        <v>0.09</v>
      </c>
      <c r="F13" s="16" t="n">
        <v>0.08500000000000001</v>
      </c>
      <c r="H13" s="13" t="inlineStr">
        <is>
          <t>1Q26 +19%; EDA repricing lagged; taper</t>
        </is>
      </c>
    </row>
    <row r="14">
      <c r="A14" s="3" t="inlineStr">
        <is>
          <t>Tender sales growth</t>
        </is>
      </c>
      <c r="B14" s="16" t="n">
        <v>0.2</v>
      </c>
      <c r="C14" s="16" t="n">
        <v>0.14</v>
      </c>
      <c r="D14" s="16" t="n">
        <v>0.12</v>
      </c>
      <c r="E14" s="16" t="n">
        <v>0.1</v>
      </c>
      <c r="F14" s="16" t="n">
        <v>0.09</v>
      </c>
      <c r="H14" s="13" t="inlineStr">
        <is>
          <t>UPA normalised; selective participation</t>
        </is>
      </c>
    </row>
    <row r="15">
      <c r="A15" s="3" t="inlineStr">
        <is>
          <t>Export growth</t>
        </is>
      </c>
      <c r="B15" s="16" t="n">
        <v>0.35</v>
      </c>
      <c r="C15" s="16" t="n">
        <v>0.16</v>
      </c>
      <c r="D15" s="16" t="n">
        <v>0.13</v>
      </c>
      <c r="E15" s="16" t="n">
        <v>0.11</v>
      </c>
      <c r="F15" s="16" t="n">
        <v>0.1</v>
      </c>
      <c r="H15" s="13" t="inlineStr">
        <is>
          <t>Iraq recovery + Libya/Yemen/Sudan + new markets</t>
        </is>
      </c>
    </row>
    <row r="16">
      <c r="A16" s="3" t="inlineStr">
        <is>
          <t>Toll manufacturing growth</t>
        </is>
      </c>
      <c r="B16" s="16" t="n">
        <v>0.3</v>
      </c>
      <c r="C16" s="16" t="n">
        <v>0.15</v>
      </c>
      <c r="D16" s="16" t="n">
        <v>0.12</v>
      </c>
      <c r="E16" s="16" t="n">
        <v>0.1</v>
      </c>
      <c r="F16" s="16" t="n">
        <v>0.1</v>
      </c>
      <c r="H16" s="13" t="inlineStr">
        <is>
          <t>Pricing + new contracts; capacity monetisation</t>
        </is>
      </c>
    </row>
    <row r="17">
      <c r="A17" s="3" t="inlineStr">
        <is>
          <t>EBITDA margin</t>
        </is>
      </c>
      <c r="B17" s="16" t="n">
        <v>0.288</v>
      </c>
      <c r="C17" s="16" t="n">
        <v>0.294</v>
      </c>
      <c r="D17" s="16" t="n">
        <v>0.298</v>
      </c>
      <c r="E17" s="16" t="n">
        <v>0.3</v>
      </c>
      <c r="F17" s="16" t="n">
        <v>0.3</v>
      </c>
      <c r="H17" s="13" t="inlineStr">
        <is>
          <t>SG&amp;A normalisation to the ~30% aspiration</t>
        </is>
      </c>
    </row>
    <row r="18">
      <c r="A18" s="3" t="inlineStr">
        <is>
          <t>D&amp;A % of revenue</t>
        </is>
      </c>
      <c r="B18" s="16" t="n">
        <v>0.026</v>
      </c>
      <c r="C18" s="16" t="n">
        <v>0.026</v>
      </c>
      <c r="D18" s="16" t="n">
        <v>0.026</v>
      </c>
      <c r="E18" s="16" t="n">
        <v>0.026</v>
      </c>
      <c r="F18" s="16" t="n">
        <v>0.026</v>
      </c>
      <c r="H18" s="13" t="inlineStr">
        <is>
          <t>Incl. FY25 595mn intangible additions amortising over 20y</t>
        </is>
      </c>
    </row>
    <row r="19">
      <c r="A19" s="3" t="inlineStr">
        <is>
          <t>Capex % of revenue</t>
        </is>
      </c>
      <c r="B19" s="16" t="n">
        <v>0.03</v>
      </c>
      <c r="C19" s="16" t="n">
        <v>0.028</v>
      </c>
      <c r="D19" s="16" t="n">
        <v>0.026</v>
      </c>
      <c r="E19" s="16" t="n">
        <v>0.025</v>
      </c>
      <c r="F19" s="16" t="n">
        <v>0.025</v>
      </c>
      <c r="H19" s="13" t="inlineStr">
        <is>
          <t>Maintenance-only; EXCLUDES future portfolio acquisitions</t>
        </is>
      </c>
    </row>
    <row r="20">
      <c r="A20" s="3" t="inlineStr">
        <is>
          <t>NWC / revenue (crux)</t>
        </is>
      </c>
      <c r="B20" s="16" t="n">
        <v>0.61</v>
      </c>
      <c r="C20" s="16" t="n">
        <v>0.585</v>
      </c>
      <c r="D20" s="16" t="n">
        <v>0.5649999999999999</v>
      </c>
      <c r="E20" s="16" t="n">
        <v>0.55</v>
      </c>
      <c r="F20" s="16" t="n">
        <v>0.54</v>
      </c>
      <c r="H20" s="13" t="inlineStr">
        <is>
          <t>FY25 66.4% gliding to ~54% (1Q26: inventory -19% YTD)</t>
        </is>
      </c>
    </row>
    <row r="21">
      <c r="A21" s="3" t="inlineStr">
        <is>
          <t>Kd path (interest on opening facilities)</t>
        </is>
      </c>
      <c r="B21" s="16" t="n">
        <v>0.23</v>
      </c>
      <c r="C21" s="16" t="n">
        <v>0.205</v>
      </c>
      <c r="D21" s="16" t="n">
        <v>0.185</v>
      </c>
      <c r="E21" s="16" t="n">
        <v>0.17</v>
      </c>
      <c r="F21" s="16" t="n">
        <v>0.16</v>
      </c>
      <c r="H21" s="13" t="inlineStr">
        <is>
          <t>CBE easing passed through with a lag</t>
        </is>
      </c>
    </row>
    <row r="22">
      <c r="A22" s="3" t="inlineStr">
        <is>
          <t>Cash floor % of revenue</t>
        </is>
      </c>
      <c r="B22" s="16" t="n">
        <v>0.012</v>
      </c>
      <c r="H22" s="13" t="inlineStr">
        <is>
          <t>FY23-25 range 0.9-2.3%</t>
        </is>
      </c>
    </row>
    <row r="23">
      <c r="A23" s="3" t="inlineStr">
        <is>
          <t>Dividend floor FY26 (EGP mn)</t>
        </is>
      </c>
      <c r="B23" s="15" t="n">
        <v>120</v>
      </c>
      <c r="H23" s="13" t="inlineStr">
        <is>
          <t>2x EGP 60mn tranches (1Q26 ER); then max(120, 40% payout)</t>
        </is>
      </c>
    </row>
    <row r="24">
      <c r="A24" s="3" t="inlineStr">
        <is>
          <t>Payout ratio from FY27E</t>
        </is>
      </c>
      <c r="B24" s="16" t="n">
        <v>0.4</v>
      </c>
      <c r="H24" s="13" t="inlineStr">
        <is>
          <t>Management target ~40% (FY25 ER)</t>
        </is>
      </c>
    </row>
    <row r="25">
      <c r="A25" s="3" t="inlineStr">
        <is>
          <t>Gross margin path FY26E-30E</t>
        </is>
      </c>
      <c r="B25" s="19" t="inlineStr">
        <is>
          <t>49.6% / 50.0% / 50.3% / 50.4% / 50.4%</t>
        </is>
      </c>
      <c r="H25" s="13" t="inlineStr">
        <is>
          <t>FY25 48.4% -&gt; 1Q26 49.4%; mix glide, NOT extrapolating the one-off spare-parts base effect (ER26)</t>
        </is>
      </c>
    </row>
    <row r="26">
      <c r="A26" s="3" t="inlineStr">
        <is>
          <t>FY25 anchors (audited; blue = sourced input)</t>
        </is>
      </c>
      <c r="B26" s="19" t="inlineStr">
        <is>
          <t>4.2% / 4.1% / 4.0% / 4.0% / 4.0%</t>
        </is>
      </c>
      <c r="H26" s="13" t="inlineStr">
        <is>
          <t>1Q26 4.3%; mild scale leverage. S&amp;M is the DERIVED residual (~19.2%% declining), asserted vs 1Q26 18.9%</t>
        </is>
      </c>
    </row>
    <row r="27">
      <c r="A27" s="3" t="inlineStr">
        <is>
          <t>FY25 revenue (EGP mn)</t>
        </is>
      </c>
      <c r="B27" s="15" t="n">
        <v>4096.012746</v>
      </c>
      <c r="H27" s="13" t="inlineStr">
        <is>
          <t>FS Note 23</t>
        </is>
      </c>
    </row>
    <row r="28">
      <c r="A28" s="3" t="inlineStr">
        <is>
          <t>Private FY25</t>
        </is>
      </c>
      <c r="B28" s="15" t="n">
        <v>3022.694</v>
      </c>
      <c r="H28" s="13" t="inlineStr">
        <is>
          <t>FS Note 4</t>
        </is>
      </c>
    </row>
    <row r="29">
      <c r="A29" s="3" t="inlineStr">
        <is>
          <t>Tenders FY25</t>
        </is>
      </c>
      <c r="B29" s="15" t="n">
        <v>544.982</v>
      </c>
      <c r="H29" s="13" t="inlineStr">
        <is>
          <t>FS Note 4</t>
        </is>
      </c>
    </row>
    <row r="30">
      <c r="A30" s="3" t="inlineStr">
        <is>
          <t>Exports FY25</t>
        </is>
      </c>
      <c r="B30" s="15" t="n">
        <v>243.546</v>
      </c>
      <c r="H30" s="13" t="inlineStr">
        <is>
          <t>FS Note 4</t>
        </is>
      </c>
    </row>
    <row r="31">
      <c r="A31" s="3" t="inlineStr">
        <is>
          <t>Toll FY25</t>
        </is>
      </c>
      <c r="B31" s="15" t="n">
        <v>284.791</v>
      </c>
      <c r="H31" s="13" t="inlineStr">
        <is>
          <t>FS Note 4</t>
        </is>
      </c>
    </row>
    <row r="32">
      <c r="A32" s="3" t="inlineStr">
        <is>
          <t>Net debt FY25 incl. leases (PRIMARY bridge framing)</t>
        </is>
      </c>
      <c r="B32" s="15" t="n">
        <v>2307.217952</v>
      </c>
      <c r="H32" s="13" t="inlineStr">
        <is>
          <t>Facilities 2,260.6 + bank credit 0.6 - cash 36.2 + lease liabilities 82.2 (FS Notes 12/20/6B); IFRS-16-consistent: EBITDA excludes rent, FCFF adds back all D&amp;A, so the lease liability is deducted in the bridge</t>
        </is>
      </c>
    </row>
    <row r="33">
      <c r="A33" s="3" t="inlineStr">
        <is>
          <t>Net debt FY25 ex-lease (published alt framing)</t>
        </is>
      </c>
      <c r="B33" s="15" t="n">
        <v>2225.001824</v>
      </c>
      <c r="H33" s="13" t="inlineStr">
        <is>
          <t>Facilities 2,260.6 + bank credit 0.6 - cash 36.2 (FS Notes 12/20); worth EGP +0.04/share vs primary</t>
        </is>
      </c>
    </row>
    <row r="34">
      <c r="A34" s="3" t="inlineStr">
        <is>
          <t>Non-controlling interest (book)</t>
        </is>
      </c>
      <c r="B34" s="15" t="n">
        <v>42.122663</v>
      </c>
      <c r="H34" s="13" t="inlineStr">
        <is>
          <t>FS changes-in-equity</t>
        </is>
      </c>
    </row>
    <row r="35">
      <c r="A35" s="3" t="inlineStr">
        <is>
          <t>Non-operating: real-estate units</t>
        </is>
      </c>
      <c r="B35" s="15" t="n">
        <v>93.839078</v>
      </c>
      <c r="H35" s="13" t="inlineStr">
        <is>
          <t>FS Note 14; one unit sold post-period for 55</t>
        </is>
      </c>
    </row>
    <row r="36">
      <c r="A36" s="3" t="inlineStr">
        <is>
          <t>MC T+60 median (engine)</t>
        </is>
      </c>
      <c r="B36" s="11" t="n">
        <v>5.204752968151734</v>
      </c>
      <c r="H36" s="13" t="inlineStr">
        <is>
          <t>mc_v3 carry-anchored, seed 42 — 3-month clock, never blended with the anchor</t>
        </is>
      </c>
    </row>
    <row r="40">
      <c r="A40" s="3" t="inlineStr">
        <is>
          <t>Terminal growth -- historical reconciliation (Standing Research Protocol)</t>
        </is>
      </c>
    </row>
    <row r="41">
      <c r="A41" s="5" t="inlineStr">
        <is>
          <t>Year</t>
        </is>
      </c>
      <c r="B41" s="5" t="inlineStr">
        <is>
          <t>Capex</t>
        </is>
      </c>
      <c r="C41" s="5" t="inlineStr">
        <is>
          <t>Capex/EBITDA</t>
        </is>
      </c>
      <c r="D41" s="5" t="inlineStr">
        <is>
          <t>Character</t>
        </is>
      </c>
      <c r="E41" s="5" t="inlineStr">
        <is>
          <t>NOPAT (EGP mn)</t>
        </is>
      </c>
      <c r="F41" s="5" t="inlineStr">
        <is>
          <t>Actual NOPAT growth</t>
        </is>
      </c>
      <c r="G41" s="5" t="inlineStr">
        <is>
          <t>ROIC</t>
        </is>
      </c>
      <c r="H41" s="5" t="inlineStr">
        <is>
          <t>RR</t>
        </is>
      </c>
      <c r="I41" s="5" t="inlineStr">
        <is>
          <t>Implied g (ROIC×RR)</t>
        </is>
      </c>
    </row>
    <row r="42">
      <c r="A42" s="8" t="inlineStr">
        <is>
          <t>FY23</t>
        </is>
      </c>
      <c r="B42" s="20" t="n">
        <v>253.489326</v>
      </c>
      <c r="C42" s="9" t="n">
        <v>0.4756893050790736</v>
      </c>
      <c r="D42" s="8" t="inlineStr">
        <is>
          <t>base (no prior year)</t>
        </is>
      </c>
      <c r="E42" s="20" t="n">
        <v>349.6033744000001</v>
      </c>
      <c r="F42" s="9" t="n"/>
      <c r="G42" s="9" t="n"/>
      <c r="H42" s="9" t="n"/>
      <c r="I42" s="9" t="n"/>
    </row>
    <row r="43">
      <c r="A43" s="8" t="inlineStr">
        <is>
          <t>FY24</t>
        </is>
      </c>
      <c r="B43" s="20" t="n">
        <v>66.635908</v>
      </c>
      <c r="C43" s="9" t="n">
        <v>0.08259325191798508</v>
      </c>
      <c r="D43" s="8" t="inlineStr">
        <is>
          <t>stable (self-funded)</t>
        </is>
      </c>
      <c r="E43" s="20" t="n">
        <v>549.7562136399999</v>
      </c>
      <c r="F43" s="9" t="n">
        <v>0.5725140370384247</v>
      </c>
      <c r="G43" s="9" t="n">
        <v>0.174587331402872</v>
      </c>
      <c r="H43" s="9" t="n">
        <v>-0.0305529716322571</v>
      </c>
      <c r="I43" s="9" t="n">
        <v>-0.005334161783703418</v>
      </c>
    </row>
    <row r="44">
      <c r="A44" s="8" t="inlineStr">
        <is>
          <t>FY25</t>
        </is>
      </c>
      <c r="B44" s="20" t="n">
        <v>750.846461</v>
      </c>
      <c r="C44" s="9" t="n">
        <v>0.6451169965246994</v>
      </c>
      <c r="D44" s="8" t="inlineStr">
        <is>
          <t>stable (self-funded)</t>
        </is>
      </c>
      <c r="E44" s="20" t="n">
        <v>814.4654646000002</v>
      </c>
      <c r="F44" s="9" t="n">
        <v>0.4815029723944901</v>
      </c>
      <c r="G44" s="9" t="n">
        <v>0.2049145296899502</v>
      </c>
      <c r="H44" s="9" t="n">
        <v>0.8086526103638547</v>
      </c>
      <c r="I44" s="9" t="n">
        <v>0.1657046693352598</v>
      </c>
    </row>
    <row r="46">
      <c r="A46" s="3" t="inlineStr">
        <is>
          <t>Check (a): historical NOPAT CAGR, FY23→FY25 (2yr, both audited FS)</t>
        </is>
      </c>
      <c r="E46" s="9" t="n">
        <v>0.5263303115657783</v>
      </c>
    </row>
    <row r="47">
      <c r="A47" s="3" t="inlineStr">
        <is>
          <t>Check (b): ROIC×RR-implied g, STABLE years only (RR≤100%)</t>
        </is>
      </c>
      <c r="E47" s="9" t="n">
        <v>0.0801852537757782</v>
      </c>
    </row>
    <row r="48">
      <c r="A48" s="13" t="inlineStr">
        <is>
          <t>Crossover check: at the 53% historical CAGR vs ~15% nominal GDP trend, RMDA's NOPAT overtakes all of Egypt's GDP in ≈35 years -- arithmetic necessity, the disqualifier for using the historical CAGR as terminal g.</t>
        </is>
      </c>
    </row>
    <row r="51">
      <c r="A51" s="3" t="inlineStr">
        <is>
          <t>Ke / Kd / WACC standing addendum (13-Jul-2026) -- explicit-window vs terminal anchors</t>
        </is>
      </c>
    </row>
    <row r="52">
      <c r="A52" s="8" t="inlineStr">
        <is>
          <t>CDS default spread (netted from rf)</t>
        </is>
      </c>
      <c r="B52" s="21" t="n">
        <v>0.0341</v>
      </c>
      <c r="C52" s="13" t="inlineStr">
        <is>
          <t>Damodaran, Egypt Caa1: the raw EGP 10Y already embeds this sovereign risk; netting it out before adding the CDS-ERP avoids double-counting</t>
        </is>
      </c>
    </row>
    <row r="53">
      <c r="A53" s="8" t="inlineStr">
        <is>
          <t>Rf, NET of CDS (explicit-window Ke input)</t>
        </is>
      </c>
      <c r="B53" s="21" t="n">
        <v>0.1914</v>
      </c>
    </row>
    <row r="54">
      <c r="A54" s="8" t="inlineStr">
        <is>
          <t>Terminal Rf (norm-built)</t>
        </is>
      </c>
      <c r="B54" s="21" t="n">
        <v>0.125</v>
      </c>
      <c r="C54" s="13" t="inlineStr">
        <is>
          <t>CBE's own 7% medium-term inflation target + ~5.5pp EM real-rate convention</t>
        </is>
      </c>
    </row>
    <row r="55">
      <c r="A55" s="8" t="inlineStr">
        <is>
          <t>Terminal ERP (norm-built)</t>
        </is>
      </c>
      <c r="B55" s="21" t="n">
        <v>0.08</v>
      </c>
    </row>
    <row r="56">
      <c r="A56" s="8" t="inlineStr">
        <is>
          <t>Terminal Kd (20yr Egypt corporate norm)</t>
        </is>
      </c>
      <c r="B56" s="21" t="n">
        <v>0.15</v>
      </c>
      <c r="C56" s="13" t="inlineStr">
        <is>
          <t>User-specified 14-16% long-run norm; midpoint adopted</t>
        </is>
      </c>
    </row>
    <row r="57">
      <c r="A57" s="8" t="inlineStr">
        <is>
          <t>Kd-integrity gate: effective-rate cross-check #1 (1Q26)</t>
        </is>
      </c>
      <c r="B57" s="21" t="n">
        <v>0.24</v>
      </c>
    </row>
    <row r="58">
      <c r="A58" s="8" t="inlineStr">
        <is>
          <t>Kd-integrity gate: effective-rate cross-check #2 (FY25 peak)</t>
        </is>
      </c>
      <c r="B58" s="21" t="n">
        <v>0.286</v>
      </c>
    </row>
    <row r="59">
      <c r="A59" s="13" t="inlineStr">
        <is>
          <t>MANDATORY per the addendum: (i) FX composition of the debt book must be sourced; (ii) Kd must sit within 150bp of an independent effective-rate check; (iii) Kd may not exceed the peak-year effective rate by more than 50bp. All three are hard ASSERTs in compute.py, not warnings.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60" customWidth="1" min="4" max="4"/>
  </cols>
  <sheetData>
    <row r="1">
      <c r="A1" s="1" t="inlineStr">
        <is>
          <t>EV → equity bridge (closes exactly; ASSERT-enforced in compute)</t>
        </is>
      </c>
    </row>
    <row r="2">
      <c r="A2" s="10" t="inlineStr">
        <is>
          <t>Dual net-debt framing stated. Signs: net debt and NCI deducted; non-operating assets added.</t>
        </is>
      </c>
    </row>
    <row r="3">
      <c r="A3" s="5" t="inlineStr">
        <is>
          <t>Bridge item</t>
        </is>
      </c>
      <c r="B3" s="5" t="inlineStr">
        <is>
          <t>EGP mn / EGP</t>
        </is>
      </c>
      <c r="C3" s="5" t="inlineStr"/>
      <c r="D3" s="5" t="inlineStr"/>
    </row>
    <row r="4">
      <c r="A4" s="8" t="inlineStr">
        <is>
          <t>Enterprise value (DCF)</t>
        </is>
      </c>
      <c r="B4" s="22">
        <f>DCF!B29</f>
        <v/>
      </c>
    </row>
    <row r="5">
      <c r="A5" s="8" t="inlineStr">
        <is>
          <t>− Net debt (incl. leases; primary framing)</t>
        </is>
      </c>
      <c r="B5" s="20">
        <f>-Assumptions!$B$32</f>
        <v/>
      </c>
    </row>
    <row r="6">
      <c r="A6" s="8" t="inlineStr">
        <is>
          <t>− NCI (book)</t>
        </is>
      </c>
      <c r="B6" s="20">
        <f>-Assumptions!$B$34</f>
        <v/>
      </c>
    </row>
    <row r="7">
      <c r="A7" s="8" t="inlineStr">
        <is>
          <t>+ Real-estate units (non-operating)</t>
        </is>
      </c>
      <c r="B7" s="22">
        <f>Assumptions!$B$35</f>
        <v/>
      </c>
    </row>
    <row r="8">
      <c r="A8" s="3" t="inlineStr">
        <is>
          <t>Equity value</t>
        </is>
      </c>
      <c r="B8" s="23">
        <f>B4+B5+B6+B7</f>
        <v/>
      </c>
    </row>
    <row r="9">
      <c r="A9" s="8" t="inlineStr">
        <is>
          <t>Per share (EGP)</t>
        </is>
      </c>
      <c r="B9" s="24">
        <f>B8/Assumptions!$B$5</f>
        <v/>
      </c>
    </row>
    <row r="10">
      <c r="A10" s="8" t="inlineStr">
        <is>
          <t>Memo: net debt incl. leases (alt framing)</t>
        </is>
      </c>
      <c r="B10" s="22">
        <f>Assumptions!$B$33</f>
        <v/>
      </c>
    </row>
    <row r="11">
      <c r="A11" s="8" t="inlineStr">
        <is>
          <t>Memo: equity under lease-inclusive framing</t>
        </is>
      </c>
      <c r="B11" s="20">
        <f>B4-B10-Assumptions!$B$34+Assumptions!$B$35</f>
        <v/>
      </c>
    </row>
    <row r="12">
      <c r="A12" s="8" t="inlineStr">
        <is>
          <t>Memo: per share (lease-inclusive)</t>
        </is>
      </c>
      <c r="B12" s="24">
        <f>B11/Assumptions!$B$5</f>
        <v/>
      </c>
    </row>
    <row r="14">
      <c r="A14" s="13" t="inlineStr">
        <is>
          <t>Leases (EGP 82.2mn) are serviced through rent inside EBITDA, so the primary bridge deducts ex-lease net debt; the lease-inclusive framing is shown per the dual-framing rule.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50" customWidth="1" min="10" max="10"/>
  </cols>
  <sheetData>
    <row r="1">
      <c r="A1" s="1" t="inlineStr">
        <is>
          <t>Revenue by channel — audited FY23–FY25, forecast FY26E–FY30E (EGP mn)</t>
        </is>
      </c>
    </row>
    <row r="2">
      <c r="A2" s="10" t="inlineStr">
        <is>
          <t>History blue (FS Note 4); forecast = prior year × (1 + Assumptions growth).</t>
        </is>
      </c>
    </row>
    <row r="3">
      <c r="A3" s="5" t="inlineStr">
        <is>
          <t>EGP mn</t>
        </is>
      </c>
      <c r="B3" s="5" t="inlineStr">
        <is>
          <t>FY23</t>
        </is>
      </c>
      <c r="C3" s="5" t="inlineStr">
        <is>
          <t>FY24</t>
        </is>
      </c>
      <c r="D3" s="5" t="inlineStr">
        <is>
          <t>FY25</t>
        </is>
      </c>
      <c r="E3" s="5" t="inlineStr">
        <is>
          <t>FY26E</t>
        </is>
      </c>
      <c r="F3" s="5" t="inlineStr">
        <is>
          <t>FY27E</t>
        </is>
      </c>
      <c r="G3" s="5" t="inlineStr">
        <is>
          <t>FY28E</t>
        </is>
      </c>
      <c r="H3" s="5" t="inlineStr">
        <is>
          <t>FY29E</t>
        </is>
      </c>
      <c r="I3" s="5" t="inlineStr">
        <is>
          <t>FY30E</t>
        </is>
      </c>
    </row>
    <row r="4">
      <c r="A4" s="3" t="inlineStr">
        <is>
          <t>Private sales</t>
        </is>
      </c>
      <c r="B4" s="15" t="n">
        <v>1418.63</v>
      </c>
      <c r="C4" s="15" t="n">
        <v>2208.19</v>
      </c>
      <c r="D4" s="15" t="n">
        <v>3022.694</v>
      </c>
      <c r="E4" s="22">
        <f>D4*(1+Assumptions!B13)</f>
        <v/>
      </c>
      <c r="F4" s="22">
        <f>E4*(1+Assumptions!C13)</f>
        <v/>
      </c>
      <c r="G4" s="22">
        <f>F4*(1+Assumptions!D13)</f>
        <v/>
      </c>
      <c r="H4" s="22">
        <f>G4*(1+Assumptions!E13)</f>
        <v/>
      </c>
      <c r="I4" s="22">
        <f>H4*(1+Assumptions!F13)</f>
        <v/>
      </c>
    </row>
    <row r="5">
      <c r="A5" s="3" t="inlineStr">
        <is>
          <t>Tenders</t>
        </is>
      </c>
      <c r="B5" s="15" t="n">
        <v>189.47</v>
      </c>
      <c r="C5" s="15" t="n">
        <v>236.43</v>
      </c>
      <c r="D5" s="15" t="n">
        <v>544.982</v>
      </c>
      <c r="E5" s="22">
        <f>D5*(1+Assumptions!B14)</f>
        <v/>
      </c>
      <c r="F5" s="22">
        <f>E5*(1+Assumptions!C14)</f>
        <v/>
      </c>
      <c r="G5" s="22">
        <f>F5*(1+Assumptions!D14)</f>
        <v/>
      </c>
      <c r="H5" s="22">
        <f>G5*(1+Assumptions!E14)</f>
        <v/>
      </c>
      <c r="I5" s="22">
        <f>H5*(1+Assumptions!F14)</f>
        <v/>
      </c>
    </row>
    <row r="6">
      <c r="A6" s="3" t="inlineStr">
        <is>
          <t>Exports</t>
        </is>
      </c>
      <c r="B6" s="15" t="n">
        <v>180.244</v>
      </c>
      <c r="C6" s="15" t="n">
        <v>142.202</v>
      </c>
      <c r="D6" s="15" t="n">
        <v>243.546</v>
      </c>
      <c r="E6" s="22">
        <f>D6*(1+Assumptions!B15)</f>
        <v/>
      </c>
      <c r="F6" s="22">
        <f>E6*(1+Assumptions!C15)</f>
        <v/>
      </c>
      <c r="G6" s="22">
        <f>F6*(1+Assumptions!D15)</f>
        <v/>
      </c>
      <c r="H6" s="22">
        <f>G6*(1+Assumptions!E15)</f>
        <v/>
      </c>
      <c r="I6" s="22">
        <f>H6*(1+Assumptions!F15)</f>
        <v/>
      </c>
    </row>
    <row r="7">
      <c r="A7" s="3" t="inlineStr">
        <is>
          <t>Toll manufacturing</t>
        </is>
      </c>
      <c r="B7" s="15" t="n">
        <v>134.006</v>
      </c>
      <c r="C7" s="15" t="n">
        <v>181.866</v>
      </c>
      <c r="D7" s="15" t="n">
        <v>284.791</v>
      </c>
      <c r="E7" s="22">
        <f>D7*(1+Assumptions!B16)</f>
        <v/>
      </c>
      <c r="F7" s="22">
        <f>E7*(1+Assumptions!C16)</f>
        <v/>
      </c>
      <c r="G7" s="22">
        <f>F7*(1+Assumptions!D16)</f>
        <v/>
      </c>
      <c r="H7" s="22">
        <f>G7*(1+Assumptions!E16)</f>
        <v/>
      </c>
      <c r="I7" s="22">
        <f>H7*(1+Assumptions!F16)</f>
        <v/>
      </c>
    </row>
    <row r="8">
      <c r="A8" s="3" t="inlineStr">
        <is>
          <t>Total revenue</t>
        </is>
      </c>
      <c r="B8" s="23">
        <f>SUM(B4:B7)</f>
        <v/>
      </c>
      <c r="C8" s="23">
        <f>SUM(C4:C7)</f>
        <v/>
      </c>
      <c r="D8" s="23">
        <f>SUM(D4:D7)</f>
        <v/>
      </c>
      <c r="E8" s="23">
        <f>SUM(E4:E7)</f>
        <v/>
      </c>
      <c r="F8" s="23">
        <f>SUM(F4:F7)</f>
        <v/>
      </c>
      <c r="G8" s="23">
        <f>SUM(G4:G7)</f>
        <v/>
      </c>
      <c r="H8" s="23">
        <f>SUM(H4:H7)</f>
        <v/>
      </c>
      <c r="I8" s="23">
        <f>SUM(I4:I7)</f>
        <v/>
      </c>
    </row>
    <row r="9">
      <c r="A9" s="8" t="inlineStr">
        <is>
          <t>Growth YoY</t>
        </is>
      </c>
      <c r="C9" s="9">
        <f>C8/B8-1</f>
        <v/>
      </c>
      <c r="D9" s="9">
        <f>D8/C8-1</f>
        <v/>
      </c>
      <c r="E9" s="9">
        <f>E8/D8-1</f>
        <v/>
      </c>
      <c r="F9" s="9">
        <f>F8/E8-1</f>
        <v/>
      </c>
      <c r="G9" s="9">
        <f>G8/F8-1</f>
        <v/>
      </c>
      <c r="H9" s="9">
        <f>H8/G8-1</f>
        <v/>
      </c>
      <c r="I9" s="9">
        <f>I8/H8-1</f>
        <v/>
      </c>
    </row>
    <row r="11">
      <c r="A11" s="25" t="inlineStr">
        <is>
          <t>Source: Rameda audited consolidated FS FY24/FY25, segment Note 4; forecast drivers per Assumptions rows 13-16.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55" customWidth="1" min="5" max="5"/>
  </cols>
  <sheetData>
    <row r="1">
      <c r="A1" s="1" t="inlineStr">
        <is>
          <t>Relative (own 12-month EV/EBITDA band) &amp; normalized earnings power</t>
        </is>
      </c>
    </row>
    <row r="2">
      <c r="A2" s="10" t="inlineStr">
        <is>
          <t>Same-name benchmark per house rule; band = the multiple range the market itself has paid for RMDA over the last 12 months.</t>
        </is>
      </c>
    </row>
    <row r="3">
      <c r="A3" s="5" t="inlineStr"/>
      <c r="B3" s="5" t="inlineStr">
        <is>
          <t>Bear</t>
        </is>
      </c>
      <c r="C3" s="5" t="inlineStr">
        <is>
          <t>Base</t>
        </is>
      </c>
      <c r="D3" s="5" t="inlineStr">
        <is>
          <t>Bull</t>
        </is>
      </c>
      <c r="E3" s="5" t="inlineStr"/>
    </row>
    <row r="4">
      <c r="A4" s="3" t="inlineStr">
        <is>
          <t>EV/EBITDA × on FY26E EBITDA</t>
        </is>
      </c>
      <c r="B4" s="26" t="n">
        <v>6.5</v>
      </c>
      <c r="C4" s="26" t="n">
        <v>8</v>
      </c>
      <c r="D4" s="26" t="n">
        <v>9.5</v>
      </c>
    </row>
    <row r="5">
      <c r="A5" s="8" t="inlineStr">
        <is>
          <t>FY26E EBITDA (link)</t>
        </is>
      </c>
      <c r="B5" s="22">
        <f>'Income Statement'!E11</f>
        <v/>
      </c>
    </row>
    <row r="6">
      <c r="A6" s="8" t="inlineStr">
        <is>
          <t>Implied EV</t>
        </is>
      </c>
      <c r="B6" s="20">
        <f>B4*$B$5</f>
        <v/>
      </c>
      <c r="C6" s="20">
        <f>C4*$B$5</f>
        <v/>
      </c>
      <c r="D6" s="20">
        <f>D4*$B$5</f>
        <v/>
      </c>
    </row>
    <row r="7">
      <c r="A7" s="8" t="inlineStr">
        <is>
          <t>Equity (− net debt − NCI + non-op)</t>
        </is>
      </c>
      <c r="B7" s="22">
        <f>B6-Assumptions!$B$32-Assumptions!$B$34+Assumptions!$B$35</f>
        <v/>
      </c>
      <c r="C7" s="22">
        <f>C6-Assumptions!$B$32-Assumptions!$B$34+Assumptions!$B$35</f>
        <v/>
      </c>
      <c r="D7" s="22">
        <f>D6-Assumptions!$B$32-Assumptions!$B$34+Assumptions!$B$35</f>
        <v/>
      </c>
    </row>
    <row r="8">
      <c r="A8" s="3" t="inlineStr">
        <is>
          <t>Relative value per share</t>
        </is>
      </c>
      <c r="B8" s="27">
        <f>B7/Assumptions!$B$5</f>
        <v/>
      </c>
      <c r="C8" s="27">
        <f>C7/Assumptions!$B$5</f>
        <v/>
      </c>
      <c r="D8" s="27">
        <f>D7/Assumptions!$B$5</f>
        <v/>
      </c>
    </row>
    <row r="10">
      <c r="A10" s="3" t="inlineStr">
        <is>
          <t>P/E × on FY26E attributable EPS</t>
        </is>
      </c>
      <c r="B10" s="26" t="n">
        <v>11</v>
      </c>
      <c r="C10" s="26" t="n">
        <v>13.5</v>
      </c>
      <c r="D10" s="26" t="n">
        <v>16</v>
      </c>
    </row>
    <row r="11">
      <c r="A11" s="8" t="inlineStr">
        <is>
          <t>FY26E EPS (attributable)</t>
        </is>
      </c>
      <c r="B11" s="6">
        <f>'Income Statement'!E21/Assumptions!$B$5</f>
        <v/>
      </c>
    </row>
    <row r="12">
      <c r="A12" s="3" t="inlineStr">
        <is>
          <t>Normalized value per share</t>
        </is>
      </c>
      <c r="B12" s="27">
        <f>B10*$B$11</f>
        <v/>
      </c>
      <c r="C12" s="27">
        <f>C10*$B$11</f>
        <v/>
      </c>
      <c r="D12" s="27">
        <f>D10*$B$11</f>
        <v/>
      </c>
    </row>
    <row r="14">
      <c r="A14" s="13" t="inlineStr">
        <is>
          <t>Anchors: spot EV/EBITDA 10.7x FY25 / 8.9x FY26E; trailing P/E 37x reported / 25x recurring. Band deliberately set BELOW today's multiple: it prices the finance-cost normalisation the market already assumes.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4" customWidth="1" min="8" max="8"/>
  </cols>
  <sheetData>
    <row r="1">
      <c r="A1" s="1" t="inlineStr">
        <is>
          <t>FCFF DCF — five-year explicit forecast + terminal value</t>
        </is>
      </c>
    </row>
    <row r="2">
      <c r="A2" s="10" t="inlineStr">
        <is>
          <t>Free cash flow to the firm, five-year explicit forecast. Every input links to the model's Assumptions sheet.</t>
        </is>
      </c>
    </row>
    <row r="3">
      <c r="A3" s="5" t="inlineStr">
        <is>
          <t>EGP mn</t>
        </is>
      </c>
      <c r="B3" s="5" t="inlineStr">
        <is>
          <t>FY26E</t>
        </is>
      </c>
      <c r="C3" s="5" t="inlineStr">
        <is>
          <t>FY27E</t>
        </is>
      </c>
      <c r="D3" s="5" t="inlineStr">
        <is>
          <t>FY28E</t>
        </is>
      </c>
      <c r="E3" s="5" t="inlineStr">
        <is>
          <t>FY29E</t>
        </is>
      </c>
      <c r="F3" s="5" t="inlineStr">
        <is>
          <t>FY30E</t>
        </is>
      </c>
      <c r="G3" s="5" t="inlineStr"/>
      <c r="H3" s="5" t="inlineStr"/>
    </row>
    <row r="4">
      <c r="A4" s="8" t="inlineStr">
        <is>
          <t>Revenue</t>
        </is>
      </c>
      <c r="B4" s="22">
        <f>'Income Statement'!E4</f>
        <v/>
      </c>
      <c r="C4" s="22">
        <f>'Income Statement'!F4</f>
        <v/>
      </c>
      <c r="D4" s="22">
        <f>'Income Statement'!G4</f>
        <v/>
      </c>
      <c r="E4" s="22">
        <f>'Income Statement'!H4</f>
        <v/>
      </c>
      <c r="F4" s="22">
        <f>'Income Statement'!I4</f>
        <v/>
      </c>
    </row>
    <row r="5">
      <c r="A5" s="8" t="inlineStr">
        <is>
          <t>EBITDA</t>
        </is>
      </c>
      <c r="B5" s="22">
        <f>'Income Statement'!E11</f>
        <v/>
      </c>
      <c r="C5" s="22">
        <f>'Income Statement'!F11</f>
        <v/>
      </c>
      <c r="D5" s="22">
        <f>'Income Statement'!G11</f>
        <v/>
      </c>
      <c r="E5" s="22">
        <f>'Income Statement'!H11</f>
        <v/>
      </c>
      <c r="F5" s="22">
        <f>'Income Statement'!I11</f>
        <v/>
      </c>
    </row>
    <row r="6">
      <c r="A6" s="8" t="inlineStr">
        <is>
          <t>D&amp;A</t>
        </is>
      </c>
      <c r="B6" s="22">
        <f>-'Income Statement'!E10</f>
        <v/>
      </c>
      <c r="C6" s="22">
        <f>-'Income Statement'!F10</f>
        <v/>
      </c>
      <c r="D6" s="22">
        <f>-'Income Statement'!G10</f>
        <v/>
      </c>
      <c r="E6" s="22">
        <f>-'Income Statement'!H10</f>
        <v/>
      </c>
      <c r="F6" s="22">
        <f>-'Income Statement'!I10</f>
        <v/>
      </c>
    </row>
    <row r="7">
      <c r="A7" s="8" t="inlineStr">
        <is>
          <t>EBIT</t>
        </is>
      </c>
      <c r="B7" s="20">
        <f>B5+B6</f>
        <v/>
      </c>
      <c r="C7" s="20">
        <f>C5+C6</f>
        <v/>
      </c>
      <c r="D7" s="20">
        <f>D5+D6</f>
        <v/>
      </c>
      <c r="E7" s="20">
        <f>E5+E6</f>
        <v/>
      </c>
      <c r="F7" s="20">
        <f>F5+F6</f>
        <v/>
      </c>
    </row>
    <row r="8">
      <c r="A8" s="8" t="inlineStr">
        <is>
          <t>NOPAT (EBIT×(1−t))</t>
        </is>
      </c>
      <c r="B8" s="20">
        <f>B7*(1-Assumptions!$B$6)</f>
        <v/>
      </c>
      <c r="C8" s="20">
        <f>C7*(1-Assumptions!$B$6)</f>
        <v/>
      </c>
      <c r="D8" s="20">
        <f>D7*(1-Assumptions!$B$6)</f>
        <v/>
      </c>
      <c r="E8" s="20">
        <f>E7*(1-Assumptions!$B$6)</f>
        <v/>
      </c>
      <c r="F8" s="20">
        <f>F7*(1-Assumptions!$B$6)</f>
        <v/>
      </c>
    </row>
    <row r="9">
      <c r="A9" s="8" t="inlineStr">
        <is>
          <t>+ D&amp;A</t>
        </is>
      </c>
      <c r="B9" s="20">
        <f>-B6</f>
        <v/>
      </c>
      <c r="C9" s="20">
        <f>-C6</f>
        <v/>
      </c>
      <c r="D9" s="20">
        <f>-D6</f>
        <v/>
      </c>
      <c r="E9" s="20">
        <f>-E6</f>
        <v/>
      </c>
      <c r="F9" s="20">
        <f>-F6</f>
        <v/>
      </c>
    </row>
    <row r="10">
      <c r="A10" s="8" t="inlineStr">
        <is>
          <t>− Capex</t>
        </is>
      </c>
      <c r="B10" s="22">
        <f>-'Income Statement'!E4*Assumptions!B19</f>
        <v/>
      </c>
      <c r="C10" s="22">
        <f>-'Income Statement'!F4*Assumptions!C19</f>
        <v/>
      </c>
      <c r="D10" s="22">
        <f>-'Income Statement'!G4*Assumptions!D19</f>
        <v/>
      </c>
      <c r="E10" s="22">
        <f>-'Income Statement'!H4*Assumptions!E19</f>
        <v/>
      </c>
      <c r="F10" s="22">
        <f>-'Income Statement'!I4*Assumptions!F19</f>
        <v/>
      </c>
    </row>
    <row r="11">
      <c r="A11" s="8" t="inlineStr">
        <is>
          <t>− Δ working capital</t>
        </is>
      </c>
      <c r="B11" s="22">
        <f>-('Income Statement'!E4*Assumptions!B20-('Balance Sheet'!$D8+'Balance Sheet'!$D9+'Balance Sheet'!$D11-'Balance Sheet'!$D16))</f>
        <v/>
      </c>
      <c r="C11" s="22">
        <f>-('Income Statement'!F4*Assumptions!C20-'Income Statement'!E4*Assumptions!B20)</f>
        <v/>
      </c>
      <c r="D11" s="22">
        <f>-('Income Statement'!G4*Assumptions!D20-'Income Statement'!F4*Assumptions!C20)</f>
        <v/>
      </c>
      <c r="E11" s="22">
        <f>-('Income Statement'!H4*Assumptions!E20-'Income Statement'!G4*Assumptions!D20)</f>
        <v/>
      </c>
      <c r="F11" s="22">
        <f>-('Income Statement'!I4*Assumptions!F20-'Income Statement'!H4*Assumptions!E20)</f>
        <v/>
      </c>
    </row>
    <row r="12">
      <c r="A12" s="8" t="inlineStr">
        <is>
          <t>− Employee profit appropriation</t>
        </is>
      </c>
      <c r="B12" s="20" t="n">
        <v>-20.985108592</v>
      </c>
      <c r="C12" s="20" t="n">
        <v>-38.6226581517984</v>
      </c>
      <c r="D12" s="20" t="n">
        <v>-53.16899599300949</v>
      </c>
      <c r="E12" s="20" t="n">
        <v>-66.64963839209568</v>
      </c>
      <c r="F12" s="20" t="n">
        <v>-79.84331183359456</v>
      </c>
    </row>
    <row r="13">
      <c r="A13" s="3" t="inlineStr">
        <is>
          <t>Free cash flow to firm (FCFF)</t>
        </is>
      </c>
      <c r="B13" s="23">
        <f>B8+B9+B10+B11+B12</f>
        <v/>
      </c>
      <c r="C13" s="23">
        <f>C8+C9+C10+C11+C12</f>
        <v/>
      </c>
      <c r="D13" s="23">
        <f>D8+D9+D10+D11+D12</f>
        <v/>
      </c>
      <c r="E13" s="23">
        <f>E8+E9+E10+E11+E12</f>
        <v/>
      </c>
      <c r="F13" s="23">
        <f>F8+F9+F10+F11+F12</f>
        <v/>
      </c>
    </row>
    <row r="14">
      <c r="A14" s="8" t="inlineStr">
        <is>
          <t>Forward rate (sliding, Y1→Y5; addendum 13-Jul-26)</t>
        </is>
      </c>
      <c r="B14" s="9" t="n">
        <v>0.266046076555325</v>
      </c>
      <c r="C14" s="9" t="n">
        <v>0.2383294768719438</v>
      </c>
      <c r="D14" s="9" t="n">
        <v>0.2161561971252388</v>
      </c>
      <c r="E14" s="9" t="n">
        <v>0.1995262373152101</v>
      </c>
      <c r="F14" s="9" t="n">
        <v>0.1884395974418576</v>
      </c>
    </row>
    <row r="15">
      <c r="A15" s="8" t="inlineStr">
        <is>
          <t>Cumulative discount factor</t>
        </is>
      </c>
      <c r="B15" s="28" t="n">
        <v>0.7898606682000179</v>
      </c>
      <c r="C15" s="28" t="n">
        <v>0.6378437103792675</v>
      </c>
      <c r="D15" s="28" t="n">
        <v>0.5244751553188712</v>
      </c>
      <c r="E15" s="28" t="n">
        <v>0.4372352508876805</v>
      </c>
      <c r="F15" s="28" t="n">
        <v>0.3679070032914075</v>
      </c>
    </row>
    <row r="16">
      <c r="A16" s="8" t="inlineStr">
        <is>
          <t>PV of FCFF</t>
        </is>
      </c>
      <c r="B16" s="23">
        <f>B13*B15</f>
        <v/>
      </c>
      <c r="C16" s="23">
        <f>C13*C15</f>
        <v/>
      </c>
      <c r="D16" s="23">
        <f>D13*D15</f>
        <v/>
      </c>
      <c r="E16" s="23">
        <f>E13*E15</f>
        <v/>
      </c>
      <c r="F16" s="23">
        <f>F13*F15</f>
        <v/>
      </c>
    </row>
    <row r="18">
      <c r="A18" s="3" t="inlineStr">
        <is>
          <t>WACC build (SLIDING schedule: explicit-window -&gt; terminal; Ke/Kd/WACC addendum 13-Jul-26; see Assumptions rows below TG-reconciliation for the sourced inputs)</t>
        </is>
      </c>
    </row>
    <row r="19">
      <c r="A19" s="8" t="inlineStr">
        <is>
          <t>Ke, explicit window (net-CDS, primary)</t>
        </is>
      </c>
      <c r="B19" s="21" t="n">
        <v>0.2855</v>
      </c>
      <c r="C19" s="8" t="inlineStr">
        <is>
          <t>Ke, terminal (norm-built)</t>
        </is>
      </c>
      <c r="D19" s="21" t="n">
        <v>0.205</v>
      </c>
    </row>
    <row r="20">
      <c r="A20" s="8" t="inlineStr">
        <is>
          <t>Kd after-tax, explicit</t>
        </is>
      </c>
      <c r="B20" s="21" t="n">
        <v>0.1786</v>
      </c>
      <c r="C20" s="8" t="inlineStr">
        <is>
          <t>Kd after-tax, terminal</t>
        </is>
      </c>
      <c r="D20" s="21" t="n">
        <v>0.114</v>
      </c>
    </row>
    <row r="21">
      <c r="A21" s="8" t="inlineStr">
        <is>
          <t>We (mkt cap / (mkt cap + gross facilities))</t>
        </is>
      </c>
      <c r="B21" s="21" t="n">
        <v>0.8180175543061272</v>
      </c>
    </row>
    <row r="22">
      <c r="A22" s="3" t="inlineStr">
        <is>
          <t>WACC, explicit window (Y1 forward rate)</t>
        </is>
      </c>
      <c r="B22" s="29" t="n">
        <v>0.266046076555325</v>
      </c>
      <c r="C22" s="3" t="inlineStr">
        <is>
          <t>WACC, terminal (Y5+ forward rate)</t>
        </is>
      </c>
      <c r="D22" s="29" t="n">
        <v>0.1884395974418576</v>
      </c>
    </row>
    <row r="23">
      <c r="A23" s="8" t="inlineStr">
        <is>
          <t>Retired-primary WACC (un-netted rf; flat; disclosed for audit trail)</t>
        </is>
      </c>
      <c r="B23" s="21" t="n">
        <v>0.2939404751571639</v>
      </c>
    </row>
    <row r="24">
      <c r="A24" s="30" t="inlineStr">
        <is>
          <t>Row 14 is the per-year forward rate, sliding linearly from row 22's explicit-window value (Y1) to its terminal value (Y5) -- see docx §1.8 for the year-by-year table. Values sourced from compute.py's study_numbers_rmda.json (same pipeline as the DCF waterfall above).</t>
        </is>
      </c>
    </row>
    <row r="26">
      <c r="A26" s="3" t="inlineStr">
        <is>
          <t>Terminal value = FCFF₅×(1+g)/(WACC_term−g)</t>
        </is>
      </c>
      <c r="B26" s="22">
        <f>F13*(1+Assumptions!$B$12)/(D22-Assumptions!$B$12)</f>
        <v/>
      </c>
    </row>
    <row r="27">
      <c r="A27" s="8" t="inlineStr">
        <is>
          <t>PV of terminal value</t>
        </is>
      </c>
      <c r="B27" s="20">
        <f>B26*F15</f>
        <v/>
      </c>
    </row>
    <row r="28">
      <c r="A28" s="8" t="inlineStr">
        <is>
          <t>PV of explicit FCFF (Σ)</t>
        </is>
      </c>
      <c r="B28" s="20">
        <f>SUM(B16:F16)</f>
        <v/>
      </c>
    </row>
    <row r="29">
      <c r="A29" s="3" t="inlineStr">
        <is>
          <t>Enterprise value</t>
        </is>
      </c>
      <c r="B29" s="23">
        <f>B27+B28</f>
        <v/>
      </c>
    </row>
    <row r="30">
      <c r="A30" s="8" t="inlineStr">
        <is>
          <t>Terminal value as % of EV (disclosed)</t>
        </is>
      </c>
      <c r="B30" s="31">
        <f>B27/B29</f>
        <v/>
      </c>
    </row>
    <row r="31">
      <c r="A31" s="8" t="inlineStr">
        <is>
          <t>− Net debt (incl. leases; primary IFRS-16 framing)</t>
        </is>
      </c>
      <c r="B31" s="22">
        <f>-Assumptions!$B$32</f>
        <v/>
      </c>
    </row>
    <row r="32">
      <c r="A32" s="8" t="inlineStr">
        <is>
          <t>− Non-controlling interest</t>
        </is>
      </c>
      <c r="B32" s="22">
        <f>-Assumptions!$B$34</f>
        <v/>
      </c>
    </row>
    <row r="33">
      <c r="A33" s="8" t="inlineStr">
        <is>
          <t>+ Non-operating real-estate units</t>
        </is>
      </c>
      <c r="B33" s="22">
        <f>Assumptions!$B$35</f>
        <v/>
      </c>
    </row>
    <row r="34">
      <c r="A34" s="3" t="inlineStr">
        <is>
          <t>Equity value</t>
        </is>
      </c>
      <c r="B34" s="23">
        <f>B29+B31+B32+B33</f>
        <v/>
      </c>
    </row>
    <row r="35">
      <c r="A35" s="8" t="inlineStr">
        <is>
          <t>÷ Shares (mn)</t>
        </is>
      </c>
      <c r="B35" s="22">
        <f>Assumptions!$B$5</f>
        <v/>
      </c>
    </row>
    <row r="36">
      <c r="A36" s="3" t="inlineStr">
        <is>
          <t>DCF fair value per share (EGP)</t>
        </is>
      </c>
      <c r="B36" s="12">
        <f>B34/B35</f>
        <v/>
      </c>
    </row>
    <row r="37">
      <c r="A37" s="8" t="inlineStr">
        <is>
          <t>vs spot</t>
        </is>
      </c>
      <c r="B37" s="9">
        <f>B36/Assumptions!$B$4-1</f>
        <v/>
      </c>
    </row>
    <row r="39">
      <c r="A39" s="13" t="inlineStr">
        <is>
          <t>Caption: Free cash flow to the firm, five-year explicit forecast, discounted on the SLIDING forward-rate schedule (explicit-window -&gt; terminal norm-built rate; Ke/Kd/WACC addendum 13-Jul-2026). Every input links to the model's Assumptions sheet. Capex, ΔWC and the employee appropriation shown in parentheses (negative).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50" customWidth="1" min="10" max="10"/>
  </cols>
  <sheetData>
    <row r="1">
      <c r="A1" s="1" t="inlineStr">
        <is>
          <t>Income statement — 3 audited + 5 forecast (EGP mn)</t>
        </is>
      </c>
    </row>
    <row r="2">
      <c r="A2" s="10" t="inlineStr">
        <is>
          <t>Actuals blue, tied to audited FS notes; forecast black formulas. EBITDA = EBIT + D&amp;A (company-adjusted 1,166 FY25 reconciles via provisions/UHT).</t>
        </is>
      </c>
    </row>
    <row r="3">
      <c r="A3" s="5" t="inlineStr">
        <is>
          <t>EGP mn</t>
        </is>
      </c>
      <c r="B3" s="5" t="inlineStr">
        <is>
          <t>FY23</t>
        </is>
      </c>
      <c r="C3" s="5" t="inlineStr">
        <is>
          <t>FY24</t>
        </is>
      </c>
      <c r="D3" s="5" t="inlineStr">
        <is>
          <t>FY25</t>
        </is>
      </c>
      <c r="E3" s="5" t="inlineStr">
        <is>
          <t>FY26E</t>
        </is>
      </c>
      <c r="F3" s="5" t="inlineStr">
        <is>
          <t>FY27E</t>
        </is>
      </c>
      <c r="G3" s="5" t="inlineStr">
        <is>
          <t>FY28E</t>
        </is>
      </c>
      <c r="H3" s="5" t="inlineStr">
        <is>
          <t>FY29E</t>
        </is>
      </c>
      <c r="I3" s="5" t="inlineStr">
        <is>
          <t>FY30E</t>
        </is>
      </c>
    </row>
    <row r="4">
      <c r="A4" s="8" t="inlineStr">
        <is>
          <t>Revenue</t>
        </is>
      </c>
      <c r="B4" s="15" t="n">
        <v>1922.350721</v>
      </c>
      <c r="C4" s="15" t="n">
        <v>2768.688428</v>
      </c>
      <c r="D4" s="15" t="n">
        <v>4096.012746</v>
      </c>
      <c r="E4" s="22">
        <f>Segments!E8</f>
        <v/>
      </c>
      <c r="F4" s="22">
        <f>Segments!F8</f>
        <v/>
      </c>
      <c r="G4" s="22">
        <f>Segments!G8</f>
        <v/>
      </c>
      <c r="H4" s="22">
        <f>Segments!H8</f>
        <v/>
      </c>
      <c r="I4" s="22">
        <f>Segments!I8</f>
        <v/>
      </c>
    </row>
    <row r="5">
      <c r="A5" s="8" t="inlineStr">
        <is>
          <t>Cost of revenues</t>
        </is>
      </c>
      <c r="B5" s="15" t="n">
        <v>1016.435585</v>
      </c>
      <c r="C5" s="15" t="n">
        <v>1485.024414</v>
      </c>
      <c r="D5" s="15" t="n">
        <v>2114.469591</v>
      </c>
      <c r="E5" s="20" t="n">
        <v>-2449.09669536</v>
      </c>
      <c r="F5" s="20" t="n">
        <v>-2731.1216883</v>
      </c>
      <c r="G5" s="20" t="n">
        <v>-3003.53772548872</v>
      </c>
      <c r="H5" s="20" t="n">
        <v>-3278.050942714292</v>
      </c>
      <c r="I5" s="20" t="n">
        <v>-3566.424882120703</v>
      </c>
    </row>
    <row r="6">
      <c r="A6" s="3" t="inlineStr">
        <is>
          <t>Gross profit</t>
        </is>
      </c>
      <c r="B6" s="23">
        <f>B4-B5</f>
        <v/>
      </c>
      <c r="C6" s="23">
        <f>C4-C5</f>
        <v/>
      </c>
      <c r="D6" s="23">
        <f>D4-D5</f>
        <v/>
      </c>
      <c r="E6" s="20">
        <f>E4+E5</f>
        <v/>
      </c>
      <c r="F6" s="20">
        <f>F4+F5</f>
        <v/>
      </c>
      <c r="G6" s="20">
        <f>G4+G5</f>
        <v/>
      </c>
      <c r="H6" s="20">
        <f>H4+H5</f>
        <v/>
      </c>
      <c r="I6" s="20">
        <f>I4+I5</f>
        <v/>
      </c>
    </row>
    <row r="7">
      <c r="A7" s="8" t="inlineStr">
        <is>
          <t>Selling &amp; marketing</t>
        </is>
      </c>
      <c r="B7" s="15" t="n">
        <v>363.580501</v>
      </c>
      <c r="C7" s="15" t="n">
        <v>447.876799</v>
      </c>
      <c r="D7" s="15" t="n">
        <v>759.884591</v>
      </c>
      <c r="E7" s="20" t="n">
        <v>-932.9892172800003</v>
      </c>
      <c r="F7" s="20" t="n">
        <v>-1043.2884849306</v>
      </c>
      <c r="G7" s="20" t="n">
        <v>-1154.277073578161</v>
      </c>
      <c r="H7" s="20" t="n">
        <v>-1255.704998217169</v>
      </c>
      <c r="I7" s="20" t="n">
        <v>-1366.170821780108</v>
      </c>
    </row>
    <row r="8">
      <c r="A8" s="8" t="inlineStr">
        <is>
          <t>General &amp; administrative</t>
        </is>
      </c>
      <c r="B8" s="15" t="n">
        <v>82.330195</v>
      </c>
      <c r="C8" s="15" t="n">
        <v>112.423776</v>
      </c>
      <c r="D8" s="15" t="n">
        <v>149.993479</v>
      </c>
      <c r="E8" s="20" t="n">
        <v>-204.09139128</v>
      </c>
      <c r="F8" s="20" t="n">
        <v>-223.9519784406</v>
      </c>
      <c r="G8" s="20" t="n">
        <v>-241.7334185504</v>
      </c>
      <c r="H8" s="20" t="n">
        <v>-264.358946993088</v>
      </c>
      <c r="I8" s="20" t="n">
        <v>-287.6149098484438</v>
      </c>
    </row>
    <row r="9">
      <c r="A9" s="3" t="inlineStr">
        <is>
          <t>EBIT (GP − S&amp;M − G&amp;A)</t>
        </is>
      </c>
      <c r="B9" s="23">
        <f>B6-B7-B8</f>
        <v/>
      </c>
      <c r="C9" s="23">
        <f>C6-C7-C8</f>
        <v/>
      </c>
      <c r="D9" s="23">
        <f>D6-D7-D8</f>
        <v/>
      </c>
      <c r="E9" s="23">
        <f>E11-E10</f>
        <v/>
      </c>
      <c r="F9" s="23">
        <f>F11-F10</f>
        <v/>
      </c>
      <c r="G9" s="23">
        <f>G11-G10</f>
        <v/>
      </c>
      <c r="H9" s="23">
        <f>H11-H10</f>
        <v/>
      </c>
      <c r="I9" s="23">
        <f>I11-I10</f>
        <v/>
      </c>
    </row>
    <row r="10">
      <c r="A10" s="8" t="inlineStr">
        <is>
          <t>D&amp;A (total, CF basis)</t>
        </is>
      </c>
      <c r="B10" s="15" t="n">
        <v>72.883988</v>
      </c>
      <c r="C10" s="15" t="n">
        <v>83.43259399999999</v>
      </c>
      <c r="D10" s="15" t="n">
        <v>92.226837</v>
      </c>
      <c r="E10" s="22">
        <f>E4*Assumptions!B18</f>
        <v/>
      </c>
      <c r="F10" s="22">
        <f>F4*Assumptions!C18</f>
        <v/>
      </c>
      <c r="G10" s="22">
        <f>G4*Assumptions!D18</f>
        <v/>
      </c>
      <c r="H10" s="22">
        <f>H4*Assumptions!E18</f>
        <v/>
      </c>
      <c r="I10" s="22">
        <f>I4*Assumptions!F18</f>
        <v/>
      </c>
    </row>
    <row r="11">
      <c r="A11" s="3" t="inlineStr">
        <is>
          <t>EBITDA (EBIT + D&amp;A)</t>
        </is>
      </c>
      <c r="B11" s="23">
        <f>B9+B10</f>
        <v/>
      </c>
      <c r="C11" s="23">
        <f>C9+C10</f>
        <v/>
      </c>
      <c r="D11" s="23">
        <f>D9+D10</f>
        <v/>
      </c>
      <c r="E11" s="32">
        <f>E4*Assumptions!B17</f>
        <v/>
      </c>
      <c r="F11" s="32">
        <f>F4*Assumptions!C17</f>
        <v/>
      </c>
      <c r="G11" s="32">
        <f>G4*Assumptions!D17</f>
        <v/>
      </c>
      <c r="H11" s="32">
        <f>H4*Assumptions!E17</f>
        <v/>
      </c>
      <c r="I11" s="32">
        <f>I4*Assumptions!F17</f>
        <v/>
      </c>
    </row>
    <row r="12">
      <c r="A12" s="8" t="inlineStr">
        <is>
          <t>Other income</t>
        </is>
      </c>
      <c r="B12" s="15" t="n">
        <v>7.476152</v>
      </c>
      <c r="C12" s="15" t="n">
        <v>27.305011</v>
      </c>
      <c r="D12" s="15" t="n">
        <v>9.131976999999999</v>
      </c>
      <c r="E12" s="20" t="n">
        <v>0</v>
      </c>
      <c r="F12" s="20" t="n">
        <v>0</v>
      </c>
      <c r="G12" s="20" t="n">
        <v>0</v>
      </c>
      <c r="H12" s="20" t="n">
        <v>0</v>
      </c>
      <c r="I12" s="20" t="n">
        <v>0</v>
      </c>
    </row>
    <row r="13">
      <c r="A13" s="8" t="inlineStr">
        <is>
          <t>Impairment of trade &amp; notes receivable</t>
        </is>
      </c>
      <c r="B13" s="15" t="n">
        <v>3.808579</v>
      </c>
      <c r="C13" s="15" t="n">
        <v>11.442943</v>
      </c>
      <c r="D13" s="15" t="n">
        <v>104.79868</v>
      </c>
      <c r="E13" s="20" t="n">
        <v>0</v>
      </c>
      <c r="F13" s="20" t="n">
        <v>0</v>
      </c>
      <c r="G13" s="20" t="n">
        <v>0</v>
      </c>
      <c r="H13" s="20" t="n">
        <v>0</v>
      </c>
      <c r="I13" s="20" t="n">
        <v>0</v>
      </c>
    </row>
    <row r="14">
      <c r="A14" s="8" t="inlineStr">
        <is>
          <t>FX gain/(loss)</t>
        </is>
      </c>
      <c r="B14" s="15" t="n">
        <v>0.4241</v>
      </c>
      <c r="C14" s="15" t="n">
        <v>34.47665</v>
      </c>
      <c r="D14" s="15" t="n">
        <v>-24.824553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</row>
    <row r="15">
      <c r="A15" s="8" t="inlineStr">
        <is>
          <t>Other charges (UHT &amp; sundry, derived residual)</t>
        </is>
      </c>
      <c r="B15" s="15" t="n">
        <v>-5.291891000000021</v>
      </c>
      <c r="C15" s="15" t="n">
        <v>-2.493714999999838</v>
      </c>
      <c r="D15" s="15" t="n">
        <v>-7.912984000000279</v>
      </c>
      <c r="E15" s="20" t="n">
        <v>0</v>
      </c>
      <c r="F15" s="20" t="n">
        <v>0</v>
      </c>
      <c r="G15" s="20" t="n">
        <v>0</v>
      </c>
      <c r="H15" s="20" t="n">
        <v>0</v>
      </c>
      <c r="I15" s="20" t="n">
        <v>0</v>
      </c>
    </row>
    <row r="16">
      <c r="A16" s="8" t="inlineStr">
        <is>
          <t>Finance income</t>
        </is>
      </c>
      <c r="B16" s="15" t="n">
        <v>62.902521</v>
      </c>
      <c r="C16" s="15" t="n">
        <v>65.852148</v>
      </c>
      <c r="D16" s="15" t="n">
        <v>18.805832</v>
      </c>
      <c r="E16" s="22">
        <f>'Balance Sheet'!D12*0.15</f>
        <v/>
      </c>
      <c r="F16" s="22">
        <f>'Balance Sheet'!E12*0.15</f>
        <v/>
      </c>
      <c r="G16" s="22">
        <f>'Balance Sheet'!F12*0.15</f>
        <v/>
      </c>
      <c r="H16" s="22">
        <f>'Balance Sheet'!G12*0.15</f>
        <v/>
      </c>
      <c r="I16" s="22">
        <f>'Balance Sheet'!H12*0.15</f>
        <v/>
      </c>
    </row>
    <row r="17">
      <c r="A17" s="8" t="inlineStr">
        <is>
          <t>Finance expense</t>
        </is>
      </c>
      <c r="B17" s="15" t="n">
        <v>194.259309</v>
      </c>
      <c r="C17" s="15" t="n">
        <v>310.941867</v>
      </c>
      <c r="D17" s="15" t="n">
        <v>537.967078</v>
      </c>
      <c r="E17" s="22">
        <f>'Balance Sheet'!D14*Assumptions!B21</f>
        <v/>
      </c>
      <c r="F17" s="22">
        <f>'Balance Sheet'!E14*Assumptions!C21</f>
        <v/>
      </c>
      <c r="G17" s="22">
        <f>'Balance Sheet'!F14*Assumptions!D21</f>
        <v/>
      </c>
      <c r="H17" s="22">
        <f>'Balance Sheet'!G14*Assumptions!E21</f>
        <v/>
      </c>
      <c r="I17" s="22">
        <f>'Balance Sheet'!H14*Assumptions!F21</f>
        <v/>
      </c>
    </row>
    <row r="18">
      <c r="A18" s="3" t="inlineStr">
        <is>
          <t>Profit before tax</t>
        </is>
      </c>
      <c r="B18" s="33">
        <f>B9+B12-B13+B14+B15+B16-B17</f>
        <v/>
      </c>
      <c r="C18" s="33">
        <f>C9+C12-C13+C14+C15+C16-C17</f>
        <v/>
      </c>
      <c r="D18" s="33">
        <f>D9+D12-D13+D14+D15+D16-D17</f>
        <v/>
      </c>
      <c r="E18" s="33">
        <f>E9+E16-E17</f>
        <v/>
      </c>
      <c r="F18" s="33">
        <f>F9+F16-F17</f>
        <v/>
      </c>
      <c r="G18" s="33">
        <f>G9+G16-G17</f>
        <v/>
      </c>
      <c r="H18" s="33">
        <f>H9+H16-H17</f>
        <v/>
      </c>
      <c r="I18" s="33">
        <f>I9+I16-I17</f>
        <v/>
      </c>
    </row>
    <row r="19">
      <c r="A19" s="3" t="inlineStr">
        <is>
          <t>Income tax</t>
        </is>
      </c>
      <c r="B19" s="15" t="n">
        <v>-74.24152599999999</v>
      </c>
      <c r="C19" s="15" t="n">
        <v>-124.311589</v>
      </c>
      <c r="D19" s="15" t="n">
        <v>-110.889023</v>
      </c>
      <c r="E19" s="22">
        <f>-E18*Assumptions!$B$6</f>
        <v/>
      </c>
      <c r="F19" s="22">
        <f>-F18*Assumptions!$B$6</f>
        <v/>
      </c>
      <c r="G19" s="22">
        <f>-G18*Assumptions!$B$6</f>
        <v/>
      </c>
      <c r="H19" s="22">
        <f>-H18*Assumptions!$B$6</f>
        <v/>
      </c>
      <c r="I19" s="22">
        <f>-I18*Assumptions!$B$6</f>
        <v/>
      </c>
    </row>
    <row r="20">
      <c r="A20" s="3" t="inlineStr">
        <is>
          <t>Net income</t>
        </is>
      </c>
      <c r="B20" s="23">
        <f>B18+B19</f>
        <v/>
      </c>
      <c r="C20" s="23">
        <f>C18+C19</f>
        <v/>
      </c>
      <c r="D20" s="23">
        <f>D18+D19</f>
        <v/>
      </c>
      <c r="E20" s="23">
        <f>E18+E19</f>
        <v/>
      </c>
      <c r="F20" s="23">
        <f>F18+F19</f>
        <v/>
      </c>
      <c r="G20" s="23">
        <f>G18+G19</f>
        <v/>
      </c>
      <c r="H20" s="23">
        <f>H18+H19</f>
        <v/>
      </c>
      <c r="I20" s="23">
        <f>I18+I19</f>
        <v/>
      </c>
    </row>
    <row r="21">
      <c r="A21" s="8" t="inlineStr">
        <is>
          <t xml:space="preserve">  attributable to parent</t>
        </is>
      </c>
      <c r="B21" s="15" t="n">
        <v>244.859448</v>
      </c>
      <c r="C21" s="15" t="n">
        <v>387.366872</v>
      </c>
      <c r="D21" s="15" t="n">
        <v>298.464697</v>
      </c>
      <c r="E21" s="20">
        <f>E20*0.953</f>
        <v/>
      </c>
      <c r="F21" s="20">
        <f>F20*0.953</f>
        <v/>
      </c>
      <c r="G21" s="20">
        <f>G20*0.953</f>
        <v/>
      </c>
      <c r="H21" s="20">
        <f>H20*0.953</f>
        <v/>
      </c>
      <c r="I21" s="20">
        <f>I20*0.953</f>
        <v/>
      </c>
    </row>
    <row r="22">
      <c r="A22" s="3" t="inlineStr">
        <is>
          <t>Dividends declared (EGP mn)</t>
        </is>
      </c>
      <c r="B22" s="15" t="n">
        <v>16.7625</v>
      </c>
      <c r="C22" s="15" t="n">
        <v>121.275</v>
      </c>
      <c r="D22" s="15" t="n">
        <v>188.912503</v>
      </c>
      <c r="E22" s="22">
        <f>Assumptions!$B$23</f>
        <v/>
      </c>
      <c r="F22" s="22">
        <f>MAX(Assumptions!$B$23,Assumptions!$B$24*F20)</f>
        <v/>
      </c>
      <c r="G22" s="22">
        <f>MAX(Assumptions!$B$23,Assumptions!$B$24*G20)</f>
        <v/>
      </c>
      <c r="H22" s="22">
        <f>MAX(Assumptions!$B$23,Assumptions!$B$24*H20)</f>
        <v/>
      </c>
      <c r="I22" s="22">
        <f>MAX(Assumptions!$B$23,Assumptions!$B$24*I20)</f>
        <v/>
      </c>
    </row>
    <row r="23">
      <c r="A23" s="3" t="inlineStr">
        <is>
          <t>Memo: employees’ profit appropriation (cash, paid from prior-year NI; charged in FCFF)</t>
        </is>
      </c>
      <c r="E23" s="20" t="n">
        <v>-20.985108592</v>
      </c>
      <c r="F23" s="20" t="n">
        <v>-38.6226581517984</v>
      </c>
      <c r="G23" s="20" t="n">
        <v>-53.16899599300949</v>
      </c>
      <c r="H23" s="20" t="n">
        <v>-66.64963839209568</v>
      </c>
      <c r="I23" s="20" t="n">
        <v>-79.84331183359456</v>
      </c>
    </row>
    <row r="24">
      <c r="A24" s="3" t="inlineStr">
        <is>
          <t>Memo: share-based payment expense inside opex (non-cash; ESOP vesting)</t>
        </is>
      </c>
      <c r="E24" s="20" t="n">
        <v>-64</v>
      </c>
      <c r="F24" s="20" t="n">
        <v>-48</v>
      </c>
      <c r="G24" s="20" t="n">
        <v>-24</v>
      </c>
      <c r="H24" s="20" t="n">
        <v>-0</v>
      </c>
      <c r="I24" s="20" t="n">
        <v>-0</v>
      </c>
    </row>
    <row r="26">
      <c r="A26" s="25" t="inlineStr">
        <is>
          <t>Sources: audited FS FY24/FY25 (Notes 23-30, CF statement); NCI share 4.7% of NI (FY25). FY25 one-off: EGP 99.4mn UCP/MEC receivable fully provisioned. Forecast cost lines: GM &amp; G&amp;A sourced drivers, S&amp;M the derived residual (asserted 19.2% declining vs 1Q26 18.9%); appropriation = 6.7% of prior-year NI (EGM 20-May-26: EGP 21mn from FY25 profit).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50" customWidth="1" min="10" max="10"/>
  </cols>
  <sheetData>
    <row r="1">
      <c r="A1" s="1" t="inlineStr">
        <is>
          <t>Balance sheet — 3 audited + 5 forecast (EGP mn)</t>
        </is>
      </c>
    </row>
    <row r="2">
      <c r="A2" s="10" t="inlineStr">
        <is>
          <t>Actuals blue (FS notes); income-tax payable is the derived balancing line (documented); forecast facilities are the plug.</t>
        </is>
      </c>
    </row>
    <row r="3">
      <c r="A3" s="5" t="inlineStr">
        <is>
          <t>EGP mn</t>
        </is>
      </c>
      <c r="B3" s="5" t="inlineStr">
        <is>
          <t>FY23</t>
        </is>
      </c>
      <c r="C3" s="5" t="inlineStr">
        <is>
          <t>FY24</t>
        </is>
      </c>
      <c r="D3" s="5" t="inlineStr">
        <is>
          <t>FY25</t>
        </is>
      </c>
      <c r="E3" s="5" t="inlineStr">
        <is>
          <t>FY26E</t>
        </is>
      </c>
      <c r="F3" s="5" t="inlineStr">
        <is>
          <t>FY27E</t>
        </is>
      </c>
      <c r="G3" s="5" t="inlineStr">
        <is>
          <t>FY28E</t>
        </is>
      </c>
      <c r="H3" s="5" t="inlineStr">
        <is>
          <t>FY29E</t>
        </is>
      </c>
      <c r="I3" s="5" t="inlineStr">
        <is>
          <t>FY30E</t>
        </is>
      </c>
    </row>
    <row r="4">
      <c r="A4" s="8" t="inlineStr">
        <is>
          <t>Fixed assets (incl. AUC)</t>
        </is>
      </c>
      <c r="B4" s="15" t="n">
        <v>593.657768</v>
      </c>
      <c r="C4" s="15" t="n">
        <v>613.158155</v>
      </c>
      <c r="D4" s="15" t="n">
        <v>719.992976</v>
      </c>
      <c r="E4" s="22">
        <f>D4+'Income Statement'!E4*Assumptions!B19-0.55*'Income Statement'!E10</f>
        <v/>
      </c>
      <c r="F4" s="22">
        <f>E4+'Income Statement'!F4*Assumptions!C19-0.55*'Income Statement'!F10</f>
        <v/>
      </c>
      <c r="G4" s="22">
        <f>F4+'Income Statement'!G4*Assumptions!D19-0.55*'Income Statement'!G10</f>
        <v/>
      </c>
      <c r="H4" s="22">
        <f>G4+'Income Statement'!H4*Assumptions!E19-0.55*'Income Statement'!H10</f>
        <v/>
      </c>
      <c r="I4" s="22">
        <f>H4+'Income Statement'!I4*Assumptions!F19-0.55*'Income Statement'!I10</f>
        <v/>
      </c>
    </row>
    <row r="5">
      <c r="A5" s="8" t="inlineStr">
        <is>
          <t>Right-of-use assets</t>
        </is>
      </c>
      <c r="B5" s="15" t="n">
        <v>12.391296</v>
      </c>
      <c r="C5" s="15" t="n">
        <v>8.357448</v>
      </c>
      <c r="D5" s="15" t="n">
        <v>72.155756</v>
      </c>
      <c r="E5" s="20">
        <f>$D5</f>
        <v/>
      </c>
      <c r="F5" s="20">
        <f>$D5</f>
        <v/>
      </c>
      <c r="G5" s="20">
        <f>$D5</f>
        <v/>
      </c>
      <c r="H5" s="20">
        <f>$D5</f>
        <v/>
      </c>
      <c r="I5" s="20">
        <f>$D5</f>
        <v/>
      </c>
    </row>
    <row r="6">
      <c r="A6" s="8" t="inlineStr">
        <is>
          <t>Intangible assets</t>
        </is>
      </c>
      <c r="B6" s="15" t="n">
        <v>589.271529</v>
      </c>
      <c r="C6" s="15" t="n">
        <v>552.785013</v>
      </c>
      <c r="D6" s="15" t="n">
        <v>1110.797408</v>
      </c>
      <c r="E6" s="22">
        <f>D6-0.45*'Income Statement'!E10</f>
        <v/>
      </c>
      <c r="F6" s="22">
        <f>E6-0.45*'Income Statement'!F10</f>
        <v/>
      </c>
      <c r="G6" s="22">
        <f>F6-0.45*'Income Statement'!G10</f>
        <v/>
      </c>
      <c r="H6" s="22">
        <f>G6-0.45*'Income Statement'!H10</f>
        <v/>
      </c>
      <c r="I6" s="22">
        <f>H6-0.45*'Income Statement'!I10</f>
        <v/>
      </c>
    </row>
    <row r="7">
      <c r="A7" s="8" t="inlineStr">
        <is>
          <t>Other assets (real-estate units)</t>
        </is>
      </c>
      <c r="B7" s="15" t="n">
        <v>0</v>
      </c>
      <c r="C7" s="15" t="n">
        <v>93.839078</v>
      </c>
      <c r="D7" s="15" t="n">
        <v>93.839078</v>
      </c>
      <c r="E7" s="20">
        <f>$D7</f>
        <v/>
      </c>
      <c r="F7" s="20">
        <f>$D7</f>
        <v/>
      </c>
      <c r="G7" s="20">
        <f>$D7</f>
        <v/>
      </c>
      <c r="H7" s="20">
        <f>$D7</f>
        <v/>
      </c>
      <c r="I7" s="20">
        <f>$D7</f>
        <v/>
      </c>
    </row>
    <row r="8">
      <c r="A8" s="8" t="inlineStr">
        <is>
          <t>Inventories (net)</t>
        </is>
      </c>
      <c r="B8" s="15" t="n">
        <v>303.260502</v>
      </c>
      <c r="C8" s="15" t="n">
        <v>751.337788</v>
      </c>
      <c r="D8" s="15" t="n">
        <v>1031.465091</v>
      </c>
      <c r="E8" s="22">
        <f>'Income Statement'!E4*(Assumptions!B20+$D16/'Income Statement'!$D4)*$D8/($D8+$D9+$D11)</f>
        <v/>
      </c>
      <c r="F8" s="22">
        <f>'Income Statement'!F4*(Assumptions!C20+$D16/'Income Statement'!$D4)*$D8/($D8+$D9+$D11)</f>
        <v/>
      </c>
      <c r="G8" s="22">
        <f>'Income Statement'!G4*(Assumptions!D20+$D16/'Income Statement'!$D4)*$D8/($D8+$D9+$D11)</f>
        <v/>
      </c>
      <c r="H8" s="22">
        <f>'Income Statement'!H4*(Assumptions!E20+$D16/'Income Statement'!$D4)*$D8/($D8+$D9+$D11)</f>
        <v/>
      </c>
      <c r="I8" s="22">
        <f>'Income Statement'!I4*(Assumptions!F20+$D16/'Income Statement'!$D4)*$D8/($D8+$D9+$D11)</f>
        <v/>
      </c>
    </row>
    <row r="9">
      <c r="A9" s="8" t="inlineStr">
        <is>
          <t>Trade &amp; notes receivables (net)</t>
        </is>
      </c>
      <c r="B9" s="15" t="n">
        <v>1271.742277</v>
      </c>
      <c r="C9" s="15" t="n">
        <v>1478.914449</v>
      </c>
      <c r="D9" s="15" t="n">
        <v>2115.28992</v>
      </c>
      <c r="E9" s="22">
        <f>'Income Statement'!E4*(Assumptions!B20+$D16/'Income Statement'!$D4)*$D9/($D8+$D9+$D11)</f>
        <v/>
      </c>
      <c r="F9" s="22">
        <f>'Income Statement'!F4*(Assumptions!C20+$D16/'Income Statement'!$D4)*$D9/($D8+$D9+$D11)</f>
        <v/>
      </c>
      <c r="G9" s="22">
        <f>'Income Statement'!G4*(Assumptions!D20+$D16/'Income Statement'!$D4)*$D9/($D8+$D9+$D11)</f>
        <v/>
      </c>
      <c r="H9" s="22">
        <f>'Income Statement'!H4*(Assumptions!E20+$D16/'Income Statement'!$D4)*$D9/($D8+$D9+$D11)</f>
        <v/>
      </c>
      <c r="I9" s="22">
        <f>'Income Statement'!I4*(Assumptions!F20+$D16/'Income Statement'!$D4)*$D9/($D8+$D9+$D11)</f>
        <v/>
      </c>
    </row>
    <row r="10">
      <c r="A10" s="8" t="inlineStr">
        <is>
          <t>Treasury bills</t>
        </is>
      </c>
      <c r="B10" s="15" t="n">
        <v>260.895424</v>
      </c>
      <c r="C10" s="15" t="n">
        <v>189.703696</v>
      </c>
      <c r="D10" s="15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0</v>
      </c>
    </row>
    <row r="11">
      <c r="A11" s="8" t="inlineStr">
        <is>
          <t>Prepayments &amp; other receivables</t>
        </is>
      </c>
      <c r="B11" s="15" t="n">
        <v>134.669448</v>
      </c>
      <c r="C11" s="15" t="n">
        <v>558.506565</v>
      </c>
      <c r="D11" s="15" t="n">
        <v>157.78315</v>
      </c>
      <c r="E11" s="22">
        <f>'Income Statement'!E4*(Assumptions!B20+$D16/'Income Statement'!$D4)*$D11/($D8+$D9+$D11)</f>
        <v/>
      </c>
      <c r="F11" s="22">
        <f>'Income Statement'!F4*(Assumptions!C20+$D16/'Income Statement'!$D4)*$D11/($D8+$D9+$D11)</f>
        <v/>
      </c>
      <c r="G11" s="22">
        <f>'Income Statement'!G4*(Assumptions!D20+$D16/'Income Statement'!$D4)*$D11/($D8+$D9+$D11)</f>
        <v/>
      </c>
      <c r="H11" s="22">
        <f>'Income Statement'!H4*(Assumptions!E20+$D16/'Income Statement'!$D4)*$D11/($D8+$D9+$D11)</f>
        <v/>
      </c>
      <c r="I11" s="22">
        <f>'Income Statement'!I4*(Assumptions!F20+$D16/'Income Statement'!$D4)*$D11/($D8+$D9+$D11)</f>
        <v/>
      </c>
    </row>
    <row r="12">
      <c r="A12" s="8" t="inlineStr">
        <is>
          <t>Cash &amp; banks</t>
        </is>
      </c>
      <c r="B12" s="15" t="n">
        <v>52.358275</v>
      </c>
      <c r="C12" s="15" t="n">
        <v>64.688059</v>
      </c>
      <c r="D12" s="15" t="n">
        <v>36.178688</v>
      </c>
      <c r="E12" s="22">
        <f>'Income Statement'!E4*Assumptions!$B$22</f>
        <v/>
      </c>
      <c r="F12" s="22">
        <f>'Income Statement'!F4*Assumptions!$B$22</f>
        <v/>
      </c>
      <c r="G12" s="22">
        <f>'Income Statement'!G4*Assumptions!$B$22</f>
        <v/>
      </c>
      <c r="H12" s="22">
        <f>'Income Statement'!H4*Assumptions!$B$22</f>
        <v/>
      </c>
      <c r="I12" s="22">
        <f>'Income Statement'!I4*Assumptions!$B$22</f>
        <v/>
      </c>
    </row>
    <row r="13">
      <c r="A13" s="3" t="inlineStr">
        <is>
          <t>TOTAL ASSETS</t>
        </is>
      </c>
      <c r="B13" s="23">
        <f>SUM(B4:B12)</f>
        <v/>
      </c>
      <c r="C13" s="23">
        <f>SUM(C4:C12)</f>
        <v/>
      </c>
      <c r="D13" s="23">
        <f>SUM(D4:D12)</f>
        <v/>
      </c>
      <c r="E13" s="23">
        <f>SUM(E4:E12)</f>
        <v/>
      </c>
      <c r="F13" s="23">
        <f>SUM(F4:F12)</f>
        <v/>
      </c>
      <c r="G13" s="23">
        <f>SUM(G4:G12)</f>
        <v/>
      </c>
      <c r="H13" s="23">
        <f>SUM(H4:H12)</f>
        <v/>
      </c>
      <c r="I13" s="23">
        <f>SUM(I4:I12)</f>
        <v/>
      </c>
    </row>
    <row r="14">
      <c r="A14" s="8" t="inlineStr">
        <is>
          <t>Credit facilities + bank credit</t>
        </is>
      </c>
      <c r="B14" s="15" t="n">
        <v>1060.221318</v>
      </c>
      <c r="C14" s="15" t="n">
        <v>1507.460374</v>
      </c>
      <c r="D14" s="15" t="n">
        <v>2261.180512</v>
      </c>
      <c r="E14" s="34">
        <f>E13-E20-E16-E15-E17-E18-E19</f>
        <v/>
      </c>
      <c r="F14" s="34">
        <f>F13-F20-F16-F15-F17-F18-F19</f>
        <v/>
      </c>
      <c r="G14" s="34">
        <f>G13-G20-G16-G15-G17-G18-G19</f>
        <v/>
      </c>
      <c r="H14" s="34">
        <f>H13-H20-H16-H15-H17-H18-H19</f>
        <v/>
      </c>
      <c r="I14" s="34">
        <f>I13-I20-I16-I15-I17-I18-I19</f>
        <v/>
      </c>
    </row>
    <row r="15">
      <c r="A15" s="8" t="inlineStr">
        <is>
          <t>Lease liabilities</t>
        </is>
      </c>
      <c r="B15" s="15" t="n">
        <v>16.507052</v>
      </c>
      <c r="C15" s="15" t="n">
        <v>11.674259</v>
      </c>
      <c r="D15" s="15" t="n">
        <v>82.216128</v>
      </c>
      <c r="E15" s="20">
        <f>$D15</f>
        <v/>
      </c>
      <c r="F15" s="20">
        <f>$D15</f>
        <v/>
      </c>
      <c r="G15" s="20">
        <f>$D15</f>
        <v/>
      </c>
      <c r="H15" s="20">
        <f>$D15</f>
        <v/>
      </c>
      <c r="I15" s="20">
        <f>$D15</f>
        <v/>
      </c>
    </row>
    <row r="16">
      <c r="A16" s="8" t="inlineStr">
        <is>
          <t>Trade, notes &amp; other payables</t>
        </is>
      </c>
      <c r="B16" s="15" t="n">
        <v>232.184692</v>
      </c>
      <c r="C16" s="15" t="n">
        <v>527.249734</v>
      </c>
      <c r="D16" s="15" t="n">
        <v>584.112797</v>
      </c>
      <c r="E16" s="22">
        <f>'Income Statement'!E4*$D16/'Income Statement'!$D4</f>
        <v/>
      </c>
      <c r="F16" s="22">
        <f>'Income Statement'!F4*$D16/'Income Statement'!$D4</f>
        <v/>
      </c>
      <c r="G16" s="22">
        <f>'Income Statement'!G4*$D16/'Income Statement'!$D4</f>
        <v/>
      </c>
      <c r="H16" s="22">
        <f>'Income Statement'!H4*$D16/'Income Statement'!$D4</f>
        <v/>
      </c>
      <c r="I16" s="22">
        <f>'Income Statement'!I4*$D16/'Income Statement'!$D4</f>
        <v/>
      </c>
    </row>
    <row r="17">
      <c r="A17" s="8" t="inlineStr">
        <is>
          <t>Provisions</t>
        </is>
      </c>
      <c r="B17" s="15" t="n">
        <v>15.034468</v>
      </c>
      <c r="C17" s="15" t="n">
        <v>17.220844</v>
      </c>
      <c r="D17" s="15" t="n">
        <v>14.970947</v>
      </c>
      <c r="E17" s="20">
        <f>$D17</f>
        <v/>
      </c>
      <c r="F17" s="20">
        <f>$D17</f>
        <v/>
      </c>
      <c r="G17" s="20">
        <f>$D17</f>
        <v/>
      </c>
      <c r="H17" s="20">
        <f>$D17</f>
        <v/>
      </c>
      <c r="I17" s="20">
        <f>$D17</f>
        <v/>
      </c>
    </row>
    <row r="18">
      <c r="A18" s="8" t="inlineStr">
        <is>
          <t>Deferred tax liability (net)</t>
        </is>
      </c>
      <c r="B18" s="15" t="n">
        <v>58.234398</v>
      </c>
      <c r="C18" s="15" t="n">
        <v>77.28248600000001</v>
      </c>
      <c r="D18" s="15" t="n">
        <v>68.571527</v>
      </c>
      <c r="E18" s="20">
        <f>$D18</f>
        <v/>
      </c>
      <c r="F18" s="20">
        <f>$D18</f>
        <v/>
      </c>
      <c r="G18" s="20">
        <f>$D18</f>
        <v/>
      </c>
      <c r="H18" s="20">
        <f>$D18</f>
        <v/>
      </c>
      <c r="I18" s="20">
        <f>$D18</f>
        <v/>
      </c>
    </row>
    <row r="19">
      <c r="A19" s="8" t="inlineStr">
        <is>
          <t>Income tax payable (derived)</t>
        </is>
      </c>
      <c r="B19" s="15" t="n">
        <v>60.56533099999956</v>
      </c>
      <c r="C19" s="15" t="n">
        <v>98.75818400000026</v>
      </c>
      <c r="D19" s="15" t="n">
        <v>116.5498360000001</v>
      </c>
      <c r="E19" s="20">
        <f>$D19</f>
        <v/>
      </c>
      <c r="F19" s="20">
        <f>$D19</f>
        <v/>
      </c>
      <c r="G19" s="20">
        <f>$D19</f>
        <v/>
      </c>
      <c r="H19" s="20">
        <f>$D19</f>
        <v/>
      </c>
      <c r="I19" s="20">
        <f>$D19</f>
        <v/>
      </c>
    </row>
    <row r="20">
      <c r="A20" s="3" t="inlineStr">
        <is>
          <t>TOTAL EQUITY</t>
        </is>
      </c>
      <c r="B20" s="15" t="n">
        <v>1775.49926</v>
      </c>
      <c r="C20" s="15" t="n">
        <v>2071.64437</v>
      </c>
      <c r="D20" s="15" t="n">
        <v>2209.90032</v>
      </c>
      <c r="E20" s="32">
        <f>D20+'Income Statement'!E20-'Income Statement'!E22</f>
        <v/>
      </c>
      <c r="F20" s="32">
        <f>E20+'Income Statement'!F20-'Income Statement'!F22</f>
        <v/>
      </c>
      <c r="G20" s="32">
        <f>F20+'Income Statement'!G20-'Income Statement'!G22</f>
        <v/>
      </c>
      <c r="H20" s="32">
        <f>G20+'Income Statement'!H20-'Income Statement'!H22</f>
        <v/>
      </c>
      <c r="I20" s="32">
        <f>H20+'Income Statement'!I20-'Income Statement'!I22</f>
        <v/>
      </c>
    </row>
    <row r="21">
      <c r="A21" s="8" t="inlineStr">
        <is>
          <t xml:space="preserve">  of which NCI</t>
        </is>
      </c>
      <c r="B21" s="15" t="n">
        <v>12.936522</v>
      </c>
      <c r="C21" s="15" t="n">
        <v>27.376784</v>
      </c>
      <c r="D21" s="15" t="n">
        <v>42.122663</v>
      </c>
      <c r="E21" s="20">
        <f>$D21</f>
        <v/>
      </c>
      <c r="F21" s="20">
        <f>$D21</f>
        <v/>
      </c>
      <c r="G21" s="20">
        <f>$D21</f>
        <v/>
      </c>
      <c r="H21" s="20">
        <f>$D21</f>
        <v/>
      </c>
      <c r="I21" s="20">
        <f>$D21</f>
        <v/>
      </c>
    </row>
    <row r="22">
      <c r="A22" s="3" t="inlineStr">
        <is>
          <t>Check: assets − liabilities − equity</t>
        </is>
      </c>
      <c r="B22" s="24">
        <f>B13-SUM(B14:B19)-B20</f>
        <v/>
      </c>
      <c r="C22" s="24">
        <f>C13-SUM(C14:C19)-C20</f>
        <v/>
      </c>
      <c r="D22" s="24">
        <f>D13-SUM(D14:D19)-D20</f>
        <v/>
      </c>
      <c r="E22" s="24">
        <f>E13-SUM(E14:E19)-E20</f>
        <v/>
      </c>
      <c r="F22" s="24">
        <f>F13-SUM(F14:F19)-F20</f>
        <v/>
      </c>
      <c r="G22" s="24">
        <f>G13-SUM(G14:G19)-G20</f>
        <v/>
      </c>
      <c r="H22" s="24">
        <f>H13-SUM(H14:H19)-H20</f>
        <v/>
      </c>
      <c r="I22" s="24">
        <f>I13-SUM(I14:I19)-I20</f>
        <v/>
      </c>
    </row>
    <row r="24">
      <c r="A24" s="3" t="inlineStr">
        <is>
          <t>Net debt ex-lease (facilities − cash)</t>
        </is>
      </c>
      <c r="B24" s="35">
        <f>B14-B12</f>
        <v/>
      </c>
      <c r="C24" s="35">
        <f>C14-C12</f>
        <v/>
      </c>
      <c r="D24" s="35">
        <f>D14-D12</f>
        <v/>
      </c>
      <c r="E24" s="35">
        <f>E14-E12</f>
        <v/>
      </c>
      <c r="F24" s="35">
        <f>F14-F12</f>
        <v/>
      </c>
      <c r="G24" s="35">
        <f>G14-G12</f>
        <v/>
      </c>
      <c r="H24" s="35">
        <f>H14-H12</f>
        <v/>
      </c>
      <c r="I24" s="35">
        <f>I14-I12</f>
        <v/>
      </c>
    </row>
    <row r="25">
      <c r="A25" s="3" t="inlineStr">
        <is>
          <t>Net debt incl. leases (dual framing)</t>
        </is>
      </c>
      <c r="B25" s="20">
        <f>B24+B15</f>
        <v/>
      </c>
      <c r="C25" s="20">
        <f>C24+C15</f>
        <v/>
      </c>
      <c r="D25" s="20">
        <f>D24+D15</f>
        <v/>
      </c>
      <c r="E25" s="20">
        <f>E24+E15</f>
        <v/>
      </c>
      <c r="F25" s="20">
        <f>F24+F15</f>
        <v/>
      </c>
      <c r="G25" s="20">
        <f>G24+G15</f>
        <v/>
      </c>
      <c r="H25" s="20">
        <f>H24+H15</f>
        <v/>
      </c>
      <c r="I25" s="20">
        <f>I24+I15</f>
        <v/>
      </c>
    </row>
    <row r="27">
      <c r="A27" s="25" t="inlineStr">
        <is>
          <t>Sources: audited FS FY24/FY25 (Notes 5-20); FY23 comparatives from FY24 FS. Forecast facilities = balancing plug (yellow).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46" customWidth="1" min="10" max="10"/>
  </cols>
  <sheetData>
    <row r="1">
      <c r="A1" s="1" t="inlineStr">
        <is>
          <t>Cash flow — audited FY23–FY25 and derived forecast (EGP mn)</t>
        </is>
      </c>
    </row>
    <row r="2">
      <c r="A2" s="10" t="inlineStr">
        <is>
          <t>History blue from the audited indirect-method CF; forecast derived from the integrated statements.</t>
        </is>
      </c>
    </row>
    <row r="3">
      <c r="A3" s="5" t="inlineStr">
        <is>
          <t>EGP mn</t>
        </is>
      </c>
      <c r="B3" s="5" t="inlineStr">
        <is>
          <t>FY23</t>
        </is>
      </c>
      <c r="C3" s="5" t="inlineStr">
        <is>
          <t>FY24</t>
        </is>
      </c>
      <c r="D3" s="5" t="inlineStr">
        <is>
          <t>FY25</t>
        </is>
      </c>
      <c r="E3" s="5" t="inlineStr">
        <is>
          <t>FY26E</t>
        </is>
      </c>
      <c r="F3" s="5" t="inlineStr">
        <is>
          <t>FY27E</t>
        </is>
      </c>
      <c r="G3" s="5" t="inlineStr">
        <is>
          <t>FY28E</t>
        </is>
      </c>
      <c r="H3" s="5" t="inlineStr">
        <is>
          <t>FY29E</t>
        </is>
      </c>
      <c r="I3" s="5" t="inlineStr">
        <is>
          <t>FY30E</t>
        </is>
      </c>
    </row>
    <row r="4">
      <c r="A4" s="3" t="inlineStr">
        <is>
          <t>Net operating cash flow (after interest &amp; tax)</t>
        </is>
      </c>
      <c r="B4" s="15" t="n">
        <v>-44.495469</v>
      </c>
      <c r="C4" s="15" t="n">
        <v>-306.919627</v>
      </c>
      <c r="D4" s="15" t="n">
        <v>-43.671581</v>
      </c>
    </row>
    <row r="5">
      <c r="A5" s="8" t="inlineStr">
        <is>
          <t xml:space="preserve">  D&amp;A add-back</t>
        </is>
      </c>
      <c r="B5" s="15" t="n">
        <v>72.883988</v>
      </c>
      <c r="C5" s="15" t="n">
        <v>83.43259399999999</v>
      </c>
      <c r="D5" s="15" t="n">
        <v>92.226837</v>
      </c>
    </row>
    <row r="6">
      <c r="A6" s="8" t="inlineStr">
        <is>
          <t xml:space="preserve">  Interest paid</t>
        </is>
      </c>
      <c r="B6" s="15" t="n">
        <v>-186.520667</v>
      </c>
      <c r="C6" s="15" t="n">
        <v>-294.656618</v>
      </c>
      <c r="D6" s="15" t="n">
        <v>-526.80197</v>
      </c>
    </row>
    <row r="7">
      <c r="A7" s="8" t="inlineStr">
        <is>
          <t xml:space="preserve">  Income taxes paid</t>
        </is>
      </c>
      <c r="B7" s="15" t="n">
        <v>-60.685858</v>
      </c>
      <c r="C7" s="15" t="n">
        <v>-67.07064800000001</v>
      </c>
      <c r="D7" s="15" t="n">
        <v>-101.80833</v>
      </c>
    </row>
    <row r="8">
      <c r="A8" s="8" t="inlineStr">
        <is>
          <t>Capex — tangible (FA + AUC)</t>
        </is>
      </c>
      <c r="B8" s="15" t="n">
        <v>-91.045241</v>
      </c>
      <c r="C8" s="15" t="n">
        <v>-64.929908</v>
      </c>
      <c r="D8" s="15" t="n">
        <v>-155.896301</v>
      </c>
    </row>
    <row r="9">
      <c r="A9" s="8" t="inlineStr">
        <is>
          <t>Capex — intangible (product acquisitions)</t>
        </is>
      </c>
      <c r="B9" s="15" t="n">
        <v>-162.444085</v>
      </c>
      <c r="C9" s="15" t="n">
        <v>-1.706</v>
      </c>
      <c r="D9" s="15" t="n">
        <v>-594.95016</v>
      </c>
    </row>
    <row r="10">
      <c r="A10" s="8" t="inlineStr">
        <is>
          <t>Dividends paid</t>
        </is>
      </c>
      <c r="B10" s="15" t="n">
        <v>-16.7625</v>
      </c>
      <c r="C10" s="15" t="n">
        <v>-121.275</v>
      </c>
      <c r="D10" s="15" t="n">
        <v>-188.912503</v>
      </c>
    </row>
    <row r="11">
      <c r="A11" s="3" t="inlineStr">
        <is>
          <t>Forecast free cash flow build (links to DCF sheet)</t>
        </is>
      </c>
    </row>
    <row r="12">
      <c r="A12" s="8" t="inlineStr">
        <is>
          <t>NOPAT</t>
        </is>
      </c>
      <c r="E12" s="22">
        <f>DCF!B8</f>
        <v/>
      </c>
      <c r="F12" s="22">
        <f>DCF!C8</f>
        <v/>
      </c>
      <c r="G12" s="22">
        <f>DCF!D8</f>
        <v/>
      </c>
      <c r="H12" s="22">
        <f>DCF!E8</f>
        <v/>
      </c>
      <c r="I12" s="22">
        <f>DCF!F8</f>
        <v/>
      </c>
    </row>
    <row r="13">
      <c r="A13" s="8" t="inlineStr">
        <is>
          <t>+ D&amp;A</t>
        </is>
      </c>
      <c r="E13" s="22">
        <f>DCF!B9</f>
        <v/>
      </c>
      <c r="F13" s="22">
        <f>DCF!C9</f>
        <v/>
      </c>
      <c r="G13" s="22">
        <f>DCF!D9</f>
        <v/>
      </c>
      <c r="H13" s="22">
        <f>DCF!E9</f>
        <v/>
      </c>
      <c r="I13" s="22">
        <f>DCF!F9</f>
        <v/>
      </c>
    </row>
    <row r="14">
      <c r="A14" s="8" t="inlineStr">
        <is>
          <t>− Capex</t>
        </is>
      </c>
      <c r="E14" s="22">
        <f>DCF!B10</f>
        <v/>
      </c>
      <c r="F14" s="22">
        <f>DCF!C10</f>
        <v/>
      </c>
      <c r="G14" s="22">
        <f>DCF!D10</f>
        <v/>
      </c>
      <c r="H14" s="22">
        <f>DCF!E10</f>
        <v/>
      </c>
      <c r="I14" s="22">
        <f>DCF!F10</f>
        <v/>
      </c>
    </row>
    <row r="15">
      <c r="A15" s="8" t="inlineStr">
        <is>
          <t>− Δ working capital</t>
        </is>
      </c>
      <c r="E15" s="22">
        <f>DCF!B11</f>
        <v/>
      </c>
      <c r="F15" s="22">
        <f>DCF!C11</f>
        <v/>
      </c>
      <c r="G15" s="22">
        <f>DCF!D11</f>
        <v/>
      </c>
      <c r="H15" s="22">
        <f>DCF!E11</f>
        <v/>
      </c>
      <c r="I15" s="22">
        <f>DCF!F11</f>
        <v/>
      </c>
    </row>
    <row r="16">
      <c r="A16" s="8" t="inlineStr">
        <is>
          <t>FCFF (after employee appropriation, per DCF!12)</t>
        </is>
      </c>
      <c r="E16" s="23">
        <f>SUM(E12:E15)+DCF!B12</f>
        <v/>
      </c>
      <c r="F16" s="23">
        <f>SUM(F12:F15)+DCF!C12</f>
        <v/>
      </c>
      <c r="G16" s="23">
        <f>SUM(G12:G15)+DCF!D12</f>
        <v/>
      </c>
      <c r="H16" s="23">
        <f>SUM(H12:H15)+DCF!E12</f>
        <v/>
      </c>
      <c r="I16" s="23">
        <f>SUM(I12:I15)+DCF!F12</f>
        <v/>
      </c>
    </row>
    <row r="17">
      <c r="A17" s="8" t="inlineStr">
        <is>
          <t>− Interest ×(1−t)</t>
        </is>
      </c>
      <c r="E17" s="22">
        <f>-'Income Statement'!E17*(1-Assumptions!$B$6)</f>
        <v/>
      </c>
      <c r="F17" s="22">
        <f>-'Income Statement'!F17*(1-Assumptions!$B$6)</f>
        <v/>
      </c>
      <c r="G17" s="22">
        <f>-'Income Statement'!G17*(1-Assumptions!$B$6)</f>
        <v/>
      </c>
      <c r="H17" s="22">
        <f>-'Income Statement'!H17*(1-Assumptions!$B$6)</f>
        <v/>
      </c>
      <c r="I17" s="22">
        <f>-'Income Statement'!I17*(1-Assumptions!$B$6)</f>
        <v/>
      </c>
    </row>
    <row r="18">
      <c r="A18" s="8" t="inlineStr">
        <is>
          <t>− Dividends</t>
        </is>
      </c>
      <c r="E18" s="22">
        <f>-'Income Statement'!E22</f>
        <v/>
      </c>
      <c r="F18" s="22">
        <f>-'Income Statement'!F22</f>
        <v/>
      </c>
      <c r="G18" s="22">
        <f>-'Income Statement'!G22</f>
        <v/>
      </c>
      <c r="H18" s="22">
        <f>-'Income Statement'!H22</f>
        <v/>
      </c>
      <c r="I18" s="22">
        <f>-'Income Statement'!I22</f>
        <v/>
      </c>
    </row>
    <row r="19">
      <c r="A19" s="8" t="inlineStr">
        <is>
          <t>Δ Net debt (implied)</t>
        </is>
      </c>
      <c r="E19" s="22">
        <f>-(E16+E17+E18)+('Balance Sheet'!E12-'Balance Sheet'!D12)</f>
        <v/>
      </c>
      <c r="F19" s="22">
        <f>-(F16+F17+F18)+('Balance Sheet'!F12-'Balance Sheet'!E12)</f>
        <v/>
      </c>
      <c r="G19" s="22">
        <f>-(G16+G17+G18)+('Balance Sheet'!G12-'Balance Sheet'!F12)</f>
        <v/>
      </c>
      <c r="H19" s="22">
        <f>-(H16+H17+H18)+('Balance Sheet'!H12-'Balance Sheet'!G12)</f>
        <v/>
      </c>
      <c r="I19" s="22">
        <f>-(I16+I17+I18)+('Balance Sheet'!I12-'Balance Sheet'!H12)</f>
        <v/>
      </c>
    </row>
    <row r="21">
      <c r="A21" s="13" t="inlineStr">
        <is>
          <t>FY25 note: net operating CF was −44mn AFTER EGP 527mn interest and 102mn tax paid; the EGP 595mn intangible line is the 2025 product-portfolio acquisitions.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Summary financials (EGP mn) — links only</t>
        </is>
      </c>
    </row>
    <row r="3">
      <c r="A3" s="5" t="inlineStr">
        <is>
          <t>EGP mn</t>
        </is>
      </c>
      <c r="B3" s="5" t="inlineStr">
        <is>
          <t>FY23</t>
        </is>
      </c>
      <c r="C3" s="5" t="inlineStr">
        <is>
          <t>FY24</t>
        </is>
      </c>
      <c r="D3" s="5" t="inlineStr">
        <is>
          <t>FY25</t>
        </is>
      </c>
      <c r="E3" s="5" t="inlineStr">
        <is>
          <t>FY26E</t>
        </is>
      </c>
      <c r="F3" s="5" t="inlineStr">
        <is>
          <t>FY27E</t>
        </is>
      </c>
      <c r="G3" s="5" t="inlineStr">
        <is>
          <t>FY28E</t>
        </is>
      </c>
      <c r="H3" s="5" t="inlineStr">
        <is>
          <t>FY29E</t>
        </is>
      </c>
      <c r="I3" s="5" t="inlineStr">
        <is>
          <t>FY30E</t>
        </is>
      </c>
    </row>
    <row r="4">
      <c r="A4" s="3" t="inlineStr">
        <is>
          <t>Revenue</t>
        </is>
      </c>
      <c r="B4" s="22">
        <f>'Income Statement'!B4</f>
        <v/>
      </c>
      <c r="C4" s="22">
        <f>'Income Statement'!C4</f>
        <v/>
      </c>
      <c r="D4" s="22">
        <f>'Income Statement'!D4</f>
        <v/>
      </c>
      <c r="E4" s="22">
        <f>'Income Statement'!E4</f>
        <v/>
      </c>
      <c r="F4" s="22">
        <f>'Income Statement'!F4</f>
        <v/>
      </c>
      <c r="G4" s="22">
        <f>'Income Statement'!G4</f>
        <v/>
      </c>
      <c r="H4" s="22">
        <f>'Income Statement'!H4</f>
        <v/>
      </c>
      <c r="I4" s="22">
        <f>'Income Statement'!I4</f>
        <v/>
      </c>
    </row>
    <row r="5">
      <c r="A5" s="3" t="inlineStr">
        <is>
          <t>EBITDA</t>
        </is>
      </c>
      <c r="B5" s="22">
        <f>'Income Statement'!B11</f>
        <v/>
      </c>
      <c r="C5" s="22">
        <f>'Income Statement'!C11</f>
        <v/>
      </c>
      <c r="D5" s="22">
        <f>'Income Statement'!D11</f>
        <v/>
      </c>
      <c r="E5" s="22">
        <f>'Income Statement'!E11</f>
        <v/>
      </c>
      <c r="F5" s="22">
        <f>'Income Statement'!F11</f>
        <v/>
      </c>
      <c r="G5" s="22">
        <f>'Income Statement'!G11</f>
        <v/>
      </c>
      <c r="H5" s="22">
        <f>'Income Statement'!H11</f>
        <v/>
      </c>
      <c r="I5" s="22">
        <f>'Income Statement'!I11</f>
        <v/>
      </c>
    </row>
    <row r="6">
      <c r="A6" s="3" t="inlineStr">
        <is>
          <t>EBIT</t>
        </is>
      </c>
      <c r="B6" s="22">
        <f>'Income Statement'!B9</f>
        <v/>
      </c>
      <c r="C6" s="22">
        <f>'Income Statement'!C9</f>
        <v/>
      </c>
      <c r="D6" s="22">
        <f>'Income Statement'!D9</f>
        <v/>
      </c>
      <c r="E6" s="22">
        <f>'Income Statement'!E9</f>
        <v/>
      </c>
      <c r="F6" s="22">
        <f>'Income Statement'!F9</f>
        <v/>
      </c>
      <c r="G6" s="22">
        <f>'Income Statement'!G9</f>
        <v/>
      </c>
      <c r="H6" s="22">
        <f>'Income Statement'!H9</f>
        <v/>
      </c>
      <c r="I6" s="22">
        <f>'Income Statement'!I9</f>
        <v/>
      </c>
    </row>
    <row r="7">
      <c r="A7" s="3" t="inlineStr">
        <is>
          <t>Net income</t>
        </is>
      </c>
      <c r="B7" s="22">
        <f>'Income Statement'!B20</f>
        <v/>
      </c>
      <c r="C7" s="22">
        <f>'Income Statement'!C20</f>
        <v/>
      </c>
      <c r="D7" s="22">
        <f>'Income Statement'!D20</f>
        <v/>
      </c>
      <c r="E7" s="22">
        <f>'Income Statement'!E20</f>
        <v/>
      </c>
      <c r="F7" s="22">
        <f>'Income Statement'!F20</f>
        <v/>
      </c>
      <c r="G7" s="22">
        <f>'Income Statement'!G20</f>
        <v/>
      </c>
      <c r="H7" s="22">
        <f>'Income Statement'!H20</f>
        <v/>
      </c>
      <c r="I7" s="22">
        <f>'Income Statement'!I20</f>
        <v/>
      </c>
    </row>
    <row r="8">
      <c r="A8" s="3" t="inlineStr">
        <is>
          <t>Total assets</t>
        </is>
      </c>
      <c r="B8" s="22">
        <f>'Balance Sheet'!B13</f>
        <v/>
      </c>
      <c r="C8" s="22">
        <f>'Balance Sheet'!C13</f>
        <v/>
      </c>
      <c r="D8" s="22">
        <f>'Balance Sheet'!D13</f>
        <v/>
      </c>
      <c r="E8" s="22">
        <f>'Balance Sheet'!E13</f>
        <v/>
      </c>
      <c r="F8" s="22">
        <f>'Balance Sheet'!F13</f>
        <v/>
      </c>
      <c r="G8" s="22">
        <f>'Balance Sheet'!G13</f>
        <v/>
      </c>
      <c r="H8" s="22">
        <f>'Balance Sheet'!H13</f>
        <v/>
      </c>
      <c r="I8" s="22">
        <f>'Balance Sheet'!I13</f>
        <v/>
      </c>
    </row>
    <row r="9">
      <c r="A9" s="3" t="inlineStr">
        <is>
          <t>Total equity</t>
        </is>
      </c>
      <c r="B9" s="22">
        <f>'Balance Sheet'!B20</f>
        <v/>
      </c>
      <c r="C9" s="22">
        <f>'Balance Sheet'!C20</f>
        <v/>
      </c>
      <c r="D9" s="22">
        <f>'Balance Sheet'!D20</f>
        <v/>
      </c>
      <c r="E9" s="22">
        <f>'Balance Sheet'!E20</f>
        <v/>
      </c>
      <c r="F9" s="22">
        <f>'Balance Sheet'!F20</f>
        <v/>
      </c>
      <c r="G9" s="22">
        <f>'Balance Sheet'!G20</f>
        <v/>
      </c>
      <c r="H9" s="22">
        <f>'Balance Sheet'!H20</f>
        <v/>
      </c>
      <c r="I9" s="22">
        <f>'Balance Sheet'!I20</f>
        <v/>
      </c>
    </row>
    <row r="10">
      <c r="A10" s="3" t="inlineStr">
        <is>
          <t>Net debt (ex-lease)</t>
        </is>
      </c>
      <c r="B10" s="22">
        <f>'Balance Sheet'!B24</f>
        <v/>
      </c>
      <c r="C10" s="22">
        <f>'Balance Sheet'!C24</f>
        <v/>
      </c>
      <c r="D10" s="22">
        <f>'Balance Sheet'!D24</f>
        <v/>
      </c>
      <c r="E10" s="22">
        <f>'Balance Sheet'!E24</f>
        <v/>
      </c>
      <c r="F10" s="22">
        <f>'Balance Sheet'!F24</f>
        <v/>
      </c>
      <c r="G10" s="22">
        <f>'Balance Sheet'!G24</f>
        <v/>
      </c>
      <c r="H10" s="22">
        <f>'Balance Sheet'!H24</f>
        <v/>
      </c>
      <c r="I10" s="22">
        <f>'Balance Sheet'!I24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6" customWidth="1" min="10" max="10"/>
  </cols>
  <sheetData>
    <row r="1">
      <c r="A1" s="1" t="inlineStr">
        <is>
          <t>Carry-anchored MC engine outputs (mc_v3, 50,000 paths, seed 42, t(ν=4), width_cal 0.909)</t>
        </is>
      </c>
    </row>
    <row r="2">
      <c r="A2" s="10" t="inlineStr">
        <is>
          <t>Engine values, not spreadsheet formulas — reproduced bit-for-bit by the calibration pipeline. Live EG profile is carry-only.</t>
        </is>
      </c>
    </row>
    <row r="3">
      <c r="A3" s="5" t="inlineStr">
        <is>
          <t>Percentile</t>
        </is>
      </c>
      <c r="B3" s="5" t="inlineStr">
        <is>
          <t>p5</t>
        </is>
      </c>
      <c r="C3" s="5" t="inlineStr">
        <is>
          <t>p10</t>
        </is>
      </c>
      <c r="D3" s="5" t="inlineStr">
        <is>
          <t>p25</t>
        </is>
      </c>
      <c r="E3" s="5" t="inlineStr">
        <is>
          <t>p50</t>
        </is>
      </c>
      <c r="F3" s="5" t="inlineStr">
        <is>
          <t>p75</t>
        </is>
      </c>
      <c r="G3" s="5" t="inlineStr">
        <is>
          <t>p90</t>
        </is>
      </c>
      <c r="H3" s="5" t="inlineStr">
        <is>
          <t>p95</t>
        </is>
      </c>
    </row>
    <row r="4">
      <c r="A4" s="3" t="inlineStr">
        <is>
          <t>T+20 (EGP)</t>
        </is>
      </c>
      <c r="B4" s="24" t="n">
        <v>4.320581672702293</v>
      </c>
      <c r="C4" s="24" t="n">
        <v>4.520145658149564</v>
      </c>
      <c r="D4" s="24" t="n">
        <v>4.796711653278431</v>
      </c>
      <c r="E4" s="24" t="n">
        <v>5.06736321150604</v>
      </c>
      <c r="F4" s="24" t="n">
        <v>5.356477376130125</v>
      </c>
      <c r="G4" s="24" t="n">
        <v>5.68829243352702</v>
      </c>
      <c r="H4" s="24" t="n">
        <v>5.950815276472873</v>
      </c>
    </row>
    <row r="5">
      <c r="A5" s="3" t="inlineStr">
        <is>
          <t>T+60 (EGP)</t>
        </is>
      </c>
      <c r="B5" s="36" t="n">
        <v>3.951695700137491</v>
      </c>
      <c r="C5" s="36" t="n">
        <v>4.273275169774045</v>
      </c>
      <c r="D5" s="36" t="n">
        <v>4.730790325855184</v>
      </c>
      <c r="E5" s="36" t="n">
        <v>5.204752968151734</v>
      </c>
      <c r="F5" s="36" t="n">
        <v>5.728024569550778</v>
      </c>
      <c r="G5" s="36" t="n">
        <v>6.344801159536602</v>
      </c>
      <c r="H5" s="36" t="n">
        <v>6.840195576038014</v>
      </c>
    </row>
    <row r="7">
      <c r="A7" s="3" t="inlineStr">
        <is>
          <t>Probability read</t>
        </is>
      </c>
      <c r="D7" s="3" t="inlineStr">
        <is>
          <t>Touch ladder (prob. of touching level any time)</t>
        </is>
      </c>
    </row>
    <row r="8">
      <c r="A8" s="8" t="inlineStr">
        <is>
          <t>P(T+60 above spot)</t>
        </is>
      </c>
      <c r="B8" s="9" t="n">
        <v>0.61544</v>
      </c>
      <c r="D8" s="5" t="inlineStr">
        <is>
          <t>Level</t>
        </is>
      </c>
      <c r="E8" s="5" t="inlineStr">
        <is>
          <t>T+20</t>
        </is>
      </c>
      <c r="F8" s="5" t="inlineStr">
        <is>
          <t>T+60</t>
        </is>
      </c>
    </row>
    <row r="9">
      <c r="A9" s="8" t="inlineStr">
        <is>
          <t>P(≥ +10%)</t>
        </is>
      </c>
      <c r="B9" s="9" t="n">
        <v>0.34464</v>
      </c>
      <c r="D9" s="24" t="n">
        <v>6.5</v>
      </c>
      <c r="E9" s="9" t="n">
        <v>0.02266</v>
      </c>
      <c r="F9" s="9" t="n">
        <v>0.13124</v>
      </c>
    </row>
    <row r="10">
      <c r="A10" s="8" t="inlineStr">
        <is>
          <t>P(≤ −10%)</t>
        </is>
      </c>
      <c r="B10" s="9" t="n">
        <v>0.16218</v>
      </c>
      <c r="D10" s="24" t="n">
        <v>6</v>
      </c>
      <c r="E10" s="9" t="n">
        <v>0.06852</v>
      </c>
      <c r="F10" s="9" t="n">
        <v>0.27034</v>
      </c>
    </row>
    <row r="11">
      <c r="A11" s="8" t="inlineStr">
        <is>
          <t>Up/down 10% odds</t>
        </is>
      </c>
      <c r="B11" s="37" t="n">
        <v>2.12504624491306</v>
      </c>
      <c r="D11" s="24" t="n">
        <v>5.75</v>
      </c>
      <c r="E11" s="9" t="n">
        <v>0.12956</v>
      </c>
      <c r="F11" s="9" t="n">
        <v>0.39022</v>
      </c>
    </row>
    <row r="12">
      <c r="A12" s="8" t="inlineStr">
        <is>
          <t>Median T+60</t>
        </is>
      </c>
      <c r="B12" s="24" t="n">
        <v>5.204752968151734</v>
      </c>
      <c r="D12" s="24" t="n">
        <v>5.5</v>
      </c>
      <c r="E12" s="9" t="n">
        <v>0.26228</v>
      </c>
      <c r="F12" s="9" t="n">
        <v>0.55332</v>
      </c>
    </row>
    <row r="13">
      <c r="A13" s="8" t="inlineStr">
        <is>
          <t>Median move</t>
        </is>
      </c>
      <c r="B13" s="9" t="n">
        <v>0.0409505936303467</v>
      </c>
      <c r="D13" s="24" t="n">
        <v>5.25</v>
      </c>
      <c r="E13" s="9" t="n">
        <v>0.52804</v>
      </c>
      <c r="F13" s="9" t="n">
        <v>0.7539</v>
      </c>
    </row>
    <row r="14">
      <c r="A14" s="8" t="inlineStr">
        <is>
          <t>Touch ≥ +10% anytime</t>
        </is>
      </c>
      <c r="B14" s="9" t="n">
        <v>0.55332</v>
      </c>
      <c r="D14" s="24" t="n">
        <v>4.75</v>
      </c>
      <c r="E14" s="9" t="n">
        <v>0.40114</v>
      </c>
      <c r="F14" s="9" t="n">
        <v>0.5735</v>
      </c>
    </row>
    <row r="15">
      <c r="A15" s="8" t="inlineStr">
        <is>
          <t>Touch ≤ −10% anytime</t>
        </is>
      </c>
      <c r="B15" s="9" t="n">
        <v>0.33736</v>
      </c>
      <c r="D15" s="24" t="n">
        <v>4.5</v>
      </c>
      <c r="E15" s="9" t="n">
        <v>0.1632</v>
      </c>
      <c r="F15" s="9" t="n">
        <v>0.33736</v>
      </c>
    </row>
    <row r="16">
      <c r="D16" s="24" t="n">
        <v>4.25</v>
      </c>
      <c r="E16" s="9" t="n">
        <v>0.0658</v>
      </c>
      <c r="F16" s="9" t="n">
        <v>0.19366</v>
      </c>
    </row>
    <row r="17">
      <c r="D17" s="24" t="n">
        <v>4</v>
      </c>
      <c r="E17" s="9" t="n">
        <v>0.02888</v>
      </c>
      <c r="F17" s="9" t="n">
        <v>0.1093</v>
      </c>
    </row>
    <row r="19">
      <c r="A19" s="3" t="inlineStr">
        <is>
          <t>Probability zones (T+60)</t>
        </is>
      </c>
    </row>
    <row r="20">
      <c r="A20" s="8" t="inlineStr">
        <is>
          <t>&lt; 4.00</t>
        </is>
      </c>
      <c r="B20" s="9" t="n">
        <v>0.05528</v>
      </c>
      <c r="D20" s="3" t="inlineStr">
        <is>
          <t>Step 0 calibration (this name, live EG fit)</t>
        </is>
      </c>
    </row>
    <row r="21">
      <c r="A21" s="8" t="inlineStr">
        <is>
          <t>4.00–4.60</t>
        </is>
      </c>
      <c r="B21" s="9" t="n">
        <v>0.14118</v>
      </c>
      <c r="D21" s="8" t="inlineStr">
        <is>
          <t>Windows (5yr, h=60, non-overlap)</t>
        </is>
      </c>
      <c r="F21" s="20" t="n">
        <v>13</v>
      </c>
    </row>
    <row r="22">
      <c r="A22" s="8" t="inlineStr">
        <is>
          <t>4.60–5.20</t>
        </is>
      </c>
      <c r="B22" s="9" t="n">
        <v>0.3008</v>
      </c>
      <c r="D22" s="8" t="inlineStr">
        <is>
          <t>CRPS skill vs carry-anchored RW</t>
        </is>
      </c>
      <c r="F22" s="38" t="n">
        <v>0.02734943739885942</v>
      </c>
    </row>
    <row r="23">
      <c r="A23" s="8" t="inlineStr">
        <is>
          <t>5.20–5.80</t>
        </is>
      </c>
      <c r="B23" s="9" t="n">
        <v>0.27728</v>
      </c>
      <c r="D23" s="8" t="inlineStr">
        <is>
          <t>90% CI low</t>
        </is>
      </c>
      <c r="F23" s="38" t="n">
        <v>0.004205375508598549</v>
      </c>
    </row>
    <row r="24">
      <c r="A24" s="8" t="inlineStr">
        <is>
          <t>5.80–6.40</t>
        </is>
      </c>
      <c r="B24" s="9" t="n">
        <v>0.13394</v>
      </c>
      <c r="D24" s="8" t="inlineStr">
        <is>
          <t>90% CI high</t>
        </is>
      </c>
      <c r="F24" s="38" t="n">
        <v>0.05082810022362057</v>
      </c>
    </row>
    <row r="25">
      <c r="A25" s="8" t="inlineStr">
        <is>
          <t>&gt; 6.40</t>
        </is>
      </c>
      <c r="B25" s="9" t="n">
        <v>0.09152</v>
      </c>
      <c r="D25" s="8" t="inlineStr">
        <is>
          <t>Verdict</t>
        </is>
      </c>
      <c r="F25" s="8" t="inlineStr">
        <is>
          <t>PASS</t>
        </is>
      </c>
    </row>
    <row r="26">
      <c r="D26" s="8" t="inlineStr">
        <is>
          <t>Coverage 50/80/90</t>
        </is>
      </c>
      <c r="F26" s="8" t="inlineStr">
        <is>
          <t>0.54 / 0.85 / 0.85</t>
        </is>
      </c>
    </row>
    <row r="27">
      <c r="D27" s="8" t="inlineStr">
        <is>
          <t>PIT mean</t>
        </is>
      </c>
      <c r="F27" s="28" t="n">
        <v>0.6118615384615385</v>
      </c>
    </row>
    <row r="29">
      <c r="A29" s="13" t="inlineStr">
        <is>
          <t>Cleaning log: dropped 10 leading pre-listing placeholder rows (flat price, no volume) before 2019-12-11 · density 242.1 rows/yr vs EGX ~247 · post-clean max |log move| 0.187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8" customWidth="1" min="8" max="8"/>
  </cols>
  <sheetData>
    <row r="1">
      <c r="A1" s="1" t="inlineStr">
        <is>
          <t>Sensitivities (engine-computed grids; base cell matches DCF!B36)</t>
        </is>
      </c>
    </row>
    <row r="2">
      <c r="A2" s="10" t="inlineStr">
        <is>
          <t>Explicit-window × terminal-anchor WACC; EBITDA margin × NWC glide; beta grid per the EFG 0.8–1.3 rule.</t>
        </is>
      </c>
    </row>
    <row r="3">
      <c r="A3" s="5" t="inlineStr">
        <is>
          <t>WACC \ terminal g</t>
        </is>
      </c>
      <c r="B3" s="5" t="inlineStr">
        <is>
          <t>3.0%</t>
        </is>
      </c>
      <c r="C3" s="5" t="inlineStr">
        <is>
          <t>4.0%</t>
        </is>
      </c>
      <c r="D3" s="5" t="inlineStr">
        <is>
          <t>5.0%</t>
        </is>
      </c>
      <c r="E3" s="5" t="inlineStr">
        <is>
          <t>6.0%</t>
        </is>
      </c>
      <c r="F3" s="5" t="inlineStr">
        <is>
          <t>7.0%</t>
        </is>
      </c>
    </row>
    <row r="4">
      <c r="A4" s="3" t="inlineStr">
        <is>
          <t>22.6%</t>
        </is>
      </c>
      <c r="B4" s="24" t="n">
        <v>2.429707683323352</v>
      </c>
      <c r="C4" s="24" t="n">
        <v>2.654661070635452</v>
      </c>
      <c r="D4" s="24" t="n">
        <v>2.925318299319915</v>
      </c>
      <c r="E4" s="24" t="n">
        <v>3.257182778266322</v>
      </c>
      <c r="F4" s="24" t="n">
        <v>3.673663825825896</v>
      </c>
    </row>
    <row r="5">
      <c r="A5" s="3" t="inlineStr">
        <is>
          <t>24.6%</t>
        </is>
      </c>
      <c r="B5" s="24" t="n">
        <v>1.898458414444899</v>
      </c>
      <c r="C5" s="24" t="n">
        <v>2.05046148259322</v>
      </c>
      <c r="D5" s="24" t="n">
        <v>2.228132160465213</v>
      </c>
      <c r="E5" s="24" t="n">
        <v>2.438571436167396</v>
      </c>
      <c r="F5" s="24" t="n">
        <v>2.691765717207034</v>
      </c>
    </row>
    <row r="6">
      <c r="A6" s="3" t="inlineStr">
        <is>
          <t>26.6%</t>
        </is>
      </c>
      <c r="B6" s="24" t="n">
        <v>1.502310460104255</v>
      </c>
      <c r="C6" s="24" t="n">
        <v>1.609934091627283</v>
      </c>
      <c r="D6" s="39" t="n">
        <v>1.73310582261199</v>
      </c>
      <c r="E6" s="24" t="n">
        <v>1.875457266619459</v>
      </c>
      <c r="F6" s="24" t="n">
        <v>2.041846523500678</v>
      </c>
    </row>
    <row r="7">
      <c r="A7" s="3" t="inlineStr">
        <is>
          <t>28.6%</t>
        </is>
      </c>
      <c r="B7" s="24" t="n">
        <v>1.195770469304807</v>
      </c>
      <c r="C7" s="24" t="n">
        <v>1.274721016534329</v>
      </c>
      <c r="D7" s="24" t="n">
        <v>1.363637575859847</v>
      </c>
      <c r="E7" s="24" t="n">
        <v>1.464534302318376</v>
      </c>
      <c r="F7" s="24" t="n">
        <v>1.580007310176583</v>
      </c>
    </row>
    <row r="8">
      <c r="A8" s="3" t="inlineStr">
        <is>
          <t>30.6%</t>
        </is>
      </c>
      <c r="B8" s="24" t="n">
        <v>0.951691004492215</v>
      </c>
      <c r="C8" s="24" t="n">
        <v>1.011244162358723</v>
      </c>
      <c r="D8" s="24" t="n">
        <v>1.077472201666377</v>
      </c>
      <c r="E8" s="24" t="n">
        <v>1.151563954769774</v>
      </c>
      <c r="F8" s="24" t="n">
        <v>1.235008389185125</v>
      </c>
    </row>
    <row r="10">
      <c r="A10" s="3" t="inlineStr">
        <is>
          <t>EBITDA-margin shift \ NWC-ratio shift</t>
        </is>
      </c>
    </row>
    <row r="11">
      <c r="A11" s="5" t="inlineStr">
        <is>
          <t>pp shift</t>
        </is>
      </c>
      <c r="B11" s="5" t="inlineStr">
        <is>
          <t>-4pp</t>
        </is>
      </c>
      <c r="C11" s="5" t="inlineStr">
        <is>
          <t>-2pp</t>
        </is>
      </c>
      <c r="D11" s="5" t="inlineStr">
        <is>
          <t>+0pp</t>
        </is>
      </c>
      <c r="E11" s="5" t="inlineStr">
        <is>
          <t>+2pp</t>
        </is>
      </c>
      <c r="F11" s="5" t="inlineStr">
        <is>
          <t>+4pp</t>
        </is>
      </c>
    </row>
    <row r="12">
      <c r="A12" s="3" t="inlineStr">
        <is>
          <t>-1.0pp</t>
        </is>
      </c>
      <c r="B12" s="24" t="n">
        <v>1.728261397332529</v>
      </c>
      <c r="C12" s="24" t="n">
        <v>1.663217868609749</v>
      </c>
      <c r="D12" s="24" t="n">
        <v>1.598174339886967</v>
      </c>
      <c r="E12" s="24" t="n">
        <v>1.533130811164186</v>
      </c>
      <c r="F12" s="24" t="n">
        <v>1.468087282441406</v>
      </c>
    </row>
    <row r="13">
      <c r="A13" s="3" t="inlineStr">
        <is>
          <t>-0.5pp</t>
        </is>
      </c>
      <c r="B13" s="24" t="n">
        <v>1.79572713869504</v>
      </c>
      <c r="C13" s="24" t="n">
        <v>1.730683609972259</v>
      </c>
      <c r="D13" s="24" t="n">
        <v>1.665640081249478</v>
      </c>
      <c r="E13" s="24" t="n">
        <v>1.600596552526697</v>
      </c>
      <c r="F13" s="24" t="n">
        <v>1.535553023803917</v>
      </c>
    </row>
    <row r="14">
      <c r="A14" s="3" t="inlineStr">
        <is>
          <t>+0.0pp</t>
        </is>
      </c>
      <c r="B14" s="24" t="n">
        <v>1.863192880057551</v>
      </c>
      <c r="C14" s="24" t="n">
        <v>1.798149351334771</v>
      </c>
      <c r="D14" s="39" t="n">
        <v>1.73310582261199</v>
      </c>
      <c r="E14" s="24" t="n">
        <v>1.668062293889208</v>
      </c>
      <c r="F14" s="24" t="n">
        <v>1.603018765166428</v>
      </c>
    </row>
    <row r="15">
      <c r="A15" s="3" t="inlineStr">
        <is>
          <t>+0.5pp</t>
        </is>
      </c>
      <c r="B15" s="24" t="n">
        <v>1.930658621420063</v>
      </c>
      <c r="C15" s="24" t="n">
        <v>1.865615092697282</v>
      </c>
      <c r="D15" s="24" t="n">
        <v>1.800571563974501</v>
      </c>
      <c r="E15" s="24" t="n">
        <v>1.735528035251719</v>
      </c>
      <c r="F15" s="24" t="n">
        <v>1.67048450652894</v>
      </c>
    </row>
    <row r="16">
      <c r="A16" s="3" t="inlineStr">
        <is>
          <t>+1.0pp</t>
        </is>
      </c>
      <c r="B16" s="24" t="n">
        <v>1.998124362782574</v>
      </c>
      <c r="C16" s="24" t="n">
        <v>1.933080834059794</v>
      </c>
      <c r="D16" s="24" t="n">
        <v>1.868037305337013</v>
      </c>
      <c r="E16" s="24" t="n">
        <v>1.802993776614231</v>
      </c>
      <c r="F16" s="24" t="n">
        <v>1.737950247891451</v>
      </c>
    </row>
    <row r="18">
      <c r="A18" s="3" t="inlineStr">
        <is>
          <t>Beta grid (Ke = rf + β×ERP_CDS)</t>
        </is>
      </c>
    </row>
    <row r="19">
      <c r="A19" s="5" t="inlineStr">
        <is>
          <t>β</t>
        </is>
      </c>
      <c r="B19" s="5" t="inlineStr">
        <is>
          <t>Ke</t>
        </is>
      </c>
    </row>
    <row r="20">
      <c r="A20" s="40" t="n">
        <v>0.8</v>
      </c>
      <c r="B20" s="9" t="n">
        <v>0.26668</v>
      </c>
      <c r="D20" s="3" t="inlineStr">
        <is>
          <t>The crux in real units (FY26E)</t>
        </is>
      </c>
    </row>
    <row r="21">
      <c r="A21" s="40" t="n">
        <v>0.9</v>
      </c>
      <c r="B21" s="9" t="n">
        <v>0.27609</v>
      </c>
      <c r="D21" s="5" t="inlineStr">
        <is>
          <t>Scenario</t>
        </is>
      </c>
      <c r="E21" s="5" t="inlineStr">
        <is>
          <t>Kd</t>
        </is>
      </c>
      <c r="F21" s="5" t="inlineStr">
        <is>
          <t>Net debt</t>
        </is>
      </c>
      <c r="G21" s="5" t="inlineStr">
        <is>
          <t>Interest</t>
        </is>
      </c>
      <c r="H21" s="5" t="inlineStr">
        <is>
          <t>NI (EGP mn)</t>
        </is>
      </c>
      <c r="I21" s="5" t="inlineStr">
        <is>
          <t>EPS</t>
        </is>
      </c>
    </row>
    <row r="22">
      <c r="A22" s="40" t="n">
        <v>1</v>
      </c>
      <c r="B22" s="9" t="n">
        <v>0.2855</v>
      </c>
      <c r="D22" s="8" t="inlineStr">
        <is>
          <t>CBE holds (19.50%), slow WC fix</t>
        </is>
      </c>
      <c r="E22" s="9" t="n">
        <v>0.24</v>
      </c>
      <c r="F22" s="20" t="n">
        <v>2111</v>
      </c>
      <c r="G22" s="20" t="n">
        <v>506.64</v>
      </c>
      <c r="H22" s="20" t="n">
        <v>586.6655378528</v>
      </c>
      <c r="I22" s="24" t="n">
        <v>0.2885972721027601</v>
      </c>
    </row>
    <row r="23">
      <c r="A23" s="40" t="n">
        <v>1.1</v>
      </c>
      <c r="B23" s="9" t="n">
        <v>0.29491</v>
      </c>
      <c r="D23" s="8" t="inlineStr">
        <is>
          <t>Base: staged cuts, WC glide</t>
        </is>
      </c>
      <c r="E23" s="9" t="n">
        <v>0.205</v>
      </c>
      <c r="F23" s="20" t="n">
        <v>1750</v>
      </c>
      <c r="G23" s="20" t="n">
        <v>358.75</v>
      </c>
      <c r="H23" s="20" t="n">
        <v>699.0619378527999</v>
      </c>
      <c r="I23" s="24" t="n">
        <v>0.3438882212743978</v>
      </c>
    </row>
    <row r="24">
      <c r="A24" s="40" t="n">
        <v>1.2</v>
      </c>
      <c r="B24" s="9" t="n">
        <v>0.30432</v>
      </c>
      <c r="D24" s="8" t="inlineStr">
        <is>
          <t>Fast easing + WC normalised</t>
        </is>
      </c>
      <c r="E24" s="9" t="n">
        <v>0.17</v>
      </c>
      <c r="F24" s="20" t="n">
        <v>1400</v>
      </c>
      <c r="G24" s="20" t="n">
        <v>238</v>
      </c>
      <c r="H24" s="20" t="n">
        <v>790.8319378527999</v>
      </c>
      <c r="I24" s="24" t="n">
        <v>0.3890324643772125</v>
      </c>
    </row>
    <row r="25">
      <c r="A25" s="40" t="n">
        <v>1.3</v>
      </c>
      <c r="B25" s="9" t="n">
        <v>0.31373</v>
      </c>
    </row>
    <row r="26">
      <c r="D26" s="3" t="inlineStr">
        <is>
          <t>Every 100bp on the 1Q26 net debt (EGP 2,111mn) ≈ EGP 21mn pre-tax.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Per-share figures and ratios (formulas off the statements)</t>
        </is>
      </c>
    </row>
    <row r="3">
      <c r="A3" s="5" t="inlineStr"/>
      <c r="B3" s="5" t="inlineStr">
        <is>
          <t>FY23</t>
        </is>
      </c>
      <c r="C3" s="5" t="inlineStr">
        <is>
          <t>FY24</t>
        </is>
      </c>
      <c r="D3" s="5" t="inlineStr">
        <is>
          <t>FY25</t>
        </is>
      </c>
      <c r="E3" s="5" t="inlineStr">
        <is>
          <t>FY26E</t>
        </is>
      </c>
      <c r="F3" s="5" t="inlineStr">
        <is>
          <t>FY27E</t>
        </is>
      </c>
      <c r="G3" s="5" t="inlineStr">
        <is>
          <t>FY28E</t>
        </is>
      </c>
      <c r="H3" s="5" t="inlineStr">
        <is>
          <t>FY29E</t>
        </is>
      </c>
      <c r="I3" s="5" t="inlineStr">
        <is>
          <t>FY30E</t>
        </is>
      </c>
    </row>
    <row r="4">
      <c r="A4" s="3" t="inlineStr">
        <is>
          <t>EPS (attributable, EGP)</t>
        </is>
      </c>
      <c r="B4" s="6">
        <f>'Income Statement'!B21/Assumptions!$B$5</f>
        <v/>
      </c>
      <c r="C4" s="6">
        <f>'Income Statement'!C21/Assumptions!$B$5</f>
        <v/>
      </c>
      <c r="D4" s="6">
        <f>'Income Statement'!D21/Assumptions!$B$5</f>
        <v/>
      </c>
      <c r="E4" s="6">
        <f>'Income Statement'!E21/Assumptions!$B$5</f>
        <v/>
      </c>
      <c r="F4" s="6">
        <f>'Income Statement'!F21/Assumptions!$B$5</f>
        <v/>
      </c>
      <c r="G4" s="6">
        <f>'Income Statement'!G21/Assumptions!$B$5</f>
        <v/>
      </c>
      <c r="H4" s="6">
        <f>'Income Statement'!H21/Assumptions!$B$5</f>
        <v/>
      </c>
      <c r="I4" s="6">
        <f>'Income Statement'!I21/Assumptions!$B$5</f>
        <v/>
      </c>
    </row>
    <row r="5">
      <c r="A5" s="3" t="inlineStr">
        <is>
          <t>DPS (EGP)</t>
        </is>
      </c>
      <c r="B5" s="6">
        <f>'Income Statement'!B22/Assumptions!$B$5</f>
        <v/>
      </c>
      <c r="C5" s="6">
        <f>'Income Statement'!C22/Assumptions!$B$5</f>
        <v/>
      </c>
      <c r="D5" s="6">
        <f>'Income Statement'!D22/Assumptions!$B$5</f>
        <v/>
      </c>
      <c r="E5" s="6">
        <f>'Income Statement'!E22/Assumptions!$B$5</f>
        <v/>
      </c>
      <c r="F5" s="6">
        <f>'Income Statement'!F22/Assumptions!$B$5</f>
        <v/>
      </c>
      <c r="G5" s="6">
        <f>'Income Statement'!G22/Assumptions!$B$5</f>
        <v/>
      </c>
      <c r="H5" s="6">
        <f>'Income Statement'!H22/Assumptions!$B$5</f>
        <v/>
      </c>
      <c r="I5" s="6">
        <f>'Income Statement'!I22/Assumptions!$B$5</f>
        <v/>
      </c>
    </row>
    <row r="6">
      <c r="A6" s="3" t="inlineStr">
        <is>
          <t>EBITDA margin</t>
        </is>
      </c>
      <c r="B6" s="21">
        <f>'Income Statement'!B11/'Income Statement'!B4</f>
        <v/>
      </c>
      <c r="C6" s="21">
        <f>'Income Statement'!C11/'Income Statement'!C4</f>
        <v/>
      </c>
      <c r="D6" s="21">
        <f>'Income Statement'!D11/'Income Statement'!D4</f>
        <v/>
      </c>
      <c r="E6" s="21">
        <f>'Income Statement'!E11/'Income Statement'!E4</f>
        <v/>
      </c>
      <c r="F6" s="21">
        <f>'Income Statement'!F11/'Income Statement'!F4</f>
        <v/>
      </c>
      <c r="G6" s="21">
        <f>'Income Statement'!G11/'Income Statement'!G4</f>
        <v/>
      </c>
      <c r="H6" s="21">
        <f>'Income Statement'!H11/'Income Statement'!H4</f>
        <v/>
      </c>
      <c r="I6" s="21">
        <f>'Income Statement'!I11/'Income Statement'!I4</f>
        <v/>
      </c>
    </row>
    <row r="7">
      <c r="A7" s="3" t="inlineStr">
        <is>
          <t>Net margin</t>
        </is>
      </c>
      <c r="B7" s="21">
        <f>'Income Statement'!B20/'Income Statement'!B4</f>
        <v/>
      </c>
      <c r="C7" s="21">
        <f>'Income Statement'!C20/'Income Statement'!C4</f>
        <v/>
      </c>
      <c r="D7" s="21">
        <f>'Income Statement'!D20/'Income Statement'!D4</f>
        <v/>
      </c>
      <c r="E7" s="21">
        <f>'Income Statement'!E20/'Income Statement'!E4</f>
        <v/>
      </c>
      <c r="F7" s="21">
        <f>'Income Statement'!F20/'Income Statement'!F4</f>
        <v/>
      </c>
      <c r="G7" s="21">
        <f>'Income Statement'!G20/'Income Statement'!G4</f>
        <v/>
      </c>
      <c r="H7" s="21">
        <f>'Income Statement'!H20/'Income Statement'!H4</f>
        <v/>
      </c>
      <c r="I7" s="21">
        <f>'Income Statement'!I20/'Income Statement'!I4</f>
        <v/>
      </c>
    </row>
    <row r="8">
      <c r="A8" s="3" t="inlineStr">
        <is>
          <t>Net debt / EBITDA (ex-lease)</t>
        </is>
      </c>
      <c r="B8" s="41">
        <f>'Balance Sheet'!B24/'Income Statement'!B11</f>
        <v/>
      </c>
      <c r="C8" s="41">
        <f>'Balance Sheet'!C24/'Income Statement'!C11</f>
        <v/>
      </c>
      <c r="D8" s="41">
        <f>'Balance Sheet'!D24/'Income Statement'!D11</f>
        <v/>
      </c>
      <c r="E8" s="41">
        <f>'Balance Sheet'!E24/'Income Statement'!E11</f>
        <v/>
      </c>
      <c r="F8" s="41">
        <f>'Balance Sheet'!F24/'Income Statement'!F11</f>
        <v/>
      </c>
      <c r="G8" s="41">
        <f>'Balance Sheet'!G24/'Income Statement'!G11</f>
        <v/>
      </c>
      <c r="H8" s="41">
        <f>'Balance Sheet'!H24/'Income Statement'!H11</f>
        <v/>
      </c>
      <c r="I8" s="41">
        <f>'Balance Sheet'!I24/'Income Statement'!I11</f>
        <v/>
      </c>
    </row>
    <row r="9">
      <c r="A9" s="3" t="inlineStr">
        <is>
          <t>ROE (NI / avg equity)</t>
        </is>
      </c>
      <c r="B9" s="8" t="inlineStr">
        <is>
          <t>—</t>
        </is>
      </c>
      <c r="C9" s="21">
        <f>'Income Statement'!C20/(('Balance Sheet'!C20+'Balance Sheet'!B20)/2)</f>
        <v/>
      </c>
      <c r="D9" s="21">
        <f>'Income Statement'!D20/(('Balance Sheet'!D20+'Balance Sheet'!C20)/2)</f>
        <v/>
      </c>
      <c r="E9" s="21">
        <f>'Income Statement'!E20/(('Balance Sheet'!E20+'Balance Sheet'!D20)/2)</f>
        <v/>
      </c>
      <c r="F9" s="21">
        <f>'Income Statement'!F20/(('Balance Sheet'!F20+'Balance Sheet'!E20)/2)</f>
        <v/>
      </c>
      <c r="G9" s="21">
        <f>'Income Statement'!G20/(('Balance Sheet'!G20+'Balance Sheet'!F20)/2)</f>
        <v/>
      </c>
      <c r="H9" s="21">
        <f>'Income Statement'!H20/(('Balance Sheet'!H20+'Balance Sheet'!G20)/2)</f>
        <v/>
      </c>
      <c r="I9" s="21">
        <f>'Income Statement'!I20/(('Balance Sheet'!I20+'Balance Sheet'!H20)/2)</f>
        <v/>
      </c>
    </row>
    <row r="10">
      <c r="A10" s="3" t="inlineStr">
        <is>
          <t>P/E at spot</t>
        </is>
      </c>
      <c r="B10" s="41">
        <f>Assumptions!$B$4/('Income Statement'!B21/Assumptions!$B$5)</f>
        <v/>
      </c>
      <c r="C10" s="41">
        <f>Assumptions!$B$4/('Income Statement'!C21/Assumptions!$B$5)</f>
        <v/>
      </c>
      <c r="D10" s="41">
        <f>Assumptions!$B$4/('Income Statement'!D21/Assumptions!$B$5)</f>
        <v/>
      </c>
      <c r="E10" s="41">
        <f>Assumptions!$B$4/('Income Statement'!E21/Assumptions!$B$5)</f>
        <v/>
      </c>
      <c r="F10" s="41">
        <f>Assumptions!$B$4/('Income Statement'!F21/Assumptions!$B$5)</f>
        <v/>
      </c>
      <c r="G10" s="41">
        <f>Assumptions!$B$4/('Income Statement'!G21/Assumptions!$B$5)</f>
        <v/>
      </c>
      <c r="H10" s="41">
        <f>Assumptions!$B$4/('Income Statement'!H21/Assumptions!$B$5)</f>
        <v/>
      </c>
      <c r="I10" s="41">
        <f>Assumptions!$B$4/('Income Statement'!I21/Assumptions!$B$5)</f>
        <v/>
      </c>
    </row>
    <row r="11">
      <c r="A11" s="3" t="inlineStr">
        <is>
          <t>EV/EBITDA at spot</t>
        </is>
      </c>
      <c r="B11" s="41">
        <f>(Assumptions!$B$4*Assumptions!$B$5+'Balance Sheet'!B24+Assumptions!$B$34-Assumptions!$B$35)/'Income Statement'!B11</f>
        <v/>
      </c>
      <c r="C11" s="41">
        <f>(Assumptions!$B$4*Assumptions!$B$5+'Balance Sheet'!C24+Assumptions!$B$34-Assumptions!$B$35)/'Income Statement'!C11</f>
        <v/>
      </c>
      <c r="D11" s="41">
        <f>(Assumptions!$B$4*Assumptions!$B$5+'Balance Sheet'!D24+Assumptions!$B$34-Assumptions!$B$35)/'Income Statement'!D11</f>
        <v/>
      </c>
      <c r="E11" s="41">
        <f>(Assumptions!$B$4*Assumptions!$B$5+'Balance Sheet'!E24+Assumptions!$B$34-Assumptions!$B$35)/'Income Statement'!E11</f>
        <v/>
      </c>
      <c r="F11" s="41">
        <f>(Assumptions!$B$4*Assumptions!$B$5+'Balance Sheet'!F24+Assumptions!$B$34-Assumptions!$B$35)/'Income Statement'!F11</f>
        <v/>
      </c>
      <c r="G11" s="41">
        <f>(Assumptions!$B$4*Assumptions!$B$5+'Balance Sheet'!G24+Assumptions!$B$34-Assumptions!$B$35)/'Income Statement'!G11</f>
        <v/>
      </c>
      <c r="H11" s="41">
        <f>(Assumptions!$B$4*Assumptions!$B$5+'Balance Sheet'!H24+Assumptions!$B$34-Assumptions!$B$35)/'Income Statement'!H11</f>
        <v/>
      </c>
      <c r="I11" s="41">
        <f>(Assumptions!$B$4*Assumptions!$B$5+'Balance Sheet'!I24+Assumptions!$B$34-Assumptions!$B$35)/'Income Statement'!I11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Peer set, sector structure and the same-name benchmark</t>
        </is>
      </c>
    </row>
    <row r="2">
      <c r="A2" s="10" t="inlineStr">
        <is>
          <t>Egyptian generics are fragmented and thinly covered; disclosed peer multiples are stale/illiquid, so the primary relative anchor is RMDA's own traded multiple (house same-name rule).</t>
        </is>
      </c>
    </row>
    <row r="3">
      <c r="A3" s="5" t="inlineStr">
        <is>
          <t>Item</t>
        </is>
      </c>
      <c r="B3" s="5" t="inlineStr">
        <is>
          <t>Detail</t>
        </is>
      </c>
    </row>
    <row r="4" ht="44" customHeight="1">
      <c r="A4" s="3" t="inlineStr">
        <is>
          <t>Sector structure</t>
        </is>
      </c>
      <c r="B4" s="2" t="inlineStr">
        <is>
          <t>Fragmented branded-generics market: EIPICO, Amoun, Pharco, EPICO, GlaxoSmithKline Egypt, Ibnsina (distribution) among the larger names; Rameda mid-tier by revenue and 3rd fastest-growing by 3yr CAGR (IQVIA, FY22 rank cited in company deck).</t>
        </is>
      </c>
    </row>
    <row r="5" ht="44" customHeight="1">
      <c r="A5" s="3" t="inlineStr">
        <is>
          <t>Pricing regime</t>
        </is>
      </c>
      <c r="B5" s="2" t="inlineStr">
        <is>
          <t>Egyptian Drug Authority sets/caps prices; catch-up post-devaluation is regulated and lagged — the FY23 margin trough vs the FY24/25 recovery.</t>
        </is>
      </c>
    </row>
    <row r="6" ht="44" customHeight="1">
      <c r="A6" s="3" t="inlineStr">
        <is>
          <t>Demand</t>
        </is>
      </c>
      <c r="B6" s="2" t="inlineStr">
        <is>
          <t>Structural volume growth (population, chronic disease); defensive through cycles; consumer shift from branded innovators to quality generics (company ER).</t>
        </is>
      </c>
    </row>
    <row r="7" ht="44" customHeight="1">
      <c r="A7" s="3" t="inlineStr">
        <is>
          <t>Cost side</t>
        </is>
      </c>
      <c r="B7" s="2" t="inlineStr">
        <is>
          <t>APIs and excipients USD-priced: a step-devaluation is the single nastiest margin scenario; regulated EGP prices reprice with a lag.</t>
        </is>
      </c>
    </row>
    <row r="8" ht="44" customHeight="1">
      <c r="A8" s="3" t="inlineStr">
        <is>
          <t>RMDA own multiples (spot)</t>
        </is>
      </c>
      <c r="B8" s="2" t="inlineStr">
        <is>
          <t>EV/EBITDA 10.7x FY25 / 8.9x FY26E; P/E 37.2x reported FY25 / 24.7x recurring; the market pays growth-stock multiples against a 22.55% risk-free.</t>
        </is>
      </c>
    </row>
    <row r="9" ht="44" customHeight="1">
      <c r="A9" s="3" t="inlineStr">
        <is>
          <t>Key risks</t>
        </is>
      </c>
      <c r="B9" s="2" t="inlineStr">
        <is>
          <t>Interest burden on EGP ~2.1-2.3bn net debt at ~20% rates; working-capital intensity (CCC ~215d); FX step risk; EDA pricing lag; distributor credit (UCP/MEC precedent); acquisition integration.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2026-07-13T13:17:11Z</dcterms:created>
  <dcterms:modified xmlns:dcterms="http://purl.org/dc/terms/" xmlns:xsi="http://www.w3.org/2001/XMLSchema-instance" xsi:type="dcterms:W3CDTF">2026-07-13T13:17:11Z</dcterms:modified>
</cp:coreProperties>
</file>