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RNAV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<sst xmlns="http://schemas.openxmlformats.org/spreadsheetml/2006/main" count="435" uniqueCount="365">
  <si>
    <t xml:space="preserve">Testahil · Independent Valuation Study — Educational Analysis · Not investment advice</t>
  </si>
  <si>
    <t xml:space="preserve">Heliopolis Company for Housing &amp; Development — Misr El Gadida (EGX: HELI) · companion model to the Word study of 03-07-2026.</t>
  </si>
  <si>
    <t xml:space="preserve">READ FIRST — what this workbook is, and is not. This model is a valuation exercise and an expression of personal analytical</t>
  </si>
  <si>
    <t xml:space="preserve">opinion, published free of charge for educational purposes. It is NOT investment advice, NOT a recommendation or solicitation</t>
  </si>
  <si>
    <t xml:space="preserve">to buy, sell or hold any security, and NOT directed at the circumstances of any reader. The preparer is not licensed by any</t>
  </si>
  <si>
    <t xml:space="preserve">securities regulator in any jurisdiction (including the Egyptian FRA), manages no money and accepts no fees, funds or clients.</t>
  </si>
  <si>
    <t xml:space="preserve">All values are model outputs presented as ranges and distributions because no single number should be relied on.</t>
  </si>
  <si>
    <t xml:space="preserve">How to use it: every blue cell on the Assumptions sheet is an input; every other sheet links back to it, so changing one</t>
  </si>
  <si>
    <t xml:space="preserve">input (a land mark, the RNAV discount, the WACC) reprices the whole model. Reported FY2023–FY2025 figures are the company’s</t>
  </si>
  <si>
    <t xml:space="preserve">own disclosure to the EGX (standardised presentation via S&amp;P Capital IQ, retrieved 03 Jul 2026); FY2026E–FY2030E and every</t>
  </si>
  <si>
    <t xml:space="preserve">mark are the preparer’s judgments. Holdings disclosure: the preparer may hold, and may in the future take or dispose of, a</t>
  </si>
  <si>
    <t xml:space="preserve">position in the security discussed in this report.</t>
  </si>
  <si>
    <t xml:space="preserve">Sheets: Summary · Fundamental Valuation · Assumptions (single input layer) · RNAV (primary lens) · Segments · Relative &amp;</t>
  </si>
  <si>
    <t xml:space="preserve">Normalized · DCF · Income Statement · Balance Sheet · Cash Flow · Summary Financials · Monte Carlo · Sensitivity ·</t>
  </si>
  <si>
    <t xml:space="preserve">Per-Share &amp; Ratios · Peer &amp; Sector.</t>
  </si>
  <si>
    <t xml:space="preserve">HELI — every read at a glance</t>
  </si>
  <si>
    <t xml:space="preserve">Heliopolis Company for Housing &amp; Development (EGX: HELI) · spot EGP 6.43 · 01 Jul 2026 · 4,005mn shares · mkt cap ≈ EGP 25.8bn</t>
  </si>
  <si>
    <t xml:space="preserve">Lens / read</t>
  </si>
  <si>
    <t xml:space="preserve">Output</t>
  </si>
  <si>
    <t xml:space="preserve">Takeaway</t>
  </si>
  <si>
    <t xml:space="preserve">FUNDAMENTAL</t>
  </si>
  <si>
    <t xml:space="preserve">Sum-of-the-parts RNAV (primary)</t>
  </si>
  <si>
    <t xml:space="preserve">+29% vs spot</t>
  </si>
  <si>
    <t xml:space="preserve">Consolidated DCF</t>
  </si>
  <si>
    <t xml:space="preserve">Cash-flow cross-check</t>
  </si>
  <si>
    <t xml:space="preserve">Relative multiples</t>
  </si>
  <si>
    <t xml:space="preserve">The floor</t>
  </si>
  <si>
    <t xml:space="preserve">Normalized earnings power</t>
  </si>
  <si>
    <t xml:space="preserve">The ceiling</t>
  </si>
  <si>
    <t xml:space="preserve">Weighted central</t>
  </si>
  <si>
    <t xml:space="preserve">Blend 40/20/15/25</t>
  </si>
  <si>
    <t xml:space="preserve">TECHNICAL</t>
  </si>
  <si>
    <t xml:space="preserve">Trend &amp; momentum</t>
  </si>
  <si>
    <t xml:space="preserve">Above SMA100/200; at SMA20/50</t>
  </si>
  <si>
    <t xml:space="preserve">Uptrend pausing; RSI 49</t>
  </si>
  <si>
    <t xml:space="preserve">MONTE CARLO (3 months)</t>
  </si>
  <si>
    <t xml:space="preserve">T+20 (p5/p50/p95)</t>
  </si>
  <si>
    <t xml:space="preserve">5.37 / 6.54 / 7.89</t>
  </si>
  <si>
    <t xml:space="preserve">Median ≈ spot</t>
  </si>
  <si>
    <t xml:space="preserve">T+60 (p5/p50/p95)</t>
  </si>
  <si>
    <t xml:space="preserve">4.84 / 6.74 / 9.27</t>
  </si>
  <si>
    <t xml:space="preserve">50% band 5.95–7.60</t>
  </si>
  <si>
    <t xml:space="preserve">EXPERT PANEL</t>
  </si>
  <si>
    <t xml:space="preserve">Expert 1 — RNAV &amp; discount</t>
  </si>
  <si>
    <t xml:space="preserve">The anchor</t>
  </si>
  <si>
    <t xml:space="preserve">Expert 2 — contracted-annuity DCF</t>
  </si>
  <si>
    <t xml:space="preserve">The floor of the panel</t>
  </si>
  <si>
    <t xml:space="preserve">Expert 3 — macro-policy / privatization</t>
  </si>
  <si>
    <t xml:space="preserve">Most state-sceptical</t>
  </si>
  <si>
    <t xml:space="preserve">Synthesis — four lenses, weights and the central value</t>
  </si>
  <si>
    <t xml:space="preserve">Bear/bull spans mirror the study §1.5; base cells link live to the lens sheets.</t>
  </si>
  <si>
    <t xml:space="preserve">Lens</t>
  </si>
  <si>
    <t xml:space="preserve">Weight</t>
  </si>
  <si>
    <t xml:space="preserve">Bear</t>
  </si>
  <si>
    <t xml:space="preserve">Base</t>
  </si>
  <si>
    <t xml:space="preserve">Bull</t>
  </si>
  <si>
    <t xml:space="preserve">Sum-of-the-parts RNAV</t>
  </si>
  <si>
    <t xml:space="preserve">Spot (EGP)</t>
  </si>
  <si>
    <t xml:space="preserve">Upside to weighted central</t>
  </si>
  <si>
    <t xml:space="preserve">Assumptions — the single input layer</t>
  </si>
  <si>
    <t xml:space="preserve">All blue cells are inputs. Every other sheet links here. Sources per cell in column C.</t>
  </si>
  <si>
    <t xml:space="preserve">ANCHORS</t>
  </si>
  <si>
    <t xml:space="preserve">Spot price (EGP/share)</t>
  </si>
  <si>
    <t xml:space="preserve">EGX close 01 Jul 2026</t>
  </si>
  <si>
    <t xml:space="preserve">Shares outstanding (mn)</t>
  </si>
  <si>
    <t xml:space="preserve">Capital EGP 1,001mn, par 0.25; EGX</t>
  </si>
  <si>
    <t xml:space="preserve">Net debt, Mar-2026 (EGP mn)</t>
  </si>
  <si>
    <t xml:space="preserve">S&amp;P CIQ standardised BS, 31 Mar 2026</t>
  </si>
  <si>
    <t xml:space="preserve">WACC</t>
  </si>
  <si>
    <t xml:space="preserve">Ke ~24-25% EGP, blended w/ debt</t>
  </si>
  <si>
    <t xml:space="preserve">Terminal growth (nominal EGP)</t>
  </si>
  <si>
    <t xml:space="preserve">≈ long-run EGP inflation + ~2%</t>
  </si>
  <si>
    <t xml:space="preserve">Tax rate</t>
  </si>
  <si>
    <t xml:space="preserve">Egyptian corporate rate</t>
  </si>
  <si>
    <t xml:space="preserve">RNAV — BASE MARKS (EGP mn PV unless noted)</t>
  </si>
  <si>
    <t xml:space="preserve">Madinet Masr JDA, 491 fd (PV of min guarantee)</t>
  </si>
  <si>
    <t xml:space="preserve">JDA Aug-25: min EGP 53.18bn/9y; Asharq</t>
  </si>
  <si>
    <t xml:space="preserve">MG Urban Dev JDA, 77 fd (PV of min guarantee)</t>
  </si>
  <si>
    <t xml:space="preserve">Dec-23: min EGP 3.394bn/14y @32.1%</t>
  </si>
  <si>
    <t xml:space="preserve">Middle East Dev JDA land, feddans</t>
  </si>
  <si>
    <t xml:space="preserve">Jan-25 + 2nd plot; Asharq/ArabFinance</t>
  </si>
  <si>
    <t xml:space="preserve">G Developments JDA land, feddans</t>
  </si>
  <si>
    <t xml:space="preserve">2024 “New Cairo” project</t>
  </si>
  <si>
    <t xml:space="preserve">SODIC East residual land, feddans</t>
  </si>
  <si>
    <t xml:space="preserve">2018/19 co-development</t>
  </si>
  <si>
    <t xml:space="preserve">PV per feddan — undisclosed-term JDAs (EGP mn)</t>
  </si>
  <si>
    <t xml:space="preserve">judgment; see study §1.1</t>
  </si>
  <si>
    <t xml:space="preserve">PV per feddan — SODIC East residual (EGP mn)</t>
  </si>
  <si>
    <t xml:space="preserve">older vintage, sold-through tail</t>
  </si>
  <si>
    <t xml:space="preserve">Unallocated NH + auction plots, feddans</t>
  </si>
  <si>
    <t xml:space="preserve">8 plots + Green Kasaba + 75-fd site</t>
  </si>
  <si>
    <t xml:space="preserve">Cash value per feddan — unallocated (EGP mn)</t>
  </si>
  <si>
    <t xml:space="preserve">vs Heliopark 8.85m/fd (2023 New Cairo)</t>
  </si>
  <si>
    <t xml:space="preserve">New Obour plot, feddans</t>
  </si>
  <si>
    <t xml:space="preserve">received Jul-2025</t>
  </si>
  <si>
    <t xml:space="preserve">Heliopolis district heritage &amp; rental portfolio (EGP mn)</t>
  </si>
  <si>
    <t xml:space="preserve">judgment mark; Korba/Merryland/Sheraton</t>
  </si>
  <si>
    <t xml:space="preserve">PV of unallocated overhead (EGP mn)</t>
  </si>
  <si>
    <t xml:space="preserve">~5x SG&amp;A run-rate</t>
  </si>
  <si>
    <t xml:space="preserve">RNAV discount (state control, timing, opacity)</t>
  </si>
  <si>
    <t xml:space="preserve">EGX developer 40-60% range</t>
  </si>
  <si>
    <t xml:space="preserve">RELATIVE &amp; NORMALIZED</t>
  </si>
  <si>
    <t xml:space="preserve">FY26E EPS (link check vs IS)</t>
  </si>
  <si>
    <t xml:space="preserve">Justified P/E</t>
  </si>
  <si>
    <t xml:space="preserve">Mid-cycle recurring net income (EGP mn)</t>
  </si>
  <si>
    <t xml:space="preserve">partnership run-rate; §1.4</t>
  </si>
  <si>
    <t xml:space="preserve">Justified mid-cycle P/E</t>
  </si>
  <si>
    <t xml:space="preserve">SYNTHESIS WEIGHTS</t>
  </si>
  <si>
    <t xml:space="preserve">RNAV weight</t>
  </si>
  <si>
    <t xml:space="preserve">DCF weight</t>
  </si>
  <si>
    <t xml:space="preserve">Relative weight</t>
  </si>
  <si>
    <t xml:space="preserve">Normalized-earnings weight</t>
  </si>
  <si>
    <t xml:space="preserve">MONTE CARLO (from the YZ-HAR engine, Step 0 App B)</t>
  </si>
  <si>
    <t xml:space="preserve">YZ-HAR projected annualized vol</t>
  </si>
  <si>
    <t xml:space="preserve">pooled log-HAR (1/5/22) on YZ proxy</t>
  </si>
  <si>
    <t xml:space="preserve">Simulated path vol (with events)</t>
  </si>
  <si>
    <t xml:space="preserve">50k paths, seed 42</t>
  </si>
  <si>
    <t xml:space="preserve">Net continuous-factor 3M drift</t>
  </si>
  <si>
    <t xml:space="preserve">7 C-factors; §3</t>
  </si>
  <si>
    <t xml:space="preserve">Secular drift (Step 0: OFF for HELI)</t>
  </si>
  <si>
    <t xml:space="preserve">drift-on failed CRPS; App B</t>
  </si>
  <si>
    <t xml:space="preserve">FORECAST DRIVERS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</si>
  <si>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</si>
  <si>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</si>
  <si>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</si>
  <si>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</si>
  <si>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</si>
  <si>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Operating revenue (EGP mn)</t>
  </si>
  <si>
    <t xml:space="preserve">COGS (% of revenue)</t>
  </si>
  <si>
    <t xml:space="preserve">SG&amp;A (EGP mn)</t>
  </si>
  <si>
    <t xml:space="preserve">Other operating, net (EGP mn)</t>
  </si>
  <si>
    <t xml:space="preserve">Land-sale &amp; other gains (EGP mn)</t>
  </si>
  <si>
    <t xml:space="preserve">Interest income (EGP mn)</t>
  </si>
  <si>
    <t xml:space="preserve">Interest expense (EGP mn)</t>
  </si>
  <si>
    <t xml:space="preserve">D&amp;A (EGP mn)</t>
  </si>
  <si>
    <t xml:space="preserve">Capex (EGP mn)</t>
  </si>
  <si>
    <t xml:space="preserve">Δ Inventory (EGP mn)</t>
  </si>
  <si>
    <t xml:space="preserve">Δ Receivables (EGP mn)</t>
  </si>
  <si>
    <t xml:space="preserve">Δ Payables (EGP mn)</t>
  </si>
  <si>
    <t xml:space="preserve">Dividends paid (EGP mn)</t>
  </si>
  <si>
    <t xml:space="preserve">Debt repayment, net (EGP mn)</t>
  </si>
  <si>
    <t xml:space="preserve">Sum-of-the-parts RNAV — the primary lens</t>
  </si>
  <si>
    <t xml:space="preserve">Marks are the preparer’s judgments (flagged); contracted minimum guarantees anchor the two disclosed JDAs.</t>
  </si>
  <si>
    <t xml:space="preserve">Component</t>
  </si>
  <si>
    <t xml:space="preserve">Basis</t>
  </si>
  <si>
    <t xml:space="preserve">Value (EGP mn)</t>
  </si>
  <si>
    <t xml:space="preserve">Madinet Masr JDA (491 fd)</t>
  </si>
  <si>
    <t xml:space="preserve">PV of EGP 53.18bn / 9y minimum guarantee</t>
  </si>
  <si>
    <t xml:space="preserve">MG Urban Development JDA (77 fd)</t>
  </si>
  <si>
    <t xml:space="preserve">PV of EGP 3.394bn / 14y minimum (32.1% share)</t>
  </si>
  <si>
    <t xml:space="preserve">Middle East Development JDA (1,759 fd)</t>
  </si>
  <si>
    <t xml:space="preserve">PV/feddan × feddans (terms undisclosed)</t>
  </si>
  <si>
    <t xml:space="preserve">G Developments JDA (1,800 fd)</t>
  </si>
  <si>
    <t xml:space="preserve">SODIC East residual (655 fd)</t>
  </si>
  <si>
    <t xml:space="preserve">PV/feddan × feddans (sold-through tail)</t>
  </si>
  <si>
    <t xml:space="preserve">Unallocated New Heliopolis + auction plots (350 fd)</t>
  </si>
  <si>
    <t xml:space="preserve">Cash mark per feddan</t>
  </si>
  <si>
    <t xml:space="preserve">New Obour plot (60 fd)</t>
  </si>
  <si>
    <t xml:space="preserve">Heritage &amp; rental portfolio (Korba, Merryland, Sheraton)</t>
  </si>
  <si>
    <t xml:space="preserve">Judgment mark</t>
  </si>
  <si>
    <t xml:space="preserve">Gross asset value</t>
  </si>
  <si>
    <t xml:space="preserve">Σ components</t>
  </si>
  <si>
    <t xml:space="preserve">Less: PV of unallocated overhead</t>
  </si>
  <si>
    <t xml:space="preserve">~5× SG&amp;A run-rate</t>
  </si>
  <si>
    <t xml:space="preserve">Less: net debt (Mar-26)</t>
  </si>
  <si>
    <t xml:space="preserve">NAV, pre-discount</t>
  </si>
  <si>
    <t xml:space="preserve">NAV per share, pre-discount (EGP)</t>
  </si>
  <si>
    <t xml:space="preserve">RNAV discount</t>
  </si>
  <si>
    <t xml:space="preserve">state control · timing · disclosure opacity</t>
  </si>
  <si>
    <t xml:space="preserve">RNAV fair value per share (EGP)</t>
  </si>
  <si>
    <t xml:space="preserve">Implied discount at spot</t>
  </si>
  <si>
    <t xml:space="preserve">1 − spot / pre-discount NAV</t>
  </si>
  <si>
    <t xml:space="preserve">Segments — the land bank by disposition</t>
  </si>
  <si>
    <t xml:space="preserve">New Heliopolis City = 5,885 feddans (Decree 193/1995); Heliopark (1,695 fd, New Cairo) sold 2023.</t>
  </si>
  <si>
    <t xml:space="preserve">Block</t>
  </si>
  <si>
    <t xml:space="preserve">Feddans</t>
  </si>
  <si>
    <t xml:space="preserve">Status / partner</t>
  </si>
  <si>
    <t xml:space="preserve">Disclosed economics</t>
  </si>
  <si>
    <t xml:space="preserve">Madinet Masr JDA</t>
  </si>
  <si>
    <t xml:space="preserve">Signed Aug-2025; two plots</t>
  </si>
  <si>
    <t xml:space="preserve">36.5% semi-finished / 20% finished; min EGP 53.18bn/9y; EGP 1.1bn at signing</t>
  </si>
  <si>
    <t xml:space="preserve">G Developments JDA</t>
  </si>
  <si>
    <t xml:space="preserve">Signed 2024; “New Cairo” project</t>
  </si>
  <si>
    <t xml:space="preserve">Terms undisclosed; won vs Hassan Allam &amp; Majid Al Futtaim</t>
  </si>
  <si>
    <t xml:space="preserve">Middle East Development JDA</t>
  </si>
  <si>
    <t xml:space="preserve">Jan-2025 + second plot</t>
  </si>
  <si>
    <t xml:space="preserve">EGP 594mn revenue to HELI in 2025; sales under way</t>
  </si>
  <si>
    <t xml:space="preserve">SODIC East</t>
  </si>
  <si>
    <t xml:space="preserve">Revenue-share; sold-through tail</t>
  </si>
  <si>
    <t xml:space="preserve">MG Urban Development JDA</t>
  </si>
  <si>
    <t xml:space="preserve">Signed Dec-2023</t>
  </si>
  <si>
    <t xml:space="preserve">32.1% revenue share; min EGP 3.394bn/14y</t>
  </si>
  <si>
    <t xml:space="preserve">Hospitality / retail project</t>
  </si>
  <si>
    <t xml:space="preserve">Designs complete Jun-2026</t>
  </si>
  <si>
    <t xml:space="preserve">EGP 5bn planned capex</t>
  </si>
  <si>
    <t xml:space="preserve">Auction &amp; Green Kasaba plots</t>
  </si>
  <si>
    <t xml:space="preserve">8 plots offered; Smash club offer</t>
  </si>
  <si>
    <t xml:space="preserve">Cash monetisation</t>
  </si>
  <si>
    <t xml:space="preserve">New Obour plot</t>
  </si>
  <si>
    <t xml:space="preserve">Received Jul-2025</t>
  </si>
  <si>
    <t xml:space="preserve">Undeveloped</t>
  </si>
  <si>
    <t xml:space="preserve">Heliopolis district portfolio</t>
  </si>
  <si>
    <t xml:space="preserve">—</t>
  </si>
  <si>
    <t xml:space="preserve">Korba heritage, Merryland, Sheraton units</t>
  </si>
  <si>
    <t xml:space="preserve">Rental + hotel-conversion offers</t>
  </si>
  <si>
    <t xml:space="preserve">Committed to partnerships (fd)</t>
  </si>
  <si>
    <t xml:space="preserve">Relative multiples and normalized earnings power</t>
  </si>
  <si>
    <t xml:space="preserve">Relative lens</t>
  </si>
  <si>
    <t xml:space="preserve">Value</t>
  </si>
  <si>
    <t xml:space="preserve">FY26E net income (EGP mn)</t>
  </si>
  <si>
    <t xml:space="preserve">FY26E EPS (EGP)</t>
  </si>
  <si>
    <t xml:space="preserve">Relative fair value (EGP/share)</t>
  </si>
  <si>
    <t xml:space="preserve">P/E at spot (FY26E)</t>
  </si>
  <si>
    <t xml:space="preserve">P/B at spot (FY25 BVPS 2.58)</t>
  </si>
  <si>
    <t xml:space="preserve">Normalized-earnings lens</t>
  </si>
  <si>
    <t xml:space="preserve">Normalized EPS (EGP)</t>
  </si>
  <si>
    <t xml:space="preserve">Normalized fair value (EGP/share)</t>
  </si>
  <si>
    <t xml:space="preserve">Consolidated DCF — FCFF, 5-yr forecast + terminal</t>
  </si>
  <si>
    <t xml:space="preserve">Every input links to Assumptions. WACC and terminal growth are the swing inputs.</t>
  </si>
  <si>
    <t xml:space="preserve">EGP mn</t>
  </si>
  <si>
    <t xml:space="preserve">EBIT</t>
  </si>
  <si>
    <t xml:space="preserve">Land-sale &amp; other gains</t>
  </si>
  <si>
    <t xml:space="preserve">Tax on EBIT + gains</t>
  </si>
  <si>
    <t xml:space="preserve">NOPAT</t>
  </si>
  <si>
    <t xml:space="preserve">+ D&amp;A</t>
  </si>
  <si>
    <t xml:space="preserve">− Capex</t>
  </si>
  <si>
    <t xml:space="preserve">− Δ Working capital</t>
  </si>
  <si>
    <t xml:space="preserve">FCFF</t>
  </si>
  <si>
    <t xml:space="preserve">Discount factor</t>
  </si>
  <si>
    <t xml:space="preserve">PV of FCFF</t>
  </si>
  <si>
    <t xml:space="preserve">Terminal value (FY30)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</si>
  <si>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</si>
  <si>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</si>
  <si>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</si>
  <si>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</si>
  <si>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DCF fair value / share (EGP)</t>
  </si>
  <si>
    <t xml:space="preserve">Income statement (EGP mn) — 3yr historical + 5yr forecast</t>
  </si>
  <si>
    <t xml:space="preserve">FY2023–FY2025 as reported (S&amp;P CIQ standardised); FY2026E–FY2030E model. Calendar fiscal year.</t>
  </si>
  <si>
    <t xml:space="preserve">FY23</t>
  </si>
  <si>
    <t xml:space="preserve">FY24</t>
  </si>
  <si>
    <t xml:space="preserve">FY25</t>
  </si>
  <si>
    <t xml:space="preserve">Operating revenue</t>
  </si>
  <si>
    <t xml:space="preserve">Cost of revenue</t>
  </si>
  <si>
    <t xml:space="preserve">Gross profit</t>
  </si>
  <si>
    <t xml:space="preserve">SG&amp;A</t>
  </si>
  <si>
    <t xml:space="preserve">Other operating, net</t>
  </si>
  <si>
    <t xml:space="preserve">EBIT (operating income)</t>
  </si>
  <si>
    <t xml:space="preserve">Interest income</t>
  </si>
  <si>
    <t xml:space="preserve">Interest expense</t>
  </si>
  <si>
    <t xml:space="preserve">Other non-operating</t>
  </si>
  <si>
    <t xml:space="preserve">Pre-tax income</t>
  </si>
  <si>
    <t xml:space="preserve">Income tax</t>
  </si>
  <si>
    <t xml:space="preserve">Net income</t>
  </si>
  <si>
    <t xml:space="preserve">EPS (EGP)</t>
  </si>
  <si>
    <t xml:space="preserve">EBITDA (EBIT + D&amp;A)</t>
  </si>
  <si>
    <t xml:space="preserve">Note: FY23 includes the EGP 15bn Heliopark land sale to the National Social Insurance Authority. FY26E–FY30E gains line = plot auctions &amp; asset sales.</t>
  </si>
  <si>
    <t xml:space="preserve">Balance sheet (EGP mn) — 3yr historical + 5yr forecast</t>
  </si>
  <si>
    <t xml:space="preserve">FY2023–FY2025 as reported (S&amp;P CIQ standardised); forecast cash is the model plug.</t>
  </si>
  <si>
    <t xml:space="preserve">Cash &amp; ST investments</t>
  </si>
  <si>
    <t xml:space="preserve">Receivables</t>
  </si>
  <si>
    <t xml:space="preserve">Inventory (land &amp; WIP)</t>
  </si>
  <si>
    <t xml:space="preserve">Other current assets</t>
  </si>
  <si>
    <t xml:space="preserve">Total current assets</t>
  </si>
  <si>
    <t xml:space="preserve">PP&amp;E, net</t>
  </si>
  <si>
    <t xml:space="preserve">Other long-term assets</t>
  </si>
  <si>
    <t xml:space="preserve">Total assets</t>
  </si>
  <si>
    <t xml:space="preserve">Payables &amp; accrued</t>
  </si>
  <si>
    <t xml:space="preserve">Total debt</t>
  </si>
  <si>
    <t xml:space="preserve">Taxes payable &amp; other current</t>
  </si>
  <si>
    <t xml:space="preserve">Other long-term liabilities</t>
  </si>
  <si>
    <t xml:space="preserve">Total liabilities</t>
  </si>
  <si>
    <t xml:space="preserve">Paid-in capital &amp; other</t>
  </si>
  <si>
    <t xml:space="preserve">Retained earnings</t>
  </si>
  <si>
    <t xml:space="preserve">Shareholders' equity</t>
  </si>
  <si>
    <t xml:space="preserve">Total liabilities &amp; equity</t>
  </si>
  <si>
    <t xml:space="preserve">Balance check (must be 0)</t>
  </si>
  <si>
    <t xml:space="preserve">Net cash / (debt)</t>
  </si>
  <si>
    <t xml:space="preserve">Book value per share (EGP)</t>
  </si>
  <si>
    <t xml:space="preserve">Cash flow (EGP mn) — 3yr historical + 5yr forecast</t>
  </si>
  <si>
    <t xml:space="preserve">Historical per S&amp;P CIQ standardised; forecast built from the drivers on Assumptions.</t>
  </si>
  <si>
    <t xml:space="preserve">D&amp;A</t>
  </si>
  <si>
    <t xml:space="preserve">Δ Inventory</t>
  </si>
  <si>
    <t xml:space="preserve">Δ Receivables</t>
  </si>
  <si>
    <t xml:space="preserve">Δ Payables &amp; other</t>
  </si>
  <si>
    <t xml:space="preserve">Operating cash flow</t>
  </si>
  <si>
    <t xml:space="preserve">Capex</t>
  </si>
  <si>
    <t xml:space="preserve">Free cash flow</t>
  </si>
  <si>
    <t xml:space="preserve">Dividends paid</t>
  </si>
  <si>
    <t xml:space="preserve">Debt drawn / (repaid), net</t>
  </si>
  <si>
    <t xml:space="preserve">Other investing / financing</t>
  </si>
  <si>
    <t xml:space="preserve">Net change in cash</t>
  </si>
  <si>
    <t xml:space="preserve">Cash, end of period</t>
  </si>
  <si>
    <t xml:space="preserve">FY23 “other investing” = CD placements of Heliopark proceeds; FY24 = maturities; FY25 = land purchase settled through investing per CIQ mapping.</t>
  </si>
  <si>
    <t xml:space="preserve">Summary financials — every cell links to the statement sheets</t>
  </si>
  <si>
    <t xml:space="preserve">Revenue</t>
  </si>
  <si>
    <t xml:space="preserve">Monte Carlo — YZ-HAR width, t5 innovations, 16 factors, 50,000 paths (seed 42)</t>
  </si>
  <si>
    <t xml:space="preserve">Paths diffuse from spot; the §1 value gap is deliberately kept out of the drift. Percentiles hard-coded from the run.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</si>
  <si>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</si>
  <si>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</si>
  <si>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</si>
  <si>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</si>
  <si>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</si>
  <si>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</si>
  <si>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</si>
  <si>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</si>
  <si>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Engine line</t>
  </si>
  <si>
    <t xml:space="preserve">Spot / anchor (EGP)</t>
  </si>
  <si>
    <t xml:space="preserve">YZ-HAR annualized vol</t>
  </si>
  <si>
    <t xml:space="preserve">Net continuous 3M drift</t>
  </si>
  <si>
    <t xml:space="preserve">Secular drift (Step 0 verdict)</t>
  </si>
  <si>
    <t xml:space="preserve">Touch level (EGP)</t>
  </si>
  <si>
    <t xml:space="preserve">by T+20</t>
  </si>
  <si>
    <t xml:space="preserve">by T+60</t>
  </si>
  <si>
    <t xml:space="preserve">RNAV sensitivity — land &amp; partnership marks × RNAV discount (EGP/share)</t>
  </si>
  <si>
    <t xml:space="preserve">Rows: discount. Columns: uniform shift on the land/partnership block (86% of GAV). Live formulas.</t>
  </si>
  <si>
    <t xml:space="preserve">Discount \ mark shift</t>
  </si>
  <si>
    <t xml:space="preserve">-30%</t>
  </si>
  <si>
    <t xml:space="preserve">-15%</t>
  </si>
  <si>
    <t xml:space="preserve">+0%</t>
  </si>
  <si>
    <t xml:space="preserve">+15%</t>
  </si>
  <si>
    <t xml:space="preserve">+30%</t>
  </si>
  <si>
    <t xml:space="preserve">DCF sensitivity — WACC × terminal growth (EGP/share)</t>
  </si>
  <si>
    <t xml:space="preserve">WACC \ g</t>
  </si>
  <si>
    <t xml:space="preserve">10%</t>
  </si>
  <si>
    <t xml:space="preserve">11%</t>
  </si>
  <si>
    <t xml:space="preserve">12%</t>
  </si>
  <si>
    <t xml:space="preserve">13%</t>
  </si>
  <si>
    <t xml:space="preserve">14%</t>
  </si>
  <si>
    <t xml:space="preserve">Per-share values and ratios</t>
  </si>
  <si>
    <t xml:space="preserve">Metric</t>
  </si>
  <si>
    <t xml:space="preserve">BVPS (EGP)</t>
  </si>
  <si>
    <t xml:space="preserve">DPS declared (EGP)</t>
  </si>
  <si>
    <t xml:space="preserve">ROE</t>
  </si>
  <si>
    <t xml:space="preserve">Net margin</t>
  </si>
  <si>
    <t xml:space="preserve">P/E at spot</t>
  </si>
  <si>
    <t xml:space="preserve">P/B at spot</t>
  </si>
  <si>
    <t xml:space="preserve">Dividend yield at spot</t>
  </si>
  <si>
    <t xml:space="preserve">Peer set — EGX land-bank developers</t>
  </si>
  <si>
    <t xml:space="preserve">Closing prices 01 Jul 2026 from the attached daily histories; multiples indicative (trailing, rounded).</t>
  </si>
  <si>
    <t xml:space="preserve">Peer</t>
  </si>
  <si>
    <t xml:space="preserve">Ticker</t>
  </si>
  <si>
    <t xml:space="preserve">Close (EGP)</t>
  </si>
  <si>
    <t xml:space="preserve">Positioning</t>
  </si>
  <si>
    <t xml:space="preserve">Talaat Moustafa Group</t>
  </si>
  <si>
    <t xml:space="preserve">TMGH</t>
  </si>
  <si>
    <t xml:space="preserve">Scale developer; recurring hospitality; sector bellwether</t>
  </si>
  <si>
    <t xml:space="preserve">Palm Hills Developments</t>
  </si>
  <si>
    <t xml:space="preserve">PHDC</t>
  </si>
  <si>
    <t xml:space="preserve">West/East Cairo launches; high asset turn</t>
  </si>
  <si>
    <t xml:space="preserve">SODIC</t>
  </si>
  <si>
    <t xml:space="preserve">OCDI</t>
  </si>
  <si>
    <t xml:space="preserve">Premium brand; HELI’s 2018/19 partner on SODIC East</t>
  </si>
  <si>
    <t xml:space="preserve">Emaar Misr</t>
  </si>
  <si>
    <t xml:space="preserve">EMFD</t>
  </si>
  <si>
    <t xml:space="preserve">Coastal + Uptown; net-cash balance sheet</t>
  </si>
  <si>
    <t xml:space="preserve">Madinet Masr</t>
  </si>
  <si>
    <t xml:space="preserve">MASR</t>
  </si>
  <si>
    <t xml:space="preserve">HELI’s 2025 JDA counterparty (491 fd)</t>
  </si>
  <si>
    <t xml:space="preserve">Orascom Development Egypt</t>
  </si>
  <si>
    <t xml:space="preserve">ORHD</t>
  </si>
  <si>
    <t xml:space="preserve">Town developer; recurring hotels</t>
  </si>
  <si>
    <t xml:space="preserve">Heliopolis Housing</t>
  </si>
  <si>
    <t xml:space="preserve">HELI</t>
  </si>
  <si>
    <t xml:space="preserve">State-controlled land bank converting to partnership annuities</t>
  </si>
  <si>
    <t xml:space="preserve">Sector: EGX real estate = land-bank optionality + off-plan absorption; sector trades 40–60% below stated NAVs; rates easing is the common tailwind.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</si>
</sst>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.0%"/>
    <numFmt numFmtId="167" formatCode="#,##0;\(#,##0\);\-"/>
    <numFmt numFmtId="168" formatCode="0.0\x"/>
    <numFmt numFmtId="169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5E5E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8"/>
      <color rgb="FF888888"/>
      <name val="Cambria"/>
      <family val="0"/>
      <charset val="1"/>
    </font>
    <font>
      <i val="true"/>
      <sz val="8"/>
      <name val="Cambria"/>
      <family val="0"/>
      <charset val="1"/>
    </font>
    <font>
      <b val="true"/>
      <sz val="11"/>
      <color rgb="FF008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5E5E"/>
        <bgColor rgb="FF008080"/>
      </patternFill>
    </fill>
    <fill>
      <patternFill patternType="solid">
        <fgColor rgb="FFDDEBEB"/>
        <bgColor rgb="FFD9E2E2"/>
      </patternFill>
    </fill>
    <fill>
      <patternFill patternType="solid">
        <fgColor rgb="FFE8DCC0"/>
        <bgColor rgb="FFD9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2"/>
      </left>
      <right style="thin">
        <color rgb="FFD9E2E2"/>
      </right>
      <top style="thin">
        <color rgb="FFD9E2E2"/>
      </top>
      <bottom style="thin">
        <color rgb="FFD9E2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888888"/>
      <rgbColor rgb="FF9999FF"/>
      <rgbColor rgb="FF993366"/>
      <rgbColor rgb="FFFFFFCC"/>
      <rgbColor rgb="FFDDEBEB"/>
      <rgbColor rgb="FF660066"/>
      <rgbColor rgb="FFFF8080"/>
      <rgbColor rgb="FF0066CC"/>
      <rgbColor rgb="FFD9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DCC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5" customFormat="false" ht="15" hidden="false" customHeight="false" outlineLevel="0" collapsed="false">
      <c r="A5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1" customFormat="false" ht="15" hidden="false" customHeight="false" outlineLevel="0" collapsed="false">
      <c r="A11" s="0" t="s">
        <v>7</v>
      </c>
    </row>
    <row r="12" customFormat="false" ht="15" hidden="false" customHeight="false" outlineLevel="0" collapsed="false">
      <c r="A12" s="0" t="s">
        <v>8</v>
      </c>
    </row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7" customFormat="false" ht="15" hidden="false" customHeight="false" outlineLevel="0" collapsed="false">
      <c r="A17" s="0" t="s">
        <v>12</v>
      </c>
    </row>
    <row r="18" customFormat="false" ht="15" hidden="false" customHeight="false" outlineLevel="0" collapsed="false">
      <c r="A18" s="0" t="s">
        <v>13</v>
      </c>
    </row>
    <row r="19" customFormat="false" ht="15" hidden="false" customHeight="false" outlineLevel="0" collapsed="false">
      <c r="A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10" min="4" style="0" width="13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15" hidden="false" customHeight="false" outlineLevel="0" collapsed="false">
      <c r="A4" s="3" t="s">
        <v>17</v>
      </c>
      <c r="B4" s="4" t="s">
        <v>18</v>
      </c>
      <c r="C4" s="4" t="s">
        <v>19</v>
      </c>
    </row>
    <row r="5" customFormat="false" ht="15" hidden="false" customHeight="false" outlineLevel="0" collapsed="false">
      <c r="A5" s="5" t="s">
        <v>20</v>
      </c>
      <c r="B5" s="6"/>
      <c r="C5" s="6"/>
    </row>
    <row r="6" customFormat="false" ht="15" hidden="false" customHeight="false" outlineLevel="0" collapsed="false">
      <c r="A6" s="7" t="s">
        <v>21</v>
      </c>
      <c r="B6" s="8" t="n">
        <f aca="false">RNAV!C19</f>
        <v>8.29743886788873</v>
      </c>
      <c r="C6" s="7" t="s">
        <v>22</v>
      </c>
    </row>
    <row r="7" customFormat="false" ht="15" hidden="false" customHeight="false" outlineLevel="0" collapsed="false">
      <c r="A7" s="7" t="s">
        <v>23</v>
      </c>
      <c r="B7" s="8" t="n">
        <f aca="false">DCF!B21</f>
        <v>8.3023473348663</v>
      </c>
      <c r="C7" s="7" t="s">
        <v>24</v>
      </c>
    </row>
    <row r="8" customFormat="false" ht="15" hidden="false" customHeight="false" outlineLevel="0" collapsed="false">
      <c r="A8" s="7" t="s">
        <v>25</v>
      </c>
      <c r="B8" s="8" t="n">
        <f aca="false">'Relative &amp; Normalized'!B8</f>
        <v>7.45317782116517</v>
      </c>
      <c r="C8" s="7" t="s">
        <v>26</v>
      </c>
    </row>
    <row r="9" customFormat="false" ht="15" hidden="false" customHeight="false" outlineLevel="0" collapsed="false">
      <c r="A9" s="7" t="s">
        <v>27</v>
      </c>
      <c r="B9" s="8" t="n">
        <f aca="false">'Relative &amp; Normalized'!B16</f>
        <v>9.26281939249886</v>
      </c>
      <c r="C9" s="7" t="s">
        <v>28</v>
      </c>
    </row>
    <row r="10" customFormat="false" ht="15" hidden="false" customHeight="false" outlineLevel="0" collapsed="false">
      <c r="A10" s="7" t="s">
        <v>29</v>
      </c>
      <c r="B10" s="8" t="n">
        <f aca="false">'Fundamental Valuation'!D9</f>
        <v>8.41312653542824</v>
      </c>
      <c r="C10" s="7" t="s">
        <v>30</v>
      </c>
    </row>
    <row r="11" customFormat="false" ht="15" hidden="false" customHeight="false" outlineLevel="0" collapsed="false">
      <c r="A11" s="5" t="s">
        <v>31</v>
      </c>
      <c r="B11" s="6"/>
      <c r="C11" s="6"/>
    </row>
    <row r="12" customFormat="false" ht="15" hidden="false" customHeight="false" outlineLevel="0" collapsed="false">
      <c r="A12" s="7" t="s">
        <v>32</v>
      </c>
      <c r="B12" s="7" t="s">
        <v>33</v>
      </c>
      <c r="C12" s="7" t="s">
        <v>34</v>
      </c>
    </row>
    <row r="13" customFormat="false" ht="15" hidden="false" customHeight="false" outlineLevel="0" collapsed="false">
      <c r="A13" s="5" t="s">
        <v>35</v>
      </c>
      <c r="B13" s="6"/>
      <c r="C13" s="6"/>
    </row>
    <row r="14" customFormat="false" ht="15" hidden="false" customHeight="false" outlineLevel="0" collapsed="false">
      <c r="A14" s="7" t="s">
        <v>36</v>
      </c>
      <c r="B14" s="7" t="s">
        <v>37</v>
      </c>
      <c r="C14" s="7" t="s">
        <v>38</v>
      </c>
    </row>
    <row r="15" customFormat="false" ht="15" hidden="false" customHeight="false" outlineLevel="0" collapsed="false">
      <c r="A15" s="7" t="s">
        <v>39</v>
      </c>
      <c r="B15" s="7" t="s">
        <v>40</v>
      </c>
      <c r="C15" s="7" t="s">
        <v>41</v>
      </c>
    </row>
    <row r="16" customFormat="false" ht="15" hidden="false" customHeight="false" outlineLevel="0" collapsed="false">
      <c r="A16" s="5" t="s">
        <v>42</v>
      </c>
      <c r="B16" s="6"/>
      <c r="C16" s="6"/>
    </row>
    <row r="17" customFormat="false" ht="15" hidden="false" customHeight="false" outlineLevel="0" collapsed="false">
      <c r="A17" s="7" t="s">
        <v>43</v>
      </c>
      <c r="B17" s="9" t="n">
        <v>8.6</v>
      </c>
      <c r="C17" s="7" t="s">
        <v>44</v>
      </c>
    </row>
    <row r="18" customFormat="false" ht="15" hidden="false" customHeight="false" outlineLevel="0" collapsed="false">
      <c r="A18" s="7" t="s">
        <v>45</v>
      </c>
      <c r="B18" s="9" t="n">
        <v>7.9</v>
      </c>
      <c r="C18" s="7" t="s">
        <v>46</v>
      </c>
    </row>
    <row r="19" customFormat="false" ht="15" hidden="false" customHeight="false" outlineLevel="0" collapsed="false">
      <c r="A19" s="7" t="s">
        <v>47</v>
      </c>
      <c r="B19" s="9" t="n">
        <v>7</v>
      </c>
      <c r="C19" s="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4" t="s">
        <v>52</v>
      </c>
      <c r="C4" s="4" t="s">
        <v>53</v>
      </c>
      <c r="D4" s="4" t="s">
        <v>54</v>
      </c>
      <c r="E4" s="4" t="s">
        <v>55</v>
      </c>
    </row>
    <row r="5" customFormat="false" ht="15" hidden="false" customHeight="false" outlineLevel="0" collapsed="false">
      <c r="A5" s="7" t="s">
        <v>56</v>
      </c>
      <c r="B5" s="10" t="n">
        <f aca="false">Assumptions!B34</f>
        <v>0.4</v>
      </c>
      <c r="C5" s="9" t="n">
        <v>4.6</v>
      </c>
      <c r="D5" s="9" t="n">
        <f aca="false">RNAV!C19</f>
        <v>8.29743886788873</v>
      </c>
      <c r="E5" s="9" t="n">
        <v>12.4</v>
      </c>
    </row>
    <row r="6" customFormat="false" ht="15" hidden="false" customHeight="false" outlineLevel="0" collapsed="false">
      <c r="A6" s="7" t="s">
        <v>23</v>
      </c>
      <c r="B6" s="10" t="n">
        <f aca="false">Assumptions!B35</f>
        <v>0.2</v>
      </c>
      <c r="C6" s="9" t="n">
        <v>4.9</v>
      </c>
      <c r="D6" s="9" t="n">
        <f aca="false">DCF!B21</f>
        <v>8.3023473348663</v>
      </c>
      <c r="E6" s="9" t="n">
        <v>12.1</v>
      </c>
    </row>
    <row r="7" customFormat="false" ht="15" hidden="false" customHeight="false" outlineLevel="0" collapsed="false">
      <c r="A7" s="7" t="s">
        <v>25</v>
      </c>
      <c r="B7" s="10" t="n">
        <f aca="false">Assumptions!B36</f>
        <v>0.15</v>
      </c>
      <c r="C7" s="9" t="n">
        <v>5.2</v>
      </c>
      <c r="D7" s="9" t="n">
        <f aca="false">'Relative &amp; Normalized'!B8</f>
        <v>7.45317782116517</v>
      </c>
      <c r="E7" s="9" t="n">
        <v>9.6</v>
      </c>
    </row>
    <row r="8" customFormat="false" ht="15" hidden="false" customHeight="false" outlineLevel="0" collapsed="false">
      <c r="A8" s="7" t="s">
        <v>27</v>
      </c>
      <c r="B8" s="10" t="n">
        <f aca="false">Assumptions!B37</f>
        <v>0.25</v>
      </c>
      <c r="C8" s="9" t="n">
        <v>6.4</v>
      </c>
      <c r="D8" s="9" t="n">
        <f aca="false">'Relative &amp; Normalized'!B16</f>
        <v>9.26281939249886</v>
      </c>
      <c r="E8" s="9" t="n">
        <v>12</v>
      </c>
    </row>
    <row r="9" customFormat="false" ht="15" hidden="false" customHeight="false" outlineLevel="0" collapsed="false">
      <c r="A9" s="11" t="s">
        <v>29</v>
      </c>
      <c r="B9" s="12" t="n">
        <f aca="false">SUM(B5:B8)</f>
        <v>1</v>
      </c>
      <c r="C9" s="13" t="n">
        <f aca="false">SUMPRODUCT($B$5:$B$8,C5:C8)</f>
        <v>5.2</v>
      </c>
      <c r="D9" s="13" t="n">
        <f aca="false">SUMPRODUCT($B$5:$B$8,D5:D8)</f>
        <v>8.41312653542824</v>
      </c>
      <c r="E9" s="13" t="n">
        <f aca="false">SUMPRODUCT($B$5:$B$8,E5:E8)</f>
        <v>11.82</v>
      </c>
    </row>
    <row r="11" customFormat="false" ht="15" hidden="false" customHeight="false" outlineLevel="0" collapsed="false">
      <c r="A11" s="7" t="s">
        <v>57</v>
      </c>
      <c r="B11" s="14" t="n">
        <f aca="false">Assumptions!B5</f>
        <v>6.43</v>
      </c>
    </row>
    <row r="12" customFormat="false" ht="15" hidden="false" customHeight="false" outlineLevel="0" collapsed="false">
      <c r="A12" s="15" t="s">
        <v>58</v>
      </c>
      <c r="B12" s="16" t="n">
        <f aca="false">D9/B11-1</f>
        <v>0.308417812663801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A4" s="17" t="s">
        <v>61</v>
      </c>
    </row>
    <row r="5" customFormat="false" ht="15" hidden="false" customHeight="false" outlineLevel="0" collapsed="false">
      <c r="A5" s="7" t="s">
        <v>62</v>
      </c>
      <c r="B5" s="18" t="n">
        <v>6.43</v>
      </c>
      <c r="C5" s="19" t="s">
        <v>63</v>
      </c>
    </row>
    <row r="6" customFormat="false" ht="15" hidden="false" customHeight="false" outlineLevel="0" collapsed="false">
      <c r="A6" s="7" t="s">
        <v>64</v>
      </c>
      <c r="B6" s="20" t="n">
        <v>4005.26</v>
      </c>
      <c r="C6" s="19" t="s">
        <v>65</v>
      </c>
    </row>
    <row r="7" customFormat="false" ht="15" hidden="false" customHeight="false" outlineLevel="0" collapsed="false">
      <c r="A7" s="7" t="s">
        <v>66</v>
      </c>
      <c r="B7" s="20" t="n">
        <v>4952</v>
      </c>
      <c r="C7" s="19" t="s">
        <v>67</v>
      </c>
    </row>
    <row r="8" customFormat="false" ht="15" hidden="false" customHeight="false" outlineLevel="0" collapsed="false">
      <c r="A8" s="7" t="s">
        <v>68</v>
      </c>
      <c r="B8" s="21" t="n">
        <v>0.205</v>
      </c>
      <c r="C8" s="19" t="s">
        <v>69</v>
      </c>
    </row>
    <row r="9" customFormat="false" ht="15" hidden="false" customHeight="false" outlineLevel="0" collapsed="false">
      <c r="A9" s="7" t="s">
        <v>70</v>
      </c>
      <c r="B9" s="21" t="n">
        <v>0.12</v>
      </c>
      <c r="C9" s="19" t="s">
        <v>71</v>
      </c>
    </row>
    <row r="10" customFormat="false" ht="15" hidden="false" customHeight="false" outlineLevel="0" collapsed="false">
      <c r="A10" s="7" t="s">
        <v>72</v>
      </c>
      <c r="B10" s="21" t="n">
        <v>0.225</v>
      </c>
      <c r="C10" s="19" t="s">
        <v>73</v>
      </c>
    </row>
    <row r="12" customFormat="false" ht="15" hidden="false" customHeight="false" outlineLevel="0" collapsed="false">
      <c r="A12" s="17" t="s">
        <v>74</v>
      </c>
    </row>
    <row r="13" customFormat="false" ht="15" hidden="false" customHeight="false" outlineLevel="0" collapsed="false">
      <c r="A13" s="7" t="s">
        <v>75</v>
      </c>
      <c r="B13" s="20" t="n">
        <v>16500</v>
      </c>
      <c r="C13" s="19" t="s">
        <v>76</v>
      </c>
    </row>
    <row r="14" customFormat="false" ht="15" hidden="false" customHeight="false" outlineLevel="0" collapsed="false">
      <c r="A14" s="7" t="s">
        <v>77</v>
      </c>
      <c r="B14" s="20" t="n">
        <v>1100</v>
      </c>
      <c r="C14" s="19" t="s">
        <v>78</v>
      </c>
    </row>
    <row r="15" customFormat="false" ht="15" hidden="false" customHeight="false" outlineLevel="0" collapsed="false">
      <c r="A15" s="7" t="s">
        <v>79</v>
      </c>
      <c r="B15" s="20" t="n">
        <v>1759</v>
      </c>
      <c r="C15" s="19" t="s">
        <v>80</v>
      </c>
    </row>
    <row r="16" customFormat="false" ht="15" hidden="false" customHeight="false" outlineLevel="0" collapsed="false">
      <c r="A16" s="7" t="s">
        <v>81</v>
      </c>
      <c r="B16" s="20" t="n">
        <v>1800</v>
      </c>
      <c r="C16" s="19" t="s">
        <v>82</v>
      </c>
    </row>
    <row r="17" customFormat="false" ht="15" hidden="false" customHeight="false" outlineLevel="0" collapsed="false">
      <c r="A17" s="7" t="s">
        <v>83</v>
      </c>
      <c r="B17" s="20" t="n">
        <v>655</v>
      </c>
      <c r="C17" s="19" t="s">
        <v>84</v>
      </c>
    </row>
    <row r="18" customFormat="false" ht="15" hidden="false" customHeight="false" outlineLevel="0" collapsed="false">
      <c r="A18" s="7" t="s">
        <v>85</v>
      </c>
      <c r="B18" s="18" t="n">
        <v>9</v>
      </c>
      <c r="C18" s="19" t="s">
        <v>86</v>
      </c>
    </row>
    <row r="19" customFormat="false" ht="15" hidden="false" customHeight="false" outlineLevel="0" collapsed="false">
      <c r="A19" s="7" t="s">
        <v>87</v>
      </c>
      <c r="B19" s="18" t="n">
        <v>6</v>
      </c>
      <c r="C19" s="19" t="s">
        <v>88</v>
      </c>
    </row>
    <row r="20" customFormat="false" ht="15" hidden="false" customHeight="false" outlineLevel="0" collapsed="false">
      <c r="A20" s="7" t="s">
        <v>89</v>
      </c>
      <c r="B20" s="20" t="n">
        <v>350</v>
      </c>
      <c r="C20" s="19" t="s">
        <v>90</v>
      </c>
    </row>
    <row r="21" customFormat="false" ht="15" hidden="false" customHeight="false" outlineLevel="0" collapsed="false">
      <c r="A21" s="7" t="s">
        <v>91</v>
      </c>
      <c r="B21" s="18" t="n">
        <v>8</v>
      </c>
      <c r="C21" s="19" t="s">
        <v>92</v>
      </c>
    </row>
    <row r="22" customFormat="false" ht="15" hidden="false" customHeight="false" outlineLevel="0" collapsed="false">
      <c r="A22" s="7" t="s">
        <v>93</v>
      </c>
      <c r="B22" s="20" t="n">
        <v>60</v>
      </c>
      <c r="C22" s="19" t="s">
        <v>94</v>
      </c>
    </row>
    <row r="23" customFormat="false" ht="15" hidden="false" customHeight="false" outlineLevel="0" collapsed="false">
      <c r="A23" s="7" t="s">
        <v>95</v>
      </c>
      <c r="B23" s="20" t="n">
        <v>6000</v>
      </c>
      <c r="C23" s="19" t="s">
        <v>96</v>
      </c>
    </row>
    <row r="24" customFormat="false" ht="15" hidden="false" customHeight="false" outlineLevel="0" collapsed="false">
      <c r="A24" s="7" t="s">
        <v>97</v>
      </c>
      <c r="B24" s="20" t="n">
        <v>2500</v>
      </c>
      <c r="C24" s="19" t="s">
        <v>98</v>
      </c>
    </row>
    <row r="25" customFormat="false" ht="15" hidden="false" customHeight="false" outlineLevel="0" collapsed="false">
      <c r="A25" s="7" t="s">
        <v>99</v>
      </c>
      <c r="B25" s="21" t="n">
        <v>0.4</v>
      </c>
      <c r="C25" s="19" t="s">
        <v>100</v>
      </c>
    </row>
    <row r="27" customFormat="false" ht="15" hidden="false" customHeight="false" outlineLevel="0" collapsed="false">
      <c r="A27" s="17" t="s">
        <v>101</v>
      </c>
    </row>
    <row r="28" customFormat="false" ht="15" hidden="false" customHeight="false" outlineLevel="0" collapsed="false">
      <c r="A28" s="7" t="s">
        <v>102</v>
      </c>
      <c r="B28" s="18" t="n">
        <v>0.87</v>
      </c>
    </row>
    <row r="29" customFormat="false" ht="15" hidden="false" customHeight="false" outlineLevel="0" collapsed="false">
      <c r="A29" s="7" t="s">
        <v>103</v>
      </c>
      <c r="B29" s="22" t="n">
        <v>8.5</v>
      </c>
    </row>
    <row r="30" customFormat="false" ht="15" hidden="false" customHeight="false" outlineLevel="0" collapsed="false">
      <c r="A30" s="7" t="s">
        <v>104</v>
      </c>
      <c r="B30" s="20" t="n">
        <v>5300</v>
      </c>
      <c r="C30" s="19" t="s">
        <v>105</v>
      </c>
    </row>
    <row r="31" customFormat="false" ht="15" hidden="false" customHeight="false" outlineLevel="0" collapsed="false">
      <c r="A31" s="7" t="s">
        <v>106</v>
      </c>
      <c r="B31" s="22" t="n">
        <v>7</v>
      </c>
    </row>
    <row r="33" customFormat="false" ht="15" hidden="false" customHeight="false" outlineLevel="0" collapsed="false">
      <c r="A33" s="17" t="s">
        <v>107</v>
      </c>
    </row>
    <row r="34" customFormat="false" ht="15" hidden="false" customHeight="false" outlineLevel="0" collapsed="false">
      <c r="A34" s="7" t="s">
        <v>108</v>
      </c>
      <c r="B34" s="21" t="n">
        <v>0.4</v>
      </c>
    </row>
    <row r="35" customFormat="false" ht="15" hidden="false" customHeight="false" outlineLevel="0" collapsed="false">
      <c r="A35" s="7" t="s">
        <v>109</v>
      </c>
      <c r="B35" s="21" t="n">
        <v>0.2</v>
      </c>
    </row>
    <row r="36" customFormat="false" ht="15" hidden="false" customHeight="false" outlineLevel="0" collapsed="false">
      <c r="A36" s="7" t="s">
        <v>110</v>
      </c>
      <c r="B36" s="21" t="n">
        <v>0.15</v>
      </c>
    </row>
    <row r="37" customFormat="false" ht="15" hidden="false" customHeight="false" outlineLevel="0" collapsed="false">
      <c r="A37" s="7" t="s">
        <v>111</v>
      </c>
      <c r="B37" s="21" t="n">
        <v>0.25</v>
      </c>
    </row>
    <row r="39" customFormat="false" ht="15" hidden="false" customHeight="false" outlineLevel="0" collapsed="false">
      <c r="A39" s="17" t="s">
        <v>112</v>
      </c>
    </row>
    <row r="40" customFormat="false" ht="15" hidden="false" customHeight="false" outlineLevel="0" collapsed="false">
      <c r="A40" s="7" t="s">
        <v>113</v>
      </c>
      <c r="B40" s="21" t="n">
        <v>0.382</v>
      </c>
      <c r="C40" s="19" t="s">
        <v>114</v>
      </c>
    </row>
    <row r="41" customFormat="false" ht="15" hidden="false" customHeight="false" outlineLevel="0" collapsed="false">
      <c r="A41" s="7" t="s">
        <v>115</v>
      </c>
      <c r="B41" s="21" t="n">
        <v>0.434</v>
      </c>
      <c r="C41" s="19" t="s">
        <v>116</v>
      </c>
    </row>
    <row r="42" customFormat="false" ht="15" hidden="false" customHeight="false" outlineLevel="0" collapsed="false">
      <c r="A42" s="7" t="s">
        <v>117</v>
      </c>
      <c r="B42" s="21" t="n">
        <v>0.04</v>
      </c>
      <c r="C42" s="19" t="s">
        <v>118</v>
      </c>
    </row>
    <row r="43" customFormat="false" ht="15" hidden="false" customHeight="false" outlineLevel="0" collapsed="false">
      <c r="A43" s="7" t="s">
        <v>119</v>
      </c>
      <c r="B43" s="21" t="n">
        <v>0</v>
      </c>
      <c r="C43" s="19" t="s">
        <v>120</v>
      </c>
    </row>
    <row r="45" customFormat="false" ht="15" hidden="false" customHeight="false" outlineLevel="0" collapsed="false">
      <c r="A45" s="17" t="s">
        <v>121</v>
      </c>
    </row>
    <row r="46" customFormat="false" ht="15" hidden="false" customHeight="false" outlineLevel="0" collapsed="false">
      <c r="A46" s="3"/>
      <c r="B46" s="4" t="s">
        <v>122</v>
      </c>
      <c r="C46" s="4" t="s">
        <v>123</v>
      </c>
      <c r="D46" s="4" t="s">
        <v>124</v>
      </c>
      <c r="E46" s="4" t="s">
        <v>125</v>
      </c>
      <c r="F46" s="4" t="s">
        <v>126</v>
      </c>
    </row>
    <row r="47" customFormat="false" ht="15" hidden="false" customHeight="false" outlineLevel="0" collapsed="false">
      <c r="A47" s="7" t="s">
        <v>127</v>
      </c>
      <c r="B47" s="20" t="n">
        <v>3070</v>
      </c>
      <c r="C47" s="20" t="n">
        <v>4600</v>
      </c>
      <c r="D47" s="20" t="n">
        <v>6200</v>
      </c>
      <c r="E47" s="20" t="n">
        <v>7400</v>
      </c>
      <c r="F47" s="20" t="n">
        <v>8300</v>
      </c>
    </row>
    <row r="48" customFormat="false" ht="15" hidden="false" customHeight="false" outlineLevel="0" collapsed="false">
      <c r="A48" s="7" t="s">
        <v>128</v>
      </c>
      <c r="B48" s="21" t="n">
        <v>0.12</v>
      </c>
      <c r="C48" s="21" t="n">
        <v>0.14</v>
      </c>
      <c r="D48" s="21" t="n">
        <v>0.15</v>
      </c>
      <c r="E48" s="21" t="n">
        <v>0.15</v>
      </c>
      <c r="F48" s="21" t="n">
        <v>0.15</v>
      </c>
    </row>
    <row r="49" customFormat="false" ht="15" hidden="false" customHeight="false" outlineLevel="0" collapsed="false">
      <c r="A49" s="7" t="s">
        <v>129</v>
      </c>
      <c r="B49" s="20" t="n">
        <v>330</v>
      </c>
      <c r="C49" s="20" t="n">
        <v>390</v>
      </c>
      <c r="D49" s="20" t="n">
        <v>450</v>
      </c>
      <c r="E49" s="20" t="n">
        <v>500</v>
      </c>
      <c r="F49" s="20" t="n">
        <v>550</v>
      </c>
    </row>
    <row r="50" customFormat="false" ht="15" hidden="false" customHeight="false" outlineLevel="0" collapsed="false">
      <c r="A50" s="7" t="s">
        <v>130</v>
      </c>
      <c r="B50" s="20" t="n">
        <v>-40</v>
      </c>
      <c r="C50" s="20" t="n">
        <v>-40</v>
      </c>
      <c r="D50" s="20" t="n">
        <v>-40</v>
      </c>
      <c r="E50" s="20" t="n">
        <v>-40</v>
      </c>
      <c r="F50" s="20" t="n">
        <v>-40</v>
      </c>
    </row>
    <row r="51" customFormat="false" ht="15" hidden="false" customHeight="false" outlineLevel="0" collapsed="false">
      <c r="A51" s="7" t="s">
        <v>131</v>
      </c>
      <c r="B51" s="20" t="n">
        <v>2600</v>
      </c>
      <c r="C51" s="20" t="n">
        <v>1200</v>
      </c>
      <c r="D51" s="20" t="n">
        <v>900</v>
      </c>
      <c r="E51" s="20" t="n">
        <v>700</v>
      </c>
      <c r="F51" s="20" t="n">
        <v>500</v>
      </c>
    </row>
    <row r="52" customFormat="false" ht="15" hidden="false" customHeight="false" outlineLevel="0" collapsed="false">
      <c r="A52" s="7" t="s">
        <v>132</v>
      </c>
      <c r="B52" s="20" t="n">
        <v>500</v>
      </c>
      <c r="C52" s="20" t="n">
        <v>420</v>
      </c>
      <c r="D52" s="20" t="n">
        <v>450</v>
      </c>
      <c r="E52" s="20" t="n">
        <v>520</v>
      </c>
      <c r="F52" s="20" t="n">
        <v>600</v>
      </c>
    </row>
    <row r="53" customFormat="false" ht="15" hidden="false" customHeight="false" outlineLevel="0" collapsed="false">
      <c r="A53" s="7" t="s">
        <v>133</v>
      </c>
      <c r="B53" s="20" t="n">
        <v>-900</v>
      </c>
      <c r="C53" s="20" t="n">
        <v>-800</v>
      </c>
      <c r="D53" s="20" t="n">
        <v>-650</v>
      </c>
      <c r="E53" s="20" t="n">
        <v>-500</v>
      </c>
      <c r="F53" s="20" t="n">
        <v>-380</v>
      </c>
    </row>
    <row r="54" customFormat="false" ht="15" hidden="false" customHeight="false" outlineLevel="0" collapsed="false">
      <c r="A54" s="7" t="s">
        <v>134</v>
      </c>
      <c r="B54" s="20" t="n">
        <v>35</v>
      </c>
      <c r="C54" s="20" t="n">
        <v>40</v>
      </c>
      <c r="D54" s="20" t="n">
        <v>45</v>
      </c>
      <c r="E54" s="20" t="n">
        <v>50</v>
      </c>
      <c r="F54" s="20" t="n">
        <v>55</v>
      </c>
    </row>
    <row r="55" customFormat="false" ht="15" hidden="false" customHeight="false" outlineLevel="0" collapsed="false">
      <c r="A55" s="7" t="s">
        <v>135</v>
      </c>
      <c r="B55" s="20" t="n">
        <v>1000</v>
      </c>
      <c r="C55" s="20" t="n">
        <v>1500</v>
      </c>
      <c r="D55" s="20" t="n">
        <v>1500</v>
      </c>
      <c r="E55" s="20" t="n">
        <v>500</v>
      </c>
      <c r="F55" s="20" t="n">
        <v>200</v>
      </c>
    </row>
    <row r="56" customFormat="false" ht="15" hidden="false" customHeight="false" outlineLevel="0" collapsed="false">
      <c r="A56" s="7" t="s">
        <v>136</v>
      </c>
      <c r="B56" s="20" t="n">
        <v>800</v>
      </c>
      <c r="C56" s="20" t="n">
        <v>500</v>
      </c>
      <c r="D56" s="20" t="n">
        <v>-500</v>
      </c>
      <c r="E56" s="20" t="n">
        <v>-500</v>
      </c>
      <c r="F56" s="20" t="n">
        <v>-500</v>
      </c>
    </row>
    <row r="57" customFormat="false" ht="15" hidden="false" customHeight="false" outlineLevel="0" collapsed="false">
      <c r="A57" s="7" t="s">
        <v>137</v>
      </c>
      <c r="B57" s="20" t="n">
        <v>240</v>
      </c>
      <c r="C57" s="20" t="n">
        <v>240</v>
      </c>
      <c r="D57" s="20" t="n">
        <v>240</v>
      </c>
      <c r="E57" s="20" t="n">
        <v>240</v>
      </c>
      <c r="F57" s="20" t="n">
        <v>240</v>
      </c>
    </row>
    <row r="58" customFormat="false" ht="15" hidden="false" customHeight="false" outlineLevel="0" collapsed="false">
      <c r="A58" s="7" t="s">
        <v>138</v>
      </c>
      <c r="B58" s="20" t="n">
        <v>100</v>
      </c>
      <c r="C58" s="20" t="n">
        <v>100</v>
      </c>
      <c r="D58" s="20" t="n">
        <v>100</v>
      </c>
      <c r="E58" s="20" t="n">
        <v>100</v>
      </c>
      <c r="F58" s="20" t="n">
        <v>100</v>
      </c>
    </row>
    <row r="59" customFormat="false" ht="15" hidden="false" customHeight="false" outlineLevel="0" collapsed="false">
      <c r="A59" s="7" t="s">
        <v>139</v>
      </c>
      <c r="B59" s="20" t="n">
        <v>1742</v>
      </c>
      <c r="C59" s="20" t="n">
        <v>1300</v>
      </c>
      <c r="D59" s="20" t="n">
        <v>1700</v>
      </c>
      <c r="E59" s="20" t="n">
        <v>2100</v>
      </c>
      <c r="F59" s="20" t="n">
        <v>2500</v>
      </c>
    </row>
    <row r="60" customFormat="false" ht="15" hidden="false" customHeight="false" outlineLevel="0" collapsed="false">
      <c r="A60" s="7" t="s">
        <v>140</v>
      </c>
      <c r="B60" s="20" t="n">
        <v>878</v>
      </c>
      <c r="C60" s="20" t="n">
        <v>300</v>
      </c>
      <c r="D60" s="20" t="n">
        <v>500</v>
      </c>
      <c r="E60" s="20" t="n">
        <v>500</v>
      </c>
      <c r="F60" s="20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4"/>
    <col collapsed="false" customWidth="true" hidden="false" outlineLevel="0" max="3" min="3" style="0" width="15"/>
    <col collapsed="false" customWidth="true" hidden="false" outlineLevel="0" max="10" min="4" style="0" width="13"/>
  </cols>
  <sheetData>
    <row r="1" customFormat="false" ht="16.1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2" t="s">
        <v>142</v>
      </c>
    </row>
    <row r="4" customFormat="false" ht="15" hidden="false" customHeight="false" outlineLevel="0" collapsed="false">
      <c r="A4" s="3" t="s">
        <v>143</v>
      </c>
      <c r="B4" s="4" t="s">
        <v>144</v>
      </c>
      <c r="C4" s="4" t="s">
        <v>145</v>
      </c>
    </row>
    <row r="5" customFormat="false" ht="15" hidden="false" customHeight="false" outlineLevel="0" collapsed="false">
      <c r="A5" s="7" t="s">
        <v>146</v>
      </c>
      <c r="B5" s="7" t="s">
        <v>147</v>
      </c>
      <c r="C5" s="23" t="n">
        <f aca="false">Assumptions!B13</f>
        <v>16500</v>
      </c>
    </row>
    <row r="6" customFormat="false" ht="15" hidden="false" customHeight="false" outlineLevel="0" collapsed="false">
      <c r="A6" s="7" t="s">
        <v>148</v>
      </c>
      <c r="B6" s="7" t="s">
        <v>149</v>
      </c>
      <c r="C6" s="23" t="n">
        <f aca="false">Assumptions!B14</f>
        <v>1100</v>
      </c>
    </row>
    <row r="7" customFormat="false" ht="15" hidden="false" customHeight="false" outlineLevel="0" collapsed="false">
      <c r="A7" s="7" t="s">
        <v>150</v>
      </c>
      <c r="B7" s="7" t="s">
        <v>151</v>
      </c>
      <c r="C7" s="23" t="n">
        <f aca="false">Assumptions!B15*Assumptions!B18</f>
        <v>15831</v>
      </c>
    </row>
    <row r="8" customFormat="false" ht="15" hidden="false" customHeight="false" outlineLevel="0" collapsed="false">
      <c r="A8" s="7" t="s">
        <v>152</v>
      </c>
      <c r="B8" s="7" t="s">
        <v>151</v>
      </c>
      <c r="C8" s="23" t="n">
        <f aca="false">Assumptions!B16*Assumptions!B18</f>
        <v>16200</v>
      </c>
    </row>
    <row r="9" customFormat="false" ht="15" hidden="false" customHeight="false" outlineLevel="0" collapsed="false">
      <c r="A9" s="7" t="s">
        <v>153</v>
      </c>
      <c r="B9" s="7" t="s">
        <v>154</v>
      </c>
      <c r="C9" s="23" t="n">
        <f aca="false">Assumptions!B17*Assumptions!B19</f>
        <v>3930</v>
      </c>
    </row>
    <row r="10" customFormat="false" ht="15" hidden="false" customHeight="false" outlineLevel="0" collapsed="false">
      <c r="A10" s="7" t="s">
        <v>155</v>
      </c>
      <c r="B10" s="7" t="s">
        <v>156</v>
      </c>
      <c r="C10" s="23" t="n">
        <f aca="false">Assumptions!B20*Assumptions!B21</f>
        <v>2800</v>
      </c>
    </row>
    <row r="11" customFormat="false" ht="15" hidden="false" customHeight="false" outlineLevel="0" collapsed="false">
      <c r="A11" s="7" t="s">
        <v>157</v>
      </c>
      <c r="B11" s="7" t="s">
        <v>156</v>
      </c>
      <c r="C11" s="23" t="n">
        <f aca="false">Assumptions!B22*Assumptions!B21</f>
        <v>480</v>
      </c>
    </row>
    <row r="12" customFormat="false" ht="15" hidden="false" customHeight="false" outlineLevel="0" collapsed="false">
      <c r="A12" s="7" t="s">
        <v>158</v>
      </c>
      <c r="B12" s="7" t="s">
        <v>159</v>
      </c>
      <c r="C12" s="23" t="n">
        <f aca="false">Assumptions!B23</f>
        <v>6000</v>
      </c>
    </row>
    <row r="13" customFormat="false" ht="15" hidden="false" customHeight="false" outlineLevel="0" collapsed="false">
      <c r="A13" s="5" t="s">
        <v>160</v>
      </c>
      <c r="B13" s="6" t="s">
        <v>161</v>
      </c>
      <c r="C13" s="24" t="n">
        <f aca="false">SUM(C5:C12)</f>
        <v>62841</v>
      </c>
    </row>
    <row r="14" customFormat="false" ht="15" hidden="false" customHeight="false" outlineLevel="0" collapsed="false">
      <c r="A14" s="7" t="s">
        <v>162</v>
      </c>
      <c r="B14" s="7" t="s">
        <v>163</v>
      </c>
      <c r="C14" s="23" t="n">
        <f aca="false">-Assumptions!B24</f>
        <v>-2500</v>
      </c>
    </row>
    <row r="15" customFormat="false" ht="15" hidden="false" customHeight="false" outlineLevel="0" collapsed="false">
      <c r="A15" s="7" t="s">
        <v>164</v>
      </c>
      <c r="B15" s="7"/>
      <c r="C15" s="23" t="n">
        <f aca="false">-Assumptions!B7</f>
        <v>-4952</v>
      </c>
    </row>
    <row r="16" customFormat="false" ht="15" hidden="false" customHeight="false" outlineLevel="0" collapsed="false">
      <c r="A16" s="15" t="s">
        <v>165</v>
      </c>
      <c r="B16" s="7"/>
      <c r="C16" s="25" t="n">
        <f aca="false">C13+C14+C15</f>
        <v>55389</v>
      </c>
    </row>
    <row r="17" customFormat="false" ht="15" hidden="false" customHeight="false" outlineLevel="0" collapsed="false">
      <c r="A17" s="7" t="s">
        <v>166</v>
      </c>
      <c r="B17" s="7"/>
      <c r="C17" s="9" t="n">
        <f aca="false">C16/Assumptions!B6</f>
        <v>13.8290647798145</v>
      </c>
    </row>
    <row r="18" customFormat="false" ht="15" hidden="false" customHeight="false" outlineLevel="0" collapsed="false">
      <c r="A18" s="7" t="s">
        <v>167</v>
      </c>
      <c r="B18" s="7" t="s">
        <v>168</v>
      </c>
      <c r="C18" s="26" t="n">
        <f aca="false">Assumptions!B25</f>
        <v>0.4</v>
      </c>
    </row>
    <row r="19" customFormat="false" ht="15" hidden="false" customHeight="false" outlineLevel="0" collapsed="false">
      <c r="A19" s="5" t="s">
        <v>169</v>
      </c>
      <c r="B19" s="6"/>
      <c r="C19" s="27" t="n">
        <f aca="false">C17*(1-C18)</f>
        <v>8.29743886788873</v>
      </c>
    </row>
    <row r="20" customFormat="false" ht="15" hidden="false" customHeight="false" outlineLevel="0" collapsed="false">
      <c r="A20" s="7" t="s">
        <v>170</v>
      </c>
      <c r="B20" s="7" t="s">
        <v>171</v>
      </c>
      <c r="C20" s="26" t="n">
        <f aca="false">1-Assumptions!B5/C17</f>
        <v>0.535037249273321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10" min="5" style="0" width="13"/>
  </cols>
  <sheetData>
    <row r="1" customFormat="false" ht="16.1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4" customFormat="false" ht="15" hidden="false" customHeight="false" outlineLevel="0" collapsed="false">
      <c r="A4" s="3" t="s">
        <v>174</v>
      </c>
      <c r="B4" s="4" t="s">
        <v>175</v>
      </c>
      <c r="C4" s="4" t="s">
        <v>176</v>
      </c>
      <c r="D4" s="4" t="s">
        <v>177</v>
      </c>
    </row>
    <row r="5" customFormat="false" ht="15" hidden="false" customHeight="false" outlineLevel="0" collapsed="false">
      <c r="A5" s="7" t="s">
        <v>178</v>
      </c>
      <c r="B5" s="7" t="n">
        <v>491</v>
      </c>
      <c r="C5" s="7" t="s">
        <v>179</v>
      </c>
      <c r="D5" s="7" t="s">
        <v>180</v>
      </c>
    </row>
    <row r="6" customFormat="false" ht="15" hidden="false" customHeight="false" outlineLevel="0" collapsed="false">
      <c r="A6" s="7" t="s">
        <v>181</v>
      </c>
      <c r="B6" s="7" t="n">
        <v>1800</v>
      </c>
      <c r="C6" s="7" t="s">
        <v>182</v>
      </c>
      <c r="D6" s="7" t="s">
        <v>183</v>
      </c>
    </row>
    <row r="7" customFormat="false" ht="15" hidden="false" customHeight="false" outlineLevel="0" collapsed="false">
      <c r="A7" s="7" t="s">
        <v>184</v>
      </c>
      <c r="B7" s="7" t="n">
        <v>1759</v>
      </c>
      <c r="C7" s="7" t="s">
        <v>185</v>
      </c>
      <c r="D7" s="7" t="s">
        <v>186</v>
      </c>
    </row>
    <row r="8" customFormat="false" ht="15" hidden="false" customHeight="false" outlineLevel="0" collapsed="false">
      <c r="A8" s="7" t="s">
        <v>187</v>
      </c>
      <c r="B8" s="7" t="n">
        <v>655</v>
      </c>
      <c r="C8" s="7" t="s">
        <v>84</v>
      </c>
      <c r="D8" s="7" t="s">
        <v>188</v>
      </c>
    </row>
    <row r="9" customFormat="false" ht="15" hidden="false" customHeight="false" outlineLevel="0" collapsed="false">
      <c r="A9" s="7" t="s">
        <v>189</v>
      </c>
      <c r="B9" s="7" t="n">
        <v>77</v>
      </c>
      <c r="C9" s="7" t="s">
        <v>190</v>
      </c>
      <c r="D9" s="7" t="s">
        <v>191</v>
      </c>
    </row>
    <row r="10" customFormat="false" ht="15" hidden="false" customHeight="false" outlineLevel="0" collapsed="false">
      <c r="A10" s="7" t="s">
        <v>192</v>
      </c>
      <c r="B10" s="7" t="n">
        <v>75</v>
      </c>
      <c r="C10" s="7" t="s">
        <v>193</v>
      </c>
      <c r="D10" s="7" t="s">
        <v>194</v>
      </c>
    </row>
    <row r="11" customFormat="false" ht="15" hidden="false" customHeight="false" outlineLevel="0" collapsed="false">
      <c r="A11" s="7" t="s">
        <v>195</v>
      </c>
      <c r="B11" s="7" t="n">
        <v>275</v>
      </c>
      <c r="C11" s="7" t="s">
        <v>196</v>
      </c>
      <c r="D11" s="7" t="s">
        <v>197</v>
      </c>
    </row>
    <row r="12" customFormat="false" ht="15" hidden="false" customHeight="false" outlineLevel="0" collapsed="false">
      <c r="A12" s="7" t="s">
        <v>198</v>
      </c>
      <c r="B12" s="7" t="n">
        <v>60</v>
      </c>
      <c r="C12" s="7" t="s">
        <v>199</v>
      </c>
      <c r="D12" s="7" t="s">
        <v>200</v>
      </c>
    </row>
    <row r="13" customFormat="false" ht="15" hidden="false" customHeight="false" outlineLevel="0" collapsed="false">
      <c r="A13" s="7" t="s">
        <v>201</v>
      </c>
      <c r="B13" s="7" t="s">
        <v>202</v>
      </c>
      <c r="C13" s="7" t="s">
        <v>203</v>
      </c>
      <c r="D13" s="7" t="s">
        <v>204</v>
      </c>
    </row>
    <row r="14" customFormat="false" ht="15" hidden="false" customHeight="false" outlineLevel="0" collapsed="false">
      <c r="A14" s="5" t="s">
        <v>205</v>
      </c>
      <c r="B14" s="28" t="n">
        <f aca="false">SUM(B5:B9)</f>
        <v>4782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206</v>
      </c>
    </row>
    <row r="4" customFormat="false" ht="15" hidden="false" customHeight="false" outlineLevel="0" collapsed="false">
      <c r="A4" s="3" t="s">
        <v>207</v>
      </c>
      <c r="B4" s="4" t="s">
        <v>208</v>
      </c>
    </row>
    <row r="5" customFormat="false" ht="15" hidden="false" customHeight="false" outlineLevel="0" collapsed="false">
      <c r="A5" s="7" t="s">
        <v>209</v>
      </c>
      <c r="B5" s="29" t="n">
        <f aca="false">'Income Statement'!E17</f>
        <v>3511.99</v>
      </c>
    </row>
    <row r="6" customFormat="false" ht="15" hidden="false" customHeight="false" outlineLevel="0" collapsed="false">
      <c r="A6" s="7" t="s">
        <v>210</v>
      </c>
      <c r="B6" s="14" t="n">
        <f aca="false">B5/Assumptions!B6</f>
        <v>0.876844449548843</v>
      </c>
    </row>
    <row r="7" customFormat="false" ht="15" hidden="false" customHeight="false" outlineLevel="0" collapsed="false">
      <c r="A7" s="7" t="s">
        <v>103</v>
      </c>
      <c r="B7" s="30" t="n">
        <f aca="false">Assumptions!B29</f>
        <v>8.5</v>
      </c>
    </row>
    <row r="8" customFormat="false" ht="15" hidden="false" customHeight="false" outlineLevel="0" collapsed="false">
      <c r="A8" s="5" t="s">
        <v>211</v>
      </c>
      <c r="B8" s="31" t="n">
        <f aca="false">B6*B7</f>
        <v>7.45317782116517</v>
      </c>
    </row>
    <row r="9" customFormat="false" ht="15" hidden="false" customHeight="false" outlineLevel="0" collapsed="false">
      <c r="A9" s="7" t="s">
        <v>212</v>
      </c>
      <c r="B9" s="30" t="n">
        <f aca="false">Assumptions!B5/B6</f>
        <v>7.3331136478179</v>
      </c>
    </row>
    <row r="10" customFormat="false" ht="15" hidden="false" customHeight="false" outlineLevel="0" collapsed="false">
      <c r="A10" s="7" t="s">
        <v>213</v>
      </c>
      <c r="B10" s="30" t="n">
        <f aca="false">Assumptions!B5/2.58</f>
        <v>2.4922480620155</v>
      </c>
    </row>
    <row r="12" customFormat="false" ht="15" hidden="false" customHeight="false" outlineLevel="0" collapsed="false">
      <c r="A12" s="3" t="s">
        <v>214</v>
      </c>
      <c r="B12" s="4" t="s">
        <v>208</v>
      </c>
    </row>
    <row r="13" customFormat="false" ht="15" hidden="false" customHeight="false" outlineLevel="0" collapsed="false">
      <c r="A13" s="7" t="s">
        <v>104</v>
      </c>
      <c r="B13" s="29" t="n">
        <f aca="false">Assumptions!B30</f>
        <v>5300</v>
      </c>
    </row>
    <row r="14" customFormat="false" ht="15" hidden="false" customHeight="false" outlineLevel="0" collapsed="false">
      <c r="A14" s="7" t="s">
        <v>215</v>
      </c>
      <c r="B14" s="14" t="n">
        <f aca="false">B13/Assumptions!B6</f>
        <v>1.32325991321412</v>
      </c>
    </row>
    <row r="15" customFormat="false" ht="15" hidden="false" customHeight="false" outlineLevel="0" collapsed="false">
      <c r="A15" s="7" t="s">
        <v>106</v>
      </c>
      <c r="B15" s="30" t="n">
        <f aca="false">Assumptions!B31</f>
        <v>7</v>
      </c>
    </row>
    <row r="16" customFormat="false" ht="15" hidden="false" customHeight="false" outlineLevel="0" collapsed="false">
      <c r="A16" s="5" t="s">
        <v>216</v>
      </c>
      <c r="B16" s="31" t="n">
        <f aca="false">B14*B15</f>
        <v>9.26281939249886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4" customFormat="false" ht="15" hidden="false" customHeight="false" outlineLevel="0" collapsed="false">
      <c r="A4" s="3" t="s">
        <v>219</v>
      </c>
      <c r="B4" s="4" t="s">
        <v>122</v>
      </c>
      <c r="C4" s="4" t="s">
        <v>123</v>
      </c>
      <c r="D4" s="4" t="s">
        <v>124</v>
      </c>
      <c r="E4" s="4" t="s">
        <v>125</v>
      </c>
      <c r="F4" s="4" t="s">
        <v>126</v>
      </c>
    </row>
    <row r="5" customFormat="false" ht="15" hidden="false" customHeight="false" outlineLevel="0" collapsed="false">
      <c r="A5" s="7" t="s">
        <v>220</v>
      </c>
      <c r="B5" s="29" t="n">
        <f aca="false">'Income Statement'!E10</f>
        <v>2331.6</v>
      </c>
      <c r="C5" s="29" t="n">
        <f aca="false">'Income Statement'!F10</f>
        <v>3526</v>
      </c>
      <c r="D5" s="29" t="n">
        <f aca="false">'Income Statement'!G10</f>
        <v>4780</v>
      </c>
      <c r="E5" s="29" t="n">
        <f aca="false">'Income Statement'!H10</f>
        <v>5750</v>
      </c>
      <c r="F5" s="29" t="n">
        <f aca="false">'Income Statement'!I10</f>
        <v>6465</v>
      </c>
    </row>
    <row r="6" customFormat="false" ht="15" hidden="false" customHeight="false" outlineLevel="0" collapsed="false">
      <c r="A6" s="7" t="s">
        <v>221</v>
      </c>
      <c r="B6" s="29" t="n">
        <f aca="false">Assumptions!B51</f>
        <v>2600</v>
      </c>
      <c r="C6" s="29" t="n">
        <f aca="false">Assumptions!C51</f>
        <v>1200</v>
      </c>
      <c r="D6" s="29" t="n">
        <f aca="false">Assumptions!D51</f>
        <v>900</v>
      </c>
      <c r="E6" s="29" t="n">
        <f aca="false">Assumptions!E51</f>
        <v>700</v>
      </c>
      <c r="F6" s="29" t="n">
        <f aca="false">Assumptions!F51</f>
        <v>500</v>
      </c>
    </row>
    <row r="7" customFormat="false" ht="15" hidden="false" customHeight="false" outlineLevel="0" collapsed="false">
      <c r="A7" s="7" t="s">
        <v>222</v>
      </c>
      <c r="B7" s="32" t="n">
        <f aca="false">-(B5+B6)*Assumptions!$B$10</f>
        <v>-1109.61</v>
      </c>
      <c r="C7" s="32" t="n">
        <f aca="false">-(C5+C6)*Assumptions!$B$10</f>
        <v>-1063.35</v>
      </c>
      <c r="D7" s="32" t="n">
        <f aca="false">-(D5+D6)*Assumptions!$B$10</f>
        <v>-1278</v>
      </c>
      <c r="E7" s="32" t="n">
        <f aca="false">-(E5+E6)*Assumptions!$B$10</f>
        <v>-1451.25</v>
      </c>
      <c r="F7" s="32" t="n">
        <f aca="false">-(F5+F6)*Assumptions!$B$10</f>
        <v>-1567.125</v>
      </c>
    </row>
    <row r="8" customFormat="false" ht="15" hidden="false" customHeight="false" outlineLevel="0" collapsed="false">
      <c r="A8" s="15" t="s">
        <v>223</v>
      </c>
      <c r="B8" s="33" t="n">
        <f aca="false">B5+B6+B7</f>
        <v>3821.99</v>
      </c>
      <c r="C8" s="33" t="n">
        <f aca="false">C5+C6+C7</f>
        <v>3662.65</v>
      </c>
      <c r="D8" s="33" t="n">
        <f aca="false">D5+D6+D7</f>
        <v>4402</v>
      </c>
      <c r="E8" s="33" t="n">
        <f aca="false">E5+E6+E7</f>
        <v>4998.75</v>
      </c>
      <c r="F8" s="33" t="n">
        <f aca="false">F5+F6+F7</f>
        <v>5397.875</v>
      </c>
    </row>
    <row r="9" customFormat="false" ht="15" hidden="false" customHeight="false" outlineLevel="0" collapsed="false">
      <c r="A9" s="7" t="s">
        <v>224</v>
      </c>
      <c r="B9" s="29" t="n">
        <f aca="false">Assumptions!B54</f>
        <v>35</v>
      </c>
      <c r="C9" s="29" t="n">
        <f aca="false">Assumptions!C54</f>
        <v>40</v>
      </c>
      <c r="D9" s="29" t="n">
        <f aca="false">Assumptions!D54</f>
        <v>45</v>
      </c>
      <c r="E9" s="29" t="n">
        <f aca="false">Assumptions!E54</f>
        <v>50</v>
      </c>
      <c r="F9" s="29" t="n">
        <f aca="false">Assumptions!F54</f>
        <v>55</v>
      </c>
    </row>
    <row r="10" customFormat="false" ht="15" hidden="false" customHeight="false" outlineLevel="0" collapsed="false">
      <c r="A10" s="7" t="s">
        <v>225</v>
      </c>
      <c r="B10" s="32" t="n">
        <f aca="false">-Assumptions!B55</f>
        <v>-1000</v>
      </c>
      <c r="C10" s="32" t="n">
        <f aca="false">-Assumptions!C55</f>
        <v>-1500</v>
      </c>
      <c r="D10" s="32" t="n">
        <f aca="false">-Assumptions!D55</f>
        <v>-1500</v>
      </c>
      <c r="E10" s="32" t="n">
        <f aca="false">-Assumptions!E55</f>
        <v>-500</v>
      </c>
      <c r="F10" s="32" t="n">
        <f aca="false">-Assumptions!F55</f>
        <v>-200</v>
      </c>
    </row>
    <row r="11" customFormat="false" ht="15" hidden="false" customHeight="false" outlineLevel="0" collapsed="false">
      <c r="A11" s="7" t="s">
        <v>226</v>
      </c>
      <c r="B11" s="32" t="n">
        <f aca="false">-(Assumptions!B56+Assumptions!B57-Assumptions!B58)</f>
        <v>-940</v>
      </c>
      <c r="C11" s="32" t="n">
        <f aca="false">-(Assumptions!C56+Assumptions!C57-Assumptions!C58)</f>
        <v>-640</v>
      </c>
      <c r="D11" s="32" t="n">
        <f aca="false">-(Assumptions!D56+Assumptions!D57-Assumptions!D58)</f>
        <v>360</v>
      </c>
      <c r="E11" s="32" t="n">
        <f aca="false">-(Assumptions!E56+Assumptions!E57-Assumptions!E58)</f>
        <v>360</v>
      </c>
      <c r="F11" s="32" t="n">
        <f aca="false">-(Assumptions!F56+Assumptions!F57-Assumptions!F58)</f>
        <v>360</v>
      </c>
    </row>
    <row r="12" customFormat="false" ht="15" hidden="false" customHeight="false" outlineLevel="0" collapsed="false">
      <c r="A12" s="5" t="s">
        <v>227</v>
      </c>
      <c r="B12" s="28" t="n">
        <f aca="false">SUM(B8:B11)</f>
        <v>1916.99</v>
      </c>
      <c r="C12" s="28" t="n">
        <f aca="false">SUM(C8:C11)</f>
        <v>1562.65</v>
      </c>
      <c r="D12" s="28" t="n">
        <f aca="false">SUM(D8:D11)</f>
        <v>3307</v>
      </c>
      <c r="E12" s="28" t="n">
        <f aca="false">SUM(E8:E11)</f>
        <v>4908.75</v>
      </c>
      <c r="F12" s="28" t="n">
        <f aca="false">SUM(F8:F11)</f>
        <v>5612.875</v>
      </c>
    </row>
    <row r="13" customFormat="false" ht="15" hidden="false" customHeight="false" outlineLevel="0" collapsed="false">
      <c r="A13" s="7" t="s">
        <v>228</v>
      </c>
      <c r="B13" s="14" t="n">
        <f aca="false">1/(1+Assumptions!$B$8)^1</f>
        <v>0.829875518672199</v>
      </c>
      <c r="C13" s="14" t="n">
        <f aca="false">1/(1+Assumptions!$B$8)^2</f>
        <v>0.688693376491452</v>
      </c>
      <c r="D13" s="14" t="n">
        <f aca="false">1/(1+Assumptions!$B$8)^3</f>
        <v>0.571529773021951</v>
      </c>
      <c r="E13" s="14" t="n">
        <f aca="false">1/(1+Assumptions!$B$8)^4</f>
        <v>0.474298566823196</v>
      </c>
      <c r="F13" s="14" t="n">
        <f aca="false">1/(1+Assumptions!$B$8)^5</f>
        <v>0.393608769147881</v>
      </c>
    </row>
    <row r="14" customFormat="false" ht="15" hidden="false" customHeight="false" outlineLevel="0" collapsed="false">
      <c r="A14" s="7" t="s">
        <v>229</v>
      </c>
      <c r="B14" s="32" t="n">
        <f aca="false">B12*B13</f>
        <v>1590.86307053942</v>
      </c>
      <c r="C14" s="32" t="n">
        <f aca="false">C12*C13</f>
        <v>1076.18670477437</v>
      </c>
      <c r="D14" s="32" t="n">
        <f aca="false">D12*D13</f>
        <v>1890.04895938359</v>
      </c>
      <c r="E14" s="32" t="n">
        <f aca="false">E12*E13</f>
        <v>2328.21308989336</v>
      </c>
      <c r="F14" s="32" t="n">
        <f aca="false">F12*F13</f>
        <v>2209.27682013091</v>
      </c>
    </row>
    <row r="16" customFormat="false" ht="15" hidden="false" customHeight="false" outlineLevel="0" collapsed="false">
      <c r="A16" s="15" t="s">
        <v>230</v>
      </c>
      <c r="B16" s="33"/>
      <c r="C16" s="33"/>
      <c r="D16" s="33"/>
      <c r="E16" s="33"/>
      <c r="F16" s="33" t="n">
        <f aca="false">F12*(1+Assumptions!$B$9)/(Assumptions!$B$8-Assumptions!$B$9)</f>
        <v>73957.8823529412</v>
      </c>
    </row>
    <row r="17" customFormat="false" ht="15" hidden="false" customHeight="false" outlineLevel="0" collapsed="false">
      <c r="A17" s="15" t="s">
        <v>231</v>
      </c>
      <c r="B17" s="33" t="n">
        <f aca="false">F16*F13</f>
        <v>29110.4710417249</v>
      </c>
    </row>
    <row r="18" customFormat="false" ht="15" hidden="false" customHeight="false" outlineLevel="0" collapsed="false">
      <c r="A18" s="5" t="s">
        <v>232</v>
      </c>
      <c r="B18" s="28" t="n">
        <f aca="false">SUM(B14:F14)+B17</f>
        <v>38205.0596864466</v>
      </c>
    </row>
    <row r="19" customFormat="false" ht="15" hidden="false" customHeight="false" outlineLevel="0" collapsed="false">
      <c r="A19" s="7" t="s">
        <v>233</v>
      </c>
      <c r="B19" s="32" t="n">
        <f aca="false">-Assumptions!$B$7</f>
        <v>-4952</v>
      </c>
    </row>
    <row r="20" customFormat="false" ht="15" hidden="false" customHeight="false" outlineLevel="0" collapsed="false">
      <c r="A20" s="15" t="s">
        <v>234</v>
      </c>
      <c r="B20" s="33" t="n">
        <f aca="false">B18+B19</f>
        <v>33253.0596864466</v>
      </c>
    </row>
    <row r="21" customFormat="false" ht="15" hidden="false" customHeight="false" outlineLevel="0" collapsed="false">
      <c r="A21" s="5" t="s">
        <v>235</v>
      </c>
      <c r="B21" s="31" t="n">
        <f aca="false">B20/Assumptions!$B$6</f>
        <v>8.3023473348663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236</v>
      </c>
    </row>
    <row r="2" customFormat="false" ht="15" hidden="false" customHeight="false" outlineLevel="0" collapsed="false">
      <c r="A2" s="2" t="s">
        <v>237</v>
      </c>
    </row>
    <row r="4" customFormat="false" ht="15" hidden="false" customHeight="false" outlineLevel="0" collapsed="false">
      <c r="A4" s="3" t="s">
        <v>219</v>
      </c>
      <c r="B4" s="4" t="s">
        <v>238</v>
      </c>
      <c r="C4" s="4" t="s">
        <v>239</v>
      </c>
      <c r="D4" s="4" t="s">
        <v>240</v>
      </c>
      <c r="E4" s="4" t="s">
        <v>122</v>
      </c>
      <c r="F4" s="4" t="s">
        <v>123</v>
      </c>
      <c r="G4" s="4" t="s">
        <v>124</v>
      </c>
      <c r="H4" s="4" t="s">
        <v>125</v>
      </c>
      <c r="I4" s="4" t="s">
        <v>126</v>
      </c>
    </row>
    <row r="5" customFormat="false" ht="15" hidden="false" customHeight="false" outlineLevel="0" collapsed="false">
      <c r="A5" s="15" t="s">
        <v>241</v>
      </c>
      <c r="B5" s="33" t="n">
        <v>15580</v>
      </c>
      <c r="C5" s="33" t="n">
        <v>1055</v>
      </c>
      <c r="D5" s="33" t="n">
        <v>3135</v>
      </c>
      <c r="E5" s="33" t="n">
        <f aca="false">Assumptions!B47</f>
        <v>3070</v>
      </c>
      <c r="F5" s="33" t="n">
        <f aca="false">Assumptions!C47</f>
        <v>4600</v>
      </c>
      <c r="G5" s="33" t="n">
        <f aca="false">Assumptions!D47</f>
        <v>6200</v>
      </c>
      <c r="H5" s="33" t="n">
        <f aca="false">Assumptions!E47</f>
        <v>7400</v>
      </c>
      <c r="I5" s="33" t="n">
        <f aca="false">Assumptions!F47</f>
        <v>8300</v>
      </c>
    </row>
    <row r="6" customFormat="false" ht="15" hidden="false" customHeight="false" outlineLevel="0" collapsed="false">
      <c r="A6" s="7" t="s">
        <v>242</v>
      </c>
      <c r="B6" s="32" t="n">
        <v>-3365</v>
      </c>
      <c r="C6" s="32" t="n">
        <v>-294</v>
      </c>
      <c r="D6" s="32" t="n">
        <v>-268</v>
      </c>
      <c r="E6" s="32" t="n">
        <f aca="false">-Assumptions!B47*Assumptions!B48</f>
        <v>-368.4</v>
      </c>
      <c r="F6" s="32" t="n">
        <f aca="false">-Assumptions!C47*Assumptions!C48</f>
        <v>-644</v>
      </c>
      <c r="G6" s="32" t="n">
        <f aca="false">-Assumptions!D47*Assumptions!D48</f>
        <v>-930</v>
      </c>
      <c r="H6" s="32" t="n">
        <f aca="false">-Assumptions!E47*Assumptions!E48</f>
        <v>-1110</v>
      </c>
      <c r="I6" s="32" t="n">
        <f aca="false">-Assumptions!F47*Assumptions!F48</f>
        <v>-1245</v>
      </c>
    </row>
    <row r="7" customFormat="false" ht="15" hidden="false" customHeight="false" outlineLevel="0" collapsed="false">
      <c r="A7" s="15" t="s">
        <v>243</v>
      </c>
      <c r="B7" s="33" t="n">
        <f aca="false">B5+B6</f>
        <v>12215</v>
      </c>
      <c r="C7" s="33" t="n">
        <f aca="false">C5+C6</f>
        <v>761</v>
      </c>
      <c r="D7" s="33" t="n">
        <f aca="false">D5+D6</f>
        <v>2867</v>
      </c>
      <c r="E7" s="33" t="n">
        <f aca="false">E5+E6</f>
        <v>2701.6</v>
      </c>
      <c r="F7" s="33" t="n">
        <f aca="false">F5+F6</f>
        <v>3956</v>
      </c>
      <c r="G7" s="33" t="n">
        <f aca="false">G5+G6</f>
        <v>5270</v>
      </c>
      <c r="H7" s="33" t="n">
        <f aca="false">H5+H6</f>
        <v>6290</v>
      </c>
      <c r="I7" s="33" t="n">
        <f aca="false">I5+I6</f>
        <v>7055</v>
      </c>
    </row>
    <row r="8" customFormat="false" ht="15" hidden="false" customHeight="false" outlineLevel="0" collapsed="false">
      <c r="A8" s="7" t="s">
        <v>244</v>
      </c>
      <c r="B8" s="32" t="n">
        <v>-262</v>
      </c>
      <c r="C8" s="32" t="n">
        <v>-193</v>
      </c>
      <c r="D8" s="32" t="n">
        <v>-278</v>
      </c>
      <c r="E8" s="32" t="n">
        <f aca="false">-Assumptions!B49</f>
        <v>-330</v>
      </c>
      <c r="F8" s="32" t="n">
        <f aca="false">-Assumptions!C49</f>
        <v>-390</v>
      </c>
      <c r="G8" s="32" t="n">
        <f aca="false">-Assumptions!D49</f>
        <v>-450</v>
      </c>
      <c r="H8" s="32" t="n">
        <f aca="false">-Assumptions!E49</f>
        <v>-500</v>
      </c>
      <c r="I8" s="32" t="n">
        <f aca="false">-Assumptions!F49</f>
        <v>-550</v>
      </c>
    </row>
    <row r="9" customFormat="false" ht="15" hidden="false" customHeight="false" outlineLevel="0" collapsed="false">
      <c r="A9" s="7" t="s">
        <v>245</v>
      </c>
      <c r="B9" s="32" t="n">
        <v>-1356</v>
      </c>
      <c r="C9" s="32" t="n">
        <v>410</v>
      </c>
      <c r="D9" s="32" t="n">
        <v>152</v>
      </c>
      <c r="E9" s="32" t="n">
        <f aca="false">Assumptions!B50</f>
        <v>-40</v>
      </c>
      <c r="F9" s="32" t="n">
        <f aca="false">Assumptions!C50</f>
        <v>-40</v>
      </c>
      <c r="G9" s="32" t="n">
        <f aca="false">Assumptions!D50</f>
        <v>-40</v>
      </c>
      <c r="H9" s="32" t="n">
        <f aca="false">Assumptions!E50</f>
        <v>-40</v>
      </c>
      <c r="I9" s="32" t="n">
        <f aca="false">Assumptions!F50</f>
        <v>-40</v>
      </c>
    </row>
    <row r="10" customFormat="false" ht="15" hidden="false" customHeight="false" outlineLevel="0" collapsed="false">
      <c r="A10" s="5" t="s">
        <v>246</v>
      </c>
      <c r="B10" s="28" t="n">
        <f aca="false">B7+B8+B9</f>
        <v>10597</v>
      </c>
      <c r="C10" s="28" t="n">
        <f aca="false">C7+C8+C9</f>
        <v>978</v>
      </c>
      <c r="D10" s="28" t="n">
        <f aca="false">D7+D8+D9</f>
        <v>2741</v>
      </c>
      <c r="E10" s="28" t="n">
        <f aca="false">E7+E8+E9</f>
        <v>2331.6</v>
      </c>
      <c r="F10" s="28" t="n">
        <f aca="false">F7+F8+F9</f>
        <v>3526</v>
      </c>
      <c r="G10" s="28" t="n">
        <f aca="false">G7+G8+G9</f>
        <v>4780</v>
      </c>
      <c r="H10" s="28" t="n">
        <f aca="false">H7+H8+H9</f>
        <v>5750</v>
      </c>
      <c r="I10" s="28" t="n">
        <f aca="false">I7+I8+I9</f>
        <v>6465</v>
      </c>
    </row>
    <row r="11" customFormat="false" ht="15" hidden="false" customHeight="false" outlineLevel="0" collapsed="false">
      <c r="A11" s="7" t="s">
        <v>221</v>
      </c>
      <c r="B11" s="32" t="n">
        <v>0</v>
      </c>
      <c r="C11" s="32" t="n">
        <v>0</v>
      </c>
      <c r="D11" s="32" t="n">
        <v>0</v>
      </c>
      <c r="E11" s="32" t="n">
        <f aca="false">Assumptions!B51</f>
        <v>2600</v>
      </c>
      <c r="F11" s="32" t="n">
        <f aca="false">Assumptions!C51</f>
        <v>1200</v>
      </c>
      <c r="G11" s="32" t="n">
        <f aca="false">Assumptions!D51</f>
        <v>900</v>
      </c>
      <c r="H11" s="32" t="n">
        <f aca="false">Assumptions!E51</f>
        <v>700</v>
      </c>
      <c r="I11" s="32" t="n">
        <f aca="false">Assumptions!F51</f>
        <v>500</v>
      </c>
    </row>
    <row r="12" customFormat="false" ht="15" hidden="false" customHeight="false" outlineLevel="0" collapsed="false">
      <c r="A12" s="7" t="s">
        <v>247</v>
      </c>
      <c r="B12" s="32" t="n">
        <v>262</v>
      </c>
      <c r="C12" s="32" t="n">
        <v>2436</v>
      </c>
      <c r="D12" s="32" t="n">
        <v>738</v>
      </c>
      <c r="E12" s="32" t="n">
        <f aca="false">Assumptions!B52</f>
        <v>500</v>
      </c>
      <c r="F12" s="32" t="n">
        <f aca="false">Assumptions!C52</f>
        <v>420</v>
      </c>
      <c r="G12" s="32" t="n">
        <f aca="false">Assumptions!D52</f>
        <v>450</v>
      </c>
      <c r="H12" s="32" t="n">
        <f aca="false">Assumptions!E52</f>
        <v>520</v>
      </c>
      <c r="I12" s="32" t="n">
        <f aca="false">Assumptions!F52</f>
        <v>600</v>
      </c>
    </row>
    <row r="13" customFormat="false" ht="15" hidden="false" customHeight="false" outlineLevel="0" collapsed="false">
      <c r="A13" s="7" t="s">
        <v>248</v>
      </c>
      <c r="B13" s="32" t="n">
        <v>-338</v>
      </c>
      <c r="C13" s="32" t="n">
        <v>-246</v>
      </c>
      <c r="D13" s="32" t="n">
        <v>-114</v>
      </c>
      <c r="E13" s="32" t="n">
        <f aca="false">Assumptions!B53</f>
        <v>-900</v>
      </c>
      <c r="F13" s="32" t="n">
        <f aca="false">Assumptions!C53</f>
        <v>-800</v>
      </c>
      <c r="G13" s="32" t="n">
        <f aca="false">Assumptions!D53</f>
        <v>-650</v>
      </c>
      <c r="H13" s="32" t="n">
        <f aca="false">Assumptions!E53</f>
        <v>-500</v>
      </c>
      <c r="I13" s="32" t="n">
        <f aca="false">Assumptions!F53</f>
        <v>-380</v>
      </c>
    </row>
    <row r="14" customFormat="false" ht="15" hidden="false" customHeight="false" outlineLevel="0" collapsed="false">
      <c r="A14" s="7" t="s">
        <v>249</v>
      </c>
      <c r="B14" s="32" t="n">
        <v>-36</v>
      </c>
      <c r="C14" s="32" t="n">
        <v>0</v>
      </c>
      <c r="D14" s="32" t="n">
        <v>8</v>
      </c>
      <c r="E14" s="32" t="n">
        <v>0</v>
      </c>
      <c r="F14" s="32" t="n">
        <v>0</v>
      </c>
      <c r="G14" s="32" t="n">
        <v>0</v>
      </c>
      <c r="H14" s="32" t="n">
        <v>0</v>
      </c>
      <c r="I14" s="32" t="n">
        <v>0</v>
      </c>
    </row>
    <row r="15" customFormat="false" ht="15" hidden="false" customHeight="false" outlineLevel="0" collapsed="false">
      <c r="A15" s="15" t="s">
        <v>250</v>
      </c>
      <c r="B15" s="33" t="n">
        <f aca="false">SUM(B10:B14)</f>
        <v>10485</v>
      </c>
      <c r="C15" s="33" t="n">
        <f aca="false">SUM(C10:C14)</f>
        <v>3168</v>
      </c>
      <c r="D15" s="33" t="n">
        <f aca="false">SUM(D10:D14)</f>
        <v>3373</v>
      </c>
      <c r="E15" s="33" t="n">
        <f aca="false">SUM(E10:E14)</f>
        <v>4531.6</v>
      </c>
      <c r="F15" s="33" t="n">
        <f aca="false">SUM(F10:F14)</f>
        <v>4346</v>
      </c>
      <c r="G15" s="33" t="n">
        <f aca="false">SUM(G10:G14)</f>
        <v>5480</v>
      </c>
      <c r="H15" s="33" t="n">
        <f aca="false">SUM(H10:H14)</f>
        <v>6470</v>
      </c>
      <c r="I15" s="33" t="n">
        <f aca="false">SUM(I10:I14)</f>
        <v>7185</v>
      </c>
    </row>
    <row r="16" customFormat="false" ht="15" hidden="false" customHeight="false" outlineLevel="0" collapsed="false">
      <c r="A16" s="7" t="s">
        <v>251</v>
      </c>
      <c r="B16" s="32" t="n">
        <v>-2676</v>
      </c>
      <c r="C16" s="32" t="n">
        <v>-608</v>
      </c>
      <c r="D16" s="32" t="n">
        <v>-668</v>
      </c>
      <c r="E16" s="32" t="n">
        <f aca="false">-E15*Assumptions!$B$10</f>
        <v>-1019.61</v>
      </c>
      <c r="F16" s="32" t="n">
        <f aca="false">-F15*Assumptions!$B$10</f>
        <v>-977.85</v>
      </c>
      <c r="G16" s="32" t="n">
        <f aca="false">-G15*Assumptions!$B$10</f>
        <v>-1233</v>
      </c>
      <c r="H16" s="32" t="n">
        <f aca="false">-H15*Assumptions!$B$10</f>
        <v>-1455.75</v>
      </c>
      <c r="I16" s="32" t="n">
        <f aca="false">-I15*Assumptions!$B$10</f>
        <v>-1616.625</v>
      </c>
    </row>
    <row r="17" customFormat="false" ht="15" hidden="false" customHeight="false" outlineLevel="0" collapsed="false">
      <c r="A17" s="5" t="s">
        <v>252</v>
      </c>
      <c r="B17" s="28" t="n">
        <f aca="false">B15+B16</f>
        <v>7809</v>
      </c>
      <c r="C17" s="28" t="n">
        <f aca="false">C15+C16</f>
        <v>2560</v>
      </c>
      <c r="D17" s="28" t="n">
        <f aca="false">D15+D16</f>
        <v>2705</v>
      </c>
      <c r="E17" s="28" t="n">
        <f aca="false">E15+E16</f>
        <v>3511.99</v>
      </c>
      <c r="F17" s="28" t="n">
        <f aca="false">F15+F16</f>
        <v>3368.15</v>
      </c>
      <c r="G17" s="28" t="n">
        <f aca="false">G15+G16</f>
        <v>4247</v>
      </c>
      <c r="H17" s="28" t="n">
        <f aca="false">H15+H16</f>
        <v>5014.25</v>
      </c>
      <c r="I17" s="28" t="n">
        <f aca="false">I15+I16</f>
        <v>5568.375</v>
      </c>
    </row>
    <row r="18" customFormat="false" ht="15" hidden="false" customHeight="false" outlineLevel="0" collapsed="false">
      <c r="A18" s="7" t="s">
        <v>253</v>
      </c>
      <c r="B18" s="14" t="n">
        <f aca="false">B17/Assumptions!$B$6</f>
        <v>1.94968616269605</v>
      </c>
      <c r="C18" s="14" t="n">
        <f aca="false">C17/Assumptions!$B$6</f>
        <v>0.639159505250595</v>
      </c>
      <c r="D18" s="14" t="n">
        <f aca="false">D17/Assumptions!$B$6</f>
        <v>0.67536189910268</v>
      </c>
      <c r="E18" s="14" t="n">
        <f aca="false">E17/Assumptions!$B$6</f>
        <v>0.876844449548843</v>
      </c>
      <c r="F18" s="14" t="n">
        <f aca="false">F17/Assumptions!$B$6</f>
        <v>0.840931674847575</v>
      </c>
      <c r="G18" s="14" t="n">
        <f aca="false">G17/Assumptions!$B$6</f>
        <v>1.06035563234347</v>
      </c>
      <c r="H18" s="14" t="n">
        <f aca="false">H17/Assumptions!$B$6</f>
        <v>1.25191623015734</v>
      </c>
      <c r="I18" s="14" t="n">
        <f aca="false">I17/Assumptions!$B$6</f>
        <v>1.3902655508007</v>
      </c>
    </row>
    <row r="19" customFormat="false" ht="15" hidden="false" customHeight="false" outlineLevel="0" collapsed="false">
      <c r="A19" s="7" t="s">
        <v>254</v>
      </c>
      <c r="B19" s="32" t="n">
        <f aca="false">B10+6</f>
        <v>10603</v>
      </c>
      <c r="C19" s="32" t="n">
        <f aca="false">C10+7</f>
        <v>985</v>
      </c>
      <c r="D19" s="32" t="n">
        <f aca="false">D10+20</f>
        <v>2761</v>
      </c>
      <c r="E19" s="32" t="n">
        <f aca="false">E10+Assumptions!B54</f>
        <v>2366.6</v>
      </c>
      <c r="F19" s="32" t="n">
        <f aca="false">F10+Assumptions!C54</f>
        <v>3566</v>
      </c>
      <c r="G19" s="32" t="n">
        <f aca="false">G10+Assumptions!D54</f>
        <v>4825</v>
      </c>
      <c r="H19" s="32" t="n">
        <f aca="false">H10+Assumptions!E54</f>
        <v>5800</v>
      </c>
      <c r="I19" s="32" t="n">
        <f aca="false">I10+Assumptions!F54</f>
        <v>6520</v>
      </c>
    </row>
    <row r="21" customFormat="false" ht="15" hidden="false" customHeight="false" outlineLevel="0" collapsed="false">
      <c r="A21" s="34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256</v>
      </c>
    </row>
    <row r="2" customFormat="false" ht="15" hidden="false" customHeight="false" outlineLevel="0" collapsed="false">
      <c r="A2" s="2" t="s">
        <v>257</v>
      </c>
    </row>
    <row r="4" customFormat="false" ht="15" hidden="false" customHeight="false" outlineLevel="0" collapsed="false">
      <c r="A4" s="3" t="s">
        <v>219</v>
      </c>
      <c r="B4" s="4" t="s">
        <v>238</v>
      </c>
      <c r="C4" s="4" t="s">
        <v>239</v>
      </c>
      <c r="D4" s="4" t="s">
        <v>240</v>
      </c>
      <c r="E4" s="4" t="s">
        <v>122</v>
      </c>
      <c r="F4" s="4" t="s">
        <v>123</v>
      </c>
      <c r="G4" s="4" t="s">
        <v>124</v>
      </c>
      <c r="H4" s="4" t="s">
        <v>125</v>
      </c>
      <c r="I4" s="4" t="s">
        <v>126</v>
      </c>
    </row>
    <row r="5" customFormat="false" ht="15" hidden="false" customHeight="false" outlineLevel="0" collapsed="false">
      <c r="A5" s="15" t="s">
        <v>258</v>
      </c>
      <c r="B5" s="33" t="n">
        <v>10658</v>
      </c>
      <c r="C5" s="33" t="n">
        <v>4858</v>
      </c>
      <c r="D5" s="33" t="n">
        <v>1761</v>
      </c>
      <c r="E5" s="33" t="n">
        <f aca="false">'Cash Flow'!E17</f>
        <v>747.99</v>
      </c>
      <c r="F5" s="33" t="n">
        <f aca="false">'Cash Flow'!F17</f>
        <v>416.14</v>
      </c>
      <c r="G5" s="33" t="n">
        <f aca="false">'Cash Flow'!G17</f>
        <v>1368.14</v>
      </c>
      <c r="H5" s="33" t="n">
        <f aca="false">'Cash Flow'!H17</f>
        <v>3692.39</v>
      </c>
      <c r="I5" s="33" t="n">
        <f aca="false">'Cash Flow'!I17</f>
        <v>6475.765</v>
      </c>
    </row>
    <row r="6" customFormat="false" ht="15" hidden="false" customHeight="false" outlineLevel="0" collapsed="false">
      <c r="A6" s="7" t="s">
        <v>259</v>
      </c>
      <c r="B6" s="32" t="n">
        <v>889</v>
      </c>
      <c r="C6" s="32" t="n">
        <v>578</v>
      </c>
      <c r="D6" s="32" t="n">
        <v>762</v>
      </c>
      <c r="E6" s="32" t="n">
        <f aca="false">D6+Assumptions!B57</f>
        <v>1002</v>
      </c>
      <c r="F6" s="32" t="n">
        <f aca="false">E6+Assumptions!C57</f>
        <v>1242</v>
      </c>
      <c r="G6" s="32" t="n">
        <f aca="false">F6+Assumptions!D57</f>
        <v>1482</v>
      </c>
      <c r="H6" s="32" t="n">
        <f aca="false">G6+Assumptions!E57</f>
        <v>1722</v>
      </c>
      <c r="I6" s="32" t="n">
        <f aca="false">H6+Assumptions!F57</f>
        <v>1962</v>
      </c>
    </row>
    <row r="7" customFormat="false" ht="15" hidden="false" customHeight="false" outlineLevel="0" collapsed="false">
      <c r="A7" s="7" t="s">
        <v>260</v>
      </c>
      <c r="B7" s="32" t="n">
        <v>2438</v>
      </c>
      <c r="C7" s="32" t="n">
        <v>4588</v>
      </c>
      <c r="D7" s="32" t="n">
        <v>16862</v>
      </c>
      <c r="E7" s="32" t="n">
        <f aca="false">D7+Assumptions!B56</f>
        <v>17662</v>
      </c>
      <c r="F7" s="32" t="n">
        <f aca="false">E7+Assumptions!C56</f>
        <v>18162</v>
      </c>
      <c r="G7" s="32" t="n">
        <f aca="false">F7+Assumptions!D56</f>
        <v>17662</v>
      </c>
      <c r="H7" s="32" t="n">
        <f aca="false">G7+Assumptions!E56</f>
        <v>17162</v>
      </c>
      <c r="I7" s="32" t="n">
        <f aca="false">H7+Assumptions!F56</f>
        <v>16662</v>
      </c>
    </row>
    <row r="8" customFormat="false" ht="15" hidden="false" customHeight="false" outlineLevel="0" collapsed="false">
      <c r="A8" s="7" t="s">
        <v>261</v>
      </c>
      <c r="B8" s="32" t="n">
        <v>1737</v>
      </c>
      <c r="C8" s="32" t="n">
        <v>3617</v>
      </c>
      <c r="D8" s="32" t="n">
        <v>658</v>
      </c>
      <c r="E8" s="32" t="n">
        <v>658</v>
      </c>
      <c r="F8" s="32" t="n">
        <v>658</v>
      </c>
      <c r="G8" s="32" t="n">
        <v>658</v>
      </c>
      <c r="H8" s="32" t="n">
        <v>658</v>
      </c>
      <c r="I8" s="32" t="n">
        <v>658</v>
      </c>
    </row>
    <row r="9" customFormat="false" ht="15" hidden="false" customHeight="false" outlineLevel="0" collapsed="false">
      <c r="A9" s="5" t="s">
        <v>262</v>
      </c>
      <c r="B9" s="28" t="n">
        <f aca="false">SUM(B5:B8)</f>
        <v>15722</v>
      </c>
      <c r="C9" s="28" t="n">
        <f aca="false">SUM(C5:C8)</f>
        <v>13641</v>
      </c>
      <c r="D9" s="28" t="n">
        <f aca="false">SUM(D5:D8)</f>
        <v>20043</v>
      </c>
      <c r="E9" s="28" t="n">
        <f aca="false">SUM(E5:E8)</f>
        <v>20069.99</v>
      </c>
      <c r="F9" s="28" t="n">
        <f aca="false">SUM(F5:F8)</f>
        <v>20478.14</v>
      </c>
      <c r="G9" s="28" t="n">
        <f aca="false">SUM(G5:G8)</f>
        <v>21170.14</v>
      </c>
      <c r="H9" s="28" t="n">
        <f aca="false">SUM(H5:H8)</f>
        <v>23234.39</v>
      </c>
      <c r="I9" s="28" t="n">
        <f aca="false">SUM(I5:I8)</f>
        <v>25757.765</v>
      </c>
    </row>
    <row r="10" customFormat="false" ht="15" hidden="false" customHeight="false" outlineLevel="0" collapsed="false">
      <c r="A10" s="7" t="s">
        <v>263</v>
      </c>
      <c r="B10" s="32" t="n">
        <v>53</v>
      </c>
      <c r="C10" s="32" t="n">
        <v>21</v>
      </c>
      <c r="D10" s="32" t="n">
        <v>1681</v>
      </c>
      <c r="E10" s="32" t="n">
        <f aca="false">D10+Assumptions!B55-Assumptions!B54</f>
        <v>2646</v>
      </c>
      <c r="F10" s="32" t="n">
        <f aca="false">E10+Assumptions!C55-Assumptions!C54</f>
        <v>4106</v>
      </c>
      <c r="G10" s="32" t="n">
        <f aca="false">F10+Assumptions!D55-Assumptions!D54</f>
        <v>5561</v>
      </c>
      <c r="H10" s="32" t="n">
        <f aca="false">G10+Assumptions!E55-Assumptions!E54</f>
        <v>6011</v>
      </c>
      <c r="I10" s="32" t="n">
        <f aca="false">H10+Assumptions!F55-Assumptions!F54</f>
        <v>6156</v>
      </c>
    </row>
    <row r="11" customFormat="false" ht="15" hidden="false" customHeight="false" outlineLevel="0" collapsed="false">
      <c r="A11" s="7" t="s">
        <v>264</v>
      </c>
      <c r="B11" s="32" t="n">
        <v>40</v>
      </c>
      <c r="C11" s="32" t="n">
        <v>718</v>
      </c>
      <c r="D11" s="32" t="n">
        <v>632</v>
      </c>
      <c r="E11" s="32" t="n">
        <v>632</v>
      </c>
      <c r="F11" s="32" t="n">
        <v>632</v>
      </c>
      <c r="G11" s="32" t="n">
        <v>632</v>
      </c>
      <c r="H11" s="32" t="n">
        <v>632</v>
      </c>
      <c r="I11" s="32" t="n">
        <v>632</v>
      </c>
    </row>
    <row r="12" customFormat="false" ht="15" hidden="false" customHeight="false" outlineLevel="0" collapsed="false">
      <c r="A12" s="5" t="s">
        <v>265</v>
      </c>
      <c r="B12" s="28" t="n">
        <f aca="false">B9+B10+B11</f>
        <v>15815</v>
      </c>
      <c r="C12" s="28" t="n">
        <f aca="false">C9+C10+C11</f>
        <v>14380</v>
      </c>
      <c r="D12" s="28" t="n">
        <f aca="false">D9+D10+D11</f>
        <v>22356</v>
      </c>
      <c r="E12" s="28" t="n">
        <f aca="false">E9+E10+E11</f>
        <v>23347.99</v>
      </c>
      <c r="F12" s="28" t="n">
        <f aca="false">F9+F10+F11</f>
        <v>25216.14</v>
      </c>
      <c r="G12" s="28" t="n">
        <f aca="false">G9+G10+G11</f>
        <v>27363.14</v>
      </c>
      <c r="H12" s="28" t="n">
        <f aca="false">H9+H10+H11</f>
        <v>29877.39</v>
      </c>
      <c r="I12" s="28" t="n">
        <f aca="false">I9+I10+I11</f>
        <v>32545.765</v>
      </c>
    </row>
    <row r="13" customFormat="false" ht="15" hidden="false" customHeight="false" outlineLevel="0" collapsed="false">
      <c r="A13" s="7" t="s">
        <v>266</v>
      </c>
      <c r="B13" s="32" t="n">
        <v>741</v>
      </c>
      <c r="C13" s="32" t="n">
        <v>371</v>
      </c>
      <c r="D13" s="32" t="n">
        <v>1857</v>
      </c>
      <c r="E13" s="32" t="n">
        <f aca="false">D13+Assumptions!B58</f>
        <v>1957</v>
      </c>
      <c r="F13" s="32" t="n">
        <f aca="false">E13+Assumptions!C58</f>
        <v>2057</v>
      </c>
      <c r="G13" s="32" t="n">
        <f aca="false">F13+Assumptions!D58</f>
        <v>2157</v>
      </c>
      <c r="H13" s="32" t="n">
        <f aca="false">G13+Assumptions!E58</f>
        <v>2257</v>
      </c>
      <c r="I13" s="32" t="n">
        <f aca="false">H13+Assumptions!F58</f>
        <v>2357</v>
      </c>
    </row>
    <row r="14" customFormat="false" ht="15" hidden="false" customHeight="false" outlineLevel="0" collapsed="false">
      <c r="A14" s="15" t="s">
        <v>267</v>
      </c>
      <c r="B14" s="33" t="n">
        <v>1601</v>
      </c>
      <c r="C14" s="33" t="n">
        <v>615</v>
      </c>
      <c r="D14" s="33" t="n">
        <v>6478</v>
      </c>
      <c r="E14" s="33" t="n">
        <f aca="false">D14-Assumptions!B60</f>
        <v>5600</v>
      </c>
      <c r="F14" s="33" t="n">
        <f aca="false">E14-Assumptions!C60</f>
        <v>5300</v>
      </c>
      <c r="G14" s="33" t="n">
        <f aca="false">F14-Assumptions!D60</f>
        <v>4800</v>
      </c>
      <c r="H14" s="33" t="n">
        <f aca="false">G14-Assumptions!E60</f>
        <v>4300</v>
      </c>
      <c r="I14" s="33" t="n">
        <f aca="false">H14-Assumptions!F60</f>
        <v>3800</v>
      </c>
    </row>
    <row r="15" customFormat="false" ht="15" hidden="false" customHeight="false" outlineLevel="0" collapsed="false">
      <c r="A15" s="7" t="s">
        <v>268</v>
      </c>
      <c r="B15" s="32" t="n">
        <v>3878</v>
      </c>
      <c r="C15" s="32" t="n">
        <v>1482</v>
      </c>
      <c r="D15" s="32" t="n">
        <v>1407</v>
      </c>
      <c r="E15" s="32" t="n">
        <v>1407</v>
      </c>
      <c r="F15" s="32" t="n">
        <v>1407</v>
      </c>
      <c r="G15" s="32" t="n">
        <v>1407</v>
      </c>
      <c r="H15" s="32" t="n">
        <v>1407</v>
      </c>
      <c r="I15" s="32" t="n">
        <v>1407</v>
      </c>
    </row>
    <row r="16" customFormat="false" ht="15" hidden="false" customHeight="false" outlineLevel="0" collapsed="false">
      <c r="A16" s="7" t="s">
        <v>269</v>
      </c>
      <c r="B16" s="32" t="n">
        <v>832</v>
      </c>
      <c r="C16" s="32" t="n">
        <v>2508</v>
      </c>
      <c r="D16" s="32" t="n">
        <v>2296</v>
      </c>
      <c r="E16" s="32" t="n">
        <v>2296</v>
      </c>
      <c r="F16" s="32" t="n">
        <v>2296</v>
      </c>
      <c r="G16" s="32" t="n">
        <v>2296</v>
      </c>
      <c r="H16" s="32" t="n">
        <v>2296</v>
      </c>
      <c r="I16" s="32" t="n">
        <v>2296</v>
      </c>
    </row>
    <row r="17" customFormat="false" ht="15" hidden="false" customHeight="false" outlineLevel="0" collapsed="false">
      <c r="A17" s="15" t="s">
        <v>270</v>
      </c>
      <c r="B17" s="33" t="n">
        <f aca="false">SUM(B13:B16)</f>
        <v>7052</v>
      </c>
      <c r="C17" s="33" t="n">
        <f aca="false">SUM(C13:C16)</f>
        <v>4976</v>
      </c>
      <c r="D17" s="33" t="n">
        <f aca="false">SUM(D13:D16)</f>
        <v>12038</v>
      </c>
      <c r="E17" s="33" t="n">
        <f aca="false">SUM(E13:E16)</f>
        <v>11260</v>
      </c>
      <c r="F17" s="33" t="n">
        <f aca="false">SUM(F13:F16)</f>
        <v>11060</v>
      </c>
      <c r="G17" s="33" t="n">
        <f aca="false">SUM(G13:G16)</f>
        <v>10660</v>
      </c>
      <c r="H17" s="33" t="n">
        <f aca="false">SUM(H13:H16)</f>
        <v>10260</v>
      </c>
      <c r="I17" s="33" t="n">
        <f aca="false">SUM(I13:I16)</f>
        <v>9860</v>
      </c>
    </row>
    <row r="18" customFormat="false" ht="15" hidden="false" customHeight="false" outlineLevel="0" collapsed="false">
      <c r="A18" s="7" t="s">
        <v>271</v>
      </c>
      <c r="B18" s="32" t="n">
        <v>383</v>
      </c>
      <c r="C18" s="32" t="n">
        <v>383</v>
      </c>
      <c r="D18" s="32" t="n">
        <v>1050</v>
      </c>
      <c r="E18" s="32" t="n">
        <v>1050</v>
      </c>
      <c r="F18" s="32" t="n">
        <v>1050</v>
      </c>
      <c r="G18" s="32" t="n">
        <v>1050</v>
      </c>
      <c r="H18" s="32" t="n">
        <v>1050</v>
      </c>
      <c r="I18" s="32" t="n">
        <v>1050</v>
      </c>
    </row>
    <row r="19" customFormat="false" ht="15" hidden="false" customHeight="false" outlineLevel="0" collapsed="false">
      <c r="A19" s="7" t="s">
        <v>272</v>
      </c>
      <c r="B19" s="32" t="n">
        <v>8379</v>
      </c>
      <c r="C19" s="32" t="n">
        <v>9020</v>
      </c>
      <c r="D19" s="32" t="n">
        <v>9267</v>
      </c>
      <c r="E19" s="32" t="n">
        <f aca="false">D19+'Income Statement'!E17-Assumptions!B59</f>
        <v>11036.99</v>
      </c>
      <c r="F19" s="32" t="n">
        <f aca="false">E19+'Income Statement'!F17-Assumptions!C59</f>
        <v>13105.14</v>
      </c>
      <c r="G19" s="32" t="n">
        <f aca="false">F19+'Income Statement'!G17-Assumptions!D59</f>
        <v>15652.14</v>
      </c>
      <c r="H19" s="32" t="n">
        <f aca="false">G19+'Income Statement'!H17-Assumptions!E59</f>
        <v>18566.39</v>
      </c>
      <c r="I19" s="32" t="n">
        <f aca="false">H19+'Income Statement'!I17-Assumptions!F59</f>
        <v>21634.765</v>
      </c>
    </row>
    <row r="20" customFormat="false" ht="15" hidden="false" customHeight="false" outlineLevel="0" collapsed="false">
      <c r="A20" s="5" t="s">
        <v>273</v>
      </c>
      <c r="B20" s="28" t="n">
        <f aca="false">B18+B19</f>
        <v>8762</v>
      </c>
      <c r="C20" s="28" t="n">
        <f aca="false">C18+C19</f>
        <v>9403</v>
      </c>
      <c r="D20" s="28" t="n">
        <f aca="false">D18+D19</f>
        <v>10317</v>
      </c>
      <c r="E20" s="28" t="n">
        <f aca="false">E18+E19</f>
        <v>12086.99</v>
      </c>
      <c r="F20" s="28" t="n">
        <f aca="false">F18+F19</f>
        <v>14155.14</v>
      </c>
      <c r="G20" s="28" t="n">
        <f aca="false">G18+G19</f>
        <v>16702.14</v>
      </c>
      <c r="H20" s="28" t="n">
        <f aca="false">H18+H19</f>
        <v>19616.39</v>
      </c>
      <c r="I20" s="28" t="n">
        <f aca="false">I18+I19</f>
        <v>22684.765</v>
      </c>
    </row>
    <row r="21" customFormat="false" ht="15" hidden="false" customHeight="false" outlineLevel="0" collapsed="false">
      <c r="A21" s="15" t="s">
        <v>274</v>
      </c>
      <c r="B21" s="33" t="n">
        <f aca="false">B17+B20</f>
        <v>15814</v>
      </c>
      <c r="C21" s="33" t="n">
        <f aca="false">C17+C20</f>
        <v>14379</v>
      </c>
      <c r="D21" s="33" t="n">
        <f aca="false">D17+D20</f>
        <v>22355</v>
      </c>
      <c r="E21" s="33" t="n">
        <f aca="false">E17+E20</f>
        <v>23346.99</v>
      </c>
      <c r="F21" s="33" t="n">
        <f aca="false">F17+F20</f>
        <v>25215.14</v>
      </c>
      <c r="G21" s="33" t="n">
        <f aca="false">G17+G20</f>
        <v>27362.14</v>
      </c>
      <c r="H21" s="33" t="n">
        <f aca="false">H17+H20</f>
        <v>29876.39</v>
      </c>
      <c r="I21" s="33" t="n">
        <f aca="false">I17+I20</f>
        <v>32544.765</v>
      </c>
    </row>
    <row r="22" customFormat="false" ht="15" hidden="false" customHeight="false" outlineLevel="0" collapsed="false">
      <c r="A22" s="7" t="s">
        <v>275</v>
      </c>
      <c r="B22" s="32" t="n">
        <f aca="false">B12-B21</f>
        <v>1</v>
      </c>
      <c r="C22" s="32" t="n">
        <f aca="false">C12-C21</f>
        <v>1</v>
      </c>
      <c r="D22" s="32" t="n">
        <f aca="false">D12-D21</f>
        <v>1</v>
      </c>
      <c r="E22" s="32" t="n">
        <f aca="false">E12-E21</f>
        <v>1.00000000000364</v>
      </c>
      <c r="F22" s="32" t="n">
        <f aca="false">F12-F21</f>
        <v>1</v>
      </c>
      <c r="G22" s="32" t="n">
        <f aca="false">G12-G21</f>
        <v>1</v>
      </c>
      <c r="H22" s="32" t="n">
        <f aca="false">H12-H21</f>
        <v>1</v>
      </c>
      <c r="I22" s="32" t="n">
        <f aca="false">I12-I21</f>
        <v>1</v>
      </c>
    </row>
    <row r="23" customFormat="false" ht="15" hidden="false" customHeight="false" outlineLevel="0" collapsed="false">
      <c r="A23" s="7" t="s">
        <v>276</v>
      </c>
      <c r="B23" s="32" t="n">
        <f aca="false">B5-B14</f>
        <v>9057</v>
      </c>
      <c r="C23" s="32" t="n">
        <f aca="false">C5-C14</f>
        <v>4243</v>
      </c>
      <c r="D23" s="32" t="n">
        <f aca="false">D5-D14</f>
        <v>-4717</v>
      </c>
      <c r="E23" s="32" t="n">
        <f aca="false">E5-E14</f>
        <v>-4852.01</v>
      </c>
      <c r="F23" s="32" t="n">
        <f aca="false">F5-F14</f>
        <v>-4883.86</v>
      </c>
      <c r="G23" s="32" t="n">
        <f aca="false">G5-G14</f>
        <v>-3431.86</v>
      </c>
      <c r="H23" s="32" t="n">
        <f aca="false">H5-H14</f>
        <v>-607.61</v>
      </c>
      <c r="I23" s="32" t="n">
        <f aca="false">I5-I14</f>
        <v>2675.765</v>
      </c>
    </row>
    <row r="24" customFormat="false" ht="15" hidden="false" customHeight="false" outlineLevel="0" collapsed="false">
      <c r="A24" s="7" t="s">
        <v>277</v>
      </c>
      <c r="B24" s="14" t="n">
        <f aca="false">B20/Assumptions!$B$6</f>
        <v>2.18762327539286</v>
      </c>
      <c r="C24" s="14" t="n">
        <f aca="false">C20/Assumptions!$B$6</f>
        <v>2.34766282338725</v>
      </c>
      <c r="D24" s="14" t="n">
        <f aca="false">D20/Assumptions!$B$6</f>
        <v>2.57586274049625</v>
      </c>
      <c r="E24" s="14" t="n">
        <f aca="false">E20/Assumptions!$B$6</f>
        <v>3.0177791204566</v>
      </c>
      <c r="F24" s="14" t="n">
        <f aca="false">F20/Assumptions!$B$6</f>
        <v>3.53413760904411</v>
      </c>
      <c r="G24" s="14" t="n">
        <f aca="false">G20/Assumptions!$B$6</f>
        <v>4.1700513824321</v>
      </c>
      <c r="H24" s="14" t="n">
        <f aca="false">H20/Assumptions!$B$6</f>
        <v>4.89765708093857</v>
      </c>
      <c r="I24" s="14" t="n">
        <f aca="false">I20/Assumptions!$B$6</f>
        <v>5.66374342739298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4" customFormat="false" ht="15" hidden="false" customHeight="false" outlineLevel="0" collapsed="false">
      <c r="A4" s="3" t="s">
        <v>219</v>
      </c>
      <c r="B4" s="4" t="s">
        <v>238</v>
      </c>
      <c r="C4" s="4" t="s">
        <v>239</v>
      </c>
      <c r="D4" s="4" t="s">
        <v>240</v>
      </c>
      <c r="E4" s="4" t="s">
        <v>122</v>
      </c>
      <c r="F4" s="4" t="s">
        <v>123</v>
      </c>
      <c r="G4" s="4" t="s">
        <v>124</v>
      </c>
      <c r="H4" s="4" t="s">
        <v>125</v>
      </c>
      <c r="I4" s="4" t="s">
        <v>126</v>
      </c>
    </row>
    <row r="5" customFormat="false" ht="15" hidden="false" customHeight="false" outlineLevel="0" collapsed="false">
      <c r="A5" s="15" t="s">
        <v>252</v>
      </c>
      <c r="B5" s="33" t="n">
        <v>7809</v>
      </c>
      <c r="C5" s="33" t="n">
        <v>2560</v>
      </c>
      <c r="D5" s="33" t="n">
        <v>2705</v>
      </c>
      <c r="E5" s="33" t="n">
        <f aca="false">'Income Statement'!E17</f>
        <v>3511.99</v>
      </c>
      <c r="F5" s="33" t="n">
        <f aca="false">'Income Statement'!F17</f>
        <v>3368.15</v>
      </c>
      <c r="G5" s="33" t="n">
        <f aca="false">'Income Statement'!G17</f>
        <v>4247</v>
      </c>
      <c r="H5" s="33" t="n">
        <f aca="false">'Income Statement'!H17</f>
        <v>5014.25</v>
      </c>
      <c r="I5" s="33" t="n">
        <f aca="false">'Income Statement'!I17</f>
        <v>5568.375</v>
      </c>
    </row>
    <row r="6" customFormat="false" ht="15" hidden="false" customHeight="false" outlineLevel="0" collapsed="false">
      <c r="A6" s="7" t="s">
        <v>280</v>
      </c>
      <c r="B6" s="32" t="n">
        <v>6</v>
      </c>
      <c r="C6" s="32" t="n">
        <v>7</v>
      </c>
      <c r="D6" s="32" t="n">
        <v>20</v>
      </c>
      <c r="E6" s="32" t="n">
        <f aca="false">Assumptions!B54</f>
        <v>35</v>
      </c>
      <c r="F6" s="32" t="n">
        <f aca="false">Assumptions!C54</f>
        <v>40</v>
      </c>
      <c r="G6" s="32" t="n">
        <f aca="false">Assumptions!D54</f>
        <v>45</v>
      </c>
      <c r="H6" s="32" t="n">
        <f aca="false">Assumptions!E54</f>
        <v>50</v>
      </c>
      <c r="I6" s="32" t="n">
        <f aca="false">Assumptions!F54</f>
        <v>55</v>
      </c>
    </row>
    <row r="7" customFormat="false" ht="15" hidden="false" customHeight="false" outlineLevel="0" collapsed="false">
      <c r="A7" s="7" t="s">
        <v>281</v>
      </c>
      <c r="B7" s="32" t="n">
        <v>-5</v>
      </c>
      <c r="C7" s="32" t="n">
        <v>-2150</v>
      </c>
      <c r="D7" s="32" t="n">
        <v>-12274</v>
      </c>
      <c r="E7" s="32" t="n">
        <f aca="false">-Assumptions!B56</f>
        <v>-800</v>
      </c>
      <c r="F7" s="32" t="n">
        <f aca="false">-Assumptions!C56</f>
        <v>-500</v>
      </c>
      <c r="G7" s="32" t="n">
        <f aca="false">-Assumptions!D56</f>
        <v>500</v>
      </c>
      <c r="H7" s="32" t="n">
        <f aca="false">-Assumptions!E56</f>
        <v>500</v>
      </c>
      <c r="I7" s="32" t="n">
        <f aca="false">-Assumptions!F56</f>
        <v>500</v>
      </c>
    </row>
    <row r="8" customFormat="false" ht="15" hidden="false" customHeight="false" outlineLevel="0" collapsed="false">
      <c r="A8" s="7" t="s">
        <v>282</v>
      </c>
      <c r="B8" s="32" t="n">
        <v>697</v>
      </c>
      <c r="C8" s="32" t="n">
        <v>312</v>
      </c>
      <c r="D8" s="32" t="n">
        <v>-184</v>
      </c>
      <c r="E8" s="32" t="n">
        <f aca="false">-Assumptions!B57</f>
        <v>-240</v>
      </c>
      <c r="F8" s="32" t="n">
        <f aca="false">-Assumptions!C57</f>
        <v>-240</v>
      </c>
      <c r="G8" s="32" t="n">
        <f aca="false">-Assumptions!D57</f>
        <v>-240</v>
      </c>
      <c r="H8" s="32" t="n">
        <f aca="false">-Assumptions!E57</f>
        <v>-240</v>
      </c>
      <c r="I8" s="32" t="n">
        <f aca="false">-Assumptions!F57</f>
        <v>-240</v>
      </c>
    </row>
    <row r="9" customFormat="false" ht="15" hidden="false" customHeight="false" outlineLevel="0" collapsed="false">
      <c r="A9" s="7" t="s">
        <v>283</v>
      </c>
      <c r="B9" s="32" t="n">
        <v>2023</v>
      </c>
      <c r="C9" s="32" t="n">
        <v>-6136</v>
      </c>
      <c r="D9" s="32" t="n">
        <v>8420</v>
      </c>
      <c r="E9" s="32" t="n">
        <f aca="false">Assumptions!B58</f>
        <v>100</v>
      </c>
      <c r="F9" s="32" t="n">
        <f aca="false">Assumptions!C58</f>
        <v>100</v>
      </c>
      <c r="G9" s="32" t="n">
        <f aca="false">Assumptions!D58</f>
        <v>100</v>
      </c>
      <c r="H9" s="32" t="n">
        <f aca="false">Assumptions!E58</f>
        <v>100</v>
      </c>
      <c r="I9" s="32" t="n">
        <f aca="false">Assumptions!F58</f>
        <v>100</v>
      </c>
    </row>
    <row r="10" customFormat="false" ht="15" hidden="false" customHeight="false" outlineLevel="0" collapsed="false">
      <c r="A10" s="5" t="s">
        <v>284</v>
      </c>
      <c r="B10" s="28" t="n">
        <f aca="false">SUM(B5:B9)</f>
        <v>10530</v>
      </c>
      <c r="C10" s="28" t="n">
        <f aca="false">SUM(C5:C9)</f>
        <v>-5407</v>
      </c>
      <c r="D10" s="28" t="n">
        <f aca="false">SUM(D5:D9)</f>
        <v>-1313</v>
      </c>
      <c r="E10" s="28" t="n">
        <f aca="false">SUM(E5:E9)</f>
        <v>2606.99</v>
      </c>
      <c r="F10" s="28" t="n">
        <f aca="false">SUM(F5:F9)</f>
        <v>2768.15</v>
      </c>
      <c r="G10" s="28" t="n">
        <f aca="false">SUM(G5:G9)</f>
        <v>4652</v>
      </c>
      <c r="H10" s="28" t="n">
        <f aca="false">SUM(H5:H9)</f>
        <v>5424.25</v>
      </c>
      <c r="I10" s="28" t="n">
        <f aca="false">SUM(I5:I9)</f>
        <v>5983.375</v>
      </c>
    </row>
    <row r="11" customFormat="false" ht="15" hidden="false" customHeight="false" outlineLevel="0" collapsed="false">
      <c r="A11" s="7" t="s">
        <v>285</v>
      </c>
      <c r="B11" s="32" t="n">
        <v>-30</v>
      </c>
      <c r="C11" s="32" t="n">
        <v>-4</v>
      </c>
      <c r="D11" s="32" t="n">
        <v>-1680</v>
      </c>
      <c r="E11" s="32" t="n">
        <f aca="false">-Assumptions!B55</f>
        <v>-1000</v>
      </c>
      <c r="F11" s="32" t="n">
        <f aca="false">-Assumptions!C55</f>
        <v>-1500</v>
      </c>
      <c r="G11" s="32" t="n">
        <f aca="false">-Assumptions!D55</f>
        <v>-1500</v>
      </c>
      <c r="H11" s="32" t="n">
        <f aca="false">-Assumptions!E55</f>
        <v>-500</v>
      </c>
      <c r="I11" s="32" t="n">
        <f aca="false">-Assumptions!F55</f>
        <v>-200</v>
      </c>
    </row>
    <row r="12" customFormat="false" ht="15" hidden="false" customHeight="false" outlineLevel="0" collapsed="false">
      <c r="A12" s="15" t="s">
        <v>286</v>
      </c>
      <c r="B12" s="33" t="n">
        <f aca="false">B10+B11</f>
        <v>10500</v>
      </c>
      <c r="C12" s="33" t="n">
        <f aca="false">C10+C11</f>
        <v>-5411</v>
      </c>
      <c r="D12" s="33" t="n">
        <f aca="false">D10+D11</f>
        <v>-2993</v>
      </c>
      <c r="E12" s="33" t="n">
        <f aca="false">E10+E11</f>
        <v>1606.99</v>
      </c>
      <c r="F12" s="33" t="n">
        <f aca="false">F10+F11</f>
        <v>1268.15</v>
      </c>
      <c r="G12" s="33" t="n">
        <f aca="false">G10+G11</f>
        <v>3152</v>
      </c>
      <c r="H12" s="33" t="n">
        <f aca="false">H10+H11</f>
        <v>4924.25</v>
      </c>
      <c r="I12" s="33" t="n">
        <f aca="false">I10+I11</f>
        <v>5783.375</v>
      </c>
    </row>
    <row r="13" customFormat="false" ht="15" hidden="false" customHeight="false" outlineLevel="0" collapsed="false">
      <c r="A13" s="7" t="s">
        <v>287</v>
      </c>
      <c r="B13" s="32" t="n">
        <v>-45</v>
      </c>
      <c r="C13" s="32" t="n">
        <v>-1787</v>
      </c>
      <c r="D13" s="32" t="n">
        <v>-1742</v>
      </c>
      <c r="E13" s="32" t="n">
        <f aca="false">-Assumptions!B59</f>
        <v>-1742</v>
      </c>
      <c r="F13" s="32" t="n">
        <f aca="false">-Assumptions!C59</f>
        <v>-1300</v>
      </c>
      <c r="G13" s="32" t="n">
        <f aca="false">-Assumptions!D59</f>
        <v>-1700</v>
      </c>
      <c r="H13" s="32" t="n">
        <f aca="false">-Assumptions!E59</f>
        <v>-2100</v>
      </c>
      <c r="I13" s="32" t="n">
        <f aca="false">-Assumptions!F59</f>
        <v>-2500</v>
      </c>
    </row>
    <row r="14" customFormat="false" ht="15" hidden="false" customHeight="false" outlineLevel="0" collapsed="false">
      <c r="A14" s="7" t="s">
        <v>288</v>
      </c>
      <c r="B14" s="32" t="n">
        <v>-1000</v>
      </c>
      <c r="C14" s="32" t="n">
        <v>-986</v>
      </c>
      <c r="D14" s="32" t="n">
        <v>5863</v>
      </c>
      <c r="E14" s="32" t="n">
        <f aca="false">-Assumptions!B60</f>
        <v>-878</v>
      </c>
      <c r="F14" s="32" t="n">
        <f aca="false">-Assumptions!C60</f>
        <v>-300</v>
      </c>
      <c r="G14" s="32" t="n">
        <f aca="false">-Assumptions!D60</f>
        <v>-500</v>
      </c>
      <c r="H14" s="32" t="n">
        <f aca="false">-Assumptions!E60</f>
        <v>-500</v>
      </c>
      <c r="I14" s="32" t="n">
        <f aca="false">-Assumptions!F60</f>
        <v>-500</v>
      </c>
    </row>
    <row r="15" customFormat="false" ht="15" hidden="false" customHeight="false" outlineLevel="0" collapsed="false">
      <c r="A15" s="7" t="s">
        <v>289</v>
      </c>
      <c r="B15" s="32" t="n">
        <v>-9407</v>
      </c>
      <c r="C15" s="32" t="n">
        <v>9317</v>
      </c>
      <c r="D15" s="32" t="n">
        <v>-9538</v>
      </c>
      <c r="E15" s="32" t="n">
        <v>0</v>
      </c>
      <c r="F15" s="32" t="n">
        <v>0</v>
      </c>
      <c r="G15" s="32" t="n">
        <v>0</v>
      </c>
      <c r="H15" s="32" t="n">
        <v>0</v>
      </c>
      <c r="I15" s="32" t="n">
        <v>0</v>
      </c>
    </row>
    <row r="16" customFormat="false" ht="15" hidden="false" customHeight="false" outlineLevel="0" collapsed="false">
      <c r="A16" s="15" t="s">
        <v>290</v>
      </c>
      <c r="B16" s="33" t="n">
        <f aca="false">B12+B13+B14+B15</f>
        <v>48</v>
      </c>
      <c r="C16" s="33" t="n">
        <f aca="false">C12+C13+C14+C15</f>
        <v>1133</v>
      </c>
      <c r="D16" s="33" t="n">
        <f aca="false">D12+D13+D14+D15</f>
        <v>-8410</v>
      </c>
      <c r="E16" s="33" t="n">
        <f aca="false">E12+E13+E14+E15</f>
        <v>-1013.01</v>
      </c>
      <c r="F16" s="33" t="n">
        <f aca="false">F12+F13+F14+F15</f>
        <v>-331.85</v>
      </c>
      <c r="G16" s="33" t="n">
        <f aca="false">G12+G13+G14+G15</f>
        <v>952</v>
      </c>
      <c r="H16" s="33" t="n">
        <f aca="false">H12+H13+H14+H15</f>
        <v>2324.25</v>
      </c>
      <c r="I16" s="33" t="n">
        <f aca="false">I12+I13+I14+I15</f>
        <v>2783.375</v>
      </c>
    </row>
    <row r="17" customFormat="false" ht="15" hidden="false" customHeight="false" outlineLevel="0" collapsed="false">
      <c r="A17" s="5" t="s">
        <v>291</v>
      </c>
      <c r="B17" s="28" t="n">
        <v>10658</v>
      </c>
      <c r="C17" s="28" t="n">
        <v>4858</v>
      </c>
      <c r="D17" s="28" t="n">
        <v>1761</v>
      </c>
      <c r="E17" s="28" t="n">
        <f aca="false">D17+E16</f>
        <v>747.99</v>
      </c>
      <c r="F17" s="28" t="n">
        <f aca="false">E17+F16</f>
        <v>416.14</v>
      </c>
      <c r="G17" s="28" t="n">
        <f aca="false">F17+G16</f>
        <v>1368.14</v>
      </c>
      <c r="H17" s="28" t="n">
        <f aca="false">G17+H16</f>
        <v>3692.39</v>
      </c>
      <c r="I17" s="28" t="n">
        <f aca="false">H17+I16</f>
        <v>6475.765</v>
      </c>
    </row>
    <row r="19" customFormat="false" ht="15" hidden="false" customHeight="false" outlineLevel="0" collapsed="false">
      <c r="A19" s="34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293</v>
      </c>
    </row>
    <row r="4" customFormat="false" ht="15" hidden="false" customHeight="false" outlineLevel="0" collapsed="false">
      <c r="A4" s="3" t="s">
        <v>219</v>
      </c>
      <c r="B4" s="4" t="s">
        <v>238</v>
      </c>
      <c r="C4" s="4" t="s">
        <v>239</v>
      </c>
      <c r="D4" s="4" t="s">
        <v>240</v>
      </c>
      <c r="E4" s="4" t="s">
        <v>122</v>
      </c>
      <c r="F4" s="4" t="s">
        <v>123</v>
      </c>
      <c r="G4" s="4" t="s">
        <v>124</v>
      </c>
      <c r="H4" s="4" t="s">
        <v>125</v>
      </c>
      <c r="I4" s="4" t="s">
        <v>126</v>
      </c>
    </row>
    <row r="5" customFormat="false" ht="15" hidden="false" customHeight="false" outlineLevel="0" collapsed="false">
      <c r="A5" s="15" t="s">
        <v>294</v>
      </c>
      <c r="B5" s="35" t="n">
        <f aca="false">'Income Statement'!B5</f>
        <v>15580</v>
      </c>
      <c r="C5" s="35" t="n">
        <f aca="false">'Income Statement'!C5</f>
        <v>1055</v>
      </c>
      <c r="D5" s="35" t="n">
        <f aca="false">'Income Statement'!D5</f>
        <v>3135</v>
      </c>
      <c r="E5" s="35" t="n">
        <f aca="false">'Income Statement'!E5</f>
        <v>3070</v>
      </c>
      <c r="F5" s="35" t="n">
        <f aca="false">'Income Statement'!F5</f>
        <v>4600</v>
      </c>
      <c r="G5" s="35" t="n">
        <f aca="false">'Income Statement'!G5</f>
        <v>6200</v>
      </c>
      <c r="H5" s="35" t="n">
        <f aca="false">'Income Statement'!H5</f>
        <v>7400</v>
      </c>
      <c r="I5" s="35" t="n">
        <f aca="false">'Income Statement'!I5</f>
        <v>8300</v>
      </c>
    </row>
    <row r="6" customFormat="false" ht="15" hidden="false" customHeight="false" outlineLevel="0" collapsed="false">
      <c r="A6" s="7" t="s">
        <v>220</v>
      </c>
      <c r="B6" s="29" t="n">
        <f aca="false">'Income Statement'!B10</f>
        <v>10597</v>
      </c>
      <c r="C6" s="29" t="n">
        <f aca="false">'Income Statement'!C10</f>
        <v>978</v>
      </c>
      <c r="D6" s="29" t="n">
        <f aca="false">'Income Statement'!D10</f>
        <v>2741</v>
      </c>
      <c r="E6" s="29" t="n">
        <f aca="false">'Income Statement'!E10</f>
        <v>2331.6</v>
      </c>
      <c r="F6" s="29" t="n">
        <f aca="false">'Income Statement'!F10</f>
        <v>3526</v>
      </c>
      <c r="G6" s="29" t="n">
        <f aca="false">'Income Statement'!G10</f>
        <v>4780</v>
      </c>
      <c r="H6" s="29" t="n">
        <f aca="false">'Income Statement'!H10</f>
        <v>5750</v>
      </c>
      <c r="I6" s="29" t="n">
        <f aca="false">'Income Statement'!I10</f>
        <v>6465</v>
      </c>
    </row>
    <row r="7" customFormat="false" ht="15" hidden="false" customHeight="false" outlineLevel="0" collapsed="false">
      <c r="A7" s="15" t="s">
        <v>252</v>
      </c>
      <c r="B7" s="35" t="n">
        <f aca="false">'Income Statement'!B17</f>
        <v>7809</v>
      </c>
      <c r="C7" s="35" t="n">
        <f aca="false">'Income Statement'!C17</f>
        <v>2560</v>
      </c>
      <c r="D7" s="35" t="n">
        <f aca="false">'Income Statement'!D17</f>
        <v>2705</v>
      </c>
      <c r="E7" s="35" t="n">
        <f aca="false">'Income Statement'!E17</f>
        <v>3511.99</v>
      </c>
      <c r="F7" s="35" t="n">
        <f aca="false">'Income Statement'!F17</f>
        <v>3368.15</v>
      </c>
      <c r="G7" s="35" t="n">
        <f aca="false">'Income Statement'!G17</f>
        <v>4247</v>
      </c>
      <c r="H7" s="35" t="n">
        <f aca="false">'Income Statement'!H17</f>
        <v>5014.25</v>
      </c>
      <c r="I7" s="35" t="n">
        <f aca="false">'Income Statement'!I17</f>
        <v>5568.375</v>
      </c>
    </row>
    <row r="8" customFormat="false" ht="15" hidden="false" customHeight="false" outlineLevel="0" collapsed="false">
      <c r="A8" s="7" t="s">
        <v>253</v>
      </c>
      <c r="B8" s="8" t="n">
        <f aca="false">'Income Statement'!B18</f>
        <v>1.94968616269605</v>
      </c>
      <c r="C8" s="8" t="n">
        <f aca="false">'Income Statement'!C18</f>
        <v>0.639159505250595</v>
      </c>
      <c r="D8" s="8" t="n">
        <f aca="false">'Income Statement'!D18</f>
        <v>0.67536189910268</v>
      </c>
      <c r="E8" s="8" t="n">
        <f aca="false">'Income Statement'!E18</f>
        <v>0.876844449548843</v>
      </c>
      <c r="F8" s="8" t="n">
        <f aca="false">'Income Statement'!F18</f>
        <v>0.840931674847575</v>
      </c>
      <c r="G8" s="8" t="n">
        <f aca="false">'Income Statement'!G18</f>
        <v>1.06035563234347</v>
      </c>
      <c r="H8" s="8" t="n">
        <f aca="false">'Income Statement'!H18</f>
        <v>1.25191623015734</v>
      </c>
      <c r="I8" s="8" t="n">
        <f aca="false">'Income Statement'!I18</f>
        <v>1.3902655508007</v>
      </c>
    </row>
    <row r="9" customFormat="false" ht="15" hidden="false" customHeight="false" outlineLevel="0" collapsed="false">
      <c r="A9" s="7" t="s">
        <v>265</v>
      </c>
      <c r="B9" s="29" t="n">
        <f aca="false">'Balance Sheet'!B12</f>
        <v>15815</v>
      </c>
      <c r="C9" s="29" t="n">
        <f aca="false">'Balance Sheet'!C12</f>
        <v>14380</v>
      </c>
      <c r="D9" s="29" t="n">
        <f aca="false">'Balance Sheet'!D12</f>
        <v>22356</v>
      </c>
      <c r="E9" s="29" t="n">
        <f aca="false">'Balance Sheet'!E12</f>
        <v>23347.99</v>
      </c>
      <c r="F9" s="29" t="n">
        <f aca="false">'Balance Sheet'!F12</f>
        <v>25216.14</v>
      </c>
      <c r="G9" s="29" t="n">
        <f aca="false">'Balance Sheet'!G12</f>
        <v>27363.14</v>
      </c>
      <c r="H9" s="29" t="n">
        <f aca="false">'Balance Sheet'!H12</f>
        <v>29877.39</v>
      </c>
      <c r="I9" s="29" t="n">
        <f aca="false">'Balance Sheet'!I12</f>
        <v>32545.765</v>
      </c>
    </row>
    <row r="10" customFormat="false" ht="15" hidden="false" customHeight="false" outlineLevel="0" collapsed="false">
      <c r="A10" s="7" t="s">
        <v>273</v>
      </c>
      <c r="B10" s="29" t="n">
        <f aca="false">'Balance Sheet'!B20</f>
        <v>8762</v>
      </c>
      <c r="C10" s="29" t="n">
        <f aca="false">'Balance Sheet'!C20</f>
        <v>9403</v>
      </c>
      <c r="D10" s="29" t="n">
        <f aca="false">'Balance Sheet'!D20</f>
        <v>10317</v>
      </c>
      <c r="E10" s="29" t="n">
        <f aca="false">'Balance Sheet'!E20</f>
        <v>12086.99</v>
      </c>
      <c r="F10" s="29" t="n">
        <f aca="false">'Balance Sheet'!F20</f>
        <v>14155.14</v>
      </c>
      <c r="G10" s="29" t="n">
        <f aca="false">'Balance Sheet'!G20</f>
        <v>16702.14</v>
      </c>
      <c r="H10" s="29" t="n">
        <f aca="false">'Balance Sheet'!H20</f>
        <v>19616.39</v>
      </c>
      <c r="I10" s="29" t="n">
        <f aca="false">'Balance Sheet'!I20</f>
        <v>22684.765</v>
      </c>
    </row>
    <row r="11" customFormat="false" ht="15" hidden="false" customHeight="false" outlineLevel="0" collapsed="false">
      <c r="A11" s="7" t="s">
        <v>276</v>
      </c>
      <c r="B11" s="29" t="n">
        <f aca="false">'Balance Sheet'!B23</f>
        <v>9057</v>
      </c>
      <c r="C11" s="29" t="n">
        <f aca="false">'Balance Sheet'!C23</f>
        <v>4243</v>
      </c>
      <c r="D11" s="29" t="n">
        <f aca="false">'Balance Sheet'!D23</f>
        <v>-4717</v>
      </c>
      <c r="E11" s="29" t="n">
        <f aca="false">'Balance Sheet'!E23</f>
        <v>-4852.01</v>
      </c>
      <c r="F11" s="29" t="n">
        <f aca="false">'Balance Sheet'!F23</f>
        <v>-4883.86</v>
      </c>
      <c r="G11" s="29" t="n">
        <f aca="false">'Balance Sheet'!G23</f>
        <v>-3431.86</v>
      </c>
      <c r="H11" s="29" t="n">
        <f aca="false">'Balance Sheet'!H23</f>
        <v>-607.61</v>
      </c>
      <c r="I11" s="29" t="n">
        <f aca="false">'Balance Sheet'!I23</f>
        <v>2675.765</v>
      </c>
    </row>
    <row r="12" customFormat="false" ht="15" hidden="false" customHeight="false" outlineLevel="0" collapsed="false">
      <c r="A12" s="7" t="s">
        <v>284</v>
      </c>
      <c r="B12" s="29" t="n">
        <f aca="false">'Cash Flow'!B10</f>
        <v>10530</v>
      </c>
      <c r="C12" s="29" t="n">
        <f aca="false">'Cash Flow'!C10</f>
        <v>-5407</v>
      </c>
      <c r="D12" s="29" t="n">
        <f aca="false">'Cash Flow'!D10</f>
        <v>-1313</v>
      </c>
      <c r="E12" s="29" t="n">
        <f aca="false">'Cash Flow'!E10</f>
        <v>2606.99</v>
      </c>
      <c r="F12" s="29" t="n">
        <f aca="false">'Cash Flow'!F10</f>
        <v>2768.15</v>
      </c>
      <c r="G12" s="29" t="n">
        <f aca="false">'Cash Flow'!G10</f>
        <v>4652</v>
      </c>
      <c r="H12" s="29" t="n">
        <f aca="false">'Cash Flow'!H10</f>
        <v>5424.25</v>
      </c>
      <c r="I12" s="29" t="n">
        <f aca="false">'Cash Flow'!I10</f>
        <v>5983.375</v>
      </c>
    </row>
    <row r="13" customFormat="false" ht="15" hidden="false" customHeight="false" outlineLevel="0" collapsed="false">
      <c r="A13" s="7" t="s">
        <v>286</v>
      </c>
      <c r="B13" s="29" t="n">
        <f aca="false">'Cash Flow'!B12</f>
        <v>10500</v>
      </c>
      <c r="C13" s="29" t="n">
        <f aca="false">'Cash Flow'!C12</f>
        <v>-5411</v>
      </c>
      <c r="D13" s="29" t="n">
        <f aca="false">'Cash Flow'!D12</f>
        <v>-2993</v>
      </c>
      <c r="E13" s="29" t="n">
        <f aca="false">'Cash Flow'!E12</f>
        <v>1606.99</v>
      </c>
      <c r="F13" s="29" t="n">
        <f aca="false">'Cash Flow'!F12</f>
        <v>1268.15</v>
      </c>
      <c r="G13" s="29" t="n">
        <f aca="false">'Cash Flow'!G12</f>
        <v>3152</v>
      </c>
      <c r="H13" s="29" t="n">
        <f aca="false">'Cash Flow'!H12</f>
        <v>4924.25</v>
      </c>
      <c r="I13" s="29" t="n">
        <f aca="false">'Cash Flow'!I12</f>
        <v>5783.375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2" t="s">
        <v>296</v>
      </c>
    </row>
    <row r="4" customFormat="false" ht="15" hidden="false" customHeight="false" outlineLevel="0" collapsed="false">
      <c r="A4" s="3" t="s">
        <v>297</v>
      </c>
      <c r="B4" s="4" t="s">
        <v>298</v>
      </c>
      <c r="C4" s="4" t="s">
        <v>299</v>
      </c>
      <c r="D4" s="4" t="s">
        <v>300</v>
      </c>
      <c r="E4" s="4" t="s">
        <v>301</v>
      </c>
      <c r="F4" s="4" t="s">
        <v>302</v>
      </c>
    </row>
    <row r="5" customFormat="false" ht="15" hidden="false" customHeight="false" outlineLevel="0" collapsed="false">
      <c r="A5" s="7" t="s">
        <v>303</v>
      </c>
      <c r="B5" s="14" t="n">
        <v>5.37</v>
      </c>
      <c r="C5" s="14" t="n">
        <v>6.09</v>
      </c>
      <c r="D5" s="14" t="n">
        <v>6.54</v>
      </c>
      <c r="E5" s="14" t="n">
        <v>7.01</v>
      </c>
      <c r="F5" s="14" t="n">
        <v>7.89</v>
      </c>
    </row>
    <row r="6" customFormat="false" ht="15" hidden="false" customHeight="false" outlineLevel="0" collapsed="false">
      <c r="A6" s="7" t="s">
        <v>304</v>
      </c>
      <c r="B6" s="14" t="n">
        <v>4.84</v>
      </c>
      <c r="C6" s="14" t="n">
        <v>5.95</v>
      </c>
      <c r="D6" s="14" t="n">
        <v>6.74</v>
      </c>
      <c r="E6" s="14" t="n">
        <v>7.6</v>
      </c>
      <c r="F6" s="14" t="n">
        <v>9.27</v>
      </c>
    </row>
    <row r="8" customFormat="false" ht="15" hidden="false" customHeight="false" outlineLevel="0" collapsed="false">
      <c r="A8" s="3" t="s">
        <v>305</v>
      </c>
      <c r="B8" s="4" t="s">
        <v>208</v>
      </c>
    </row>
    <row r="9" customFormat="false" ht="15" hidden="false" customHeight="false" outlineLevel="0" collapsed="false">
      <c r="A9" s="7" t="s">
        <v>306</v>
      </c>
      <c r="B9" s="8" t="n">
        <f aca="false">Assumptions!B5</f>
        <v>6.43</v>
      </c>
    </row>
    <row r="10" customFormat="false" ht="15" hidden="false" customHeight="false" outlineLevel="0" collapsed="false">
      <c r="A10" s="7" t="s">
        <v>307</v>
      </c>
      <c r="B10" s="10" t="n">
        <f aca="false">Assumptions!B40</f>
        <v>0.382</v>
      </c>
    </row>
    <row r="11" customFormat="false" ht="15" hidden="false" customHeight="false" outlineLevel="0" collapsed="false">
      <c r="A11" s="7" t="s">
        <v>115</v>
      </c>
      <c r="B11" s="10" t="n">
        <f aca="false">Assumptions!B41</f>
        <v>0.434</v>
      </c>
    </row>
    <row r="12" customFormat="false" ht="15" hidden="false" customHeight="false" outlineLevel="0" collapsed="false">
      <c r="A12" s="7" t="s">
        <v>308</v>
      </c>
      <c r="B12" s="10" t="n">
        <f aca="false">Assumptions!B42</f>
        <v>0.04</v>
      </c>
    </row>
    <row r="13" customFormat="false" ht="15" hidden="false" customHeight="false" outlineLevel="0" collapsed="false">
      <c r="A13" s="7" t="s">
        <v>309</v>
      </c>
      <c r="B13" s="10" t="n">
        <f aca="false">Assumptions!B43</f>
        <v>0</v>
      </c>
    </row>
    <row r="15" customFormat="false" ht="15" hidden="false" customHeight="false" outlineLevel="0" collapsed="false">
      <c r="A15" s="3" t="s">
        <v>310</v>
      </c>
      <c r="B15" s="4" t="s">
        <v>311</v>
      </c>
      <c r="C15" s="4" t="s">
        <v>312</v>
      </c>
    </row>
    <row r="16" customFormat="false" ht="15" hidden="false" customHeight="false" outlineLevel="0" collapsed="false">
      <c r="A16" s="9" t="n">
        <v>8</v>
      </c>
      <c r="B16" s="36" t="n">
        <v>0.06</v>
      </c>
      <c r="C16" s="36" t="n">
        <v>0.28</v>
      </c>
    </row>
    <row r="17" customFormat="false" ht="15" hidden="false" customHeight="false" outlineLevel="0" collapsed="false">
      <c r="A17" s="9" t="n">
        <v>7.5</v>
      </c>
      <c r="B17" s="36" t="n">
        <v>0.16</v>
      </c>
      <c r="C17" s="36" t="n">
        <v>0.44</v>
      </c>
    </row>
    <row r="18" customFormat="false" ht="15" hidden="false" customHeight="false" outlineLevel="0" collapsed="false">
      <c r="A18" s="9" t="n">
        <v>7</v>
      </c>
      <c r="B18" s="36" t="n">
        <v>0.39</v>
      </c>
      <c r="C18" s="36" t="n">
        <v>0.67</v>
      </c>
    </row>
    <row r="19" customFormat="false" ht="15" hidden="false" customHeight="false" outlineLevel="0" collapsed="false">
      <c r="A19" s="9" t="n">
        <v>6.75</v>
      </c>
      <c r="B19" s="36" t="n">
        <v>0.59</v>
      </c>
      <c r="C19" s="36" t="n">
        <v>0.79</v>
      </c>
    </row>
    <row r="20" customFormat="false" ht="15" hidden="false" customHeight="false" outlineLevel="0" collapsed="false">
      <c r="A20" s="9" t="n">
        <v>6.1</v>
      </c>
      <c r="B20" s="36" t="n">
        <v>0.46</v>
      </c>
      <c r="C20" s="36" t="n">
        <v>0.63</v>
      </c>
    </row>
    <row r="21" customFormat="false" ht="15" hidden="false" customHeight="false" outlineLevel="0" collapsed="false">
      <c r="A21" s="9" t="n">
        <v>5.75</v>
      </c>
      <c r="B21" s="36" t="n">
        <v>0.21</v>
      </c>
      <c r="C21" s="36" t="n">
        <v>0.41</v>
      </c>
    </row>
    <row r="22" customFormat="false" ht="15" hidden="false" customHeight="false" outlineLevel="0" collapsed="false">
      <c r="A22" s="9" t="n">
        <v>5.4</v>
      </c>
      <c r="B22" s="36" t="n">
        <v>0.09</v>
      </c>
      <c r="C22" s="36" t="n">
        <v>0.25</v>
      </c>
    </row>
    <row r="23" customFormat="false" ht="15" hidden="false" customHeight="false" outlineLevel="0" collapsed="false">
      <c r="A23" s="9" t="n">
        <v>5</v>
      </c>
      <c r="B23" s="36" t="n">
        <v>0.03</v>
      </c>
      <c r="C23" s="36" t="n">
        <v>0.13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313</v>
      </c>
    </row>
    <row r="2" customFormat="false" ht="15" hidden="false" customHeight="false" outlineLevel="0" collapsed="false">
      <c r="A2" s="2" t="s">
        <v>314</v>
      </c>
    </row>
    <row r="4" customFormat="false" ht="15" hidden="false" customHeight="false" outlineLevel="0" collapsed="false">
      <c r="A4" s="3" t="s">
        <v>315</v>
      </c>
      <c r="B4" s="4" t="s">
        <v>316</v>
      </c>
      <c r="C4" s="4" t="s">
        <v>317</v>
      </c>
      <c r="D4" s="4" t="s">
        <v>318</v>
      </c>
      <c r="E4" s="4" t="s">
        <v>319</v>
      </c>
      <c r="F4" s="4" t="s">
        <v>320</v>
      </c>
    </row>
    <row r="5" customFormat="false" ht="15" hidden="false" customHeight="false" outlineLevel="0" collapsed="false">
      <c r="A5" s="37" t="n">
        <v>0.25</v>
      </c>
      <c r="B5" s="9" t="n">
        <f aca="false">((RNAV!$C$13*(1+-0.3*0.86))-Assumptions!$B$24-Assumptions!$B$7)/Assumptions!$B$6*(1-0.25)</f>
        <v>7.33585747242376</v>
      </c>
      <c r="C5" s="9" t="n">
        <f aca="false">((RNAV!$C$13*(1+-0.15*0.86))-Assumptions!$B$24-Assumptions!$B$7)/Assumptions!$B$6*(1-0.25)</f>
        <v>8.85382802864234</v>
      </c>
      <c r="D5" s="9" t="n">
        <f aca="false">((RNAV!$C$13*(1+0*0.86))-Assumptions!$B$24-Assumptions!$B$7)/Assumptions!$B$6*(1-0.25)</f>
        <v>10.3717985848609</v>
      </c>
      <c r="E5" s="9" t="n">
        <f aca="false">((RNAV!$C$13*(1+0.15*0.86))-Assumptions!$B$24-Assumptions!$B$7)/Assumptions!$B$6*(1-0.25)</f>
        <v>11.8897691410795</v>
      </c>
      <c r="F5" s="9" t="n">
        <f aca="false">((RNAV!$C$13*(1+0.3*0.86))-Assumptions!$B$24-Assumptions!$B$7)/Assumptions!$B$6*(1-0.25)</f>
        <v>13.4077396972981</v>
      </c>
    </row>
    <row r="6" customFormat="false" ht="15" hidden="false" customHeight="false" outlineLevel="0" collapsed="false">
      <c r="A6" s="37" t="n">
        <v>0.3</v>
      </c>
      <c r="B6" s="9" t="n">
        <f aca="false">((RNAV!$C$13*(1+-0.3*0.86))-Assumptions!$B$24-Assumptions!$B$7)/Assumptions!$B$6*(1-0.3)</f>
        <v>6.84680030759551</v>
      </c>
      <c r="C6" s="9" t="n">
        <f aca="false">((RNAV!$C$13*(1+-0.15*0.86))-Assumptions!$B$24-Assumptions!$B$7)/Assumptions!$B$6*(1-0.3)</f>
        <v>8.26357282673285</v>
      </c>
      <c r="D6" s="9" t="n">
        <f aca="false">((RNAV!$C$13*(1+0*0.86))-Assumptions!$B$24-Assumptions!$B$7)/Assumptions!$B$6*(1-0.3)</f>
        <v>9.68034534587018</v>
      </c>
      <c r="E6" s="9" t="n">
        <f aca="false">((RNAV!$C$13*(1+0.15*0.86))-Assumptions!$B$24-Assumptions!$B$7)/Assumptions!$B$6*(1-0.3)</f>
        <v>11.0971178650075</v>
      </c>
      <c r="F6" s="9" t="n">
        <f aca="false">((RNAV!$C$13*(1+0.3*0.86))-Assumptions!$B$24-Assumptions!$B$7)/Assumptions!$B$6*(1-0.3)</f>
        <v>12.5138903841448</v>
      </c>
    </row>
    <row r="7" customFormat="false" ht="15" hidden="false" customHeight="false" outlineLevel="0" collapsed="false">
      <c r="A7" s="37" t="n">
        <v>0.35</v>
      </c>
      <c r="B7" s="9" t="n">
        <f aca="false">((RNAV!$C$13*(1+-0.3*0.86))-Assumptions!$B$24-Assumptions!$B$7)/Assumptions!$B$6*(1-0.35)</f>
        <v>6.35774314276726</v>
      </c>
      <c r="C7" s="9" t="n">
        <f aca="false">((RNAV!$C$13*(1+-0.15*0.86))-Assumptions!$B$24-Assumptions!$B$7)/Assumptions!$B$6*(1-0.35)</f>
        <v>7.67331762482336</v>
      </c>
      <c r="D7" s="9" t="n">
        <f aca="false">((RNAV!$C$13*(1+0*0.86))-Assumptions!$B$24-Assumptions!$B$7)/Assumptions!$B$6*(1-0.35)</f>
        <v>8.98889210687945</v>
      </c>
      <c r="E7" s="9" t="n">
        <f aca="false">((RNAV!$C$13*(1+0.15*0.86))-Assumptions!$B$24-Assumptions!$B$7)/Assumptions!$B$6*(1-0.35)</f>
        <v>10.3044665889355</v>
      </c>
      <c r="F7" s="9" t="n">
        <f aca="false">((RNAV!$C$13*(1+0.3*0.86))-Assumptions!$B$24-Assumptions!$B$7)/Assumptions!$B$6*(1-0.35)</f>
        <v>11.6200410709916</v>
      </c>
    </row>
    <row r="8" customFormat="false" ht="15" hidden="false" customHeight="false" outlineLevel="0" collapsed="false">
      <c r="A8" s="37" t="n">
        <v>0.4</v>
      </c>
      <c r="B8" s="9" t="n">
        <f aca="false">((RNAV!$C$13*(1+-0.3*0.86))-Assumptions!$B$24-Assumptions!$B$7)/Assumptions!$B$6*(1-0.4)</f>
        <v>5.86868597793901</v>
      </c>
      <c r="C8" s="9" t="n">
        <f aca="false">((RNAV!$C$13*(1+-0.15*0.86))-Assumptions!$B$24-Assumptions!$B$7)/Assumptions!$B$6*(1-0.4)</f>
        <v>7.08306242291387</v>
      </c>
      <c r="D8" s="13" t="n">
        <f aca="false">((RNAV!$C$13*(1+0*0.86))-Assumptions!$B$24-Assumptions!$B$7)/Assumptions!$B$6*(1-0.4)</f>
        <v>8.29743886788873</v>
      </c>
      <c r="E8" s="9" t="n">
        <f aca="false">((RNAV!$C$13*(1+0.15*0.86))-Assumptions!$B$24-Assumptions!$B$7)/Assumptions!$B$6*(1-0.4)</f>
        <v>9.51181531286358</v>
      </c>
      <c r="F8" s="9" t="n">
        <f aca="false">((RNAV!$C$13*(1+0.3*0.86))-Assumptions!$B$24-Assumptions!$B$7)/Assumptions!$B$6*(1-0.4)</f>
        <v>10.7261917578384</v>
      </c>
    </row>
    <row r="9" customFormat="false" ht="15" hidden="false" customHeight="false" outlineLevel="0" collapsed="false">
      <c r="A9" s="37" t="n">
        <v>0.45</v>
      </c>
      <c r="B9" s="9" t="n">
        <f aca="false">((RNAV!$C$13*(1+-0.3*0.86))-Assumptions!$B$24-Assumptions!$B$7)/Assumptions!$B$6*(1-0.45)</f>
        <v>5.37962881311076</v>
      </c>
      <c r="C9" s="9" t="n">
        <f aca="false">((RNAV!$C$13*(1+-0.15*0.86))-Assumptions!$B$24-Assumptions!$B$7)/Assumptions!$B$6*(1-0.45)</f>
        <v>6.49280722100438</v>
      </c>
      <c r="D9" s="9" t="n">
        <f aca="false">((RNAV!$C$13*(1+0*0.86))-Assumptions!$B$24-Assumptions!$B$7)/Assumptions!$B$6*(1-0.45)</f>
        <v>7.605985628898</v>
      </c>
      <c r="E9" s="9" t="n">
        <f aca="false">((RNAV!$C$13*(1+0.15*0.86))-Assumptions!$B$24-Assumptions!$B$7)/Assumptions!$B$6*(1-0.45)</f>
        <v>8.71916403679162</v>
      </c>
      <c r="F9" s="9" t="n">
        <f aca="false">((RNAV!$C$13*(1+0.3*0.86))-Assumptions!$B$24-Assumptions!$B$7)/Assumptions!$B$6*(1-0.45)</f>
        <v>9.83234244468524</v>
      </c>
    </row>
    <row r="10" customFormat="false" ht="15" hidden="false" customHeight="false" outlineLevel="0" collapsed="false">
      <c r="A10" s="37" t="n">
        <v>0.5</v>
      </c>
      <c r="B10" s="9" t="n">
        <f aca="false">((RNAV!$C$13*(1+-0.3*0.86))-Assumptions!$B$24-Assumptions!$B$7)/Assumptions!$B$6*(1-0.5)</f>
        <v>4.89057164828251</v>
      </c>
      <c r="C10" s="9" t="n">
        <f aca="false">((RNAV!$C$13*(1+-0.15*0.86))-Assumptions!$B$24-Assumptions!$B$7)/Assumptions!$B$6*(1-0.5)</f>
        <v>5.90255201909489</v>
      </c>
      <c r="D10" s="9" t="n">
        <f aca="false">((RNAV!$C$13*(1+0*0.86))-Assumptions!$B$24-Assumptions!$B$7)/Assumptions!$B$6*(1-0.5)</f>
        <v>6.91453238990727</v>
      </c>
      <c r="E10" s="9" t="n">
        <f aca="false">((RNAV!$C$13*(1+0.15*0.86))-Assumptions!$B$24-Assumptions!$B$7)/Assumptions!$B$6*(1-0.5)</f>
        <v>7.92651276071965</v>
      </c>
      <c r="F10" s="9" t="n">
        <f aca="false">((RNAV!$C$13*(1+0.3*0.86))-Assumptions!$B$24-Assumptions!$B$7)/Assumptions!$B$6*(1-0.5)</f>
        <v>8.93849313153203</v>
      </c>
    </row>
    <row r="11" customFormat="false" ht="15" hidden="false" customHeight="false" outlineLevel="0" collapsed="false">
      <c r="A11" s="37" t="n">
        <v>0.55</v>
      </c>
      <c r="B11" s="9" t="n">
        <f aca="false">((RNAV!$C$13*(1+-0.3*0.86))-Assumptions!$B$24-Assumptions!$B$7)/Assumptions!$B$6*(1-0.55)</f>
        <v>4.40151448345426</v>
      </c>
      <c r="C11" s="9" t="n">
        <f aca="false">((RNAV!$C$13*(1+-0.15*0.86))-Assumptions!$B$24-Assumptions!$B$7)/Assumptions!$B$6*(1-0.55)</f>
        <v>5.3122968171854</v>
      </c>
      <c r="D11" s="9" t="n">
        <f aca="false">((RNAV!$C$13*(1+0*0.86))-Assumptions!$B$24-Assumptions!$B$7)/Assumptions!$B$6*(1-0.55)</f>
        <v>6.22307915091654</v>
      </c>
      <c r="E11" s="9" t="n">
        <f aca="false">((RNAV!$C$13*(1+0.15*0.86))-Assumptions!$B$24-Assumptions!$B$7)/Assumptions!$B$6*(1-0.55)</f>
        <v>7.13386148464769</v>
      </c>
      <c r="F11" s="9" t="n">
        <f aca="false">((RNAV!$C$13*(1+0.3*0.86))-Assumptions!$B$24-Assumptions!$B$7)/Assumptions!$B$6*(1-0.55)</f>
        <v>8.04464381837883</v>
      </c>
    </row>
    <row r="13" customFormat="false" ht="15" hidden="false" customHeight="false" outlineLevel="0" collapsed="false">
      <c r="A13" s="38" t="s">
        <v>321</v>
      </c>
    </row>
    <row r="14" customFormat="false" ht="15" hidden="false" customHeight="false" outlineLevel="0" collapsed="false">
      <c r="A14" s="3" t="s">
        <v>322</v>
      </c>
      <c r="B14" s="4" t="s">
        <v>323</v>
      </c>
      <c r="C14" s="4" t="s">
        <v>324</v>
      </c>
      <c r="D14" s="4" t="s">
        <v>325</v>
      </c>
      <c r="E14" s="4" t="s">
        <v>326</v>
      </c>
      <c r="F14" s="4" t="s">
        <v>327</v>
      </c>
    </row>
    <row r="15" customFormat="false" ht="15" hidden="false" customHeight="false" outlineLevel="0" collapsed="false">
      <c r="A15" s="37" t="n">
        <v>0.18</v>
      </c>
      <c r="B15" s="9" t="n">
        <f aca="false">(SUMPRODUCT(DCF!$B$12:$F$12,1/(1+0.18)^{1,2,3,4,5})+DCF!$F$12*(1+0.1)/(0.18-0.1)/(1+0.18)^5-Assumptions!$B$7)/Assumptions!$B$6</f>
        <v>9.61927332192173</v>
      </c>
      <c r="C15" s="9" t="n">
        <f aca="false">(SUMPRODUCT(DCF!$B$12:$F$12,1/(1+0.18)^{1,2,3,4,5})+DCF!$F$12*(1+0.11)/(0.18-0.11)/(1+0.18)^5-Assumptions!$B$7)/Assumptions!$B$6</f>
        <v>10.9100128220766</v>
      </c>
      <c r="D15" s="9" t="n">
        <f aca="false">(SUMPRODUCT(DCF!$B$12:$F$12,1/(1+0.18)^{1,2,3,4,5})+DCF!$F$12*(1+0.12)/(0.18-0.12)/(1+0.18)^5-Assumptions!$B$7)/Assumptions!$B$6</f>
        <v>12.630998822283</v>
      </c>
      <c r="E15" s="9" t="n">
        <f aca="false">(SUMPRODUCT(DCF!$B$12:$F$12,1/(1+0.18)^{1,2,3,4,5})+DCF!$F$12*(1+0.13)/(0.18-0.13)/(1+0.18)^5-Assumptions!$B$7)/Assumptions!$B$6</f>
        <v>15.040379222572</v>
      </c>
      <c r="F15" s="9" t="n">
        <f aca="false">(SUMPRODUCT(DCF!$B$12:$F$12,1/(1+0.18)^{1,2,3,4,5})+DCF!$F$12*(1+0.14)/(0.18-0.14)/(1+0.18)^5-Assumptions!$B$7)/Assumptions!$B$6</f>
        <v>18.6544498230055</v>
      </c>
    </row>
    <row r="16" customFormat="false" ht="15" hidden="false" customHeight="false" outlineLevel="0" collapsed="false">
      <c r="A16" s="37" t="n">
        <v>0.19</v>
      </c>
      <c r="B16" s="9" t="n">
        <f aca="false">(SUMPRODUCT(DCF!$B$12:$F$12,1/(1+0.19)^{1,2,3,4,5})+DCF!$F$12*(1+0.1)/(0.19-0.1)/(1+0.19)^5-Assumptions!$B$7)/Assumptions!$B$6</f>
        <v>8.30714758896913</v>
      </c>
      <c r="C16" s="9" t="n">
        <f aca="false">(SUMPRODUCT(DCF!$B$12:$F$12,1/(1+0.19)^{1,2,3,4,5})+DCF!$F$12*(1+0.11)/(0.19-0.11)/(1+0.19)^5-Assumptions!$B$7)/Assumptions!$B$6</f>
        <v>9.27773424254003</v>
      </c>
      <c r="D16" s="9" t="n">
        <f aca="false">(SUMPRODUCT(DCF!$B$12:$F$12,1/(1+0.19)^{1,2,3,4,5})+DCF!$F$12*(1+0.12)/(0.19-0.12)/(1+0.19)^5-Assumptions!$B$7)/Assumptions!$B$6</f>
        <v>10.5256313685598</v>
      </c>
      <c r="E16" s="9" t="n">
        <f aca="false">(SUMPRODUCT(DCF!$B$12:$F$12,1/(1+0.19)^{1,2,3,4,5})+DCF!$F$12*(1+0.13)/(0.19-0.13)/(1+0.19)^5-Assumptions!$B$7)/Assumptions!$B$6</f>
        <v>12.1894942032527</v>
      </c>
      <c r="F16" s="9" t="n">
        <f aca="false">(SUMPRODUCT(DCF!$B$12:$F$12,1/(1+0.19)^{1,2,3,4,5})+DCF!$F$12*(1+0.14)/(0.19-0.14)/(1+0.19)^5-Assumptions!$B$7)/Assumptions!$B$6</f>
        <v>14.5189021718229</v>
      </c>
    </row>
    <row r="17" customFormat="false" ht="15" hidden="false" customHeight="false" outlineLevel="0" collapsed="false">
      <c r="A17" s="37" t="n">
        <v>0.205</v>
      </c>
      <c r="B17" s="9" t="n">
        <f aca="false">(SUMPRODUCT(DCF!$B$12:$F$12,1/(1+0.205)^{1,2,3,4,5})+DCF!$F$12*(1+0.1)/(0.205-0.1)/(1+0.205)^5-Assumptions!$B$7)/Assumptions!$B$6</f>
        <v>6.81288940719092</v>
      </c>
      <c r="C17" s="9" t="n">
        <f aca="false">(SUMPRODUCT(DCF!$B$12:$F$12,1/(1+0.205)^{1,2,3,4,5})+DCF!$F$12*(1+0.11)/(0.205-0.11)/(1+0.205)^5-Assumptions!$B$7)/Assumptions!$B$6</f>
        <v>7.47922584851938</v>
      </c>
      <c r="D17" s="13" t="n">
        <f aca="false">(SUMPRODUCT(DCF!$B$12:$F$12,1/(1+0.205)^{1,2,3,4,5})+DCF!$F$12*(1+0.12)/(0.205-0.12)/(1+0.205)^5-Assumptions!$B$7)/Assumptions!$B$6</f>
        <v>8.3023473348663</v>
      </c>
      <c r="E17" s="9" t="n">
        <f aca="false">(SUMPRODUCT(DCF!$B$12:$F$12,1/(1+0.205)^{1,2,3,4,5})+DCF!$F$12*(1+0.13)/(0.205-0.13)/(1+0.205)^5-Assumptions!$B$7)/Assumptions!$B$6</f>
        <v>9.34496788423907</v>
      </c>
      <c r="F17" s="9" t="n">
        <f aca="false">(SUMPRODUCT(DCF!$B$12:$F$12,1/(1+0.205)^{1,2,3,4,5})+DCF!$F$12*(1+0.14)/(0.205-0.14)/(1+0.205)^5-Assumptions!$B$7)/Assumptions!$B$6</f>
        <v>10.7083947564958</v>
      </c>
    </row>
    <row r="18" customFormat="false" ht="15" hidden="false" customHeight="false" outlineLevel="0" collapsed="false">
      <c r="A18" s="37" t="n">
        <v>0.22</v>
      </c>
      <c r="B18" s="9" t="n">
        <f aca="false">(SUMPRODUCT(DCF!$B$12:$F$12,1/(1+0.22)^{1,2,3,4,5})+DCF!$F$12*(1+0.1)/(0.22-0.1)/(1+0.22)^5-Assumptions!$B$7)/Assumptions!$B$6</f>
        <v>5.69748384515473</v>
      </c>
      <c r="C18" s="9" t="n">
        <f aca="false">(SUMPRODUCT(DCF!$B$12:$F$12,1/(1+0.22)^{1,2,3,4,5})+DCF!$F$12*(1+0.11)/(0.22-0.11)/(1+0.22)^5-Assumptions!$B$7)/Assumptions!$B$6</f>
        <v>6.17671098269251</v>
      </c>
      <c r="D18" s="9" t="n">
        <f aca="false">(SUMPRODUCT(DCF!$B$12:$F$12,1/(1+0.22)^{1,2,3,4,5})+DCF!$F$12*(1+0.12)/(0.22-0.12)/(1+0.22)^5-Assumptions!$B$7)/Assumptions!$B$6</f>
        <v>6.75178354773784</v>
      </c>
      <c r="E18" s="9" t="n">
        <f aca="false">(SUMPRODUCT(DCF!$B$12:$F$12,1/(1+0.22)^{1,2,3,4,5})+DCF!$F$12*(1+0.13)/(0.22-0.13)/(1+0.22)^5-Assumptions!$B$7)/Assumptions!$B$6</f>
        <v>7.45465001612659</v>
      </c>
      <c r="F18" s="9" t="n">
        <f aca="false">(SUMPRODUCT(DCF!$B$12:$F$12,1/(1+0.22)^{1,2,3,4,5})+DCF!$F$12*(1+0.14)/(0.22-0.14)/(1+0.22)^5-Assumptions!$B$7)/Assumptions!$B$6</f>
        <v>8.33323310161252</v>
      </c>
    </row>
    <row r="19" customFormat="false" ht="15" hidden="false" customHeight="false" outlineLevel="0" collapsed="false">
      <c r="A19" s="37" t="n">
        <v>0.235</v>
      </c>
      <c r="B19" s="9" t="n">
        <f aca="false">(SUMPRODUCT(DCF!$B$12:$F$12,1/(1+0.235)^{1,2,3,4,5})+DCF!$F$12*(1+0.1)/(0.235-0.1)/(1+0.235)^5-Assumptions!$B$7)/Assumptions!$B$6</f>
        <v>4.83437390018962</v>
      </c>
      <c r="C19" s="9" t="n">
        <f aca="false">(SUMPRODUCT(DCF!$B$12:$F$12,1/(1+0.235)^{1,2,3,4,5})+DCF!$F$12*(1+0.11)/(0.235-0.11)/(1+0.235)^5-Assumptions!$B$7)/Assumptions!$B$6</f>
        <v>5.19135320972419</v>
      </c>
      <c r="D19" s="9" t="n">
        <f aca="false">(SUMPRODUCT(DCF!$B$12:$F$12,1/(1+0.235)^{1,2,3,4,5})+DCF!$F$12*(1+0.12)/(0.235-0.12)/(1+0.235)^5-Assumptions!$B$7)/Assumptions!$B$6</f>
        <v>5.61041587743869</v>
      </c>
      <c r="E19" s="9" t="n">
        <f aca="false">(SUMPRODUCT(DCF!$B$12:$F$12,1/(1+0.235)^{1,2,3,4,5})+DCF!$F$12*(1+0.13)/(0.235-0.13)/(1+0.235)^5-Assumptions!$B$7)/Assumptions!$B$6</f>
        <v>6.10930000567024</v>
      </c>
      <c r="F19" s="9" t="n">
        <f aca="false">(SUMPRODUCT(DCF!$B$12:$F$12,1/(1+0.235)^{1,2,3,4,5})+DCF!$F$12*(1+0.14)/(0.235-0.14)/(1+0.235)^5-Assumptions!$B$7)/Assumptions!$B$6</f>
        <v>6.71321237142422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328</v>
      </c>
    </row>
    <row r="4" customFormat="false" ht="15" hidden="false" customHeight="false" outlineLevel="0" collapsed="false">
      <c r="A4" s="3" t="s">
        <v>329</v>
      </c>
      <c r="B4" s="4" t="s">
        <v>238</v>
      </c>
      <c r="C4" s="4" t="s">
        <v>239</v>
      </c>
      <c r="D4" s="4" t="s">
        <v>240</v>
      </c>
      <c r="E4" s="4" t="s">
        <v>122</v>
      </c>
      <c r="F4" s="4" t="s">
        <v>123</v>
      </c>
      <c r="G4" s="4" t="s">
        <v>124</v>
      </c>
      <c r="H4" s="4" t="s">
        <v>125</v>
      </c>
      <c r="I4" s="4" t="s">
        <v>126</v>
      </c>
    </row>
    <row r="5" customFormat="false" ht="15" hidden="false" customHeight="false" outlineLevel="0" collapsed="false">
      <c r="A5" s="7" t="s">
        <v>253</v>
      </c>
      <c r="B5" s="8" t="n">
        <f aca="false">'Income Statement'!B18</f>
        <v>1.94968616269605</v>
      </c>
      <c r="C5" s="8" t="n">
        <f aca="false">'Income Statement'!C18</f>
        <v>0.639159505250595</v>
      </c>
      <c r="D5" s="8" t="n">
        <f aca="false">'Income Statement'!D18</f>
        <v>0.67536189910268</v>
      </c>
      <c r="E5" s="8" t="n">
        <f aca="false">'Income Statement'!E18</f>
        <v>0.876844449548843</v>
      </c>
      <c r="F5" s="8" t="n">
        <f aca="false">'Income Statement'!F18</f>
        <v>0.840931674847575</v>
      </c>
      <c r="G5" s="8" t="n">
        <f aca="false">'Income Statement'!G18</f>
        <v>1.06035563234347</v>
      </c>
      <c r="H5" s="8" t="n">
        <f aca="false">'Income Statement'!H18</f>
        <v>1.25191623015734</v>
      </c>
      <c r="I5" s="8" t="n">
        <f aca="false">'Income Statement'!I18</f>
        <v>1.3902655508007</v>
      </c>
    </row>
    <row r="6" customFormat="false" ht="15" hidden="false" customHeight="false" outlineLevel="0" collapsed="false">
      <c r="A6" s="7" t="s">
        <v>330</v>
      </c>
      <c r="B6" s="8" t="n">
        <f aca="false">'Balance Sheet'!B24</f>
        <v>2.18762327539286</v>
      </c>
      <c r="C6" s="8" t="n">
        <f aca="false">'Balance Sheet'!C24</f>
        <v>2.34766282338725</v>
      </c>
      <c r="D6" s="8" t="n">
        <f aca="false">'Balance Sheet'!D24</f>
        <v>2.57586274049625</v>
      </c>
      <c r="E6" s="8" t="n">
        <f aca="false">'Balance Sheet'!E24</f>
        <v>3.0177791204566</v>
      </c>
      <c r="F6" s="8" t="n">
        <f aca="false">'Balance Sheet'!F24</f>
        <v>3.53413760904411</v>
      </c>
      <c r="G6" s="8" t="n">
        <f aca="false">'Balance Sheet'!G24</f>
        <v>4.1700513824321</v>
      </c>
      <c r="H6" s="8" t="n">
        <f aca="false">'Balance Sheet'!H24</f>
        <v>4.89765708093857</v>
      </c>
      <c r="I6" s="8" t="n">
        <f aca="false">'Balance Sheet'!I24</f>
        <v>5.66374342739298</v>
      </c>
    </row>
    <row r="7" customFormat="false" ht="15" hidden="false" customHeight="false" outlineLevel="0" collapsed="false">
      <c r="A7" s="7" t="s">
        <v>331</v>
      </c>
      <c r="B7" s="14" t="n">
        <v>0.446</v>
      </c>
      <c r="C7" s="14" t="n">
        <v>0.435</v>
      </c>
      <c r="D7" s="14" t="n">
        <v>0.435</v>
      </c>
      <c r="E7" s="14" t="n">
        <f aca="false">Assumptions!C59/Assumptions!$B$6</f>
        <v>0.324573186260068</v>
      </c>
      <c r="F7" s="14" t="n">
        <f aca="false">Assumptions!D59/Assumptions!$B$6</f>
        <v>0.424441858955474</v>
      </c>
      <c r="G7" s="14" t="n">
        <f aca="false">Assumptions!E59/Assumptions!$B$6</f>
        <v>0.524310531650879</v>
      </c>
      <c r="H7" s="14" t="n">
        <f aca="false">Assumptions!F59/Assumptions!$B$6</f>
        <v>0.624179204346285</v>
      </c>
      <c r="I7" s="14"/>
    </row>
    <row r="8" customFormat="false" ht="15" hidden="false" customHeight="false" outlineLevel="0" collapsed="false">
      <c r="A8" s="7" t="s">
        <v>332</v>
      </c>
      <c r="B8" s="39" t="n">
        <f aca="false">'Income Statement'!B17/'Balance Sheet'!B20</f>
        <v>0.891234877881762</v>
      </c>
      <c r="C8" s="39" t="n">
        <f aca="false">'Income Statement'!C17/'Balance Sheet'!C20</f>
        <v>0.272253536105498</v>
      </c>
      <c r="D8" s="39" t="n">
        <f aca="false">'Income Statement'!D17/'Balance Sheet'!D20</f>
        <v>0.262188620723078</v>
      </c>
      <c r="E8" s="39" t="n">
        <f aca="false">'Income Statement'!E17/'Balance Sheet'!E20</f>
        <v>0.29055951895385</v>
      </c>
      <c r="F8" s="39" t="n">
        <f aca="false">'Income Statement'!F17/'Balance Sheet'!F20</f>
        <v>0.237945368254924</v>
      </c>
      <c r="G8" s="39" t="n">
        <f aca="false">'Income Statement'!G17/'Balance Sheet'!G20</f>
        <v>0.254278793016943</v>
      </c>
      <c r="H8" s="39" t="n">
        <f aca="false">'Income Statement'!H17/'Balance Sheet'!H20</f>
        <v>0.255615329833879</v>
      </c>
      <c r="I8" s="39" t="n">
        <f aca="false">'Income Statement'!I17/'Balance Sheet'!I20</f>
        <v>0.245467607885733</v>
      </c>
    </row>
    <row r="9" customFormat="false" ht="15" hidden="false" customHeight="false" outlineLevel="0" collapsed="false">
      <c r="A9" s="7" t="s">
        <v>333</v>
      </c>
      <c r="B9" s="39" t="n">
        <f aca="false">'Income Statement'!B17/'Income Statement'!B5</f>
        <v>0.501219512195122</v>
      </c>
      <c r="C9" s="39" t="n">
        <f aca="false">'Income Statement'!C17/'Income Statement'!C5</f>
        <v>2.42654028436019</v>
      </c>
      <c r="D9" s="39" t="n">
        <f aca="false">'Income Statement'!D17/'Income Statement'!D5</f>
        <v>0.862838915470494</v>
      </c>
      <c r="E9" s="39" t="n">
        <f aca="false">'Income Statement'!E17/'Income Statement'!E5</f>
        <v>1.14397068403909</v>
      </c>
      <c r="F9" s="39" t="n">
        <f aca="false">'Income Statement'!F17/'Income Statement'!F5</f>
        <v>0.732206521739131</v>
      </c>
      <c r="G9" s="39" t="n">
        <f aca="false">'Income Statement'!G17/'Income Statement'!G5</f>
        <v>0.685</v>
      </c>
      <c r="H9" s="39" t="n">
        <f aca="false">'Income Statement'!H17/'Income Statement'!H5</f>
        <v>0.677601351351351</v>
      </c>
      <c r="I9" s="39" t="n">
        <f aca="false">'Income Statement'!I17/'Income Statement'!I5</f>
        <v>0.670888554216867</v>
      </c>
    </row>
    <row r="10" customFormat="false" ht="15" hidden="false" customHeight="false" outlineLevel="0" collapsed="false">
      <c r="A10" s="7" t="s">
        <v>334</v>
      </c>
      <c r="B10" s="30" t="n">
        <f aca="false">Assumptions!$B$5/'Income Statement'!B18</f>
        <v>3.2979666794724</v>
      </c>
      <c r="C10" s="30" t="n">
        <f aca="false">Assumptions!$B$5/'Income Statement'!C18</f>
        <v>10.060086640625</v>
      </c>
      <c r="D10" s="30" t="n">
        <f aca="false">Assumptions!$B$5/'Income Statement'!D18</f>
        <v>9.52082136783734</v>
      </c>
      <c r="E10" s="30" t="n">
        <f aca="false">Assumptions!$B$5/'Income Statement'!E18</f>
        <v>7.3331136478179</v>
      </c>
      <c r="F10" s="30" t="n">
        <f aca="false">Assumptions!$B$5/'Income Statement'!F18</f>
        <v>7.64628113355997</v>
      </c>
      <c r="G10" s="30" t="n">
        <f aca="false">Assumptions!$B$5/'Income Statement'!G18</f>
        <v>6.06400324935249</v>
      </c>
      <c r="H10" s="30" t="n">
        <f aca="false">Assumptions!$B$5/'Income Statement'!H18</f>
        <v>5.13612639976068</v>
      </c>
      <c r="I10" s="30" t="n">
        <f aca="false">Assumptions!$B$5/'Income Statement'!I18</f>
        <v>4.62501570027162</v>
      </c>
    </row>
    <row r="11" customFormat="false" ht="15" hidden="false" customHeight="false" outlineLevel="0" collapsed="false">
      <c r="A11" s="7" t="s">
        <v>335</v>
      </c>
      <c r="B11" s="30" t="n">
        <f aca="false">Assumptions!$B$5/'Balance Sheet'!B24</f>
        <v>2.93926293083771</v>
      </c>
      <c r="C11" s="30" t="n">
        <f aca="false">Assumptions!$B$5/'Balance Sheet'!C24</f>
        <v>2.73889416143784</v>
      </c>
      <c r="D11" s="30" t="n">
        <f aca="false">Assumptions!$B$5/'Balance Sheet'!D24</f>
        <v>2.49625102258408</v>
      </c>
      <c r="E11" s="30" t="n">
        <f aca="false">Assumptions!$B$5/'Balance Sheet'!E24</f>
        <v>2.13070597394389</v>
      </c>
      <c r="F11" s="30" t="n">
        <f aca="false">Assumptions!$B$5/'Balance Sheet'!F24</f>
        <v>1.8193971801056</v>
      </c>
      <c r="G11" s="30" t="n">
        <f aca="false">Assumptions!$B$5/'Balance Sheet'!G24</f>
        <v>1.54194742709617</v>
      </c>
      <c r="H11" s="30" t="n">
        <f aca="false">Assumptions!$B$5/'Balance Sheet'!H24</f>
        <v>1.31287264374332</v>
      </c>
      <c r="I11" s="30" t="n">
        <f aca="false">Assumptions!$B$5/'Balance Sheet'!I24</f>
        <v>1.13529154037963</v>
      </c>
    </row>
    <row r="12" customFormat="false" ht="15" hidden="false" customHeight="false" outlineLevel="0" collapsed="false">
      <c r="A12" s="7" t="s">
        <v>336</v>
      </c>
      <c r="B12" s="39" t="n">
        <v>0.0693623639191291</v>
      </c>
      <c r="C12" s="39" t="n">
        <v>0.067651632970451</v>
      </c>
      <c r="D12" s="39" t="n">
        <v>0.067651632970451</v>
      </c>
      <c r="E12" s="39"/>
      <c r="F12" s="39"/>
      <c r="G12" s="39"/>
      <c r="H12" s="39"/>
      <c r="I12" s="3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3"/>
    <col collapsed="false" customWidth="true" hidden="false" outlineLevel="0" max="4" min="4" style="0" width="52"/>
    <col collapsed="false" customWidth="true" hidden="false" outlineLevel="0" max="10" min="5" style="0" width="13"/>
  </cols>
  <sheetData>
    <row r="1" customFormat="false" ht="16.15" hidden="false" customHeight="false" outlineLevel="0" collapsed="false">
      <c r="A1" s="1" t="s">
        <v>337</v>
      </c>
    </row>
    <row r="2" customFormat="false" ht="15" hidden="false" customHeight="false" outlineLevel="0" collapsed="false">
      <c r="A2" s="2" t="s">
        <v>338</v>
      </c>
    </row>
    <row r="4" customFormat="false" ht="15" hidden="false" customHeight="false" outlineLevel="0" collapsed="false">
      <c r="A4" s="3" t="s">
        <v>339</v>
      </c>
      <c r="B4" s="4" t="s">
        <v>340</v>
      </c>
      <c r="C4" s="4" t="s">
        <v>341</v>
      </c>
      <c r="D4" s="4" t="s">
        <v>342</v>
      </c>
    </row>
    <row r="5" customFormat="false" ht="15" hidden="false" customHeight="false" outlineLevel="0" collapsed="false">
      <c r="A5" s="7" t="s">
        <v>343</v>
      </c>
      <c r="B5" s="7" t="s">
        <v>344</v>
      </c>
      <c r="C5" s="9" t="n">
        <v>70.1</v>
      </c>
      <c r="D5" s="7" t="s">
        <v>345</v>
      </c>
    </row>
    <row r="6" customFormat="false" ht="15" hidden="false" customHeight="false" outlineLevel="0" collapsed="false">
      <c r="A6" s="7" t="s">
        <v>346</v>
      </c>
      <c r="B6" s="7" t="s">
        <v>347</v>
      </c>
      <c r="C6" s="9" t="n">
        <v>9.62</v>
      </c>
      <c r="D6" s="7" t="s">
        <v>348</v>
      </c>
    </row>
    <row r="7" customFormat="false" ht="15" hidden="false" customHeight="false" outlineLevel="0" collapsed="false">
      <c r="A7" s="7" t="s">
        <v>349</v>
      </c>
      <c r="B7" s="7" t="s">
        <v>350</v>
      </c>
      <c r="C7" s="9" t="n">
        <v>20.61</v>
      </c>
      <c r="D7" s="7" t="s">
        <v>351</v>
      </c>
    </row>
    <row r="8" customFormat="false" ht="15" hidden="false" customHeight="false" outlineLevel="0" collapsed="false">
      <c r="A8" s="7" t="s">
        <v>352</v>
      </c>
      <c r="B8" s="7" t="s">
        <v>353</v>
      </c>
      <c r="C8" s="9" t="n">
        <v>13.5</v>
      </c>
      <c r="D8" s="7" t="s">
        <v>354</v>
      </c>
    </row>
    <row r="9" customFormat="false" ht="15" hidden="false" customHeight="false" outlineLevel="0" collapsed="false">
      <c r="A9" s="7" t="s">
        <v>355</v>
      </c>
      <c r="B9" s="7" t="s">
        <v>356</v>
      </c>
      <c r="C9" s="9"/>
      <c r="D9" s="7" t="s">
        <v>357</v>
      </c>
    </row>
    <row r="10" customFormat="false" ht="15" hidden="false" customHeight="false" outlineLevel="0" collapsed="false">
      <c r="A10" s="7" t="s">
        <v>358</v>
      </c>
      <c r="B10" s="7" t="s">
        <v>359</v>
      </c>
      <c r="C10" s="9" t="n">
        <v>37.9</v>
      </c>
      <c r="D10" s="7" t="s">
        <v>360</v>
      </c>
    </row>
    <row r="11" customFormat="false" ht="15" hidden="false" customHeight="false" outlineLevel="0" collapsed="false">
      <c r="A11" s="7" t="s">
        <v>361</v>
      </c>
      <c r="B11" s="7" t="s">
        <v>362</v>
      </c>
      <c r="C11" s="9" t="n">
        <v>6.43</v>
      </c>
      <c r="D11" s="7" t="s">
        <v>363</v>
      </c>
    </row>
    <row r="13" customFormat="false" ht="15" hidden="false" customHeight="false" outlineLevel="0" collapsed="false">
      <c r="A13" s="34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2026-07-03T07:54:54Z</dcterms:created>
  <dc:creator>openpyxl</dc:creator>
  <dc:description/>
  <dc:language>en-US</dc:language>
  <cp:lastModifiedBy/>
  <dcterms:modified xsi:type="dcterms:W3CDTF">2026-07-03T07:54:54Z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