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FIRST" sheetId="1" state="visible" r:id="rId3"/>
    <sheet name="Summary" sheetId="2" state="visible" r:id="rId4"/>
    <sheet name="Assumptions" sheetId="3" state="visible" r:id="rId5"/>
    <sheet name="DCF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Segments" sheetId="8" state="visible" r:id="rId10"/>
    <sheet name="Relative &amp; Normalized" sheetId="9" state="visible" r:id="rId11"/>
    <sheet name="Monte Carlo" sheetId="10" state="visible" r:id="rId12"/>
    <sheet name="Sensitivity" sheetId="11" state="visible" r:id="rId13"/>
    <sheet name="Per-Share &amp; Ratio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<sst xmlns="http://schemas.openxmlformats.org/spreadsheetml/2006/main" count="265" uniqueCount="219">
  <si>
    <t xml:space="preserve">Elm Company (Tadawul: 7203) — Valuation Model</t>
  </si>
  <si>
    <t xml:space="preserve">Testahil · Independent Valuation Study — Educational Analysis · Not investment advice</t>
  </si>
  <si>
    <t xml:space="preserve">This workbook is an educational valuation model. It is not investment advice and contains no rating, target price, or recommendation.</t>
  </si>
  <si>
    <t xml:space="preserve">Every downstream cell links back to the Assumptions sheet (blue cells). Change one blue input and the DCF, Sensitivity and Summary reprice.</t>
  </si>
  <si>
    <t xml:space="preserve">Fundamental fair value is a ~12-month anchor. Only the Monte Carlo percentiles are genuine 3-month figures. The two are kept on separate clocks.</t>
  </si>
  <si>
    <t xml:space="preserve">The discount rate is the dominant swing factor (77% of DCF value is terminal); it is deliberately shown across a wide sensitivity band, not as a point.</t>
  </si>
  <si>
    <t xml:space="preserve">The preparer may hold, and may in future take or dispose of, a position in the security discussed.</t>
  </si>
  <si>
    <t xml:space="preserve">Sheets: Summary · Assumptions (inputs) · DCF · Income Statement · Balance Sheet · Cash Flow · Segments · Relative &amp; Normalized · Monte Carlo · Sensitivity · Per-Share &amp; Ratios</t>
  </si>
  <si>
    <t xml:space="preserve">Valuation summary — every read</t>
  </si>
  <si>
    <t xml:space="preserve">Spot SAR 658; weighted central fair value ~SAR 620 (range ~530–720).</t>
  </si>
  <si>
    <t xml:space="preserve">Lens</t>
  </si>
  <si>
    <t xml:space="preserve">Method</t>
  </si>
  <si>
    <t xml:space="preserve">Fair value (SAR)</t>
  </si>
  <si>
    <t xml:space="preserve">Weight</t>
  </si>
  <si>
    <t xml:space="preserve">DCF (primary)</t>
  </si>
  <si>
    <t xml:space="preserve">5-yr FCFF, β1.0, WACC 10.5%, g4%</t>
  </si>
  <si>
    <t xml:space="preserve">40%</t>
  </si>
  <si>
    <t xml:space="preserve">Relative EV/EBITDA</t>
  </si>
  <si>
    <t xml:space="preserve">18–20× 2025e EBITDA</t>
  </si>
  <si>
    <t xml:space="preserve">593–656</t>
  </si>
  <si>
    <t xml:space="preserve">25%</t>
  </si>
  <si>
    <t xml:space="preserve">Relative P/E</t>
  </si>
  <si>
    <t xml:space="preserve">24× 2025e EPS</t>
  </si>
  <si>
    <t xml:space="preserve">686</t>
  </si>
  <si>
    <t xml:space="preserve">30%</t>
  </si>
  <si>
    <t xml:space="preserve">Monte Carlo T+60</t>
  </si>
  <si>
    <t xml:space="preserve">median (3-month)</t>
  </si>
  <si>
    <t xml:space="preserve">662</t>
  </si>
  <si>
    <t xml:space="preserve">—</t>
  </si>
  <si>
    <t xml:space="preserve">Weighted central</t>
  </si>
  <si>
    <t xml:space="preserve">≈ 620 (530–720)</t>
  </si>
  <si>
    <t xml:space="preserve">100%</t>
  </si>
  <si>
    <t xml:space="preserve">Fair value is a ~12-month anchor; Monte Carlo is the 3-month path. Never a rating or target — ranges and probabilities only.</t>
  </si>
  <si>
    <t xml:space="preserve">Assumptions — single input layer</t>
  </si>
  <si>
    <t xml:space="preserve">Blue cells are inputs. All other sheets reference these.</t>
  </si>
  <si>
    <t xml:space="preserve">Market &amp; share data</t>
  </si>
  <si>
    <t xml:space="preserve">Spot price</t>
  </si>
  <si>
    <t xml:space="preserve">SAR</t>
  </si>
  <si>
    <t xml:space="preserve">Shares outstanding</t>
  </si>
  <si>
    <t xml:space="preserve">m</t>
  </si>
  <si>
    <t xml:space="preserve">Dividend per share</t>
  </si>
  <si>
    <t xml:space="preserve">Cost of capital</t>
  </si>
  <si>
    <t xml:space="preserve">Risk-free rate (SAR 10Y)</t>
  </si>
  <si>
    <t xml:space="preserve">Equity risk premium (rating)</t>
  </si>
  <si>
    <t xml:space="preserve">Beta (anchor)</t>
  </si>
  <si>
    <t xml:space="preserve">WACC = rf + beta×ERP</t>
  </si>
  <si>
    <t xml:space="preserve">Terminal growth</t>
  </si>
  <si>
    <t xml:space="preserve">Effective zakat rate</t>
  </si>
  <si>
    <t xml:space="preserve">Net cash (net of leases)</t>
  </si>
  <si>
    <t xml:space="preserve">SAR mn</t>
  </si>
  <si>
    <t xml:space="preserve">Operating forecast (FY25e–29e)</t>
  </si>
  <si>
    <t xml:space="preserve">Base revenue FY24a</t>
  </si>
  <si>
    <t xml:space="preserve">Revenue growth</t>
  </si>
  <si>
    <t xml:space="preserve">EBIT margin</t>
  </si>
  <si>
    <t xml:space="preserve">D&amp;A % of revenue</t>
  </si>
  <si>
    <t xml:space="preserve">Capex % of revenue</t>
  </si>
  <si>
    <t xml:space="preserve">ΔWC % of revenue growth</t>
  </si>
  <si>
    <t xml:space="preserve">Discounted cash flow — FCFF</t>
  </si>
  <si>
    <t xml:space="preserve">All rows compute from Assumptions. TV = Gordon growth. Fair value = (EV + net cash) / shares.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</si>
  <si>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</si>
  <si>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</si>
  <si>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</si>
  <si>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</si>
  <si>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</si>
  <si>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Revenue</t>
  </si>
  <si>
    <t xml:space="preserve">EBITDA</t>
  </si>
  <si>
    <t xml:space="preserve">− D&amp;A</t>
  </si>
  <si>
    <t xml:space="preserve">EBIT</t>
  </si>
  <si>
    <t xml:space="preserve">NOPAT (EBIT×(1−zakat))</t>
  </si>
  <si>
    <t xml:space="preserve">+ D&amp;A</t>
  </si>
  <si>
    <t xml:space="preserve">− Capex</t>
  </si>
  <si>
    <t xml:space="preserve">− Δ working capital</t>
  </si>
  <si>
    <t xml:space="preserve">Free cash flow to firm</t>
  </si>
  <si>
    <t xml:space="preserve">Discount factor</t>
  </si>
  <si>
    <t xml:space="preserve">PV of FCFF</t>
  </si>
  <si>
    <t xml:space="preserve">Sum PV of explicit FCFF</t>
  </si>
  <si>
    <t xml:space="preserve">Terminal value (Gordon)</t>
  </si>
  <si>
    <t xml:space="preserve">PV of terminal value</t>
  </si>
  <si>
    <t xml:space="preserve">Enterprise value</t>
  </si>
  <si>
    <t xml:space="preserve">+ Net cash</t>
  </si>
  <si>
    <t xml:space="preserve">Equity value</t>
  </si>
  <si>
    <t xml:space="preserve">÷ shares (m)</t>
  </si>
  <si>
    <t xml:space="preserve">Fair value per share (SAR)</t>
  </si>
  <si>
    <t xml:space="preserve">TV as % of EV</t>
  </si>
  <si>
    <t xml:space="preserve">Income statement (SAR mn)</t>
  </si>
  <si>
    <t xml:space="preserve">Three actual (FY22–24), five forecast (FY25e–29e). Actuals: Elm IR / Argaam.</t>
  </si>
  <si>
    <t xml:space="preserve">2022a</t>
  </si>
  <si>
    <t xml:space="preserve">2023a</t>
  </si>
  <si>
    <t xml:space="preserve">2024a</t>
  </si>
  <si>
    <t xml:space="preserve">Cost of revenue</t>
  </si>
  <si>
    <t xml:space="preserve">Gross profit</t>
  </si>
  <si>
    <t xml:space="preserve">Operating expenses</t>
  </si>
  <si>
    <t xml:space="preserve">Other income (net)</t>
  </si>
  <si>
    <t xml:space="preserve">Profit before zakat</t>
  </si>
  <si>
    <t xml:space="preserve">Zakat</t>
  </si>
  <si>
    <t xml:space="preserve">Net profit</t>
  </si>
  <si>
    <t xml:space="preserve">EPS (SAR)</t>
  </si>
  <si>
    <t xml:space="preserve">Balance sheet (SAR mn) — summary</t>
  </si>
  <si>
    <t xml:space="preserve">Elm carries no meaningful financial debt; liabilities are leases, income-sharing payables, zakat.</t>
  </si>
  <si>
    <t xml:space="preserve">Cash &amp; short-term investments</t>
  </si>
  <si>
    <t xml:space="preserve">Other assets</t>
  </si>
  <si>
    <t xml:space="preserve">Total assets</t>
  </si>
  <si>
    <t xml:space="preserve">Total liabilities</t>
  </si>
  <si>
    <t xml:space="preserve">Total equity</t>
  </si>
  <si>
    <t xml:space="preserve">Cash flow (SAR mn) — summary</t>
  </si>
  <si>
    <t xml:space="preserve">High FCF conversion; cash capex ~3% of revenue. Dividends ~33% payout.</t>
  </si>
  <si>
    <t xml:space="preserve">Operating cash flow</t>
  </si>
  <si>
    <t xml:space="preserve">Capex</t>
  </si>
  <si>
    <t xml:space="preserve">Free cash flow</t>
  </si>
  <si>
    <t xml:space="preserve">Dividends paid</t>
  </si>
  <si>
    <t xml:space="preserve">Segment scorecard (FY2024)</t>
  </si>
  <si>
    <t xml:space="preserve">BPO / Professional Services split estimated from disclosed growth + the Digital Business figure.</t>
  </si>
  <si>
    <t xml:space="preserve">Segment</t>
  </si>
  <si>
    <t xml:space="preserve">Revenue (SAR mn)</t>
  </si>
  <si>
    <t xml:space="preserve">% of total</t>
  </si>
  <si>
    <t xml:space="preserve">Growth</t>
  </si>
  <si>
    <t xml:space="preserve">Gross margin</t>
  </si>
  <si>
    <t xml:space="preserve">Digital Business</t>
  </si>
  <si>
    <t xml:space="preserve">73.8%</t>
  </si>
  <si>
    <t xml:space="preserve">+28.5%</t>
  </si>
  <si>
    <t xml:space="preserve">~46%</t>
  </si>
  <si>
    <t xml:space="preserve">Business Process Outsourcing</t>
  </si>
  <si>
    <t xml:space="preserve">~18%</t>
  </si>
  <si>
    <t xml:space="preserve">+20.7%</t>
  </si>
  <si>
    <t xml:space="preserve">~25%</t>
  </si>
  <si>
    <t xml:space="preserve">Professional Services</t>
  </si>
  <si>
    <t xml:space="preserve">~9%</t>
  </si>
  <si>
    <t xml:space="preserve">−6.7%</t>
  </si>
  <si>
    <t xml:space="preserve">declining</t>
  </si>
  <si>
    <t xml:space="preserve">Total</t>
  </si>
  <si>
    <t xml:space="preserve">+25.6%</t>
  </si>
  <si>
    <t xml:space="preserve">40.9%</t>
  </si>
  <si>
    <t xml:space="preserve">Relative valuation — cross-check</t>
  </si>
  <si>
    <t xml:space="preserve">On 2025e EBITDA SAR 2,529 and 2025e EPS SAR 28.6.</t>
  </si>
  <si>
    <t xml:space="preserve">EV/EBITDA multiple</t>
  </si>
  <si>
    <t xml:space="preserve">16×</t>
  </si>
  <si>
    <t xml:space="preserve">18×</t>
  </si>
  <si>
    <t xml:space="preserve">20×</t>
  </si>
  <si>
    <t xml:space="preserve">22×</t>
  </si>
  <si>
    <t xml:space="preserve">→ per share (SAR)</t>
  </si>
  <si>
    <t xml:space="preserve">Forward P/E multiple</t>
  </si>
  <si>
    <t xml:space="preserve">24×</t>
  </si>
  <si>
    <t xml:space="preserve">28×</t>
  </si>
  <si>
    <t xml:space="preserve">32×</t>
  </si>
  <si>
    <t xml:space="preserve">Elm history ~42× P/E; current ~24×; TASI ~17.5×. Premium justified by ROIC &amp; moat if durable.</t>
  </si>
  <si>
    <t xml:space="preserve">Monte Carlo — 3-month distribution</t>
  </si>
  <si>
    <t xml:space="preserve">Saudi-fitted engine: ν=5, width_cal 1.28, carry-anchored, 50,000 paths, seed 42. Values from the engine.</t>
  </si>
  <si>
    <t xml:space="preserve">Percentile</t>
  </si>
  <si>
    <t xml:space="preserve">5th</t>
  </si>
  <si>
    <t xml:space="preserve">10th</t>
  </si>
  <si>
    <t xml:space="preserve">25th</t>
  </si>
  <si>
    <t xml:space="preserve">50th</t>
  </si>
  <si>
    <t xml:space="preserve">75th</t>
  </si>
  <si>
    <t xml:space="preserve">90th</t>
  </si>
  <si>
    <t xml:space="preserve">95th</t>
  </si>
  <si>
    <t xml:space="preserve">T+20 (SAR)</t>
  </si>
  <si>
    <t xml:space="preserve">T+60 (SAR)</t>
  </si>
  <si>
    <t xml:space="preserve">Probability read (T+60)</t>
  </si>
  <si>
    <t xml:space="preserve">Value</t>
  </si>
  <si>
    <t xml:space="preserve">P(above spot)</t>
  </si>
  <si>
    <t xml:space="preserve">51%</t>
  </si>
  <si>
    <t xml:space="preserve">P(+10%) vs P(−10%)</t>
  </si>
  <si>
    <t xml:space="preserve">30% / 26%</t>
  </si>
  <si>
    <t xml:space="preserve">Median (SAR / move)</t>
  </si>
  <si>
    <t xml:space="preserve">662  (+0.6%)</t>
  </si>
  <si>
    <t xml:space="preserve">50% band (SAR)</t>
  </si>
  <si>
    <t xml:space="preserve">589–746</t>
  </si>
  <si>
    <t xml:space="preserve">Touch +10% / −10%</t>
  </si>
  <si>
    <t xml:space="preserve">55% / 48%</t>
  </si>
  <si>
    <t xml:space="preserve">Calibration: PARITY under the Saudi-fitted panel (calibrated, market-panel validated, no single-name edge).</t>
  </si>
  <si>
    <t xml:space="preserve">Sensitivity — fair value (SAR) vs WACC × terminal g</t>
  </si>
  <si>
    <t xml:space="preserve">Recomputed from the DCF FCFF row. Base = Assumptions WACC × terminal g.</t>
  </si>
  <si>
    <r>
      <rPr>
        <b val="true"/>
        <sz val="10"/>
        <color rgb="FFFFFFFF"/>
        <rFont val="Cambria"/>
        <family val="0"/>
        <charset val="1"/>
      </rPr>
      <t xml:space="preserve">WACC </t>
    </r>
    <r>
      <rPr>
        <b val="true"/>
        <sz val="10"/>
        <color rgb="FFFFFFFF"/>
        <rFont val="Noto Sans CJK SC"/>
        <family val="2"/>
      </rPr>
      <t xml:space="preserve">＼ </t>
    </r>
    <r>
      <rPr>
        <b val="true"/>
        <sz val="10"/>
        <color rgb="FFFFFFFF"/>
        <rFont val="Cambria"/>
        <family val="0"/>
        <charset val="1"/>
      </rPr>
      <t xml:space="preserve">g</t>
    </r>
  </si>
  <si>
    <t xml:space="preserve">3.0%</t>
  </si>
  <si>
    <t xml:space="preserve">3.5%</t>
  </si>
  <si>
    <t xml:space="preserve">4.0%</t>
  </si>
  <si>
    <t xml:space="preserve">4.5%</t>
  </si>
  <si>
    <t xml:space="preserve">5.0%</t>
  </si>
  <si>
    <t xml:space="preserve">7.50%</t>
  </si>
  <si>
    <t xml:space="preserve">9.00%</t>
  </si>
  <si>
    <t xml:space="preserve">10.51%</t>
  </si>
  <si>
    <t xml:space="preserve">12.00%</t>
  </si>
  <si>
    <t xml:space="preserve">13.50%</t>
  </si>
  <si>
    <t xml:space="preserve">Per-share &amp; ratio dashboard</t>
  </si>
  <si>
    <t xml:space="preserve">Identical shape across Testahil studies.</t>
  </si>
  <si>
    <t xml:space="preserve">Metric</t>
  </si>
  <si>
    <t xml:space="preserve">DPS (SAR)</t>
  </si>
  <si>
    <t xml:space="preserve">BVPS (SAR)</t>
  </si>
  <si>
    <t xml:space="preserve">40.6%</t>
  </si>
  <si>
    <t xml:space="preserve">39.6%</t>
  </si>
  <si>
    <t xml:space="preserve">~41.3%</t>
  </si>
  <si>
    <t xml:space="preserve">21.2%</t>
  </si>
  <si>
    <t xml:space="preserve">23.0%</t>
  </si>
  <si>
    <t xml:space="preserve">23.2%</t>
  </si>
  <si>
    <t xml:space="preserve">Net margin</t>
  </si>
  <si>
    <t xml:space="preserve">20.2%</t>
  </si>
  <si>
    <t xml:space="preserve">22.9%</t>
  </si>
  <si>
    <t xml:space="preserve">24.6%</t>
  </si>
  <si>
    <t xml:space="preserve">~23.7%</t>
  </si>
  <si>
    <t xml:space="preserve">ROE (avg equity)</t>
  </si>
  <si>
    <t xml:space="preserve">38%</t>
  </si>
  <si>
    <t xml:space="preserve">39%</t>
  </si>
  <si>
    <t xml:space="preserve">ROIC</t>
  </si>
  <si>
    <t xml:space="preserve">~80%</t>
  </si>
  <si>
    <t xml:space="preserve">~85%</t>
  </si>
  <si>
    <t xml:space="preserve">~88%</t>
  </si>
  <si>
    <t xml:space="preserve">Valuation at spot</t>
  </si>
  <si>
    <t xml:space="preserve">Trailing 2024a</t>
  </si>
  <si>
    <t xml:space="preserve">Forward 2025e</t>
  </si>
  <si>
    <t xml:space="preserve">P/E</t>
  </si>
  <si>
    <t xml:space="preserve">28.0×</t>
  </si>
  <si>
    <t xml:space="preserve">23.0×</t>
  </si>
  <si>
    <t xml:space="preserve">P/B</t>
  </si>
  <si>
    <t xml:space="preserve">9.9×</t>
  </si>
  <si>
    <t xml:space="preserve">EV/EBITDA</t>
  </si>
  <si>
    <t xml:space="preserve">26.7×</t>
  </si>
  <si>
    <t xml:space="preserve">20.1×</t>
  </si>
  <si>
    <t xml:space="preserve">Dividend yield</t>
  </si>
  <si>
    <t xml:space="preserve">1.3%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</si>
</sst>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Cambria"/>
      <family val="0"/>
      <charset val="1"/>
    </font>
    <font>
      <i val="true"/>
      <sz val="8.5"/>
      <color rgb="FF6E7B77"/>
      <name val="Cambria"/>
      <family val="0"/>
      <charset val="1"/>
    </font>
    <font>
      <sz val="10"/>
      <color rgb="FF1C3A3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1C3A36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0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6F1E6"/>
        <bgColor rgb="FFEFF3F1"/>
      </patternFill>
    </fill>
    <fill>
      <patternFill patternType="solid">
        <fgColor rgb="FFEFF3F1"/>
        <bgColor rgb="FFF6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1"/>
      </left>
      <right style="thin">
        <color rgb="FFC9D4D1"/>
      </right>
      <top style="thin">
        <color rgb="FFC9D4D1"/>
      </top>
      <bottom style="thin">
        <color rgb="FFC9D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F6F1E6"/>
      <rgbColor rgb="FFEFF3F1"/>
      <rgbColor rgb="FF660066"/>
      <rgbColor rgb="FFFF8080"/>
      <rgbColor rgb="FF0066CC"/>
      <rgbColor rgb="FFC9D4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23.85" hidden="false" customHeight="fals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9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5" t="s">
        <v>12</v>
      </c>
      <c r="D4" s="5" t="s">
        <v>13</v>
      </c>
    </row>
    <row r="5" customFormat="false" ht="15" hidden="false" customHeight="false" outlineLevel="0" collapsed="false">
      <c r="A5" s="6" t="s">
        <v>14</v>
      </c>
      <c r="B5" s="7" t="s">
        <v>15</v>
      </c>
      <c r="C5" s="8" t="n">
        <f aca="false">DCF!B24</f>
        <v>576.152013040789</v>
      </c>
      <c r="D5" s="7" t="s">
        <v>16</v>
      </c>
    </row>
    <row r="6" customFormat="false" ht="1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</row>
    <row r="7" customFormat="false" ht="15" hidden="false" customHeight="false" outlineLevel="0" collapsed="false">
      <c r="A7" s="6" t="s">
        <v>21</v>
      </c>
      <c r="B7" s="7" t="s">
        <v>22</v>
      </c>
      <c r="C7" s="7" t="s">
        <v>23</v>
      </c>
      <c r="D7" s="7" t="s">
        <v>24</v>
      </c>
    </row>
    <row r="8" customFormat="false" ht="15" hidden="false" customHeight="false" outlineLevel="0" collapsed="false">
      <c r="A8" s="6" t="s">
        <v>25</v>
      </c>
      <c r="B8" s="7" t="s">
        <v>26</v>
      </c>
      <c r="C8" s="7" t="s">
        <v>27</v>
      </c>
      <c r="D8" s="7" t="s">
        <v>28</v>
      </c>
    </row>
    <row r="9" customFormat="false" ht="15" hidden="false" customHeight="false" outlineLevel="0" collapsed="false">
      <c r="A9" s="9" t="s">
        <v>29</v>
      </c>
      <c r="B9" s="10"/>
      <c r="C9" s="10" t="s">
        <v>30</v>
      </c>
      <c r="D9" s="10" t="s">
        <v>31</v>
      </c>
    </row>
    <row r="11" customFormat="false" ht="15" hidden="false" customHeight="false" outlineLevel="0" collapsed="false">
      <c r="A11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11" t="s">
        <v>35</v>
      </c>
    </row>
    <row r="5" customFormat="false" ht="15" hidden="false" customHeight="false" outlineLevel="0" collapsed="false">
      <c r="A5" s="6" t="s">
        <v>36</v>
      </c>
      <c r="B5" s="12" t="n">
        <v>658.5</v>
      </c>
      <c r="C5" s="2" t="s">
        <v>37</v>
      </c>
    </row>
    <row r="6" customFormat="false" ht="15" hidden="false" customHeight="false" outlineLevel="0" collapsed="false">
      <c r="A6" s="6" t="s">
        <v>38</v>
      </c>
      <c r="B6" s="12" t="n">
        <v>80</v>
      </c>
      <c r="C6" s="2" t="s">
        <v>39</v>
      </c>
    </row>
    <row r="7" customFormat="false" ht="15" hidden="false" customHeight="false" outlineLevel="0" collapsed="false">
      <c r="A7" s="6" t="s">
        <v>40</v>
      </c>
      <c r="B7" s="12" t="n">
        <v>8.5</v>
      </c>
      <c r="C7" s="2" t="s">
        <v>37</v>
      </c>
    </row>
    <row r="9" customFormat="false" ht="15" hidden="false" customHeight="false" outlineLevel="0" collapsed="false">
      <c r="A9" s="11" t="s">
        <v>41</v>
      </c>
    </row>
    <row r="10" customFormat="false" ht="15" hidden="false" customHeight="false" outlineLevel="0" collapsed="false">
      <c r="A10" s="6" t="s">
        <v>42</v>
      </c>
      <c r="B10" s="12" t="n">
        <v>0.055</v>
      </c>
      <c r="C10" s="2"/>
    </row>
    <row r="11" customFormat="false" ht="15" hidden="false" customHeight="false" outlineLevel="0" collapsed="false">
      <c r="A11" s="6" t="s">
        <v>43</v>
      </c>
      <c r="B11" s="12" t="n">
        <v>0.0501</v>
      </c>
      <c r="C11" s="2"/>
    </row>
    <row r="12" customFormat="false" ht="15" hidden="false" customHeight="false" outlineLevel="0" collapsed="false">
      <c r="A12" s="6" t="s">
        <v>44</v>
      </c>
      <c r="B12" s="12" t="n">
        <v>1</v>
      </c>
      <c r="C12" s="2"/>
    </row>
    <row r="13" customFormat="false" ht="15" hidden="false" customHeight="false" outlineLevel="0" collapsed="false">
      <c r="A13" s="6" t="s">
        <v>45</v>
      </c>
      <c r="B13" s="13" t="n">
        <f aca="false">Assumptions!B10+Assumptions!B12*Assumptions!B11</f>
        <v>0.1051</v>
      </c>
    </row>
    <row r="14" customFormat="false" ht="15" hidden="false" customHeight="false" outlineLevel="0" collapsed="false">
      <c r="A14" s="6" t="s">
        <v>46</v>
      </c>
      <c r="B14" s="12" t="n">
        <v>0.04</v>
      </c>
      <c r="C14" s="2"/>
    </row>
    <row r="15" customFormat="false" ht="15" hidden="false" customHeight="false" outlineLevel="0" collapsed="false">
      <c r="A15" s="6" t="s">
        <v>47</v>
      </c>
      <c r="B15" s="12" t="n">
        <v>0.07</v>
      </c>
      <c r="C15" s="2"/>
    </row>
    <row r="16" customFormat="false" ht="15" hidden="false" customHeight="false" outlineLevel="0" collapsed="false">
      <c r="A16" s="6" t="s">
        <v>48</v>
      </c>
      <c r="B16" s="12" t="n">
        <v>1900</v>
      </c>
      <c r="C16" s="2" t="s">
        <v>49</v>
      </c>
    </row>
    <row r="18" customFormat="false" ht="15" hidden="false" customHeight="false" outlineLevel="0" collapsed="false">
      <c r="A18" s="11" t="s">
        <v>50</v>
      </c>
    </row>
    <row r="19" customFormat="false" ht="15" hidden="false" customHeight="false" outlineLevel="0" collapsed="false">
      <c r="A19" s="6" t="s">
        <v>51</v>
      </c>
      <c r="B19" s="12" t="n">
        <v>7407</v>
      </c>
      <c r="C19" s="2" t="s">
        <v>49</v>
      </c>
    </row>
    <row r="20" customFormat="false" ht="15" hidden="false" customHeight="false" outlineLevel="0" collapsed="false">
      <c r="A20" s="6" t="s">
        <v>52</v>
      </c>
      <c r="B20" s="12" t="n">
        <v>0.303</v>
      </c>
      <c r="C20" s="12" t="n">
        <v>0.171</v>
      </c>
      <c r="D20" s="12" t="n">
        <v>0.142</v>
      </c>
      <c r="E20" s="12" t="n">
        <v>0.12</v>
      </c>
      <c r="F20" s="12" t="n">
        <v>0.1</v>
      </c>
    </row>
    <row r="21" customFormat="false" ht="15" hidden="false" customHeight="false" outlineLevel="0" collapsed="false">
      <c r="A21" s="14" t="s">
        <v>53</v>
      </c>
      <c r="B21" s="12" t="n">
        <v>0.232</v>
      </c>
      <c r="C21" s="12" t="n">
        <v>0.235</v>
      </c>
      <c r="D21" s="12" t="n">
        <v>0.237</v>
      </c>
      <c r="E21" s="12" t="n">
        <v>0.24</v>
      </c>
      <c r="F21" s="12" t="n">
        <v>0.24</v>
      </c>
    </row>
    <row r="22" customFormat="false" ht="15" hidden="false" customHeight="false" outlineLevel="0" collapsed="false">
      <c r="A22" s="14" t="s">
        <v>54</v>
      </c>
      <c r="B22" s="12" t="n">
        <v>0.03</v>
      </c>
      <c r="C22" s="12" t="n">
        <v>0.03</v>
      </c>
      <c r="D22" s="12" t="n">
        <v>0.03</v>
      </c>
      <c r="E22" s="12" t="n">
        <v>0.03</v>
      </c>
      <c r="F22" s="12" t="n">
        <v>0.03</v>
      </c>
    </row>
    <row r="23" customFormat="false" ht="15" hidden="false" customHeight="false" outlineLevel="0" collapsed="false">
      <c r="A23" s="14" t="s">
        <v>55</v>
      </c>
      <c r="B23" s="12" t="n">
        <v>0.032</v>
      </c>
      <c r="C23" s="12" t="n">
        <v>0.031</v>
      </c>
      <c r="D23" s="12" t="n">
        <v>0.03</v>
      </c>
      <c r="E23" s="12" t="n">
        <v>0.03</v>
      </c>
      <c r="F23" s="12" t="n">
        <v>0.03</v>
      </c>
    </row>
    <row r="24" customFormat="false" ht="15" hidden="false" customHeight="false" outlineLevel="0" collapsed="false">
      <c r="A24" s="14" t="s">
        <v>56</v>
      </c>
      <c r="B24" s="12" t="n">
        <v>0.025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4" t="s">
        <v>49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</row>
    <row r="5" customFormat="false" ht="15" hidden="false" customHeight="false" outlineLevel="0" collapsed="false">
      <c r="A5" s="14" t="s">
        <v>64</v>
      </c>
      <c r="B5" s="8" t="n">
        <f aca="false">Assumptions!B19*(1+Assumptions!B20)</f>
        <v>9651.321</v>
      </c>
      <c r="C5" s="8" t="n">
        <f aca="false">B5*(1+Assumptions!C20)</f>
        <v>11301.696891</v>
      </c>
      <c r="D5" s="8" t="n">
        <f aca="false">C5*(1+Assumptions!D20)</f>
        <v>12906.537849522</v>
      </c>
      <c r="E5" s="8" t="n">
        <f aca="false">D5*(1+Assumptions!E20)</f>
        <v>14455.3223914646</v>
      </c>
      <c r="F5" s="8" t="n">
        <f aca="false">E5*(1+Assumptions!F20)</f>
        <v>15900.8546306111</v>
      </c>
    </row>
    <row r="6" customFormat="false" ht="15" hidden="false" customHeight="false" outlineLevel="0" collapsed="false">
      <c r="A6" s="6" t="s">
        <v>65</v>
      </c>
      <c r="B6" s="8" t="n">
        <f aca="false">B5*Assumptions!B21+B5*Assumptions!B22</f>
        <v>2528.646102</v>
      </c>
      <c r="C6" s="8" t="n">
        <f aca="false">C5*Assumptions!C21+C5*Assumptions!C22</f>
        <v>2994.949676115</v>
      </c>
      <c r="D6" s="8" t="n">
        <f aca="false">D5*Assumptions!D21+D5*Assumptions!D22</f>
        <v>3446.04560582237</v>
      </c>
      <c r="E6" s="8" t="n">
        <f aca="false">E5*Assumptions!E21+E5*Assumptions!E22</f>
        <v>3902.93704569545</v>
      </c>
      <c r="F6" s="8" t="n">
        <f aca="false">F5*Assumptions!F21+F5*Assumptions!F22</f>
        <v>4293.230750265</v>
      </c>
    </row>
    <row r="7" customFormat="false" ht="15" hidden="false" customHeight="false" outlineLevel="0" collapsed="false">
      <c r="A7" s="6" t="s">
        <v>66</v>
      </c>
      <c r="B7" s="8" t="n">
        <f aca="false">-B5*Assumptions!B22</f>
        <v>-289.53963</v>
      </c>
      <c r="C7" s="8" t="n">
        <f aca="false">-C5*Assumptions!C22</f>
        <v>-339.05090673</v>
      </c>
      <c r="D7" s="8" t="n">
        <f aca="false">-D5*Assumptions!D22</f>
        <v>-387.19613548566</v>
      </c>
      <c r="E7" s="8" t="n">
        <f aca="false">-E5*Assumptions!E22</f>
        <v>-433.659671743939</v>
      </c>
      <c r="F7" s="8" t="n">
        <f aca="false">-F5*Assumptions!F22</f>
        <v>-477.025638918333</v>
      </c>
    </row>
    <row r="8" customFormat="false" ht="15" hidden="false" customHeight="false" outlineLevel="0" collapsed="false">
      <c r="A8" s="6" t="s">
        <v>67</v>
      </c>
      <c r="B8" s="8" t="n">
        <f aca="false">B6+B7</f>
        <v>2239.106472</v>
      </c>
      <c r="C8" s="8" t="n">
        <f aca="false">C6+C7</f>
        <v>2655.898769385</v>
      </c>
      <c r="D8" s="8" t="n">
        <f aca="false">D6+D7</f>
        <v>3058.84947033671</v>
      </c>
      <c r="E8" s="8" t="n">
        <f aca="false">E6+E7</f>
        <v>3469.27737395151</v>
      </c>
      <c r="F8" s="8" t="n">
        <f aca="false">F6+F7</f>
        <v>3816.20511134667</v>
      </c>
    </row>
    <row r="9" customFormat="false" ht="15" hidden="false" customHeight="false" outlineLevel="0" collapsed="false">
      <c r="A9" s="6" t="s">
        <v>68</v>
      </c>
      <c r="B9" s="8" t="n">
        <f aca="false">B8*(1-Assumptions!B15)</f>
        <v>2082.36901896</v>
      </c>
      <c r="C9" s="8" t="n">
        <f aca="false">C8*(1-Assumptions!B15)</f>
        <v>2469.98585552805</v>
      </c>
      <c r="D9" s="8" t="n">
        <f aca="false">D8*(1-Assumptions!B15)</f>
        <v>2844.73000741314</v>
      </c>
      <c r="E9" s="8" t="n">
        <f aca="false">E8*(1-Assumptions!B15)</f>
        <v>3226.42795777491</v>
      </c>
      <c r="F9" s="8" t="n">
        <f aca="false">F8*(1-Assumptions!B15)</f>
        <v>3549.0707535524</v>
      </c>
    </row>
    <row r="10" customFormat="false" ht="15" hidden="false" customHeight="false" outlineLevel="0" collapsed="false">
      <c r="A10" s="6" t="s">
        <v>69</v>
      </c>
      <c r="B10" s="8" t="n">
        <f aca="false">B5*Assumptions!B22</f>
        <v>289.53963</v>
      </c>
      <c r="C10" s="8" t="n">
        <f aca="false">C5*Assumptions!C22</f>
        <v>339.05090673</v>
      </c>
      <c r="D10" s="8" t="n">
        <f aca="false">D5*Assumptions!D22</f>
        <v>387.19613548566</v>
      </c>
      <c r="E10" s="8" t="n">
        <f aca="false">E5*Assumptions!E22</f>
        <v>433.659671743939</v>
      </c>
      <c r="F10" s="8" t="n">
        <f aca="false">F5*Assumptions!F22</f>
        <v>477.025638918333</v>
      </c>
    </row>
    <row r="11" customFormat="false" ht="15" hidden="false" customHeight="false" outlineLevel="0" collapsed="false">
      <c r="A11" s="6" t="s">
        <v>70</v>
      </c>
      <c r="B11" s="8" t="n">
        <f aca="false">-B5*Assumptions!B23</f>
        <v>-308.842272</v>
      </c>
      <c r="C11" s="8" t="n">
        <f aca="false">-C5*Assumptions!C23</f>
        <v>-350.352603621</v>
      </c>
      <c r="D11" s="8" t="n">
        <f aca="false">-D5*Assumptions!D23</f>
        <v>-387.19613548566</v>
      </c>
      <c r="E11" s="8" t="n">
        <f aca="false">-E5*Assumptions!E23</f>
        <v>-433.659671743939</v>
      </c>
      <c r="F11" s="8" t="n">
        <f aca="false">-F5*Assumptions!F23</f>
        <v>-477.025638918333</v>
      </c>
    </row>
    <row r="12" customFormat="false" ht="15" hidden="false" customHeight="false" outlineLevel="0" collapsed="false">
      <c r="A12" s="6" t="s">
        <v>71</v>
      </c>
      <c r="B12" s="8" t="n">
        <f aca="false">-(B5-Assumptions!B19)*Assumptions!B24</f>
        <v>-56.108025</v>
      </c>
      <c r="C12" s="8" t="n">
        <f aca="false">-(C5-B5)*Assumptions!B24</f>
        <v>-41.259397275</v>
      </c>
      <c r="D12" s="8" t="n">
        <f aca="false">-(D5-C5)*Assumptions!B24</f>
        <v>-40.12102396305</v>
      </c>
      <c r="E12" s="8" t="n">
        <f aca="false">-(E5-D5)*Assumptions!B24</f>
        <v>-38.719613548566</v>
      </c>
      <c r="F12" s="8" t="n">
        <f aca="false">-(F5-E5)*Assumptions!B24</f>
        <v>-36.1383059786616</v>
      </c>
    </row>
    <row r="13" customFormat="false" ht="15" hidden="false" customHeight="false" outlineLevel="0" collapsed="false">
      <c r="A13" s="15" t="s">
        <v>72</v>
      </c>
      <c r="B13" s="16" t="n">
        <f aca="false">B9+B10+B11+B12</f>
        <v>2006.95835196</v>
      </c>
      <c r="C13" s="16" t="n">
        <f aca="false">C9+C10+C11+C12</f>
        <v>2417.42476136205</v>
      </c>
      <c r="D13" s="16" t="n">
        <f aca="false">D9+D10+D11+D12</f>
        <v>2804.60898345009</v>
      </c>
      <c r="E13" s="16" t="n">
        <f aca="false">E9+E10+E11+E12</f>
        <v>3187.70834422634</v>
      </c>
      <c r="F13" s="16" t="n">
        <f aca="false">F9+F10+F11+F12</f>
        <v>3512.93244757374</v>
      </c>
    </row>
    <row r="14" customFormat="false" ht="15" hidden="false" customHeight="false" outlineLevel="0" collapsed="false">
      <c r="A14" s="6" t="s">
        <v>73</v>
      </c>
      <c r="B14" s="8" t="n">
        <f aca="false">1/(1+Assumptions!B13)^1</f>
        <v>0.904895484571532</v>
      </c>
      <c r="C14" s="8" t="n">
        <f aca="false">1/(1+Assumptions!B13)^2</f>
        <v>0.818835837997948</v>
      </c>
      <c r="D14" s="8" t="n">
        <f aca="false">1/(1+Assumptions!B13)^3</f>
        <v>0.740960852409689</v>
      </c>
      <c r="E14" s="8" t="n">
        <f aca="false">1/(1+Assumptions!B13)^4</f>
        <v>0.670492129589801</v>
      </c>
      <c r="F14" s="8" t="n">
        <f aca="false">1/(1+Assumptions!B13)^5</f>
        <v>0.606725300506562</v>
      </c>
    </row>
    <row r="15" customFormat="false" ht="15" hidden="false" customHeight="false" outlineLevel="0" collapsed="false">
      <c r="A15" s="6" t="s">
        <v>74</v>
      </c>
      <c r="B15" s="8" t="n">
        <f aca="false">B13*B14</f>
        <v>1816.08755041173</v>
      </c>
      <c r="C15" s="8" t="n">
        <f aca="false">C13*C14</f>
        <v>1979.47403026688</v>
      </c>
      <c r="D15" s="8" t="n">
        <f aca="false">D13*D14</f>
        <v>2078.10546305305</v>
      </c>
      <c r="E15" s="8" t="n">
        <f aca="false">E13*E14</f>
        <v>2137.3333562315</v>
      </c>
      <c r="F15" s="8" t="n">
        <f aca="false">F13*F14</f>
        <v>2131.38499491343</v>
      </c>
    </row>
    <row r="17" customFormat="false" ht="15" hidden="false" customHeight="false" outlineLevel="0" collapsed="false">
      <c r="A17" s="17" t="s">
        <v>75</v>
      </c>
      <c r="B17" s="18" t="n">
        <f aca="false">SUM(B15:F15)</f>
        <v>10142.3853948766</v>
      </c>
    </row>
    <row r="18" customFormat="false" ht="15" hidden="false" customHeight="false" outlineLevel="0" collapsed="false">
      <c r="A18" s="17" t="s">
        <v>76</v>
      </c>
      <c r="B18" s="18" t="n">
        <f aca="false">F13*(1+Assumptions!B14)/(Assumptions!B13-Assumptions!B14)</f>
        <v>56120.5798076296</v>
      </c>
    </row>
    <row r="19" customFormat="false" ht="15" hidden="false" customHeight="false" outlineLevel="0" collapsed="false">
      <c r="A19" s="17" t="s">
        <v>77</v>
      </c>
      <c r="B19" s="18" t="n">
        <f aca="false">B18*F14</f>
        <v>34049.7756483865</v>
      </c>
    </row>
    <row r="20" customFormat="false" ht="15" hidden="false" customHeight="false" outlineLevel="0" collapsed="false">
      <c r="A20" s="11" t="s">
        <v>78</v>
      </c>
      <c r="B20" s="19" t="n">
        <f aca="false">B17+B19</f>
        <v>44192.1610432631</v>
      </c>
    </row>
    <row r="21" customFormat="false" ht="15" hidden="false" customHeight="false" outlineLevel="0" collapsed="false">
      <c r="A21" s="17" t="s">
        <v>79</v>
      </c>
      <c r="B21" s="18" t="n">
        <f aca="false">Assumptions!B16</f>
        <v>1900</v>
      </c>
    </row>
    <row r="22" customFormat="false" ht="15" hidden="false" customHeight="false" outlineLevel="0" collapsed="false">
      <c r="A22" s="11" t="s">
        <v>80</v>
      </c>
      <c r="B22" s="19" t="n">
        <f aca="false">B20+B21</f>
        <v>46092.1610432631</v>
      </c>
    </row>
    <row r="23" customFormat="false" ht="15" hidden="false" customHeight="false" outlineLevel="0" collapsed="false">
      <c r="A23" s="17" t="s">
        <v>81</v>
      </c>
      <c r="B23" s="20" t="n">
        <f aca="false">Assumptions!B6</f>
        <v>80</v>
      </c>
    </row>
    <row r="24" customFormat="false" ht="15" hidden="false" customHeight="false" outlineLevel="0" collapsed="false">
      <c r="A24" s="21" t="s">
        <v>82</v>
      </c>
      <c r="B24" s="22" t="n">
        <f aca="false">B22/B23</f>
        <v>576.152013040789</v>
      </c>
    </row>
    <row r="25" customFormat="false" ht="15" hidden="false" customHeight="false" outlineLevel="0" collapsed="false">
      <c r="A25" s="17" t="s">
        <v>83</v>
      </c>
      <c r="B25" s="23" t="n">
        <f aca="false">B19/B20</f>
        <v>0.770493563667379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9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4" t="s">
        <v>49</v>
      </c>
      <c r="B4" s="5" t="s">
        <v>86</v>
      </c>
      <c r="C4" s="5" t="s">
        <v>87</v>
      </c>
      <c r="D4" s="5" t="s">
        <v>88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</row>
    <row r="5" customFormat="false" ht="15" hidden="false" customHeight="false" outlineLevel="0" collapsed="false">
      <c r="A5" s="6" t="s">
        <v>64</v>
      </c>
      <c r="B5" s="8" t="n">
        <v>4606</v>
      </c>
      <c r="C5" s="8" t="n">
        <v>5898</v>
      </c>
      <c r="D5" s="8" t="n">
        <v>7407</v>
      </c>
      <c r="E5" s="8" t="n">
        <v>9651</v>
      </c>
      <c r="F5" s="8" t="n">
        <v>11302</v>
      </c>
      <c r="G5" s="8" t="n">
        <v>12907</v>
      </c>
      <c r="H5" s="8" t="n">
        <v>14455</v>
      </c>
      <c r="I5" s="8" t="n">
        <v>15901</v>
      </c>
    </row>
    <row r="6" customFormat="false" ht="15" hidden="false" customHeight="false" outlineLevel="0" collapsed="false">
      <c r="A6" s="6" t="s">
        <v>89</v>
      </c>
      <c r="B6" s="8" t="n">
        <v>-2736</v>
      </c>
      <c r="C6" s="8" t="n">
        <v>-3563</v>
      </c>
      <c r="D6" s="8" t="n">
        <v>-4378</v>
      </c>
      <c r="E6" s="8" t="n">
        <v>-5704</v>
      </c>
      <c r="F6" s="8" t="n">
        <v>-6634</v>
      </c>
      <c r="G6" s="8" t="n">
        <v>-7525</v>
      </c>
      <c r="H6" s="8" t="n">
        <v>-8369</v>
      </c>
      <c r="I6" s="8" t="n">
        <v>-9143</v>
      </c>
    </row>
    <row r="7" customFormat="false" ht="15" hidden="false" customHeight="false" outlineLevel="0" collapsed="false">
      <c r="A7" s="6" t="s">
        <v>90</v>
      </c>
      <c r="B7" s="8" t="n">
        <v>1870</v>
      </c>
      <c r="C7" s="8" t="n">
        <v>2335</v>
      </c>
      <c r="D7" s="8" t="n">
        <v>3029</v>
      </c>
      <c r="E7" s="8" t="n">
        <v>3947</v>
      </c>
      <c r="F7" s="8" t="n">
        <v>4668</v>
      </c>
      <c r="G7" s="8" t="n">
        <v>5382</v>
      </c>
      <c r="H7" s="8" t="n">
        <v>6086</v>
      </c>
      <c r="I7" s="8" t="n">
        <v>6758</v>
      </c>
    </row>
    <row r="8" customFormat="false" ht="15" hidden="false" customHeight="false" outlineLevel="0" collapsed="false">
      <c r="A8" s="6" t="s">
        <v>91</v>
      </c>
      <c r="B8" s="8" t="n">
        <v>-894</v>
      </c>
      <c r="C8" s="8" t="n">
        <v>-981</v>
      </c>
      <c r="D8" s="8" t="n">
        <v>-1326</v>
      </c>
      <c r="E8" s="8" t="n">
        <v>-1708</v>
      </c>
      <c r="F8" s="8" t="n">
        <v>-2012</v>
      </c>
      <c r="G8" s="8" t="n">
        <v>-2323</v>
      </c>
      <c r="H8" s="8" t="n">
        <v>-2617</v>
      </c>
      <c r="I8" s="8" t="n">
        <v>-2942</v>
      </c>
    </row>
    <row r="9" customFormat="false" ht="15" hidden="false" customHeight="false" outlineLevel="0" collapsed="false">
      <c r="A9" s="9" t="s">
        <v>67</v>
      </c>
      <c r="B9" s="16" t="n">
        <v>976</v>
      </c>
      <c r="C9" s="16" t="n">
        <v>1354</v>
      </c>
      <c r="D9" s="16" t="n">
        <v>1703</v>
      </c>
      <c r="E9" s="16" t="n">
        <v>2239</v>
      </c>
      <c r="F9" s="16" t="n">
        <v>2656</v>
      </c>
      <c r="G9" s="16" t="n">
        <v>3059</v>
      </c>
      <c r="H9" s="16" t="n">
        <v>3469</v>
      </c>
      <c r="I9" s="16" t="n">
        <v>3816</v>
      </c>
    </row>
    <row r="10" customFormat="false" ht="15" hidden="false" customHeight="false" outlineLevel="0" collapsed="false">
      <c r="A10" s="6" t="s">
        <v>92</v>
      </c>
      <c r="B10" s="8" t="n">
        <v>37</v>
      </c>
      <c r="C10" s="8" t="n">
        <v>119</v>
      </c>
      <c r="D10" s="8" t="n">
        <v>251</v>
      </c>
      <c r="E10" s="8" t="n">
        <v>220</v>
      </c>
      <c r="F10" s="8" t="n">
        <v>228</v>
      </c>
      <c r="G10" s="8" t="n">
        <v>236</v>
      </c>
      <c r="H10" s="8" t="n">
        <v>244</v>
      </c>
      <c r="I10" s="8" t="n">
        <v>252</v>
      </c>
    </row>
    <row r="11" customFormat="false" ht="15" hidden="false" customHeight="false" outlineLevel="0" collapsed="false">
      <c r="A11" s="6" t="s">
        <v>93</v>
      </c>
      <c r="B11" s="8" t="n">
        <v>1013</v>
      </c>
      <c r="C11" s="8" t="n">
        <v>1473</v>
      </c>
      <c r="D11" s="8" t="n">
        <v>1954</v>
      </c>
      <c r="E11" s="8" t="n">
        <v>2459</v>
      </c>
      <c r="F11" s="8" t="n">
        <v>2884</v>
      </c>
      <c r="G11" s="8" t="n">
        <v>3295</v>
      </c>
      <c r="H11" s="8" t="n">
        <v>3713</v>
      </c>
      <c r="I11" s="8" t="n">
        <v>4068</v>
      </c>
    </row>
    <row r="12" customFormat="false" ht="15" hidden="false" customHeight="false" outlineLevel="0" collapsed="false">
      <c r="A12" s="6" t="s">
        <v>94</v>
      </c>
      <c r="B12" s="8" t="n">
        <v>-83</v>
      </c>
      <c r="C12" s="8" t="n">
        <v>-124</v>
      </c>
      <c r="D12" s="8" t="n">
        <v>-130</v>
      </c>
      <c r="E12" s="8" t="n">
        <v>-172</v>
      </c>
      <c r="F12" s="8" t="n">
        <v>-202</v>
      </c>
      <c r="G12" s="8" t="n">
        <v>-231</v>
      </c>
      <c r="H12" s="8" t="n">
        <v>-260</v>
      </c>
      <c r="I12" s="8" t="n">
        <v>-285</v>
      </c>
    </row>
    <row r="13" customFormat="false" ht="15" hidden="false" customHeight="false" outlineLevel="0" collapsed="false">
      <c r="A13" s="9" t="s">
        <v>95</v>
      </c>
      <c r="B13" s="16" t="n">
        <v>930</v>
      </c>
      <c r="C13" s="16" t="n">
        <v>1349</v>
      </c>
      <c r="D13" s="16" t="n">
        <v>1824</v>
      </c>
      <c r="E13" s="16" t="n">
        <v>2287</v>
      </c>
      <c r="F13" s="16" t="n">
        <v>2682</v>
      </c>
      <c r="G13" s="16" t="n">
        <v>3064</v>
      </c>
      <c r="H13" s="16" t="n">
        <v>3453</v>
      </c>
      <c r="I13" s="16" t="n">
        <v>3783</v>
      </c>
    </row>
    <row r="14" customFormat="false" ht="15" hidden="false" customHeight="false" outlineLevel="0" collapsed="false">
      <c r="A14" s="6" t="s">
        <v>96</v>
      </c>
      <c r="B14" s="7" t="n">
        <v>11.99</v>
      </c>
      <c r="C14" s="7" t="n">
        <v>17.46</v>
      </c>
      <c r="D14" s="7" t="n">
        <v>23.51</v>
      </c>
      <c r="E14" s="7" t="n">
        <v>28.6</v>
      </c>
      <c r="F14" s="7" t="n">
        <v>33.5</v>
      </c>
      <c r="G14" s="7" t="n">
        <v>38.3</v>
      </c>
      <c r="H14" s="7" t="n">
        <v>43.2</v>
      </c>
      <c r="I14" s="7" t="n">
        <v>47.3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9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4" t="s">
        <v>49</v>
      </c>
      <c r="B4" s="5" t="s">
        <v>86</v>
      </c>
      <c r="C4" s="5" t="s">
        <v>87</v>
      </c>
      <c r="D4" s="5" t="s">
        <v>88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</row>
    <row r="5" customFormat="false" ht="15" hidden="false" customHeight="false" outlineLevel="0" collapsed="false">
      <c r="A5" s="6" t="s">
        <v>99</v>
      </c>
      <c r="B5" s="8" t="n">
        <v>2900</v>
      </c>
      <c r="C5" s="8" t="n">
        <v>3500</v>
      </c>
      <c r="D5" s="8" t="n">
        <v>4200</v>
      </c>
      <c r="E5" s="8" t="n">
        <v>5000</v>
      </c>
      <c r="F5" s="8" t="n">
        <v>5900</v>
      </c>
      <c r="G5" s="8" t="n">
        <v>6900</v>
      </c>
      <c r="H5" s="8" t="n">
        <v>8000</v>
      </c>
      <c r="I5" s="8" t="n">
        <v>9200</v>
      </c>
    </row>
    <row r="6" customFormat="false" ht="15" hidden="false" customHeight="false" outlineLevel="0" collapsed="false">
      <c r="A6" s="6" t="s">
        <v>100</v>
      </c>
      <c r="B6" s="8" t="n">
        <v>3126</v>
      </c>
      <c r="C6" s="8" t="n">
        <v>4597</v>
      </c>
      <c r="D6" s="8" t="n">
        <v>5354</v>
      </c>
      <c r="E6" s="8" t="n">
        <v>6300</v>
      </c>
      <c r="F6" s="8" t="n">
        <v>7300</v>
      </c>
      <c r="G6" s="8" t="n">
        <v>8300</v>
      </c>
      <c r="H6" s="8" t="n">
        <v>9300</v>
      </c>
      <c r="I6" s="8" t="n">
        <v>10300</v>
      </c>
    </row>
    <row r="7" customFormat="false" ht="15" hidden="false" customHeight="false" outlineLevel="0" collapsed="false">
      <c r="A7" s="15" t="s">
        <v>101</v>
      </c>
      <c r="B7" s="24" t="n">
        <v>6026</v>
      </c>
      <c r="C7" s="24" t="n">
        <v>8097</v>
      </c>
      <c r="D7" s="24" t="n">
        <v>9554</v>
      </c>
      <c r="E7" s="13"/>
      <c r="F7" s="13"/>
      <c r="G7" s="13"/>
      <c r="H7" s="13"/>
      <c r="I7" s="13"/>
    </row>
    <row r="8" customFormat="false" ht="15" hidden="false" customHeight="false" outlineLevel="0" collapsed="false">
      <c r="A8" s="6" t="s">
        <v>102</v>
      </c>
      <c r="B8" s="8" t="n">
        <v>2979</v>
      </c>
      <c r="C8" s="8" t="n">
        <v>4102</v>
      </c>
      <c r="D8" s="8" t="n">
        <v>4261</v>
      </c>
      <c r="E8" s="8" t="n">
        <v>4500</v>
      </c>
      <c r="F8" s="8" t="n">
        <v>4800</v>
      </c>
      <c r="G8" s="8" t="n">
        <v>5100</v>
      </c>
      <c r="H8" s="8" t="n">
        <v>5400</v>
      </c>
      <c r="I8" s="8" t="n">
        <v>5700</v>
      </c>
    </row>
    <row r="9" customFormat="false" ht="15" hidden="false" customHeight="false" outlineLevel="0" collapsed="false">
      <c r="A9" s="9" t="s">
        <v>103</v>
      </c>
      <c r="B9" s="16" t="n">
        <v>3047</v>
      </c>
      <c r="C9" s="16" t="n">
        <v>3994</v>
      </c>
      <c r="D9" s="16" t="n">
        <v>5293</v>
      </c>
      <c r="E9" s="16" t="n">
        <v>6802</v>
      </c>
      <c r="F9" s="16" t="n">
        <v>8572</v>
      </c>
      <c r="G9" s="16" t="n">
        <v>10594</v>
      </c>
      <c r="H9" s="16" t="n">
        <v>12873</v>
      </c>
      <c r="I9" s="16" t="n">
        <v>15370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9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4" t="s">
        <v>49</v>
      </c>
      <c r="B4" s="5" t="s">
        <v>86</v>
      </c>
      <c r="C4" s="5" t="s">
        <v>87</v>
      </c>
      <c r="D4" s="5" t="s">
        <v>88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</row>
    <row r="5" customFormat="false" ht="15" hidden="false" customHeight="false" outlineLevel="0" collapsed="false">
      <c r="A5" s="6" t="s">
        <v>106</v>
      </c>
      <c r="B5" s="8" t="n">
        <v>1706</v>
      </c>
      <c r="C5" s="8" t="n">
        <v>1559</v>
      </c>
      <c r="D5" s="8" t="n">
        <v>1662</v>
      </c>
      <c r="E5" s="8" t="n">
        <v>2521</v>
      </c>
      <c r="F5" s="8" t="n">
        <v>2980</v>
      </c>
      <c r="G5" s="8" t="n">
        <v>3411</v>
      </c>
      <c r="H5" s="8" t="n">
        <v>3848</v>
      </c>
      <c r="I5" s="8" t="n">
        <v>4224</v>
      </c>
    </row>
    <row r="6" customFormat="false" ht="15" hidden="false" customHeight="false" outlineLevel="0" collapsed="false">
      <c r="A6" s="6" t="s">
        <v>107</v>
      </c>
      <c r="B6" s="7"/>
      <c r="C6" s="7"/>
      <c r="D6" s="8" t="n">
        <v>-228</v>
      </c>
      <c r="E6" s="8" t="n">
        <v>-309</v>
      </c>
      <c r="F6" s="8" t="n">
        <v>-350</v>
      </c>
      <c r="G6" s="8" t="n">
        <v>-387</v>
      </c>
      <c r="H6" s="8" t="n">
        <v>-434</v>
      </c>
      <c r="I6" s="8" t="n">
        <v>-477</v>
      </c>
    </row>
    <row r="7" customFormat="false" ht="15" hidden="false" customHeight="false" outlineLevel="0" collapsed="false">
      <c r="A7" s="9" t="s">
        <v>108</v>
      </c>
      <c r="B7" s="10"/>
      <c r="C7" s="16" t="n">
        <v>1027</v>
      </c>
      <c r="D7" s="16" t="n">
        <v>1434</v>
      </c>
      <c r="E7" s="16" t="n">
        <v>2212</v>
      </c>
      <c r="F7" s="16" t="n">
        <v>2630</v>
      </c>
      <c r="G7" s="16" t="n">
        <v>3024</v>
      </c>
      <c r="H7" s="16" t="n">
        <v>3414</v>
      </c>
      <c r="I7" s="16" t="n">
        <v>3747</v>
      </c>
    </row>
    <row r="8" customFormat="false" ht="15" hidden="false" customHeight="false" outlineLevel="0" collapsed="false">
      <c r="A8" s="6" t="s">
        <v>109</v>
      </c>
      <c r="B8" s="8" t="n">
        <v>-441</v>
      </c>
      <c r="C8" s="8" t="n">
        <v>-532</v>
      </c>
      <c r="D8" s="8" t="n">
        <v>-583</v>
      </c>
      <c r="E8" s="8" t="n">
        <v>-620</v>
      </c>
      <c r="F8" s="8" t="n">
        <v>-700</v>
      </c>
      <c r="G8" s="8" t="n">
        <v>-800</v>
      </c>
      <c r="H8" s="8" t="n">
        <v>-910</v>
      </c>
      <c r="I8" s="8" t="n">
        <v>-1030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4" t="s">
        <v>112</v>
      </c>
      <c r="B4" s="5" t="s">
        <v>113</v>
      </c>
      <c r="C4" s="5" t="s">
        <v>114</v>
      </c>
      <c r="D4" s="5" t="s">
        <v>115</v>
      </c>
      <c r="E4" s="5" t="s">
        <v>116</v>
      </c>
    </row>
    <row r="5" customFormat="false" ht="15" hidden="false" customHeight="false" outlineLevel="0" collapsed="false">
      <c r="A5" s="6" t="s">
        <v>117</v>
      </c>
      <c r="B5" s="8" t="n">
        <v>5469</v>
      </c>
      <c r="C5" s="7" t="s">
        <v>118</v>
      </c>
      <c r="D5" s="7" t="s">
        <v>119</v>
      </c>
      <c r="E5" s="7" t="s">
        <v>120</v>
      </c>
    </row>
    <row r="6" customFormat="false" ht="15" hidden="false" customHeight="false" outlineLevel="0" collapsed="false">
      <c r="A6" s="6" t="s">
        <v>121</v>
      </c>
      <c r="B6" s="8" t="n">
        <v>1300</v>
      </c>
      <c r="C6" s="7" t="s">
        <v>122</v>
      </c>
      <c r="D6" s="7" t="s">
        <v>123</v>
      </c>
      <c r="E6" s="7" t="s">
        <v>124</v>
      </c>
    </row>
    <row r="7" customFormat="false" ht="15" hidden="false" customHeight="false" outlineLevel="0" collapsed="false">
      <c r="A7" s="6" t="s">
        <v>125</v>
      </c>
      <c r="B7" s="8" t="n">
        <v>638</v>
      </c>
      <c r="C7" s="7" t="s">
        <v>126</v>
      </c>
      <c r="D7" s="7" t="s">
        <v>127</v>
      </c>
      <c r="E7" s="7" t="s">
        <v>128</v>
      </c>
    </row>
    <row r="8" customFormat="false" ht="15" hidden="false" customHeight="false" outlineLevel="0" collapsed="false">
      <c r="A8" s="9" t="s">
        <v>129</v>
      </c>
      <c r="B8" s="16" t="n">
        <v>7407</v>
      </c>
      <c r="C8" s="10" t="s">
        <v>31</v>
      </c>
      <c r="D8" s="10" t="s">
        <v>130</v>
      </c>
      <c r="E8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4" t="s">
        <v>134</v>
      </c>
      <c r="B4" s="5" t="s">
        <v>135</v>
      </c>
      <c r="C4" s="5" t="s">
        <v>136</v>
      </c>
      <c r="D4" s="5" t="s">
        <v>137</v>
      </c>
      <c r="E4" s="5" t="s">
        <v>138</v>
      </c>
    </row>
    <row r="5" customFormat="false" ht="15" hidden="false" customHeight="false" outlineLevel="0" collapsed="false">
      <c r="A5" s="6" t="s">
        <v>139</v>
      </c>
      <c r="B5" s="7" t="n">
        <v>529</v>
      </c>
      <c r="C5" s="7" t="n">
        <v>593</v>
      </c>
      <c r="D5" s="7" t="n">
        <v>656</v>
      </c>
      <c r="E5" s="7" t="n">
        <v>719</v>
      </c>
    </row>
    <row r="7" customFormat="false" ht="15" hidden="false" customHeight="false" outlineLevel="0" collapsed="false">
      <c r="A7" s="4" t="s">
        <v>140</v>
      </c>
      <c r="B7" s="5" t="s">
        <v>137</v>
      </c>
      <c r="C7" s="5" t="s">
        <v>141</v>
      </c>
      <c r="D7" s="5" t="s">
        <v>142</v>
      </c>
      <c r="E7" s="5" t="s">
        <v>143</v>
      </c>
    </row>
    <row r="8" customFormat="false" ht="15" hidden="false" customHeight="false" outlineLevel="0" collapsed="false">
      <c r="A8" s="6" t="s">
        <v>139</v>
      </c>
      <c r="B8" s="7" t="n">
        <v>572</v>
      </c>
      <c r="C8" s="7" t="n">
        <v>686</v>
      </c>
      <c r="D8" s="7" t="n">
        <v>800</v>
      </c>
      <c r="E8" s="7" t="n">
        <v>915</v>
      </c>
    </row>
    <row r="10" customFormat="false" ht="15" hidden="false" customHeight="false" outlineLevel="0" collapsed="false">
      <c r="A10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8" min="3" style="0" width="9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15" hidden="false" customHeight="false" outlineLevel="0" collapsed="false">
      <c r="A4" s="4" t="s">
        <v>147</v>
      </c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</row>
    <row r="5" customFormat="false" ht="15" hidden="false" customHeight="false" outlineLevel="0" collapsed="false">
      <c r="A5" s="6" t="s">
        <v>155</v>
      </c>
      <c r="B5" s="7" t="n">
        <v>547</v>
      </c>
      <c r="C5" s="7" t="n">
        <v>575</v>
      </c>
      <c r="D5" s="7" t="n">
        <v>616</v>
      </c>
      <c r="E5" s="7" t="n">
        <v>660</v>
      </c>
      <c r="F5" s="7" t="n">
        <v>706</v>
      </c>
      <c r="G5" s="7" t="n">
        <v>758</v>
      </c>
      <c r="H5" s="7" t="n">
        <v>798</v>
      </c>
    </row>
    <row r="6" customFormat="false" ht="15" hidden="false" customHeight="false" outlineLevel="0" collapsed="false">
      <c r="A6" s="6" t="s">
        <v>156</v>
      </c>
      <c r="B6" s="7" t="n">
        <v>480</v>
      </c>
      <c r="C6" s="7" t="n">
        <v>522</v>
      </c>
      <c r="D6" s="7" t="n">
        <v>589</v>
      </c>
      <c r="E6" s="7" t="n">
        <v>662</v>
      </c>
      <c r="F6" s="7" t="n">
        <v>746</v>
      </c>
      <c r="G6" s="7" t="n">
        <v>843</v>
      </c>
      <c r="H6" s="7" t="n">
        <v>920</v>
      </c>
    </row>
    <row r="8" customFormat="false" ht="15" hidden="false" customHeight="false" outlineLevel="0" collapsed="false">
      <c r="A8" s="4" t="s">
        <v>157</v>
      </c>
      <c r="B8" s="5" t="s">
        <v>158</v>
      </c>
    </row>
    <row r="9" customFormat="false" ht="15" hidden="false" customHeight="false" outlineLevel="0" collapsed="false">
      <c r="A9" s="6" t="s">
        <v>159</v>
      </c>
      <c r="B9" s="7" t="s">
        <v>160</v>
      </c>
    </row>
    <row r="10" customFormat="false" ht="15" hidden="false" customHeight="false" outlineLevel="0" collapsed="false">
      <c r="A10" s="6" t="s">
        <v>161</v>
      </c>
      <c r="B10" s="7" t="s">
        <v>162</v>
      </c>
    </row>
    <row r="11" customFormat="false" ht="15" hidden="false" customHeight="false" outlineLevel="0" collapsed="false">
      <c r="A11" s="6" t="s">
        <v>163</v>
      </c>
      <c r="B11" s="7" t="s">
        <v>164</v>
      </c>
    </row>
    <row r="12" customFormat="false" ht="15" hidden="false" customHeight="false" outlineLevel="0" collapsed="false">
      <c r="A12" s="6" t="s">
        <v>165</v>
      </c>
      <c r="B12" s="7" t="s">
        <v>166</v>
      </c>
    </row>
    <row r="13" customFormat="false" ht="15" hidden="false" customHeight="false" outlineLevel="0" collapsed="false">
      <c r="A13" s="6" t="s">
        <v>167</v>
      </c>
      <c r="B13" s="7" t="s">
        <v>168</v>
      </c>
    </row>
    <row r="15" customFormat="false" ht="15" hidden="false" customHeight="false" outlineLevel="0" collapsed="false">
      <c r="A15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0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4" t="s">
        <v>172</v>
      </c>
      <c r="B4" s="5" t="s">
        <v>173</v>
      </c>
      <c r="C4" s="5" t="s">
        <v>174</v>
      </c>
      <c r="D4" s="5" t="s">
        <v>175</v>
      </c>
      <c r="E4" s="5" t="s">
        <v>176</v>
      </c>
      <c r="F4" s="5" t="s">
        <v>177</v>
      </c>
    </row>
    <row r="5" customFormat="false" ht="15" hidden="false" customHeight="false" outlineLevel="0" collapsed="false">
      <c r="A5" s="25" t="s">
        <v>178</v>
      </c>
      <c r="B5" s="26" t="n">
        <f aca="false">((DCF!B13/(1+0.075)^1+DCF!C13/(1+0.075)^2+DCF!D13/(1+0.075)^3+DCF!E13/(1+0.075)^4+DCF!F13/(1+0.075)^5)+DCF!F13*(1+0.03)/(0.075-0.03)/(1+0.075)^5+Assumptions!B16)/Assumptions!B6</f>
        <v>861.98261389539</v>
      </c>
      <c r="C5" s="26" t="n">
        <f aca="false">((DCF!B13/(1+0.075)^1+DCF!C13/(1+0.075)^2+DCF!D13/(1+0.075)^3+DCF!E13/(1+0.075)^4+DCF!F13/(1+0.075)^5)+DCF!F13*(1+0.035)/(0.075-0.035)/(1+0.075)^5+Assumptions!B16)/Assumptions!B6</f>
        <v>953.318922152745</v>
      </c>
      <c r="D5" s="26" t="n">
        <f aca="false">((DCF!B13/(1+0.075)^1+DCF!C13/(1+0.075)^2+DCF!D13/(1+0.075)^3+DCF!E13/(1+0.075)^4+DCF!F13/(1+0.075)^5)+DCF!F13*(1+0.04)/(0.075-0.04)/(1+0.075)^5+Assumptions!B16)/Assumptions!B6</f>
        <v>1070.75131848363</v>
      </c>
      <c r="E5" s="26" t="n">
        <f aca="false">((DCF!B13/(1+0.075)^1+DCF!C13/(1+0.075)^2+DCF!D13/(1+0.075)^3+DCF!E13/(1+0.075)^4+DCF!F13/(1+0.075)^5)+DCF!F13*(1+0.045)/(0.075-0.045)/(1+0.075)^5+Assumptions!B16)/Assumptions!B6</f>
        <v>1227.32784692481</v>
      </c>
      <c r="F5" s="26" t="n">
        <f aca="false">((DCF!B13/(1+0.075)^1+DCF!C13/(1+0.075)^2+DCF!D13/(1+0.075)^3+DCF!E13/(1+0.075)^4+DCF!F13/(1+0.075)^5)+DCF!F13*(1+0.05)/(0.075-0.05)/(1+0.075)^5+Assumptions!B16)/Assumptions!B6</f>
        <v>1446.53498674246</v>
      </c>
    </row>
    <row r="6" customFormat="false" ht="15" hidden="false" customHeight="false" outlineLevel="0" collapsed="false">
      <c r="A6" s="25" t="s">
        <v>179</v>
      </c>
      <c r="B6" s="26" t="n">
        <f aca="false">((DCF!B13/(1+0.09)^1+DCF!C13/(1+0.09)^2+DCF!D13/(1+0.09)^3+DCF!E13/(1+0.09)^4+DCF!F13/(1+0.09)^5)+DCF!F13*(1+0.03)/(0.09-0.03)/(1+0.09)^5+Assumptions!B16)/Assumptions!B6</f>
        <v>645.967105543144</v>
      </c>
      <c r="C6" s="26" t="n">
        <f aca="false">((DCF!B13/(1+0.09)^1+DCF!C13/(1+0.09)^2+DCF!D13/(1+0.09)^3+DCF!E13/(1+0.09)^4+DCF!F13/(1+0.09)^5)+DCF!F13*(1+0.035)/(0.09-0.035)/(1+0.09)^5+Assumptions!B16)/Assumptions!B6</f>
        <v>693.100626577807</v>
      </c>
      <c r="D6" s="26" t="n">
        <f aca="false">((DCF!B13/(1+0.09)^1+DCF!C13/(1+0.09)^2+DCF!D13/(1+0.09)^3+DCF!E13/(1+0.09)^4+DCF!F13/(1+0.09)^5)+DCF!F13*(1+0.04)/(0.09-0.04)/(1+0.09)^5+Assumptions!B16)/Assumptions!B6</f>
        <v>749.660851819403</v>
      </c>
      <c r="E6" s="26" t="n">
        <f aca="false">((DCF!B13/(1+0.09)^1+DCF!C13/(1+0.09)^2+DCF!D13/(1+0.09)^3+DCF!E13/(1+0.09)^4+DCF!F13/(1+0.09)^5)+DCF!F13*(1+0.045)/(0.09-0.045)/(1+0.09)^5+Assumptions!B16)/Assumptions!B6</f>
        <v>818.790016003575</v>
      </c>
      <c r="F6" s="26" t="n">
        <f aca="false">((DCF!B13/(1+0.09)^1+DCF!C13/(1+0.09)^2+DCF!D13/(1+0.09)^3+DCF!E13/(1+0.09)^4+DCF!F13/(1+0.09)^5)+DCF!F13*(1+0.05)/(0.09-0.05)/(1+0.09)^5+Assumptions!B16)/Assumptions!B6</f>
        <v>905.20147123379</v>
      </c>
    </row>
    <row r="7" customFormat="false" ht="15" hidden="false" customHeight="false" outlineLevel="0" collapsed="false">
      <c r="A7" s="25" t="s">
        <v>180</v>
      </c>
      <c r="B7" s="26" t="n">
        <f aca="false">((DCF!B13/(1+0.1051)^1+DCF!C13/(1+0.1051)^2+DCF!D13/(1+0.1051)^3+DCF!E13/(1+0.1051)^4+DCF!F13/(1+0.1051)^5)+DCF!F13*(1+0.03)/(0.1051-0.03)/(1+0.1051)^5+Assumptions!B16)/Assumptions!B6</f>
        <v>515.930374153805</v>
      </c>
      <c r="C7" s="26" t="n">
        <f aca="false">((DCF!B13/(1+0.1051)^1+DCF!C13/(1+0.1051)^2+DCF!D13/(1+0.1051)^3+DCF!E13/(1+0.1051)^4+DCF!F13/(1+0.1051)^5)+DCF!F13*(1+0.035)/(0.1051-0.035)/(1+0.1051)^5+Assumptions!B16)/Assumptions!B6</f>
        <v>543.89348892943</v>
      </c>
      <c r="D7" s="16" t="n">
        <f aca="false">((DCF!B13/(1+0.1051)^1+DCF!C13/(1+0.1051)^2+DCF!D13/(1+0.1051)^3+DCF!E13/(1+0.1051)^4+DCF!F13/(1+0.1051)^5)+DCF!F13*(1+0.04)/(0.1051-0.04)/(1+0.1051)^5+Assumptions!B16)/Assumptions!B6</f>
        <v>576.152013040789</v>
      </c>
      <c r="E7" s="26" t="n">
        <f aca="false">((DCF!B13/(1+0.1051)^1+DCF!C13/(1+0.1051)^2+DCF!D13/(1+0.1051)^3+DCF!E13/(1+0.1051)^4+DCF!F13/(1+0.1051)^5)+DCF!F13*(1+0.045)/(0.1051-0.045)/(1+0.1051)^5+Assumptions!B16)/Assumptions!B6</f>
        <v>613.778012045885</v>
      </c>
      <c r="F7" s="26" t="n">
        <f aca="false">((DCF!B13/(1+0.1051)^1+DCF!C13/(1+0.1051)^2+DCF!D13/(1+0.1051)^3+DCF!E13/(1+0.1051)^4+DCF!F13/(1+0.1051)^5)+DCF!F13*(1+0.05)/(0.1051-0.05)/(1+0.1051)^5+Assumptions!B16)/Assumptions!B6</f>
        <v>658.232686006533</v>
      </c>
    </row>
    <row r="8" customFormat="false" ht="15" hidden="false" customHeight="false" outlineLevel="0" collapsed="false">
      <c r="A8" s="25" t="s">
        <v>181</v>
      </c>
      <c r="B8" s="26" t="n">
        <f aca="false">((DCF!B13/(1+0.12)^1+DCF!C13/(1+0.12)^2+DCF!D13/(1+0.12)^3+DCF!E13/(1+0.12)^4+DCF!F13/(1+0.12)^5)+DCF!F13*(1+0.03)/(0.12-0.03)/(1+0.12)^5+Assumptions!B16)/Assumptions!B6</f>
        <v>430.588835785477</v>
      </c>
      <c r="C8" s="26" t="n">
        <f aca="false">((DCF!B13/(1+0.12)^1+DCF!C13/(1+0.12)^2+DCF!D13/(1+0.12)^3+DCF!E13/(1+0.12)^4+DCF!F13/(1+0.12)^5)+DCF!F13*(1+0.035)/(0.12-0.035)/(1+0.12)^5+Assumptions!B16)/Assumptions!B6</f>
        <v>448.828476950902</v>
      </c>
      <c r="D8" s="26" t="n">
        <f aca="false">((DCF!B13/(1+0.12)^1+DCF!C13/(1+0.12)^2+DCF!D13/(1+0.12)^3+DCF!E13/(1+0.12)^4+DCF!F13/(1+0.12)^5)+DCF!F13*(1+0.04)/(0.12-0.04)/(1+0.12)^5+Assumptions!B16)/Assumptions!B6</f>
        <v>469.348073262006</v>
      </c>
      <c r="E8" s="26" t="n">
        <f aca="false">((DCF!B13/(1+0.12)^1+DCF!C13/(1+0.12)^2+DCF!D13/(1+0.12)^3+DCF!E13/(1+0.12)^4+DCF!F13/(1+0.12)^5)+DCF!F13*(1+0.045)/(0.12-0.045)/(1+0.12)^5+Assumptions!B16)/Assumptions!B6</f>
        <v>492.603615747923</v>
      </c>
      <c r="F8" s="26" t="n">
        <f aca="false">((DCF!B13/(1+0.12)^1+DCF!C13/(1+0.12)^2+DCF!D13/(1+0.12)^3+DCF!E13/(1+0.12)^4+DCF!F13/(1+0.12)^5)+DCF!F13*(1+0.05)/(0.12-0.05)/(1+0.12)^5+Assumptions!B16)/Assumptions!B6</f>
        <v>519.181378588971</v>
      </c>
    </row>
    <row r="9" customFormat="false" ht="15" hidden="false" customHeight="false" outlineLevel="0" collapsed="false">
      <c r="A9" s="25" t="s">
        <v>182</v>
      </c>
      <c r="B9" s="26" t="n">
        <f aca="false">((DCF!B13/(1+0.135)^1+DCF!C13/(1+0.135)^2+DCF!D13/(1+0.135)^3+DCF!E13/(1+0.135)^4+DCF!F13/(1+0.135)^5)+DCF!F13*(1+0.03)/(0.135-0.03)/(1+0.135)^5+Assumptions!B16)/Assumptions!B6</f>
        <v>369.301499368696</v>
      </c>
      <c r="C9" s="26" t="n">
        <f aca="false">((DCF!B13/(1+0.135)^1+DCF!C13/(1+0.135)^2+DCF!D13/(1+0.135)^3+DCF!E13/(1+0.135)^4+DCF!F13/(1+0.135)^5)+DCF!F13*(1+0.035)/(0.135-0.035)/(1+0.135)^5+Assumptions!B16)/Assumptions!B6</f>
        <v>381.901688694147</v>
      </c>
      <c r="D9" s="26" t="n">
        <f aca="false">((DCF!B13/(1+0.135)^1+DCF!C13/(1+0.135)^2+DCF!D13/(1+0.135)^3+DCF!E13/(1+0.135)^4+DCF!F13/(1+0.135)^5)+DCF!F13*(1+0.04)/(0.135-0.04)/(1+0.135)^5+Assumptions!B16)/Assumptions!B6</f>
        <v>395.828213738067</v>
      </c>
      <c r="E9" s="26" t="n">
        <f aca="false">((DCF!B13/(1+0.135)^1+DCF!C13/(1+0.135)^2+DCF!D13/(1+0.135)^3+DCF!E13/(1+0.135)^4+DCF!F13/(1+0.135)^5)+DCF!F13*(1+0.045)/(0.135-0.045)/(1+0.135)^5+Assumptions!B16)/Assumptions!B6</f>
        <v>411.302130453534</v>
      </c>
      <c r="F9" s="26" t="n">
        <f aca="false">((DCF!B13/(1+0.135)^1+DCF!C13/(1+0.135)^2+DCF!D13/(1+0.135)^3+DCF!E13/(1+0.135)^4+DCF!F13/(1+0.135)^5)+DCF!F13*(1+0.05)/(0.135-0.05)/(1+0.135)^5+Assumptions!B16)/Assumptions!B6</f>
        <v>428.596507959055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5" min="4" style="0" width="11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4" t="s">
        <v>185</v>
      </c>
      <c r="B4" s="5" t="s">
        <v>86</v>
      </c>
      <c r="C4" s="5" t="s">
        <v>87</v>
      </c>
      <c r="D4" s="5" t="s">
        <v>88</v>
      </c>
      <c r="E4" s="5" t="s">
        <v>59</v>
      </c>
    </row>
    <row r="5" customFormat="false" ht="15" hidden="false" customHeight="false" outlineLevel="0" collapsed="false">
      <c r="A5" s="6" t="s">
        <v>96</v>
      </c>
      <c r="B5" s="7" t="n">
        <v>11.99</v>
      </c>
      <c r="C5" s="7" t="n">
        <v>17.46</v>
      </c>
      <c r="D5" s="7" t="n">
        <v>23.51</v>
      </c>
      <c r="E5" s="7" t="n">
        <v>28.6</v>
      </c>
    </row>
    <row r="6" customFormat="false" ht="15" hidden="false" customHeight="false" outlineLevel="0" collapsed="false">
      <c r="A6" s="6" t="s">
        <v>186</v>
      </c>
      <c r="B6" s="7" t="n">
        <v>5.5</v>
      </c>
      <c r="C6" s="7" t="n">
        <v>6.65</v>
      </c>
      <c r="D6" s="7" t="n">
        <v>7.29</v>
      </c>
      <c r="E6" s="7" t="n">
        <v>7.75</v>
      </c>
    </row>
    <row r="7" customFormat="false" ht="15" hidden="false" customHeight="false" outlineLevel="0" collapsed="false">
      <c r="A7" s="6" t="s">
        <v>187</v>
      </c>
      <c r="B7" s="7" t="n">
        <v>38.1</v>
      </c>
      <c r="C7" s="7" t="n">
        <v>49.9</v>
      </c>
      <c r="D7" s="7" t="n">
        <v>66.2</v>
      </c>
      <c r="E7" s="7" t="n">
        <v>85</v>
      </c>
    </row>
    <row r="8" customFormat="false" ht="15" hidden="false" customHeight="false" outlineLevel="0" collapsed="false">
      <c r="A8" s="6" t="s">
        <v>116</v>
      </c>
      <c r="B8" s="7" t="s">
        <v>188</v>
      </c>
      <c r="C8" s="7" t="s">
        <v>189</v>
      </c>
      <c r="D8" s="7" t="s">
        <v>131</v>
      </c>
      <c r="E8" s="7" t="s">
        <v>190</v>
      </c>
    </row>
    <row r="9" customFormat="false" ht="15" hidden="false" customHeight="false" outlineLevel="0" collapsed="false">
      <c r="A9" s="6" t="s">
        <v>53</v>
      </c>
      <c r="B9" s="7" t="s">
        <v>191</v>
      </c>
      <c r="C9" s="7" t="s">
        <v>192</v>
      </c>
      <c r="D9" s="7" t="s">
        <v>192</v>
      </c>
      <c r="E9" s="7" t="s">
        <v>193</v>
      </c>
    </row>
    <row r="10" customFormat="false" ht="15" hidden="false" customHeight="false" outlineLevel="0" collapsed="false">
      <c r="A10" s="6" t="s">
        <v>194</v>
      </c>
      <c r="B10" s="7" t="s">
        <v>195</v>
      </c>
      <c r="C10" s="7" t="s">
        <v>196</v>
      </c>
      <c r="D10" s="7" t="s">
        <v>197</v>
      </c>
      <c r="E10" s="7" t="s">
        <v>198</v>
      </c>
    </row>
    <row r="11" customFormat="false" ht="15" hidden="false" customHeight="false" outlineLevel="0" collapsed="false">
      <c r="A11" s="6" t="s">
        <v>199</v>
      </c>
      <c r="B11" s="7" t="s">
        <v>28</v>
      </c>
      <c r="C11" s="7" t="s">
        <v>200</v>
      </c>
      <c r="D11" s="7" t="s">
        <v>201</v>
      </c>
      <c r="E11" s="7" t="s">
        <v>200</v>
      </c>
    </row>
    <row r="12" customFormat="false" ht="15" hidden="false" customHeight="false" outlineLevel="0" collapsed="false">
      <c r="A12" s="6" t="s">
        <v>202</v>
      </c>
      <c r="B12" s="7" t="s">
        <v>203</v>
      </c>
      <c r="C12" s="7" t="s">
        <v>204</v>
      </c>
      <c r="D12" s="7" t="s">
        <v>205</v>
      </c>
      <c r="E12" s="7" t="s">
        <v>204</v>
      </c>
    </row>
    <row r="14" customFormat="false" ht="15" hidden="false" customHeight="false" outlineLevel="0" collapsed="false">
      <c r="A14" s="4" t="s">
        <v>206</v>
      </c>
      <c r="B14" s="5" t="s">
        <v>207</v>
      </c>
      <c r="C14" s="5" t="s">
        <v>208</v>
      </c>
    </row>
    <row r="15" customFormat="false" ht="15" hidden="false" customHeight="false" outlineLevel="0" collapsed="false">
      <c r="A15" s="6" t="s">
        <v>209</v>
      </c>
      <c r="B15" s="7" t="s">
        <v>210</v>
      </c>
      <c r="C15" s="7" t="s">
        <v>211</v>
      </c>
    </row>
    <row r="16" customFormat="false" ht="15" hidden="false" customHeight="false" outlineLevel="0" collapsed="false">
      <c r="A16" s="6" t="s">
        <v>212</v>
      </c>
      <c r="B16" s="7" t="s">
        <v>213</v>
      </c>
      <c r="C16" s="7" t="s">
        <v>28</v>
      </c>
    </row>
    <row r="17" customFormat="false" ht="15" hidden="false" customHeight="false" outlineLevel="0" collapsed="false">
      <c r="A17" s="6" t="s">
        <v>214</v>
      </c>
      <c r="B17" s="7" t="s">
        <v>215</v>
      </c>
      <c r="C17" s="7" t="s">
        <v>216</v>
      </c>
    </row>
    <row r="18" customFormat="false" ht="15" hidden="false" customHeight="false" outlineLevel="0" collapsed="false">
      <c r="A18" s="6" t="s">
        <v>217</v>
      </c>
      <c r="B18" s="7" t="s">
        <v>218</v>
      </c>
      <c r="C18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2026-07-10T08:32:18Z</dcterms:created>
  <dc:creator>openpyxl</dc:creator>
  <dc:description/>
  <dc:language>en-US</dc:language>
  <cp:lastModifiedBy/>
  <dcterms:modified xsi:type="dcterms:W3CDTF">2026-07-10T08:32:18Z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