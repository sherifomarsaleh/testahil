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FIRST" sheetId="1" state="visible" r:id="rId3"/>
    <sheet name="Summary" sheetId="2" state="visible" r:id="rId4"/>
    <sheet name="Assumptions" sheetId="3" state="visible" r:id="rId5"/>
    <sheet name="Driver Build" sheetId="4" state="visible" r:id="rId6"/>
    <sheet name="DDM" sheetId="5" state="visible" r:id="rId7"/>
    <sheet name="FCFE" sheetId="6" state="visible" r:id="rId8"/>
    <sheet name="Residual Income" sheetId="7" state="visible" r:id="rId9"/>
    <sheet name="Relative &amp; Normalized" sheetId="8" state="visible" r:id="rId10"/>
    <sheet name="Income Statement" sheetId="9" state="visible" r:id="rId11"/>
    <sheet name="Balance Sheet" sheetId="10" state="visible" r:id="rId12"/>
    <sheet name="Cash Flow" sheetId="11" state="visible" r:id="rId13"/>
    <sheet name="Monte Carlo" sheetId="12" state="visible" r:id="rId14"/>
    <sheet name="Sensitivity" sheetId="13" state="visible" r:id="rId15"/>
    <sheet name="Per-Share &amp; Ratios" sheetId="14" state="visible" r:id="rId16"/>
    <sheet name="Peer &amp; Sector" sheetId="15" state="visible" r:id="rId17"/>
    <sheet name="Earnings Drivers" sheetId="16" state="visible" r:id="rId18"/>
    <sheet name="Summary Financials" sheetId="17" state="visible" r:id="rId19"/>
    <sheet name="Sweep Register" sheetId="18" state="visible" r:id="rId20"/>
    <sheet name="Ledger" sheetId="19" state="visible" r:id="rId2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<sst xmlns="http://schemas.openxmlformats.org/spreadsheetml/2006/main" count="871" uniqueCount="636">
  <si>
    <t xml:space="preserve">Abu Dhabi Islamic Bank PJSC (ADX: ADIB) — valuation model</t>
  </si>
  <si>
    <t xml:space="preserve">Testahil · Independent Valuation Study — Educational Analysis · Not investment advice · 11 July 2026</t>
  </si>
  <si>
    <t xml:space="preserve">WHAT THIS IS. A working model, not a recommendation. It contains no rating and no price target. It produces fair-value ranges and probability distributions — distributions, not tips.</t>
  </si>
  <si>
    <t xml:space="preserve">WHO WE ARE NOT. The preparer is not licensed by the FRA, the SCA or any securities regulator, holds no CFA charter, and this workbook has not been reviewed by any authority.</t>
  </si>
  <si>
    <t xml:space="preserve">HOW TO USE IT. Every input in the model lives once, in blue, on the Assumptions sheet. Every other cell on every other sheet is a formula. Change one blue cell and the whole model reprices — that is the point of it. If you disagree with a driver, edit it and watch the answer move.</t>
  </si>
  <si>
    <t xml:space="preserve">THE TWO CLOCKS. The weighted central (AED 21.23) is a risk-adjusted ~12-month anchor built from five independent lenses. The only genuinely 3-month figures are the Monte Carlo percentiles on the Monte Carlo sheet. Never read one clock as the other.</t>
  </si>
  <si>
    <t xml:space="preserve">PROVENANCE. Every historical figure is taken from ADIB's own filings — the FY2023, FY2024 and FY2025 Management Discussion &amp; Analysis, the FY2025 earnings presentation, and the Q1-2026 MD&amp;A. No aggregator was used for any financial-statement line. Market prices, index levels and yields are market data and are sourced as such.</t>
  </si>
  <si>
    <t xml:space="preserve">CALIBRATION. Step 0 verdict for ADIB: PARITY, on a CRPS skill of +0.0093 against a carry-anchored random walk across 14 walk-forward windows. The tail and width parameters are NOT chosen — they are read live from the engine registry, where they are fitted to a 14-name UAE panel. The distribution is honestly calibrated and validated on that panel, but on ADIB's own 14 windows the confidence interval spans zero, so no single-name forecasting edge has been demonstrated. Read it as a base rate, not a promise.</t>
  </si>
  <si>
    <t xml:space="preserve">CRUX. ADIB trades at 3.31x book against a sector at 1.55x. Its 28.8% return on equity earns most of that premium — but not all of it. Everything in this model turns on how long a ~25% ROE lasts.</t>
  </si>
  <si>
    <t xml:space="preserve">Colour key: BLUE = a hard-coded input you may edit · BLACK = a formula · GREEN = a link to another sheet.</t>
  </si>
  <si>
    <t xml:space="preserve">Summary — the whole answer in one view</t>
  </si>
  <si>
    <t xml:space="preserve">Every figure below is a live link. Nothing on this sheet is typed.</t>
  </si>
  <si>
    <t xml:space="preserve">THE BOTTOM LINE</t>
  </si>
  <si>
    <t xml:space="preserve">Spot (AED, 03-Jul-2026 close)</t>
  </si>
  <si>
    <t xml:space="preserve">FAIR-VALUE RANGE — the primary object (see §1.7)</t>
  </si>
  <si>
    <t xml:space="preserve">  Market-anchored family (relative / normalized)</t>
  </si>
  <si>
    <t xml:space="preserve">  Cash-flow family (DDM / residual income / FCFE)</t>
  </si>
  <si>
    <t xml:space="preserve">Weighted central (a probability-weighted SUMMARY — not a target)</t>
  </si>
  <si>
    <t xml:space="preserve">Implied gap to central</t>
  </si>
  <si>
    <t xml:space="preserve">THE FIVE LENSES</t>
  </si>
  <si>
    <t xml:space="preserve">Dividend discount model (primary)</t>
  </si>
  <si>
    <t xml:space="preserve">Free cash flow to equity (equity DCF)</t>
  </si>
  <si>
    <t xml:space="preserve">Residual income</t>
  </si>
  <si>
    <t xml:space="preserve">Relative multiples (ROE-adjusted)</t>
  </si>
  <si>
    <t xml:space="preserve">Normalized / through-cycle</t>
  </si>
  <si>
    <t xml:space="preserve">WHAT THE PRICE IMPLIES</t>
  </si>
  <si>
    <t xml:space="preserve">Price / book (latest reported, Q1-26)</t>
  </si>
  <si>
    <t xml:space="preserve">Price / book (last audited FY, Dec-25)</t>
  </si>
  <si>
    <t xml:space="preserve">Forward P/E (FY26E)</t>
  </si>
  <si>
    <t xml:space="preserve">Perpetual ROE the price implies at Ke</t>
  </si>
  <si>
    <t xml:space="preserve">ADIB actual ROE — FY25 reported</t>
  </si>
  <si>
    <t xml:space="preserve">ADIB target ROE — management 2030</t>
  </si>
  <si>
    <t xml:space="preserve">UAE bank sector ROE</t>
  </si>
  <si>
    <t xml:space="preserve">THREE-MONTH VIEW (Monte Carlo — the only 3-month figures here)</t>
  </si>
  <si>
    <t xml:space="preserve">P(price above spot) at T+60</t>
  </si>
  <si>
    <t xml:space="preserve">Median outcome at T+60</t>
  </si>
  <si>
    <t xml:space="preserve">50% band (25th–75th)</t>
  </si>
  <si>
    <t xml:space="preserve">Assumptions — the single blue-input layer</t>
  </si>
  <si>
    <t xml:space="preserve">Every input in the model lives here, once, in blue. Every other cell in this workbook is a formula.</t>
  </si>
  <si>
    <t xml:space="preserve">MARKET</t>
  </si>
  <si>
    <t xml:space="preserve">Last close in the OHLC series used for the Monte Carlo. Market data.</t>
  </si>
  <si>
    <t xml:space="preserve">Shares outstanding (mn)</t>
  </si>
  <si>
    <t xml:space="preserve">Share capital AED 3,632mn at AED 1 par — ADIB FY25 MD&amp;A balance sheet.</t>
  </si>
  <si>
    <t xml:space="preserve">Market cap (AED bn)</t>
  </si>
  <si>
    <t xml:space="preserve">FY25 DPS (AED) — the carry anchor's dividend yield</t>
  </si>
  <si>
    <t xml:space="preserve">97.05 fils, AGM-approved 04-Mar-2026 (ADIB FY25 MD&amp;A: total payout AED 3,525mn = 50% of net profit).</t>
  </si>
  <si>
    <t xml:space="preserve">COST OF EQUITY (Ke)</t>
  </si>
  <si>
    <t xml:space="preserve">Risk-free (AED 10Y — constructed, flagged)</t>
  </si>
  <si>
    <t xml:space="preserve">UST 10Y 4.58% + ~12bp AED T-bond spread (UAE MoF May-2026 auctions). FLAGGED estimate: no live AED long-curve screen exists. House peg rule: never shortcut rf to the US Treasury yield.</t>
  </si>
  <si>
    <t xml:space="preserve">ERP — rating-based</t>
  </si>
  <si>
    <t xml:space="preserve">Damodaran ORIGINAL ctryprem.html, 5-Jan-2026 vintage, ABU DHABI row: Aa2, CRP 0.64% + mature-market 4.23%.</t>
  </si>
  <si>
    <t xml:space="preserve">ERP — CDS-based (the "more current" alternative)</t>
  </si>
  <si>
    <t xml:space="preserve">Same row, sovereign CDS 0.46% -&gt; CDS-based ERP 4.93%. Both bases published, per house rule.</t>
  </si>
  <si>
    <t xml:space="preserve">Beta</t>
  </si>
  <si>
    <t xml:space="preserve">ASSUMED 1.00. A regression against the FTSE ADX General Index was genuinely attempted; only a 21-observation stale window was obtainable, failing RegressionBetaAttempt.is_usable() (n&gt;=24). Sensitized 0.8-1.3 on the Sensitivity sheet. Never a foreign sector-peer beta.</t>
  </si>
  <si>
    <t xml:space="preserve">Regional-conflict adder</t>
  </si>
  <si>
    <t xml:space="preserve">2026 Iran/Hormuz conflict. Same 1.0pt adder as the ADCB study (same market, same week). The ceasefire frayed on ~10-Jul-2026 — see Sensitivity for the 0 &lt;-&gt; 2.5pt map.</t>
  </si>
  <si>
    <t xml:space="preserve">Ke = rf + beta x ERP + adder</t>
  </si>
  <si>
    <t xml:space="preserve">Terminal growth g</t>
  </si>
  <si>
    <t xml:space="preserve">UAE nominal GDP ~7% (real 5.3% + inflation 1.8%, ADIB FY25 deck). A bank does not outgrow nominal GDP in perpetuity. Sensitized 3.0-4.5%.</t>
  </si>
  <si>
    <t xml:space="preserve">Terminal ROE</t>
  </si>
  <si>
    <t xml:space="preserve">LEDGER ROW. Deliberate fade from management's ~25% 2030 target toward — but still above — the 18.3% sector average. THE crux: see the Sensitivity sheet's Ke x terminal-ROE grid.</t>
  </si>
  <si>
    <t xml:space="preserve">DRIVER PATHS (FY26E–FY30E)</t>
  </si>
  <si>
    <t xml:space="preserve">FY26E</t>
  </si>
  <si>
    <t xml:space="preserve">FY27E</t>
  </si>
  <si>
    <t xml:space="preserve">FY28E</t>
  </si>
  <si>
    <t xml:space="preserve">FY29E</t>
  </si>
  <si>
    <t xml:space="preserve">FY30E</t>
  </si>
  <si>
    <t xml:space="preserve">Gross financing growth %</t>
  </si>
  <si>
    <t xml:space="preserve">FY26 guidance 12-14% (ADIB FY25 earnings presentation, Outlook &amp; Guidance). Glide to 9% by FY30. Implies total assets ~1.68x FY25 by 2030 vs management's 1.7-1.9x target — at/below the bottom of the range.</t>
  </si>
  <si>
    <t xml:space="preserve">Net profit margin % (on avg earning assets)</t>
  </si>
  <si>
    <t xml:space="preserve">FY26 guidance 3.8-4.0%; Q1-26 printed 3.91%. The grind to 3.70% is MIX (retail 56%-&gt;55%, GRE 24%-&gt;26%), not rates — the Fed is now expected to hold or hike, which is supportive.</t>
  </si>
  <si>
    <t xml:space="preserve">Non-funded income growth %</t>
  </si>
  <si>
    <t xml:space="preserve">Q1-26 ran +4% YoY on softer transaction activity (official). FY26 held at +4%; recovery to +8% after.</t>
  </si>
  <si>
    <t xml:space="preserve">Cost-to-income ratio %</t>
  </si>
  <si>
    <t xml:space="preserve">FY26 guidance &lt;30%; Q1-26 printed 29.6%. Lands at 27.5% in FY30 — the TOP of the 26-28% 2030 target band.</t>
  </si>
  <si>
    <t xml:space="preserve">Cost of risk % (on avg GROSS financing)</t>
  </si>
  <si>
    <t xml:space="preserve">DUAL-FRAMED: on this basis FY25 actual = 0.41%. On ADIB's own stated basis these map to ~50/50/48/46/45bp — mid-guidance (40-60bp), above the FY25 print of 44bp.</t>
  </si>
  <si>
    <t xml:space="preserve">Effective tax rate %</t>
  </si>
  <si>
    <t xml:space="preserve">CRUX. FY23 4.0% -&gt; FY24 11.2% -&gt; FY25 12.7% -&gt; Q1-26 12.9%. The step to 16% from FY27 is the CONSERVATIVE placement of the UAE DMTT 15% top-up on the UAE leg, net of the substance-based income exclusion. ADIB has NOT disclosed its Pillar Two position (negative search, Sweep F24). Sensitized 13% &lt;-&gt; 17.3%.</t>
  </si>
  <si>
    <t xml:space="preserve">Dividend payout %</t>
  </si>
  <si>
    <t xml:space="preserve">A policy, not a whim: 48.5 / 49.2 / 49.4 / 49.7 / 49.9% over FY21-25 (official). Drifts up as growth slows.</t>
  </si>
  <si>
    <t xml:space="preserve">BALANCE-SHEET &amp; CAPITAL MECHANICS</t>
  </si>
  <si>
    <t xml:space="preserve">Avg earning assets / avg net financing (x)</t>
  </si>
  <si>
    <t xml:space="preserve">LEDGER ROW. Disclosed trend 1.221 (FY23) -&gt; 1.172 (FY24) -&gt; 1.134 (FY25): financing is outgrowing the other earning assets. One notch further down, then held flat.</t>
  </si>
  <si>
    <t xml:space="preserve">Net / gross financing (x)</t>
  </si>
  <si>
    <t xml:space="preserve">FY25 97.7%, Q1-26 97.9% (official). Held at 97.8%.</t>
  </si>
  <si>
    <t xml:space="preserve">Credit RWA / gross financing (x)</t>
  </si>
  <si>
    <t xml:space="preserve">FY25: credit RWA 163.5bn / gross financing 185.6bn = 88.1% (FY25 earnings presentation p.27). Reproduces FY25 total RWA to within 0.06%.</t>
  </si>
  <si>
    <t xml:space="preserve">CET1 target %</t>
  </si>
  <si>
    <t xml:space="preserve">Held flat at the 12.0% level management has actually run for four straight years (12.23 / 12.07 / 12.02 / 12.0%).</t>
  </si>
  <si>
    <t xml:space="preserve">AT1 sukuk coupon (AED mn, annual)</t>
  </si>
  <si>
    <t xml:space="preserve">USD 750mn perpetual Mudaraba sukuk @7.25% (= AED 2,754mn) -&gt; AED 199.7mn, plus the AED 2,000mn Abu Dhabi Government Tier 1 sukuk -&gt; AED 153.3mn. Ties to the AED 4,754mn AT1 on the balance sheet.</t>
  </si>
  <si>
    <t xml:space="preserve">Non-controlling interests FY25 (AED mn)</t>
  </si>
  <si>
    <t xml:space="preserve">DERIVED, LEDGER ROW: PAT 7,070 - AT1 353 - attributable (EPS 1.746 x 3,632 shares) = 376. Mostly ADIB Egypt (~47% minority). Grown 8%/yr.</t>
  </si>
  <si>
    <t xml:space="preserve">Alvarez &amp; Marsal UAE Banking Pulse FY2025 (top-10 listed banks, built from public filings): sector RoE 18.3%.</t>
  </si>
  <si>
    <t xml:space="preserve">SECTOR MARKS (relative lens) &amp; BENCHMARKS</t>
  </si>
  <si>
    <t xml:space="preserve">UAE bank sector P/B (large-cap band)</t>
  </si>
  <si>
    <t xml:space="preserve">Same mark used in the ADCB study (10-Jul-2026). Cross-check: A&amp;M puts the top-10 at 1.64x P/TBV.</t>
  </si>
  <si>
    <t xml:space="preserve">UAE bank sector P/TBV (cross-check)</t>
  </si>
  <si>
    <t xml:space="preserve">Alvarez &amp; Marsal UAE Banking Pulse FY2025.</t>
  </si>
  <si>
    <t xml:space="preserve">UAE bank sector forward P/E</t>
  </si>
  <si>
    <t xml:space="preserve">UAE banks industry average forward P/E (~9x).</t>
  </si>
  <si>
    <t xml:space="preserve">Normalized / through-cycle ROE</t>
  </si>
  <si>
    <t xml:space="preserve">LEDGER ROW. Below management's 25% 2030 target, above the FY21-25 average of 23.8%. The FY21-22 ROEs (14% / 21%) carried a legacy NPA problem since fixed (NPA 8.9% -&gt; 2.8%), so a flat 5-year average understates it.</t>
  </si>
  <si>
    <t xml:space="preserve">BENCHMARKS (memo only — no formula depends on these)</t>
  </si>
  <si>
    <t xml:space="preserve">ADIB FY25 ROAE — reported</t>
  </si>
  <si>
    <t xml:space="preserve">ADIB FY25 MD&amp;A: ROAE 28.8%.</t>
  </si>
  <si>
    <t xml:space="preserve">ADIB 2030 ROE target — management</t>
  </si>
  <si>
    <t xml:space="preserve">ADIB FY25 earnings presentation, "Five-Year Strategy as part of 2035 Vision": ROE ~25%.</t>
  </si>
  <si>
    <t xml:space="preserve">Driver build — every forward line, from the drivers on Assumptions</t>
  </si>
  <si>
    <t xml:space="preserve">Nothing here is typed. Column D is the FY25 actual (linked from the Income Statement); E–I are formulas.</t>
  </si>
  <si>
    <t xml:space="preserve">FY25A</t>
  </si>
  <si>
    <t xml:space="preserve">Gross customer financing</t>
  </si>
  <si>
    <t xml:space="preserve">Net customer financing</t>
  </si>
  <si>
    <t xml:space="preserve">Average net financing</t>
  </si>
  <si>
    <t xml:space="preserve">Average gross financing</t>
  </si>
  <si>
    <t xml:space="preserve">Average earning assets (NIEA)</t>
  </si>
  <si>
    <t xml:space="preserve">Funded income = NPM x NIEA</t>
  </si>
  <si>
    <t xml:space="preserve">Non-funded income</t>
  </si>
  <si>
    <t xml:space="preserve">Total operating income</t>
  </si>
  <si>
    <t xml:space="preserve">Operating expenses = − CIR x operating income</t>
  </si>
  <si>
    <t xml:space="preserve">Impairment = − CoR x avg gross financing</t>
  </si>
  <si>
    <t xml:space="preserve">Profit before tax</t>
  </si>
  <si>
    <t xml:space="preserve">EPS (AED) — attributable to ordinary shareholders</t>
  </si>
  <si>
    <t xml:space="preserve">DPS (AED) = payout x EPS</t>
  </si>
  <si>
    <t xml:space="preserve">RWA = credit + market + operational</t>
  </si>
  <si>
    <t xml:space="preserve">Change in RWA</t>
  </si>
  <si>
    <t xml:space="preserve">Equity retained for RWA growth = ΔRWA x CET1 target</t>
  </si>
  <si>
    <t xml:space="preserve">Free cash flow to equity = attributable − equity retained</t>
  </si>
  <si>
    <t xml:space="preserve">Note — market RWA (AED 2,000mn, held flat) and operational RWA (AED 18,200mn FY25, grown with operating income) are taken from ADIB's FY25 earnings presentation p.27. The credit-RWA density reproduces FY25 total RWA (183,637) to within 0.06%.</t>
  </si>
  <si>
    <t xml:space="preserve">Dividend discount model — the primary lens</t>
  </si>
  <si>
    <t xml:space="preserve">For a bank, deposits are an operating input, not a financing choice — everything discounts at Ke. ADIB's payout has not left 48.5–49.9% in five years, so the policy is the cash flow.</t>
  </si>
  <si>
    <t xml:space="preserve">DPS (AED)</t>
  </si>
  <si>
    <t xml:space="preserve">Discount factor = 1/(1+Ke)^t</t>
  </si>
  <si>
    <t xml:space="preserve">PV of dividend</t>
  </si>
  <si>
    <t xml:space="preserve">TERMINAL BLOCK — one steady state, shared with FCFE and Residual Income</t>
  </si>
  <si>
    <t xml:space="preserve">Closing common equity FY30 (AED mn)</t>
  </si>
  <si>
    <t xml:space="preserve">Terminal payout = 1 − g / terminal ROE</t>
  </si>
  <si>
    <t xml:space="preserve">Terminal earnings (FY31) = terminal ROE x FY30 closing book</t>
  </si>
  <si>
    <t xml:space="preserve">Terminal dividend (FY31) = terminal payout x terminal earnings</t>
  </si>
  <si>
    <t xml:space="preserve">Terminal value at (Ke − g), AED mn</t>
  </si>
  <si>
    <t xml:space="preserve">DDM FAIR VALUE (AED / share)</t>
  </si>
  <si>
    <t xml:space="preserve">of which: Σ PV of explicit dividends FY26–30</t>
  </si>
  <si>
    <t xml:space="preserve">of which: PV of terminal value</t>
  </si>
  <si>
    <t xml:space="preserve">Terminal value as % of DDM  (dependency disclosure)</t>
  </si>
  <si>
    <t xml:space="preserve">vs spot</t>
  </si>
  <si>
    <t xml:space="preserve">Terminal-value dependency: the terminal block carries most of this number, which is normal for a bank growing at 11–13% on a ~50% payout — but it means the DDM is a claim about ADIB's STEADY STATE (the terminal ROE on Assumptions!B18), not about the next five dividends. The Sensitivity sheet stresses exactly that claim.</t>
  </si>
  <si>
    <t xml:space="preserve">Equity DCF (FCFE) — what the bank COULD pay after funding its own growth</t>
  </si>
  <si>
    <t xml:space="preserve">The full build: revenue -&gt; costs -&gt; provisions -&gt; tax -&gt; profit -&gt; less the fresh equity RWA growth consumes -&gt; free cash flow to equity -&gt; discount factor -&gt; PV. Shown inline, never output-only.</t>
  </si>
  <si>
    <t xml:space="preserve">Net revenue from funds (funded income)</t>
  </si>
  <si>
    <t xml:space="preserve">Operating expenses</t>
  </si>
  <si>
    <t xml:space="preserve">Pre-provision operating profit</t>
  </si>
  <si>
    <t xml:space="preserve">Impairment charge</t>
  </si>
  <si>
    <t xml:space="preserve">Tax</t>
  </si>
  <si>
    <t xml:space="preserve">Profit after tax</t>
  </si>
  <si>
    <t xml:space="preserve">FCFE FAIR VALUE (AED / share)</t>
  </si>
  <si>
    <t xml:space="preserve">less: AT1 sukuk coupon</t>
  </si>
  <si>
    <t xml:space="preserve">less: non-controlling interests</t>
  </si>
  <si>
    <t xml:space="preserve">Attributable to ordinary shareholders</t>
  </si>
  <si>
    <t xml:space="preserve">less: equity retained for RWA growth</t>
  </si>
  <si>
    <t xml:space="preserve">FREE CASH FLOW TO EQUITY</t>
  </si>
  <si>
    <t xml:space="preserve">Discount factor at Ke</t>
  </si>
  <si>
    <t xml:space="preserve">PV of FCFE</t>
  </si>
  <si>
    <t xml:space="preserve">TERMINAL VALUE &amp; BRIDGE TO PER-SHARE</t>
  </si>
  <si>
    <t xml:space="preserve">Σ PV of explicit FCFE (FY26–30)</t>
  </si>
  <si>
    <t xml:space="preserve">Terminal FCFE (FY31) = steady-state payout x terminal earnings</t>
  </si>
  <si>
    <t xml:space="preserve">Terminal value = terminal FCFE / (Ke − g)</t>
  </si>
  <si>
    <t xml:space="preserve">PV of terminal value</t>
  </si>
  <si>
    <t xml:space="preserve">Equity value (AED mn)</t>
  </si>
  <si>
    <t xml:space="preserve">÷ shares outstanding (mn)</t>
  </si>
  <si>
    <t xml:space="preserve">Terminal value as % of equity value</t>
  </si>
  <si>
    <t xml:space="preserve">RECONCILIATION: why FCFE exceeds the DDM</t>
  </si>
  <si>
    <t xml:space="preserve">Surplus capital generated FY26–30 (retained earnings above RWA needs), PV per share</t>
  </si>
  <si>
    <t xml:space="preserve">The two lenses share ONE terminal steady state, so they can differ only inside the explicit window. FCFE counts the surplus capital ADIB generates as growth slows; the DDM only collects it later, through a bigger terminal book. B33 is that difference, and it is the whole of it.</t>
  </si>
  <si>
    <t xml:space="preserve">Residual income — book value plus the value of returns above the cost of equity</t>
  </si>
  <si>
    <t xml:space="preserve">The lens least dependent on a terminal assumption: more than half the answer is already on the balance sheet. Under clean surplus this MUST reconcile to the DDM — see row 16.</t>
  </si>
  <si>
    <t xml:space="preserve">Opening common equity</t>
  </si>
  <si>
    <t xml:space="preserve">Equity charge = Ke x opening equity</t>
  </si>
  <si>
    <t xml:space="preserve">Attributable profit</t>
  </si>
  <si>
    <t xml:space="preserve">Discount factor</t>
  </si>
  <si>
    <t xml:space="preserve">PV of residual income</t>
  </si>
  <si>
    <t xml:space="preserve">Opening book value (FY25 common equity, AED mn)</t>
  </si>
  <si>
    <t xml:space="preserve">Σ PV of explicit residual income</t>
  </si>
  <si>
    <t xml:space="preserve">PV of terminal RI = FY30 book x (terminal ROE − Ke) / (Ke − g)</t>
  </si>
  <si>
    <t xml:space="preserve">RESIDUAL-INCOME FAIR VALUE (AED / share)</t>
  </si>
  <si>
    <t xml:space="preserve">Implied P/B on current book</t>
  </si>
  <si>
    <t xml:space="preserve">CHECK: RI minus DDM (must be ~0 under clean surplus)</t>
  </si>
  <si>
    <t xml:space="preserve">Relative multiples (ROE-adjusted) and the normalized through-cycle value</t>
  </si>
  <si>
    <t xml:space="preserve">A bank's justified P/B is LINEAR in (ROE − g), not proportional to ROE. So the sector mark tells us what one point of ROE is worth today, and ADIB's premium must be earned on that scale.</t>
  </si>
  <si>
    <t xml:space="preserve">RELATIVE — what the sector pays for this ROE</t>
  </si>
  <si>
    <t xml:space="preserve">UAE bank sector P/B</t>
  </si>
  <si>
    <t xml:space="preserve">ADIB ROE (FY25 reported — like-for-like with the sector mark)</t>
  </si>
  <si>
    <t xml:space="preserve">ROE-justified premium = (ROE_ADIB − g) / (ROE_sector − g)</t>
  </si>
  <si>
    <t xml:space="preserve">Justified P/B = sector P/B x premium</t>
  </si>
  <si>
    <t xml:space="preserve">BVPS — latest reported (Q1-26)</t>
  </si>
  <si>
    <t xml:space="preserve">Value on the P/B route (AED)</t>
  </si>
  <si>
    <t xml:space="preserve">Justified forward P/E = sector P/E x premium x (ROE_sector / ROE_ADIB)</t>
  </si>
  <si>
    <t xml:space="preserve">Value on the P/E route (AED) = justified P/E x FY26E EPS</t>
  </si>
  <si>
    <t xml:space="preserve">RELATIVE FAIR VALUE (AED / share) — average of the two routes</t>
  </si>
  <si>
    <t xml:space="preserve">DUAL FRAME — same lens on the A&amp;M 1.64x P/TBV mark instead</t>
  </si>
  <si>
    <t xml:space="preserve">WHERE IT ACTUALLY TRADES</t>
  </si>
  <si>
    <t xml:space="preserve">ADIB P/B now (on the latest reported book)</t>
  </si>
  <si>
    <t xml:space="preserve">Premium OVER its own ROE-justified P/B</t>
  </si>
  <si>
    <t xml:space="preserve">ADIB forward P/E now</t>
  </si>
  <si>
    <t xml:space="preserve">NORMALIZED / THROUGH-CYCLE</t>
  </si>
  <si>
    <t xml:space="preserve">Through-cycle ROE</t>
  </si>
  <si>
    <t xml:space="preserve">Justified P/B = (ROE_n − g) / (Ke − g)</t>
  </si>
  <si>
    <t xml:space="preserve">NORMALIZED FAIR VALUE (AED / share)</t>
  </si>
  <si>
    <t xml:space="preserve">Normalized EPS = ROE_n x BVPS</t>
  </si>
  <si>
    <t xml:space="preserve">Implied P/E on normalized earnings</t>
  </si>
  <si>
    <t xml:space="preserve">THE FIVE-LENS SYNTHESIS</t>
  </si>
  <si>
    <t xml:space="preserve">Value (AED)</t>
  </si>
  <si>
    <t xml:space="preserve">Weight</t>
  </si>
  <si>
    <t xml:space="preserve">Contribution</t>
  </si>
  <si>
    <t xml:space="preserve">Lens</t>
  </si>
  <si>
    <t xml:space="preserve">FCFE (equity DCF)</t>
  </si>
  <si>
    <t xml:space="preserve">Normalized (through-cycle)</t>
  </si>
  <si>
    <t xml:space="preserve">WEIGHTED CENTRAL (AED / share)</t>
  </si>
  <si>
    <t xml:space="preserve">Weighted central under the 1.64x P/TBV sector mark (dual frame)</t>
  </si>
  <si>
    <t xml:space="preserve">THE CENTRAL IS NOT A TARGET. The two lens families do not overlap: the cash-flow family (rows 30-32) prices a bank that keeps out-earning its cost of equity for a long time; the market family (rows 33-34) prices what a buyer will actually pay for that today. The RANGE is the primary object and the football field carries it. The weighted central is a probability-weighted summary ACROSS those two regimes — not a claim that the truth sits politely between them, and not a price at which we expect the stock to trade. Note also how little the sector mark matters: swapping the 1.55x P/B for A&amp;M's 1.64x P/TBV moves the central by about ten fils (row 37).</t>
  </si>
  <si>
    <t xml:space="preserve">Income statement — 3 years reported + 5 years modelled (AED mn)</t>
  </si>
  <si>
    <t xml:space="preserve">FY23/24/25 are OFFICIAL: ADIB Management Discussion &amp; Analysis, FY2023 / FY2024 / FY2025. No aggregator was used for any line. FY26E–FY30E are formulas off the Driver Build.</t>
  </si>
  <si>
    <t xml:space="preserve">FY23A</t>
  </si>
  <si>
    <t xml:space="preserve">FY24A</t>
  </si>
  <si>
    <t xml:space="preserve">Total operating expenses</t>
  </si>
  <si>
    <t xml:space="preserve">Provision for impairment</t>
  </si>
  <si>
    <t xml:space="preserve">EPS (AED)</t>
  </si>
  <si>
    <t xml:space="preserve">MEMO — key ratios</t>
  </si>
  <si>
    <t xml:space="preserve">Net profit margin %</t>
  </si>
  <si>
    <t xml:space="preserve">Cost-to-income %</t>
  </si>
  <si>
    <t xml:space="preserve">Payout ratio %</t>
  </si>
  <si>
    <t xml:space="preserve">EPS check — FY25: attributable AED 6,341mn / 3,632mn shares = AED 1.746, matching ADIB's reported EPS of AED 1.746 exactly. The AT1 coupon (AED 353mn) and the non-controlling interest (AED 376mn, derived as the residual) are the bridge from PAT to what an ordinary shareholder owns.</t>
  </si>
  <si>
    <t xml:space="preserve">Balance sheet and capital — 3 years reported + 5 years modelled (AED mn)</t>
  </si>
  <si>
    <t xml:space="preserve">FY23/24/25 OFFICIAL (ADIB MD&amp;A). Q1-26 column is the latest reported actual. FY26E–FY30E are formulas.</t>
  </si>
  <si>
    <t xml:space="preserve">Q1-26A</t>
  </si>
  <si>
    <t xml:space="preserve">Total assets</t>
  </si>
  <si>
    <t xml:space="preserve">Customer financing, net</t>
  </si>
  <si>
    <t xml:space="preserve">Investments</t>
  </si>
  <si>
    <t xml:space="preserve">Customer deposits</t>
  </si>
  <si>
    <t xml:space="preserve">EQUITY &amp; CAPITAL</t>
  </si>
  <si>
    <t xml:space="preserve">Share capital</t>
  </si>
  <si>
    <t xml:space="preserve">Tier 1 sukuk (AT1)</t>
  </si>
  <si>
    <t xml:space="preserve">Non-controlling interests</t>
  </si>
  <si>
    <t xml:space="preserve">Opening common equity (ordinary shareholders)</t>
  </si>
  <si>
    <t xml:space="preserve">Opening common equity — link for Residual Income</t>
  </si>
  <si>
    <t xml:space="preserve">Closing common equity (attributable to shareholders)</t>
  </si>
  <si>
    <t xml:space="preserve">Total equity (incl. AT1 and NCI)</t>
  </si>
  <si>
    <t xml:space="preserve">BVPS (AED)</t>
  </si>
  <si>
    <t xml:space="preserve">RISK-WEIGHTED ASSETS &amp; CAPITAL</t>
  </si>
  <si>
    <t xml:space="preserve">Risk-weighted assets</t>
  </si>
  <si>
    <t xml:space="preserve">CET1 capital</t>
  </si>
  <si>
    <t xml:space="preserve">CET1 ratio %</t>
  </si>
  <si>
    <t xml:space="preserve">Capital adequacy ratio % (reported)</t>
  </si>
  <si>
    <t xml:space="preserve">NPA ratio % (reported)</t>
  </si>
  <si>
    <t xml:space="preserve">NPA coverage % incl. collateral (reported)</t>
  </si>
  <si>
    <t xml:space="preserve">CHECK — FY25 capital equation</t>
  </si>
  <si>
    <t xml:space="preserve">Retained attributable earnings FY25 (AED mn)</t>
  </si>
  <si>
    <t xml:space="preserve">Capital FY25 RWA growth consumed at 12.0% CET1</t>
  </si>
  <si>
    <t xml:space="preserve">Difference (a ~50% payout EXACTLY funded FY25 growth)</t>
  </si>
  <si>
    <t xml:space="preserve">Balance-sheet scaffolding: FY26E+ total assets, investments and deposits are held at their FY25 ratios to net financing — presentation only, not drivers. Nothing in the valuation depends on them. The lines that DO drive value — financing, RWA, common equity and CET1 — are all built from Assumptions.</t>
  </si>
  <si>
    <t xml:space="preserve">Cash flow to the ordinary shareholder (AED mn)</t>
  </si>
  <si>
    <t xml:space="preserve">For a bank the meaningful cash-flow statement is the equity one: what the business earns, what growth consumes, and what is left to distribute.</t>
  </si>
  <si>
    <t xml:space="preserve">Dividend declared</t>
  </si>
  <si>
    <t xml:space="preserve">Surplus / (deficit) after the declared dividend</t>
  </si>
  <si>
    <t xml:space="preserve">Memo: retained earnings (attributable − dividend)</t>
  </si>
  <si>
    <t xml:space="preserve">Memo: change in RWA</t>
  </si>
  <si>
    <t xml:space="preserve">Memo: closing CET1 ratio</t>
  </si>
  <si>
    <t xml:space="preserve">Monte Carlo — the 3-month distribution (the ONLY 3-month figures in this workbook)</t>
  </si>
  <si>
    <t xml:space="preserve">v3 engine: carry-anchored drift, gap-aware Yang-Zhang / HAR width, fitted t(4) shape. 50,000 paths, seed 42. The §1 value gap NEVER enters the drift (lens independence).</t>
  </si>
  <si>
    <t xml:space="preserve">ENGINE</t>
  </si>
  <si>
    <t xml:space="preserve">Spot (AED, 03-Jul-2026)</t>
  </si>
  <si>
    <t xml:space="preserve">Risk-free (3M EIBOR, CBUAE fixings)</t>
  </si>
  <si>
    <t xml:space="preserve">Dividend yield q = FY25 DPS / spot</t>
  </si>
  <si>
    <t xml:space="preserve">Carry (60d) = [ln(1+rf) − ln(1+q)] x 60/252</t>
  </si>
  <si>
    <t xml:space="preserve">Anchor volatility (annualized, x width_cal)</t>
  </si>
  <si>
    <t xml:space="preserve">Tail parameter nu (UAE 9-name panel fit)</t>
  </si>
  <si>
    <t xml:space="preserve">Width calibration (UAE 9-name panel fit)</t>
  </si>
  <si>
    <t xml:space="preserve">PERCENTILES</t>
  </si>
  <si>
    <t xml:space="preserve">5th</t>
  </si>
  <si>
    <t xml:space="preserve">25th</t>
  </si>
  <si>
    <t xml:space="preserve">50th</t>
  </si>
  <si>
    <t xml:space="preserve">75th</t>
  </si>
  <si>
    <t xml:space="preserve">95th</t>
  </si>
  <si>
    <t xml:space="preserve">T+20 (AED)</t>
  </si>
  <si>
    <t xml:space="preserve">T+60 (AED)</t>
  </si>
  <si>
    <t xml:space="preserve">THE PROBABILITY READ (T+60)</t>
  </si>
  <si>
    <t xml:space="preserve">P(price above spot)</t>
  </si>
  <si>
    <t xml:space="preserve">P(+10% or better) vs P(−10% or worse)</t>
  </si>
  <si>
    <t xml:space="preserve">Median path (AED)</t>
  </si>
  <si>
    <t xml:space="preserve">Median move</t>
  </si>
  <si>
    <t xml:space="preserve">Touch +10% at any point in the horizon</t>
  </si>
  <si>
    <t xml:space="preserve">Touch −10% at any point in the horizon</t>
  </si>
  <si>
    <t xml:space="preserve">STEP 0.0 — DATA-QUALITY GATE (mandatory before any calibration)</t>
  </si>
  <si>
    <t xml:space="preserve">ADX daily price limit ±15% → artifact threshold |1-day log move|</t>
  </si>
  <si>
    <t xml:space="preserve">Rows in / out after the gate</t>
  </si>
  <si>
    <t xml:space="preserve">What the gate removed</t>
  </si>
  <si>
    <t xml:space="preserve">dropped 2 interior stale/no-trade rows</t>
  </si>
  <si>
    <t xml:space="preserve">STEP 0 — the five-year backtest, in the open</t>
  </si>
  <si>
    <t xml:space="preserve">Windows (non-overlapping, h=60d, post-2022 break)</t>
  </si>
  <si>
    <t xml:space="preserve">CRPS skill vs the carry-anchored RW — SCALE-NORMALIZED (the gate)</t>
  </si>
  <si>
    <t xml:space="preserve">CRPS skill on the retired raw-price basis (for reconciliation only)</t>
  </si>
  <si>
    <t xml:space="preserve">Pinball-0.50 skill</t>
  </si>
  <si>
    <t xml:space="preserve">Winkler-90 interval skill</t>
  </si>
  <si>
    <t xml:space="preserve">Coverage 50 / 80 / 90</t>
  </si>
  <si>
    <t xml:space="preserve">PIT mean</t>
  </si>
  <si>
    <t xml:space="preserve">Bootstrap CI, window-block 2 / 3 / 4</t>
  </si>
  <si>
    <t xml:space="preserve">[-0.014, +0.030] PARITY</t>
  </si>
  <si>
    <t xml:space="preserve">[-0.017, +0.032] PARITY</t>
  </si>
  <si>
    <t xml:space="preserve">ROBUST NAME-LEVEL VERDICT (all block sizes agree)</t>
  </si>
  <si>
    <t xml:space="preserve">PARITY</t>
  </si>
  <si>
    <t xml:space="preserve">THE STANDING GATE — the UAE market panel (not this one name)</t>
  </si>
  <si>
    <t xml:space="preserve">Panel: names / windows</t>
  </si>
  <si>
    <t xml:space="preserve">Panel fitted (nu, width_cal) — read LIVE from the engine registry</t>
  </si>
  <si>
    <t xml:space="preserve">Panel CRPS skill and 90% CI</t>
  </si>
  <si>
    <t xml:space="preserve">[-0.004, +0.015]</t>
  </si>
  <si>
    <t xml:space="preserve">PANEL VERDICT</t>
  </si>
  <si>
    <t xml:space="preserve">PARITY means exactly what it says. The distribution is honestly calibrated — every realized close fell inside the 90% band, coverage at 80% is 0.79 against a 0.80 target, and the CRPS skill is POSITIVE at +0.0093 — and it is validated on the 14-name UAE panel, which is the standing gate. But on ADIB's own 14 windows the confidence interval spans zero at every block size, so no single-name forecasting EDGE has been demonstrated. The PIT mean above 0.5 says the model UNDER-called ADIB's rise rather than over-calling it — which is exactly what a carry-anchored engine should do to a stock that quadrupled: it refuses to extrapolate a trend, and pays for that refusal in a rising market. We keep the refusal. Read the distribution as a base rate, not a promise.</t>
  </si>
  <si>
    <t xml:space="preserve">Sensitivity — the crux, in the units that actually move it</t>
  </si>
  <si>
    <t xml:space="preserve">Live grids. Every cell recomputes the weighted central from the Assumptions sheet.</t>
  </si>
  <si>
    <t xml:space="preserve">GRID 1 — Ke x terminal growth g (weighted central, AED)</t>
  </si>
  <si>
    <t xml:space="preserve">g 3.0%</t>
  </si>
  <si>
    <t xml:space="preserve">g 3.5%</t>
  </si>
  <si>
    <t xml:space="preserve">g 4.0%</t>
  </si>
  <si>
    <t xml:space="preserve">g 4.5%</t>
  </si>
  <si>
    <t xml:space="preserve">Ke 9.57%</t>
  </si>
  <si>
    <t xml:space="preserve">Ke 10.07%</t>
  </si>
  <si>
    <t xml:space="preserve">Ke 10.57%</t>
  </si>
  <si>
    <t xml:space="preserve">Ke 11.07%</t>
  </si>
  <si>
    <t xml:space="preserve">Ke 11.57%</t>
  </si>
  <si>
    <t xml:space="preserve">Ke 12.07%</t>
  </si>
  <si>
    <t xml:space="preserve">GRID 2 — Ke x TERMINAL ROE (the crux). Weighted central, AED.</t>
  </si>
  <si>
    <t xml:space="preserve">ROE 18%</t>
  </si>
  <si>
    <t xml:space="preserve">ROE 20%</t>
  </si>
  <si>
    <t xml:space="preserve">ROE 22%</t>
  </si>
  <si>
    <t xml:space="preserve">ROE 25%</t>
  </si>
  <si>
    <t xml:space="preserve">ROE 28%</t>
  </si>
  <si>
    <t xml:space="preserve">Shaded = combinations that reproduce today's AED 21.76 price. Cream = the base case.</t>
  </si>
  <si>
    <t xml:space="preserve">GRID 3 — beta (assumed 1.00; the regression failed its usability gate)</t>
  </si>
  <si>
    <t xml:space="preserve">Ke</t>
  </si>
  <si>
    <t xml:space="preserve">Weighted central (AED)</t>
  </si>
  <si>
    <t xml:space="preserve">THE CRUX IN REAL UNITS — swing on the weighted central (AED/share)</t>
  </si>
  <si>
    <t xml:space="preserve">Effect on central</t>
  </si>
  <si>
    <t xml:space="preserve">NPM +10bp across path</t>
  </si>
  <si>
    <t xml:space="preserve">NPM -10bp across path</t>
  </si>
  <si>
    <t xml:space="preserve">Tax held at 13% (no DMTT step)</t>
  </si>
  <si>
    <t xml:space="preserve">Tax full 15% UAE top-up (17.3%)</t>
  </si>
  <si>
    <t xml:space="preserve">CoR +10bp</t>
  </si>
  <si>
    <t xml:space="preserve">Financing growth -3pt across path</t>
  </si>
  <si>
    <t xml:space="preserve">CIR held flat at 29.6% (Q1-26)</t>
  </si>
  <si>
    <t xml:space="preserve">Payout to 60% by FY30</t>
  </si>
  <si>
    <t xml:space="preserve">Terminal ROE 18% (the sector level)</t>
  </si>
  <si>
    <t xml:space="preserve">Terminal ROE 25% (management's 2030 target)</t>
  </si>
  <si>
    <t xml:space="preserve">Conflict adder 0pt — peace-time Ke 9.57%</t>
  </si>
  <si>
    <t xml:space="preserve">Conflict adder 2.5pt — renewed Hormuz closure, Ke 12.07%</t>
  </si>
  <si>
    <t xml:space="preserve">Read this table and nothing else if you are short of time. The operating drivers — margin, cost of risk, growth, tax — move the answer by a few tens of fils each. The terminal ROE and the conflict premium move it by AED 3–4. ADIB's price is not a bet on next year's margin. It is a bet on how long a 25% return on equity lasts, and on whether the region calms down.</t>
  </si>
  <si>
    <t xml:space="preserve">Per-share and ratio dashboard — the standard panel, identical across every Testahil study</t>
  </si>
  <si>
    <t xml:space="preserve">The house "Data Miner" page. Everything is a formula.</t>
  </si>
  <si>
    <t xml:space="preserve">BOOK VALUE</t>
  </si>
  <si>
    <t xml:space="preserve">BVPS — last audited FY (Dec-25)</t>
  </si>
  <si>
    <t xml:space="preserve">DUAL FRAMING: the Dec-25 book still contains the AED 3,525mn dividend that was proposed then and paid after the 04-Mar-2026 AGM; the Q1-26 book is after that payment. Both P/B framings are shown everywhere they appear.</t>
  </si>
  <si>
    <t xml:space="preserve">P/E (x, at spot)</t>
  </si>
  <si>
    <t xml:space="preserve">P/B (x, at spot)</t>
  </si>
  <si>
    <t xml:space="preserve">Dividend yield (at spot)</t>
  </si>
  <si>
    <t xml:space="preserve">Payout ratio</t>
  </si>
  <si>
    <t xml:space="preserve">Return on equity (attributable)</t>
  </si>
  <si>
    <t xml:space="preserve">Net profit margin</t>
  </si>
  <si>
    <t xml:space="preserve">Cost-to-income</t>
  </si>
  <si>
    <t xml:space="preserve">Effective tax rate</t>
  </si>
  <si>
    <t xml:space="preserve">CET1 ratio</t>
  </si>
  <si>
    <t xml:space="preserve">RWA density (RWA / total assets)</t>
  </si>
  <si>
    <t xml:space="preserve">Financing / deposits</t>
  </si>
  <si>
    <t xml:space="preserve">COST DECOMPOSITION (opex as % of operating income)</t>
  </si>
  <si>
    <t xml:space="preserve">Total operating expenses / operating income</t>
  </si>
  <si>
    <t xml:space="preserve">Impairment / operating income</t>
  </si>
  <si>
    <t xml:space="preserve">Peer set and sector marks</t>
  </si>
  <si>
    <t xml:space="preserve">Company financials from each bank's own results releases. Prices and multiples are market data.</t>
  </si>
  <si>
    <t xml:space="preserve">Latest sourced print</t>
  </si>
  <si>
    <t xml:space="preserve">Read vs ADIB</t>
  </si>
  <si>
    <t xml:space="preserve">Dubai Islamic Bank (DFM: DIB)</t>
  </si>
  <si>
    <t xml:space="preserve">FY25 revenue AED 13.3bn (+3%), pre-tax AED 9.0bn (+20%), assets AED 416bn (+21%); EPS 0.98; DPS 0.35. NET PROFIT MARGIN 2.6% ACTUAL in FY25, guided DOWN to 2.3% for 2026 by the Group CEO on the FY25 results call — a guide that explicitly assumes THREE more Fed cuts. Also guided: financing +10%, cost of risk ~50bp. Effective tax rate went 9% (2024) → 15% (2025). NO fixed dividend policy.</t>
  </si>
  <si>
    <t xml:space="preserve">The only true like-for-like. ADIB's 4.11% margin is 151bp above DIB's 2.6% on the SAME metric. DIB's 2.3% guide rests on rate cuts the June-26 dot plot no longer supports — which makes ADIB's CASA defence look more structural, not less. And DIB is ALREADY paying the 15% DMTT floor: the strongest single piece of evidence that ADIB's tax step is coming.</t>
  </si>
  <si>
    <t xml:space="preserve">Abu Dhabi Commercial Bank (ADX: ADCB)</t>
  </si>
  <si>
    <t xml:space="preserve">FY25 NPAT AED 11.4bn (+22%); Q1-26 RoAE 16.3%; CET1 13.82%; DPS 0.63 (44% payout). Testahil study 10-Jul-2026: P/B 1.52x.</t>
  </si>
  <si>
    <t xml:space="preserve">The conventional Abu Dhabi comparator. Bigger, cheaper, and earns ~12 points less on equity. It sits almost exactly ON the ROE-justified line — ADIB sits above it.</t>
  </si>
  <si>
    <t xml:space="preserve">First Abu Dhabi Bank (ADX: FAB)</t>
  </si>
  <si>
    <t xml:space="preserve">Largest UAE bank. Q1-26 net income AED 4.75bn, EPS 0.43 (beat). FY25 payout ~43%.</t>
  </si>
  <si>
    <t xml:space="preserve">The sector ceiling on scale, not on returns.</t>
  </si>
  <si>
    <t xml:space="preserve">Emirates NBD (DFM: ENBD)</t>
  </si>
  <si>
    <t xml:space="preserve">Dubai flagship. Q1-26 NIM 3.37% (−19bp QoQ).</t>
  </si>
  <si>
    <t xml:space="preserve">The most rate-sensitive large peer; ADIB's 64–67% CASA is the structural defence ENBD lacks.</t>
  </si>
  <si>
    <t xml:space="preserve">UAE bank sector (top-10 listed)</t>
  </si>
  <si>
    <t xml:space="preserve">FY25: NIM 2.48% (−19bp), RoE 18.3% (−63bp), RoA 2.0%, NPL 2.4%, CoR 0.47%; 8.8x P/E, 1.64x P/TBV. Q1-26 sector NIM 2.37%.  [Alvarez &amp; Marsal UAE Banking Pulse, built from public filings]</t>
  </si>
  <si>
    <t xml:space="preserve">ADIB's 4.11% net profit margin is 163bp above the sector NIM, and its 28.8% RoE is 10.5 points above. That gap is the entire investment case — and the entire risk.</t>
  </si>
  <si>
    <t xml:space="preserve">THE ROE-JUSTIFIED LINE (the relative lens, in one table)</t>
  </si>
  <si>
    <t xml:space="preserve">ROE</t>
  </si>
  <si>
    <t xml:space="preserve">P/B where it trades</t>
  </si>
  <si>
    <t xml:space="preserve">P/B the ROE justifies</t>
  </si>
  <si>
    <t xml:space="preserve">UAE sector</t>
  </si>
  <si>
    <t xml:space="preserve">ADCB</t>
  </si>
  <si>
    <t xml:space="preserve">ADIB</t>
  </si>
  <si>
    <t xml:space="preserve">ADIB premium over its own ROE-justified P/B</t>
  </si>
  <si>
    <t xml:space="preserve">Earnings drivers — how each assumption was set, and what it rests on</t>
  </si>
  <si>
    <t xml:space="preserve">The per-driver gate table. Bottom-up is the default wherever the sweep cleared it; top-down where the bank reports blended outcomes rather than the components.</t>
  </si>
  <si>
    <t xml:space="preserve">Mode</t>
  </si>
  <si>
    <t xml:space="preserve">Justification, and the sweep line that carries it</t>
  </si>
  <si>
    <t xml:space="preserve">Gross financing growth
13% → 9%</t>
  </si>
  <si>
    <t xml:space="preserve">Top-down</t>
  </si>
  <si>
    <t xml:space="preserve">ADIB discloses portfolio MIX (retail 55%, GRE 26%, large corporate 14%) but no unit-level pipeline, so a bottom-up origination build would be two multiplied guesses. Anchored to management's own FY26 guidance of 12–14% (F16) and the 1.7–1.9x 2030 asset target (F17); our path lands at 1.68x — at/below the bottom of it.</t>
  </si>
  <si>
    <t xml:space="preserve">Net profit margin
3.90% → 3.70%</t>
  </si>
  <si>
    <t xml:space="preserve">ADIB reports a blended net profit margin, gross margin and cost of funds quarterly (F14) — but not the per-book repricing betas a bottom-up margin bridge needs (negative search, F22). FY26 set at guidance (3.8–4.0%, F16); Q1-26 printed 3.91%. The grind to 3.70% is the disclosed MIX shift (retail 56→55%, GRE 24→26%), not a rate call.</t>
  </si>
  <si>
    <t xml:space="preserve">Non-funded income
+4% then +8%</t>
  </si>
  <si>
    <t xml:space="preserve">Fee, FX and investment-income lines are disclosed (F14) but their volume drivers are not (F23). Q1-26 grew only +4% YoY on "softer transaction activity" (official, F15) — so FY26 is held at that run-rate rather than the +17% of FY25.</t>
  </si>
  <si>
    <t xml:space="preserve">Cost-to-income
29.4% → 27.5%</t>
  </si>
  <si>
    <t xml:space="preserve">Guidance is "&lt;30%" for FY26 and 26–28% by 2030 (F16). Q1-26 printed 29.6%. The AI/digital cost programme's unit economics are not quantified (negative search, F24), so the glide is deliberately slow and lands at the TOP of the 2030 target band.</t>
  </si>
  <si>
    <t xml:space="preserve">Cost of risk
46bp → 42bp (our basis)</t>
  </si>
  <si>
    <t xml:space="preserve">Guidance 40–60bp (F16); FY25 printed 44bp on ADIB's stated basis, Q1-26 48bp. DUAL-FRAMED: our impairment is CoR x average GROSS financing, on which the FY25 actual is 41bp; our path maps to ~50/50/48/46/45bp on ADIB's stated basis — mid-guidance, ABOVE the FY25 print, because the CBUAE relief programme and the "Sanadna" support scheme (F19) mean credit costs normalise up, not down.</t>
  </si>
  <si>
    <t xml:space="preserve">Effective tax rate
13% → 16%</t>
  </si>
  <si>
    <t xml:space="preserve">Top-down — CRUX</t>
  </si>
  <si>
    <t xml:space="preserve">The single most contested line — and it is no longer a bare judgement. ADIB's ETR: 4.0% (FY23) → 11.2% (FY24) → 12.7% (FY25) → 12.9% (Q1-26), i.e. TWO reporting periods under the UAE's 15% DMTT with no step-up, and ADIB has still not disclosed its Pillar Two position (negative search, F25). But two pieces of evidence now place the step: (1) THE MECHANISM HAS A DATE — Pillar Two's transitional CbCR safe harbour requires a simplified ETR clearing 15% / 16% / 17% for FY24 / FY25 / FY26, and it is available only for years COMMENCING ON OR BEFORE 31-Dec-2026, so full GloBE computation applies from FY2027 (F28). (2) THE PEER IS ALREADY PAYING — Dubai Islamic Bank told its FY25 call its ETR went from 9% (2024) to 15% (2025) (F29). ADIB is the outlier, not the rule. Step placed at FY27; sensitized 13% ↔ 17.3%.</t>
  </si>
  <si>
    <t xml:space="preserve">Dividend payout
50% → 53%</t>
  </si>
  <si>
    <t xml:space="preserve">Top-down — but barely</t>
  </si>
  <si>
    <t xml:space="preserve">This is the most SOURCED driver in the model. Payout: 48.5 / 49.2 / 49.4 / 49.7 / 49.9% across FY21–25 (official, F13). That is not a coincidence, it is a policy. It drifts up only because growth slows and the capital equation frees cash.</t>
  </si>
  <si>
    <t xml:space="preserve">Terminal ROE 20%</t>
  </si>
  <si>
    <t xml:space="preserve">House judgement — LEDGER ROW</t>
  </si>
  <si>
    <t xml:space="preserve">THE crux. Management's 2030 target is ~25% (F16); the FY25 actual is 28.8%; the sector earns 18.3%. We fade to 20% — still 170bp above the sector, forever. Not a forecast so much as a statement about how long a moat lasts. The Sensitivity sheet maps 18% → 28%.</t>
  </si>
  <si>
    <t xml:space="preserve">Beta 1.00</t>
  </si>
  <si>
    <t xml:space="preserve">Assumed — LEDGER ROW</t>
  </si>
  <si>
    <t xml:space="preserve">A regression against the FTSE ADX General Index was genuinely attempted. The only daily series obtainable was a single stale 21-observation window (27-Apr → 25-May-2026); Yahoo/FTSE Russell endpoints returned 404 or were JS-walled. n = 21 &lt; 24 fails RegressionBetaAttempt.is_usable(), so the house fallback of 1.00 applies. NEVER a foreign sector-peer beta. Sensitized 0.8–1.3 (Sensitivity, grid 3).</t>
  </si>
  <si>
    <t xml:space="preserve">Summary financials — every cell links to the statement sheets</t>
  </si>
  <si>
    <t xml:space="preserve">Nothing on this sheet is typed. It exists so a reader can check that the statements, the driver build and the valuation are all telling the same story.</t>
  </si>
  <si>
    <t xml:space="preserve">Common equity</t>
  </si>
  <si>
    <t xml:space="preserve">Return on equity</t>
  </si>
  <si>
    <t xml:space="preserve">Step-2A Information Sweep — the register, negative searches included</t>
  </si>
  <si>
    <t xml:space="preserve">Every mandatory ring closed by a dated finding or a dated negative search. Silence closes nothing. Class: B = base-changer · S = structural / assumption-breaker · D = driver-unlock · C = colour.</t>
  </si>
  <si>
    <t xml:space="preserve">#</t>
  </si>
  <si>
    <t xml:space="preserve">Ring</t>
  </si>
  <si>
    <t xml:space="preserve">Category</t>
  </si>
  <si>
    <t xml:space="preserve">Class</t>
  </si>
  <si>
    <t xml:space="preserve">Finding</t>
  </si>
  <si>
    <t xml:space="preserve">Source</t>
  </si>
  <si>
    <t xml:space="preserve">Date</t>
  </si>
  <si>
    <t xml:space="preserve">F01</t>
  </si>
  <si>
    <t xml:space="preserve">Global</t>
  </si>
  <si>
    <t xml:space="preserve">rate cycle &amp; USD/FX regime</t>
  </si>
  <si>
    <t xml:space="preserve">S</t>
  </si>
  <si>
    <t xml:space="preserve">FOMC held 3.50–3.75% for a fourth meeting on 17-Jun-2026; the June dot plot REMOVED prior cut expectations and 9 of 19 officials now project at least one HIKE in 2026 (median year-end ~3.8%). The AED is pegged, so CBUAE tracks the Fed: Base Rate 3.65%, 3M EIBOR ~3.90%.</t>
  </si>
  <si>
    <t xml:space="preserve">Federal Reserve; CBUAE fixings (official)</t>
  </si>
  <si>
    <t xml:space="preserve">2026-07-08</t>
  </si>
  <si>
    <t xml:space="preserve">F02</t>
  </si>
  <si>
    <t xml:space="preserve">commodity complex</t>
  </si>
  <si>
    <t xml:space="preserve">2026 Iran war: Hormuz effectively closed from 28-Feb; Brent peaked above $126 on 30-Apr; a 17-Jun US–Iran MoU reopened the strait; Brent fell to $70.82 on 2-Jul. But the ceasefire FRAYED — renewed strikes around 4–6 Jul, Brent back to ~$76 by 10-Jul, and the US President described the ceasefire as "effectively over". The 60-day negotiation window runs to 21-Aug-2026.</t>
  </si>
  <si>
    <t xml:space="preserve">EIA; Trading Economics; wire reports</t>
  </si>
  <si>
    <t xml:space="preserve">2026-07-10</t>
  </si>
  <si>
    <t xml:space="preserve">F03</t>
  </si>
  <si>
    <t xml:space="preserve">global sector demand</t>
  </si>
  <si>
    <t xml:space="preserve">C</t>
  </si>
  <si>
    <t xml:space="preserve">Global bank NIMs compressing as easing cycles mature; Basel III fully implemented in the UAE via CBUAE; capital conservation buffer held at 2.5% for 2026 with a NEW 0.5% countercyclical buffer on UAE private-sector credit from 2026.</t>
  </si>
  <si>
    <t xml:space="preserve">CBUAE; ADIB Pillar III Q1-2026 (official)</t>
  </si>
  <si>
    <t xml:space="preserve">2026-06-30</t>
  </si>
  <si>
    <t xml:space="preserve">F04</t>
  </si>
  <si>
    <t xml:space="preserve">trade / sanctions / supply chains</t>
  </si>
  <si>
    <t xml:space="preserve">Hormuz traffic recovering but still well below the ~130 daily pre-war crossings; UAE exports back to ~85% of pre-war volumes and UAE crude production at a record high.</t>
  </si>
  <si>
    <t xml:space="preserve">IEA; Kpler via wire reports</t>
  </si>
  <si>
    <t xml:space="preserve">2026-07-07</t>
  </si>
  <si>
    <t xml:space="preserve">F05</t>
  </si>
  <si>
    <t xml:space="preserve">Country</t>
  </si>
  <si>
    <t xml:space="preserve">sovereign macro</t>
  </si>
  <si>
    <t xml:space="preserve">ADIB's own macro deck: UAE real GDP +3.9% (2024), +4.9% (2025), +5.3% (2026e); inflation 1.7 / 1.5 / 1.8%; Brent $81 / $68 / $66; government spending 26.6 / 26.7 / 26.5% of GDP. CBUAE separately puts 2025 real GDP at 5.6% and system credit growth at +17.9%.</t>
  </si>
  <si>
    <t xml:space="preserve">ADIB FY25 earnings presentation, Outlook (official); CBUAE</t>
  </si>
  <si>
    <t xml:space="preserve">2026-01-22</t>
  </si>
  <si>
    <t xml:space="preserve">F06</t>
  </si>
  <si>
    <t xml:space="preserve">regulatory environment</t>
  </si>
  <si>
    <t xml:space="preserve">UAE corporate tax 9%; the Domestic Minimum Top-up Tax (15% floor, Cabinet Decision 142/2024) has applied to in-scope MNE groups for financial years starting on/after 1-Jan-2025. ADIB is in scope (revenue AED 12.3bn; subsidiaries in Egypt, UK, Qatar, Iraq). Yet ADIB's ETR was 12.7% in FY25 and 12.9% in Q1-26 — i.e. NO observable top-up in two DMTT-period prints.</t>
  </si>
  <si>
    <t xml:space="preserve">UAE Ministry of Finance (official); ADIB FY25 + Q1-26 MD&amp;A (official)</t>
  </si>
  <si>
    <t xml:space="preserve">2026-04-29</t>
  </si>
  <si>
    <t xml:space="preserve">F28</t>
  </si>
  <si>
    <t xml:space="preserve">THE MECHANISM — AND IT HAS A DATE. Pillar Two's transitional CbCR safe harbour lets a group skip the full GloBE computation only if its simplified jurisdictional effective tax rate clears a threshold that RISES every year: 15% for FY2024, 16% for FY2025, 17% for FY2026. And the safe harbour is available only for fiscal years COMMENCING ON OR BEFORE 31-Dec-2026 — so for a calendar-year filer the last sheltered year is FY2026, and the full computation applies from FY2027.</t>
  </si>
  <si>
    <t xml:space="preserve">OECD Pillar Two administrative guidance; PwC and KPMG IAS 12 technical notes</t>
  </si>
  <si>
    <t xml:space="preserve">2026-07-11</t>
  </si>
  <si>
    <t xml:space="preserve">F29</t>
  </si>
  <si>
    <t xml:space="preserve">Industry</t>
  </si>
  <si>
    <t xml:space="preserve">competitive structure (named)</t>
  </si>
  <si>
    <t xml:space="preserve">PEER EVIDENCE THAT THE REGIME BITES. Dubai Islamic Bank — the closest comparable UAE Islamic bank — told its FY2025 results call that its effective tax rate rose from 9% (2024) to 15% (2025), "affecting net profit comparisons", printing at 14.1-15%, and that it is working to bring it back toward 9% during 2026.</t>
  </si>
  <si>
    <t xml:space="preserve">DIB FY2025 earnings call, Group CEO (Feb-2026)</t>
  </si>
  <si>
    <t xml:space="preserve">2026-02-19</t>
  </si>
  <si>
    <t xml:space="preserve">F07</t>
  </si>
  <si>
    <t xml:space="preserve">fiscal / political events</t>
  </si>
  <si>
    <t xml:space="preserve">CBUAE deployed relief measures during the conflict; ADIB launched "Sanadna", a support programme for front-liners and SMEs, and management flagged a "more volatile backdrop". Abu Dhabi is rated Aa2 (Moody's) / AA (S&amp;P) / AA (Fitch), all stable; sovereign CDS 0.46%.</t>
  </si>
  <si>
    <t xml:space="preserve">ADIB Q1-2026 MD&amp;A (official); Damodaran ctryprem.html, 5-Jan-2026</t>
  </si>
  <si>
    <t xml:space="preserve">F08</t>
  </si>
  <si>
    <t xml:space="preserve">demand &amp; capacity</t>
  </si>
  <si>
    <t xml:space="preserve">UAE banking system assets AED 5.34tn end-2025 (+17.1%); loans +17.9%; deposits +16.2%; system CAR 17.1%; net NPL 1.6%. Islamic banks hold ~18% of sector assets, with a national strategy to more than double Islamic assets by 2031.</t>
  </si>
  <si>
    <t xml:space="preserve">CBUAE (official)</t>
  </si>
  <si>
    <t xml:space="preserve">2026-03-31</t>
  </si>
  <si>
    <t xml:space="preserve">F09</t>
  </si>
  <si>
    <t xml:space="preserve">pricing</t>
  </si>
  <si>
    <t xml:space="preserve">UAE top-10 listed banks FY25: NIM 2.48% (−19bp YoY), RoE 18.3% (−63bp), RoA 2.0%, NPL 2.4%, CoR 0.47%; trading at 8.8x P/E and 1.64x P/TBV. Q1-26 sector NIM fell further to 2.37%.</t>
  </si>
  <si>
    <t xml:space="preserve">Alvarez &amp; Marsal UAE Banking Pulse (built from public filings)</t>
  </si>
  <si>
    <t xml:space="preserve">2026-03-23</t>
  </si>
  <si>
    <t xml:space="preserve">F10</t>
  </si>
  <si>
    <t xml:space="preserve">Dubai Islamic Bank (the only true like-for-like): FY25 revenue AED 13.3bn (+3%), pre-tax AED 9.0bn (+20%), assets AED 416bn (+21%), EPS 0.98, DPS 0.35. NET PROFIT MARGIN: 2.6% ACTUAL in FY25, guided DOWN to 2.3% for 2026 by the Group CEO on the FY25 results call — and that 2.3% explicitly assumes THREE more Fed cuts in 2026. Also guided for 2026: financing +10%, cost of risk ~50bp normalized. DIB states it has NO fixed dividend policy. ADCB (Testahil study, 10-Jul-2026): P/B 1.52x on 16.3% RoAE. FAB Q1-26 net income AED 4.75bn.</t>
  </si>
  <si>
    <t xml:space="preserve">DIB FY2025 earnings call, Group CEO + results release (official); ADCB results (official); Testahil ADCB study</t>
  </si>
  <si>
    <t xml:space="preserve">F11</t>
  </si>
  <si>
    <t xml:space="preserve">technology substitution</t>
  </si>
  <si>
    <t xml:space="preserve">ADIB is the first UAE bank licensed as an Open Finance Provider under the AlTareq initiative; 79% of new customers acquired digitally; 61% of personal-finance origination digital. Sector AI adoption is the cost-curve battleground, not a disintermediation threat yet.</t>
  </si>
  <si>
    <t xml:space="preserve">ADIB Q1-2026 MD&amp;A (official)</t>
  </si>
  <si>
    <t xml:space="preserve">F12</t>
  </si>
  <si>
    <t xml:space="preserve">Company</t>
  </si>
  <si>
    <t xml:space="preserve">official financial statements</t>
  </si>
  <si>
    <t xml:space="preserve">D</t>
  </si>
  <si>
    <t xml:space="preserve">FY2025 (audited, MD&amp;A): funded income 7,553; non-funded 4,751; operating income 12,304; opex (3,525); impairment (678); PBT 8,101; tax (1,031); PAT 7,070; EPS 1.746; NPM 4.11%; CIR 28.6%; CoR 0.44%; ROAE 28.8%. Balance sheet: assets 280,753; gross financing 185,600; net financing 181,376; deposits 229,096; common equity 26,067; AT1 4,754; NCI 1,548; RWA 183,637; CET1 12.02%; CAR 15.71%; NPA 2.8%.</t>
  </si>
  <si>
    <t xml:space="preserve">ADIB FY2025 MD&amp;A + ADIB Annual Integrated Report 2025 (official, audited)</t>
  </si>
  <si>
    <t xml:space="preserve">2026-01-21</t>
  </si>
  <si>
    <t xml:space="preserve">F13</t>
  </si>
  <si>
    <t xml:space="preserve">management &amp; capital actions</t>
  </si>
  <si>
    <t xml:space="preserve">Dividend history, official: FY21 31.1 fils (48.5% payout) → FY22 49.0 (49.2%) → FY23 71.5 (49.4%) → FY24 83.4 (49.7%) → FY25 97.05 (49.9%, AED 3,525mn, AGM-approved 04-Mar-2026).</t>
  </si>
  <si>
    <t xml:space="preserve">ADIB FY2025 earnings presentation p.8 (official)</t>
  </si>
  <si>
    <t xml:space="preserve">F14</t>
  </si>
  <si>
    <t xml:space="preserve">regular disclosures</t>
  </si>
  <si>
    <t xml:space="preserve">Q1-2026 (official): funded 2,041; non-funded 1,162; operating income 3,203; opex (949); impairment (158); PBT 2,096; tax (271); PAT 1,825; EPS 0.44; NPM 3.91%; CIR 29.6%; CoR 0.48%; ROAE 27.1%. Balance sheet: assets 287,065; gross financing 198,000; deposits 239,335; common equity 23,865; RWA 193,748; CET1 12.0%; NPA 2.6% (record low); coverage 178.3%. CASA 67% of deposits.</t>
  </si>
  <si>
    <t xml:space="preserve">ADIB Q1-2026 Management Discussion &amp; Analysis (official)</t>
  </si>
  <si>
    <t xml:space="preserve">F15</t>
  </si>
  <si>
    <t xml:space="preserve">IR communications</t>
  </si>
  <si>
    <t xml:space="preserve">Q1-2026: non-funded income grew only +4% YoY, management citing "softer transaction activity across some fee-generating products". Wealth-management revenue nevertheless +27% YoY.</t>
  </si>
  <si>
    <t xml:space="preserve">F16</t>
  </si>
  <si>
    <t xml:space="preserve">strategic plans &amp; guidance</t>
  </si>
  <si>
    <t xml:space="preserve">FY2026 guidance (official): gross financing growth 12–14%; net profit margin 3.8–4.0%; cost-to-income &lt;30%; cost of risk 0.40–0.60%; ROE &gt;25%. 2030 targets under ADIB Vision 2035: total assets 1.7–1.9x FY25; CIR 26–28%; CoR 40–60bp; ROE ~25%.</t>
  </si>
  <si>
    <t xml:space="preserve">ADIB FY2025 earnings presentation, "Outlook and Guidance" (official)</t>
  </si>
  <si>
    <t xml:space="preserve">F17</t>
  </si>
  <si>
    <t xml:space="preserve">B</t>
  </si>
  <si>
    <t xml:space="preserve">ADIB completed its 2020–2025 five-year strategic cycle with every target met or exceeded (profit CAGR 18%, balance-sheet CAGR 17%, ROE to 29%) and has now STARTED a new five-year plan under Vision 2035. Total assets 127.8 → 280.8bn and net profit 1.6 → 7.1bn over the cycle.</t>
  </si>
  <si>
    <t xml:space="preserve">ADIB FY2025 MD&amp;A + earnings presentation (official)</t>
  </si>
  <si>
    <t xml:space="preserve">F18</t>
  </si>
  <si>
    <t xml:space="preserve">one-off base-resetting transactions</t>
  </si>
  <si>
    <t xml:space="preserve">NEGATIVE-ADJACENT: no rights issue, no capital raise, no acquisition, no disposal and no share split in FY25 or 1H26. Share capital unchanged at AED 3,632mn since FY23. AT1 unchanged at AED 4,754mn since 2022. Price-series scan confirms no split artefact (max daily move +11.1%, May-2022).</t>
  </si>
  <si>
    <t xml:space="preserve">ADIB FY23/FY24/FY25/Q1-26 MD&amp;A (official) + OHLC scan</t>
  </si>
  <si>
    <t xml:space="preserve">F19</t>
  </si>
  <si>
    <t xml:space="preserve">ADIB launched "Sanadna" — a relief programme for front-liners and SMEs — in coordination with CBUAE support measures during the conflict. Impairments rose 50% YoY in Q1-26 to AED 158mn (CoR 48bp) even as the NPA ratio hit a record-low 2.6% and coverage a record-high 178.3%.</t>
  </si>
  <si>
    <t xml:space="preserve">F20</t>
  </si>
  <si>
    <t xml:space="preserve">ownership / stake changes</t>
  </si>
  <si>
    <t xml:space="preserve">RESOLVED (it was an unresolved conflict at first pass). ADIB's Annual Integrated Report 2025 states the ownership structure outright: Emirates International Investment Company 46%, other UAE nationals 32%, foreign ownership 22%. No stake transaction in FY25 or 1H26; share capital unchanged since FY22.</t>
  </si>
  <si>
    <t xml:space="preserve">ADIB Annual Integrated Report 2025 (official, audited)</t>
  </si>
  <si>
    <t xml:space="preserve">F21</t>
  </si>
  <si>
    <t xml:space="preserve">Financing MIX shift, disclosed: retail 56% -&gt; 55%, GRE 24% -&gt; 26%, large corporate 15% -&gt; 14% between FY25 and Q1-26. Group CASA rose to 65% of deposits at FY25 (AED 148bn, +14% YoY) and 67% by Q1-26; RETAIL CASA is 91% (Annual Integrated Report).</t>
  </si>
  <si>
    <t xml:space="preserve">ADIB FY25 + Q1-26 MD&amp;A + Annual Integrated Report 2025 (official)</t>
  </si>
  <si>
    <t xml:space="preserve">F22</t>
  </si>
  <si>
    <t xml:space="preserve">NEGATIVE SEARCH — nothing found. Per-book asset/liability repricing betas (needed for a bottom-up margin bridge) are not disclosed; only the blended net profit margin, gross margin and cost of funds.</t>
  </si>
  <si>
    <t xml:space="preserve">negative search</t>
  </si>
  <si>
    <t xml:space="preserve">F23</t>
  </si>
  <si>
    <t xml:space="preserve">NEGATIVE SEARCH — nothing found. Fee/FX/investment-income VOLUME drivers (cards, trade, AUM unit economics) are not disclosed; only the revenue lines themselves.</t>
  </si>
  <si>
    <t xml:space="preserve">F24</t>
  </si>
  <si>
    <t xml:space="preserve">NEGATIVE SEARCH — nothing found. The AI / digital cost programme's quantified savings. Direction is disclosed ("Gen AI across the value chain"); AED amounts are not.</t>
  </si>
  <si>
    <t xml:space="preserve">F25</t>
  </si>
  <si>
    <t xml:space="preserve">NEGATIVE SEARCH — nothing found. ADIB's Pillar Two / DMTT disclosure note. Neither the FY25 MD&amp;A, the FY25 earnings presentation nor the Q1-26 MD&amp;A states whether ADIB is applying the Initial-Phase International Activity Exclusion, a transitional safe harbour, or a substance-based carve-out.</t>
  </si>
  <si>
    <t xml:space="preserve">F26</t>
  </si>
  <si>
    <t xml:space="preserve">CORRECTED FINDING — A FIRST-PASS NEGATIVE SEARCH HERE WAS WRONG. Segment detail IS disclosed: not in the MD&amp;A nor the earnings presentation, but in the Annual Integrated Report. FY2025: Retail Banking 49% of group revenue (revenue AED 6.0bn +10%, net income AED 3.0bn, financing AED 95bn +27%, deposits AED 114bn, RETAIL CASA 91%); Wholesale 16% (financing AED 71bn +27%, revenue +20%, non-funded +34%, GRE 24% of the book); Treasury 7% (revenue AED 815mn); Others incl. associates and ADIB Egypt 28%. Group CASA AED 148bn = 65% of deposits.</t>
  </si>
  <si>
    <t xml:space="preserve">F27</t>
  </si>
  <si>
    <t xml:space="preserve">ADIB's next scheduled disclosure is the Q2/H1-2026 results, expected late July 2026 — roughly two weeks after this study.</t>
  </si>
  <si>
    <t xml:space="preserve">ADIB IR calendar</t>
  </si>
  <si>
    <t xml:space="preserve">Register verdict: PASS — 29 findings across 4 rings (5 negative searches). Every financial-statement figure carries a company-official source. Every B/S/D finding names a model impact.</t>
  </si>
  <si>
    <t xml:space="preserve">Calibration Ledger rows (for publish) + Fundamental Driver Ledger (open rows)</t>
  </si>
  <si>
    <t xml:space="preserve">Publishing is a separate, explicitly-initiated step. These rows are prepared, not posted.</t>
  </si>
  <si>
    <t xml:space="preserve">CALIBRATION LEDGER — the two cohorts this study registers</t>
  </si>
  <si>
    <t xml:space="preserve">instrument</t>
  </si>
  <si>
    <t xml:space="preserve">anchor_date</t>
  </si>
  <si>
    <t xml:space="preserve">horizon</t>
  </si>
  <si>
    <t xml:space="preserve">grade_date</t>
  </si>
  <si>
    <t xml:space="preserve">anchor_price</t>
  </si>
  <si>
    <t xml:space="preserve">p5</t>
  </si>
  <si>
    <t xml:space="preserve">p25</t>
  </si>
  <si>
    <t xml:space="preserve">p50</t>
  </si>
  <si>
    <t xml:space="preserve">p75</t>
  </si>
  <si>
    <t xml:space="preserve">p95</t>
  </si>
  <si>
    <t xml:space="preserve">anchor_vol</t>
  </si>
  <si>
    <t xml:space="preserve">tier</t>
  </si>
  <si>
    <t xml:space="preserve">2026-07-03</t>
  </si>
  <si>
    <t xml:space="preserve">2026-08-03</t>
  </si>
  <si>
    <t xml:space="preserve">2026-09-30</t>
  </si>
  <si>
    <t xml:space="preserve">Grade dates are 20 and 60 TRADING sessions from the 03-Jul-2026 anchor, computed on the ADX calendar (not calendar days). Every row carries the carry inputs used (rf 3.90% 3M EIBOR, q 4.46%) and the fit the cone was built on (nu=10, width_cal=1.049, read live from the engine registry at build time) so the carry-anchored benchmark can be rebuilt exactly at grading. Tier: PARITY — calibrated distribution, market-panel validated, no single-name edge demonstrated. Never the red FAILED banner, which is reserved for a robust name-level FAIL.</t>
  </si>
  <si>
    <t xml:space="preserve">FORECAST PRE-REGISTRATION — the fundamental analogue of the Calibration Ledger</t>
  </si>
  <si>
    <t xml:space="preserve">FY26E — frozen today</t>
  </si>
  <si>
    <t xml:space="preserve">First testable print</t>
  </si>
  <si>
    <t xml:space="preserve">Test date</t>
  </si>
  <si>
    <t xml:space="preserve">1.836</t>
  </si>
  <si>
    <t xml:space="preserve">H1-26 x2 run-rate, then FY26</t>
  </si>
  <si>
    <t xml:space="preserve">H1: late Jul-2026 · FY: Jan-2027</t>
  </si>
  <si>
    <t xml:space="preserve">0.918</t>
  </si>
  <si>
    <t xml:space="preserve">FY26 board proposal</t>
  </si>
  <si>
    <t xml:space="preserve">Jan-2027</t>
  </si>
  <si>
    <t xml:space="preserve">3.90%</t>
  </si>
  <si>
    <t xml:space="preserve">H1-2026 MD&amp;A</t>
  </si>
  <si>
    <t xml:space="preserve">late Jul-2026</t>
  </si>
  <si>
    <t xml:space="preserve">29.4%</t>
  </si>
  <si>
    <t xml:space="preserve">Cost of risk (ADIB stated basis)</t>
  </si>
  <si>
    <t xml:space="preserve">~0.50%</t>
  </si>
  <si>
    <t xml:space="preserve">13.0%</t>
  </si>
  <si>
    <t xml:space="preserve">Gross financing growth</t>
  </si>
  <si>
    <t xml:space="preserve">13%</t>
  </si>
  <si>
    <t xml:space="preserve">FY2026 MD&amp;A</t>
  </si>
  <si>
    <t xml:space="preserve">24.0%</t>
  </si>
  <si>
    <t xml:space="preserve">Profit after tax (AED mn)</t>
  </si>
  <si>
    <t xml:space="preserve">7,428</t>
  </si>
  <si>
    <t xml:space="preserve">WHY THIS TABLE EXISTS. The house rule requires a forecast-versus-actual scorecard on every quarterly update. This is an INITIATION, so there is no prior study to score — but that is exactly how an accountability mechanism quietly dies. These nine numbers are therefore FROZEN here, with the dates they become testable, so the first update has something it CANNOT avoid scoring. The first test is a fortnight away: ADIB's H1-2026 results, due late July.</t>
  </si>
  <si>
    <t xml:space="preserve">FUNDAMENTAL DRIVER LEDGER — open rows from this study</t>
  </si>
  <si>
    <t xml:space="preserve">Driver</t>
  </si>
  <si>
    <t xml:space="preserve">Assumed</t>
  </si>
  <si>
    <t xml:space="preserve">Type</t>
  </si>
  <si>
    <t xml:space="preserve">Rationale, and what closes it</t>
  </si>
  <si>
    <t xml:space="preserve">20.0%</t>
  </si>
  <si>
    <t xml:space="preserve">GC</t>
  </si>
  <si>
    <t xml:space="preserve">The crux. Between the 18.3% sector and management's 25% 2030 target. Closes progressively: each year's actual ROE print tests the fade. First test = FY26 full-year ROE (guidance &gt;25%).</t>
  </si>
  <si>
    <t xml:space="preserve">Avg earning assets / avg net financing</t>
  </si>
  <si>
    <t xml:space="preserve">1.12x</t>
  </si>
  <si>
    <t xml:space="preserve">One notch below the FY25 disclosed 1.134x, continuing the 1.221 → 1.172 → 1.134 trend, then flat. Closes against the FY26 funded income / NPM identity in the FY26 MD&amp;A.</t>
  </si>
  <si>
    <t xml:space="preserve">Non-controlling interests FY25</t>
  </si>
  <si>
    <t xml:space="preserve">AED 376mn</t>
  </si>
  <si>
    <t xml:space="preserve">DERIVED as the residual: PAT 7,070 − AT1 353 − (EPS 1.746 × 3,632). ADIB does not split the NCI line in the MD&amp;A. Closes against the FY2025 audited financial statements' equity note.</t>
  </si>
  <si>
    <t xml:space="preserve">AT1 sukuk coupon</t>
  </si>
  <si>
    <t xml:space="preserve">AED 353mn/yr</t>
  </si>
  <si>
    <t xml:space="preserve">Built from the instruments: USD 750mn @7.25% (AED 2,754mn) → 199.7, plus the AED 2,000mn Abu Dhabi Government Tier 1 sukuk → 153.3. Ties to the AED 4,754mn AT1 balance. Closes against the FY2025 FS statement of changes in equity.</t>
  </si>
  <si>
    <t xml:space="preserve">Effective tax rate step to 16% in FY27</t>
  </si>
  <si>
    <t xml:space="preserve">16.0%</t>
  </si>
  <si>
    <t xml:space="preserve">CRUX — but now EVIDENCED, not merely cautious. Two DMTT-period prints (FY25 12.7%, Q1-26 12.9%) show no step-up in ADIB's own numbers. However: the transitional CbCR safe harbour expires for years commencing after 31-Dec-2026 (so FY27 is the first unsheltered year), and Dubai Islamic Bank is ALREADY paying 15%. Closes when ADIB discloses its Pillar Two position — the FY2025 audited FS tax note is where to look.</t>
  </si>
  <si>
    <t xml:space="preserve">1.00</t>
  </si>
  <si>
    <t xml:space="preserve">The regression genuinely failed its usability gate (n=21 &lt; 24). Closes when a longer FTSE ADX General daily series becomes obtainable. Until then, the sensitivity grid IS the answer.</t>
  </si>
  <si>
    <t xml:space="preserve">Non-funded income growth FY27–30</t>
  </si>
  <si>
    <t xml:space="preserve">+8%/yr</t>
  </si>
  <si>
    <t xml:space="preserve">Recovery from the Q1-26 +4% print. No disclosed volume driver (F23). Closes against FY26/FY27 prints.</t>
  </si>
  <si>
    <t xml:space="preserve">23.0%</t>
  </si>
  <si>
    <t xml:space="preserve">Below the 2030 target, above the FY21-25 average of 23.8% adjusted for the legacy NPA drag now fixed. Closes over a full cycle, not a quarter.</t>
  </si>
  <si>
    <t xml:space="preserve">Risk-free (AED 10Y)</t>
  </si>
  <si>
    <t xml:space="preserve">4.70%</t>
  </si>
  <si>
    <t xml:space="preserve">SF-risk</t>
  </si>
  <si>
    <t xml:space="preserve">CONSTRUCTED: UST 4.58% + ~12bp AED T-bond spread (UAE MoF May-2026 auctions). Not a screen quote — no live AED long curve exists. Flagged in Cost_of_Capital_Reference.md. Closes when an AED sovereign curve is quotable. House peg rule holds: never substitute UST.</t>
  </si>
  <si>
    <t xml:space="preserve">GC = genuine gut-check (a judgement, honestly labelled). SF = a sourcing failure — a figure that SHOULD have been quotable and was not. Every row is open until the actual print closes it, with the realized value, the error, and the WHY.</t>
  </si>
</sst>
</file>

<file path=xl/styles.xml><?xml version="1.0" encoding="utf-8"?>
<styleSheet xmlns="http://schemas.openxmlformats.org/spreadsheetml/2006/main">
  <numFmts count="10">
    <numFmt numFmtId="164" formatCode="General"/>
    <numFmt numFmtId="165" formatCode="0.00"/>
    <numFmt numFmtId="166" formatCode="0.0%;\(0.0%\)"/>
    <numFmt numFmtId="167" formatCode="0.00\x"/>
    <numFmt numFmtId="168" formatCode="#,##0;\(#,##0\)"/>
    <numFmt numFmtId="169" formatCode="#,##0.0;\(#,##0.0\)"/>
    <numFmt numFmtId="170" formatCode="0.000"/>
    <numFmt numFmtId="171" formatCode="0.00%;\(0.00%\)"/>
    <numFmt numFmtId="172" formatCode="0.0000"/>
    <numFmt numFmtId="173" formatCode="\+0.00;\-0.00"/>
  </numFmts>
  <fonts count="23">
    <font>
      <sz val="11"/>
      <color theme="1"/>
      <name val="Calibri"/>
      <family val="2"/>
      <charset val="1"/>
    </font>
    <font>
      <sz val="10"/>
      <name val="Arial"/>
      <family val="0"/>
    </font>
    <font>
      <sz val="10"/>
      <name val="Arial"/>
      <family val="0"/>
    </font>
    <font>
      <sz val="10"/>
      <name val="Arial"/>
      <family val="0"/>
    </font>
    <font>
      <b val="true"/>
      <sz val="12"/>
      <color rgb="FF1C3A36"/>
      <name val="Arial"/>
      <family val="0"/>
      <charset val="1"/>
    </font>
    <font>
      <i val="true"/>
      <sz val="9"/>
      <color rgb="FF6E7B77"/>
      <name val="Arial"/>
      <family val="0"/>
      <charset val="1"/>
    </font>
    <font>
      <sz val="10"/>
      <color rgb="FF000000"/>
      <name val="Arial"/>
      <family val="0"/>
      <charset val="1"/>
    </font>
    <font>
      <b val="true"/>
      <sz val="10"/>
      <color rgb="FF000000"/>
      <name val="Arial"/>
      <family val="0"/>
      <charset val="1"/>
    </font>
    <font>
      <sz val="10"/>
      <color rgb="FF008000"/>
      <name val="Arial"/>
      <family val="0"/>
      <charset val="1"/>
    </font>
    <font>
      <b val="true"/>
      <sz val="10"/>
      <color rgb="FF008000"/>
      <name val="Arial"/>
      <family val="0"/>
      <charset val="1"/>
    </font>
    <font>
      <sz val="10"/>
      <color rgb="FF0000FF"/>
      <name val="Arial"/>
      <family val="0"/>
      <charset val="1"/>
    </font>
    <font>
      <i val="true"/>
      <sz val="8"/>
      <color rgb="FF6E7B77"/>
      <name val="Arial"/>
      <family val="0"/>
      <charset val="1"/>
    </font>
    <font>
      <sz val="10"/>
      <name val="Arial"/>
      <family val="0"/>
      <charset val="1"/>
    </font>
    <font>
      <sz val="9"/>
      <color rgb="FF0000FF"/>
      <name val="Arial"/>
      <family val="0"/>
      <charset val="1"/>
    </font>
    <font>
      <sz val="9"/>
      <color rgb="FF000000"/>
      <name val="Arial"/>
      <family val="0"/>
      <charset val="1"/>
    </font>
    <font>
      <b val="true"/>
      <sz val="9"/>
      <color rgb="FF000000"/>
      <name val="Arial"/>
      <family val="0"/>
      <charset val="1"/>
    </font>
    <font>
      <b val="true"/>
      <sz val="9"/>
      <color rgb="FFB04A3F"/>
      <name val="Arial"/>
      <family val="0"/>
      <charset val="1"/>
    </font>
    <font>
      <b val="true"/>
      <sz val="10"/>
      <name val="Arial"/>
      <family val="0"/>
      <charset val="1"/>
    </font>
    <font>
      <sz val="8.5"/>
      <color rgb="FF000000"/>
      <name val="Arial"/>
      <family val="0"/>
      <charset val="1"/>
    </font>
    <font>
      <b val="true"/>
      <sz val="8.5"/>
      <color rgb="FFB04A3F"/>
      <name val="Arial"/>
      <family val="0"/>
      <charset val="1"/>
    </font>
    <font>
      <b val="true"/>
      <sz val="9"/>
      <color rgb="FF1C3A36"/>
      <name val="Arial"/>
      <family val="0"/>
      <charset val="1"/>
    </font>
    <font>
      <b val="true"/>
      <sz val="9"/>
      <color rgb="FF0000FF"/>
      <name val="Arial"/>
      <family val="0"/>
      <charset val="1"/>
    </font>
    <font>
      <b val="true"/>
      <sz val="8.5"/>
      <color rgb="FF000000"/>
      <name val="Arial"/>
      <family val="0"/>
      <charset val="1"/>
    </font>
  </fonts>
  <fills count="5">
    <fill>
      <patternFill patternType="none"/>
    </fill>
    <fill>
      <patternFill patternType="gray125"/>
    </fill>
    <fill>
      <patternFill patternType="solid">
        <fgColor rgb="FFF6F1E6"/>
        <bgColor rgb="FFEAF0EE"/>
      </patternFill>
    </fill>
    <fill>
      <patternFill patternType="solid">
        <fgColor rgb="FFEAF0EE"/>
        <bgColor rgb="FFF6F1E6"/>
      </patternFill>
    </fill>
    <fill>
      <patternFill patternType="solid">
        <fgColor rgb="FFFFF3C4"/>
        <bgColor rgb="FFF6F1E6"/>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69" fontId="6" fillId="0"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1" fontId="10"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64" fontId="7" fillId="3" borderId="0" xfId="0" applyFont="true" applyBorder="false" applyAlignment="true" applyProtection="false">
      <alignment horizontal="center"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8" fontId="6"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70" fontId="8" fillId="0"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70" fontId="6" fillId="0" borderId="0" xfId="0" applyFont="true" applyBorder="false" applyAlignment="false" applyProtection="false">
      <alignment horizontal="general" vertical="bottom" textRotation="0" wrapText="false" indent="0" shrinkToFit="false"/>
      <protection locked="true" hidden="false"/>
    </xf>
    <xf numFmtId="166" fontId="6"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true" applyProtection="false">
      <alignment horizontal="general" vertical="bottom" textRotation="0" wrapText="tru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1" fontId="8"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5" fontId="10" fillId="4" borderId="0" xfId="0" applyFont="true" applyBorder="false" applyAlignment="false" applyProtection="false">
      <alignment horizontal="general" vertical="bottom" textRotation="0" wrapText="false" indent="0" shrinkToFit="false"/>
      <protection locked="true" hidden="false"/>
    </xf>
    <xf numFmtId="171" fontId="6" fillId="0" borderId="0" xfId="0" applyFont="true" applyBorder="false" applyAlignment="false" applyProtection="false">
      <alignment horizontal="general" vertical="bottom" textRotation="0" wrapText="false" indent="0" shrinkToFit="false"/>
      <protection locked="true" hidden="false"/>
    </xf>
    <xf numFmtId="173"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64" fontId="17" fillId="3"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top"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70" fontId="13" fillId="0" borderId="0" xfId="0" applyFont="true" applyBorder="false" applyAlignment="false" applyProtection="false">
      <alignment horizontal="general" vertical="bottom" textRotation="0" wrapText="false" indent="0" shrinkToFit="false"/>
      <protection locked="true" hidden="false"/>
    </xf>
    <xf numFmtId="164" fontId="21"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6F1E6"/>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6E7B77"/>
      <rgbColor rgb="FF9999FF"/>
      <rgbColor rgb="FFB04A3F"/>
      <rgbColor rgb="FFFFF3C4"/>
      <rgbColor rgb="FFEAF0EE"/>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C3A3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18"/>
    <col collapsed="false" customWidth="true" hidden="false" outlineLevel="0" max="12" min="2" style="0" width="13"/>
  </cols>
  <sheetData>
    <row r="1" customFormat="false" ht="15" hidden="false" customHeight="false" outlineLevel="0" collapsed="false">
      <c r="A1" s="1" t="s">
        <v>0</v>
      </c>
    </row>
    <row r="2" customFormat="false" ht="15" hidden="false" customHeight="false" outlineLevel="0" collapsed="false">
      <c r="A2" s="2" t="s">
        <v>1</v>
      </c>
    </row>
    <row r="5" customFormat="false" ht="45.75" hidden="false" customHeight="true" outlineLevel="0" collapsed="false">
      <c r="A5" s="3" t="s">
        <v>2</v>
      </c>
    </row>
    <row r="7" customFormat="false" ht="45.75" hidden="false" customHeight="true" outlineLevel="0" collapsed="false">
      <c r="A7" s="3" t="s">
        <v>3</v>
      </c>
    </row>
    <row r="9" customFormat="false" ht="45.75" hidden="false" customHeight="true" outlineLevel="0" collapsed="false">
      <c r="A9" s="3" t="s">
        <v>4</v>
      </c>
    </row>
    <row r="11" customFormat="false" ht="45.75" hidden="false" customHeight="true" outlineLevel="0" collapsed="false">
      <c r="A11" s="3" t="s">
        <v>5</v>
      </c>
    </row>
    <row r="13" customFormat="false" ht="45.75" hidden="false" customHeight="true" outlineLevel="0" collapsed="false">
      <c r="A13" s="3" t="s">
        <v>6</v>
      </c>
    </row>
    <row r="15" customFormat="false" ht="45.75" hidden="false" customHeight="true" outlineLevel="0" collapsed="false">
      <c r="A15" s="3" t="s">
        <v>7</v>
      </c>
    </row>
    <row r="17" customFormat="false" ht="45.75" hidden="false" customHeight="true" outlineLevel="0" collapsed="false">
      <c r="A17" s="3" t="s">
        <v>8</v>
      </c>
    </row>
    <row r="20" customFormat="false" ht="15" hidden="false" customHeight="false" outlineLevel="0" collapsed="false">
      <c r="A20"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17"/>
    <col collapsed="false" customWidth="true" hidden="false" outlineLevel="0" max="12" min="3" style="0" width="13"/>
  </cols>
  <sheetData>
    <row r="1" customFormat="false" ht="15" hidden="false" customHeight="false" outlineLevel="0" collapsed="false">
      <c r="A1" s="1" t="s">
        <v>10</v>
      </c>
    </row>
    <row r="2" customFormat="false" ht="15" hidden="false" customHeight="false" outlineLevel="0" collapsed="false">
      <c r="A2" s="2" t="s">
        <v>11</v>
      </c>
    </row>
    <row r="4" customFormat="false" ht="15" hidden="false" customHeight="false" outlineLevel="0" collapsed="false">
      <c r="A4" s="4" t="s">
        <v>12</v>
      </c>
    </row>
    <row r="5" customFormat="false" ht="15" hidden="false" customHeight="false" outlineLevel="0" collapsed="false">
      <c r="A5" s="5" t="s">
        <v>13</v>
      </c>
      <c r="B5" s="6" t="n">
        <f aca="false">Assumptions!$B$5</f>
        <v>21.76</v>
      </c>
    </row>
    <row r="6" customFormat="false" ht="15" hidden="false" customHeight="false" outlineLevel="0" collapsed="false">
      <c r="A6" s="4" t="s">
        <v>14</v>
      </c>
    </row>
    <row r="7" customFormat="false" ht="15" hidden="false" customHeight="false" outlineLevel="0" collapsed="false">
      <c r="A7" s="5" t="s">
        <v>15</v>
      </c>
      <c r="B7" s="7" t="str">
        <f aca="false">_xlfn.CONCAT(TEXT('Relative &amp; Normalized'!$B$14,"0.00")," – ",TEXT('Relative &amp; Normalized'!$B$24,"0.00"))</f>
        <v>17.94 – 19.00</v>
      </c>
    </row>
    <row r="8" customFormat="false" ht="15" hidden="false" customHeight="false" outlineLevel="0" collapsed="false">
      <c r="A8" s="5" t="s">
        <v>16</v>
      </c>
      <c r="B8" s="7" t="str">
        <f aca="false">_xlfn.CONCAT(TEXT(DDM!$B$14,"0.00")," – ",TEXT(FCFE!$B$13,"0.00"))</f>
        <v>22.54 – 23.48</v>
      </c>
    </row>
    <row r="9" customFormat="false" ht="15" hidden="false" customHeight="false" outlineLevel="0" collapsed="false">
      <c r="A9" s="4" t="s">
        <v>17</v>
      </c>
      <c r="B9" s="8" t="n">
        <f aca="false">'Relative &amp; Normalized'!$B$30</f>
        <v>21.2309061093648</v>
      </c>
    </row>
    <row r="10" customFormat="false" ht="15" hidden="false" customHeight="false" outlineLevel="0" collapsed="false">
      <c r="A10" s="5" t="s">
        <v>18</v>
      </c>
      <c r="B10" s="9" t="n">
        <f aca="false">B9/B5-1</f>
        <v>-0.0243149765916921</v>
      </c>
    </row>
    <row r="12" customFormat="false" ht="15" hidden="false" customHeight="false" outlineLevel="0" collapsed="false">
      <c r="A12" s="4" t="s">
        <v>19</v>
      </c>
    </row>
    <row r="13" customFormat="false" ht="15" hidden="false" customHeight="false" outlineLevel="0" collapsed="false">
      <c r="A13" s="5" t="s">
        <v>20</v>
      </c>
      <c r="B13" s="6" t="n">
        <f aca="false">DDM!$B$14</f>
        <v>22.5417829123605</v>
      </c>
    </row>
    <row r="14" customFormat="false" ht="15" hidden="false" customHeight="false" outlineLevel="0" collapsed="false">
      <c r="A14" s="5" t="s">
        <v>21</v>
      </c>
      <c r="B14" s="6" t="n">
        <f aca="false">FCFE!$B$13</f>
        <v>23.481366262725</v>
      </c>
    </row>
    <row r="15" customFormat="false" ht="15" hidden="false" customHeight="false" outlineLevel="0" collapsed="false">
      <c r="A15" s="5" t="s">
        <v>22</v>
      </c>
      <c r="B15" s="6" t="n">
        <f aca="false">'Residual Income'!$B$14</f>
        <v>22.5417829123605</v>
      </c>
    </row>
    <row r="16" customFormat="false" ht="15" hidden="false" customHeight="false" outlineLevel="0" collapsed="false">
      <c r="A16" s="5" t="s">
        <v>23</v>
      </c>
      <c r="B16" s="6" t="n">
        <f aca="false">'Relative &amp; Normalized'!$B$14</f>
        <v>17.9374003581494</v>
      </c>
    </row>
    <row r="17" customFormat="false" ht="15" hidden="false" customHeight="false" outlineLevel="0" collapsed="false">
      <c r="A17" s="5" t="s">
        <v>24</v>
      </c>
      <c r="B17" s="6" t="n">
        <f aca="false">'Relative &amp; Normalized'!$B$24</f>
        <v>19.0021976143061</v>
      </c>
    </row>
    <row r="19" customFormat="false" ht="15" hidden="false" customHeight="false" outlineLevel="0" collapsed="false">
      <c r="A19" s="4" t="s">
        <v>25</v>
      </c>
    </row>
    <row r="20" customFormat="false" ht="15" hidden="false" customHeight="false" outlineLevel="0" collapsed="false">
      <c r="A20" s="5" t="s">
        <v>26</v>
      </c>
      <c r="B20" s="10" t="n">
        <f aca="false">Assumptions!$B$5/'Per-Share &amp; Ratios'!$B$5</f>
        <v>3.31164131573434</v>
      </c>
    </row>
    <row r="21" customFormat="false" ht="15" hidden="false" customHeight="false" outlineLevel="0" collapsed="false">
      <c r="A21" s="5" t="s">
        <v>27</v>
      </c>
      <c r="B21" s="10" t="n">
        <f aca="false">Assumptions!$B$5/'Per-Share &amp; Ratios'!$B$6</f>
        <v>3.03189166378947</v>
      </c>
    </row>
    <row r="22" customFormat="false" ht="15" hidden="false" customHeight="false" outlineLevel="0" collapsed="false">
      <c r="A22" s="5" t="s">
        <v>28</v>
      </c>
      <c r="B22" s="10" t="n">
        <f aca="false">Assumptions!$B$5/'Driver Build'!$E$15</f>
        <v>11.8500797725107</v>
      </c>
    </row>
    <row r="23" customFormat="false" ht="15" hidden="false" customHeight="false" outlineLevel="0" collapsed="false">
      <c r="A23" s="4" t="s">
        <v>29</v>
      </c>
      <c r="B23" s="11" t="n">
        <f aca="false">Assumptions!$B$17+B20*(Assumptions!$B$16-Assumptions!$B$17)</f>
        <v>0.257574834443746</v>
      </c>
    </row>
    <row r="24" customFormat="false" ht="15" hidden="false" customHeight="false" outlineLevel="0" collapsed="false">
      <c r="A24" s="5" t="s">
        <v>30</v>
      </c>
      <c r="B24" s="9" t="n">
        <f aca="false">Assumptions!$B$45</f>
        <v>0.288</v>
      </c>
    </row>
    <row r="25" customFormat="false" ht="15" hidden="false" customHeight="false" outlineLevel="0" collapsed="false">
      <c r="A25" s="5" t="s">
        <v>31</v>
      </c>
      <c r="B25" s="9" t="n">
        <f aca="false">Assumptions!$B$46</f>
        <v>0.25</v>
      </c>
    </row>
    <row r="26" customFormat="false" ht="15" hidden="false" customHeight="false" outlineLevel="0" collapsed="false">
      <c r="A26" s="5" t="s">
        <v>32</v>
      </c>
      <c r="B26" s="9" t="n">
        <f aca="false">Assumptions!$B$36</f>
        <v>0.183</v>
      </c>
    </row>
    <row r="28" customFormat="false" ht="15" hidden="false" customHeight="false" outlineLevel="0" collapsed="false">
      <c r="A28" s="4" t="s">
        <v>33</v>
      </c>
    </row>
    <row r="29" customFormat="false" ht="15" hidden="false" customHeight="false" outlineLevel="0" collapsed="false">
      <c r="A29" s="5" t="s">
        <v>34</v>
      </c>
      <c r="B29" s="9" t="n">
        <f aca="false">'Monte Carlo'!$B$18</f>
        <v>0.4955</v>
      </c>
    </row>
    <row r="30" customFormat="false" ht="15" hidden="false" customHeight="false" outlineLevel="0" collapsed="false">
      <c r="A30" s="5" t="s">
        <v>35</v>
      </c>
      <c r="B30" s="6" t="n">
        <f aca="false">'Monte Carlo'!$B$20</f>
        <v>21.727</v>
      </c>
    </row>
    <row r="31" customFormat="false" ht="15" hidden="false" customHeight="false" outlineLevel="0" collapsed="false">
      <c r="A31" s="5" t="s">
        <v>36</v>
      </c>
      <c r="B31" s="7" t="str">
        <f aca="false">_xlfn.CONCAT(TEXT('Monte Carlo'!$C$11,"0.00")," – ",TEXT('Monte Carlo'!$E$11,"0.00"))</f>
        <v>19.81 – 23.84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0" min="2" style="0" width="13"/>
    <col collapsed="false" customWidth="true" hidden="false" outlineLevel="0" max="11" min="11" style="0" width="76"/>
    <col collapsed="false" customWidth="true" hidden="false" outlineLevel="0" max="12" min="12" style="0" width="13"/>
  </cols>
  <sheetData>
    <row r="1" customFormat="false" ht="15" hidden="false" customHeight="false" outlineLevel="0" collapsed="false">
      <c r="A1" s="1" t="s">
        <v>37</v>
      </c>
    </row>
    <row r="2" customFormat="false" ht="15" hidden="false" customHeight="false" outlineLevel="0" collapsed="false">
      <c r="A2" s="2" t="s">
        <v>38</v>
      </c>
    </row>
    <row r="4" customFormat="false" ht="15" hidden="false" customHeight="false" outlineLevel="0" collapsed="false">
      <c r="A4" s="4" t="s">
        <v>39</v>
      </c>
    </row>
    <row r="5" customFormat="false" ht="15" hidden="false" customHeight="false" outlineLevel="0" collapsed="false">
      <c r="A5" s="5" t="s">
        <v>13</v>
      </c>
      <c r="B5" s="12" t="n">
        <v>21.76</v>
      </c>
      <c r="K5" s="13" t="s">
        <v>40</v>
      </c>
    </row>
    <row r="6" customFormat="false" ht="15" hidden="false" customHeight="false" outlineLevel="0" collapsed="false">
      <c r="A6" s="5" t="s">
        <v>41</v>
      </c>
      <c r="B6" s="14" t="n">
        <v>3632</v>
      </c>
      <c r="K6" s="13" t="s">
        <v>42</v>
      </c>
    </row>
    <row r="7" customFormat="false" ht="15" hidden="false" customHeight="false" outlineLevel="0" collapsed="false">
      <c r="A7" s="5" t="s">
        <v>43</v>
      </c>
      <c r="B7" s="15" t="n">
        <f aca="false">B5*B6/1000</f>
        <v>79.03232</v>
      </c>
    </row>
    <row r="8" customFormat="false" ht="15" hidden="false" customHeight="false" outlineLevel="0" collapsed="false">
      <c r="A8" s="5" t="s">
        <v>44</v>
      </c>
      <c r="B8" s="16" t="n">
        <v>0.9705</v>
      </c>
      <c r="K8" s="13" t="s">
        <v>45</v>
      </c>
    </row>
    <row r="10" customFormat="false" ht="15" hidden="false" customHeight="false" outlineLevel="0" collapsed="false">
      <c r="A10" s="4" t="s">
        <v>46</v>
      </c>
    </row>
    <row r="11" customFormat="false" ht="15" hidden="false" customHeight="false" outlineLevel="0" collapsed="false">
      <c r="A11" s="5" t="s">
        <v>47</v>
      </c>
      <c r="B11" s="17" t="n">
        <v>0.047</v>
      </c>
      <c r="K11" s="13" t="s">
        <v>48</v>
      </c>
    </row>
    <row r="12" customFormat="false" ht="15" hidden="false" customHeight="false" outlineLevel="0" collapsed="false">
      <c r="A12" s="5" t="s">
        <v>49</v>
      </c>
      <c r="B12" s="17" t="n">
        <v>0.0487</v>
      </c>
      <c r="K12" s="13" t="s">
        <v>50</v>
      </c>
    </row>
    <row r="13" customFormat="false" ht="15" hidden="false" customHeight="false" outlineLevel="0" collapsed="false">
      <c r="A13" s="5" t="s">
        <v>51</v>
      </c>
      <c r="B13" s="17" t="n">
        <v>0.0493</v>
      </c>
      <c r="K13" s="13" t="s">
        <v>52</v>
      </c>
    </row>
    <row r="14" customFormat="false" ht="15" hidden="false" customHeight="false" outlineLevel="0" collapsed="false">
      <c r="A14" s="5" t="s">
        <v>53</v>
      </c>
      <c r="B14" s="12" t="n">
        <v>1</v>
      </c>
      <c r="K14" s="13" t="s">
        <v>54</v>
      </c>
    </row>
    <row r="15" customFormat="false" ht="15" hidden="false" customHeight="false" outlineLevel="0" collapsed="false">
      <c r="A15" s="5" t="s">
        <v>55</v>
      </c>
      <c r="B15" s="17" t="n">
        <v>0.01</v>
      </c>
      <c r="K15" s="13" t="s">
        <v>56</v>
      </c>
    </row>
    <row r="16" customFormat="false" ht="15" hidden="false" customHeight="false" outlineLevel="0" collapsed="false">
      <c r="A16" s="5" t="s">
        <v>57</v>
      </c>
      <c r="B16" s="18" t="n">
        <f aca="false">B11+B14*B12+B15</f>
        <v>0.1057</v>
      </c>
    </row>
    <row r="17" customFormat="false" ht="15" hidden="false" customHeight="false" outlineLevel="0" collapsed="false">
      <c r="A17" s="5" t="s">
        <v>58</v>
      </c>
      <c r="B17" s="17" t="n">
        <v>0.04</v>
      </c>
      <c r="K17" s="13" t="s">
        <v>59</v>
      </c>
    </row>
    <row r="18" customFormat="false" ht="15" hidden="false" customHeight="false" outlineLevel="0" collapsed="false">
      <c r="A18" s="5" t="s">
        <v>60</v>
      </c>
      <c r="B18" s="17" t="n">
        <v>0.2</v>
      </c>
      <c r="K18" s="13" t="s">
        <v>61</v>
      </c>
    </row>
    <row r="20" customFormat="false" ht="15" hidden="false" customHeight="false" outlineLevel="0" collapsed="false">
      <c r="A20" s="4" t="s">
        <v>62</v>
      </c>
      <c r="E20" s="19" t="s">
        <v>63</v>
      </c>
      <c r="F20" s="19" t="s">
        <v>64</v>
      </c>
      <c r="G20" s="19" t="s">
        <v>65</v>
      </c>
      <c r="H20" s="19" t="s">
        <v>66</v>
      </c>
      <c r="I20" s="19" t="s">
        <v>67</v>
      </c>
    </row>
    <row r="21" customFormat="false" ht="30" hidden="false" customHeight="true" outlineLevel="0" collapsed="false">
      <c r="A21" s="5" t="s">
        <v>68</v>
      </c>
      <c r="E21" s="20" t="n">
        <v>0.13</v>
      </c>
      <c r="F21" s="20" t="n">
        <v>0.12</v>
      </c>
      <c r="G21" s="20" t="n">
        <v>0.11</v>
      </c>
      <c r="H21" s="20" t="n">
        <v>0.1</v>
      </c>
      <c r="I21" s="20" t="n">
        <v>0.09</v>
      </c>
      <c r="K21" s="21" t="s">
        <v>69</v>
      </c>
    </row>
    <row r="22" customFormat="false" ht="30" hidden="false" customHeight="true" outlineLevel="0" collapsed="false">
      <c r="A22" s="5" t="s">
        <v>70</v>
      </c>
      <c r="E22" s="17" t="n">
        <v>0.039</v>
      </c>
      <c r="F22" s="17" t="n">
        <v>0.0382</v>
      </c>
      <c r="G22" s="17" t="n">
        <v>0.0376</v>
      </c>
      <c r="H22" s="17" t="n">
        <v>0.0372</v>
      </c>
      <c r="I22" s="17" t="n">
        <v>0.037</v>
      </c>
      <c r="K22" s="21" t="s">
        <v>71</v>
      </c>
    </row>
    <row r="23" customFormat="false" ht="30" hidden="false" customHeight="true" outlineLevel="0" collapsed="false">
      <c r="A23" s="5" t="s">
        <v>72</v>
      </c>
      <c r="E23" s="20" t="n">
        <v>0.04</v>
      </c>
      <c r="F23" s="20" t="n">
        <v>0.08</v>
      </c>
      <c r="G23" s="20" t="n">
        <v>0.08</v>
      </c>
      <c r="H23" s="20" t="n">
        <v>0.08</v>
      </c>
      <c r="I23" s="20" t="n">
        <v>0.08</v>
      </c>
      <c r="K23" s="21" t="s">
        <v>73</v>
      </c>
    </row>
    <row r="24" customFormat="false" ht="30" hidden="false" customHeight="true" outlineLevel="0" collapsed="false">
      <c r="A24" s="5" t="s">
        <v>74</v>
      </c>
      <c r="E24" s="20" t="n">
        <v>0.294</v>
      </c>
      <c r="F24" s="20" t="n">
        <v>0.29</v>
      </c>
      <c r="G24" s="20" t="n">
        <v>0.285</v>
      </c>
      <c r="H24" s="20" t="n">
        <v>0.28</v>
      </c>
      <c r="I24" s="20" t="n">
        <v>0.275</v>
      </c>
      <c r="K24" s="21" t="s">
        <v>75</v>
      </c>
    </row>
    <row r="25" customFormat="false" ht="30" hidden="false" customHeight="true" outlineLevel="0" collapsed="false">
      <c r="A25" s="5" t="s">
        <v>76</v>
      </c>
      <c r="E25" s="17" t="n">
        <v>0.0046</v>
      </c>
      <c r="F25" s="17" t="n">
        <v>0.0046</v>
      </c>
      <c r="G25" s="17" t="n">
        <v>0.0044</v>
      </c>
      <c r="H25" s="17" t="n">
        <v>0.0043</v>
      </c>
      <c r="I25" s="17" t="n">
        <v>0.0042</v>
      </c>
      <c r="K25" s="21" t="s">
        <v>77</v>
      </c>
    </row>
    <row r="26" customFormat="false" ht="30" hidden="false" customHeight="true" outlineLevel="0" collapsed="false">
      <c r="A26" s="5" t="s">
        <v>78</v>
      </c>
      <c r="E26" s="20" t="n">
        <v>0.13</v>
      </c>
      <c r="F26" s="20" t="n">
        <v>0.16</v>
      </c>
      <c r="G26" s="20" t="n">
        <v>0.16</v>
      </c>
      <c r="H26" s="20" t="n">
        <v>0.16</v>
      </c>
      <c r="I26" s="20" t="n">
        <v>0.16</v>
      </c>
      <c r="K26" s="21" t="s">
        <v>79</v>
      </c>
    </row>
    <row r="27" customFormat="false" ht="30" hidden="false" customHeight="true" outlineLevel="0" collapsed="false">
      <c r="A27" s="5" t="s">
        <v>80</v>
      </c>
      <c r="E27" s="20" t="n">
        <v>0.5</v>
      </c>
      <c r="F27" s="20" t="n">
        <v>0.5</v>
      </c>
      <c r="G27" s="20" t="n">
        <v>0.51</v>
      </c>
      <c r="H27" s="20" t="n">
        <v>0.52</v>
      </c>
      <c r="I27" s="20" t="n">
        <v>0.53</v>
      </c>
      <c r="K27" s="21" t="s">
        <v>81</v>
      </c>
    </row>
    <row r="29" customFormat="false" ht="15" hidden="false" customHeight="false" outlineLevel="0" collapsed="false">
      <c r="A29" s="4" t="s">
        <v>82</v>
      </c>
    </row>
    <row r="30" customFormat="false" ht="25.5" hidden="false" customHeight="true" outlineLevel="0" collapsed="false">
      <c r="A30" s="5" t="s">
        <v>83</v>
      </c>
      <c r="B30" s="22" t="n">
        <v>1.12</v>
      </c>
      <c r="K30" s="21" t="s">
        <v>84</v>
      </c>
    </row>
    <row r="31" customFormat="false" ht="25.5" hidden="false" customHeight="true" outlineLevel="0" collapsed="false">
      <c r="A31" s="5" t="s">
        <v>85</v>
      </c>
      <c r="B31" s="22" t="n">
        <v>0.978</v>
      </c>
      <c r="K31" s="21" t="s">
        <v>86</v>
      </c>
    </row>
    <row r="32" customFormat="false" ht="25.5" hidden="false" customHeight="true" outlineLevel="0" collapsed="false">
      <c r="A32" s="5" t="s">
        <v>87</v>
      </c>
      <c r="B32" s="22" t="n">
        <v>0.88</v>
      </c>
      <c r="K32" s="21" t="s">
        <v>88</v>
      </c>
    </row>
    <row r="33" customFormat="false" ht="25.5" hidden="false" customHeight="true" outlineLevel="0" collapsed="false">
      <c r="A33" s="5" t="s">
        <v>89</v>
      </c>
      <c r="B33" s="17" t="n">
        <v>0.12</v>
      </c>
      <c r="K33" s="21" t="s">
        <v>90</v>
      </c>
    </row>
    <row r="34" customFormat="false" ht="25.5" hidden="false" customHeight="true" outlineLevel="0" collapsed="false">
      <c r="A34" s="5" t="s">
        <v>91</v>
      </c>
      <c r="B34" s="14" t="n">
        <v>353</v>
      </c>
      <c r="K34" s="21" t="s">
        <v>92</v>
      </c>
    </row>
    <row r="35" customFormat="false" ht="25.5" hidden="false" customHeight="true" outlineLevel="0" collapsed="false">
      <c r="A35" s="5" t="s">
        <v>93</v>
      </c>
      <c r="B35" s="14" t="n">
        <v>376</v>
      </c>
      <c r="K35" s="21" t="s">
        <v>94</v>
      </c>
    </row>
    <row r="36" customFormat="false" ht="15" hidden="false" customHeight="false" outlineLevel="0" collapsed="false">
      <c r="A36" s="5" t="s">
        <v>32</v>
      </c>
      <c r="B36" s="20" t="n">
        <v>0.183</v>
      </c>
      <c r="K36" s="13" t="s">
        <v>95</v>
      </c>
    </row>
    <row r="37" customFormat="false" ht="15" hidden="false" customHeight="false" outlineLevel="0" collapsed="false">
      <c r="A37" s="4" t="s">
        <v>96</v>
      </c>
    </row>
    <row r="38" customFormat="false" ht="15" hidden="false" customHeight="false" outlineLevel="0" collapsed="false">
      <c r="A38" s="5" t="s">
        <v>97</v>
      </c>
      <c r="B38" s="22" t="n">
        <v>1.55</v>
      </c>
      <c r="K38" s="13" t="s">
        <v>98</v>
      </c>
    </row>
    <row r="39" customFormat="false" ht="15" hidden="false" customHeight="false" outlineLevel="0" collapsed="false">
      <c r="A39" s="5" t="s">
        <v>99</v>
      </c>
      <c r="B39" s="22" t="n">
        <v>1.64</v>
      </c>
      <c r="K39" s="13" t="s">
        <v>100</v>
      </c>
    </row>
    <row r="40" customFormat="false" ht="15" hidden="false" customHeight="false" outlineLevel="0" collapsed="false">
      <c r="A40" s="5" t="s">
        <v>101</v>
      </c>
      <c r="B40" s="22" t="n">
        <v>9</v>
      </c>
      <c r="K40" s="13" t="s">
        <v>102</v>
      </c>
    </row>
    <row r="41" customFormat="false" ht="15" hidden="false" customHeight="false" outlineLevel="0" collapsed="false">
      <c r="A41" s="5" t="s">
        <v>103</v>
      </c>
      <c r="B41" s="20" t="n">
        <v>0.23</v>
      </c>
      <c r="K41" s="13" t="s">
        <v>104</v>
      </c>
    </row>
    <row r="43" customFormat="false" ht="15" hidden="false" customHeight="false" outlineLevel="0" collapsed="false">
      <c r="A43" s="4" t="s">
        <v>105</v>
      </c>
    </row>
    <row r="44" customFormat="false" ht="15" hidden="false" customHeight="false" outlineLevel="0" collapsed="false">
      <c r="A44" s="5"/>
    </row>
    <row r="45" customFormat="false" ht="15" hidden="false" customHeight="false" outlineLevel="0" collapsed="false">
      <c r="A45" s="23" t="s">
        <v>106</v>
      </c>
      <c r="B45" s="20" t="n">
        <v>0.288</v>
      </c>
      <c r="K45" s="13" t="s">
        <v>107</v>
      </c>
    </row>
    <row r="46" customFormat="false" ht="15" hidden="false" customHeight="false" outlineLevel="0" collapsed="false">
      <c r="A46" s="5" t="s">
        <v>108</v>
      </c>
      <c r="B46" s="20" t="n">
        <v>0.25</v>
      </c>
      <c r="K46" s="13" t="s">
        <v>109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110</v>
      </c>
    </row>
    <row r="2" customFormat="false" ht="15" hidden="false" customHeight="false" outlineLevel="0" collapsed="false">
      <c r="A2" s="2" t="s">
        <v>111</v>
      </c>
    </row>
    <row r="3" customFormat="false" ht="15" hidden="false" customHeight="false" outlineLevel="0" collapsed="false">
      <c r="D3" s="19" t="s">
        <v>112</v>
      </c>
      <c r="E3" s="19" t="s">
        <v>63</v>
      </c>
      <c r="F3" s="19" t="s">
        <v>64</v>
      </c>
      <c r="G3" s="19" t="s">
        <v>65</v>
      </c>
      <c r="H3" s="19" t="s">
        <v>66</v>
      </c>
      <c r="I3" s="19" t="s">
        <v>67</v>
      </c>
    </row>
    <row r="4" customFormat="false" ht="15" hidden="false" customHeight="false" outlineLevel="0" collapsed="false">
      <c r="A4" s="5" t="s">
        <v>113</v>
      </c>
      <c r="D4" s="24" t="n">
        <f aca="false">'Balance Sheet'!D5</f>
        <v>185600</v>
      </c>
      <c r="E4" s="25" t="n">
        <f aca="false">D4*(1+Assumptions!E$21)</f>
        <v>209728</v>
      </c>
      <c r="F4" s="25" t="n">
        <f aca="false">E4*(1+Assumptions!F$21)</f>
        <v>234895.36</v>
      </c>
      <c r="G4" s="25" t="n">
        <f aca="false">F4*(1+Assumptions!G$21)</f>
        <v>260733.8496</v>
      </c>
      <c r="H4" s="25" t="n">
        <f aca="false">G4*(1+Assumptions!H$21)</f>
        <v>286807.23456</v>
      </c>
      <c r="I4" s="25" t="n">
        <f aca="false">H4*(1+Assumptions!I$21)</f>
        <v>312619.8856704</v>
      </c>
    </row>
    <row r="5" customFormat="false" ht="15" hidden="false" customHeight="false" outlineLevel="0" collapsed="false">
      <c r="A5" s="5" t="s">
        <v>114</v>
      </c>
      <c r="D5" s="24" t="n">
        <f aca="false">'Balance Sheet'!D6</f>
        <v>181376</v>
      </c>
      <c r="E5" s="25" t="n">
        <f aca="false">E4*Assumptions!$B$31</f>
        <v>205113.984</v>
      </c>
      <c r="F5" s="25" t="n">
        <f aca="false">F4*Assumptions!$B$31</f>
        <v>229727.66208</v>
      </c>
      <c r="G5" s="25" t="n">
        <f aca="false">G4*Assumptions!$B$31</f>
        <v>254997.7049088</v>
      </c>
      <c r="H5" s="25" t="n">
        <f aca="false">H4*Assumptions!$B$31</f>
        <v>280497.47539968</v>
      </c>
      <c r="I5" s="25" t="n">
        <f aca="false">I4*Assumptions!$B$31</f>
        <v>305742.248185651</v>
      </c>
    </row>
    <row r="6" customFormat="false" ht="15" hidden="false" customHeight="false" outlineLevel="0" collapsed="false">
      <c r="A6" s="5" t="s">
        <v>115</v>
      </c>
      <c r="E6" s="25" t="n">
        <f aca="false">AVERAGE(D5,E5)</f>
        <v>193244.992</v>
      </c>
      <c r="F6" s="25" t="n">
        <f aca="false">AVERAGE(E5,F5)</f>
        <v>217420.82304</v>
      </c>
      <c r="G6" s="25" t="n">
        <f aca="false">AVERAGE(F5,G5)</f>
        <v>242362.6834944</v>
      </c>
      <c r="H6" s="25" t="n">
        <f aca="false">AVERAGE(G5,H5)</f>
        <v>267747.59015424</v>
      </c>
      <c r="I6" s="25" t="n">
        <f aca="false">AVERAGE(H5,I5)</f>
        <v>293119.861792666</v>
      </c>
    </row>
    <row r="7" customFormat="false" ht="15" hidden="false" customHeight="false" outlineLevel="0" collapsed="false">
      <c r="A7" s="5" t="s">
        <v>116</v>
      </c>
      <c r="E7" s="25" t="n">
        <f aca="false">AVERAGE(D4,E4)</f>
        <v>197664</v>
      </c>
      <c r="F7" s="25" t="n">
        <f aca="false">AVERAGE(E4,F4)</f>
        <v>222311.68</v>
      </c>
      <c r="G7" s="25" t="n">
        <f aca="false">AVERAGE(F4,G4)</f>
        <v>247814.6048</v>
      </c>
      <c r="H7" s="25" t="n">
        <f aca="false">AVERAGE(G4,H4)</f>
        <v>273770.54208</v>
      </c>
      <c r="I7" s="25" t="n">
        <f aca="false">AVERAGE(H4,I4)</f>
        <v>299713.5601152</v>
      </c>
    </row>
    <row r="8" customFormat="false" ht="15" hidden="false" customHeight="false" outlineLevel="0" collapsed="false">
      <c r="A8" s="5" t="s">
        <v>117</v>
      </c>
      <c r="E8" s="25" t="n">
        <f aca="false">E6*Assumptions!$B$30</f>
        <v>216434.39104</v>
      </c>
      <c r="F8" s="25" t="n">
        <f aca="false">F6*Assumptions!$B$30</f>
        <v>243511.3218048</v>
      </c>
      <c r="G8" s="25" t="n">
        <f aca="false">G6*Assumptions!$B$30</f>
        <v>271446.205513728</v>
      </c>
      <c r="H8" s="25" t="n">
        <f aca="false">H6*Assumptions!$B$30</f>
        <v>299877.300972749</v>
      </c>
      <c r="I8" s="25" t="n">
        <f aca="false">I6*Assumptions!$B$30</f>
        <v>328294.245207786</v>
      </c>
    </row>
    <row r="9" customFormat="false" ht="15" hidden="false" customHeight="false" outlineLevel="0" collapsed="false">
      <c r="A9" s="5" t="s">
        <v>118</v>
      </c>
      <c r="D9" s="24" t="n">
        <f aca="false">'Income Statement'!D4</f>
        <v>7553</v>
      </c>
      <c r="E9" s="25" t="n">
        <f aca="false">E8*Assumptions!E$22</f>
        <v>8440.94125056</v>
      </c>
      <c r="F9" s="25" t="n">
        <f aca="false">F8*Assumptions!F$22</f>
        <v>9302.13249294336</v>
      </c>
      <c r="G9" s="25" t="n">
        <f aca="false">G8*Assumptions!G$22</f>
        <v>10206.3773273162</v>
      </c>
      <c r="H9" s="25" t="n">
        <f aca="false">H8*Assumptions!H$22</f>
        <v>11155.4355961863</v>
      </c>
      <c r="I9" s="25" t="n">
        <f aca="false">I8*Assumptions!I$22</f>
        <v>12146.8870726881</v>
      </c>
    </row>
    <row r="10" customFormat="false" ht="15" hidden="false" customHeight="false" outlineLevel="0" collapsed="false">
      <c r="A10" s="5" t="s">
        <v>119</v>
      </c>
      <c r="D10" s="24" t="n">
        <f aca="false">'Income Statement'!D5</f>
        <v>4751</v>
      </c>
      <c r="E10" s="25" t="n">
        <f aca="false">D10*(1+Assumptions!E$23)</f>
        <v>4941.04</v>
      </c>
      <c r="F10" s="25" t="n">
        <f aca="false">E10*(1+Assumptions!F$23)</f>
        <v>5336.3232</v>
      </c>
      <c r="G10" s="25" t="n">
        <f aca="false">F10*(1+Assumptions!G$23)</f>
        <v>5763.229056</v>
      </c>
      <c r="H10" s="25" t="n">
        <f aca="false">G10*(1+Assumptions!H$23)</f>
        <v>6224.28738048</v>
      </c>
      <c r="I10" s="25" t="n">
        <f aca="false">H10*(1+Assumptions!I$23)</f>
        <v>6722.2303709184</v>
      </c>
    </row>
    <row r="11" customFormat="false" ht="15" hidden="false" customHeight="false" outlineLevel="0" collapsed="false">
      <c r="A11" s="4" t="s">
        <v>120</v>
      </c>
      <c r="D11" s="26" t="n">
        <f aca="false">D9+D10</f>
        <v>12304</v>
      </c>
      <c r="E11" s="26" t="n">
        <f aca="false">E9+E10</f>
        <v>13381.98125056</v>
      </c>
      <c r="F11" s="26" t="n">
        <f aca="false">F9+F10</f>
        <v>14638.4556929434</v>
      </c>
      <c r="G11" s="26" t="n">
        <f aca="false">G9+G10</f>
        <v>15969.6063833162</v>
      </c>
      <c r="H11" s="26" t="n">
        <f aca="false">H9+H10</f>
        <v>17379.7229766663</v>
      </c>
      <c r="I11" s="26" t="n">
        <f aca="false">I9+I10</f>
        <v>18869.1174436065</v>
      </c>
    </row>
    <row r="12" customFormat="false" ht="15" hidden="false" customHeight="false" outlineLevel="0" collapsed="false">
      <c r="A12" s="5" t="s">
        <v>121</v>
      </c>
      <c r="D12" s="24" t="n">
        <f aca="false">'Income Statement'!D7</f>
        <v>-3525</v>
      </c>
      <c r="E12" s="25" t="n">
        <f aca="false">-E11*Assumptions!E$24</f>
        <v>-3934.30248766464</v>
      </c>
      <c r="F12" s="25" t="n">
        <f aca="false">-F11*Assumptions!F$24</f>
        <v>-4245.15215095357</v>
      </c>
      <c r="G12" s="25" t="n">
        <f aca="false">-G11*Assumptions!G$24</f>
        <v>-4551.33781924511</v>
      </c>
      <c r="H12" s="25" t="n">
        <f aca="false">-H11*Assumptions!H$24</f>
        <v>-4866.32243346655</v>
      </c>
      <c r="I12" s="25" t="n">
        <f aca="false">-I11*Assumptions!I$24</f>
        <v>-5189.00729699178</v>
      </c>
    </row>
    <row r="13" customFormat="false" ht="15" hidden="false" customHeight="false" outlineLevel="0" collapsed="false">
      <c r="A13" s="5" t="s">
        <v>122</v>
      </c>
      <c r="D13" s="24" t="n">
        <f aca="false">'Income Statement'!D9</f>
        <v>-678</v>
      </c>
      <c r="E13" s="25" t="n">
        <f aca="false">-E7*Assumptions!E$25</f>
        <v>-909.2544</v>
      </c>
      <c r="F13" s="25" t="n">
        <f aca="false">-F7*Assumptions!F$25</f>
        <v>-1022.633728</v>
      </c>
      <c r="G13" s="25" t="n">
        <f aca="false">-G7*Assumptions!G$25</f>
        <v>-1090.38426112</v>
      </c>
      <c r="H13" s="25" t="n">
        <f aca="false">-H7*Assumptions!H$25</f>
        <v>-1177.213330944</v>
      </c>
      <c r="I13" s="25" t="n">
        <f aca="false">-I7*Assumptions!I$25</f>
        <v>-1258.79695248384</v>
      </c>
    </row>
    <row r="14" customFormat="false" ht="15" hidden="false" customHeight="false" outlineLevel="0" collapsed="false">
      <c r="A14" s="4" t="s">
        <v>123</v>
      </c>
      <c r="D14" s="26" t="n">
        <f aca="false">D11+D12+D13</f>
        <v>8101</v>
      </c>
      <c r="E14" s="26" t="n">
        <f aca="false">E11+E12+E13</f>
        <v>8538.42436289536</v>
      </c>
      <c r="F14" s="26" t="n">
        <f aca="false">F11+F12+F13</f>
        <v>9370.66981398979</v>
      </c>
      <c r="G14" s="26" t="n">
        <f aca="false">G11+G12+G13</f>
        <v>10327.8843029511</v>
      </c>
      <c r="H14" s="26" t="n">
        <f aca="false">H11+H12+H13</f>
        <v>11336.1872122557</v>
      </c>
      <c r="I14" s="26" t="n">
        <f aca="false">I11+I12+I13</f>
        <v>12421.3131941309</v>
      </c>
    </row>
    <row r="15" customFormat="false" ht="15" hidden="false" customHeight="false" outlineLevel="0" collapsed="false">
      <c r="A15" s="5" t="s">
        <v>124</v>
      </c>
      <c r="D15" s="27" t="n">
        <f aca="false">'Income Statement'!D16</f>
        <v>1.74587004405286</v>
      </c>
      <c r="E15" s="27" t="n">
        <f aca="false">'Income Statement'!E16</f>
        <v>1.83627455829267</v>
      </c>
      <c r="F15" s="27" t="n">
        <f aca="false">'Income Statement'!F16</f>
        <v>1.94928310675975</v>
      </c>
      <c r="G15" s="27" t="n">
        <f aca="false">'Income Statement'!G16</f>
        <v>2.16100525949309</v>
      </c>
      <c r="H15" s="27" t="n">
        <f aca="false">'Income Statement'!H16</f>
        <v>2.38377021182125</v>
      </c>
      <c r="I15" s="27" t="n">
        <f aca="false">'Income Statement'!I16</f>
        <v>2.62346798628665</v>
      </c>
    </row>
    <row r="16" customFormat="false" ht="15" hidden="false" customHeight="false" outlineLevel="0" collapsed="false">
      <c r="A16" s="4" t="s">
        <v>125</v>
      </c>
      <c r="D16" s="27" t="n">
        <f aca="false">Assumptions!$B$8</f>
        <v>0.9705</v>
      </c>
      <c r="E16" s="28" t="n">
        <f aca="false">E15*Assumptions!E$27</f>
        <v>0.918137279146333</v>
      </c>
      <c r="F16" s="28" t="n">
        <f aca="false">F15*Assumptions!F$27</f>
        <v>0.974641553379876</v>
      </c>
      <c r="G16" s="28" t="n">
        <f aca="false">G15*Assumptions!G$27</f>
        <v>1.10211268234148</v>
      </c>
      <c r="H16" s="28" t="n">
        <f aca="false">H15*Assumptions!H$27</f>
        <v>1.23956051014705</v>
      </c>
      <c r="I16" s="28" t="n">
        <f aca="false">I15*Assumptions!I$27</f>
        <v>1.39043803273192</v>
      </c>
    </row>
    <row r="17" customFormat="false" ht="15" hidden="false" customHeight="false" outlineLevel="0" collapsed="false">
      <c r="A17" s="5" t="s">
        <v>126</v>
      </c>
      <c r="D17" s="24" t="n">
        <f aca="false">'Balance Sheet'!D22</f>
        <v>183637</v>
      </c>
      <c r="E17" s="25" t="n">
        <f aca="false">E4*Assumptions!$B$32+2000+18200*(E11/$D$11)</f>
        <v>206355.183137207</v>
      </c>
      <c r="F17" s="25" t="n">
        <f aca="false">F4*Assumptions!$B$32+2000+18200*(F11/$D$11)</f>
        <v>230361.029089627</v>
      </c>
      <c r="G17" s="25" t="n">
        <f aca="false">G4*Assumptions!$B$32+2000+18200*(G11/$D$11)</f>
        <v>255067.929729953</v>
      </c>
      <c r="H17" s="25" t="n">
        <f aca="false">H4*Assumptions!$B$32+2000+18200*(H11/$D$11)</f>
        <v>280098.344157869</v>
      </c>
      <c r="I17" s="25" t="n">
        <f aca="false">I4*Assumptions!$B$32+2000+18200*(I11/$D$11)</f>
        <v>305016.580133908</v>
      </c>
    </row>
    <row r="18" customFormat="false" ht="15" hidden="false" customHeight="false" outlineLevel="0" collapsed="false">
      <c r="A18" s="5" t="s">
        <v>127</v>
      </c>
      <c r="E18" s="25" t="n">
        <f aca="false">E17-D17</f>
        <v>22718.1831372067</v>
      </c>
      <c r="F18" s="25" t="n">
        <f aca="false">F17-E17</f>
        <v>24005.8459524201</v>
      </c>
      <c r="G18" s="25" t="n">
        <f aca="false">G17-F17</f>
        <v>24706.9006403266</v>
      </c>
      <c r="H18" s="25" t="n">
        <f aca="false">H17-G17</f>
        <v>25030.4144279154</v>
      </c>
      <c r="I18" s="25" t="n">
        <f aca="false">I17-H17</f>
        <v>24918.2359760396</v>
      </c>
    </row>
    <row r="19" customFormat="false" ht="15" hidden="false" customHeight="false" outlineLevel="0" collapsed="false">
      <c r="A19" s="5" t="s">
        <v>128</v>
      </c>
      <c r="E19" s="25" t="n">
        <f aca="false">E18*Assumptions!$B$33</f>
        <v>2726.18197646481</v>
      </c>
      <c r="F19" s="25" t="n">
        <f aca="false">F18*Assumptions!$B$33</f>
        <v>2880.70151429041</v>
      </c>
      <c r="G19" s="25" t="n">
        <f aca="false">G18*Assumptions!$B$33</f>
        <v>2964.82807683919</v>
      </c>
      <c r="H19" s="25" t="n">
        <f aca="false">H18*Assumptions!$B$33</f>
        <v>3003.64973134984</v>
      </c>
      <c r="I19" s="25" t="n">
        <f aca="false">I18*Assumptions!$B$33</f>
        <v>2990.18831712475</v>
      </c>
    </row>
    <row r="20" customFormat="false" ht="15" hidden="false" customHeight="false" outlineLevel="0" collapsed="false">
      <c r="A20" s="4" t="s">
        <v>129</v>
      </c>
      <c r="E20" s="26" t="n">
        <f aca="false">'Income Statement'!E15-E19</f>
        <v>3943.16721925415</v>
      </c>
      <c r="F20" s="26" t="n">
        <f aca="false">'Income Statement'!F15-F19</f>
        <v>4199.09472946101</v>
      </c>
      <c r="G20" s="26" t="n">
        <f aca="false">'Income Statement'!G15-G19</f>
        <v>4883.94302563971</v>
      </c>
      <c r="H20" s="26" t="n">
        <f aca="false">'Income Statement'!H15-H19</f>
        <v>5654.20367798495</v>
      </c>
      <c r="I20" s="26" t="n">
        <f aca="false">'Income Statement'!I15-I19</f>
        <v>6538.24740906837</v>
      </c>
    </row>
    <row r="22" customFormat="false" ht="15" hidden="false" customHeight="false" outlineLevel="0" collapsed="false">
      <c r="A22" s="13" t="s">
        <v>130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131</v>
      </c>
    </row>
    <row r="2" customFormat="false" ht="15" hidden="false" customHeight="false" outlineLevel="0" collapsed="false">
      <c r="A2" s="2" t="s">
        <v>132</v>
      </c>
    </row>
    <row r="3" customFormat="false" ht="15" hidden="false" customHeight="false" outlineLevel="0" collapsed="false">
      <c r="E3" s="19" t="s">
        <v>63</v>
      </c>
      <c r="F3" s="19" t="s">
        <v>64</v>
      </c>
      <c r="G3" s="19" t="s">
        <v>65</v>
      </c>
      <c r="H3" s="19" t="s">
        <v>66</v>
      </c>
      <c r="I3" s="19" t="s">
        <v>67</v>
      </c>
    </row>
    <row r="4" customFormat="false" ht="15" hidden="false" customHeight="false" outlineLevel="0" collapsed="false">
      <c r="A4" s="5" t="s">
        <v>133</v>
      </c>
      <c r="E4" s="27" t="n">
        <f aca="false">'Driver Build'!E16</f>
        <v>0.918137279146333</v>
      </c>
      <c r="F4" s="27" t="n">
        <f aca="false">'Driver Build'!F16</f>
        <v>0.974641553379876</v>
      </c>
      <c r="G4" s="27" t="n">
        <f aca="false">'Driver Build'!G16</f>
        <v>1.10211268234148</v>
      </c>
      <c r="H4" s="27" t="n">
        <f aca="false">'Driver Build'!H16</f>
        <v>1.23956051014705</v>
      </c>
      <c r="I4" s="27" t="n">
        <f aca="false">'Driver Build'!I16</f>
        <v>1.39043803273192</v>
      </c>
    </row>
    <row r="5" customFormat="false" ht="15" hidden="false" customHeight="false" outlineLevel="0" collapsed="false">
      <c r="A5" s="5" t="s">
        <v>134</v>
      </c>
      <c r="E5" s="29" t="n">
        <f aca="false">1/POWER(1+Assumptions!$B$16,1)</f>
        <v>0.904404449669892</v>
      </c>
      <c r="F5" s="29" t="n">
        <f aca="false">1/POWER(1+Assumptions!$B$16,2)</f>
        <v>0.817947408582701</v>
      </c>
      <c r="G5" s="29" t="n">
        <f aca="false">1/POWER(1+Assumptions!$B$16,3)</f>
        <v>0.739755275918152</v>
      </c>
      <c r="H5" s="29" t="n">
        <f aca="false">1/POWER(1+Assumptions!$B$16,4)</f>
        <v>0.669037963207156</v>
      </c>
      <c r="I5" s="29" t="n">
        <f aca="false">1/POWER(1+Assumptions!$B$16,5)</f>
        <v>0.605080910922634</v>
      </c>
    </row>
    <row r="6" customFormat="false" ht="15" hidden="false" customHeight="false" outlineLevel="0" collapsed="false">
      <c r="A6" s="5" t="s">
        <v>135</v>
      </c>
      <c r="E6" s="29" t="n">
        <f aca="false">E4*E5</f>
        <v>0.830367440667752</v>
      </c>
      <c r="F6" s="29" t="n">
        <f aca="false">F4*F5</f>
        <v>0.797205532884088</v>
      </c>
      <c r="G6" s="29" t="n">
        <f aca="false">G4*G5</f>
        <v>0.815293671418413</v>
      </c>
      <c r="H6" s="29" t="n">
        <f aca="false">H4*H5</f>
        <v>0.829313038980807</v>
      </c>
      <c r="I6" s="29" t="n">
        <f aca="false">I4*I5</f>
        <v>0.841327511426908</v>
      </c>
    </row>
    <row r="8" customFormat="false" ht="15" hidden="false" customHeight="false" outlineLevel="0" collapsed="false">
      <c r="A8" s="4" t="s">
        <v>136</v>
      </c>
    </row>
    <row r="9" customFormat="false" ht="15" hidden="false" customHeight="false" outlineLevel="0" collapsed="false">
      <c r="A9" s="5" t="s">
        <v>137</v>
      </c>
      <c r="B9" s="24" t="n">
        <f aca="false">'Balance Sheet'!I17</f>
        <v>45421.6049877413</v>
      </c>
    </row>
    <row r="10" customFormat="false" ht="15" hidden="false" customHeight="false" outlineLevel="0" collapsed="false">
      <c r="A10" s="5" t="s">
        <v>138</v>
      </c>
      <c r="B10" s="30" t="n">
        <f aca="false">1-Assumptions!$B$17/Assumptions!$B$18</f>
        <v>0.8</v>
      </c>
    </row>
    <row r="11" customFormat="false" ht="15" hidden="false" customHeight="false" outlineLevel="0" collapsed="false">
      <c r="A11" s="5" t="s">
        <v>139</v>
      </c>
      <c r="B11" s="25" t="n">
        <f aca="false">Assumptions!$B$18*B9</f>
        <v>9084.32099754826</v>
      </c>
    </row>
    <row r="12" customFormat="false" ht="15" hidden="false" customHeight="false" outlineLevel="0" collapsed="false">
      <c r="A12" s="5" t="s">
        <v>140</v>
      </c>
      <c r="B12" s="25" t="n">
        <f aca="false">B10*B11</f>
        <v>7267.45679803861</v>
      </c>
    </row>
    <row r="13" customFormat="false" ht="15" hidden="false" customHeight="false" outlineLevel="0" collapsed="false">
      <c r="A13" s="5" t="s">
        <v>141</v>
      </c>
      <c r="B13" s="25" t="n">
        <f aca="false">B12/(Assumptions!$B$16-Assumptions!$B$17)</f>
        <v>110615.780792064</v>
      </c>
    </row>
    <row r="14" customFormat="false" ht="15" hidden="false" customHeight="false" outlineLevel="0" collapsed="false">
      <c r="A14" s="4" t="s">
        <v>142</v>
      </c>
      <c r="B14" s="31" t="n">
        <f aca="false">SUM(E6:I6)+B13*I5/Assumptions!$B$6</f>
        <v>22.5417829123605</v>
      </c>
    </row>
    <row r="15" customFormat="false" ht="15" hidden="false" customHeight="false" outlineLevel="0" collapsed="false">
      <c r="A15" s="5" t="s">
        <v>143</v>
      </c>
      <c r="B15" s="32" t="n">
        <f aca="false">SUM(E6:I6)</f>
        <v>4.11350719537797</v>
      </c>
    </row>
    <row r="16" customFormat="false" ht="15" hidden="false" customHeight="false" outlineLevel="0" collapsed="false">
      <c r="A16" s="5" t="s">
        <v>144</v>
      </c>
      <c r="B16" s="32" t="n">
        <f aca="false">B13*I5/Assumptions!$B$6</f>
        <v>18.4282757169825</v>
      </c>
    </row>
    <row r="17" customFormat="false" ht="15" hidden="false" customHeight="false" outlineLevel="0" collapsed="false">
      <c r="A17" s="4" t="s">
        <v>145</v>
      </c>
      <c r="B17" s="33" t="n">
        <f aca="false">B16/B14</f>
        <v>0.817516333496301</v>
      </c>
    </row>
    <row r="18" customFormat="false" ht="15" hidden="false" customHeight="false" outlineLevel="0" collapsed="false">
      <c r="A18" s="5" t="s">
        <v>146</v>
      </c>
      <c r="B18" s="30" t="n">
        <f aca="false">B14/Assumptions!$B$5-1</f>
        <v>0.0359275235459779</v>
      </c>
    </row>
    <row r="20" customFormat="false" ht="39.75" hidden="false" customHeight="true" outlineLevel="0" collapsed="false">
      <c r="A20" s="34"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148</v>
      </c>
    </row>
    <row r="2" customFormat="false" ht="15" hidden="false" customHeight="false" outlineLevel="0" collapsed="false">
      <c r="A2" s="2" t="s">
        <v>149</v>
      </c>
    </row>
    <row r="3" customFormat="false" ht="15" hidden="false" customHeight="false" outlineLevel="0" collapsed="false">
      <c r="E3" s="19" t="s">
        <v>63</v>
      </c>
      <c r="F3" s="19" t="s">
        <v>64</v>
      </c>
      <c r="G3" s="19" t="s">
        <v>65</v>
      </c>
      <c r="H3" s="19" t="s">
        <v>66</v>
      </c>
      <c r="I3" s="19" t="s">
        <v>67</v>
      </c>
    </row>
    <row r="4" customFormat="false" ht="15" hidden="false" customHeight="false" outlineLevel="0" collapsed="false">
      <c r="A4" s="5" t="s">
        <v>150</v>
      </c>
      <c r="E4" s="24" t="n">
        <f aca="false">'Driver Build'!E9</f>
        <v>8440.94125056</v>
      </c>
      <c r="F4" s="24" t="n">
        <f aca="false">'Driver Build'!F9</f>
        <v>9302.13249294336</v>
      </c>
      <c r="G4" s="24" t="n">
        <f aca="false">'Driver Build'!G9</f>
        <v>10206.3773273162</v>
      </c>
      <c r="H4" s="24" t="n">
        <f aca="false">'Driver Build'!H9</f>
        <v>11155.4355961863</v>
      </c>
      <c r="I4" s="24" t="n">
        <f aca="false">'Driver Build'!I9</f>
        <v>12146.8870726881</v>
      </c>
    </row>
    <row r="5" customFormat="false" ht="15" hidden="false" customHeight="false" outlineLevel="0" collapsed="false">
      <c r="A5" s="5" t="s">
        <v>119</v>
      </c>
      <c r="E5" s="24" t="n">
        <f aca="false">'Driver Build'!E10</f>
        <v>4941.04</v>
      </c>
      <c r="F5" s="24" t="n">
        <f aca="false">'Driver Build'!F10</f>
        <v>5336.3232</v>
      </c>
      <c r="G5" s="24" t="n">
        <f aca="false">'Driver Build'!G10</f>
        <v>5763.229056</v>
      </c>
      <c r="H5" s="24" t="n">
        <f aca="false">'Driver Build'!H10</f>
        <v>6224.28738048</v>
      </c>
      <c r="I5" s="24" t="n">
        <f aca="false">'Driver Build'!I10</f>
        <v>6722.2303709184</v>
      </c>
    </row>
    <row r="6" customFormat="false" ht="15" hidden="false" customHeight="false" outlineLevel="0" collapsed="false">
      <c r="A6" s="4" t="s">
        <v>120</v>
      </c>
      <c r="E6" s="35" t="n">
        <f aca="false">'Driver Build'!E11</f>
        <v>13381.98125056</v>
      </c>
      <c r="F6" s="35" t="n">
        <f aca="false">'Driver Build'!F11</f>
        <v>14638.4556929434</v>
      </c>
      <c r="G6" s="35" t="n">
        <f aca="false">'Driver Build'!G11</f>
        <v>15969.6063833162</v>
      </c>
      <c r="H6" s="35" t="n">
        <f aca="false">'Driver Build'!H11</f>
        <v>17379.7229766663</v>
      </c>
      <c r="I6" s="35" t="n">
        <f aca="false">'Driver Build'!I11</f>
        <v>18869.1174436065</v>
      </c>
    </row>
    <row r="7" customFormat="false" ht="15" hidden="false" customHeight="false" outlineLevel="0" collapsed="false">
      <c r="A7" s="5" t="s">
        <v>151</v>
      </c>
      <c r="E7" s="24" t="n">
        <f aca="false">'Driver Build'!E12</f>
        <v>-3934.30248766464</v>
      </c>
      <c r="F7" s="24" t="n">
        <f aca="false">'Driver Build'!F12</f>
        <v>-4245.15215095357</v>
      </c>
      <c r="G7" s="24" t="n">
        <f aca="false">'Driver Build'!G12</f>
        <v>-4551.33781924511</v>
      </c>
      <c r="H7" s="24" t="n">
        <f aca="false">'Driver Build'!H12</f>
        <v>-4866.32243346655</v>
      </c>
      <c r="I7" s="24" t="n">
        <f aca="false">'Driver Build'!I12</f>
        <v>-5189.00729699178</v>
      </c>
    </row>
    <row r="8" customFormat="false" ht="15" hidden="false" customHeight="false" outlineLevel="0" collapsed="false">
      <c r="A8" s="4" t="s">
        <v>152</v>
      </c>
      <c r="E8" s="26" t="n">
        <f aca="false">E6+E7</f>
        <v>9447.67876289536</v>
      </c>
      <c r="F8" s="26" t="n">
        <f aca="false">F6+F7</f>
        <v>10393.3035419898</v>
      </c>
      <c r="G8" s="26" t="n">
        <f aca="false">G6+G7</f>
        <v>11418.2685640711</v>
      </c>
      <c r="H8" s="26" t="n">
        <f aca="false">H6+H7</f>
        <v>12513.4005431997</v>
      </c>
      <c r="I8" s="26" t="n">
        <f aca="false">I6+I7</f>
        <v>13680.1101466147</v>
      </c>
    </row>
    <row r="9" customFormat="false" ht="15" hidden="false" customHeight="false" outlineLevel="0" collapsed="false">
      <c r="A9" s="5" t="s">
        <v>153</v>
      </c>
      <c r="E9" s="24" t="n">
        <f aca="false">'Driver Build'!E13</f>
        <v>-909.2544</v>
      </c>
      <c r="F9" s="24" t="n">
        <f aca="false">'Driver Build'!F13</f>
        <v>-1022.633728</v>
      </c>
      <c r="G9" s="24" t="n">
        <f aca="false">'Driver Build'!G13</f>
        <v>-1090.38426112</v>
      </c>
      <c r="H9" s="24" t="n">
        <f aca="false">'Driver Build'!H13</f>
        <v>-1177.213330944</v>
      </c>
      <c r="I9" s="24" t="n">
        <f aca="false">'Driver Build'!I13</f>
        <v>-1258.79695248384</v>
      </c>
    </row>
    <row r="10" customFormat="false" ht="15" hidden="false" customHeight="false" outlineLevel="0" collapsed="false">
      <c r="A10" s="4" t="s">
        <v>123</v>
      </c>
      <c r="E10" s="26" t="n">
        <f aca="false">E8+E9</f>
        <v>8538.42436289536</v>
      </c>
      <c r="F10" s="26" t="n">
        <f aca="false">F8+F9</f>
        <v>9370.66981398979</v>
      </c>
      <c r="G10" s="26" t="n">
        <f aca="false">G8+G9</f>
        <v>10327.8843029511</v>
      </c>
      <c r="H10" s="26" t="n">
        <f aca="false">H8+H9</f>
        <v>11336.1872122557</v>
      </c>
      <c r="I10" s="26" t="n">
        <f aca="false">I8+I9</f>
        <v>12421.3131941309</v>
      </c>
    </row>
    <row r="11" customFormat="false" ht="15" hidden="false" customHeight="false" outlineLevel="0" collapsed="false">
      <c r="A11" s="5" t="s">
        <v>154</v>
      </c>
      <c r="E11" s="24" t="n">
        <f aca="false">'Income Statement'!E11</f>
        <v>-1109.9951671764</v>
      </c>
      <c r="F11" s="24" t="n">
        <f aca="false">'Income Statement'!F11</f>
        <v>-1499.30717023837</v>
      </c>
      <c r="G11" s="24" t="n">
        <f aca="false">'Income Statement'!G11</f>
        <v>-1652.46148847217</v>
      </c>
      <c r="H11" s="24" t="n">
        <f aca="false">'Income Statement'!H11</f>
        <v>-1813.78995396091</v>
      </c>
      <c r="I11" s="24" t="n">
        <f aca="false">'Income Statement'!I11</f>
        <v>-1987.41011106094</v>
      </c>
    </row>
    <row r="12" customFormat="false" ht="15" hidden="false" customHeight="false" outlineLevel="0" collapsed="false">
      <c r="A12" s="4" t="s">
        <v>155</v>
      </c>
      <c r="E12" s="26" t="n">
        <f aca="false">E10+E11</f>
        <v>7428.42919571896</v>
      </c>
      <c r="F12" s="26" t="n">
        <f aca="false">F10+F11</f>
        <v>7871.36264375142</v>
      </c>
      <c r="G12" s="26" t="n">
        <f aca="false">G10+G11</f>
        <v>8675.4228144789</v>
      </c>
      <c r="H12" s="26" t="n">
        <f aca="false">H10+H11</f>
        <v>9522.39725829479</v>
      </c>
      <c r="I12" s="26" t="n">
        <f aca="false">I10+I11</f>
        <v>10433.9030830699</v>
      </c>
    </row>
    <row r="13" customFormat="false" ht="15" hidden="false" customHeight="false" outlineLevel="0" collapsed="false">
      <c r="A13" s="4" t="s">
        <v>156</v>
      </c>
      <c r="B13" s="31" t="n">
        <f aca="false">B27/B28</f>
        <v>23.481366262725</v>
      </c>
    </row>
    <row r="14" customFormat="false" ht="15" hidden="false" customHeight="false" outlineLevel="0" collapsed="false">
      <c r="A14" s="5" t="s">
        <v>157</v>
      </c>
      <c r="E14" s="24" t="n">
        <f aca="false">'Income Statement'!E13</f>
        <v>-353</v>
      </c>
      <c r="F14" s="24" t="n">
        <f aca="false">'Income Statement'!F13</f>
        <v>-353</v>
      </c>
      <c r="G14" s="24" t="n">
        <f aca="false">'Income Statement'!G13</f>
        <v>-353</v>
      </c>
      <c r="H14" s="24" t="n">
        <f aca="false">'Income Statement'!H13</f>
        <v>-353</v>
      </c>
      <c r="I14" s="24" t="n">
        <f aca="false">'Income Statement'!I13</f>
        <v>-353</v>
      </c>
    </row>
    <row r="15" customFormat="false" ht="15" hidden="false" customHeight="false" outlineLevel="0" collapsed="false">
      <c r="A15" s="5" t="s">
        <v>158</v>
      </c>
      <c r="E15" s="24" t="n">
        <f aca="false">'Income Statement'!E14</f>
        <v>-406.08</v>
      </c>
      <c r="F15" s="24" t="n">
        <f aca="false">'Income Statement'!F14</f>
        <v>-438.5664</v>
      </c>
      <c r="G15" s="24" t="n">
        <f aca="false">'Income Statement'!G14</f>
        <v>-473.651712</v>
      </c>
      <c r="H15" s="24" t="n">
        <f aca="false">'Income Statement'!H14</f>
        <v>-511.54384896</v>
      </c>
      <c r="I15" s="24" t="n">
        <f aca="false">'Income Statement'!I14</f>
        <v>-552.4673568768</v>
      </c>
    </row>
    <row r="16" customFormat="false" ht="15" hidden="false" customHeight="false" outlineLevel="0" collapsed="false">
      <c r="A16" s="4" t="s">
        <v>159</v>
      </c>
      <c r="E16" s="26" t="n">
        <f aca="false">E12+E14+E15</f>
        <v>6669.34919571896</v>
      </c>
      <c r="F16" s="26" t="n">
        <f aca="false">F12+F14+F15</f>
        <v>7079.79624375142</v>
      </c>
      <c r="G16" s="26" t="n">
        <f aca="false">G12+G14+G15</f>
        <v>7848.7711024789</v>
      </c>
      <c r="H16" s="26" t="n">
        <f aca="false">H12+H14+H15</f>
        <v>8657.85340933479</v>
      </c>
      <c r="I16" s="26" t="n">
        <f aca="false">I12+I14+I15</f>
        <v>9528.43572619312</v>
      </c>
    </row>
    <row r="17" customFormat="false" ht="15" hidden="false" customHeight="false" outlineLevel="0" collapsed="false">
      <c r="A17" s="5" t="s">
        <v>160</v>
      </c>
      <c r="E17" s="25" t="n">
        <f aca="false">-'Driver Build'!E19</f>
        <v>-2726.18197646481</v>
      </c>
      <c r="F17" s="25" t="n">
        <f aca="false">-'Driver Build'!F19</f>
        <v>-2880.70151429041</v>
      </c>
      <c r="G17" s="25" t="n">
        <f aca="false">-'Driver Build'!G19</f>
        <v>-2964.82807683919</v>
      </c>
      <c r="H17" s="25" t="n">
        <f aca="false">-'Driver Build'!H19</f>
        <v>-3003.64973134984</v>
      </c>
      <c r="I17" s="25" t="n">
        <f aca="false">-'Driver Build'!I19</f>
        <v>-2990.18831712475</v>
      </c>
    </row>
    <row r="18" customFormat="false" ht="15" hidden="false" customHeight="false" outlineLevel="0" collapsed="false">
      <c r="A18" s="4" t="s">
        <v>161</v>
      </c>
      <c r="E18" s="26" t="n">
        <f aca="false">E16+E17</f>
        <v>3943.16721925415</v>
      </c>
      <c r="F18" s="26" t="n">
        <f aca="false">F16+F17</f>
        <v>4199.09472946101</v>
      </c>
      <c r="G18" s="26" t="n">
        <f aca="false">G16+G17</f>
        <v>4883.94302563971</v>
      </c>
      <c r="H18" s="26" t="n">
        <f aca="false">H16+H17</f>
        <v>5654.20367798495</v>
      </c>
      <c r="I18" s="26" t="n">
        <f aca="false">I16+I17</f>
        <v>6538.24740906837</v>
      </c>
    </row>
    <row r="19" customFormat="false" ht="15" hidden="false" customHeight="false" outlineLevel="0" collapsed="false">
      <c r="A19" s="5" t="s">
        <v>162</v>
      </c>
      <c r="E19" s="29" t="n">
        <f aca="false">1/POWER(1+Assumptions!$B$16,1)</f>
        <v>0.904404449669892</v>
      </c>
      <c r="F19" s="29" t="n">
        <f aca="false">1/POWER(1+Assumptions!$B$16,2)</f>
        <v>0.817947408582701</v>
      </c>
      <c r="G19" s="29" t="n">
        <f aca="false">1/POWER(1+Assumptions!$B$16,3)</f>
        <v>0.739755275918152</v>
      </c>
      <c r="H19" s="29" t="n">
        <f aca="false">1/POWER(1+Assumptions!$B$16,4)</f>
        <v>0.669037963207156</v>
      </c>
      <c r="I19" s="29" t="n">
        <f aca="false">1/POWER(1+Assumptions!$B$16,5)</f>
        <v>0.605080910922634</v>
      </c>
    </row>
    <row r="20" customFormat="false" ht="15" hidden="false" customHeight="false" outlineLevel="0" collapsed="false">
      <c r="A20" s="4" t="s">
        <v>163</v>
      </c>
      <c r="E20" s="26" t="n">
        <f aca="false">E18*E19</f>
        <v>3566.21797888591</v>
      </c>
      <c r="F20" s="26" t="n">
        <f aca="false">F18*F19</f>
        <v>3434.63865235591</v>
      </c>
      <c r="G20" s="26" t="n">
        <f aca="false">G18*G19</f>
        <v>3612.92262050064</v>
      </c>
      <c r="H20" s="26" t="n">
        <f aca="false">H18*H19</f>
        <v>3782.87691227746</v>
      </c>
      <c r="I20" s="26" t="n">
        <f aca="false">I18*I19</f>
        <v>3956.16869811664</v>
      </c>
    </row>
    <row r="22" customFormat="false" ht="15" hidden="false" customHeight="false" outlineLevel="0" collapsed="false">
      <c r="A22" s="4" t="s">
        <v>164</v>
      </c>
    </row>
    <row r="23" customFormat="false" ht="15" hidden="false" customHeight="false" outlineLevel="0" collapsed="false">
      <c r="A23" s="5" t="s">
        <v>165</v>
      </c>
      <c r="B23" s="25" t="n">
        <f aca="false">SUM(E20:I20)</f>
        <v>18352.8248621366</v>
      </c>
    </row>
    <row r="24" customFormat="false" ht="15" hidden="false" customHeight="false" outlineLevel="0" collapsed="false">
      <c r="A24" s="5" t="s">
        <v>166</v>
      </c>
      <c r="B24" s="24" t="n">
        <f aca="false">DDM!$B$12</f>
        <v>7267.45679803861</v>
      </c>
    </row>
    <row r="25" customFormat="false" ht="15" hidden="false" customHeight="false" outlineLevel="0" collapsed="false">
      <c r="A25" s="5" t="s">
        <v>167</v>
      </c>
      <c r="B25" s="24" t="n">
        <f aca="false">DDM!$B$13</f>
        <v>110615.780792064</v>
      </c>
    </row>
    <row r="26" customFormat="false" ht="15" hidden="false" customHeight="false" outlineLevel="0" collapsed="false">
      <c r="A26" s="5" t="s">
        <v>168</v>
      </c>
      <c r="B26" s="25" t="n">
        <f aca="false">B25*I19</f>
        <v>66931.4974040805</v>
      </c>
    </row>
    <row r="27" customFormat="false" ht="15" hidden="false" customHeight="false" outlineLevel="0" collapsed="false">
      <c r="A27" s="4" t="s">
        <v>169</v>
      </c>
      <c r="B27" s="26" t="n">
        <f aca="false">B23+B26</f>
        <v>85284.3222662171</v>
      </c>
    </row>
    <row r="28" customFormat="false" ht="15" hidden="false" customHeight="false" outlineLevel="0" collapsed="false">
      <c r="A28" s="5" t="s">
        <v>170</v>
      </c>
      <c r="B28" s="24" t="n">
        <f aca="false">Assumptions!$B$6</f>
        <v>3632</v>
      </c>
    </row>
    <row r="29" customFormat="false" ht="15" hidden="false" customHeight="false" outlineLevel="0" collapsed="false">
      <c r="A29" s="4" t="s">
        <v>171</v>
      </c>
      <c r="B29" s="33" t="n">
        <f aca="false">B26/B27</f>
        <v>0.784804236295063</v>
      </c>
    </row>
    <row r="30" customFormat="false" ht="15" hidden="false" customHeight="false" outlineLevel="0" collapsed="false">
      <c r="A30" s="5" t="s">
        <v>146</v>
      </c>
      <c r="B30" s="30" t="n">
        <f aca="false">B13/Assumptions!$B$5-1</f>
        <v>0.0791069054561102</v>
      </c>
    </row>
    <row r="32" customFormat="false" ht="15" hidden="false" customHeight="false" outlineLevel="0" collapsed="false">
      <c r="A32" s="4" t="s">
        <v>172</v>
      </c>
    </row>
    <row r="33" customFormat="false" ht="15" hidden="false" customHeight="false" outlineLevel="0" collapsed="false">
      <c r="A33" s="5" t="s">
        <v>173</v>
      </c>
      <c r="B33" s="32" t="n">
        <f aca="false">B13-DDM!$B$14</f>
        <v>0.93958335036448</v>
      </c>
    </row>
    <row r="34" customFormat="false" ht="33.75" hidden="false" customHeight="true" outlineLevel="0" collapsed="false">
      <c r="A34" s="34" t="s">
        <v>174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175</v>
      </c>
    </row>
    <row r="2" customFormat="false" ht="15" hidden="false" customHeight="false" outlineLevel="0" collapsed="false">
      <c r="A2" s="2" t="s">
        <v>176</v>
      </c>
    </row>
    <row r="3" customFormat="false" ht="15" hidden="false" customHeight="false" outlineLevel="0" collapsed="false">
      <c r="E3" s="19" t="s">
        <v>63</v>
      </c>
      <c r="F3" s="19" t="s">
        <v>64</v>
      </c>
      <c r="G3" s="19" t="s">
        <v>65</v>
      </c>
      <c r="H3" s="19" t="s">
        <v>66</v>
      </c>
      <c r="I3" s="19" t="s">
        <v>67</v>
      </c>
    </row>
    <row r="4" customFormat="false" ht="15" hidden="false" customHeight="false" outlineLevel="0" collapsed="false">
      <c r="A4" s="5" t="s">
        <v>177</v>
      </c>
      <c r="E4" s="24" t="n">
        <f aca="false">'Balance Sheet'!E16</f>
        <v>26067</v>
      </c>
      <c r="F4" s="24" t="n">
        <f aca="false">'Balance Sheet'!F16</f>
        <v>29401.6745978595</v>
      </c>
      <c r="G4" s="24" t="n">
        <f aca="false">'Balance Sheet'!G16</f>
        <v>32941.5727197352</v>
      </c>
      <c r="H4" s="24" t="n">
        <f aca="false">'Balance Sheet'!H16</f>
        <v>36787.4705599499</v>
      </c>
      <c r="I4" s="24" t="n">
        <f aca="false">'Balance Sheet'!I16</f>
        <v>40943.2401964305</v>
      </c>
    </row>
    <row r="5" customFormat="false" ht="15" hidden="false" customHeight="false" outlineLevel="0" collapsed="false">
      <c r="A5" s="5" t="s">
        <v>178</v>
      </c>
      <c r="E5" s="25" t="n">
        <f aca="false">-E4*Assumptions!$B$16</f>
        <v>-2755.2819</v>
      </c>
      <c r="F5" s="25" t="n">
        <f aca="false">-F4*Assumptions!$B$16</f>
        <v>-3107.75700499375</v>
      </c>
      <c r="G5" s="25" t="n">
        <f aca="false">-G4*Assumptions!$B$16</f>
        <v>-3481.92423647601</v>
      </c>
      <c r="H5" s="25" t="n">
        <f aca="false">-H4*Assumptions!$B$16</f>
        <v>-3888.4356381867</v>
      </c>
      <c r="I5" s="25" t="n">
        <f aca="false">-I4*Assumptions!$B$16</f>
        <v>-4327.70048876271</v>
      </c>
    </row>
    <row r="6" customFormat="false" ht="15" hidden="false" customHeight="false" outlineLevel="0" collapsed="false">
      <c r="A6" s="5" t="s">
        <v>179</v>
      </c>
      <c r="E6" s="24" t="n">
        <f aca="false">'Income Statement'!E15</f>
        <v>6669.34919571896</v>
      </c>
      <c r="F6" s="24" t="n">
        <f aca="false">'Income Statement'!F15</f>
        <v>7079.79624375142</v>
      </c>
      <c r="G6" s="24" t="n">
        <f aca="false">'Income Statement'!G15</f>
        <v>7848.7711024789</v>
      </c>
      <c r="H6" s="24" t="n">
        <f aca="false">'Income Statement'!H15</f>
        <v>8657.85340933479</v>
      </c>
      <c r="I6" s="24" t="n">
        <f aca="false">'Income Statement'!I15</f>
        <v>9528.43572619312</v>
      </c>
    </row>
    <row r="7" customFormat="false" ht="15" hidden="false" customHeight="false" outlineLevel="0" collapsed="false">
      <c r="A7" s="4" t="s">
        <v>22</v>
      </c>
      <c r="E7" s="26" t="n">
        <f aca="false">E6+E5</f>
        <v>3914.06729571896</v>
      </c>
      <c r="F7" s="26" t="n">
        <f aca="false">F6+F5</f>
        <v>3972.03923875767</v>
      </c>
      <c r="G7" s="26" t="n">
        <f aca="false">G6+G5</f>
        <v>4366.84686600289</v>
      </c>
      <c r="H7" s="26" t="n">
        <f aca="false">H6+H5</f>
        <v>4769.41777114809</v>
      </c>
      <c r="I7" s="26" t="n">
        <f aca="false">I6+I5</f>
        <v>5200.73523743041</v>
      </c>
    </row>
    <row r="8" customFormat="false" ht="15" hidden="false" customHeight="false" outlineLevel="0" collapsed="false">
      <c r="A8" s="5" t="s">
        <v>180</v>
      </c>
      <c r="E8" s="29" t="n">
        <f aca="false">1/POWER(1+Assumptions!$B$16,1)</f>
        <v>0.904404449669892</v>
      </c>
      <c r="F8" s="29" t="n">
        <f aca="false">1/POWER(1+Assumptions!$B$16,2)</f>
        <v>0.817947408582701</v>
      </c>
      <c r="G8" s="29" t="n">
        <f aca="false">1/POWER(1+Assumptions!$B$16,3)</f>
        <v>0.739755275918152</v>
      </c>
      <c r="H8" s="29" t="n">
        <f aca="false">1/POWER(1+Assumptions!$B$16,4)</f>
        <v>0.669037963207156</v>
      </c>
      <c r="I8" s="29" t="n">
        <f aca="false">1/POWER(1+Assumptions!$B$16,5)</f>
        <v>0.605080910922634</v>
      </c>
    </row>
    <row r="9" customFormat="false" ht="15" hidden="false" customHeight="false" outlineLevel="0" collapsed="false">
      <c r="A9" s="5" t="s">
        <v>181</v>
      </c>
      <c r="E9" s="25" t="n">
        <f aca="false">E7*E8</f>
        <v>3539.89987855563</v>
      </c>
      <c r="F9" s="25" t="n">
        <f aca="false">F7*F8</f>
        <v>3248.91920213064</v>
      </c>
      <c r="G9" s="25" t="n">
        <f aca="false">G7*G8</f>
        <v>3230.39800825228</v>
      </c>
      <c r="H9" s="25" t="n">
        <f aca="false">H7*H8</f>
        <v>3190.92155129293</v>
      </c>
      <c r="I9" s="25" t="n">
        <f aca="false">I7*I8</f>
        <v>3146.86561493183</v>
      </c>
    </row>
    <row r="11" customFormat="false" ht="15" hidden="false" customHeight="false" outlineLevel="0" collapsed="false">
      <c r="A11" s="5" t="s">
        <v>182</v>
      </c>
      <c r="B11" s="24" t="n">
        <f aca="false">'Balance Sheet'!D16</f>
        <v>26067</v>
      </c>
    </row>
    <row r="12" customFormat="false" ht="15" hidden="false" customHeight="false" outlineLevel="0" collapsed="false">
      <c r="A12" s="5" t="s">
        <v>183</v>
      </c>
      <c r="B12" s="25" t="n">
        <f aca="false">SUM(E9:I9)</f>
        <v>16357.0042551633</v>
      </c>
    </row>
    <row r="13" customFormat="false" ht="15" hidden="false" customHeight="false" outlineLevel="0" collapsed="false">
      <c r="A13" s="5" t="s">
        <v>184</v>
      </c>
      <c r="B13" s="25" t="n">
        <f aca="false">'Balance Sheet'!I17*(Assumptions!$B$18-Assumptions!$B$16)/(Assumptions!$B$16-Assumptions!$B$17)*I8</f>
        <v>39447.75128253</v>
      </c>
    </row>
    <row r="14" customFormat="false" ht="15" hidden="false" customHeight="false" outlineLevel="0" collapsed="false">
      <c r="A14" s="4" t="s">
        <v>185</v>
      </c>
      <c r="B14" s="31" t="n">
        <f aca="false">(B11+B12+B13)/Assumptions!$B$6</f>
        <v>22.5417829123605</v>
      </c>
    </row>
    <row r="15" customFormat="false" ht="15" hidden="false" customHeight="false" outlineLevel="0" collapsed="false">
      <c r="A15" s="5" t="s">
        <v>186</v>
      </c>
      <c r="B15" s="36" t="n">
        <f aca="false">(B11+B12+B13)/B11</f>
        <v>3.14082002292912</v>
      </c>
    </row>
    <row r="16" customFormat="false" ht="15" hidden="false" customHeight="false" outlineLevel="0" collapsed="false">
      <c r="A16" s="4" t="s">
        <v>187</v>
      </c>
      <c r="B16" s="28" t="n">
        <f aca="false">B14-DDM!$B$14</f>
        <v>0</v>
      </c>
    </row>
    <row r="17" customFormat="false" ht="15" hidden="false" customHeight="false" outlineLevel="0" collapsed="false">
      <c r="A17" s="5" t="s">
        <v>146</v>
      </c>
      <c r="B17" s="30" t="n">
        <f aca="false">B14/Assumptions!$B$5-1</f>
        <v>0.0359275235459779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188</v>
      </c>
    </row>
    <row r="2" customFormat="false" ht="15" hidden="false" customHeight="false" outlineLevel="0" collapsed="false">
      <c r="A2" s="2" t="s">
        <v>189</v>
      </c>
    </row>
    <row r="4" customFormat="false" ht="15" hidden="false" customHeight="false" outlineLevel="0" collapsed="false">
      <c r="A4" s="4" t="s">
        <v>190</v>
      </c>
    </row>
    <row r="5" customFormat="false" ht="15" hidden="false" customHeight="false" outlineLevel="0" collapsed="false">
      <c r="A5" s="5" t="s">
        <v>191</v>
      </c>
      <c r="B5" s="10" t="n">
        <f aca="false">Assumptions!$B$38</f>
        <v>1.55</v>
      </c>
    </row>
    <row r="6" customFormat="false" ht="15" hidden="false" customHeight="false" outlineLevel="0" collapsed="false">
      <c r="A6" s="5" t="s">
        <v>32</v>
      </c>
      <c r="B6" s="9" t="n">
        <f aca="false">Assumptions!$B$36</f>
        <v>0.183</v>
      </c>
    </row>
    <row r="7" customFormat="false" ht="15" hidden="false" customHeight="false" outlineLevel="0" collapsed="false">
      <c r="A7" s="5" t="s">
        <v>192</v>
      </c>
      <c r="B7" s="9" t="n">
        <f aca="false">Assumptions!$B$45</f>
        <v>0.288</v>
      </c>
    </row>
    <row r="8" customFormat="false" ht="15" hidden="false" customHeight="false" outlineLevel="0" collapsed="false">
      <c r="A8" s="5" t="s">
        <v>193</v>
      </c>
      <c r="B8" s="37" t="n">
        <f aca="false">(B7-Assumptions!$B$17)/(B6-Assumptions!$B$17)</f>
        <v>1.73426573426573</v>
      </c>
    </row>
    <row r="9" customFormat="false" ht="15" hidden="false" customHeight="false" outlineLevel="0" collapsed="false">
      <c r="A9" s="5" t="s">
        <v>194</v>
      </c>
      <c r="B9" s="37" t="n">
        <f aca="false">B5*B8</f>
        <v>2.68811188811189</v>
      </c>
    </row>
    <row r="10" customFormat="false" ht="15" hidden="false" customHeight="false" outlineLevel="0" collapsed="false">
      <c r="A10" s="5" t="s">
        <v>195</v>
      </c>
      <c r="B10" s="27" t="n">
        <f aca="false">'Per-Share &amp; Ratios'!$B$5</f>
        <v>6.57075991189427</v>
      </c>
    </row>
    <row r="11" customFormat="false" ht="15" hidden="false" customHeight="false" outlineLevel="0" collapsed="false">
      <c r="A11" s="5" t="s">
        <v>196</v>
      </c>
      <c r="B11" s="32" t="n">
        <f aca="false">B9*B10</f>
        <v>17.662937833092</v>
      </c>
    </row>
    <row r="12" customFormat="false" ht="15" hidden="false" customHeight="false" outlineLevel="0" collapsed="false">
      <c r="A12" s="5" t="s">
        <v>197</v>
      </c>
      <c r="B12" s="36" t="n">
        <f aca="false">Assumptions!$B$40*B8*(B6/B7)</f>
        <v>9.91783216783217</v>
      </c>
    </row>
    <row r="13" customFormat="false" ht="15" hidden="false" customHeight="false" outlineLevel="0" collapsed="false">
      <c r="A13" s="5" t="s">
        <v>198</v>
      </c>
      <c r="B13" s="32" t="n">
        <f aca="false">B12*'Driver Build'!$E$15</f>
        <v>18.2118628832068</v>
      </c>
    </row>
    <row r="14" customFormat="false" ht="15" hidden="false" customHeight="false" outlineLevel="0" collapsed="false">
      <c r="A14" s="4" t="s">
        <v>199</v>
      </c>
      <c r="B14" s="31" t="n">
        <f aca="false">AVERAGE(B11,B13)</f>
        <v>17.9374003581494</v>
      </c>
    </row>
    <row r="15" customFormat="false" ht="15" hidden="false" customHeight="false" outlineLevel="0" collapsed="false">
      <c r="A15" s="5" t="s">
        <v>200</v>
      </c>
      <c r="B15" s="31" t="n">
        <f aca="false">AVERAGE(D15,B13)</f>
        <v>18.4501953274972</v>
      </c>
      <c r="C15" s="36" t="n">
        <f aca="false">Assumptions!$B$39*B8</f>
        <v>2.8441958041958</v>
      </c>
      <c r="D15" s="32" t="n">
        <f aca="false">C15*B10</f>
        <v>18.6885277717877</v>
      </c>
    </row>
    <row r="16" customFormat="false" ht="15" hidden="false" customHeight="false" outlineLevel="0" collapsed="false">
      <c r="A16" s="4" t="s">
        <v>201</v>
      </c>
    </row>
    <row r="17" customFormat="false" ht="15" hidden="false" customHeight="false" outlineLevel="0" collapsed="false">
      <c r="A17" s="5" t="s">
        <v>202</v>
      </c>
      <c r="B17" s="37" t="n">
        <f aca="false">Assumptions!$B$5/B10</f>
        <v>3.31164131573434</v>
      </c>
    </row>
    <row r="18" customFormat="false" ht="15" hidden="false" customHeight="false" outlineLevel="0" collapsed="false">
      <c r="A18" s="5" t="s">
        <v>203</v>
      </c>
      <c r="B18" s="33" t="n">
        <f aca="false">B17/B9-1</f>
        <v>0.231958137747166</v>
      </c>
    </row>
    <row r="19" customFormat="false" ht="15" hidden="false" customHeight="false" outlineLevel="0" collapsed="false">
      <c r="A19" s="5" t="s">
        <v>204</v>
      </c>
      <c r="B19" s="36" t="n">
        <f aca="false">Assumptions!$B$5/'Driver Build'!$E$15</f>
        <v>11.8500797725107</v>
      </c>
    </row>
    <row r="21" customFormat="false" ht="15" hidden="false" customHeight="false" outlineLevel="0" collapsed="false">
      <c r="A21" s="4" t="s">
        <v>205</v>
      </c>
    </row>
    <row r="22" customFormat="false" ht="15" hidden="false" customHeight="false" outlineLevel="0" collapsed="false">
      <c r="A22" s="5" t="s">
        <v>206</v>
      </c>
      <c r="B22" s="9" t="n">
        <f aca="false">Assumptions!$B$41</f>
        <v>0.23</v>
      </c>
    </row>
    <row r="23" customFormat="false" ht="15" hidden="false" customHeight="false" outlineLevel="0" collapsed="false">
      <c r="A23" s="5" t="s">
        <v>207</v>
      </c>
      <c r="B23" s="36" t="n">
        <f aca="false">(B22-Assumptions!$B$17)/(Assumptions!$B$16-Assumptions!$B$17)</f>
        <v>2.89193302891933</v>
      </c>
    </row>
    <row r="24" customFormat="false" ht="15" hidden="false" customHeight="false" outlineLevel="0" collapsed="false">
      <c r="A24" s="4" t="s">
        <v>208</v>
      </c>
      <c r="B24" s="31" t="n">
        <f aca="false">B23*B10</f>
        <v>19.0021976143061</v>
      </c>
    </row>
    <row r="25" customFormat="false" ht="15" hidden="false" customHeight="false" outlineLevel="0" collapsed="false">
      <c r="A25" s="5" t="s">
        <v>209</v>
      </c>
      <c r="B25" s="29" t="n">
        <f aca="false">B22*B10</f>
        <v>1.51127477973568</v>
      </c>
    </row>
    <row r="26" customFormat="false" ht="15" hidden="false" customHeight="false" outlineLevel="0" collapsed="false">
      <c r="A26" s="5" t="s">
        <v>210</v>
      </c>
      <c r="B26" s="36" t="n">
        <f aca="false">B24/B25</f>
        <v>12.5736218648667</v>
      </c>
    </row>
    <row r="28" customFormat="false" ht="15" hidden="false" customHeight="false" outlineLevel="0" collapsed="false">
      <c r="A28" s="4" t="s">
        <v>211</v>
      </c>
      <c r="C28" s="19" t="s">
        <v>212</v>
      </c>
      <c r="D28" s="19" t="s">
        <v>213</v>
      </c>
      <c r="E28" s="19" t="s">
        <v>214</v>
      </c>
    </row>
    <row r="29" customFormat="false" ht="15" hidden="false" customHeight="false" outlineLevel="0" collapsed="false">
      <c r="A29" s="4" t="s">
        <v>215</v>
      </c>
    </row>
    <row r="30" customFormat="false" ht="15" hidden="false" customHeight="false" outlineLevel="0" collapsed="false">
      <c r="A30" s="5" t="s">
        <v>20</v>
      </c>
      <c r="B30" s="31" t="n">
        <f aca="false">SUM(E30:E34)</f>
        <v>21.2309061093648</v>
      </c>
      <c r="C30" s="6" t="n">
        <f aca="false">DDM!$B$14</f>
        <v>22.5417829123605</v>
      </c>
      <c r="D30" s="20" t="n">
        <v>0.3</v>
      </c>
      <c r="E30" s="32" t="n">
        <f aca="false">C30*D30</f>
        <v>6.76253487370814</v>
      </c>
    </row>
    <row r="31" customFormat="false" ht="15" hidden="false" customHeight="false" outlineLevel="0" collapsed="false">
      <c r="A31" s="5" t="s">
        <v>22</v>
      </c>
      <c r="C31" s="6" t="n">
        <f aca="false">'Residual Income'!$B$14</f>
        <v>22.5417829123605</v>
      </c>
      <c r="D31" s="20" t="n">
        <v>0.2</v>
      </c>
      <c r="E31" s="32" t="n">
        <f aca="false">C31*D31</f>
        <v>4.5083565824721</v>
      </c>
    </row>
    <row r="32" customFormat="false" ht="15" hidden="false" customHeight="false" outlineLevel="0" collapsed="false">
      <c r="A32" s="5" t="s">
        <v>216</v>
      </c>
      <c r="C32" s="6" t="n">
        <f aca="false">FCFE!$B$13</f>
        <v>23.481366262725</v>
      </c>
      <c r="D32" s="20" t="n">
        <v>0.15</v>
      </c>
      <c r="E32" s="32" t="n">
        <f aca="false">C32*D32</f>
        <v>3.52220493940874</v>
      </c>
    </row>
    <row r="33" customFormat="false" ht="15" hidden="false" customHeight="false" outlineLevel="0" collapsed="false">
      <c r="A33" s="5" t="s">
        <v>23</v>
      </c>
      <c r="C33" s="6" t="n">
        <f aca="false">B14</f>
        <v>17.9374003581494</v>
      </c>
      <c r="D33" s="20" t="n">
        <v>0.2</v>
      </c>
      <c r="E33" s="32" t="n">
        <f aca="false">C33*D33</f>
        <v>3.58748007162988</v>
      </c>
    </row>
    <row r="34" customFormat="false" ht="15" hidden="false" customHeight="false" outlineLevel="0" collapsed="false">
      <c r="A34" s="5" t="s">
        <v>217</v>
      </c>
      <c r="C34" s="6" t="n">
        <f aca="false">B24</f>
        <v>19.0021976143061</v>
      </c>
      <c r="D34" s="20" t="n">
        <v>0.15</v>
      </c>
      <c r="E34" s="32" t="n">
        <f aca="false">C34*D34</f>
        <v>2.85032964214592</v>
      </c>
    </row>
    <row r="35" customFormat="false" ht="15" hidden="false" customHeight="false" outlineLevel="0" collapsed="false">
      <c r="A35" s="4" t="s">
        <v>218</v>
      </c>
      <c r="C35" s="33" t="n">
        <f aca="false">SUM(D30:D34)</f>
        <v>1</v>
      </c>
      <c r="E35" s="31" t="n">
        <f aca="false">SUM(E30:E34)</f>
        <v>21.2309061093648</v>
      </c>
    </row>
    <row r="36" customFormat="false" ht="15" hidden="false" customHeight="false" outlineLevel="0" collapsed="false">
      <c r="A36" s="5" t="s">
        <v>146</v>
      </c>
      <c r="E36" s="33" t="n">
        <f aca="false">E35/Assumptions!$B$5-1</f>
        <v>-0.0243149765916921</v>
      </c>
    </row>
    <row r="37" customFormat="false" ht="15" hidden="false" customHeight="false" outlineLevel="0" collapsed="false">
      <c r="A37" s="5" t="s">
        <v>219</v>
      </c>
      <c r="E37" s="31" t="n">
        <f aca="false">E35+(B15-B14)*D33</f>
        <v>21.3334651032344</v>
      </c>
    </row>
    <row r="39" customFormat="false" ht="43.5" hidden="false" customHeight="true" outlineLevel="0" collapsed="false">
      <c r="A39" s="34" t="s">
        <v>220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221</v>
      </c>
    </row>
    <row r="2" customFormat="false" ht="15" hidden="false" customHeight="false" outlineLevel="0" collapsed="false">
      <c r="A2" s="2" t="s">
        <v>222</v>
      </c>
    </row>
    <row r="3" customFormat="false" ht="15" hidden="false" customHeight="false" outlineLevel="0" collapsed="false">
      <c r="B3" s="19" t="s">
        <v>223</v>
      </c>
      <c r="C3" s="19" t="s">
        <v>224</v>
      </c>
      <c r="D3" s="19" t="s">
        <v>112</v>
      </c>
      <c r="E3" s="19" t="s">
        <v>63</v>
      </c>
      <c r="F3" s="19" t="s">
        <v>64</v>
      </c>
      <c r="G3" s="19" t="s">
        <v>65</v>
      </c>
      <c r="H3" s="19" t="s">
        <v>66</v>
      </c>
      <c r="I3" s="19" t="s">
        <v>67</v>
      </c>
    </row>
    <row r="4" customFormat="false" ht="15" hidden="false" customHeight="false" outlineLevel="0" collapsed="false">
      <c r="A4" s="5" t="s">
        <v>150</v>
      </c>
      <c r="B4" s="14" t="n">
        <v>6122</v>
      </c>
      <c r="C4" s="14" t="n">
        <v>6566</v>
      </c>
      <c r="D4" s="14" t="n">
        <v>7553</v>
      </c>
      <c r="E4" s="24" t="n">
        <f aca="false">'Driver Build'!E9</f>
        <v>8440.94125056</v>
      </c>
      <c r="F4" s="24" t="n">
        <f aca="false">'Driver Build'!F9</f>
        <v>9302.13249294336</v>
      </c>
      <c r="G4" s="24" t="n">
        <f aca="false">'Driver Build'!G9</f>
        <v>10206.3773273162</v>
      </c>
      <c r="H4" s="24" t="n">
        <f aca="false">'Driver Build'!H9</f>
        <v>11155.4355961863</v>
      </c>
      <c r="I4" s="24" t="n">
        <f aca="false">'Driver Build'!I9</f>
        <v>12146.8870726881</v>
      </c>
    </row>
    <row r="5" customFormat="false" ht="15" hidden="false" customHeight="false" outlineLevel="0" collapsed="false">
      <c r="A5" s="5" t="s">
        <v>119</v>
      </c>
      <c r="B5" s="14" t="n">
        <v>3172</v>
      </c>
      <c r="C5" s="14" t="n">
        <v>4066</v>
      </c>
      <c r="D5" s="14" t="n">
        <v>4751</v>
      </c>
      <c r="E5" s="24" t="n">
        <f aca="false">'Driver Build'!E10</f>
        <v>4941.04</v>
      </c>
      <c r="F5" s="24" t="n">
        <f aca="false">'Driver Build'!F10</f>
        <v>5336.3232</v>
      </c>
      <c r="G5" s="24" t="n">
        <f aca="false">'Driver Build'!G10</f>
        <v>5763.229056</v>
      </c>
      <c r="H5" s="24" t="n">
        <f aca="false">'Driver Build'!H10</f>
        <v>6224.28738048</v>
      </c>
      <c r="I5" s="24" t="n">
        <f aca="false">'Driver Build'!I10</f>
        <v>6722.2303709184</v>
      </c>
    </row>
    <row r="6" customFormat="false" ht="15" hidden="false" customHeight="false" outlineLevel="0" collapsed="false">
      <c r="A6" s="4" t="s">
        <v>120</v>
      </c>
      <c r="B6" s="14" t="n">
        <v>9294</v>
      </c>
      <c r="C6" s="14" t="n">
        <v>10632</v>
      </c>
      <c r="D6" s="14" t="n">
        <v>12304</v>
      </c>
      <c r="E6" s="35" t="n">
        <f aca="false">'Driver Build'!E11</f>
        <v>13381.98125056</v>
      </c>
      <c r="F6" s="35" t="n">
        <f aca="false">'Driver Build'!F11</f>
        <v>14638.4556929434</v>
      </c>
      <c r="G6" s="35" t="n">
        <f aca="false">'Driver Build'!G11</f>
        <v>15969.6063833162</v>
      </c>
      <c r="H6" s="35" t="n">
        <f aca="false">'Driver Build'!H11</f>
        <v>17379.7229766663</v>
      </c>
      <c r="I6" s="35" t="n">
        <f aca="false">'Driver Build'!I11</f>
        <v>18869.1174436065</v>
      </c>
    </row>
    <row r="7" customFormat="false" ht="15" hidden="false" customHeight="false" outlineLevel="0" collapsed="false">
      <c r="A7" s="5" t="s">
        <v>225</v>
      </c>
      <c r="B7" s="14" t="n">
        <v>-3061</v>
      </c>
      <c r="C7" s="14" t="n">
        <v>-3145</v>
      </c>
      <c r="D7" s="14" t="n">
        <v>-3525</v>
      </c>
      <c r="E7" s="24" t="n">
        <f aca="false">'Driver Build'!E12</f>
        <v>-3934.30248766464</v>
      </c>
      <c r="F7" s="24" t="n">
        <f aca="false">'Driver Build'!F12</f>
        <v>-4245.15215095357</v>
      </c>
      <c r="G7" s="24" t="n">
        <f aca="false">'Driver Build'!G12</f>
        <v>-4551.33781924511</v>
      </c>
      <c r="H7" s="24" t="n">
        <f aca="false">'Driver Build'!H12</f>
        <v>-4866.32243346655</v>
      </c>
      <c r="I7" s="24" t="n">
        <f aca="false">'Driver Build'!I12</f>
        <v>-5189.00729699178</v>
      </c>
    </row>
    <row r="8" customFormat="false" ht="15" hidden="false" customHeight="false" outlineLevel="0" collapsed="false">
      <c r="A8" s="4" t="s">
        <v>152</v>
      </c>
      <c r="B8" s="26" t="n">
        <f aca="false">B6+B7</f>
        <v>6233</v>
      </c>
      <c r="C8" s="26" t="n">
        <f aca="false">C6+C7</f>
        <v>7487</v>
      </c>
      <c r="D8" s="26" t="n">
        <f aca="false">D6+D7</f>
        <v>8779</v>
      </c>
      <c r="E8" s="26" t="n">
        <f aca="false">E6+E7</f>
        <v>9447.67876289536</v>
      </c>
      <c r="F8" s="26" t="n">
        <f aca="false">F6+F7</f>
        <v>10393.3035419898</v>
      </c>
      <c r="G8" s="26" t="n">
        <f aca="false">G6+G7</f>
        <v>11418.2685640711</v>
      </c>
      <c r="H8" s="26" t="n">
        <f aca="false">H6+H7</f>
        <v>12513.4005431997</v>
      </c>
      <c r="I8" s="26" t="n">
        <f aca="false">I6+I7</f>
        <v>13680.1101466147</v>
      </c>
    </row>
    <row r="9" customFormat="false" ht="15" hidden="false" customHeight="false" outlineLevel="0" collapsed="false">
      <c r="A9" s="5" t="s">
        <v>226</v>
      </c>
      <c r="B9" s="14" t="n">
        <v>-760</v>
      </c>
      <c r="C9" s="14" t="n">
        <v>-620</v>
      </c>
      <c r="D9" s="14" t="n">
        <v>-678</v>
      </c>
      <c r="E9" s="24" t="n">
        <f aca="false">'Driver Build'!E13</f>
        <v>-909.2544</v>
      </c>
      <c r="F9" s="24" t="n">
        <f aca="false">'Driver Build'!F13</f>
        <v>-1022.633728</v>
      </c>
      <c r="G9" s="24" t="n">
        <f aca="false">'Driver Build'!G13</f>
        <v>-1090.38426112</v>
      </c>
      <c r="H9" s="24" t="n">
        <f aca="false">'Driver Build'!H13</f>
        <v>-1177.213330944</v>
      </c>
      <c r="I9" s="24" t="n">
        <f aca="false">'Driver Build'!I13</f>
        <v>-1258.79695248384</v>
      </c>
    </row>
    <row r="10" customFormat="false" ht="15" hidden="false" customHeight="false" outlineLevel="0" collapsed="false">
      <c r="A10" s="4" t="s">
        <v>123</v>
      </c>
      <c r="B10" s="14" t="n">
        <v>5472</v>
      </c>
      <c r="C10" s="14" t="n">
        <v>6868</v>
      </c>
      <c r="D10" s="14" t="n">
        <v>8101</v>
      </c>
      <c r="E10" s="26" t="n">
        <f aca="false">E6+E7+E9</f>
        <v>8538.42436289536</v>
      </c>
      <c r="F10" s="26" t="n">
        <f aca="false">F6+F7+F9</f>
        <v>9370.66981398979</v>
      </c>
      <c r="G10" s="26" t="n">
        <f aca="false">G6+G7+G9</f>
        <v>10327.8843029511</v>
      </c>
      <c r="H10" s="26" t="n">
        <f aca="false">H6+H7+H9</f>
        <v>11336.1872122557</v>
      </c>
      <c r="I10" s="26" t="n">
        <f aca="false">I6+I7+I9</f>
        <v>12421.3131941309</v>
      </c>
    </row>
    <row r="11" customFormat="false" ht="15" hidden="false" customHeight="false" outlineLevel="0" collapsed="false">
      <c r="A11" s="5" t="s">
        <v>154</v>
      </c>
      <c r="B11" s="14" t="n">
        <v>-221</v>
      </c>
      <c r="C11" s="14" t="n">
        <v>-766</v>
      </c>
      <c r="D11" s="14" t="n">
        <v>-1031</v>
      </c>
      <c r="E11" s="25" t="n">
        <f aca="false">-E10*Assumptions!E$26</f>
        <v>-1109.9951671764</v>
      </c>
      <c r="F11" s="25" t="n">
        <f aca="false">-F10*Assumptions!F$26</f>
        <v>-1499.30717023837</v>
      </c>
      <c r="G11" s="25" t="n">
        <f aca="false">-G10*Assumptions!G$26</f>
        <v>-1652.46148847217</v>
      </c>
      <c r="H11" s="25" t="n">
        <f aca="false">-H10*Assumptions!H$26</f>
        <v>-1813.78995396091</v>
      </c>
      <c r="I11" s="25" t="n">
        <f aca="false">-I10*Assumptions!I$26</f>
        <v>-1987.41011106094</v>
      </c>
    </row>
    <row r="12" customFormat="false" ht="15" hidden="false" customHeight="false" outlineLevel="0" collapsed="false">
      <c r="A12" s="4" t="s">
        <v>155</v>
      </c>
      <c r="B12" s="26" t="n">
        <f aca="false">B10+B11</f>
        <v>5251</v>
      </c>
      <c r="C12" s="26" t="n">
        <f aca="false">C10+C11</f>
        <v>6102</v>
      </c>
      <c r="D12" s="26" t="n">
        <f aca="false">D10+D11</f>
        <v>7070</v>
      </c>
      <c r="E12" s="26" t="n">
        <f aca="false">E10+E11</f>
        <v>7428.42919571896</v>
      </c>
      <c r="F12" s="26" t="n">
        <f aca="false">F10+F11</f>
        <v>7871.36264375142</v>
      </c>
      <c r="G12" s="26" t="n">
        <f aca="false">G10+G11</f>
        <v>8675.4228144789</v>
      </c>
      <c r="H12" s="26" t="n">
        <f aca="false">H10+H11</f>
        <v>9522.39725829479</v>
      </c>
      <c r="I12" s="26" t="n">
        <f aca="false">I10+I11</f>
        <v>10433.9030830699</v>
      </c>
    </row>
    <row r="13" customFormat="false" ht="15" hidden="false" customHeight="false" outlineLevel="0" collapsed="false">
      <c r="A13" s="5" t="s">
        <v>157</v>
      </c>
      <c r="B13" s="25" t="n">
        <f aca="false">-Assumptions!$B$34</f>
        <v>-353</v>
      </c>
      <c r="C13" s="25" t="n">
        <f aca="false">-Assumptions!$B$34</f>
        <v>-353</v>
      </c>
      <c r="D13" s="25" t="n">
        <f aca="false">-Assumptions!$B$34</f>
        <v>-353</v>
      </c>
      <c r="E13" s="25" t="n">
        <f aca="false">-Assumptions!$B$34</f>
        <v>-353</v>
      </c>
      <c r="F13" s="25" t="n">
        <f aca="false">-Assumptions!$B$34</f>
        <v>-353</v>
      </c>
      <c r="G13" s="25" t="n">
        <f aca="false">-Assumptions!$B$34</f>
        <v>-353</v>
      </c>
      <c r="H13" s="25" t="n">
        <f aca="false">-Assumptions!$B$34</f>
        <v>-353</v>
      </c>
      <c r="I13" s="25" t="n">
        <f aca="false">-Assumptions!$B$34</f>
        <v>-353</v>
      </c>
    </row>
    <row r="14" customFormat="false" ht="15" hidden="false" customHeight="false" outlineLevel="0" collapsed="false">
      <c r="A14" s="5" t="s">
        <v>158</v>
      </c>
      <c r="B14" s="14" t="n">
        <v>-234.512</v>
      </c>
      <c r="C14" s="14" t="n">
        <v>-336.32</v>
      </c>
      <c r="D14" s="25" t="n">
        <f aca="false">-Assumptions!$B$35</f>
        <v>-376</v>
      </c>
      <c r="E14" s="25" t="n">
        <f aca="false">-Assumptions!$B$35*POWER(1+0.08,1)</f>
        <v>-406.08</v>
      </c>
      <c r="F14" s="25" t="n">
        <f aca="false">-Assumptions!$B$35*POWER(1+0.08,2)</f>
        <v>-438.5664</v>
      </c>
      <c r="G14" s="25" t="n">
        <f aca="false">-Assumptions!$B$35*POWER(1+0.08,3)</f>
        <v>-473.651712</v>
      </c>
      <c r="H14" s="25" t="n">
        <f aca="false">-Assumptions!$B$35*POWER(1+0.08,4)</f>
        <v>-511.54384896</v>
      </c>
      <c r="I14" s="25" t="n">
        <f aca="false">-Assumptions!$B$35*POWER(1+0.08,5)</f>
        <v>-552.4673568768</v>
      </c>
    </row>
    <row r="15" customFormat="false" ht="15" hidden="false" customHeight="false" outlineLevel="0" collapsed="false">
      <c r="A15" s="4" t="s">
        <v>159</v>
      </c>
      <c r="B15" s="26" t="n">
        <f aca="false">B12+B13+B14</f>
        <v>4663.488</v>
      </c>
      <c r="C15" s="26" t="n">
        <f aca="false">C12+C13+C14</f>
        <v>5412.68</v>
      </c>
      <c r="D15" s="26" t="n">
        <f aca="false">D12+D13+D14</f>
        <v>6341</v>
      </c>
      <c r="E15" s="26" t="n">
        <f aca="false">E12+E13+E14</f>
        <v>6669.34919571896</v>
      </c>
      <c r="F15" s="26" t="n">
        <f aca="false">F12+F13+F14</f>
        <v>7079.79624375142</v>
      </c>
      <c r="G15" s="26" t="n">
        <f aca="false">G12+G13+G14</f>
        <v>7848.7711024789</v>
      </c>
      <c r="H15" s="26" t="n">
        <f aca="false">H12+H13+H14</f>
        <v>8657.85340933479</v>
      </c>
      <c r="I15" s="26" t="n">
        <f aca="false">I12+I13+I14</f>
        <v>9528.43572619312</v>
      </c>
    </row>
    <row r="16" customFormat="false" ht="15" hidden="false" customHeight="false" outlineLevel="0" collapsed="false">
      <c r="A16" s="4" t="s">
        <v>227</v>
      </c>
      <c r="B16" s="28" t="n">
        <f aca="false">B15/Assumptions!$B$6</f>
        <v>1.284</v>
      </c>
      <c r="C16" s="28" t="n">
        <f aca="false">C15/Assumptions!$B$6</f>
        <v>1.49027533039648</v>
      </c>
      <c r="D16" s="28" t="n">
        <f aca="false">D15/Assumptions!$B$6</f>
        <v>1.74587004405286</v>
      </c>
      <c r="E16" s="28" t="n">
        <f aca="false">E15/Assumptions!$B$6</f>
        <v>1.83627455829267</v>
      </c>
      <c r="F16" s="28" t="n">
        <f aca="false">F15/Assumptions!$B$6</f>
        <v>1.94928310675975</v>
      </c>
      <c r="G16" s="28" t="n">
        <f aca="false">G15/Assumptions!$B$6</f>
        <v>2.16100525949309</v>
      </c>
      <c r="H16" s="28" t="n">
        <f aca="false">H15/Assumptions!$B$6</f>
        <v>2.38377021182125</v>
      </c>
      <c r="I16" s="28" t="n">
        <f aca="false">I15/Assumptions!$B$6</f>
        <v>2.62346798628665</v>
      </c>
    </row>
    <row r="17" customFormat="false" ht="15" hidden="false" customHeight="false" outlineLevel="0" collapsed="false">
      <c r="A17" s="5" t="s">
        <v>133</v>
      </c>
      <c r="B17" s="16" t="n">
        <v>0.715</v>
      </c>
      <c r="C17" s="16" t="n">
        <v>0.834</v>
      </c>
      <c r="D17" s="16" t="n">
        <v>0.9705</v>
      </c>
      <c r="E17" s="27" t="n">
        <f aca="false">'Driver Build'!E16</f>
        <v>0.918137279146333</v>
      </c>
      <c r="F17" s="27" t="n">
        <f aca="false">'Driver Build'!F16</f>
        <v>0.974641553379876</v>
      </c>
      <c r="G17" s="27" t="n">
        <f aca="false">'Driver Build'!G16</f>
        <v>1.10211268234148</v>
      </c>
      <c r="H17" s="27" t="n">
        <f aca="false">'Driver Build'!H16</f>
        <v>1.23956051014705</v>
      </c>
      <c r="I17" s="27" t="n">
        <f aca="false">'Driver Build'!I16</f>
        <v>1.39043803273192</v>
      </c>
    </row>
    <row r="19" customFormat="false" ht="15" hidden="false" customHeight="false" outlineLevel="0" collapsed="false">
      <c r="A19" s="4" t="s">
        <v>228</v>
      </c>
    </row>
    <row r="20" customFormat="false" ht="15" hidden="false" customHeight="false" outlineLevel="0" collapsed="false">
      <c r="A20" s="5" t="s">
        <v>229</v>
      </c>
      <c r="B20" s="17" t="n">
        <v>0.045</v>
      </c>
      <c r="C20" s="17" t="n">
        <v>0.0435</v>
      </c>
      <c r="D20" s="17" t="n">
        <v>0.0411</v>
      </c>
      <c r="E20" s="38" t="n">
        <f aca="false">Assumptions!E$22</f>
        <v>0.039</v>
      </c>
      <c r="F20" s="38" t="n">
        <f aca="false">Assumptions!F$22</f>
        <v>0.0382</v>
      </c>
      <c r="G20" s="38" t="n">
        <f aca="false">Assumptions!G$22</f>
        <v>0.0376</v>
      </c>
      <c r="H20" s="38" t="n">
        <f aca="false">Assumptions!H$22</f>
        <v>0.0372</v>
      </c>
      <c r="I20" s="38" t="n">
        <f aca="false">Assumptions!I$22</f>
        <v>0.037</v>
      </c>
    </row>
    <row r="21" customFormat="false" ht="15" hidden="false" customHeight="false" outlineLevel="0" collapsed="false">
      <c r="A21" s="5" t="s">
        <v>230</v>
      </c>
      <c r="B21" s="30" t="n">
        <f aca="false">-B7/B6</f>
        <v>0.329352270281902</v>
      </c>
      <c r="C21" s="30" t="n">
        <f aca="false">-C7/C6</f>
        <v>0.295805116629044</v>
      </c>
      <c r="D21" s="30" t="n">
        <f aca="false">-D7/D6</f>
        <v>0.286492197659298</v>
      </c>
      <c r="E21" s="30" t="n">
        <f aca="false">-E7/E6</f>
        <v>0.294</v>
      </c>
      <c r="F21" s="30" t="n">
        <f aca="false">-F7/F6</f>
        <v>0.29</v>
      </c>
      <c r="G21" s="30" t="n">
        <f aca="false">-G7/G6</f>
        <v>0.285</v>
      </c>
      <c r="H21" s="30" t="n">
        <f aca="false">-H7/H6</f>
        <v>0.28</v>
      </c>
      <c r="I21" s="30" t="n">
        <f aca="false">-I7/I6</f>
        <v>0.275</v>
      </c>
    </row>
    <row r="22" customFormat="false" ht="15" hidden="false" customHeight="false" outlineLevel="0" collapsed="false">
      <c r="A22" s="5" t="s">
        <v>78</v>
      </c>
      <c r="B22" s="30" t="n">
        <f aca="false">-B11/B10</f>
        <v>0.0403874269005848</v>
      </c>
      <c r="C22" s="30" t="n">
        <f aca="false">-C11/C10</f>
        <v>0.111531741409435</v>
      </c>
      <c r="D22" s="30" t="n">
        <f aca="false">-D11/D10</f>
        <v>0.127268238489075</v>
      </c>
      <c r="E22" s="30" t="n">
        <f aca="false">-E11/E10</f>
        <v>0.13</v>
      </c>
      <c r="F22" s="30" t="n">
        <f aca="false">-F11/F10</f>
        <v>0.16</v>
      </c>
      <c r="G22" s="30" t="n">
        <f aca="false">-G11/G10</f>
        <v>0.16</v>
      </c>
      <c r="H22" s="30" t="n">
        <f aca="false">-H11/H10</f>
        <v>0.16</v>
      </c>
      <c r="I22" s="30" t="n">
        <f aca="false">-I11/I10</f>
        <v>0.16</v>
      </c>
    </row>
    <row r="23" customFormat="false" ht="15" hidden="false" customHeight="false" outlineLevel="0" collapsed="false">
      <c r="A23" s="5" t="s">
        <v>231</v>
      </c>
      <c r="B23" s="30" t="n">
        <f aca="false">B17/B16</f>
        <v>0.556853582554517</v>
      </c>
      <c r="C23" s="30" t="n">
        <f aca="false">C17/C16</f>
        <v>0.559628132459336</v>
      </c>
      <c r="D23" s="30" t="n">
        <f aca="false">D17/D16</f>
        <v>0.55588329916417</v>
      </c>
      <c r="E23" s="30" t="n">
        <f aca="false">E17/E16</f>
        <v>0.5</v>
      </c>
      <c r="F23" s="30" t="n">
        <f aca="false">F17/F16</f>
        <v>0.5</v>
      </c>
      <c r="G23" s="30" t="n">
        <f aca="false">G17/G16</f>
        <v>0.51</v>
      </c>
      <c r="H23" s="30" t="n">
        <f aca="false">H17/H16</f>
        <v>0.52</v>
      </c>
      <c r="I23" s="30" t="n">
        <f aca="false">I17/I16</f>
        <v>0.53</v>
      </c>
    </row>
    <row r="25" customFormat="false" ht="33.75" hidden="false" customHeight="true" outlineLevel="0" collapsed="false">
      <c r="A25" s="34" t="s">
        <v>232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233</v>
      </c>
    </row>
    <row r="2" customFormat="false" ht="15" hidden="false" customHeight="false" outlineLevel="0" collapsed="false">
      <c r="A2" s="2" t="s">
        <v>234</v>
      </c>
    </row>
    <row r="3" customFormat="false" ht="15" hidden="false" customHeight="false" outlineLevel="0" collapsed="false">
      <c r="B3" s="19" t="s">
        <v>223</v>
      </c>
      <c r="C3" s="19" t="s">
        <v>224</v>
      </c>
      <c r="D3" s="19" t="s">
        <v>112</v>
      </c>
      <c r="E3" s="19" t="s">
        <v>63</v>
      </c>
      <c r="F3" s="19" t="s">
        <v>64</v>
      </c>
      <c r="G3" s="19" t="s">
        <v>65</v>
      </c>
      <c r="H3" s="19" t="s">
        <v>66</v>
      </c>
      <c r="I3" s="19" t="s">
        <v>67</v>
      </c>
      <c r="J3" s="19" t="s">
        <v>235</v>
      </c>
    </row>
    <row r="4" customFormat="false" ht="15" hidden="false" customHeight="false" outlineLevel="0" collapsed="false">
      <c r="A4" s="5" t="s">
        <v>236</v>
      </c>
      <c r="B4" s="14" t="n">
        <v>192827</v>
      </c>
      <c r="C4" s="14" t="n">
        <v>225910</v>
      </c>
      <c r="D4" s="14" t="n">
        <v>280753</v>
      </c>
      <c r="E4" s="25" t="n">
        <f aca="false">'Driver Build'!E5/($D$6/$D$4)</f>
        <v>317497.168037403</v>
      </c>
      <c r="F4" s="25" t="n">
        <f aca="false">'Driver Build'!F5/($D$6/$D$4)</f>
        <v>355596.828201891</v>
      </c>
      <c r="G4" s="25" t="n">
        <f aca="false">'Driver Build'!G5/($D$6/$D$4)</f>
        <v>394712.479304099</v>
      </c>
      <c r="H4" s="25" t="n">
        <f aca="false">'Driver Build'!H5/($D$6/$D$4)</f>
        <v>434183.727234509</v>
      </c>
      <c r="I4" s="25" t="n">
        <f aca="false">'Driver Build'!I5/($D$6/$D$4)</f>
        <v>473260.262685615</v>
      </c>
      <c r="J4" s="14" t="n">
        <v>287065</v>
      </c>
    </row>
    <row r="5" customFormat="false" ht="15" hidden="false" customHeight="false" outlineLevel="0" collapsed="false">
      <c r="A5" s="5" t="s">
        <v>113</v>
      </c>
      <c r="B5" s="14" t="n">
        <v>120169</v>
      </c>
      <c r="C5" s="14" t="n">
        <v>147100</v>
      </c>
      <c r="D5" s="14" t="n">
        <v>185600</v>
      </c>
      <c r="E5" s="24" t="n">
        <f aca="false">'Driver Build'!E4</f>
        <v>209728</v>
      </c>
      <c r="F5" s="24" t="n">
        <f aca="false">'Driver Build'!F4</f>
        <v>234895.36</v>
      </c>
      <c r="G5" s="24" t="n">
        <f aca="false">'Driver Build'!G4</f>
        <v>260733.8496</v>
      </c>
      <c r="H5" s="24" t="n">
        <f aca="false">'Driver Build'!H4</f>
        <v>286807.23456</v>
      </c>
      <c r="I5" s="24" t="n">
        <f aca="false">'Driver Build'!I4</f>
        <v>312619.8856704</v>
      </c>
      <c r="J5" s="14" t="n">
        <v>198000</v>
      </c>
    </row>
    <row r="6" customFormat="false" ht="15" hidden="false" customHeight="false" outlineLevel="0" collapsed="false">
      <c r="A6" s="5" t="s">
        <v>237</v>
      </c>
      <c r="B6" s="14" t="n">
        <v>115002</v>
      </c>
      <c r="C6" s="14" t="n">
        <v>142611</v>
      </c>
      <c r="D6" s="14" t="n">
        <v>181376</v>
      </c>
      <c r="E6" s="24" t="n">
        <f aca="false">'Driver Build'!E5</f>
        <v>205113.984</v>
      </c>
      <c r="F6" s="24" t="n">
        <f aca="false">'Driver Build'!F5</f>
        <v>229727.66208</v>
      </c>
      <c r="G6" s="24" t="n">
        <f aca="false">'Driver Build'!G5</f>
        <v>254997.7049088</v>
      </c>
      <c r="H6" s="24" t="n">
        <f aca="false">'Driver Build'!H5</f>
        <v>280497.47539968</v>
      </c>
      <c r="I6" s="24" t="n">
        <f aca="false">'Driver Build'!I5</f>
        <v>305742.248185651</v>
      </c>
      <c r="J6" s="14" t="n">
        <v>193809</v>
      </c>
    </row>
    <row r="7" customFormat="false" ht="15" hidden="false" customHeight="false" outlineLevel="0" collapsed="false">
      <c r="A7" s="5" t="s">
        <v>238</v>
      </c>
      <c r="B7" s="14" t="n">
        <v>24483</v>
      </c>
      <c r="C7" s="14" t="n">
        <v>29286</v>
      </c>
      <c r="D7" s="14" t="n">
        <v>31621</v>
      </c>
      <c r="E7" s="25" t="n">
        <f aca="false">$D$7*(E4/$D$4)</f>
        <v>35759.4681107975</v>
      </c>
      <c r="F7" s="25" t="n">
        <f aca="false">$D$7*(F4/$D$4)</f>
        <v>40050.6042840932</v>
      </c>
      <c r="G7" s="25" t="n">
        <f aca="false">$D$7*(G4/$D$4)</f>
        <v>44456.1707553434</v>
      </c>
      <c r="H7" s="25" t="n">
        <f aca="false">$D$7*(H4/$D$4)</f>
        <v>48901.7878308777</v>
      </c>
      <c r="I7" s="25" t="n">
        <f aca="false">$D$7*(I4/$D$4)</f>
        <v>53302.9487356568</v>
      </c>
    </row>
    <row r="8" customFormat="false" ht="15" hidden="false" customHeight="false" outlineLevel="0" collapsed="false">
      <c r="A8" s="5" t="s">
        <v>239</v>
      </c>
      <c r="B8" s="14" t="n">
        <v>157067</v>
      </c>
      <c r="C8" s="14" t="n">
        <v>182675</v>
      </c>
      <c r="D8" s="14" t="n">
        <v>229096</v>
      </c>
      <c r="E8" s="25" t="n">
        <f aca="false">'Driver Build'!E5/($D$6/$D$8)</f>
        <v>259079.444239944</v>
      </c>
      <c r="F8" s="25" t="n">
        <f aca="false">'Driver Build'!F5/($D$6/$D$8)</f>
        <v>290168.977548737</v>
      </c>
      <c r="G8" s="25" t="n">
        <f aca="false">'Driver Build'!G5/($D$6/$D$8)</f>
        <v>322087.565079098</v>
      </c>
      <c r="H8" s="25" t="n">
        <f aca="false">'Driver Build'!H5/($D$6/$D$8)</f>
        <v>354296.321587008</v>
      </c>
      <c r="I8" s="25" t="n">
        <f aca="false">'Driver Build'!I5/($D$6/$D$8)</f>
        <v>386182.990529838</v>
      </c>
      <c r="J8" s="14" t="n">
        <v>239335</v>
      </c>
    </row>
    <row r="10" customFormat="false" ht="15" hidden="false" customHeight="false" outlineLevel="0" collapsed="false">
      <c r="A10" s="4" t="s">
        <v>240</v>
      </c>
    </row>
    <row r="11" customFormat="false" ht="15" hidden="false" customHeight="false" outlineLevel="0" collapsed="false">
      <c r="A11" s="5" t="s">
        <v>241</v>
      </c>
      <c r="B11" s="14" t="n">
        <v>3632</v>
      </c>
      <c r="C11" s="14" t="n">
        <v>3632</v>
      </c>
      <c r="D11" s="14" t="n">
        <v>3632</v>
      </c>
      <c r="E11" s="25" t="n">
        <f aca="false">$D$11</f>
        <v>3632</v>
      </c>
      <c r="F11" s="25" t="n">
        <f aca="false">$D$11</f>
        <v>3632</v>
      </c>
      <c r="G11" s="25" t="n">
        <f aca="false">$D$11</f>
        <v>3632</v>
      </c>
      <c r="H11" s="25" t="n">
        <f aca="false">$D$11</f>
        <v>3632</v>
      </c>
      <c r="I11" s="25" t="n">
        <f aca="false">$D$11</f>
        <v>3632</v>
      </c>
      <c r="J11" s="14" t="n">
        <v>3632</v>
      </c>
    </row>
    <row r="12" customFormat="false" ht="15" hidden="false" customHeight="false" outlineLevel="0" collapsed="false">
      <c r="A12" s="5" t="s">
        <v>242</v>
      </c>
      <c r="B12" s="14" t="n">
        <v>4754</v>
      </c>
      <c r="C12" s="14" t="n">
        <v>4754</v>
      </c>
      <c r="D12" s="14" t="n">
        <v>4754</v>
      </c>
      <c r="E12" s="25" t="n">
        <f aca="false">$D$12</f>
        <v>4754</v>
      </c>
      <c r="F12" s="25" t="n">
        <f aca="false">$D$12</f>
        <v>4754</v>
      </c>
      <c r="G12" s="25" t="n">
        <f aca="false">$D$12</f>
        <v>4754</v>
      </c>
      <c r="H12" s="25" t="n">
        <f aca="false">$D$12</f>
        <v>4754</v>
      </c>
      <c r="I12" s="25" t="n">
        <f aca="false">$D$12</f>
        <v>4754</v>
      </c>
      <c r="J12" s="14" t="n">
        <v>4754</v>
      </c>
    </row>
    <row r="13" customFormat="false" ht="15" hidden="false" customHeight="false" outlineLevel="0" collapsed="false">
      <c r="A13" s="5" t="s">
        <v>243</v>
      </c>
      <c r="B13" s="14" t="n">
        <v>1114</v>
      </c>
      <c r="C13" s="14" t="n">
        <v>972</v>
      </c>
      <c r="D13" s="14" t="n">
        <v>1548</v>
      </c>
      <c r="E13" s="25" t="n">
        <f aca="false">D13-'Income Statement'!E14</f>
        <v>1954.08</v>
      </c>
      <c r="F13" s="25" t="n">
        <f aca="false">E13-'Income Statement'!F14</f>
        <v>2392.6464</v>
      </c>
      <c r="G13" s="25" t="n">
        <f aca="false">F13-'Income Statement'!G14</f>
        <v>2866.298112</v>
      </c>
      <c r="H13" s="25" t="n">
        <f aca="false">G13-'Income Statement'!H14</f>
        <v>3377.84196096</v>
      </c>
      <c r="I13" s="25" t="n">
        <f aca="false">H13-'Income Statement'!I14</f>
        <v>3930.3093178368</v>
      </c>
      <c r="J13" s="14" t="n">
        <v>1462</v>
      </c>
    </row>
    <row r="15" customFormat="false" ht="15" hidden="false" customHeight="false" outlineLevel="0" collapsed="false">
      <c r="A15" s="5" t="s">
        <v>244</v>
      </c>
      <c r="E15" s="25" t="n">
        <f aca="false">D17</f>
        <v>26067</v>
      </c>
      <c r="F15" s="25" t="n">
        <f aca="false">E17</f>
        <v>29401.6745978595</v>
      </c>
      <c r="G15" s="25" t="n">
        <f aca="false">F17</f>
        <v>32941.5727197352</v>
      </c>
      <c r="H15" s="25" t="n">
        <f aca="false">G17</f>
        <v>36787.4705599499</v>
      </c>
      <c r="I15" s="25" t="n">
        <f aca="false">H17</f>
        <v>40943.2401964305</v>
      </c>
    </row>
    <row r="16" customFormat="false" ht="15" hidden="false" customHeight="false" outlineLevel="0" collapsed="false">
      <c r="A16" s="5" t="s">
        <v>245</v>
      </c>
      <c r="D16" s="25" t="n">
        <f aca="false">D17</f>
        <v>26067</v>
      </c>
      <c r="E16" s="25" t="n">
        <f aca="false">E15</f>
        <v>26067</v>
      </c>
      <c r="F16" s="25" t="n">
        <f aca="false">F15</f>
        <v>29401.6745978595</v>
      </c>
      <c r="G16" s="25" t="n">
        <f aca="false">G15</f>
        <v>32941.5727197352</v>
      </c>
      <c r="H16" s="25" t="n">
        <f aca="false">H15</f>
        <v>36787.4705599499</v>
      </c>
      <c r="I16" s="25" t="n">
        <f aca="false">I15</f>
        <v>40943.2401964305</v>
      </c>
    </row>
    <row r="17" customFormat="false" ht="15" hidden="false" customHeight="false" outlineLevel="0" collapsed="false">
      <c r="A17" s="4" t="s">
        <v>246</v>
      </c>
      <c r="B17" s="14" t="n">
        <v>20374</v>
      </c>
      <c r="C17" s="14" t="n">
        <v>22591</v>
      </c>
      <c r="D17" s="14" t="n">
        <v>26067</v>
      </c>
      <c r="E17" s="26" t="n">
        <f aca="false">E15+'Income Statement'!E15-'Income Statement'!E17*Assumptions!$B$6</f>
        <v>29401.6745978595</v>
      </c>
      <c r="F17" s="26" t="n">
        <f aca="false">F15+'Income Statement'!F15-'Income Statement'!F17*Assumptions!$B$6</f>
        <v>32941.5727197352</v>
      </c>
      <c r="G17" s="26" t="n">
        <f aca="false">G15+'Income Statement'!G15-'Income Statement'!G17*Assumptions!$B$6</f>
        <v>36787.4705599499</v>
      </c>
      <c r="H17" s="26" t="n">
        <f aca="false">H15+'Income Statement'!H15-'Income Statement'!H17*Assumptions!$B$6</f>
        <v>40943.2401964305</v>
      </c>
      <c r="I17" s="26" t="n">
        <f aca="false">I15+'Income Statement'!I15-'Income Statement'!I17*Assumptions!$B$6</f>
        <v>45421.6049877413</v>
      </c>
      <c r="J17" s="14" t="n">
        <v>23865</v>
      </c>
    </row>
    <row r="18" customFormat="false" ht="15" hidden="false" customHeight="false" outlineLevel="0" collapsed="false">
      <c r="A18" s="5" t="s">
        <v>247</v>
      </c>
      <c r="B18" s="25" t="n">
        <f aca="false">B17+B12+B13</f>
        <v>26242</v>
      </c>
      <c r="C18" s="25" t="n">
        <f aca="false">C17+C12+C13</f>
        <v>28317</v>
      </c>
      <c r="D18" s="25" t="n">
        <f aca="false">D17+D12+D13</f>
        <v>32369</v>
      </c>
      <c r="E18" s="25" t="n">
        <f aca="false">E17+E12+E13</f>
        <v>36109.7545978595</v>
      </c>
      <c r="F18" s="25" t="n">
        <f aca="false">F17+F12+F13</f>
        <v>40088.2191197352</v>
      </c>
      <c r="G18" s="25" t="n">
        <f aca="false">G17+G12+G13</f>
        <v>44407.7686719498</v>
      </c>
      <c r="H18" s="25" t="n">
        <f aca="false">H17+H12+H13</f>
        <v>49075.0821573906</v>
      </c>
      <c r="I18" s="25" t="n">
        <f aca="false">I17+I12+I13</f>
        <v>54105.9143055781</v>
      </c>
      <c r="J18" s="25" t="n">
        <f aca="false">J17+J12+J13</f>
        <v>30081</v>
      </c>
    </row>
    <row r="19" customFormat="false" ht="15" hidden="false" customHeight="false" outlineLevel="0" collapsed="false">
      <c r="A19" s="5" t="s">
        <v>248</v>
      </c>
      <c r="B19" s="29" t="n">
        <f aca="false">B17/Assumptions!$B$6</f>
        <v>5.60958149779736</v>
      </c>
      <c r="C19" s="29" t="n">
        <f aca="false">C17/Assumptions!$B$6</f>
        <v>6.21998898678414</v>
      </c>
      <c r="D19" s="29" t="n">
        <f aca="false">D17/Assumptions!$B$6</f>
        <v>7.17703744493392</v>
      </c>
      <c r="E19" s="29" t="n">
        <f aca="false">E17/Assumptions!$B$6</f>
        <v>8.09517472408025</v>
      </c>
      <c r="F19" s="29" t="n">
        <f aca="false">F17/Assumptions!$B$6</f>
        <v>9.06981627746013</v>
      </c>
      <c r="G19" s="29" t="n">
        <f aca="false">G17/Assumptions!$B$6</f>
        <v>10.1287088546117</v>
      </c>
      <c r="H19" s="29" t="n">
        <f aca="false">H17/Assumptions!$B$6</f>
        <v>11.2729185562859</v>
      </c>
      <c r="I19" s="29" t="n">
        <f aca="false">I17/Assumptions!$B$6</f>
        <v>12.5059485098407</v>
      </c>
      <c r="J19" s="29" t="n">
        <f aca="false">J17/Assumptions!$B$6</f>
        <v>6.57075991189427</v>
      </c>
    </row>
    <row r="21" customFormat="false" ht="15" hidden="false" customHeight="false" outlineLevel="0" collapsed="false">
      <c r="A21" s="4" t="s">
        <v>249</v>
      </c>
    </row>
    <row r="22" customFormat="false" ht="15" hidden="false" customHeight="false" outlineLevel="0" collapsed="false">
      <c r="A22" s="5" t="s">
        <v>250</v>
      </c>
      <c r="B22" s="14" t="n">
        <v>138211</v>
      </c>
      <c r="C22" s="14" t="n">
        <v>159983</v>
      </c>
      <c r="D22" s="14" t="n">
        <v>183637</v>
      </c>
      <c r="E22" s="24" t="n">
        <f aca="false">'Driver Build'!E17</f>
        <v>206355.183137207</v>
      </c>
      <c r="F22" s="24" t="n">
        <f aca="false">'Driver Build'!F17</f>
        <v>230361.029089627</v>
      </c>
      <c r="G22" s="24" t="n">
        <f aca="false">'Driver Build'!G17</f>
        <v>255067.929729953</v>
      </c>
      <c r="H22" s="24" t="n">
        <f aca="false">'Driver Build'!H17</f>
        <v>280098.344157869</v>
      </c>
      <c r="I22" s="24" t="n">
        <f aca="false">'Driver Build'!I17</f>
        <v>305016.580133908</v>
      </c>
      <c r="J22" s="14" t="n">
        <v>193748</v>
      </c>
    </row>
    <row r="23" customFormat="false" ht="15" hidden="false" customHeight="false" outlineLevel="0" collapsed="false">
      <c r="A23" s="5" t="s">
        <v>251</v>
      </c>
      <c r="D23" s="14" t="n">
        <v>22100</v>
      </c>
      <c r="E23" s="25" t="n">
        <f aca="false">D23+'Income Statement'!E15-'Income Statement'!E17*Assumptions!$B$6</f>
        <v>25434.6745978595</v>
      </c>
      <c r="F23" s="25" t="n">
        <f aca="false">E23+'Income Statement'!F15-'Income Statement'!F17*Assumptions!$B$6</f>
        <v>28974.5727197352</v>
      </c>
      <c r="G23" s="25" t="n">
        <f aca="false">F23+'Income Statement'!G15-'Income Statement'!G17*Assumptions!$B$6</f>
        <v>32820.4705599499</v>
      </c>
      <c r="H23" s="25" t="n">
        <f aca="false">G23+'Income Statement'!H15-'Income Statement'!H17*Assumptions!$B$6</f>
        <v>36976.2401964305</v>
      </c>
      <c r="I23" s="25" t="n">
        <f aca="false">H23+'Income Statement'!I15-'Income Statement'!I17*Assumptions!$B$6</f>
        <v>41454.6049877413</v>
      </c>
    </row>
    <row r="24" customFormat="false" ht="15" hidden="false" customHeight="false" outlineLevel="0" collapsed="false">
      <c r="A24" s="4" t="s">
        <v>252</v>
      </c>
      <c r="B24" s="17" t="n">
        <v>0.1223</v>
      </c>
      <c r="C24" s="17" t="n">
        <v>0.1207</v>
      </c>
      <c r="D24" s="17" t="n">
        <v>0.1202</v>
      </c>
      <c r="E24" s="18" t="n">
        <f aca="false">E23/E22</f>
        <v>0.123256776065314</v>
      </c>
      <c r="F24" s="18" t="n">
        <f aca="false">F23/F22</f>
        <v>0.125778968926476</v>
      </c>
      <c r="G24" s="18" t="n">
        <f aca="false">G23/G22</f>
        <v>0.128673450224408</v>
      </c>
      <c r="H24" s="18" t="n">
        <f aca="false">H23/H22</f>
        <v>0.132011634369356</v>
      </c>
      <c r="I24" s="18" t="n">
        <f aca="false">I23/I22</f>
        <v>0.135909349483697</v>
      </c>
      <c r="J24" s="17" t="n">
        <v>0.12</v>
      </c>
    </row>
    <row r="25" customFormat="false" ht="15" hidden="false" customHeight="false" outlineLevel="0" collapsed="false">
      <c r="A25" s="5" t="s">
        <v>253</v>
      </c>
      <c r="B25" s="17" t="n">
        <v>0.168</v>
      </c>
      <c r="C25" s="17" t="n">
        <v>0.1621</v>
      </c>
      <c r="D25" s="17" t="n">
        <v>0.1571</v>
      </c>
      <c r="J25" s="17" t="n">
        <v>0.155</v>
      </c>
    </row>
    <row r="26" customFormat="false" ht="15" hidden="false" customHeight="false" outlineLevel="0" collapsed="false">
      <c r="A26" s="5" t="s">
        <v>254</v>
      </c>
      <c r="B26" s="20" t="n">
        <v>0.061</v>
      </c>
      <c r="C26" s="20" t="n">
        <v>0.04</v>
      </c>
      <c r="D26" s="20" t="n">
        <v>0.028</v>
      </c>
      <c r="J26" s="20" t="n">
        <v>0.026</v>
      </c>
    </row>
    <row r="27" customFormat="false" ht="15" hidden="false" customHeight="false" outlineLevel="0" collapsed="false">
      <c r="A27" s="5" t="s">
        <v>255</v>
      </c>
      <c r="B27" s="20" t="n">
        <v>1.395</v>
      </c>
      <c r="C27" s="20" t="n">
        <v>1.574</v>
      </c>
      <c r="D27" s="20" t="n">
        <v>1.725</v>
      </c>
      <c r="J27" s="20" t="n">
        <v>1.783</v>
      </c>
    </row>
    <row r="29" customFormat="false" ht="15" hidden="false" customHeight="false" outlineLevel="0" collapsed="false">
      <c r="A29" s="4" t="s">
        <v>256</v>
      </c>
    </row>
    <row r="30" customFormat="false" ht="15" hidden="false" customHeight="false" outlineLevel="0" collapsed="false">
      <c r="A30" s="5" t="s">
        <v>257</v>
      </c>
      <c r="B30" s="25" t="n">
        <f aca="false">1.746*Assumptions!$B$6-3525</f>
        <v>2816.472</v>
      </c>
    </row>
    <row r="31" customFormat="false" ht="15" hidden="false" customHeight="false" outlineLevel="0" collapsed="false">
      <c r="A31" s="5" t="s">
        <v>258</v>
      </c>
      <c r="B31" s="25" t="n">
        <f aca="false">(D22-C22)*Assumptions!$B$33</f>
        <v>2838.48</v>
      </c>
    </row>
    <row r="32" customFormat="false" ht="15" hidden="false" customHeight="false" outlineLevel="0" collapsed="false">
      <c r="A32" s="5" t="s">
        <v>259</v>
      </c>
      <c r="B32" s="26" t="n">
        <f aca="false">B30-B31</f>
        <v>-22.0080000000003</v>
      </c>
    </row>
    <row r="34" customFormat="false" ht="33.75" hidden="false" customHeight="true" outlineLevel="0" collapsed="false">
      <c r="A34" s="34" t="s">
        <v>260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261</v>
      </c>
    </row>
    <row r="2" customFormat="false" ht="15" hidden="false" customHeight="false" outlineLevel="0" collapsed="false">
      <c r="A2" s="2" t="s">
        <v>262</v>
      </c>
    </row>
    <row r="3" customFormat="false" ht="15" hidden="false" customHeight="false" outlineLevel="0" collapsed="false">
      <c r="E3" s="19" t="s">
        <v>63</v>
      </c>
      <c r="F3" s="19" t="s">
        <v>64</v>
      </c>
      <c r="G3" s="19" t="s">
        <v>65</v>
      </c>
      <c r="H3" s="19" t="s">
        <v>66</v>
      </c>
      <c r="I3" s="19" t="s">
        <v>67</v>
      </c>
    </row>
    <row r="4" customFormat="false" ht="15" hidden="false" customHeight="false" outlineLevel="0" collapsed="false">
      <c r="A4" s="4" t="s">
        <v>155</v>
      </c>
      <c r="E4" s="35" t="n">
        <f aca="false">'Income Statement'!E12</f>
        <v>7428.42919571896</v>
      </c>
      <c r="F4" s="35" t="n">
        <f aca="false">'Income Statement'!F12</f>
        <v>7871.36264375142</v>
      </c>
      <c r="G4" s="35" t="n">
        <f aca="false">'Income Statement'!G12</f>
        <v>8675.4228144789</v>
      </c>
      <c r="H4" s="35" t="n">
        <f aca="false">'Income Statement'!H12</f>
        <v>9522.39725829479</v>
      </c>
      <c r="I4" s="35" t="n">
        <f aca="false">'Income Statement'!I12</f>
        <v>10433.9030830699</v>
      </c>
    </row>
    <row r="5" customFormat="false" ht="15" hidden="false" customHeight="false" outlineLevel="0" collapsed="false">
      <c r="A5" s="5" t="s">
        <v>157</v>
      </c>
      <c r="E5" s="24" t="n">
        <f aca="false">'Income Statement'!E13</f>
        <v>-353</v>
      </c>
      <c r="F5" s="24" t="n">
        <f aca="false">'Income Statement'!F13</f>
        <v>-353</v>
      </c>
      <c r="G5" s="24" t="n">
        <f aca="false">'Income Statement'!G13</f>
        <v>-353</v>
      </c>
      <c r="H5" s="24" t="n">
        <f aca="false">'Income Statement'!H13</f>
        <v>-353</v>
      </c>
      <c r="I5" s="24" t="n">
        <f aca="false">'Income Statement'!I13</f>
        <v>-353</v>
      </c>
    </row>
    <row r="6" customFormat="false" ht="15" hidden="false" customHeight="false" outlineLevel="0" collapsed="false">
      <c r="A6" s="5" t="s">
        <v>158</v>
      </c>
      <c r="E6" s="24" t="n">
        <f aca="false">'Income Statement'!E14</f>
        <v>-406.08</v>
      </c>
      <c r="F6" s="24" t="n">
        <f aca="false">'Income Statement'!F14</f>
        <v>-438.5664</v>
      </c>
      <c r="G6" s="24" t="n">
        <f aca="false">'Income Statement'!G14</f>
        <v>-473.651712</v>
      </c>
      <c r="H6" s="24" t="n">
        <f aca="false">'Income Statement'!H14</f>
        <v>-511.54384896</v>
      </c>
      <c r="I6" s="24" t="n">
        <f aca="false">'Income Statement'!I14</f>
        <v>-552.4673568768</v>
      </c>
    </row>
    <row r="7" customFormat="false" ht="15" hidden="false" customHeight="false" outlineLevel="0" collapsed="false">
      <c r="A7" s="4" t="s">
        <v>159</v>
      </c>
      <c r="E7" s="26" t="n">
        <f aca="false">E4+E5+E6</f>
        <v>6669.34919571896</v>
      </c>
      <c r="F7" s="26" t="n">
        <f aca="false">F4+F5+F6</f>
        <v>7079.79624375142</v>
      </c>
      <c r="G7" s="26" t="n">
        <f aca="false">G4+G5+G6</f>
        <v>7848.7711024789</v>
      </c>
      <c r="H7" s="26" t="n">
        <f aca="false">H4+H5+H6</f>
        <v>8657.85340933479</v>
      </c>
      <c r="I7" s="26" t="n">
        <f aca="false">I4+I5+I6</f>
        <v>9528.43572619312</v>
      </c>
    </row>
    <row r="8" customFormat="false" ht="15" hidden="false" customHeight="false" outlineLevel="0" collapsed="false">
      <c r="A8" s="5" t="s">
        <v>160</v>
      </c>
      <c r="E8" s="24" t="n">
        <f aca="false">-'Driver Build'!E19</f>
        <v>-2726.18197646481</v>
      </c>
      <c r="F8" s="24" t="n">
        <f aca="false">-'Driver Build'!F19</f>
        <v>-2880.70151429041</v>
      </c>
      <c r="G8" s="24" t="n">
        <f aca="false">-'Driver Build'!G19</f>
        <v>-2964.82807683919</v>
      </c>
      <c r="H8" s="24" t="n">
        <f aca="false">-'Driver Build'!H19</f>
        <v>-3003.64973134984</v>
      </c>
      <c r="I8" s="24" t="n">
        <f aca="false">-'Driver Build'!I19</f>
        <v>-2990.18831712475</v>
      </c>
    </row>
    <row r="9" customFormat="false" ht="15" hidden="false" customHeight="false" outlineLevel="0" collapsed="false">
      <c r="A9" s="4" t="s">
        <v>161</v>
      </c>
      <c r="E9" s="26" t="n">
        <f aca="false">E7+E8</f>
        <v>3943.16721925415</v>
      </c>
      <c r="F9" s="26" t="n">
        <f aca="false">F7+F8</f>
        <v>4199.09472946101</v>
      </c>
      <c r="G9" s="26" t="n">
        <f aca="false">G7+G8</f>
        <v>4883.94302563971</v>
      </c>
      <c r="H9" s="26" t="n">
        <f aca="false">H7+H8</f>
        <v>5654.20367798495</v>
      </c>
      <c r="I9" s="26" t="n">
        <f aca="false">I7+I8</f>
        <v>6538.24740906837</v>
      </c>
    </row>
    <row r="11" customFormat="false" ht="15" hidden="false" customHeight="false" outlineLevel="0" collapsed="false">
      <c r="A11" s="5" t="s">
        <v>263</v>
      </c>
      <c r="E11" s="24" t="n">
        <f aca="false">-'Income Statement'!E17*Assumptions!$B$6</f>
        <v>-3334.67459785948</v>
      </c>
      <c r="F11" s="24" t="n">
        <f aca="false">-'Income Statement'!F17*Assumptions!$B$6</f>
        <v>-3539.89812187571</v>
      </c>
      <c r="G11" s="24" t="n">
        <f aca="false">-'Income Statement'!G17*Assumptions!$B$6</f>
        <v>-4002.87326226424</v>
      </c>
      <c r="H11" s="24" t="n">
        <f aca="false">-'Income Statement'!H17*Assumptions!$B$6</f>
        <v>-4502.08377285409</v>
      </c>
      <c r="I11" s="24" t="n">
        <f aca="false">-'Income Statement'!I17*Assumptions!$B$6</f>
        <v>-5050.07093488235</v>
      </c>
    </row>
    <row r="12" customFormat="false" ht="15" hidden="false" customHeight="false" outlineLevel="0" collapsed="false">
      <c r="A12" s="4" t="s">
        <v>264</v>
      </c>
      <c r="E12" s="26" t="n">
        <f aca="false">E9+E11</f>
        <v>608.492621394673</v>
      </c>
      <c r="F12" s="26" t="n">
        <f aca="false">F9+F11</f>
        <v>659.196607585296</v>
      </c>
      <c r="G12" s="26" t="n">
        <f aca="false">G9+G11</f>
        <v>881.069763375473</v>
      </c>
      <c r="H12" s="26" t="n">
        <f aca="false">H9+H11</f>
        <v>1152.11990513086</v>
      </c>
      <c r="I12" s="26" t="n">
        <f aca="false">I9+I11</f>
        <v>1488.17647418602</v>
      </c>
    </row>
    <row r="14" customFormat="false" ht="15" hidden="false" customHeight="false" outlineLevel="0" collapsed="false">
      <c r="A14" s="5" t="s">
        <v>265</v>
      </c>
      <c r="E14" s="25" t="n">
        <f aca="false">E7+E11</f>
        <v>3334.67459785948</v>
      </c>
      <c r="F14" s="25" t="n">
        <f aca="false">F7+F11</f>
        <v>3539.89812187571</v>
      </c>
      <c r="G14" s="25" t="n">
        <f aca="false">G7+G11</f>
        <v>3845.89784021466</v>
      </c>
      <c r="H14" s="25" t="n">
        <f aca="false">H7+H11</f>
        <v>4155.7696364807</v>
      </c>
      <c r="I14" s="25" t="n">
        <f aca="false">I7+I11</f>
        <v>4478.36479131076</v>
      </c>
    </row>
    <row r="15" customFormat="false" ht="15" hidden="false" customHeight="false" outlineLevel="0" collapsed="false">
      <c r="A15" s="5" t="s">
        <v>266</v>
      </c>
      <c r="E15" s="24" t="n">
        <f aca="false">'Driver Build'!E18</f>
        <v>22718.1831372067</v>
      </c>
      <c r="F15" s="24" t="n">
        <f aca="false">'Driver Build'!F18</f>
        <v>24005.8459524201</v>
      </c>
      <c r="G15" s="24" t="n">
        <f aca="false">'Driver Build'!G18</f>
        <v>24706.9006403266</v>
      </c>
      <c r="H15" s="24" t="n">
        <f aca="false">'Driver Build'!H18</f>
        <v>25030.4144279154</v>
      </c>
      <c r="I15" s="24" t="n">
        <f aca="false">'Driver Build'!I18</f>
        <v>24918.2359760396</v>
      </c>
    </row>
    <row r="16" customFormat="false" ht="15" hidden="false" customHeight="false" outlineLevel="0" collapsed="false">
      <c r="A16" s="5" t="s">
        <v>267</v>
      </c>
      <c r="E16" s="38" t="n">
        <f aca="false">'Balance Sheet'!E24</f>
        <v>0.123256776065314</v>
      </c>
      <c r="F16" s="38" t="n">
        <f aca="false">'Balance Sheet'!F24</f>
        <v>0.125778968926476</v>
      </c>
      <c r="G16" s="38" t="n">
        <f aca="false">'Balance Sheet'!G24</f>
        <v>0.128673450224408</v>
      </c>
      <c r="H16" s="38" t="n">
        <f aca="false">'Balance Sheet'!H24</f>
        <v>0.132011634369356</v>
      </c>
      <c r="I16" s="38" t="n">
        <f aca="false">'Balance Sheet'!I24</f>
        <v>0.135909349483697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268</v>
      </c>
    </row>
    <row r="2" customFormat="false" ht="15" hidden="false" customHeight="false" outlineLevel="0" collapsed="false">
      <c r="A2" s="2" t="s">
        <v>269</v>
      </c>
    </row>
    <row r="4" customFormat="false" ht="15" hidden="false" customHeight="false" outlineLevel="0" collapsed="false">
      <c r="A4" s="4" t="s">
        <v>270</v>
      </c>
    </row>
    <row r="5" customFormat="false" ht="15" hidden="false" customHeight="false" outlineLevel="0" collapsed="false">
      <c r="A5" s="5" t="s">
        <v>271</v>
      </c>
      <c r="B5" s="12" t="n">
        <v>21.76</v>
      </c>
    </row>
    <row r="6" customFormat="false" ht="15" hidden="false" customHeight="false" outlineLevel="0" collapsed="false">
      <c r="A6" s="5" t="s">
        <v>272</v>
      </c>
      <c r="B6" s="17" t="n">
        <v>0.039</v>
      </c>
    </row>
    <row r="7" customFormat="false" ht="15" hidden="false" customHeight="false" outlineLevel="0" collapsed="false">
      <c r="A7" s="5" t="s">
        <v>273</v>
      </c>
      <c r="B7" s="17" t="n">
        <v>0.0446</v>
      </c>
    </row>
    <row r="8" customFormat="false" ht="15" hidden="false" customHeight="false" outlineLevel="0" collapsed="false">
      <c r="A8" s="5" t="s">
        <v>274</v>
      </c>
      <c r="B8" s="39" t="n">
        <v>-0.002014</v>
      </c>
    </row>
    <row r="9" customFormat="false" ht="15" hidden="false" customHeight="false" outlineLevel="0" collapsed="false">
      <c r="A9" s="5" t="s">
        <v>275</v>
      </c>
      <c r="B9" s="20" t="n">
        <v>0.3066</v>
      </c>
    </row>
    <row r="10" customFormat="false" ht="15" hidden="false" customHeight="false" outlineLevel="0" collapsed="false">
      <c r="A10" s="5" t="s">
        <v>276</v>
      </c>
      <c r="B10" s="12" t="n">
        <v>10</v>
      </c>
    </row>
    <row r="11" customFormat="false" ht="15" hidden="false" customHeight="false" outlineLevel="0" collapsed="false">
      <c r="A11" s="5" t="s">
        <v>277</v>
      </c>
      <c r="B11" s="16" t="n">
        <v>1.049</v>
      </c>
      <c r="C11" s="12" t="n">
        <v>19.806</v>
      </c>
      <c r="E11" s="12" t="n">
        <v>23.842</v>
      </c>
    </row>
    <row r="13" customFormat="false" ht="15" hidden="false" customHeight="false" outlineLevel="0" collapsed="false">
      <c r="A13" s="4" t="s">
        <v>278</v>
      </c>
      <c r="B13" s="19" t="s">
        <v>279</v>
      </c>
      <c r="C13" s="19" t="s">
        <v>280</v>
      </c>
      <c r="D13" s="19" t="s">
        <v>281</v>
      </c>
      <c r="E13" s="19" t="s">
        <v>282</v>
      </c>
      <c r="F13" s="19" t="s">
        <v>283</v>
      </c>
    </row>
    <row r="14" customFormat="false" ht="15" hidden="false" customHeight="false" outlineLevel="0" collapsed="false">
      <c r="A14" s="4" t="s">
        <v>284</v>
      </c>
      <c r="B14" s="12" t="n">
        <v>18.911</v>
      </c>
      <c r="C14" s="12" t="n">
        <v>20.609</v>
      </c>
      <c r="D14" s="12" t="n">
        <v>21.744</v>
      </c>
      <c r="E14" s="12" t="n">
        <v>22.949</v>
      </c>
      <c r="F14" s="12" t="n">
        <v>24.947</v>
      </c>
    </row>
    <row r="15" customFormat="false" ht="15" hidden="false" customHeight="false" outlineLevel="0" collapsed="false">
      <c r="A15" s="4" t="s">
        <v>285</v>
      </c>
      <c r="B15" s="12" t="n">
        <v>17.101</v>
      </c>
      <c r="C15" s="12" t="n">
        <v>19.806</v>
      </c>
      <c r="D15" s="12" t="n">
        <v>21.727</v>
      </c>
      <c r="E15" s="12" t="n">
        <v>23.842</v>
      </c>
      <c r="F15" s="12" t="n">
        <v>27.699</v>
      </c>
    </row>
    <row r="17" customFormat="false" ht="15" hidden="false" customHeight="false" outlineLevel="0" collapsed="false">
      <c r="A17" s="4" t="s">
        <v>286</v>
      </c>
    </row>
    <row r="18" customFormat="false" ht="15" hidden="false" customHeight="false" outlineLevel="0" collapsed="false">
      <c r="A18" s="5" t="s">
        <v>287</v>
      </c>
      <c r="B18" s="20" t="n">
        <v>0.4955</v>
      </c>
    </row>
    <row r="19" customFormat="false" ht="15" hidden="false" customHeight="false" outlineLevel="0" collapsed="false">
      <c r="A19" s="5" t="s">
        <v>288</v>
      </c>
      <c r="B19" s="20" t="n">
        <v>0.2413</v>
      </c>
      <c r="C19" s="20" t="n">
        <v>0.2251</v>
      </c>
    </row>
    <row r="20" customFormat="false" ht="15" hidden="false" customHeight="false" outlineLevel="0" collapsed="false">
      <c r="A20" s="5" t="s">
        <v>289</v>
      </c>
      <c r="B20" s="12" t="n">
        <v>21.727</v>
      </c>
    </row>
    <row r="21" customFormat="false" ht="15" hidden="false" customHeight="false" outlineLevel="0" collapsed="false">
      <c r="A21" s="5" t="s">
        <v>290</v>
      </c>
      <c r="B21" s="20" t="n">
        <v>-0.0015</v>
      </c>
    </row>
    <row r="22" customFormat="false" ht="15" hidden="false" customHeight="false" outlineLevel="0" collapsed="false">
      <c r="A22" s="5" t="s">
        <v>291</v>
      </c>
      <c r="B22" s="20" t="n">
        <v>0.4431</v>
      </c>
    </row>
    <row r="23" customFormat="false" ht="15" hidden="false" customHeight="false" outlineLevel="0" collapsed="false">
      <c r="A23" s="5" t="s">
        <v>292</v>
      </c>
      <c r="B23" s="20" t="n">
        <v>0.4111</v>
      </c>
    </row>
    <row r="25" customFormat="false" ht="15" hidden="false" customHeight="false" outlineLevel="0" collapsed="false">
      <c r="A25" s="4" t="s">
        <v>293</v>
      </c>
    </row>
    <row r="26" customFormat="false" ht="15" hidden="false" customHeight="false" outlineLevel="0" collapsed="false">
      <c r="A26" s="5" t="s">
        <v>294</v>
      </c>
      <c r="B26" s="16" t="n">
        <v>0.211</v>
      </c>
    </row>
    <row r="27" customFormat="false" ht="15" hidden="false" customHeight="false" outlineLevel="0" collapsed="false">
      <c r="A27" s="5" t="s">
        <v>295</v>
      </c>
      <c r="B27" s="14" t="n">
        <v>1367</v>
      </c>
      <c r="C27" s="14" t="n">
        <v>1365</v>
      </c>
    </row>
    <row r="28" customFormat="false" ht="15" hidden="false" customHeight="false" outlineLevel="0" collapsed="false">
      <c r="A28" s="5" t="s">
        <v>296</v>
      </c>
      <c r="D28" s="40" t="s">
        <v>297</v>
      </c>
    </row>
    <row r="30" customFormat="false" ht="15" hidden="false" customHeight="false" outlineLevel="0" collapsed="false">
      <c r="A30" s="4" t="s">
        <v>298</v>
      </c>
    </row>
    <row r="31" customFormat="false" ht="15" hidden="false" customHeight="false" outlineLevel="0" collapsed="false">
      <c r="A31" s="5" t="s">
        <v>299</v>
      </c>
      <c r="B31" s="14" t="n">
        <v>14</v>
      </c>
    </row>
    <row r="32" customFormat="false" ht="15" hidden="false" customHeight="false" outlineLevel="0" collapsed="false">
      <c r="A32" s="5" t="s">
        <v>300</v>
      </c>
      <c r="B32" s="39" t="n">
        <v>0.0093</v>
      </c>
    </row>
    <row r="33" customFormat="false" ht="15" hidden="false" customHeight="false" outlineLevel="0" collapsed="false">
      <c r="A33" s="5" t="s">
        <v>301</v>
      </c>
      <c r="B33" s="39" t="n">
        <v>0.0104</v>
      </c>
    </row>
    <row r="34" customFormat="false" ht="15" hidden="false" customHeight="false" outlineLevel="0" collapsed="false">
      <c r="A34" s="5" t="s">
        <v>302</v>
      </c>
      <c r="B34" s="39" t="n">
        <v>0.0024</v>
      </c>
    </row>
    <row r="35" customFormat="false" ht="15" hidden="false" customHeight="false" outlineLevel="0" collapsed="false">
      <c r="A35" s="5" t="s">
        <v>303</v>
      </c>
      <c r="B35" s="39" t="n">
        <v>-0.1093</v>
      </c>
    </row>
    <row r="36" customFormat="false" ht="15" hidden="false" customHeight="false" outlineLevel="0" collapsed="false">
      <c r="A36" s="5" t="s">
        <v>304</v>
      </c>
      <c r="B36" s="20" t="n">
        <v>0.429</v>
      </c>
      <c r="C36" s="20" t="n">
        <v>0.786</v>
      </c>
      <c r="D36" s="20" t="n">
        <v>1</v>
      </c>
    </row>
    <row r="37" customFormat="false" ht="15" hidden="false" customHeight="false" outlineLevel="0" collapsed="false">
      <c r="A37" s="5" t="s">
        <v>305</v>
      </c>
      <c r="B37" s="16" t="n">
        <v>0.618</v>
      </c>
    </row>
    <row r="38" customFormat="false" ht="15" hidden="false" customHeight="false" outlineLevel="0" collapsed="false">
      <c r="A38" s="5" t="s">
        <v>306</v>
      </c>
      <c r="B38" s="41" t="s">
        <v>307</v>
      </c>
      <c r="C38" s="41" t="s">
        <v>308</v>
      </c>
      <c r="D38" s="41" t="s">
        <v>308</v>
      </c>
    </row>
    <row r="39" customFormat="false" ht="15" hidden="false" customHeight="false" outlineLevel="0" collapsed="false">
      <c r="A39" s="4" t="s">
        <v>309</v>
      </c>
      <c r="B39" s="40" t="s">
        <v>310</v>
      </c>
    </row>
    <row r="41" customFormat="false" ht="15" hidden="false" customHeight="false" outlineLevel="0" collapsed="false">
      <c r="A41" s="4" t="s">
        <v>311</v>
      </c>
    </row>
    <row r="42" customFormat="false" ht="15" hidden="false" customHeight="false" outlineLevel="0" collapsed="false">
      <c r="A42" s="5" t="s">
        <v>312</v>
      </c>
      <c r="B42" s="14" t="n">
        <v>14</v>
      </c>
      <c r="C42" s="14" t="n">
        <v>237</v>
      </c>
    </row>
    <row r="43" customFormat="false" ht="15" hidden="false" customHeight="false" outlineLevel="0" collapsed="false">
      <c r="A43" s="5" t="s">
        <v>313</v>
      </c>
      <c r="B43" s="12" t="n">
        <v>10</v>
      </c>
      <c r="C43" s="16" t="n">
        <v>1.049</v>
      </c>
    </row>
    <row r="44" customFormat="false" ht="15" hidden="false" customHeight="false" outlineLevel="0" collapsed="false">
      <c r="A44" s="5" t="s">
        <v>314</v>
      </c>
      <c r="B44" s="39" t="n">
        <v>0.0049</v>
      </c>
      <c r="C44" s="40" t="s">
        <v>315</v>
      </c>
    </row>
    <row r="45" customFormat="false" ht="15" hidden="false" customHeight="false" outlineLevel="0" collapsed="false">
      <c r="A45" s="4" t="s">
        <v>316</v>
      </c>
      <c r="B45" s="40" t="s">
        <v>310</v>
      </c>
    </row>
    <row r="47" customFormat="false" ht="61.5" hidden="false" customHeight="true" outlineLevel="0" collapsed="false">
      <c r="A47" s="34" t="s">
        <v>317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318</v>
      </c>
    </row>
    <row r="2" customFormat="false" ht="15" hidden="false" customHeight="false" outlineLevel="0" collapsed="false">
      <c r="A2" s="2" t="s">
        <v>319</v>
      </c>
    </row>
    <row r="4" customFormat="false" ht="15" hidden="false" customHeight="false" outlineLevel="0" collapsed="false">
      <c r="A4" s="4" t="s">
        <v>320</v>
      </c>
    </row>
    <row r="5" customFormat="false" ht="15" hidden="false" customHeight="false" outlineLevel="0" collapsed="false">
      <c r="B5" s="19" t="s">
        <v>321</v>
      </c>
      <c r="C5" s="19" t="s">
        <v>322</v>
      </c>
      <c r="D5" s="19" t="s">
        <v>323</v>
      </c>
      <c r="E5" s="19" t="s">
        <v>324</v>
      </c>
    </row>
    <row r="6" customFormat="false" ht="15" hidden="false" customHeight="false" outlineLevel="0" collapsed="false">
      <c r="A6" s="5" t="s">
        <v>325</v>
      </c>
      <c r="B6" s="12" t="n">
        <v>22.7</v>
      </c>
      <c r="C6" s="12" t="n">
        <v>23.59</v>
      </c>
      <c r="D6" s="12" t="n">
        <v>24.63</v>
      </c>
      <c r="E6" s="12" t="n">
        <v>25.87</v>
      </c>
    </row>
    <row r="7" customFormat="false" ht="15" hidden="false" customHeight="false" outlineLevel="0" collapsed="false">
      <c r="A7" s="5" t="s">
        <v>326</v>
      </c>
      <c r="B7" s="12" t="n">
        <v>21.23</v>
      </c>
      <c r="C7" s="12" t="n">
        <v>21.95</v>
      </c>
      <c r="D7" s="12" t="n">
        <v>22.79</v>
      </c>
      <c r="E7" s="12" t="n">
        <v>23.77</v>
      </c>
    </row>
    <row r="8" customFormat="false" ht="15" hidden="false" customHeight="false" outlineLevel="0" collapsed="false">
      <c r="A8" s="4" t="s">
        <v>327</v>
      </c>
      <c r="B8" s="12" t="n">
        <v>19.95</v>
      </c>
      <c r="C8" s="12" t="n">
        <v>20.55</v>
      </c>
      <c r="D8" s="12" t="n">
        <v>21.23</v>
      </c>
      <c r="E8" s="12" t="n">
        <v>22.02</v>
      </c>
    </row>
    <row r="9" customFormat="false" ht="15" hidden="false" customHeight="false" outlineLevel="0" collapsed="false">
      <c r="A9" s="5" t="s">
        <v>328</v>
      </c>
      <c r="B9" s="12" t="n">
        <v>18.84</v>
      </c>
      <c r="C9" s="12" t="n">
        <v>19.33</v>
      </c>
      <c r="D9" s="12" t="n">
        <v>19.9</v>
      </c>
      <c r="E9" s="12" t="n">
        <v>20.54</v>
      </c>
    </row>
    <row r="10" customFormat="false" ht="15" hidden="false" customHeight="false" outlineLevel="0" collapsed="false">
      <c r="A10" s="5" t="s">
        <v>329</v>
      </c>
      <c r="B10" s="12" t="n">
        <v>17.86</v>
      </c>
      <c r="C10" s="12" t="n">
        <v>18.27</v>
      </c>
      <c r="D10" s="12" t="n">
        <v>18.74</v>
      </c>
      <c r="E10" s="12" t="n">
        <v>19.27</v>
      </c>
    </row>
    <row r="11" customFormat="false" ht="15" hidden="false" customHeight="false" outlineLevel="0" collapsed="false">
      <c r="A11" s="5" t="s">
        <v>330</v>
      </c>
      <c r="B11" s="12" t="n">
        <v>16.98</v>
      </c>
      <c r="C11" s="12" t="n">
        <v>17.33</v>
      </c>
      <c r="D11" s="12" t="n">
        <v>17.73</v>
      </c>
      <c r="E11" s="12" t="n">
        <v>18.17</v>
      </c>
    </row>
    <row r="13" customFormat="false" ht="15" hidden="false" customHeight="false" outlineLevel="0" collapsed="false">
      <c r="A13" s="4" t="s">
        <v>331</v>
      </c>
    </row>
    <row r="14" customFormat="false" ht="15" hidden="false" customHeight="false" outlineLevel="0" collapsed="false">
      <c r="B14" s="19" t="s">
        <v>332</v>
      </c>
      <c r="C14" s="19" t="s">
        <v>333</v>
      </c>
      <c r="D14" s="19" t="s">
        <v>334</v>
      </c>
      <c r="E14" s="19" t="s">
        <v>335</v>
      </c>
      <c r="F14" s="19" t="s">
        <v>336</v>
      </c>
    </row>
    <row r="15" customFormat="false" ht="15" hidden="false" customHeight="false" outlineLevel="0" collapsed="false">
      <c r="A15" s="5" t="s">
        <v>325</v>
      </c>
      <c r="B15" s="12" t="n">
        <v>22.78</v>
      </c>
      <c r="C15" s="12" t="n">
        <v>24.63</v>
      </c>
      <c r="D15" s="12" t="n">
        <v>26.48</v>
      </c>
      <c r="E15" s="12" t="n">
        <v>29.25</v>
      </c>
      <c r="F15" s="12" t="n">
        <v>32.02</v>
      </c>
    </row>
    <row r="16" customFormat="false" ht="15" hidden="false" customHeight="false" outlineLevel="0" collapsed="false">
      <c r="A16" s="5" t="s">
        <v>326</v>
      </c>
      <c r="B16" s="12" t="n">
        <v>21.13</v>
      </c>
      <c r="C16" s="12" t="n">
        <v>22.79</v>
      </c>
      <c r="D16" s="12" t="n">
        <v>24.45</v>
      </c>
      <c r="E16" s="12" t="n">
        <v>26.93</v>
      </c>
      <c r="F16" s="12" t="n">
        <v>29.42</v>
      </c>
    </row>
    <row r="17" customFormat="false" ht="15" hidden="false" customHeight="false" outlineLevel="0" collapsed="false">
      <c r="A17" s="4" t="s">
        <v>327</v>
      </c>
      <c r="B17" s="12" t="n">
        <v>19.73</v>
      </c>
      <c r="C17" s="42" t="n">
        <v>21.23</v>
      </c>
      <c r="D17" s="12" t="n">
        <v>22.73</v>
      </c>
      <c r="E17" s="12" t="n">
        <v>24.97</v>
      </c>
      <c r="F17" s="12" t="n">
        <v>27.22</v>
      </c>
    </row>
    <row r="18" customFormat="false" ht="15" hidden="false" customHeight="false" outlineLevel="0" collapsed="false">
      <c r="A18" s="5" t="s">
        <v>328</v>
      </c>
      <c r="B18" s="12" t="n">
        <v>18.54</v>
      </c>
      <c r="C18" s="12" t="n">
        <v>19.9</v>
      </c>
      <c r="D18" s="12" t="n">
        <v>21.26</v>
      </c>
      <c r="E18" s="12" t="n">
        <v>23.3</v>
      </c>
      <c r="F18" s="12" t="n">
        <v>25.34</v>
      </c>
    </row>
    <row r="19" customFormat="false" ht="15" hidden="false" customHeight="false" outlineLevel="0" collapsed="false">
      <c r="A19" s="5" t="s">
        <v>329</v>
      </c>
      <c r="B19" s="12" t="n">
        <v>17.5</v>
      </c>
      <c r="C19" s="12" t="n">
        <v>18.74</v>
      </c>
      <c r="D19" s="12" t="n">
        <v>19.98</v>
      </c>
      <c r="E19" s="43" t="n">
        <v>21.84</v>
      </c>
      <c r="F19" s="12" t="n">
        <v>23.71</v>
      </c>
    </row>
    <row r="20" customFormat="false" ht="15" hidden="false" customHeight="false" outlineLevel="0" collapsed="false">
      <c r="A20" s="5" t="s">
        <v>330</v>
      </c>
      <c r="B20" s="12" t="n">
        <v>16.59</v>
      </c>
      <c r="C20" s="12" t="n">
        <v>17.73</v>
      </c>
      <c r="D20" s="12" t="n">
        <v>18.87</v>
      </c>
      <c r="E20" s="12" t="n">
        <v>20.58</v>
      </c>
      <c r="F20" s="12" t="n">
        <v>22.29</v>
      </c>
    </row>
    <row r="22" customFormat="false" ht="15" hidden="false" customHeight="false" outlineLevel="0" collapsed="false">
      <c r="A22" s="13" t="s">
        <v>337</v>
      </c>
    </row>
    <row r="24" customFormat="false" ht="15" hidden="false" customHeight="false" outlineLevel="0" collapsed="false">
      <c r="A24" s="4" t="s">
        <v>338</v>
      </c>
    </row>
    <row r="25" customFormat="false" ht="15" hidden="false" customHeight="false" outlineLevel="0" collapsed="false">
      <c r="B25" s="19" t="s">
        <v>53</v>
      </c>
      <c r="C25" s="19" t="s">
        <v>339</v>
      </c>
      <c r="D25" s="19" t="s">
        <v>340</v>
      </c>
    </row>
    <row r="26" customFormat="false" ht="15" hidden="false" customHeight="false" outlineLevel="0" collapsed="false">
      <c r="B26" s="12" t="n">
        <v>0.8</v>
      </c>
      <c r="C26" s="44" t="n">
        <f aca="false">Assumptions!$B$11+B26*Assumptions!$B$12+Assumptions!$B$15</f>
        <v>0.09596</v>
      </c>
      <c r="D26" s="12" t="n">
        <v>24.52</v>
      </c>
    </row>
    <row r="27" customFormat="false" ht="15" hidden="false" customHeight="false" outlineLevel="0" collapsed="false">
      <c r="B27" s="12" t="n">
        <v>0.9</v>
      </c>
      <c r="C27" s="44" t="n">
        <f aca="false">Assumptions!$B$11+B27*Assumptions!$B$12+Assumptions!$B$15</f>
        <v>0.10083</v>
      </c>
      <c r="D27" s="12" t="n">
        <v>22.74</v>
      </c>
    </row>
    <row r="28" customFormat="false" ht="15" hidden="false" customHeight="false" outlineLevel="0" collapsed="false">
      <c r="B28" s="12" t="n">
        <v>1</v>
      </c>
      <c r="C28" s="44" t="n">
        <f aca="false">Assumptions!$B$11+B28*Assumptions!$B$12+Assumptions!$B$15</f>
        <v>0.1057</v>
      </c>
      <c r="D28" s="12" t="n">
        <v>21.23</v>
      </c>
    </row>
    <row r="29" customFormat="false" ht="15" hidden="false" customHeight="false" outlineLevel="0" collapsed="false">
      <c r="B29" s="12" t="n">
        <v>1.1</v>
      </c>
      <c r="C29" s="44" t="n">
        <f aca="false">Assumptions!$B$11+B29*Assumptions!$B$12+Assumptions!$B$15</f>
        <v>0.11057</v>
      </c>
      <c r="D29" s="12" t="n">
        <v>19.93</v>
      </c>
    </row>
    <row r="30" customFormat="false" ht="15" hidden="false" customHeight="false" outlineLevel="0" collapsed="false">
      <c r="B30" s="12" t="n">
        <v>1.2</v>
      </c>
      <c r="C30" s="44" t="n">
        <f aca="false">Assumptions!$B$11+B30*Assumptions!$B$12+Assumptions!$B$15</f>
        <v>0.11544</v>
      </c>
      <c r="D30" s="12" t="n">
        <v>18.8</v>
      </c>
    </row>
    <row r="31" customFormat="false" ht="15" hidden="false" customHeight="false" outlineLevel="0" collapsed="false">
      <c r="B31" s="12" t="n">
        <v>1.3</v>
      </c>
      <c r="C31" s="44" t="n">
        <f aca="false">Assumptions!$B$11+B31*Assumptions!$B$12+Assumptions!$B$15</f>
        <v>0.12031</v>
      </c>
      <c r="D31" s="12" t="n">
        <v>17.8</v>
      </c>
    </row>
    <row r="33" customFormat="false" ht="15" hidden="false" customHeight="false" outlineLevel="0" collapsed="false">
      <c r="A33" s="4" t="s">
        <v>341</v>
      </c>
    </row>
    <row r="34" customFormat="false" ht="15" hidden="false" customHeight="false" outlineLevel="0" collapsed="false">
      <c r="B34" s="19" t="s">
        <v>342</v>
      </c>
    </row>
    <row r="35" customFormat="false" ht="15" hidden="false" customHeight="false" outlineLevel="0" collapsed="false">
      <c r="A35" s="5" t="s">
        <v>343</v>
      </c>
      <c r="B35" s="45" t="n">
        <v>0.21</v>
      </c>
    </row>
    <row r="36" customFormat="false" ht="15" hidden="false" customHeight="false" outlineLevel="0" collapsed="false">
      <c r="A36" s="5" t="s">
        <v>344</v>
      </c>
      <c r="B36" s="45" t="n">
        <v>-0.21</v>
      </c>
    </row>
    <row r="37" customFormat="false" ht="15" hidden="false" customHeight="false" outlineLevel="0" collapsed="false">
      <c r="A37" s="5" t="s">
        <v>345</v>
      </c>
      <c r="B37" s="45" t="n">
        <v>0.27</v>
      </c>
    </row>
    <row r="38" customFormat="false" ht="15" hidden="false" customHeight="false" outlineLevel="0" collapsed="false">
      <c r="A38" s="5" t="s">
        <v>346</v>
      </c>
      <c r="B38" s="45" t="n">
        <v>-0.12</v>
      </c>
    </row>
    <row r="39" customFormat="false" ht="15" hidden="false" customHeight="false" outlineLevel="0" collapsed="false">
      <c r="A39" s="5" t="s">
        <v>347</v>
      </c>
      <c r="B39" s="45" t="n">
        <v>-0.27</v>
      </c>
    </row>
    <row r="40" customFormat="false" ht="15" hidden="false" customHeight="false" outlineLevel="0" collapsed="false">
      <c r="A40" s="5" t="s">
        <v>348</v>
      </c>
      <c r="B40" s="45" t="n">
        <v>-0.26</v>
      </c>
    </row>
    <row r="41" customFormat="false" ht="15" hidden="false" customHeight="false" outlineLevel="0" collapsed="false">
      <c r="A41" s="5" t="s">
        <v>349</v>
      </c>
      <c r="B41" s="45" t="n">
        <v>-0.17</v>
      </c>
    </row>
    <row r="42" customFormat="false" ht="15" hidden="false" customHeight="false" outlineLevel="0" collapsed="false">
      <c r="A42" s="5" t="s">
        <v>350</v>
      </c>
      <c r="B42" s="45" t="n">
        <v>-0.27</v>
      </c>
    </row>
    <row r="43" customFormat="false" ht="15" hidden="false" customHeight="false" outlineLevel="0" collapsed="false">
      <c r="A43" s="5" t="s">
        <v>351</v>
      </c>
      <c r="B43" s="45" t="n">
        <v>-1.5</v>
      </c>
    </row>
    <row r="44" customFormat="false" ht="15" hidden="false" customHeight="false" outlineLevel="0" collapsed="false">
      <c r="A44" s="5" t="s">
        <v>352</v>
      </c>
      <c r="B44" s="45" t="n">
        <v>3.74</v>
      </c>
    </row>
    <row r="45" customFormat="false" ht="15" hidden="false" customHeight="false" outlineLevel="0" collapsed="false">
      <c r="A45" s="5" t="s">
        <v>353</v>
      </c>
      <c r="B45" s="45" t="n">
        <v>3.4</v>
      </c>
    </row>
    <row r="46" customFormat="false" ht="15" hidden="false" customHeight="false" outlineLevel="0" collapsed="false">
      <c r="A46" s="5" t="s">
        <v>354</v>
      </c>
      <c r="B46" s="45" t="n">
        <v>-3.5</v>
      </c>
    </row>
    <row r="48" customFormat="false" ht="43.5" hidden="false" customHeight="true" outlineLevel="0" collapsed="false">
      <c r="A48" s="34" t="s">
        <v>355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356</v>
      </c>
    </row>
    <row r="2" customFormat="false" ht="15" hidden="false" customHeight="false" outlineLevel="0" collapsed="false">
      <c r="A2" s="2" t="s">
        <v>357</v>
      </c>
    </row>
    <row r="4" customFormat="false" ht="15" hidden="false" customHeight="false" outlineLevel="0" collapsed="false">
      <c r="A4" s="4" t="s">
        <v>358</v>
      </c>
    </row>
    <row r="5" customFormat="false" ht="15" hidden="false" customHeight="false" outlineLevel="0" collapsed="false">
      <c r="A5" s="5" t="s">
        <v>195</v>
      </c>
      <c r="B5" s="29" t="n">
        <f aca="false">'Balance Sheet'!J17/Assumptions!$B$6</f>
        <v>6.57075991189427</v>
      </c>
    </row>
    <row r="6" customFormat="false" ht="15" hidden="false" customHeight="false" outlineLevel="0" collapsed="false">
      <c r="A6" s="5" t="s">
        <v>359</v>
      </c>
      <c r="B6" s="29" t="n">
        <f aca="false">'Balance Sheet'!D17/Assumptions!$B$6</f>
        <v>7.17703744493392</v>
      </c>
    </row>
    <row r="7" customFormat="false" ht="27.75" hidden="false" customHeight="true" outlineLevel="0" collapsed="false">
      <c r="A7" s="34" t="s">
        <v>360</v>
      </c>
    </row>
    <row r="9" customFormat="false" ht="15" hidden="false" customHeight="false" outlineLevel="0" collapsed="false">
      <c r="B9" s="19" t="s">
        <v>223</v>
      </c>
      <c r="C9" s="19" t="s">
        <v>224</v>
      </c>
      <c r="D9" s="19" t="s">
        <v>112</v>
      </c>
      <c r="E9" s="19" t="s">
        <v>63</v>
      </c>
      <c r="F9" s="19" t="s">
        <v>64</v>
      </c>
      <c r="G9" s="19" t="s">
        <v>65</v>
      </c>
      <c r="H9" s="19" t="s">
        <v>66</v>
      </c>
      <c r="I9" s="19" t="s">
        <v>67</v>
      </c>
    </row>
    <row r="10" customFormat="false" ht="15" hidden="false" customHeight="false" outlineLevel="0" collapsed="false">
      <c r="A10" s="5" t="s">
        <v>227</v>
      </c>
      <c r="B10" s="27" t="n">
        <f aca="false">'Income Statement'!B16</f>
        <v>1.284</v>
      </c>
      <c r="C10" s="27" t="n">
        <f aca="false">'Income Statement'!C16</f>
        <v>1.49027533039648</v>
      </c>
      <c r="D10" s="27" t="n">
        <f aca="false">'Income Statement'!D16</f>
        <v>1.74587004405286</v>
      </c>
      <c r="E10" s="27" t="n">
        <f aca="false">'Income Statement'!E16</f>
        <v>1.83627455829267</v>
      </c>
      <c r="F10" s="27" t="n">
        <f aca="false">'Income Statement'!F16</f>
        <v>1.94928310675975</v>
      </c>
      <c r="G10" s="27" t="n">
        <f aca="false">'Income Statement'!G16</f>
        <v>2.16100525949309</v>
      </c>
      <c r="H10" s="27" t="n">
        <f aca="false">'Income Statement'!H16</f>
        <v>2.38377021182125</v>
      </c>
      <c r="I10" s="27" t="n">
        <f aca="false">'Income Statement'!I16</f>
        <v>2.62346798628665</v>
      </c>
    </row>
    <row r="11" customFormat="false" ht="15" hidden="false" customHeight="false" outlineLevel="0" collapsed="false">
      <c r="A11" s="5" t="s">
        <v>133</v>
      </c>
      <c r="B11" s="27" t="n">
        <f aca="false">'Income Statement'!B17</f>
        <v>0.715</v>
      </c>
      <c r="C11" s="27" t="n">
        <f aca="false">'Income Statement'!C17</f>
        <v>0.834</v>
      </c>
      <c r="D11" s="27" t="n">
        <f aca="false">'Income Statement'!D17</f>
        <v>0.9705</v>
      </c>
      <c r="E11" s="27" t="n">
        <f aca="false">'Income Statement'!E17</f>
        <v>0.918137279146333</v>
      </c>
      <c r="F11" s="27" t="n">
        <f aca="false">'Income Statement'!F17</f>
        <v>0.974641553379876</v>
      </c>
      <c r="G11" s="27" t="n">
        <f aca="false">'Income Statement'!G17</f>
        <v>1.10211268234148</v>
      </c>
      <c r="H11" s="27" t="n">
        <f aca="false">'Income Statement'!H17</f>
        <v>1.23956051014705</v>
      </c>
      <c r="I11" s="27" t="n">
        <f aca="false">'Income Statement'!I17</f>
        <v>1.39043803273192</v>
      </c>
    </row>
    <row r="12" customFormat="false" ht="15" hidden="false" customHeight="false" outlineLevel="0" collapsed="false">
      <c r="A12" s="5" t="s">
        <v>248</v>
      </c>
      <c r="B12" s="27" t="n">
        <f aca="false">'Balance Sheet'!B19</f>
        <v>5.60958149779736</v>
      </c>
      <c r="C12" s="27" t="n">
        <f aca="false">'Balance Sheet'!C19</f>
        <v>6.21998898678414</v>
      </c>
      <c r="D12" s="27" t="n">
        <f aca="false">'Balance Sheet'!D19</f>
        <v>7.17703744493392</v>
      </c>
      <c r="E12" s="27" t="n">
        <f aca="false">'Balance Sheet'!E19</f>
        <v>8.09517472408025</v>
      </c>
      <c r="F12" s="27" t="n">
        <f aca="false">'Balance Sheet'!F19</f>
        <v>9.06981627746013</v>
      </c>
      <c r="G12" s="27" t="n">
        <f aca="false">'Balance Sheet'!G19</f>
        <v>10.1287088546117</v>
      </c>
      <c r="H12" s="27" t="n">
        <f aca="false">'Balance Sheet'!H19</f>
        <v>11.2729185562859</v>
      </c>
      <c r="I12" s="27" t="n">
        <f aca="false">'Balance Sheet'!I19</f>
        <v>12.5059485098407</v>
      </c>
    </row>
    <row r="13" customFormat="false" ht="15" hidden="false" customHeight="false" outlineLevel="0" collapsed="false">
      <c r="A13" s="5" t="s">
        <v>361</v>
      </c>
      <c r="B13" s="10" t="n">
        <f aca="false">Assumptions!$B$5/'Income Statement'!B16</f>
        <v>16.9470404984424</v>
      </c>
      <c r="C13" s="10" t="n">
        <f aca="false">Assumptions!$B$5/'Income Statement'!C16</f>
        <v>14.6013287317928</v>
      </c>
      <c r="D13" s="10" t="n">
        <f aca="false">Assumptions!$B$5/'Income Statement'!D16</f>
        <v>12.4636997319035</v>
      </c>
      <c r="E13" s="10" t="n">
        <f aca="false">Assumptions!$B$5/'Income Statement'!E16</f>
        <v>11.8500797725107</v>
      </c>
      <c r="F13" s="10" t="n">
        <f aca="false">Assumptions!$B$5/'Income Statement'!F16</f>
        <v>11.1630783258421</v>
      </c>
      <c r="G13" s="10" t="n">
        <f aca="false">Assumptions!$B$5/'Income Statement'!G16</f>
        <v>10.0693878020011</v>
      </c>
      <c r="H13" s="10" t="n">
        <f aca="false">Assumptions!$B$5/'Income Statement'!H16</f>
        <v>9.12839664330518</v>
      </c>
      <c r="I13" s="10" t="n">
        <f aca="false">Assumptions!$B$5/'Income Statement'!I16</f>
        <v>8.29436460202432</v>
      </c>
    </row>
    <row r="14" customFormat="false" ht="15" hidden="false" customHeight="false" outlineLevel="0" collapsed="false">
      <c r="A14" s="5" t="s">
        <v>362</v>
      </c>
      <c r="B14" s="10" t="n">
        <f aca="false">Assumptions!$B$5/'Balance Sheet'!B19</f>
        <v>3.87907725532542</v>
      </c>
      <c r="C14" s="10" t="n">
        <f aca="false">Assumptions!$B$5/'Balance Sheet'!C19</f>
        <v>3.49839847726971</v>
      </c>
      <c r="D14" s="10" t="n">
        <f aca="false">Assumptions!$B$5/'Balance Sheet'!D19</f>
        <v>3.03189166378947</v>
      </c>
      <c r="E14" s="10" t="n">
        <f aca="false">Assumptions!$B$5/'Balance Sheet'!E19</f>
        <v>2.6880210423713</v>
      </c>
      <c r="F14" s="10" t="n">
        <f aca="false">Assumptions!$B$5/'Balance Sheet'!F19</f>
        <v>2.39916656901606</v>
      </c>
      <c r="G14" s="10" t="n">
        <f aca="false">Assumptions!$B$5/'Balance Sheet'!G19</f>
        <v>2.14834884804615</v>
      </c>
      <c r="H14" s="10" t="n">
        <f aca="false">Assumptions!$B$5/'Balance Sheet'!H19</f>
        <v>1.93028982613081</v>
      </c>
      <c r="I14" s="10" t="n">
        <f aca="false">Assumptions!$B$5/'Balance Sheet'!I19</f>
        <v>1.739971980764</v>
      </c>
    </row>
    <row r="15" customFormat="false" ht="15" hidden="false" customHeight="false" outlineLevel="0" collapsed="false">
      <c r="A15" s="5" t="s">
        <v>363</v>
      </c>
      <c r="B15" s="9" t="n">
        <f aca="false">'Income Statement'!B17/Assumptions!$B$5</f>
        <v>0.0328584558823529</v>
      </c>
      <c r="C15" s="9" t="n">
        <f aca="false">'Income Statement'!C17/Assumptions!$B$5</f>
        <v>0.0383272058823529</v>
      </c>
      <c r="D15" s="9" t="n">
        <f aca="false">'Income Statement'!D17/Assumptions!$B$5</f>
        <v>0.0446001838235294</v>
      </c>
      <c r="E15" s="9" t="n">
        <f aca="false">'Income Statement'!E17/Assumptions!$B$5</f>
        <v>0.0421938087842984</v>
      </c>
      <c r="F15" s="9" t="n">
        <f aca="false">'Income Statement'!F17/Assumptions!$B$5</f>
        <v>0.0447905125634134</v>
      </c>
      <c r="G15" s="9" t="n">
        <f aca="false">'Income Statement'!G17/Assumptions!$B$5</f>
        <v>0.0506485607693693</v>
      </c>
      <c r="H15" s="9" t="n">
        <f aca="false">'Income Statement'!H17/Assumptions!$B$5</f>
        <v>0.0569650969736697</v>
      </c>
      <c r="I15" s="9" t="n">
        <f aca="false">'Income Statement'!I17/Assumptions!$B$5</f>
        <v>0.0638988066512833</v>
      </c>
    </row>
    <row r="16" customFormat="false" ht="15" hidden="false" customHeight="false" outlineLevel="0" collapsed="false">
      <c r="A16" s="5" t="s">
        <v>364</v>
      </c>
      <c r="B16" s="9" t="n">
        <f aca="false">'Income Statement'!B23</f>
        <v>0.556853582554517</v>
      </c>
      <c r="C16" s="9" t="n">
        <f aca="false">'Income Statement'!C23</f>
        <v>0.559628132459336</v>
      </c>
      <c r="D16" s="9" t="n">
        <f aca="false">'Income Statement'!D23</f>
        <v>0.55588329916417</v>
      </c>
      <c r="E16" s="9" t="n">
        <f aca="false">'Income Statement'!E23</f>
        <v>0.5</v>
      </c>
      <c r="F16" s="9" t="n">
        <f aca="false">'Income Statement'!F23</f>
        <v>0.5</v>
      </c>
      <c r="G16" s="9" t="n">
        <f aca="false">'Income Statement'!G23</f>
        <v>0.51</v>
      </c>
      <c r="H16" s="9" t="n">
        <f aca="false">'Income Statement'!H23</f>
        <v>0.52</v>
      </c>
      <c r="I16" s="9" t="n">
        <f aca="false">'Income Statement'!I23</f>
        <v>0.53</v>
      </c>
    </row>
    <row r="17" customFormat="false" ht="15" hidden="false" customHeight="false" outlineLevel="0" collapsed="false">
      <c r="A17" s="5" t="s">
        <v>365</v>
      </c>
      <c r="B17" s="9" t="n">
        <f aca="false">'Income Statement'!B15/'Balance Sheet'!B17</f>
        <v>0.228894080691077</v>
      </c>
      <c r="C17" s="9" t="n">
        <f aca="false">'Income Statement'!C15/'Balance Sheet'!C17</f>
        <v>0.239594528794653</v>
      </c>
      <c r="D17" s="9" t="n">
        <f aca="false">'Income Statement'!D15/'Balance Sheet'!D17</f>
        <v>0.243257758852189</v>
      </c>
      <c r="E17" s="9" t="n">
        <f aca="false">'Income Statement'!E15/'Balance Sheet'!E17</f>
        <v>0.22683569173997</v>
      </c>
      <c r="F17" s="9" t="n">
        <f aca="false">'Income Statement'!F15/'Balance Sheet'!F17</f>
        <v>0.21491980070247</v>
      </c>
      <c r="G17" s="9" t="n">
        <f aca="false">'Income Statement'!G15/'Balance Sheet'!G17</f>
        <v>0.213354465066804</v>
      </c>
      <c r="H17" s="9" t="n">
        <f aca="false">'Income Statement'!H15/'Balance Sheet'!H17</f>
        <v>0.211459898332365</v>
      </c>
      <c r="I17" s="9" t="n">
        <f aca="false">'Income Statement'!I15/'Balance Sheet'!I17</f>
        <v>0.209777609768847</v>
      </c>
    </row>
    <row r="18" customFormat="false" ht="15" hidden="false" customHeight="false" outlineLevel="0" collapsed="false">
      <c r="A18" s="5" t="s">
        <v>366</v>
      </c>
      <c r="B18" s="38" t="n">
        <f aca="false">'Income Statement'!B20</f>
        <v>0.045</v>
      </c>
      <c r="C18" s="38" t="n">
        <f aca="false">'Income Statement'!C20</f>
        <v>0.0435</v>
      </c>
      <c r="D18" s="38" t="n">
        <f aca="false">'Income Statement'!D20</f>
        <v>0.0411</v>
      </c>
      <c r="E18" s="38" t="n">
        <f aca="false">'Income Statement'!E20</f>
        <v>0.039</v>
      </c>
      <c r="F18" s="38" t="n">
        <f aca="false">'Income Statement'!F20</f>
        <v>0.0382</v>
      </c>
      <c r="G18" s="38" t="n">
        <f aca="false">'Income Statement'!G20</f>
        <v>0.0376</v>
      </c>
      <c r="H18" s="38" t="n">
        <f aca="false">'Income Statement'!H20</f>
        <v>0.0372</v>
      </c>
      <c r="I18" s="38" t="n">
        <f aca="false">'Income Statement'!I20</f>
        <v>0.037</v>
      </c>
    </row>
    <row r="19" customFormat="false" ht="15" hidden="false" customHeight="false" outlineLevel="0" collapsed="false">
      <c r="A19" s="5" t="s">
        <v>367</v>
      </c>
      <c r="B19" s="9" t="n">
        <f aca="false">'Income Statement'!B21</f>
        <v>0.329352270281902</v>
      </c>
      <c r="C19" s="9" t="n">
        <f aca="false">'Income Statement'!C21</f>
        <v>0.295805116629044</v>
      </c>
      <c r="D19" s="9" t="n">
        <f aca="false">'Income Statement'!D21</f>
        <v>0.286492197659298</v>
      </c>
      <c r="E19" s="9" t="n">
        <f aca="false">'Income Statement'!E21</f>
        <v>0.294</v>
      </c>
      <c r="F19" s="9" t="n">
        <f aca="false">'Income Statement'!F21</f>
        <v>0.29</v>
      </c>
      <c r="G19" s="9" t="n">
        <f aca="false">'Income Statement'!G21</f>
        <v>0.285</v>
      </c>
      <c r="H19" s="9" t="n">
        <f aca="false">'Income Statement'!H21</f>
        <v>0.28</v>
      </c>
      <c r="I19" s="9" t="n">
        <f aca="false">'Income Statement'!I21</f>
        <v>0.275</v>
      </c>
    </row>
    <row r="20" customFormat="false" ht="15" hidden="false" customHeight="false" outlineLevel="0" collapsed="false">
      <c r="A20" s="5" t="s">
        <v>368</v>
      </c>
      <c r="B20" s="9" t="n">
        <f aca="false">'Income Statement'!B22</f>
        <v>0.0403874269005848</v>
      </c>
      <c r="C20" s="9" t="n">
        <f aca="false">'Income Statement'!C22</f>
        <v>0.111531741409435</v>
      </c>
      <c r="D20" s="9" t="n">
        <f aca="false">'Income Statement'!D22</f>
        <v>0.127268238489075</v>
      </c>
      <c r="E20" s="9" t="n">
        <f aca="false">'Income Statement'!E22</f>
        <v>0.13</v>
      </c>
      <c r="F20" s="9" t="n">
        <f aca="false">'Income Statement'!F22</f>
        <v>0.16</v>
      </c>
      <c r="G20" s="9" t="n">
        <f aca="false">'Income Statement'!G22</f>
        <v>0.16</v>
      </c>
      <c r="H20" s="9" t="n">
        <f aca="false">'Income Statement'!H22</f>
        <v>0.16</v>
      </c>
      <c r="I20" s="9" t="n">
        <f aca="false">'Income Statement'!I22</f>
        <v>0.16</v>
      </c>
    </row>
    <row r="21" customFormat="false" ht="15" hidden="false" customHeight="false" outlineLevel="0" collapsed="false">
      <c r="A21" s="5" t="s">
        <v>369</v>
      </c>
      <c r="B21" s="38" t="n">
        <f aca="false">'Balance Sheet'!B24</f>
        <v>0.1223</v>
      </c>
      <c r="C21" s="38" t="n">
        <f aca="false">'Balance Sheet'!C24</f>
        <v>0.1207</v>
      </c>
      <c r="D21" s="38" t="n">
        <f aca="false">'Balance Sheet'!D24</f>
        <v>0.1202</v>
      </c>
      <c r="E21" s="38" t="n">
        <f aca="false">'Balance Sheet'!E24</f>
        <v>0.123256776065314</v>
      </c>
      <c r="F21" s="38" t="n">
        <f aca="false">'Balance Sheet'!F24</f>
        <v>0.125778968926476</v>
      </c>
      <c r="G21" s="38" t="n">
        <f aca="false">'Balance Sheet'!G24</f>
        <v>0.128673450224408</v>
      </c>
      <c r="H21" s="38" t="n">
        <f aca="false">'Balance Sheet'!H24</f>
        <v>0.132011634369356</v>
      </c>
      <c r="I21" s="38" t="n">
        <f aca="false">'Balance Sheet'!I24</f>
        <v>0.135909349483697</v>
      </c>
    </row>
    <row r="22" customFormat="false" ht="15" hidden="false" customHeight="false" outlineLevel="0" collapsed="false">
      <c r="A22" s="5" t="s">
        <v>370</v>
      </c>
      <c r="B22" s="9" t="n">
        <f aca="false">'Balance Sheet'!B22/'Balance Sheet'!B4</f>
        <v>0.716761656821918</v>
      </c>
      <c r="C22" s="9" t="n">
        <f aca="false">'Balance Sheet'!C22/'Balance Sheet'!C4</f>
        <v>0.708171395688549</v>
      </c>
      <c r="D22" s="9" t="n">
        <f aca="false">'Balance Sheet'!D22/'Balance Sheet'!D4</f>
        <v>0.654087400668915</v>
      </c>
      <c r="E22" s="9" t="n">
        <f aca="false">'Balance Sheet'!E22/'Balance Sheet'!E4</f>
        <v>0.649943381897809</v>
      </c>
      <c r="F22" s="9" t="n">
        <f aca="false">'Balance Sheet'!F22/'Balance Sheet'!F4</f>
        <v>0.647815196368508</v>
      </c>
      <c r="G22" s="9" t="n">
        <f aca="false">'Balance Sheet'!G22/'Balance Sheet'!G4</f>
        <v>0.64621197226815</v>
      </c>
      <c r="H22" s="9" t="n">
        <f aca="false">'Balance Sheet'!H22/'Balance Sheet'!H4</f>
        <v>0.64511479032604</v>
      </c>
      <c r="I22" s="9" t="n">
        <f aca="false">'Balance Sheet'!I22/'Balance Sheet'!I4</f>
        <v>0.644500720180958</v>
      </c>
    </row>
    <row r="23" customFormat="false" ht="15" hidden="false" customHeight="false" outlineLevel="0" collapsed="false">
      <c r="A23" s="5" t="s">
        <v>371</v>
      </c>
      <c r="B23" s="9" t="n">
        <f aca="false">'Balance Sheet'!B6/'Balance Sheet'!B8</f>
        <v>0.732184354447465</v>
      </c>
      <c r="C23" s="9" t="n">
        <f aca="false">'Balance Sheet'!C6/'Balance Sheet'!C8</f>
        <v>0.780681538250992</v>
      </c>
      <c r="D23" s="9" t="n">
        <f aca="false">'Balance Sheet'!D6/'Balance Sheet'!D8</f>
        <v>0.791703041519712</v>
      </c>
      <c r="E23" s="9" t="n">
        <f aca="false">'Balance Sheet'!E6/'Balance Sheet'!E8</f>
        <v>0.791703041519712</v>
      </c>
      <c r="F23" s="9" t="n">
        <f aca="false">'Balance Sheet'!F6/'Balance Sheet'!F8</f>
        <v>0.791703041519712</v>
      </c>
      <c r="G23" s="9" t="n">
        <f aca="false">'Balance Sheet'!G6/'Balance Sheet'!G8</f>
        <v>0.791703041519712</v>
      </c>
      <c r="H23" s="9" t="n">
        <f aca="false">'Balance Sheet'!H6/'Balance Sheet'!H8</f>
        <v>0.791703041519712</v>
      </c>
      <c r="I23" s="9" t="n">
        <f aca="false">'Balance Sheet'!I6/'Balance Sheet'!I8</f>
        <v>0.791703041519712</v>
      </c>
    </row>
    <row r="25" customFormat="false" ht="15" hidden="false" customHeight="false" outlineLevel="0" collapsed="false">
      <c r="A25" s="4" t="s">
        <v>372</v>
      </c>
    </row>
    <row r="26" customFormat="false" ht="15" hidden="false" customHeight="false" outlineLevel="0" collapsed="false">
      <c r="A26" s="5" t="s">
        <v>373</v>
      </c>
      <c r="B26" s="9" t="n">
        <f aca="false">-'Income Statement'!B7/'Income Statement'!B6</f>
        <v>0.329352270281902</v>
      </c>
      <c r="C26" s="9" t="n">
        <f aca="false">-'Income Statement'!C7/'Income Statement'!C6</f>
        <v>0.295805116629044</v>
      </c>
      <c r="D26" s="9" t="n">
        <f aca="false">-'Income Statement'!D7/'Income Statement'!D6</f>
        <v>0.286492197659298</v>
      </c>
      <c r="E26" s="9" t="n">
        <f aca="false">-'Income Statement'!E7/'Income Statement'!E6</f>
        <v>0.294</v>
      </c>
      <c r="F26" s="9" t="n">
        <f aca="false">-'Income Statement'!F7/'Income Statement'!F6</f>
        <v>0.29</v>
      </c>
      <c r="G26" s="9" t="n">
        <f aca="false">-'Income Statement'!G7/'Income Statement'!G6</f>
        <v>0.285</v>
      </c>
      <c r="H26" s="9" t="n">
        <f aca="false">-'Income Statement'!H7/'Income Statement'!H6</f>
        <v>0.28</v>
      </c>
      <c r="I26" s="9" t="n">
        <f aca="false">-'Income Statement'!I7/'Income Statement'!I6</f>
        <v>0.275</v>
      </c>
    </row>
    <row r="27" customFormat="false" ht="15" hidden="false" customHeight="false" outlineLevel="0" collapsed="false">
      <c r="A27" s="5" t="s">
        <v>374</v>
      </c>
      <c r="B27" s="9" t="n">
        <f aca="false">-'Income Statement'!B9/'Income Statement'!B6</f>
        <v>0.0817731870023671</v>
      </c>
      <c r="C27" s="9" t="n">
        <f aca="false">-'Income Statement'!C9/'Income Statement'!C6</f>
        <v>0.0583145221971407</v>
      </c>
      <c r="D27" s="9" t="n">
        <f aca="false">-'Income Statement'!D9/'Income Statement'!D6</f>
        <v>0.0551040312093628</v>
      </c>
      <c r="E27" s="9" t="n">
        <f aca="false">-'Income Statement'!E9/'Income Statement'!E6</f>
        <v>0.0679461720185828</v>
      </c>
      <c r="F27" s="9" t="n">
        <f aca="false">-'Income Statement'!F9/'Income Statement'!F6</f>
        <v>0.06985939975164</v>
      </c>
      <c r="G27" s="9" t="n">
        <f aca="false">-'Income Statement'!G9/'Income Statement'!G6</f>
        <v>0.0682787186451352</v>
      </c>
      <c r="H27" s="9" t="n">
        <f aca="false">-'Income Statement'!H9/'Income Statement'!H6</f>
        <v>0.0677348731348888</v>
      </c>
      <c r="I27" s="9" t="n">
        <f aca="false">-'Income Statement'!I9/'Income Statement'!I6</f>
        <v>0.0667120206467508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46"/>
    <col collapsed="false" customWidth="true" hidden="false" outlineLevel="0" max="3" min="3" style="0" width="52"/>
    <col collapsed="false" customWidth="true" hidden="false" outlineLevel="0" max="12" min="4" style="0" width="13"/>
  </cols>
  <sheetData>
    <row r="1" customFormat="false" ht="15" hidden="false" customHeight="false" outlineLevel="0" collapsed="false">
      <c r="A1" s="1" t="s">
        <v>375</v>
      </c>
    </row>
    <row r="2" customFormat="false" ht="15" hidden="false" customHeight="false" outlineLevel="0" collapsed="false">
      <c r="A2" s="2" t="s">
        <v>376</v>
      </c>
    </row>
    <row r="4" customFormat="false" ht="15" hidden="false" customHeight="false" outlineLevel="0" collapsed="false">
      <c r="B4" s="19" t="s">
        <v>377</v>
      </c>
      <c r="C4" s="19" t="s">
        <v>378</v>
      </c>
    </row>
    <row r="5" customFormat="false" ht="55.5" hidden="false" customHeight="true" outlineLevel="0" collapsed="false">
      <c r="A5" s="4" t="s">
        <v>379</v>
      </c>
      <c r="B5" s="46" t="s">
        <v>380</v>
      </c>
      <c r="C5" s="46" t="s">
        <v>381</v>
      </c>
    </row>
    <row r="6" customFormat="false" ht="55.5" hidden="false" customHeight="true" outlineLevel="0" collapsed="false">
      <c r="A6" s="4" t="s">
        <v>382</v>
      </c>
      <c r="B6" s="46" t="s">
        <v>383</v>
      </c>
      <c r="C6" s="46" t="s">
        <v>384</v>
      </c>
    </row>
    <row r="7" customFormat="false" ht="55.5" hidden="false" customHeight="true" outlineLevel="0" collapsed="false">
      <c r="A7" s="4" t="s">
        <v>385</v>
      </c>
      <c r="B7" s="46" t="s">
        <v>386</v>
      </c>
      <c r="C7" s="46" t="s">
        <v>387</v>
      </c>
    </row>
    <row r="8" customFormat="false" ht="55.5" hidden="false" customHeight="true" outlineLevel="0" collapsed="false">
      <c r="A8" s="4" t="s">
        <v>388</v>
      </c>
      <c r="B8" s="46" t="s">
        <v>389</v>
      </c>
      <c r="C8" s="46" t="s">
        <v>390</v>
      </c>
    </row>
    <row r="9" customFormat="false" ht="55.5" hidden="false" customHeight="true" outlineLevel="0" collapsed="false">
      <c r="A9" s="4" t="s">
        <v>391</v>
      </c>
      <c r="B9" s="46" t="s">
        <v>392</v>
      </c>
      <c r="C9" s="46" t="s">
        <v>393</v>
      </c>
    </row>
    <row r="12" customFormat="false" ht="15" hidden="false" customHeight="false" outlineLevel="0" collapsed="false">
      <c r="A12" s="4" t="s">
        <v>394</v>
      </c>
    </row>
    <row r="13" customFormat="false" ht="15" hidden="false" customHeight="false" outlineLevel="0" collapsed="false">
      <c r="B13" s="19" t="s">
        <v>395</v>
      </c>
      <c r="C13" s="19" t="s">
        <v>396</v>
      </c>
      <c r="D13" s="19" t="s">
        <v>397</v>
      </c>
    </row>
    <row r="14" customFormat="false" ht="15" hidden="false" customHeight="false" outlineLevel="0" collapsed="false">
      <c r="A14" s="5" t="s">
        <v>398</v>
      </c>
      <c r="B14" s="9" t="n">
        <f aca="false">Assumptions!$B$36</f>
        <v>0.183</v>
      </c>
      <c r="C14" s="10" t="n">
        <f aca="false">Assumptions!$B$38</f>
        <v>1.55</v>
      </c>
      <c r="D14" s="10" t="n">
        <f aca="false">Assumptions!$B$38</f>
        <v>1.55</v>
      </c>
    </row>
    <row r="15" customFormat="false" ht="15" hidden="false" customHeight="false" outlineLevel="0" collapsed="false">
      <c r="A15" s="5" t="s">
        <v>399</v>
      </c>
      <c r="B15" s="20" t="n">
        <v>0.163</v>
      </c>
      <c r="C15" s="22" t="n">
        <v>1.52</v>
      </c>
      <c r="D15" s="10" t="n">
        <f aca="false">Assumptions!$B$38*(0.163-Assumptions!$B$17)/(Assumptions!$B$36-Assumptions!$B$17)</f>
        <v>1.33321678321678</v>
      </c>
    </row>
    <row r="16" customFormat="false" ht="15" hidden="false" customHeight="false" outlineLevel="0" collapsed="false">
      <c r="A16" s="4" t="s">
        <v>400</v>
      </c>
      <c r="B16" s="11" t="n">
        <f aca="false">Assumptions!$B$45</f>
        <v>0.288</v>
      </c>
      <c r="C16" s="47" t="n">
        <f aca="false">'Relative &amp; Normalized'!$B$17</f>
        <v>3.31164131573434</v>
      </c>
      <c r="D16" s="47" t="n">
        <f aca="false">'Relative &amp; Normalized'!$B$9</f>
        <v>2.68811188811189</v>
      </c>
    </row>
    <row r="17" customFormat="false" ht="15" hidden="false" customHeight="false" outlineLevel="0" collapsed="false">
      <c r="A17" s="4" t="s">
        <v>401</v>
      </c>
      <c r="B17" s="33" t="n">
        <f aca="false">'Relative &amp; Normalized'!$B$18</f>
        <v>0.231958137747166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3"/>
    <col collapsed="false" customWidth="true" hidden="false" outlineLevel="0" max="3" min="3" style="0" width="88"/>
    <col collapsed="false" customWidth="true" hidden="false" outlineLevel="0" max="12" min="4" style="0" width="13"/>
  </cols>
  <sheetData>
    <row r="1" customFormat="false" ht="15" hidden="false" customHeight="false" outlineLevel="0" collapsed="false">
      <c r="A1" s="1" t="s">
        <v>402</v>
      </c>
    </row>
    <row r="2" customFormat="false" ht="15" hidden="false" customHeight="false" outlineLevel="0" collapsed="false">
      <c r="A2" s="2" t="s">
        <v>403</v>
      </c>
    </row>
    <row r="4" customFormat="false" ht="15" hidden="false" customHeight="false" outlineLevel="0" collapsed="false">
      <c r="B4" s="19" t="s">
        <v>404</v>
      </c>
      <c r="C4" s="19" t="s">
        <v>405</v>
      </c>
    </row>
    <row r="5" customFormat="false" ht="61.5" hidden="false" customHeight="true" outlineLevel="0" collapsed="false">
      <c r="A5" s="48" t="s">
        <v>406</v>
      </c>
      <c r="B5" s="48" t="s">
        <v>407</v>
      </c>
      <c r="C5" s="46" t="s">
        <v>408</v>
      </c>
    </row>
    <row r="6" customFormat="false" ht="61.5" hidden="false" customHeight="true" outlineLevel="0" collapsed="false">
      <c r="A6" s="48" t="s">
        <v>409</v>
      </c>
      <c r="B6" s="48" t="s">
        <v>407</v>
      </c>
      <c r="C6" s="46" t="s">
        <v>410</v>
      </c>
    </row>
    <row r="7" customFormat="false" ht="61.5" hidden="false" customHeight="true" outlineLevel="0" collapsed="false">
      <c r="A7" s="48" t="s">
        <v>411</v>
      </c>
      <c r="B7" s="48" t="s">
        <v>407</v>
      </c>
      <c r="C7" s="46" t="s">
        <v>412</v>
      </c>
    </row>
    <row r="8" customFormat="false" ht="61.5" hidden="false" customHeight="true" outlineLevel="0" collapsed="false">
      <c r="A8" s="48" t="s">
        <v>413</v>
      </c>
      <c r="B8" s="48" t="s">
        <v>407</v>
      </c>
      <c r="C8" s="46" t="s">
        <v>414</v>
      </c>
    </row>
    <row r="9" customFormat="false" ht="61.5" hidden="false" customHeight="true" outlineLevel="0" collapsed="false">
      <c r="A9" s="48" t="s">
        <v>415</v>
      </c>
      <c r="B9" s="48" t="s">
        <v>407</v>
      </c>
      <c r="C9" s="46" t="s">
        <v>416</v>
      </c>
    </row>
    <row r="10" customFormat="false" ht="61.5" hidden="false" customHeight="true" outlineLevel="0" collapsed="false">
      <c r="A10" s="48" t="s">
        <v>417</v>
      </c>
      <c r="B10" s="49" t="s">
        <v>418</v>
      </c>
      <c r="C10" s="46" t="s">
        <v>419</v>
      </c>
    </row>
    <row r="11" customFormat="false" ht="61.5" hidden="false" customHeight="true" outlineLevel="0" collapsed="false">
      <c r="A11" s="48" t="s">
        <v>420</v>
      </c>
      <c r="B11" s="48" t="s">
        <v>421</v>
      </c>
      <c r="C11" s="46" t="s">
        <v>422</v>
      </c>
    </row>
    <row r="12" customFormat="false" ht="61.5" hidden="false" customHeight="true" outlineLevel="0" collapsed="false">
      <c r="A12" s="48" t="s">
        <v>423</v>
      </c>
      <c r="B12" s="49" t="s">
        <v>424</v>
      </c>
      <c r="C12" s="46" t="s">
        <v>425</v>
      </c>
    </row>
    <row r="13" customFormat="false" ht="61.5" hidden="false" customHeight="true" outlineLevel="0" collapsed="false">
      <c r="A13" s="48" t="s">
        <v>426</v>
      </c>
      <c r="B13" s="49" t="s">
        <v>427</v>
      </c>
      <c r="C13" s="46" t="s">
        <v>428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12" min="2" style="0" width="13"/>
  </cols>
  <sheetData>
    <row r="1" customFormat="false" ht="15" hidden="false" customHeight="false" outlineLevel="0" collapsed="false">
      <c r="A1" s="1" t="s">
        <v>429</v>
      </c>
    </row>
    <row r="2" customFormat="false" ht="15" hidden="false" customHeight="false" outlineLevel="0" collapsed="false">
      <c r="A2" s="2" t="s">
        <v>430</v>
      </c>
    </row>
    <row r="4" customFormat="false" ht="15" hidden="false" customHeight="false" outlineLevel="0" collapsed="false">
      <c r="B4" s="19" t="s">
        <v>223</v>
      </c>
      <c r="C4" s="19" t="s">
        <v>224</v>
      </c>
      <c r="D4" s="19" t="s">
        <v>112</v>
      </c>
      <c r="E4" s="19" t="s">
        <v>63</v>
      </c>
      <c r="F4" s="19" t="s">
        <v>64</v>
      </c>
      <c r="G4" s="19" t="s">
        <v>65</v>
      </c>
      <c r="H4" s="19" t="s">
        <v>66</v>
      </c>
      <c r="I4" s="19" t="s">
        <v>67</v>
      </c>
    </row>
    <row r="5" customFormat="false" ht="15" hidden="false" customHeight="false" outlineLevel="0" collapsed="false">
      <c r="A5" s="5" t="s">
        <v>120</v>
      </c>
      <c r="B5" s="24" t="n">
        <f aca="false">'Income Statement'!B6</f>
        <v>9294</v>
      </c>
      <c r="C5" s="24" t="n">
        <f aca="false">'Income Statement'!C6</f>
        <v>10632</v>
      </c>
      <c r="D5" s="24" t="n">
        <f aca="false">'Income Statement'!D6</f>
        <v>12304</v>
      </c>
      <c r="E5" s="24" t="n">
        <f aca="false">'Income Statement'!E6</f>
        <v>13381.98125056</v>
      </c>
      <c r="F5" s="24" t="n">
        <f aca="false">'Income Statement'!F6</f>
        <v>14638.4556929434</v>
      </c>
      <c r="G5" s="24" t="n">
        <f aca="false">'Income Statement'!G6</f>
        <v>15969.6063833162</v>
      </c>
      <c r="H5" s="24" t="n">
        <f aca="false">'Income Statement'!H6</f>
        <v>17379.7229766663</v>
      </c>
      <c r="I5" s="24" t="n">
        <f aca="false">'Income Statement'!I6</f>
        <v>18869.1174436065</v>
      </c>
    </row>
    <row r="6" customFormat="false" ht="15" hidden="false" customHeight="false" outlineLevel="0" collapsed="false">
      <c r="A6" s="5" t="s">
        <v>123</v>
      </c>
      <c r="B6" s="24" t="n">
        <f aca="false">'Income Statement'!B10</f>
        <v>5472</v>
      </c>
      <c r="C6" s="24" t="n">
        <f aca="false">'Income Statement'!C10</f>
        <v>6868</v>
      </c>
      <c r="D6" s="24" t="n">
        <f aca="false">'Income Statement'!D10</f>
        <v>8101</v>
      </c>
      <c r="E6" s="24" t="n">
        <f aca="false">'Income Statement'!E10</f>
        <v>8538.42436289536</v>
      </c>
      <c r="F6" s="24" t="n">
        <f aca="false">'Income Statement'!F10</f>
        <v>9370.66981398979</v>
      </c>
      <c r="G6" s="24" t="n">
        <f aca="false">'Income Statement'!G10</f>
        <v>10327.8843029511</v>
      </c>
      <c r="H6" s="24" t="n">
        <f aca="false">'Income Statement'!H10</f>
        <v>11336.1872122557</v>
      </c>
      <c r="I6" s="24" t="n">
        <f aca="false">'Income Statement'!I10</f>
        <v>12421.3131941309</v>
      </c>
    </row>
    <row r="7" customFormat="false" ht="15" hidden="false" customHeight="false" outlineLevel="0" collapsed="false">
      <c r="A7" s="4" t="s">
        <v>155</v>
      </c>
      <c r="B7" s="35" t="n">
        <f aca="false">'Income Statement'!B12</f>
        <v>5251</v>
      </c>
      <c r="C7" s="35" t="n">
        <f aca="false">'Income Statement'!C12</f>
        <v>6102</v>
      </c>
      <c r="D7" s="35" t="n">
        <f aca="false">'Income Statement'!D12</f>
        <v>7070</v>
      </c>
      <c r="E7" s="35" t="n">
        <f aca="false">'Income Statement'!E12</f>
        <v>7428.42919571896</v>
      </c>
      <c r="F7" s="35" t="n">
        <f aca="false">'Income Statement'!F12</f>
        <v>7871.36264375142</v>
      </c>
      <c r="G7" s="35" t="n">
        <f aca="false">'Income Statement'!G12</f>
        <v>8675.4228144789</v>
      </c>
      <c r="H7" s="35" t="n">
        <f aca="false">'Income Statement'!H12</f>
        <v>9522.39725829479</v>
      </c>
      <c r="I7" s="35" t="n">
        <f aca="false">'Income Statement'!I12</f>
        <v>10433.9030830699</v>
      </c>
    </row>
    <row r="8" customFormat="false" ht="15" hidden="false" customHeight="false" outlineLevel="0" collapsed="false">
      <c r="A8" s="4" t="s">
        <v>159</v>
      </c>
      <c r="B8" s="35" t="n">
        <f aca="false">'Income Statement'!B15</f>
        <v>4663.488</v>
      </c>
      <c r="C8" s="35" t="n">
        <f aca="false">'Income Statement'!C15</f>
        <v>5412.68</v>
      </c>
      <c r="D8" s="35" t="n">
        <f aca="false">'Income Statement'!D15</f>
        <v>6341</v>
      </c>
      <c r="E8" s="35" t="n">
        <f aca="false">'Income Statement'!E15</f>
        <v>6669.34919571896</v>
      </c>
      <c r="F8" s="35" t="n">
        <f aca="false">'Income Statement'!F15</f>
        <v>7079.79624375142</v>
      </c>
      <c r="G8" s="35" t="n">
        <f aca="false">'Income Statement'!G15</f>
        <v>7848.7711024789</v>
      </c>
      <c r="H8" s="35" t="n">
        <f aca="false">'Income Statement'!H15</f>
        <v>8657.85340933479</v>
      </c>
      <c r="I8" s="35" t="n">
        <f aca="false">'Income Statement'!I15</f>
        <v>9528.43572619312</v>
      </c>
    </row>
    <row r="9" customFormat="false" ht="15" hidden="false" customHeight="false" outlineLevel="0" collapsed="false">
      <c r="A9" s="4" t="s">
        <v>227</v>
      </c>
      <c r="B9" s="50" t="n">
        <f aca="false">'Income Statement'!B16</f>
        <v>1.284</v>
      </c>
      <c r="C9" s="50" t="n">
        <f aca="false">'Income Statement'!C16</f>
        <v>1.49027533039648</v>
      </c>
      <c r="D9" s="50" t="n">
        <f aca="false">'Income Statement'!D16</f>
        <v>1.74587004405286</v>
      </c>
      <c r="E9" s="50" t="n">
        <f aca="false">'Income Statement'!E16</f>
        <v>1.83627455829267</v>
      </c>
      <c r="F9" s="50" t="n">
        <f aca="false">'Income Statement'!F16</f>
        <v>1.94928310675975</v>
      </c>
      <c r="G9" s="50" t="n">
        <f aca="false">'Income Statement'!G16</f>
        <v>2.16100525949309</v>
      </c>
      <c r="H9" s="50" t="n">
        <f aca="false">'Income Statement'!H16</f>
        <v>2.38377021182125</v>
      </c>
      <c r="I9" s="50" t="n">
        <f aca="false">'Income Statement'!I16</f>
        <v>2.62346798628665</v>
      </c>
    </row>
    <row r="10" customFormat="false" ht="15" hidden="false" customHeight="false" outlineLevel="0" collapsed="false">
      <c r="A10" s="5" t="s">
        <v>133</v>
      </c>
      <c r="B10" s="27" t="n">
        <f aca="false">'Income Statement'!B17</f>
        <v>0.715</v>
      </c>
      <c r="C10" s="27" t="n">
        <f aca="false">'Income Statement'!C17</f>
        <v>0.834</v>
      </c>
      <c r="D10" s="27" t="n">
        <f aca="false">'Income Statement'!D17</f>
        <v>0.9705</v>
      </c>
      <c r="E10" s="27" t="n">
        <f aca="false">'Income Statement'!E17</f>
        <v>0.918137279146333</v>
      </c>
      <c r="F10" s="27" t="n">
        <f aca="false">'Income Statement'!F17</f>
        <v>0.974641553379876</v>
      </c>
      <c r="G10" s="27" t="n">
        <f aca="false">'Income Statement'!G17</f>
        <v>1.10211268234148</v>
      </c>
      <c r="H10" s="27" t="n">
        <f aca="false">'Income Statement'!H17</f>
        <v>1.23956051014705</v>
      </c>
      <c r="I10" s="27" t="n">
        <f aca="false">'Income Statement'!I17</f>
        <v>1.39043803273192</v>
      </c>
    </row>
    <row r="12" customFormat="false" ht="15" hidden="false" customHeight="false" outlineLevel="0" collapsed="false">
      <c r="A12" s="5" t="s">
        <v>236</v>
      </c>
      <c r="B12" s="24" t="n">
        <f aca="false">'Balance Sheet'!B4</f>
        <v>192827</v>
      </c>
      <c r="C12" s="24" t="n">
        <f aca="false">'Balance Sheet'!C4</f>
        <v>225910</v>
      </c>
      <c r="D12" s="24" t="n">
        <f aca="false">'Balance Sheet'!D4</f>
        <v>280753</v>
      </c>
      <c r="E12" s="24" t="n">
        <f aca="false">'Balance Sheet'!E4</f>
        <v>317497.168037403</v>
      </c>
      <c r="F12" s="24" t="n">
        <f aca="false">'Balance Sheet'!F4</f>
        <v>355596.828201891</v>
      </c>
      <c r="G12" s="24" t="n">
        <f aca="false">'Balance Sheet'!G4</f>
        <v>394712.479304099</v>
      </c>
      <c r="H12" s="24" t="n">
        <f aca="false">'Balance Sheet'!H4</f>
        <v>434183.727234509</v>
      </c>
      <c r="I12" s="24" t="n">
        <f aca="false">'Balance Sheet'!I4</f>
        <v>473260.262685615</v>
      </c>
    </row>
    <row r="13" customFormat="false" ht="15" hidden="false" customHeight="false" outlineLevel="0" collapsed="false">
      <c r="A13" s="5" t="s">
        <v>113</v>
      </c>
      <c r="B13" s="24" t="n">
        <f aca="false">'Balance Sheet'!B5</f>
        <v>120169</v>
      </c>
      <c r="C13" s="24" t="n">
        <f aca="false">'Balance Sheet'!C5</f>
        <v>147100</v>
      </c>
      <c r="D13" s="24" t="n">
        <f aca="false">'Balance Sheet'!D5</f>
        <v>185600</v>
      </c>
      <c r="E13" s="24" t="n">
        <f aca="false">'Balance Sheet'!E5</f>
        <v>209728</v>
      </c>
      <c r="F13" s="24" t="n">
        <f aca="false">'Balance Sheet'!F5</f>
        <v>234895.36</v>
      </c>
      <c r="G13" s="24" t="n">
        <f aca="false">'Balance Sheet'!G5</f>
        <v>260733.8496</v>
      </c>
      <c r="H13" s="24" t="n">
        <f aca="false">'Balance Sheet'!H5</f>
        <v>286807.23456</v>
      </c>
      <c r="I13" s="24" t="n">
        <f aca="false">'Balance Sheet'!I5</f>
        <v>312619.8856704</v>
      </c>
    </row>
    <row r="14" customFormat="false" ht="15" hidden="false" customHeight="false" outlineLevel="0" collapsed="false">
      <c r="A14" s="5" t="s">
        <v>239</v>
      </c>
      <c r="B14" s="24" t="n">
        <f aca="false">'Balance Sheet'!B8</f>
        <v>157067</v>
      </c>
      <c r="C14" s="24" t="n">
        <f aca="false">'Balance Sheet'!C8</f>
        <v>182675</v>
      </c>
      <c r="D14" s="24" t="n">
        <f aca="false">'Balance Sheet'!D8</f>
        <v>229096</v>
      </c>
      <c r="E14" s="24" t="n">
        <f aca="false">'Balance Sheet'!E8</f>
        <v>259079.444239944</v>
      </c>
      <c r="F14" s="24" t="n">
        <f aca="false">'Balance Sheet'!F8</f>
        <v>290168.977548737</v>
      </c>
      <c r="G14" s="24" t="n">
        <f aca="false">'Balance Sheet'!G8</f>
        <v>322087.565079098</v>
      </c>
      <c r="H14" s="24" t="n">
        <f aca="false">'Balance Sheet'!H8</f>
        <v>354296.321587008</v>
      </c>
      <c r="I14" s="24" t="n">
        <f aca="false">'Balance Sheet'!I8</f>
        <v>386182.990529838</v>
      </c>
    </row>
    <row r="15" customFormat="false" ht="15" hidden="false" customHeight="false" outlineLevel="0" collapsed="false">
      <c r="A15" s="5" t="s">
        <v>431</v>
      </c>
      <c r="B15" s="24" t="n">
        <f aca="false">'Balance Sheet'!B17</f>
        <v>20374</v>
      </c>
      <c r="C15" s="24" t="n">
        <f aca="false">'Balance Sheet'!C17</f>
        <v>22591</v>
      </c>
      <c r="D15" s="24" t="n">
        <f aca="false">'Balance Sheet'!D17</f>
        <v>26067</v>
      </c>
      <c r="E15" s="24" t="n">
        <f aca="false">'Balance Sheet'!E17</f>
        <v>29401.6745978595</v>
      </c>
      <c r="F15" s="24" t="n">
        <f aca="false">'Balance Sheet'!F17</f>
        <v>32941.5727197352</v>
      </c>
      <c r="G15" s="24" t="n">
        <f aca="false">'Balance Sheet'!G17</f>
        <v>36787.4705599499</v>
      </c>
      <c r="H15" s="24" t="n">
        <f aca="false">'Balance Sheet'!H17</f>
        <v>40943.2401964305</v>
      </c>
      <c r="I15" s="24" t="n">
        <f aca="false">'Balance Sheet'!I17</f>
        <v>45421.6049877413</v>
      </c>
    </row>
    <row r="16" customFormat="false" ht="15" hidden="false" customHeight="false" outlineLevel="0" collapsed="false">
      <c r="A16" s="5" t="s">
        <v>250</v>
      </c>
      <c r="B16" s="24" t="n">
        <f aca="false">'Balance Sheet'!B22</f>
        <v>138211</v>
      </c>
      <c r="C16" s="24" t="n">
        <f aca="false">'Balance Sheet'!C22</f>
        <v>159983</v>
      </c>
      <c r="D16" s="24" t="n">
        <f aca="false">'Balance Sheet'!D22</f>
        <v>183637</v>
      </c>
      <c r="E16" s="24" t="n">
        <f aca="false">'Balance Sheet'!E22</f>
        <v>206355.183137207</v>
      </c>
      <c r="F16" s="24" t="n">
        <f aca="false">'Balance Sheet'!F22</f>
        <v>230361.029089627</v>
      </c>
      <c r="G16" s="24" t="n">
        <f aca="false">'Balance Sheet'!G22</f>
        <v>255067.929729953</v>
      </c>
      <c r="H16" s="24" t="n">
        <f aca="false">'Balance Sheet'!H22</f>
        <v>280098.344157869</v>
      </c>
      <c r="I16" s="24" t="n">
        <f aca="false">'Balance Sheet'!I22</f>
        <v>305016.580133908</v>
      </c>
    </row>
    <row r="17" customFormat="false" ht="15" hidden="false" customHeight="false" outlineLevel="0" collapsed="false">
      <c r="A17" s="5" t="s">
        <v>369</v>
      </c>
      <c r="B17" s="38" t="n">
        <f aca="false">'Balance Sheet'!B24</f>
        <v>0.1223</v>
      </c>
      <c r="C17" s="38" t="n">
        <f aca="false">'Balance Sheet'!C24</f>
        <v>0.1207</v>
      </c>
      <c r="D17" s="38" t="n">
        <f aca="false">'Balance Sheet'!D24</f>
        <v>0.1202</v>
      </c>
      <c r="E17" s="38" t="n">
        <f aca="false">'Balance Sheet'!E24</f>
        <v>0.123256776065314</v>
      </c>
      <c r="F17" s="38" t="n">
        <f aca="false">'Balance Sheet'!F24</f>
        <v>0.125778968926476</v>
      </c>
      <c r="G17" s="38" t="n">
        <f aca="false">'Balance Sheet'!G24</f>
        <v>0.128673450224408</v>
      </c>
      <c r="H17" s="38" t="n">
        <f aca="false">'Balance Sheet'!H24</f>
        <v>0.132011634369356</v>
      </c>
      <c r="I17" s="38" t="n">
        <f aca="false">'Balance Sheet'!I24</f>
        <v>0.135909349483697</v>
      </c>
    </row>
    <row r="19" customFormat="false" ht="15" hidden="false" customHeight="false" outlineLevel="0" collapsed="false">
      <c r="A19" s="5" t="s">
        <v>432</v>
      </c>
      <c r="B19" s="9" t="n">
        <f aca="false">'Per-Share &amp; Ratios'!B17</f>
        <v>0.228894080691077</v>
      </c>
      <c r="C19" s="9" t="n">
        <f aca="false">'Per-Share &amp; Ratios'!C17</f>
        <v>0.239594528794653</v>
      </c>
      <c r="D19" s="9" t="n">
        <f aca="false">'Per-Share &amp; Ratios'!D17</f>
        <v>0.243257758852189</v>
      </c>
      <c r="E19" s="9" t="n">
        <f aca="false">'Per-Share &amp; Ratios'!E17</f>
        <v>0.22683569173997</v>
      </c>
      <c r="F19" s="9" t="n">
        <f aca="false">'Per-Share &amp; Ratios'!F17</f>
        <v>0.21491980070247</v>
      </c>
      <c r="G19" s="9" t="n">
        <f aca="false">'Per-Share &amp; Ratios'!G17</f>
        <v>0.213354465066804</v>
      </c>
      <c r="H19" s="9" t="n">
        <f aca="false">'Per-Share &amp; Ratios'!H17</f>
        <v>0.211459898332365</v>
      </c>
      <c r="I19" s="9" t="n">
        <f aca="false">'Per-Share &amp; Ratios'!I17</f>
        <v>0.209777609768847</v>
      </c>
    </row>
    <row r="20" customFormat="false" ht="15" hidden="false" customHeight="false" outlineLevel="0" collapsed="false">
      <c r="A20" s="5" t="s">
        <v>366</v>
      </c>
      <c r="B20" s="38" t="n">
        <f aca="false">'Per-Share &amp; Ratios'!B18</f>
        <v>0.045</v>
      </c>
      <c r="C20" s="38" t="n">
        <f aca="false">'Per-Share &amp; Ratios'!C18</f>
        <v>0.0435</v>
      </c>
      <c r="D20" s="38" t="n">
        <f aca="false">'Per-Share &amp; Ratios'!D18</f>
        <v>0.0411</v>
      </c>
      <c r="E20" s="38" t="n">
        <f aca="false">'Per-Share &amp; Ratios'!E18</f>
        <v>0.039</v>
      </c>
      <c r="F20" s="38" t="n">
        <f aca="false">'Per-Share &amp; Ratios'!F18</f>
        <v>0.0382</v>
      </c>
      <c r="G20" s="38" t="n">
        <f aca="false">'Per-Share &amp; Ratios'!G18</f>
        <v>0.0376</v>
      </c>
      <c r="H20" s="38" t="n">
        <f aca="false">'Per-Share &amp; Ratios'!H18</f>
        <v>0.0372</v>
      </c>
      <c r="I20" s="38" t="n">
        <f aca="false">'Per-Share &amp; Ratios'!I18</f>
        <v>0.037</v>
      </c>
    </row>
    <row r="21" customFormat="false" ht="15" hidden="false" customHeight="false" outlineLevel="0" collapsed="false">
      <c r="A21" s="5" t="s">
        <v>367</v>
      </c>
      <c r="B21" s="9" t="n">
        <f aca="false">'Per-Share &amp; Ratios'!B19</f>
        <v>0.329352270281902</v>
      </c>
      <c r="C21" s="9" t="n">
        <f aca="false">'Per-Share &amp; Ratios'!C19</f>
        <v>0.295805116629044</v>
      </c>
      <c r="D21" s="9" t="n">
        <f aca="false">'Per-Share &amp; Ratios'!D19</f>
        <v>0.286492197659298</v>
      </c>
      <c r="E21" s="9" t="n">
        <f aca="false">'Per-Share &amp; Ratios'!E19</f>
        <v>0.294</v>
      </c>
      <c r="F21" s="9" t="n">
        <f aca="false">'Per-Share &amp; Ratios'!F19</f>
        <v>0.29</v>
      </c>
      <c r="G21" s="9" t="n">
        <f aca="false">'Per-Share &amp; Ratios'!G19</f>
        <v>0.285</v>
      </c>
      <c r="H21" s="9" t="n">
        <f aca="false">'Per-Share &amp; Ratios'!H19</f>
        <v>0.28</v>
      </c>
      <c r="I21" s="9" t="n">
        <f aca="false">'Per-Share &amp; Ratios'!I19</f>
        <v>0.275</v>
      </c>
    </row>
    <row r="22" customFormat="false" ht="15" hidden="false" customHeight="false" outlineLevel="0" collapsed="false">
      <c r="A22" s="5" t="s">
        <v>368</v>
      </c>
      <c r="B22" s="9" t="n">
        <f aca="false">'Per-Share &amp; Ratios'!B20</f>
        <v>0.0403874269005848</v>
      </c>
      <c r="C22" s="9" t="n">
        <f aca="false">'Per-Share &amp; Ratios'!C20</f>
        <v>0.111531741409435</v>
      </c>
      <c r="D22" s="9" t="n">
        <f aca="false">'Per-Share &amp; Ratios'!D20</f>
        <v>0.127268238489075</v>
      </c>
      <c r="E22" s="9" t="n">
        <f aca="false">'Per-Share &amp; Ratios'!E20</f>
        <v>0.13</v>
      </c>
      <c r="F22" s="9" t="n">
        <f aca="false">'Per-Share &amp; Ratios'!F20</f>
        <v>0.16</v>
      </c>
      <c r="G22" s="9" t="n">
        <f aca="false">'Per-Share &amp; Ratios'!G20</f>
        <v>0.16</v>
      </c>
      <c r="H22" s="9" t="n">
        <f aca="false">'Per-Share &amp; Ratios'!H20</f>
        <v>0.16</v>
      </c>
      <c r="I22" s="9" t="n">
        <f aca="false">'Per-Share &amp; Ratios'!I20</f>
        <v>0.16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30"/>
    <col collapsed="false" customWidth="true" hidden="false" outlineLevel="0" max="4" min="4" style="0" width="8"/>
    <col collapsed="false" customWidth="true" hidden="false" outlineLevel="0" max="5" min="5" style="0" width="92"/>
    <col collapsed="false" customWidth="true" hidden="false" outlineLevel="0" max="6" min="6" style="0" width="32"/>
    <col collapsed="false" customWidth="true" hidden="false" outlineLevel="0" max="7" min="7" style="0" width="12"/>
    <col collapsed="false" customWidth="true" hidden="false" outlineLevel="0" max="12" min="8" style="0" width="13"/>
  </cols>
  <sheetData>
    <row r="1" customFormat="false" ht="15" hidden="false" customHeight="false" outlineLevel="0" collapsed="false">
      <c r="A1" s="1" t="s">
        <v>433</v>
      </c>
    </row>
    <row r="2" customFormat="false" ht="15" hidden="false" customHeight="false" outlineLevel="0" collapsed="false">
      <c r="A2" s="2" t="s">
        <v>434</v>
      </c>
    </row>
    <row r="4" customFormat="false" ht="15" hidden="false" customHeight="false" outlineLevel="0" collapsed="false">
      <c r="A4" s="51" t="s">
        <v>435</v>
      </c>
      <c r="B4" s="19" t="s">
        <v>436</v>
      </c>
      <c r="C4" s="19" t="s">
        <v>437</v>
      </c>
      <c r="D4" s="19" t="s">
        <v>438</v>
      </c>
      <c r="E4" s="19" t="s">
        <v>439</v>
      </c>
      <c r="F4" s="19" t="s">
        <v>440</v>
      </c>
      <c r="G4" s="19" t="s">
        <v>441</v>
      </c>
    </row>
    <row r="5" customFormat="false" ht="30" hidden="false" customHeight="true" outlineLevel="0" collapsed="false">
      <c r="A5" s="52" t="s">
        <v>442</v>
      </c>
      <c r="B5" s="52" t="s">
        <v>443</v>
      </c>
      <c r="C5" s="52" t="s">
        <v>444</v>
      </c>
      <c r="D5" s="53" t="s">
        <v>445</v>
      </c>
      <c r="E5" s="52" t="s">
        <v>446</v>
      </c>
      <c r="F5" s="52" t="s">
        <v>447</v>
      </c>
      <c r="G5" s="52" t="s">
        <v>448</v>
      </c>
    </row>
    <row r="6" customFormat="false" ht="30" hidden="false" customHeight="true" outlineLevel="0" collapsed="false">
      <c r="A6" s="52" t="s">
        <v>449</v>
      </c>
      <c r="B6" s="52" t="s">
        <v>443</v>
      </c>
      <c r="C6" s="52" t="s">
        <v>450</v>
      </c>
      <c r="D6" s="53" t="s">
        <v>445</v>
      </c>
      <c r="E6" s="52" t="s">
        <v>451</v>
      </c>
      <c r="F6" s="52" t="s">
        <v>452</v>
      </c>
      <c r="G6" s="52" t="s">
        <v>453</v>
      </c>
    </row>
    <row r="7" customFormat="false" ht="30" hidden="false" customHeight="true" outlineLevel="0" collapsed="false">
      <c r="A7" s="52" t="s">
        <v>454</v>
      </c>
      <c r="B7" s="52" t="s">
        <v>443</v>
      </c>
      <c r="C7" s="52" t="s">
        <v>455</v>
      </c>
      <c r="D7" s="52" t="s">
        <v>456</v>
      </c>
      <c r="E7" s="52" t="s">
        <v>457</v>
      </c>
      <c r="F7" s="52" t="s">
        <v>458</v>
      </c>
      <c r="G7" s="52" t="s">
        <v>459</v>
      </c>
    </row>
    <row r="8" customFormat="false" ht="30" hidden="false" customHeight="true" outlineLevel="0" collapsed="false">
      <c r="A8" s="52" t="s">
        <v>460</v>
      </c>
      <c r="B8" s="52" t="s">
        <v>443</v>
      </c>
      <c r="C8" s="52" t="s">
        <v>461</v>
      </c>
      <c r="D8" s="52" t="s">
        <v>456</v>
      </c>
      <c r="E8" s="52" t="s">
        <v>462</v>
      </c>
      <c r="F8" s="52" t="s">
        <v>463</v>
      </c>
      <c r="G8" s="52" t="s">
        <v>464</v>
      </c>
    </row>
    <row r="9" customFormat="false" ht="30" hidden="false" customHeight="true" outlineLevel="0" collapsed="false">
      <c r="A9" s="52" t="s">
        <v>465</v>
      </c>
      <c r="B9" s="52" t="s">
        <v>466</v>
      </c>
      <c r="C9" s="52" t="s">
        <v>467</v>
      </c>
      <c r="D9" s="53" t="s">
        <v>445</v>
      </c>
      <c r="E9" s="52" t="s">
        <v>468</v>
      </c>
      <c r="F9" s="52" t="s">
        <v>469</v>
      </c>
      <c r="G9" s="52" t="s">
        <v>470</v>
      </c>
    </row>
    <row r="10" customFormat="false" ht="30" hidden="false" customHeight="true" outlineLevel="0" collapsed="false">
      <c r="A10" s="52" t="s">
        <v>471</v>
      </c>
      <c r="B10" s="52" t="s">
        <v>466</v>
      </c>
      <c r="C10" s="52" t="s">
        <v>472</v>
      </c>
      <c r="D10" s="53" t="s">
        <v>445</v>
      </c>
      <c r="E10" s="52" t="s">
        <v>473</v>
      </c>
      <c r="F10" s="52" t="s">
        <v>474</v>
      </c>
      <c r="G10" s="52" t="s">
        <v>475</v>
      </c>
    </row>
    <row r="11" customFormat="false" ht="30" hidden="false" customHeight="true" outlineLevel="0" collapsed="false">
      <c r="A11" s="52" t="s">
        <v>476</v>
      </c>
      <c r="B11" s="52" t="s">
        <v>466</v>
      </c>
      <c r="C11" s="52" t="s">
        <v>472</v>
      </c>
      <c r="D11" s="53" t="s">
        <v>445</v>
      </c>
      <c r="E11" s="52" t="s">
        <v>477</v>
      </c>
      <c r="F11" s="52" t="s">
        <v>478</v>
      </c>
      <c r="G11" s="52" t="s">
        <v>479</v>
      </c>
    </row>
    <row r="12" customFormat="false" ht="30" hidden="false" customHeight="true" outlineLevel="0" collapsed="false">
      <c r="A12" s="52" t="s">
        <v>480</v>
      </c>
      <c r="B12" s="52" t="s">
        <v>481</v>
      </c>
      <c r="C12" s="52" t="s">
        <v>482</v>
      </c>
      <c r="D12" s="53" t="s">
        <v>445</v>
      </c>
      <c r="E12" s="52" t="s">
        <v>483</v>
      </c>
      <c r="F12" s="52" t="s">
        <v>484</v>
      </c>
      <c r="G12" s="52" t="s">
        <v>485</v>
      </c>
    </row>
    <row r="13" customFormat="false" ht="30" hidden="false" customHeight="true" outlineLevel="0" collapsed="false">
      <c r="A13" s="52" t="s">
        <v>486</v>
      </c>
      <c r="B13" s="52" t="s">
        <v>466</v>
      </c>
      <c r="C13" s="52" t="s">
        <v>487</v>
      </c>
      <c r="D13" s="53" t="s">
        <v>445</v>
      </c>
      <c r="E13" s="52" t="s">
        <v>488</v>
      </c>
      <c r="F13" s="52" t="s">
        <v>489</v>
      </c>
      <c r="G13" s="52" t="s">
        <v>475</v>
      </c>
    </row>
    <row r="14" customFormat="false" ht="30" hidden="false" customHeight="true" outlineLevel="0" collapsed="false">
      <c r="A14" s="52" t="s">
        <v>490</v>
      </c>
      <c r="B14" s="52" t="s">
        <v>481</v>
      </c>
      <c r="C14" s="52" t="s">
        <v>491</v>
      </c>
      <c r="D14" s="52" t="s">
        <v>456</v>
      </c>
      <c r="E14" s="52" t="s">
        <v>492</v>
      </c>
      <c r="F14" s="52" t="s">
        <v>493</v>
      </c>
      <c r="G14" s="52" t="s">
        <v>494</v>
      </c>
    </row>
    <row r="15" customFormat="false" ht="30" hidden="false" customHeight="true" outlineLevel="0" collapsed="false">
      <c r="A15" s="52" t="s">
        <v>495</v>
      </c>
      <c r="B15" s="52" t="s">
        <v>481</v>
      </c>
      <c r="C15" s="52" t="s">
        <v>496</v>
      </c>
      <c r="D15" s="53" t="s">
        <v>445</v>
      </c>
      <c r="E15" s="52" t="s">
        <v>497</v>
      </c>
      <c r="F15" s="52" t="s">
        <v>498</v>
      </c>
      <c r="G15" s="52" t="s">
        <v>499</v>
      </c>
    </row>
    <row r="16" customFormat="false" ht="30" hidden="false" customHeight="true" outlineLevel="0" collapsed="false">
      <c r="A16" s="52" t="s">
        <v>500</v>
      </c>
      <c r="B16" s="52" t="s">
        <v>481</v>
      </c>
      <c r="C16" s="52" t="s">
        <v>482</v>
      </c>
      <c r="D16" s="53" t="s">
        <v>445</v>
      </c>
      <c r="E16" s="52" t="s">
        <v>501</v>
      </c>
      <c r="F16" s="52" t="s">
        <v>502</v>
      </c>
      <c r="G16" s="52" t="s">
        <v>485</v>
      </c>
    </row>
    <row r="17" customFormat="false" ht="30" hidden="false" customHeight="true" outlineLevel="0" collapsed="false">
      <c r="A17" s="52" t="s">
        <v>503</v>
      </c>
      <c r="B17" s="52" t="s">
        <v>481</v>
      </c>
      <c r="C17" s="52" t="s">
        <v>504</v>
      </c>
      <c r="D17" s="52" t="s">
        <v>456</v>
      </c>
      <c r="E17" s="52" t="s">
        <v>505</v>
      </c>
      <c r="F17" s="52" t="s">
        <v>506</v>
      </c>
      <c r="G17" s="52" t="s">
        <v>475</v>
      </c>
    </row>
    <row r="18" customFormat="false" ht="30" hidden="false" customHeight="true" outlineLevel="0" collapsed="false">
      <c r="A18" s="52" t="s">
        <v>507</v>
      </c>
      <c r="B18" s="52" t="s">
        <v>508</v>
      </c>
      <c r="C18" s="52" t="s">
        <v>509</v>
      </c>
      <c r="D18" s="52" t="s">
        <v>510</v>
      </c>
      <c r="E18" s="52" t="s">
        <v>511</v>
      </c>
      <c r="F18" s="52" t="s">
        <v>512</v>
      </c>
      <c r="G18" s="52" t="s">
        <v>513</v>
      </c>
    </row>
    <row r="19" customFormat="false" ht="30" hidden="false" customHeight="true" outlineLevel="0" collapsed="false">
      <c r="A19" s="52" t="s">
        <v>514</v>
      </c>
      <c r="B19" s="52" t="s">
        <v>508</v>
      </c>
      <c r="C19" s="52" t="s">
        <v>515</v>
      </c>
      <c r="D19" s="52" t="s">
        <v>510</v>
      </c>
      <c r="E19" s="52" t="s">
        <v>516</v>
      </c>
      <c r="F19" s="52" t="s">
        <v>517</v>
      </c>
      <c r="G19" s="52" t="s">
        <v>470</v>
      </c>
    </row>
    <row r="20" customFormat="false" ht="30" hidden="false" customHeight="true" outlineLevel="0" collapsed="false">
      <c r="A20" s="52" t="s">
        <v>518</v>
      </c>
      <c r="B20" s="52" t="s">
        <v>508</v>
      </c>
      <c r="C20" s="52" t="s">
        <v>519</v>
      </c>
      <c r="D20" s="52" t="s">
        <v>510</v>
      </c>
      <c r="E20" s="52" t="s">
        <v>520</v>
      </c>
      <c r="F20" s="52" t="s">
        <v>521</v>
      </c>
      <c r="G20" s="52" t="s">
        <v>475</v>
      </c>
    </row>
    <row r="21" customFormat="false" ht="30" hidden="false" customHeight="true" outlineLevel="0" collapsed="false">
      <c r="A21" s="52" t="s">
        <v>522</v>
      </c>
      <c r="B21" s="52" t="s">
        <v>508</v>
      </c>
      <c r="C21" s="52" t="s">
        <v>523</v>
      </c>
      <c r="D21" s="53" t="s">
        <v>445</v>
      </c>
      <c r="E21" s="52" t="s">
        <v>524</v>
      </c>
      <c r="F21" s="52" t="s">
        <v>506</v>
      </c>
      <c r="G21" s="52" t="s">
        <v>475</v>
      </c>
    </row>
    <row r="22" customFormat="false" ht="30" hidden="false" customHeight="true" outlineLevel="0" collapsed="false">
      <c r="A22" s="52" t="s">
        <v>525</v>
      </c>
      <c r="B22" s="52" t="s">
        <v>508</v>
      </c>
      <c r="C22" s="52" t="s">
        <v>526</v>
      </c>
      <c r="D22" s="53" t="s">
        <v>445</v>
      </c>
      <c r="E22" s="52" t="s">
        <v>527</v>
      </c>
      <c r="F22" s="52" t="s">
        <v>528</v>
      </c>
      <c r="G22" s="52" t="s">
        <v>470</v>
      </c>
    </row>
    <row r="23" customFormat="false" ht="30" hidden="false" customHeight="true" outlineLevel="0" collapsed="false">
      <c r="A23" s="52" t="s">
        <v>529</v>
      </c>
      <c r="B23" s="52" t="s">
        <v>508</v>
      </c>
      <c r="C23" s="52" t="s">
        <v>526</v>
      </c>
      <c r="D23" s="53" t="s">
        <v>530</v>
      </c>
      <c r="E23" s="52" t="s">
        <v>531</v>
      </c>
      <c r="F23" s="52" t="s">
        <v>532</v>
      </c>
      <c r="G23" s="52" t="s">
        <v>513</v>
      </c>
    </row>
    <row r="24" customFormat="false" ht="30" hidden="false" customHeight="true" outlineLevel="0" collapsed="false">
      <c r="A24" s="52" t="s">
        <v>533</v>
      </c>
      <c r="B24" s="52" t="s">
        <v>508</v>
      </c>
      <c r="C24" s="52" t="s">
        <v>534</v>
      </c>
      <c r="D24" s="52" t="s">
        <v>456</v>
      </c>
      <c r="E24" s="52" t="s">
        <v>535</v>
      </c>
      <c r="F24" s="52" t="s">
        <v>536</v>
      </c>
      <c r="G24" s="52" t="s">
        <v>479</v>
      </c>
    </row>
    <row r="25" customFormat="false" ht="30" hidden="false" customHeight="true" outlineLevel="0" collapsed="false">
      <c r="A25" s="52" t="s">
        <v>537</v>
      </c>
      <c r="B25" s="52" t="s">
        <v>508</v>
      </c>
      <c r="C25" s="52" t="s">
        <v>515</v>
      </c>
      <c r="D25" s="53" t="s">
        <v>445</v>
      </c>
      <c r="E25" s="52" t="s">
        <v>538</v>
      </c>
      <c r="F25" s="52" t="s">
        <v>506</v>
      </c>
      <c r="G25" s="52" t="s">
        <v>475</v>
      </c>
    </row>
    <row r="26" customFormat="false" ht="30" hidden="false" customHeight="true" outlineLevel="0" collapsed="false">
      <c r="A26" s="52" t="s">
        <v>539</v>
      </c>
      <c r="B26" s="52" t="s">
        <v>508</v>
      </c>
      <c r="C26" s="52" t="s">
        <v>540</v>
      </c>
      <c r="D26" s="52" t="s">
        <v>456</v>
      </c>
      <c r="E26" s="52" t="s">
        <v>541</v>
      </c>
      <c r="F26" s="52" t="s">
        <v>542</v>
      </c>
      <c r="G26" s="52" t="s">
        <v>479</v>
      </c>
    </row>
    <row r="27" customFormat="false" ht="30" hidden="false" customHeight="true" outlineLevel="0" collapsed="false">
      <c r="A27" s="52" t="s">
        <v>543</v>
      </c>
      <c r="B27" s="52" t="s">
        <v>508</v>
      </c>
      <c r="C27" s="52" t="s">
        <v>519</v>
      </c>
      <c r="D27" s="53" t="s">
        <v>445</v>
      </c>
      <c r="E27" s="52" t="s">
        <v>544</v>
      </c>
      <c r="F27" s="52" t="s">
        <v>545</v>
      </c>
      <c r="G27" s="52" t="s">
        <v>475</v>
      </c>
    </row>
    <row r="28" customFormat="false" ht="30" hidden="false" customHeight="true" outlineLevel="0" collapsed="false">
      <c r="A28" s="52" t="s">
        <v>546</v>
      </c>
      <c r="B28" s="52" t="s">
        <v>508</v>
      </c>
      <c r="C28" s="52" t="s">
        <v>519</v>
      </c>
      <c r="D28" s="52" t="s">
        <v>456</v>
      </c>
      <c r="E28" s="52" t="s">
        <v>547</v>
      </c>
      <c r="F28" s="52" t="s">
        <v>548</v>
      </c>
      <c r="G28" s="52" t="s">
        <v>479</v>
      </c>
    </row>
    <row r="29" customFormat="false" ht="30" hidden="false" customHeight="true" outlineLevel="0" collapsed="false">
      <c r="A29" s="52" t="s">
        <v>549</v>
      </c>
      <c r="B29" s="52" t="s">
        <v>508</v>
      </c>
      <c r="C29" s="52" t="s">
        <v>519</v>
      </c>
      <c r="D29" s="52" t="s">
        <v>456</v>
      </c>
      <c r="E29" s="52" t="s">
        <v>550</v>
      </c>
      <c r="F29" s="52" t="s">
        <v>548</v>
      </c>
      <c r="G29" s="52" t="s">
        <v>479</v>
      </c>
    </row>
    <row r="30" customFormat="false" ht="30" hidden="false" customHeight="true" outlineLevel="0" collapsed="false">
      <c r="A30" s="52" t="s">
        <v>551</v>
      </c>
      <c r="B30" s="52" t="s">
        <v>508</v>
      </c>
      <c r="C30" s="52" t="s">
        <v>526</v>
      </c>
      <c r="D30" s="52" t="s">
        <v>456</v>
      </c>
      <c r="E30" s="52" t="s">
        <v>552</v>
      </c>
      <c r="F30" s="52" t="s">
        <v>548</v>
      </c>
      <c r="G30" s="52" t="s">
        <v>479</v>
      </c>
    </row>
    <row r="31" customFormat="false" ht="30" hidden="false" customHeight="true" outlineLevel="0" collapsed="false">
      <c r="A31" s="52" t="s">
        <v>553</v>
      </c>
      <c r="B31" s="52" t="s">
        <v>466</v>
      </c>
      <c r="C31" s="52" t="s">
        <v>472</v>
      </c>
      <c r="D31" s="52" t="s">
        <v>456</v>
      </c>
      <c r="E31" s="52" t="s">
        <v>554</v>
      </c>
      <c r="F31" s="52" t="s">
        <v>548</v>
      </c>
      <c r="G31" s="52" t="s">
        <v>479</v>
      </c>
    </row>
    <row r="32" customFormat="false" ht="30" hidden="false" customHeight="true" outlineLevel="0" collapsed="false">
      <c r="A32" s="52" t="s">
        <v>555</v>
      </c>
      <c r="B32" s="52" t="s">
        <v>508</v>
      </c>
      <c r="C32" s="52" t="s">
        <v>509</v>
      </c>
      <c r="D32" s="52" t="s">
        <v>510</v>
      </c>
      <c r="E32" s="52" t="s">
        <v>556</v>
      </c>
      <c r="F32" s="52" t="s">
        <v>542</v>
      </c>
      <c r="G32" s="52" t="s">
        <v>479</v>
      </c>
    </row>
    <row r="33" customFormat="false" ht="30" hidden="false" customHeight="true" outlineLevel="0" collapsed="false">
      <c r="A33" s="52" t="s">
        <v>557</v>
      </c>
      <c r="B33" s="52" t="s">
        <v>508</v>
      </c>
      <c r="C33" s="52" t="s">
        <v>523</v>
      </c>
      <c r="D33" s="53" t="s">
        <v>445</v>
      </c>
      <c r="E33" s="52" t="s">
        <v>558</v>
      </c>
      <c r="F33" s="52" t="s">
        <v>559</v>
      </c>
      <c r="G33" s="52" t="s">
        <v>479</v>
      </c>
    </row>
    <row r="35" customFormat="false" ht="15" hidden="false" customHeight="false" outlineLevel="0" collapsed="false">
      <c r="A35" s="54" t="s">
        <v>560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2" min="2" style="0" width="30"/>
    <col collapsed="false" customWidth="true" hidden="false" outlineLevel="0" max="3" min="3" style="0" width="12"/>
    <col collapsed="false" customWidth="true" hidden="false" outlineLevel="0" max="4" min="4" style="0" width="8"/>
    <col collapsed="false" customWidth="true" hidden="false" outlineLevel="0" max="5" min="5" style="0" width="96"/>
    <col collapsed="false" customWidth="true" hidden="false" outlineLevel="0" max="12" min="6" style="0" width="13"/>
  </cols>
  <sheetData>
    <row r="1" customFormat="false" ht="15" hidden="false" customHeight="false" outlineLevel="0" collapsed="false">
      <c r="A1" s="1" t="s">
        <v>561</v>
      </c>
    </row>
    <row r="2" customFormat="false" ht="15" hidden="false" customHeight="false" outlineLevel="0" collapsed="false">
      <c r="A2" s="2" t="s">
        <v>562</v>
      </c>
    </row>
    <row r="4" customFormat="false" ht="15" hidden="false" customHeight="false" outlineLevel="0" collapsed="false">
      <c r="A4" s="4" t="s">
        <v>563</v>
      </c>
    </row>
    <row r="5" customFormat="false" ht="15" hidden="false" customHeight="false" outlineLevel="0" collapsed="false">
      <c r="B5" s="19" t="s">
        <v>564</v>
      </c>
      <c r="C5" s="19" t="s">
        <v>565</v>
      </c>
      <c r="D5" s="19" t="s">
        <v>566</v>
      </c>
      <c r="E5" s="19" t="s">
        <v>567</v>
      </c>
      <c r="F5" s="19" t="s">
        <v>568</v>
      </c>
      <c r="G5" s="19" t="s">
        <v>569</v>
      </c>
      <c r="H5" s="19" t="s">
        <v>570</v>
      </c>
      <c r="I5" s="19" t="s">
        <v>571</v>
      </c>
      <c r="J5" s="19" t="s">
        <v>572</v>
      </c>
      <c r="K5" s="19" t="s">
        <v>573</v>
      </c>
      <c r="L5" s="19" t="s">
        <v>574</v>
      </c>
      <c r="M5" s="19" t="s">
        <v>575</v>
      </c>
    </row>
    <row r="6" customFormat="false" ht="15" hidden="false" customHeight="false" outlineLevel="0" collapsed="false">
      <c r="B6" s="41" t="s">
        <v>400</v>
      </c>
      <c r="C6" s="41" t="s">
        <v>576</v>
      </c>
      <c r="D6" s="41" t="n">
        <v>20</v>
      </c>
      <c r="E6" s="41" t="s">
        <v>577</v>
      </c>
      <c r="F6" s="55" t="n">
        <v>21.76</v>
      </c>
      <c r="G6" s="55" t="n">
        <v>18.911</v>
      </c>
      <c r="H6" s="55" t="n">
        <v>20.609</v>
      </c>
      <c r="I6" s="55" t="n">
        <v>21.744</v>
      </c>
      <c r="J6" s="55" t="n">
        <v>22.949</v>
      </c>
      <c r="K6" s="55" t="n">
        <v>24.947</v>
      </c>
      <c r="L6" s="55" t="n">
        <v>0.3066</v>
      </c>
      <c r="M6" s="55" t="s">
        <v>310</v>
      </c>
    </row>
    <row r="7" customFormat="false" ht="15" hidden="false" customHeight="false" outlineLevel="0" collapsed="false">
      <c r="B7" s="41" t="s">
        <v>400</v>
      </c>
      <c r="C7" s="41" t="s">
        <v>576</v>
      </c>
      <c r="D7" s="41" t="n">
        <v>60</v>
      </c>
      <c r="E7" s="41" t="s">
        <v>578</v>
      </c>
      <c r="F7" s="55" t="n">
        <v>21.76</v>
      </c>
      <c r="G7" s="55" t="n">
        <v>17.101</v>
      </c>
      <c r="H7" s="55" t="n">
        <v>19.806</v>
      </c>
      <c r="I7" s="55" t="n">
        <v>21.727</v>
      </c>
      <c r="J7" s="55" t="n">
        <v>23.842</v>
      </c>
      <c r="K7" s="55" t="n">
        <v>27.699</v>
      </c>
      <c r="L7" s="55" t="n">
        <v>0.3066</v>
      </c>
      <c r="M7" s="55" t="s">
        <v>310</v>
      </c>
    </row>
    <row r="9" customFormat="false" ht="45.75" hidden="false" customHeight="true" outlineLevel="0" collapsed="false">
      <c r="A9" s="34" t="s">
        <v>579</v>
      </c>
    </row>
    <row r="11" customFormat="false" ht="15" hidden="false" customHeight="false" outlineLevel="0" collapsed="false">
      <c r="A11" s="4" t="s">
        <v>580</v>
      </c>
    </row>
    <row r="12" customFormat="false" ht="15" hidden="false" customHeight="false" outlineLevel="0" collapsed="false">
      <c r="B12" s="19" t="s">
        <v>581</v>
      </c>
      <c r="C12" s="19" t="s">
        <v>582</v>
      </c>
      <c r="D12" s="19" t="s">
        <v>583</v>
      </c>
    </row>
    <row r="13" customFormat="false" ht="15" hidden="false" customHeight="false" outlineLevel="0" collapsed="false">
      <c r="A13" s="5" t="s">
        <v>227</v>
      </c>
      <c r="B13" s="56" t="s">
        <v>584</v>
      </c>
      <c r="C13" s="57" t="s">
        <v>585</v>
      </c>
      <c r="D13" s="57" t="s">
        <v>586</v>
      </c>
    </row>
    <row r="14" customFormat="false" ht="15" hidden="false" customHeight="false" outlineLevel="0" collapsed="false">
      <c r="A14" s="5" t="s">
        <v>133</v>
      </c>
      <c r="B14" s="56" t="s">
        <v>587</v>
      </c>
      <c r="C14" s="57" t="s">
        <v>588</v>
      </c>
      <c r="D14" s="57" t="s">
        <v>589</v>
      </c>
    </row>
    <row r="15" customFormat="false" ht="15" hidden="false" customHeight="false" outlineLevel="0" collapsed="false">
      <c r="A15" s="5" t="s">
        <v>366</v>
      </c>
      <c r="B15" s="56" t="s">
        <v>590</v>
      </c>
      <c r="C15" s="57" t="s">
        <v>591</v>
      </c>
      <c r="D15" s="57" t="s">
        <v>592</v>
      </c>
    </row>
    <row r="16" customFormat="false" ht="15" hidden="false" customHeight="false" outlineLevel="0" collapsed="false">
      <c r="A16" s="5" t="s">
        <v>367</v>
      </c>
      <c r="B16" s="56" t="s">
        <v>593</v>
      </c>
      <c r="C16" s="57" t="s">
        <v>591</v>
      </c>
      <c r="D16" s="57" t="s">
        <v>592</v>
      </c>
    </row>
    <row r="17" customFormat="false" ht="15" hidden="false" customHeight="false" outlineLevel="0" collapsed="false">
      <c r="A17" s="5" t="s">
        <v>594</v>
      </c>
      <c r="B17" s="56" t="s">
        <v>595</v>
      </c>
      <c r="C17" s="57" t="s">
        <v>591</v>
      </c>
      <c r="D17" s="57" t="s">
        <v>592</v>
      </c>
    </row>
    <row r="18" customFormat="false" ht="15" hidden="false" customHeight="false" outlineLevel="0" collapsed="false">
      <c r="A18" s="5" t="s">
        <v>368</v>
      </c>
      <c r="B18" s="56" t="s">
        <v>596</v>
      </c>
      <c r="C18" s="57" t="s">
        <v>591</v>
      </c>
      <c r="D18" s="57" t="s">
        <v>592</v>
      </c>
    </row>
    <row r="19" customFormat="false" ht="15" hidden="false" customHeight="false" outlineLevel="0" collapsed="false">
      <c r="A19" s="5" t="s">
        <v>597</v>
      </c>
      <c r="B19" s="56" t="s">
        <v>598</v>
      </c>
      <c r="C19" s="57" t="s">
        <v>599</v>
      </c>
      <c r="D19" s="57" t="s">
        <v>589</v>
      </c>
    </row>
    <row r="20" customFormat="false" ht="15" hidden="false" customHeight="false" outlineLevel="0" collapsed="false">
      <c r="A20" s="5" t="s">
        <v>432</v>
      </c>
      <c r="B20" s="56" t="s">
        <v>600</v>
      </c>
      <c r="C20" s="57" t="s">
        <v>599</v>
      </c>
      <c r="D20" s="57" t="s">
        <v>589</v>
      </c>
    </row>
    <row r="21" customFormat="false" ht="15" hidden="false" customHeight="false" outlineLevel="0" collapsed="false">
      <c r="A21" s="5" t="s">
        <v>601</v>
      </c>
      <c r="B21" s="56" t="s">
        <v>602</v>
      </c>
      <c r="C21" s="57" t="s">
        <v>599</v>
      </c>
      <c r="D21" s="57" t="s">
        <v>589</v>
      </c>
    </row>
    <row r="23" customFormat="false" ht="43.5" hidden="false" customHeight="true" outlineLevel="0" collapsed="false">
      <c r="A23" s="34" t="s">
        <v>603</v>
      </c>
    </row>
    <row r="25" customFormat="false" ht="15" hidden="false" customHeight="false" outlineLevel="0" collapsed="false">
      <c r="A25" s="4" t="s">
        <v>604</v>
      </c>
    </row>
    <row r="26" customFormat="false" ht="15" hidden="false" customHeight="false" outlineLevel="0" collapsed="false">
      <c r="B26" s="19" t="s">
        <v>605</v>
      </c>
      <c r="C26" s="19" t="s">
        <v>606</v>
      </c>
      <c r="D26" s="19" t="s">
        <v>607</v>
      </c>
      <c r="E26" s="19" t="s">
        <v>608</v>
      </c>
    </row>
    <row r="27" customFormat="false" ht="42" hidden="false" customHeight="true" outlineLevel="0" collapsed="false">
      <c r="B27" s="58" t="s">
        <v>60</v>
      </c>
      <c r="C27" s="52" t="s">
        <v>609</v>
      </c>
      <c r="D27" s="52" t="s">
        <v>610</v>
      </c>
      <c r="E27" s="52" t="s">
        <v>611</v>
      </c>
    </row>
    <row r="28" customFormat="false" ht="42" hidden="false" customHeight="true" outlineLevel="0" collapsed="false">
      <c r="B28" s="58" t="s">
        <v>612</v>
      </c>
      <c r="C28" s="52" t="s">
        <v>613</v>
      </c>
      <c r="D28" s="52" t="s">
        <v>610</v>
      </c>
      <c r="E28" s="52" t="s">
        <v>614</v>
      </c>
    </row>
    <row r="29" customFormat="false" ht="42" hidden="false" customHeight="true" outlineLevel="0" collapsed="false">
      <c r="B29" s="58" t="s">
        <v>615</v>
      </c>
      <c r="C29" s="52" t="s">
        <v>616</v>
      </c>
      <c r="D29" s="52" t="s">
        <v>610</v>
      </c>
      <c r="E29" s="52" t="s">
        <v>617</v>
      </c>
    </row>
    <row r="30" customFormat="false" ht="42" hidden="false" customHeight="true" outlineLevel="0" collapsed="false">
      <c r="B30" s="58" t="s">
        <v>618</v>
      </c>
      <c r="C30" s="52" t="s">
        <v>619</v>
      </c>
      <c r="D30" s="52" t="s">
        <v>610</v>
      </c>
      <c r="E30" s="52" t="s">
        <v>620</v>
      </c>
    </row>
    <row r="31" customFormat="false" ht="42" hidden="false" customHeight="true" outlineLevel="0" collapsed="false">
      <c r="B31" s="58" t="s">
        <v>621</v>
      </c>
      <c r="C31" s="52" t="s">
        <v>622</v>
      </c>
      <c r="D31" s="52" t="s">
        <v>610</v>
      </c>
      <c r="E31" s="52" t="s">
        <v>623</v>
      </c>
    </row>
    <row r="32" customFormat="false" ht="42" hidden="false" customHeight="true" outlineLevel="0" collapsed="false">
      <c r="B32" s="58" t="s">
        <v>53</v>
      </c>
      <c r="C32" s="52" t="s">
        <v>624</v>
      </c>
      <c r="D32" s="52" t="s">
        <v>610</v>
      </c>
      <c r="E32" s="52" t="s">
        <v>625</v>
      </c>
    </row>
    <row r="33" customFormat="false" ht="42" hidden="false" customHeight="true" outlineLevel="0" collapsed="false">
      <c r="B33" s="58" t="s">
        <v>626</v>
      </c>
      <c r="C33" s="52" t="s">
        <v>627</v>
      </c>
      <c r="D33" s="52" t="s">
        <v>610</v>
      </c>
      <c r="E33" s="52" t="s">
        <v>628</v>
      </c>
    </row>
    <row r="34" customFormat="false" ht="42" hidden="false" customHeight="true" outlineLevel="0" collapsed="false">
      <c r="B34" s="58" t="s">
        <v>103</v>
      </c>
      <c r="C34" s="52" t="s">
        <v>629</v>
      </c>
      <c r="D34" s="52" t="s">
        <v>610</v>
      </c>
      <c r="E34" s="52" t="s">
        <v>630</v>
      </c>
    </row>
    <row r="35" customFormat="false" ht="42" hidden="false" customHeight="true" outlineLevel="0" collapsed="false">
      <c r="B35" s="58" t="s">
        <v>631</v>
      </c>
      <c r="C35" s="52" t="s">
        <v>632</v>
      </c>
      <c r="D35" s="52" t="s">
        <v>633</v>
      </c>
      <c r="E35" s="52" t="s">
        <v>634</v>
      </c>
    </row>
    <row r="37" customFormat="false" ht="37.3" hidden="false" customHeight="false" outlineLevel="0" collapsed="false">
      <c r="A37" s="34" t="s">
        <v>635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2026-07-11T16:52:38Z</dcterms:created>
  <dc:creator>openpyxl</dc:creator>
  <dc:description/>
  <dc:language>en-US</dc:language>
  <cp:lastModifiedBy/>
  <dcterms:modified xsi:type="dcterms:W3CDTF">2026-07-11T16:52:38Z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