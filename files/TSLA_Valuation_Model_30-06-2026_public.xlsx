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FIRST" sheetId="1" state="visible" r:id="rId3"/>
    <sheet name="Summary" sheetId="2" state="visible" r:id="rId4"/>
    <sheet name="Fundamental Valuation" sheetId="3" state="visible" r:id="rId5"/>
    <sheet name="Assumptions" sheetId="4" state="visible" r:id="rId6"/>
    <sheet name="SOTP" sheetId="5" state="visible" r:id="rId7"/>
    <sheet name="Segments" sheetId="6" state="visible" r:id="rId8"/>
    <sheet name="Relative &amp; Normalized" sheetId="7" state="visible" r:id="rId9"/>
    <sheet name="DCF" sheetId="8" state="visible" r:id="rId10"/>
    <sheet name="Income Statement" sheetId="9" state="visible" r:id="rId11"/>
    <sheet name="Balance Sheet" sheetId="10" state="visible" r:id="rId12"/>
    <sheet name="Cash Flow" sheetId="11" state="visible" r:id="rId13"/>
    <sheet name="Summary Financials" sheetId="12" state="visible" r:id="rId14"/>
    <sheet name="Monte Carlo" sheetId="13" state="visible" r:id="rId15"/>
    <sheet name="Sensitivity" sheetId="14" state="visible" r:id="rId16"/>
    <sheet name="Per-Share &amp; Ratios" sheetId="15" state="visible" r:id="rId17"/>
    <sheet name="Peer &amp; Sector" sheetId="16" state="visible" r:id="rId1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<sst xmlns="http://schemas.openxmlformats.org/spreadsheetml/2006/main" count="393" uniqueCount="304">
  <si>
    <t xml:space="preserve">Testahil — Independent Valuation Study — Educational Analysis</t>
  </si>
  <si>
    <t xml:space="preserve">Tesla, Inc. (NASDAQ: TSLA) · companion model · edition 30-06-2026 · reporting currency USD</t>
  </si>
  <si>
    <t xml:space="preserve">READ FIRST — what this workbook is, and is not.</t>
  </si>
  <si>
    <t xml:space="preserve">This workbook is the companion model to the Tesla valuation study. It is an educational exercise in transparent valuation: every assumption is a blue input on the Assumptions sheet, and every downstream figure links back to it, so you can change any input and reprice the whole model.</t>
  </si>
  <si>
    <t xml:space="preserve">It is NOT investment advice, NOT a recommendation or solicitation to buy, sell or hold any security, and NOT directed at the circumstances of any reader. The preparer is not licensed by any securities regulator, holds no brokerage authorisation, manages no money and accepts no clients.</t>
  </si>
  <si>
    <t xml:space="preserve">Reported financials are Tesla's own disclosure (SEC filings, ir.tesla.com). Forward-looking inputs — the autonomy/AI optionality value, the segment marks, operating margins, multiples, the DCF and the Monte-Carlo factor probabilities — are the preparer's judgments and are flagged blue.</t>
  </si>
  <si>
    <t xml:space="preserve">Colour key:  BLUE = input you can change (Assumptions).  BLACK = formula.  GREEN = link pulling from another sheet.</t>
  </si>
  <si>
    <t xml:space="preserve">The Monte Carlo is a price model, not a forecast; it encodes subjective probabilities for events that have not happened and says nothing about value. Spot and market data are as of 30 June 2026 and change continuously. The preparer may hold, and may in future take or dispose of, a position in the security discussed. Consult a licensed professional before any decision.</t>
  </si>
  <si>
    <t xml:space="preserve">Summary — Tesla, Inc. (NASDAQ: TSLA)</t>
  </si>
  <si>
    <t xml:space="preserve">30 Jun 2026 · reporting currency USD · educational valuation study</t>
  </si>
  <si>
    <t xml:space="preserve">Spot price (USD)</t>
  </si>
  <si>
    <t xml:space="preserve">Shares (bn)</t>
  </si>
  <si>
    <t xml:space="preserve">Market cap (USD bn)</t>
  </si>
  <si>
    <t xml:space="preserve">Weighted central fair value (USD)</t>
  </si>
  <si>
    <t xml:space="preserve">vs spot</t>
  </si>
  <si>
    <t xml:space="preserve">Valuation range (USD/sh)</t>
  </si>
  <si>
    <t xml:space="preserve">SOTP — base (primary)</t>
  </si>
  <si>
    <t xml:space="preserve">DCF — cross-check</t>
  </si>
  <si>
    <t xml:space="preserve">Relative (blended)</t>
  </si>
  <si>
    <t xml:space="preserve">Normalized earnings</t>
  </si>
  <si>
    <t xml:space="preserve">Autonomy-at-scale (SOTP bull)</t>
  </si>
  <si>
    <t xml:space="preserve">Monte Carlo (3-month, 50k paths, seed 42)</t>
  </si>
  <si>
    <t xml:space="preserve">T+60 median (USD)</t>
  </si>
  <si>
    <t xml:space="preserve">T+60 5%–95% band (USD)</t>
  </si>
  <si>
    <t xml:space="preserve">Read: richly valued on fundamentals; the case is an autonomy/AI optionality bet. This is a valuation, not advice.</t>
  </si>
  <si>
    <t xml:space="preserve">Fundamental valuation — four lenses</t>
  </si>
  <si>
    <t xml:space="preserve">DCF is the primary anchor; SOTP isolates the autonomy option. All values link from their sheets.</t>
  </si>
  <si>
    <t xml:space="preserve">Method</t>
  </si>
  <si>
    <t xml:space="preserve">USD / sh</t>
  </si>
  <si>
    <t xml:space="preserve">Weight</t>
  </si>
  <si>
    <t xml:space="preserve">SOTP — segments + option (primary)</t>
  </si>
  <si>
    <t xml:space="preserve">Consolidated DCF (cross-check)</t>
  </si>
  <si>
    <t xml:space="preserve">Relative multiples (blended)</t>
  </si>
  <si>
    <t xml:space="preserve">Normalized earnings power</t>
  </si>
  <si>
    <t xml:space="preserve">WEIGHTED CENTRAL</t>
  </si>
  <si>
    <t xml:space="preserve">Memo: autonomy-at-scale (SOTP bull)</t>
  </si>
  <si>
    <t xml:space="preserve">Memo: spot (USD)</t>
  </si>
  <si>
    <t xml:space="preserve">Memo: Monte Carlo T+60 median (USD)</t>
  </si>
  <si>
    <t xml:space="preserve">All four operating lenses sit below spot; only the autonomy-at-scale case exceeds it. The dispersion is the widest in coverage.</t>
  </si>
  <si>
    <t xml:space="preserve">Assumptions — single input layer</t>
  </si>
  <si>
    <t xml:space="preserve">All blue cells are inputs. Every other sheet links to this sheet.</t>
  </si>
  <si>
    <t xml:space="preserve">Market</t>
  </si>
  <si>
    <t xml:space="preserve">Spot price (USD, 30 Jun 2026 close)</t>
  </si>
  <si>
    <t xml:space="preserve">Shares outstanding (bn)</t>
  </si>
  <si>
    <t xml:space="preserve">Net cash &amp; investments (USD bn)</t>
  </si>
  <si>
    <t xml:space="preserve">DCF — operating forecast</t>
  </si>
  <si>
    <t xml:space="preserve">Year</t>
  </si>
  <si>
    <t xml:space="preserve">2026e</t>
  </si>
  <si>
    <t xml:space="preserve">2027e</t>
  </si>
  <si>
    <t xml:space="preserve">2028e</t>
  </si>
  <si>
    <t xml:space="preserve">2029e</t>
  </si>
  <si>
    <t xml:space="preserve">2030e</t>
  </si>
  <si>
    <t xml:space="preserve">Revenue (USD bn)</t>
  </si>
  <si>
    <t xml:space="preserve">EBIT margin</t>
  </si>
  <si>
    <t xml:space="preserve">D&amp;A (USD bn)</t>
  </si>
  <si>
    <t xml:space="preserve">Capex (USD bn)</t>
  </si>
  <si>
    <t xml:space="preserve">Δ working capital (USD bn)</t>
  </si>
  <si>
    <t xml:space="preserve">Tax rate</t>
  </si>
  <si>
    <t xml:space="preserve">WACC</t>
  </si>
  <si>
    <t xml:space="preserve">Terminal growth</t>
  </si>
  <si>
    <t xml:space="preserve">SOTP — segment &amp; optionality (per share)</t>
  </si>
  <si>
    <t xml:space="preserve">Automotive value / sh</t>
  </si>
  <si>
    <t xml:space="preserve">Energy gen. &amp; storage / sh</t>
  </si>
  <si>
    <t xml:space="preserve">Services &amp; other / sh</t>
  </si>
  <si>
    <t xml:space="preserve">Net cash &amp; investments / sh</t>
  </si>
  <si>
    <t xml:space="preserve">Autonomy option — full-scale value / sh</t>
  </si>
  <si>
    <t xml:space="preserve">Autonomy option — base probability weight</t>
  </si>
  <si>
    <t xml:space="preserve">Relative &amp; normalized multiples</t>
  </si>
  <si>
    <t xml:space="preserve">EV / Sales multiple</t>
  </si>
  <si>
    <t xml:space="preserve">EV / EBITDA multiple</t>
  </si>
  <si>
    <t xml:space="preserve">P / E multiple (relative)</t>
  </si>
  <si>
    <t xml:space="preserve">Normalized EBITDA (USD bn)</t>
  </si>
  <si>
    <t xml:space="preserve">Normalized net earnings (USD bn)</t>
  </si>
  <si>
    <t xml:space="preserve">Normalized P/E multiple</t>
  </si>
  <si>
    <t xml:space="preserve">Normalized earnings — power lens (USD bn)</t>
  </si>
  <si>
    <t xml:space="preserve">Lens weights (synthesis — four lenses)</t>
  </si>
  <si>
    <t xml:space="preserve">Relative multiples</t>
  </si>
  <si>
    <t xml:space="preserve">Weights total</t>
  </si>
  <si>
    <t xml:space="preserve">Memo: autonomy-at-scale (SOTP bull, not weighted)</t>
  </si>
  <si>
    <t xml:space="preserve">Segment sum-of-the-parts — isolating the optionality</t>
  </si>
  <si>
    <t xml:space="preserve">Cross-check that separates the operating businesses from the autonomy option. Marks link to Assumptions.</t>
  </si>
  <si>
    <t xml:space="preserve">Component (per share)</t>
  </si>
  <si>
    <t xml:space="preserve">Basis</t>
  </si>
  <si>
    <t xml:space="preserve">Automotive</t>
  </si>
  <si>
    <t xml:space="preserve">normalized EBIT multiple</t>
  </si>
  <si>
    <t xml:space="preserve">Energy generation &amp; storage</t>
  </si>
  <si>
    <t xml:space="preserve">growth multiple</t>
  </si>
  <si>
    <t xml:space="preserve">Services &amp; other</t>
  </si>
  <si>
    <t xml:space="preserve">modest multiple</t>
  </si>
  <si>
    <t xml:space="preserve">Net cash &amp; investments</t>
  </si>
  <si>
    <t xml:space="preserve">balance sheet</t>
  </si>
  <si>
    <t xml:space="preserve">Operating businesses subtotal</t>
  </si>
  <si>
    <t xml:space="preserve">Autonomy option — full-scale value</t>
  </si>
  <si>
    <t xml:space="preserve">Robotaxi + FSD + Optimus</t>
  </si>
  <si>
    <t xml:space="preserve">Base probability weight</t>
  </si>
  <si>
    <t xml:space="preserve">Autonomy option (risk-weighted, base)</t>
  </si>
  <si>
    <t xml:space="preserve">SOTP — base (opt. risk-weighted)</t>
  </si>
  <si>
    <t xml:space="preserve">SOTP — autonomy bull (opt. at full scale)</t>
  </si>
  <si>
    <t xml:space="preserve">SOTP — core-only bear (opt. → 0)</t>
  </si>
  <si>
    <t xml:space="preserve">vs spot — base</t>
  </si>
  <si>
    <t xml:space="preserve">vs spot — bull</t>
  </si>
  <si>
    <t xml:space="preserve">vs spot — bear</t>
  </si>
  <si>
    <t xml:space="preserve">The autonomy option is the swing factor: the entire gap to spot is a probability weight on an outcome that has not happened.</t>
  </si>
  <si>
    <t xml:space="preserve">Segments — operating revenue build</t>
  </si>
  <si>
    <t xml:space="preserve">Segment revenue links to the Income Statement; used by the SOTP.</t>
  </si>
  <si>
    <t xml:space="preserve">Segment revenue (USD bn)</t>
  </si>
  <si>
    <t xml:space="preserve">2025a</t>
  </si>
  <si>
    <t xml:space="preserve">Total revenue</t>
  </si>
  <si>
    <t xml:space="preserve">Segment mix (2030e)</t>
  </si>
  <si>
    <t xml:space="preserve">Automotive %</t>
  </si>
  <si>
    <t xml:space="preserve">Energy %</t>
  </si>
  <si>
    <t xml:space="preserve">Services %</t>
  </si>
  <si>
    <t xml:space="preserve">Relative multiples &amp; normalized earnings</t>
  </si>
  <si>
    <t xml:space="preserve">Multiples and metrics link to Assumptions and the Income Statement.</t>
  </si>
  <si>
    <t xml:space="preserve">Relative lens</t>
  </si>
  <si>
    <t xml:space="preserve">Metric (USD bn)</t>
  </si>
  <si>
    <t xml:space="preserve">Multiple</t>
  </si>
  <si>
    <t xml:space="preserve">Implied / sh</t>
  </si>
  <si>
    <t xml:space="preserve">EV / Sales</t>
  </si>
  <si>
    <t xml:space="preserve">EV / EBITDA</t>
  </si>
  <si>
    <t xml:space="preserve">P / E</t>
  </si>
  <si>
    <t xml:space="preserve">Blended relative value</t>
  </si>
  <si>
    <t xml:space="preserve">Normalized P/E</t>
  </si>
  <si>
    <t xml:space="preserve">Normalized value / sh (USD)</t>
  </si>
  <si>
    <t xml:space="preserve">No clean peer set exists; the relative lens is the least informative and is a discipline, not the anchor.</t>
  </si>
  <si>
    <t xml:space="preserve">DCF — going-concern (primary lens)</t>
  </si>
  <si>
    <t xml:space="preserve">Unlevered FCFF on the operating business. Drivers link to Assumptions.</t>
  </si>
  <si>
    <t xml:space="preserve">FCFF build (USD bn)</t>
  </si>
  <si>
    <t xml:space="preserve">Revenue</t>
  </si>
  <si>
    <t xml:space="preserve">EBIT</t>
  </si>
  <si>
    <t xml:space="preserve">NOPAT (after tax)</t>
  </si>
  <si>
    <t xml:space="preserve">(+) D&amp;A</t>
  </si>
  <si>
    <t xml:space="preserve">(−) Capex</t>
  </si>
  <si>
    <t xml:space="preserve">(−) Δ working capital</t>
  </si>
  <si>
    <t xml:space="preserve">Unlevered FCFF</t>
  </si>
  <si>
    <t xml:space="preserve">Discount period (t)</t>
  </si>
  <si>
    <t xml:space="preserve">Discount factor</t>
  </si>
  <si>
    <t xml:space="preserve">PV of FCFF</t>
  </si>
  <si>
    <t xml:space="preserve">DCF bridge to value</t>
  </si>
  <si>
    <t xml:space="preserve">PV of explicit FCFF (2026e–2030e)</t>
  </si>
  <si>
    <t xml:space="preserve">Terminal value (Gordon, on 2030e FCFF)</t>
  </si>
  <si>
    <t xml:space="preserve">PV of terminal value</t>
  </si>
  <si>
    <t xml:space="preserve">Enterprise value</t>
  </si>
  <si>
    <t xml:space="preserve">(+) Net cash &amp; investments</t>
  </si>
  <si>
    <t xml:space="preserve">Equity value</t>
  </si>
  <si>
    <t xml:space="preserve">DCF value / share (USD)</t>
  </si>
  <si>
    <t xml:space="preserve">Note: value is dominated by the terminal year; see Sensitivity for the WACC×g grid.</t>
  </si>
  <si>
    <t xml:space="preserve">Consolidated income statement (USD bn)</t>
  </si>
  <si>
    <t xml:space="preserve">Actuals: Tesla Q4/FY2025 Update &amp; FY2025 10-K (SEC). Forecast drivers link to Assumptions.</t>
  </si>
  <si>
    <t xml:space="preserve">Income statement</t>
  </si>
  <si>
    <t xml:space="preserve">2023a</t>
  </si>
  <si>
    <t xml:space="preserve">2024a</t>
  </si>
  <si>
    <t xml:space="preserve">Automotive revenue</t>
  </si>
  <si>
    <t xml:space="preserve">Energy gen. &amp; storage</t>
  </si>
  <si>
    <t xml:space="preserve">growth YoY</t>
  </si>
  <si>
    <t xml:space="preserve">(Cost &amp; opex)</t>
  </si>
  <si>
    <t xml:space="preserve">Operating profit</t>
  </si>
  <si>
    <t xml:space="preserve">Net interest &amp; other</t>
  </si>
  <si>
    <t xml:space="preserve">Pre-tax profit</t>
  </si>
  <si>
    <t xml:space="preserve">Tax &amp; minorities</t>
  </si>
  <si>
    <t xml:space="preserve">Net profit attributable</t>
  </si>
  <si>
    <t xml:space="preserve">EPS (USD)</t>
  </si>
  <si>
    <t xml:space="preserve">FY2023 net income includes a ~USD 5.9bn one-time deferred-tax benefit. FY2025 was the first annual revenue decline in Tesla's history.</t>
  </si>
  <si>
    <t xml:space="preserve">Consolidated balance sheet (USD bn)</t>
  </si>
  <si>
    <t xml:space="preserve">Anchored to Tesla's reported totals; sub-lines are approximate allocations.</t>
  </si>
  <si>
    <t xml:space="preserve">Balance sheet</t>
  </si>
  <si>
    <t xml:space="preserve">Cash &amp; equivalents</t>
  </si>
  <si>
    <t xml:space="preserve">Short/long-term investments</t>
  </si>
  <si>
    <t xml:space="preserve">Receivables &amp; other</t>
  </si>
  <si>
    <t xml:space="preserve">Inventory</t>
  </si>
  <si>
    <t xml:space="preserve">Total current assets</t>
  </si>
  <si>
    <t xml:space="preserve">Property, plant &amp; equipment</t>
  </si>
  <si>
    <t xml:space="preserve">Other non-current assets</t>
  </si>
  <si>
    <t xml:space="preserve">Total assets</t>
  </si>
  <si>
    <t xml:space="preserve">Payables &amp; accrued</t>
  </si>
  <si>
    <t xml:space="preserve">Debt &amp; finance leases</t>
  </si>
  <si>
    <t xml:space="preserve">Other liabilities</t>
  </si>
  <si>
    <t xml:space="preserve">Total liabilities</t>
  </si>
  <si>
    <t xml:space="preserve">Total equity</t>
  </si>
  <si>
    <t xml:space="preserve">Net cash (cash+inv − debt)</t>
  </si>
  <si>
    <t xml:space="preserve">Net cash of ~USD 38bn is a real asset in the SOTP.</t>
  </si>
  <si>
    <t xml:space="preserve">Consolidated cash flow (simplified, USD bn)</t>
  </si>
  <si>
    <t xml:space="preserve">2026 capex step-up (&gt;USD 25bn) turns FCF sharply negative before recovery.</t>
  </si>
  <si>
    <t xml:space="preserve">Cash flow</t>
  </si>
  <si>
    <t xml:space="preserve">Operating cash flow</t>
  </si>
  <si>
    <t xml:space="preserve">Capex (investing)</t>
  </si>
  <si>
    <t xml:space="preserve">Free cash flow</t>
  </si>
  <si>
    <t xml:space="preserve">Forecast FCF ties to the unlevered FCFF on the DCF sheet (differences are financing/interest).</t>
  </si>
  <si>
    <t xml:space="preserve">Summary financials</t>
  </si>
  <si>
    <t xml:space="preserve">Every cell links to the statement sheets.</t>
  </si>
  <si>
    <t xml:space="preserve">USD bn</t>
  </si>
  <si>
    <t xml:space="preserve">Operating margin</t>
  </si>
  <si>
    <t xml:space="preserve">Net profit</t>
  </si>
  <si>
    <t xml:space="preserve">Net cash</t>
  </si>
  <si>
    <t xml:space="preserve">Monte Carlo — 3-month price map</t>
  </si>
  <si>
    <t xml:space="preserve">16 factors (7 continuous + 9 discrete) · 50,000 paths · seed 42 · realized vol 48%. Outputs from the companion engine.</t>
  </si>
  <si>
    <t xml:space="preserve">Engine parameters</t>
  </si>
  <si>
    <t xml:space="preserve">Anchor / spot (USD)</t>
  </si>
  <si>
    <t xml:space="preserve">Realized volatility (annualized)</t>
  </si>
  <si>
    <t xml:space="preserve">Net 3-month factor drift</t>
  </si>
  <si>
    <t xml:space="preserve">Annualized path volatility (with events)</t>
  </si>
  <si>
    <t xml:space="preserve">Percentile table (USD)</t>
  </si>
  <si>
    <t xml:space="preserve">Horizon</t>
  </si>
  <si>
    <t xml:space="preserve">5%</t>
  </si>
  <si>
    <t xml:space="preserve">25%</t>
  </si>
  <si>
    <t xml:space="preserve">Median</t>
  </si>
  <si>
    <t xml:space="preserve">75%</t>
  </si>
  <si>
    <t xml:space="preserve">95%</t>
  </si>
  <si>
    <t xml:space="preserve">T+20 (~1 month)</t>
  </si>
  <si>
    <t xml:space="preserve">T+60 (~3 months)</t>
  </si>
  <si>
    <t xml:space="preserve">Touch probabilities (chance price reaches level in window)</t>
  </si>
  <si>
    <t xml:space="preserve">Level (USD)</t>
  </si>
  <si>
    <t xml:space="preserve">by T+20</t>
  </si>
  <si>
    <t xml:space="preserve">by T+60</t>
  </si>
  <si>
    <t xml:space="preserve">Note</t>
  </si>
  <si>
    <t xml:space="preserve">toward recent highs</t>
  </si>
  <si>
    <t xml:space="preserve">toward 52-wk high</t>
  </si>
  <si>
    <t xml:space="preserve">above 52-wk high</t>
  </si>
  <si>
    <t xml:space="preserve">new-high extension</t>
  </si>
  <si>
    <t xml:space="preserve">support (MA cluster)</t>
  </si>
  <si>
    <t xml:space="preserve">below MAs</t>
  </si>
  <si>
    <t xml:space="preserve">deeper pullback</t>
  </si>
  <si>
    <t xml:space="preserve">range low / SOTP zone</t>
  </si>
  <si>
    <t xml:space="preserve">Factor structure (drift = 3-month, price-space; discrete = probability × impact)</t>
  </si>
  <si>
    <t xml:space="preserve">Factor</t>
  </si>
  <si>
    <t xml:space="preserve">Tier</t>
  </si>
  <si>
    <t xml:space="preserve">Drift / impact</t>
  </si>
  <si>
    <t xml:space="preserve">Prob.</t>
  </si>
  <si>
    <t xml:space="preserve">Auto ASP / gross-margin trajectory</t>
  </si>
  <si>
    <t xml:space="preserve">C</t>
  </si>
  <si>
    <t xml:space="preserve">—</t>
  </si>
  <si>
    <t xml:space="preserve">Delivery-volume trajectory</t>
  </si>
  <si>
    <t xml:space="preserve">Nasdaq / high-beta growth flows</t>
  </si>
  <si>
    <t xml:space="preserve">US real-rate / discount-rate path</t>
  </si>
  <si>
    <t xml:space="preserve">FSD / Robotaxi monetization ramp</t>
  </si>
  <si>
    <t xml:space="preserve">Energy-storage &amp; services growth</t>
  </si>
  <si>
    <t xml:space="preserve">Input cost / FX</t>
  </si>
  <si>
    <t xml:space="preserve">Robotaxi / unsupervised-FSD milestone</t>
  </si>
  <si>
    <t xml:space="preserve">E</t>
  </si>
  <si>
    <t xml:space="preserve">Quarterly delivery beat/miss</t>
  </si>
  <si>
    <t xml:space="preserve">Quarterly earnings/margin surprise</t>
  </si>
  <si>
    <t xml:space="preserve">Optimus / new-product progress</t>
  </si>
  <si>
    <t xml:space="preserve">China demand / price-war shock</t>
  </si>
  <si>
    <t xml:space="preserve">EV-credit / tariff / FSD-probe policy</t>
  </si>
  <si>
    <t xml:space="preserve">Key-person / governance / attention</t>
  </si>
  <si>
    <t xml:space="preserve">Broad Nasdaq risk-off</t>
  </si>
  <si>
    <t xml:space="preserve">M</t>
  </si>
  <si>
    <t xml:space="preserve">Energy megadeal / margin inflection</t>
  </si>
  <si>
    <t xml:space="preserve">The paths diffuse from spot and deliberately do not embed the §1 value gap, so the fundamental and probabilistic lenses stay independent.</t>
  </si>
  <si>
    <t xml:space="preserve">DCF sensitivity — value/share by WACC × terminal g</t>
  </si>
  <si>
    <t xml:space="preserve">Recomputes the DCF value for each WACC/g pairing off the FCFF stream. Base cell highlighted.</t>
  </si>
  <si>
    <t xml:space="preserve">WACC \ g</t>
  </si>
  <si>
    <t xml:space="preserve">Even the most generous corner stays far below spot: the operating business cannot reach the price on cash flows under any reasonable pairing.</t>
  </si>
  <si>
    <t xml:space="preserve">Per-share &amp; ratios</t>
  </si>
  <si>
    <t xml:space="preserve">Trailing and forward multiples on the model.</t>
  </si>
  <si>
    <t xml:space="preserve">Spot (USD)</t>
  </si>
  <si>
    <t xml:space="preserve">Net cash (USD bn)</t>
  </si>
  <si>
    <t xml:space="preserve">Enterprise value (USD bn)</t>
  </si>
  <si>
    <t xml:space="preserve">On FY2025a</t>
  </si>
  <si>
    <t xml:space="preserve">P/E (×)</t>
  </si>
  <si>
    <t xml:space="preserve">EV/Sales (×)</t>
  </si>
  <si>
    <t xml:space="preserve">On 2027e</t>
  </si>
  <si>
    <t xml:space="preserve">Forward P/E (×)</t>
  </si>
  <si>
    <t xml:space="preserve">Forward EV/Sales (×)</t>
  </si>
  <si>
    <t xml:space="preserve">Valuation</t>
  </si>
  <si>
    <t xml:space="preserve">Weighted central (USD)</t>
  </si>
  <si>
    <t xml:space="preserve">Implied P/E on central (2027e)</t>
  </si>
  <si>
    <t xml:space="preserve">At ~360× trailing earnings the multiple itself is a risk; a de-rating toward peer multiples is a large downside.</t>
  </si>
  <si>
    <t xml:space="preserve">Peer set, sector structure, and risks</t>
  </si>
  <si>
    <t xml:space="preserve">Competitive map and principal risks.</t>
  </si>
  <si>
    <t xml:space="preserve">Arena</t>
  </si>
  <si>
    <t xml:space="preserve">Leaders</t>
  </si>
  <si>
    <t xml:space="preserve">Tesla</t>
  </si>
  <si>
    <t xml:space="preserve">EV manufacturing</t>
  </si>
  <si>
    <t xml:space="preserve">BYD / Tesla / legacy OEMs</t>
  </si>
  <si>
    <t xml:space="preserve">co-leader</t>
  </si>
  <si>
    <t xml:space="preserve">BYD leads on volume/price</t>
  </si>
  <si>
    <t xml:space="preserve">Energy storage</t>
  </si>
  <si>
    <t xml:space="preserve">Tesla / CATL / Fluence</t>
  </si>
  <si>
    <t xml:space="preserve">top tier</t>
  </si>
  <si>
    <t xml:space="preserve">Megapack scaling fast</t>
  </si>
  <si>
    <t xml:space="preserve">Robotaxi / autonomy</t>
  </si>
  <si>
    <t xml:space="preserve">Waymo / Tesla</t>
  </si>
  <si>
    <t xml:space="preserve">challenger</t>
  </si>
  <si>
    <t xml:space="preserve">Waymo live in more cities</t>
  </si>
  <si>
    <t xml:space="preserve">Humanoid robotics</t>
  </si>
  <si>
    <t xml:space="preserve">Tesla / Figure / others</t>
  </si>
  <si>
    <t xml:space="preserve">early</t>
  </si>
  <si>
    <t xml:space="preserve">Optimus pre-revenue</t>
  </si>
  <si>
    <t xml:space="preserve">FSD / ADAS software</t>
  </si>
  <si>
    <t xml:space="preserve">Tesla / Mobileye</t>
  </si>
  <si>
    <t xml:space="preserve">leader (data)</t>
  </si>
  <si>
    <t xml:space="preserve">unproven at L4 scale</t>
  </si>
  <si>
    <t xml:space="preserve">Charging network</t>
  </si>
  <si>
    <t xml:space="preserve">Tesla (NACS) / others</t>
  </si>
  <si>
    <t xml:space="preserve">#1</t>
  </si>
  <si>
    <t xml:space="preserve">opened to other OEMs</t>
  </si>
  <si>
    <t xml:space="preserve">Principal risks</t>
  </si>
  <si>
    <t xml:space="preserve">Autonomy optionality — the dominant factor; a stall removes support for most of the price.</t>
  </si>
  <si>
    <t xml:space="preserve">Auto-margin compression — Chinese competition and price/incentive pressure erode the operating core.</t>
  </si>
  <si>
    <t xml:space="preserve">Policy and rates — EV-credit removal, tariffs, an adverse FSD probe, or higher-for-longer rates.</t>
  </si>
  <si>
    <t xml:space="preserve">Valuation / multiple — at ~360× trailing earnings a de-rating is a large, operations-independent downside.</t>
  </si>
  <si>
    <t xml:space="preserve">Key-person / governance — dependence on the founder's vision and attention, two-sided.</t>
  </si>
  <si>
    <t xml:space="preserve">Competition in every arena — Waymo, BYD, and multiple humanoid/storage firms.</t>
  </si>
</sst>
</file>

<file path=xl/styles.xml><?xml version="1.0" encoding="utf-8"?>
<styleSheet xmlns="http://schemas.openxmlformats.org/spreadsheetml/2006/main">
  <numFmts count="7">
    <numFmt numFmtId="164" formatCode="General"/>
    <numFmt numFmtId="165" formatCode="\$#,##0.00"/>
    <numFmt numFmtId="166" formatCode="#,##0.00"/>
    <numFmt numFmtId="167" formatCode="#,##0.0"/>
    <numFmt numFmtId="168" formatCode="\$#,##0"/>
    <numFmt numFmtId="169" formatCode="0.0%"/>
    <numFmt numFmtId="170" formatCode="0.0\x"/>
  </numFmts>
  <fonts count="14">
    <font>
      <sz val="11"/>
      <color theme="1"/>
      <name val="Calibri"/>
      <family val="2"/>
      <charset val="1"/>
    </font>
    <font>
      <sz val="10"/>
      <name val="Arial"/>
      <family val="0"/>
    </font>
    <font>
      <sz val="10"/>
      <name val="Arial"/>
      <family val="0"/>
    </font>
    <font>
      <sz val="10"/>
      <name val="Arial"/>
      <family val="0"/>
    </font>
    <font>
      <b val="true"/>
      <sz val="14"/>
      <color rgb="FF1B5E5E"/>
      <name val="Arial"/>
      <family val="0"/>
      <charset val="1"/>
    </font>
    <font>
      <b val="true"/>
      <sz val="11"/>
      <color rgb="FF1B5E5E"/>
      <name val="Arial"/>
      <family val="0"/>
      <charset val="1"/>
    </font>
    <font>
      <b val="true"/>
      <sz val="10"/>
      <color rgb="FF222222"/>
      <name val="Arial"/>
      <family val="0"/>
      <charset val="1"/>
    </font>
    <font>
      <sz val="10"/>
      <color rgb="FF222222"/>
      <name val="Arial"/>
      <family val="0"/>
      <charset val="1"/>
    </font>
    <font>
      <i val="true"/>
      <sz val="9"/>
      <color rgb="FF555555"/>
      <name val="Arial"/>
      <family val="0"/>
      <charset val="1"/>
    </font>
    <font>
      <sz val="10"/>
      <color rgb="FF008000"/>
      <name val="Arial"/>
      <family val="0"/>
      <charset val="1"/>
    </font>
    <font>
      <b val="true"/>
      <sz val="11"/>
      <color rgb="FFFFFFFF"/>
      <name val="Arial"/>
      <family val="0"/>
      <charset val="1"/>
    </font>
    <font>
      <b val="true"/>
      <sz val="12"/>
      <color rgb="FF1B5E5E"/>
      <name val="Arial"/>
      <family val="0"/>
      <charset val="1"/>
    </font>
    <font>
      <sz val="10"/>
      <color rgb="FF0000FF"/>
      <name val="Arial"/>
      <family val="0"/>
      <charset val="1"/>
    </font>
    <font>
      <sz val="11"/>
      <name val="Calibri"/>
      <family val="2"/>
      <charset val="1"/>
    </font>
  </fonts>
  <fills count="4">
    <fill>
      <patternFill patternType="none"/>
    </fill>
    <fill>
      <patternFill patternType="gray125"/>
    </fill>
    <fill>
      <patternFill patternType="solid">
        <fgColor rgb="FF1B5E5E"/>
        <bgColor rgb="FF008080"/>
      </patternFill>
    </fill>
    <fill>
      <patternFill patternType="solid">
        <fgColor rgb="FFEAF1F1"/>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right" vertical="bottom" textRotation="0" wrapText="false" indent="0" shrinkToFit="false"/>
      <protection locked="true" hidden="false"/>
    </xf>
    <xf numFmtId="164" fontId="10" fillId="2" borderId="0" xfId="0" applyFont="true" applyBorder="false" applyAlignment="true" applyProtection="false">
      <alignment horizontal="left" vertical="bottom" textRotation="0" wrapText="false" indent="0" shrinkToFit="false"/>
      <protection locked="true" hidden="false"/>
    </xf>
    <xf numFmtId="164" fontId="10" fillId="2" borderId="0" xfId="0" applyFont="true" applyBorder="false" applyAlignment="true" applyProtection="false">
      <alignment horizontal="right"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8" fontId="11" fillId="3"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9" fontId="12" fillId="0" borderId="0" xfId="0" applyFont="true" applyBorder="false" applyAlignment="false" applyProtection="false">
      <alignment horizontal="general" vertical="bottom"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70" fontId="12"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true" applyProtection="false">
      <alignment horizontal="right"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8" fontId="5" fillId="3"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5" fontId="5" fillId="3"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9" fontId="10" fillId="2" borderId="0" xfId="0" applyFont="true" applyBorder="false" applyAlignment="false" applyProtection="false">
      <alignment horizontal="general" vertical="bottom" textRotation="0" wrapText="false" indent="0" shrinkToFit="false"/>
      <protection locked="true" hidden="false"/>
    </xf>
    <xf numFmtId="168" fontId="6" fillId="3"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B5E5E"/>
      <rgbColor rgb="FFC0C0C0"/>
      <rgbColor rgb="FF808080"/>
      <rgbColor rgb="FF9999FF"/>
      <rgbColor rgb="FF993366"/>
      <rgbColor rgb="FFEAF1F1"/>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8"/>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true" outlineLevel="0" collapsed="false">
      <c r="A4" s="3" t="s">
        <v>2</v>
      </c>
    </row>
    <row r="6" customFormat="false" ht="45" hidden="false" customHeight="true" outlineLevel="0" collapsed="false">
      <c r="A6" s="4" t="s">
        <v>3</v>
      </c>
    </row>
    <row r="8" customFormat="false" ht="45" hidden="false" customHeight="true" outlineLevel="0" collapsed="false">
      <c r="A8" s="4" t="s">
        <v>4</v>
      </c>
    </row>
    <row r="10" customFormat="false" ht="45" hidden="false" customHeight="true" outlineLevel="0" collapsed="false">
      <c r="A10" s="4" t="s">
        <v>5</v>
      </c>
    </row>
    <row r="12" customFormat="false" ht="15" hidden="false" customHeight="true" outlineLevel="0" collapsed="false">
      <c r="A12" s="4" t="s">
        <v>6</v>
      </c>
    </row>
    <row r="14" customFormat="false" ht="45" hidden="false" customHeight="true" outlineLevel="0" collapsed="false">
      <c r="A14" s="4" t="s">
        <v>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8"/>
  </cols>
  <sheetData>
    <row r="1" customFormat="false" ht="17.35" hidden="false" customHeight="false" outlineLevel="0" collapsed="false">
      <c r="A1" s="1" t="s">
        <v>8</v>
      </c>
    </row>
    <row r="2" customFormat="false" ht="15" hidden="false" customHeight="false" outlineLevel="0" collapsed="false">
      <c r="A2" s="5" t="s">
        <v>9</v>
      </c>
    </row>
    <row r="4" customFormat="false" ht="15" hidden="false" customHeight="false" outlineLevel="0" collapsed="false">
      <c r="A4" s="6" t="s">
        <v>10</v>
      </c>
      <c r="B4" s="7" t="n">
        <f aca="false">Assumptions!B5</f>
        <v>420.6</v>
      </c>
    </row>
    <row r="5" customFormat="false" ht="15" hidden="false" customHeight="false" outlineLevel="0" collapsed="false">
      <c r="A5" s="6" t="s">
        <v>11</v>
      </c>
      <c r="B5" s="8" t="n">
        <f aca="false">Assumptions!B6</f>
        <v>3.23</v>
      </c>
    </row>
    <row r="6" customFormat="false" ht="15" hidden="false" customHeight="false" outlineLevel="0" collapsed="false">
      <c r="A6" s="6" t="s">
        <v>12</v>
      </c>
      <c r="B6" s="9" t="n">
        <f aca="false">B4*B5</f>
        <v>1358.538</v>
      </c>
    </row>
    <row r="8" customFormat="false" ht="15" hidden="false" customHeight="false" outlineLevel="0" collapsed="false">
      <c r="A8" s="10" t="s">
        <v>13</v>
      </c>
      <c r="B8" s="11" t="n">
        <f aca="false">'Fundamental Valuation'!B9</f>
        <v>174.120289751186</v>
      </c>
    </row>
    <row r="9" customFormat="false" ht="15" hidden="false" customHeight="false" outlineLevel="0" collapsed="false">
      <c r="A9" s="10" t="s">
        <v>14</v>
      </c>
      <c r="B9" s="12" t="n">
        <f aca="false">B8/B4-1</f>
        <v>-0.586019282569696</v>
      </c>
    </row>
    <row r="11" customFormat="false" ht="15" hidden="false" customHeight="false" outlineLevel="0" collapsed="false">
      <c r="A11" s="2" t="s">
        <v>15</v>
      </c>
    </row>
    <row r="12" customFormat="false" ht="15" hidden="false" customHeight="false" outlineLevel="0" collapsed="false">
      <c r="A12" s="6" t="s">
        <v>16</v>
      </c>
      <c r="B12" s="11" t="n">
        <f aca="false">SOTP!C15</f>
        <v>230.92</v>
      </c>
    </row>
    <row r="13" customFormat="false" ht="15" hidden="false" customHeight="false" outlineLevel="0" collapsed="false">
      <c r="A13" s="6" t="s">
        <v>17</v>
      </c>
      <c r="B13" s="11" t="n">
        <f aca="false">DCF!B26</f>
        <v>89.8759998395216</v>
      </c>
    </row>
    <row r="14" customFormat="false" ht="15" hidden="false" customHeight="false" outlineLevel="0" collapsed="false">
      <c r="A14" s="6" t="s">
        <v>18</v>
      </c>
      <c r="B14" s="11" t="n">
        <f aca="false">'Relative &amp; Normalized'!D8</f>
        <v>172.34262125903</v>
      </c>
    </row>
    <row r="15" customFormat="false" ht="15" hidden="false" customHeight="false" outlineLevel="0" collapsed="false">
      <c r="A15" s="6" t="s">
        <v>19</v>
      </c>
      <c r="B15" s="11" t="n">
        <f aca="false">'Relative &amp; Normalized'!B13</f>
        <v>151.702786377709</v>
      </c>
    </row>
    <row r="16" customFormat="false" ht="15" hidden="false" customHeight="false" outlineLevel="0" collapsed="false">
      <c r="A16" s="6" t="s">
        <v>20</v>
      </c>
      <c r="B16" s="11" t="n">
        <f aca="false">SOTP!C16</f>
        <v>560</v>
      </c>
    </row>
    <row r="18" customFormat="false" ht="15" hidden="false" customHeight="false" outlineLevel="0" collapsed="false">
      <c r="A18" s="2" t="s">
        <v>21</v>
      </c>
    </row>
    <row r="19" customFormat="false" ht="15" hidden="false" customHeight="false" outlineLevel="0" collapsed="false">
      <c r="A19" s="6" t="s">
        <v>22</v>
      </c>
      <c r="B19" s="11" t="n">
        <f aca="false">'Monte Carlo'!C19</f>
        <v>0.46</v>
      </c>
    </row>
    <row r="20" customFormat="false" ht="15" hidden="false" customHeight="false" outlineLevel="0" collapsed="false">
      <c r="A20" s="6" t="s">
        <v>23</v>
      </c>
      <c r="B20" s="13" t="str">
        <f aca="false">'Monte Carlo'!B19&amp;" – "&amp;'Monte Carlo'!F19</f>
        <v>0.21 – 647</v>
      </c>
    </row>
    <row r="22" customFormat="false" ht="15" hidden="false" customHeight="false" outlineLevel="0" collapsed="false">
      <c r="A22" s="5"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4" min="2" style="0" width="14"/>
  </cols>
  <sheetData>
    <row r="1" customFormat="false" ht="17.35" hidden="false" customHeight="false" outlineLevel="0" collapsed="false">
      <c r="A1" s="1" t="s">
        <v>25</v>
      </c>
    </row>
    <row r="2" customFormat="false" ht="15" hidden="false" customHeight="false" outlineLevel="0" collapsed="false">
      <c r="A2" s="5" t="s">
        <v>26</v>
      </c>
    </row>
    <row r="4" customFormat="false" ht="15" hidden="false" customHeight="false" outlineLevel="0" collapsed="false">
      <c r="A4" s="14" t="s">
        <v>27</v>
      </c>
      <c r="B4" s="15" t="s">
        <v>28</v>
      </c>
      <c r="C4" s="15" t="s">
        <v>14</v>
      </c>
      <c r="D4" s="15" t="s">
        <v>29</v>
      </c>
    </row>
    <row r="5" customFormat="false" ht="15" hidden="false" customHeight="false" outlineLevel="0" collapsed="false">
      <c r="A5" s="6" t="s">
        <v>30</v>
      </c>
      <c r="B5" s="11" t="n">
        <f aca="false">SOTP!C15</f>
        <v>230.92</v>
      </c>
      <c r="C5" s="16" t="n">
        <f aca="false">B5/Assumptions!B5-1</f>
        <v>-0.450974797907751</v>
      </c>
      <c r="D5" s="17" t="n">
        <f aca="false">Assumptions!B38</f>
        <v>0.4</v>
      </c>
    </row>
    <row r="6" customFormat="false" ht="15" hidden="false" customHeight="false" outlineLevel="0" collapsed="false">
      <c r="A6" s="6" t="s">
        <v>31</v>
      </c>
      <c r="B6" s="11" t="n">
        <f aca="false">DCF!B26</f>
        <v>89.8759998395216</v>
      </c>
      <c r="C6" s="16" t="n">
        <f aca="false">B6/Assumptions!B5-1</f>
        <v>-0.786314788779074</v>
      </c>
      <c r="D6" s="17" t="n">
        <f aca="false">Assumptions!B39</f>
        <v>0.2</v>
      </c>
    </row>
    <row r="7" customFormat="false" ht="15" hidden="false" customHeight="false" outlineLevel="0" collapsed="false">
      <c r="A7" s="6" t="s">
        <v>32</v>
      </c>
      <c r="B7" s="11" t="n">
        <f aca="false">'Relative &amp; Normalized'!D8</f>
        <v>172.34262125903</v>
      </c>
      <c r="C7" s="16" t="n">
        <f aca="false">B7/Assumptions!B5-1</f>
        <v>-0.590245788732692</v>
      </c>
      <c r="D7" s="17" t="n">
        <f aca="false">Assumptions!B40</f>
        <v>0.15</v>
      </c>
    </row>
    <row r="8" customFormat="false" ht="15" hidden="false" customHeight="false" outlineLevel="0" collapsed="false">
      <c r="A8" s="6" t="s">
        <v>33</v>
      </c>
      <c r="B8" s="11" t="n">
        <f aca="false">'Relative &amp; Normalized'!B13</f>
        <v>151.702786377709</v>
      </c>
      <c r="C8" s="16" t="n">
        <f aca="false">B8/Assumptions!B5-1</f>
        <v>-0.639318149363507</v>
      </c>
      <c r="D8" s="17" t="n">
        <f aca="false">Assumptions!B41</f>
        <v>0.25</v>
      </c>
    </row>
    <row r="9" customFormat="false" ht="15" hidden="false" customHeight="false" outlineLevel="0" collapsed="false">
      <c r="A9" s="10" t="s">
        <v>34</v>
      </c>
      <c r="B9" s="18" t="n">
        <f aca="false">SUMPRODUCT(B5:B8,D5:D8)</f>
        <v>174.120289751186</v>
      </c>
      <c r="C9" s="12" t="n">
        <f aca="false">B9/Assumptions!B5-1</f>
        <v>-0.586019282569696</v>
      </c>
      <c r="D9" s="12" t="n">
        <f aca="false">SUM(D5:D8)</f>
        <v>1</v>
      </c>
    </row>
    <row r="11" customFormat="false" ht="15" hidden="false" customHeight="false" outlineLevel="0" collapsed="false">
      <c r="A11" s="6" t="s">
        <v>35</v>
      </c>
      <c r="B11" s="11" t="n">
        <f aca="false">SOTP!C16</f>
        <v>560</v>
      </c>
    </row>
    <row r="12" customFormat="false" ht="15" hidden="false" customHeight="false" outlineLevel="0" collapsed="false">
      <c r="A12" s="6" t="s">
        <v>36</v>
      </c>
      <c r="B12" s="7" t="n">
        <f aca="false">Assumptions!B5</f>
        <v>420.6</v>
      </c>
    </row>
    <row r="13" customFormat="false" ht="15" hidden="false" customHeight="false" outlineLevel="0" collapsed="false">
      <c r="A13" s="6" t="s">
        <v>37</v>
      </c>
      <c r="B13" s="11" t="n">
        <f aca="false">'Monte Carlo'!C19</f>
        <v>0.46</v>
      </c>
    </row>
    <row r="15" customFormat="false" ht="15" hidden="false" customHeight="false" outlineLevel="0" collapsed="false">
      <c r="A15" s="5" t="s">
        <v>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7" min="2" style="0" width="12"/>
  </cols>
  <sheetData>
    <row r="1" customFormat="false" ht="17.35" hidden="false" customHeight="false" outlineLevel="0" collapsed="false">
      <c r="A1" s="1" t="s">
        <v>39</v>
      </c>
    </row>
    <row r="2" customFormat="false" ht="15" hidden="false" customHeight="false" outlineLevel="0" collapsed="false">
      <c r="A2" s="5" t="s">
        <v>40</v>
      </c>
    </row>
    <row r="4" customFormat="false" ht="15" hidden="false" customHeight="false" outlineLevel="0" collapsed="false">
      <c r="A4" s="2" t="s">
        <v>41</v>
      </c>
    </row>
    <row r="5" customFormat="false" ht="15" hidden="false" customHeight="false" outlineLevel="0" collapsed="false">
      <c r="A5" s="6" t="s">
        <v>42</v>
      </c>
      <c r="B5" s="19" t="n">
        <v>420.6</v>
      </c>
    </row>
    <row r="6" customFormat="false" ht="15" hidden="false" customHeight="false" outlineLevel="0" collapsed="false">
      <c r="A6" s="6" t="s">
        <v>43</v>
      </c>
      <c r="B6" s="20" t="n">
        <v>3.23</v>
      </c>
    </row>
    <row r="7" customFormat="false" ht="15" hidden="false" customHeight="false" outlineLevel="0" collapsed="false">
      <c r="A7" s="6" t="s">
        <v>44</v>
      </c>
      <c r="B7" s="21" t="n">
        <v>40</v>
      </c>
    </row>
    <row r="9" customFormat="false" ht="15" hidden="false" customHeight="false" outlineLevel="0" collapsed="false">
      <c r="A9" s="2" t="s">
        <v>45</v>
      </c>
    </row>
    <row r="10" customFormat="false" ht="15" hidden="false" customHeight="false" outlineLevel="0" collapsed="false">
      <c r="A10" s="14" t="s">
        <v>46</v>
      </c>
      <c r="B10" s="15" t="s">
        <v>47</v>
      </c>
      <c r="C10" s="15" t="s">
        <v>48</v>
      </c>
      <c r="D10" s="15" t="s">
        <v>49</v>
      </c>
      <c r="E10" s="15" t="s">
        <v>50</v>
      </c>
      <c r="F10" s="15" t="s">
        <v>51</v>
      </c>
    </row>
    <row r="11" customFormat="false" ht="15" hidden="false" customHeight="false" outlineLevel="0" collapsed="false">
      <c r="A11" s="6" t="s">
        <v>52</v>
      </c>
      <c r="C11" s="21" t="n">
        <v>108</v>
      </c>
      <c r="D11" s="21" t="n">
        <v>130</v>
      </c>
      <c r="E11" s="21" t="n">
        <v>154</v>
      </c>
      <c r="F11" s="21" t="n">
        <v>182</v>
      </c>
      <c r="G11" s="21" t="n">
        <v>215</v>
      </c>
    </row>
    <row r="12" customFormat="false" ht="15" hidden="false" customHeight="false" outlineLevel="0" collapsed="false">
      <c r="A12" s="6" t="s">
        <v>53</v>
      </c>
      <c r="C12" s="22" t="n">
        <v>0.065</v>
      </c>
      <c r="D12" s="22" t="n">
        <v>0.09</v>
      </c>
      <c r="E12" s="22" t="n">
        <v>0.115</v>
      </c>
      <c r="F12" s="22" t="n">
        <v>0.135</v>
      </c>
      <c r="G12" s="22" t="n">
        <v>0.155</v>
      </c>
    </row>
    <row r="13" customFormat="false" ht="15" hidden="false" customHeight="false" outlineLevel="0" collapsed="false">
      <c r="A13" s="6" t="s">
        <v>54</v>
      </c>
      <c r="C13" s="21" t="n">
        <v>6.5</v>
      </c>
      <c r="D13" s="21" t="n">
        <v>7.5</v>
      </c>
      <c r="E13" s="21" t="n">
        <v>8.5</v>
      </c>
      <c r="F13" s="21" t="n">
        <v>9.5</v>
      </c>
      <c r="G13" s="21" t="n">
        <v>11</v>
      </c>
    </row>
    <row r="14" customFormat="false" ht="15" hidden="false" customHeight="false" outlineLevel="0" collapsed="false">
      <c r="A14" s="6" t="s">
        <v>55</v>
      </c>
      <c r="C14" s="21" t="n">
        <v>25</v>
      </c>
      <c r="D14" s="21" t="n">
        <v>22</v>
      </c>
      <c r="E14" s="21" t="n">
        <v>20</v>
      </c>
      <c r="F14" s="21" t="n">
        <v>18</v>
      </c>
      <c r="G14" s="21" t="n">
        <v>17</v>
      </c>
    </row>
    <row r="15" customFormat="false" ht="15" hidden="false" customHeight="false" outlineLevel="0" collapsed="false">
      <c r="A15" s="6" t="s">
        <v>56</v>
      </c>
      <c r="C15" s="21" t="n">
        <v>1</v>
      </c>
      <c r="D15" s="21" t="n">
        <v>1.5</v>
      </c>
      <c r="E15" s="21" t="n">
        <v>1.5</v>
      </c>
      <c r="F15" s="21" t="n">
        <v>1.5</v>
      </c>
      <c r="G15" s="21" t="n">
        <v>1.5</v>
      </c>
    </row>
    <row r="17" customFormat="false" ht="15" hidden="false" customHeight="false" outlineLevel="0" collapsed="false">
      <c r="A17" s="6" t="s">
        <v>57</v>
      </c>
      <c r="B17" s="22" t="n">
        <v>0.15</v>
      </c>
    </row>
    <row r="18" customFormat="false" ht="15" hidden="false" customHeight="false" outlineLevel="0" collapsed="false">
      <c r="A18" s="6" t="s">
        <v>58</v>
      </c>
      <c r="B18" s="22" t="n">
        <v>0.1</v>
      </c>
    </row>
    <row r="19" customFormat="false" ht="15" hidden="false" customHeight="false" outlineLevel="0" collapsed="false">
      <c r="A19" s="6" t="s">
        <v>59</v>
      </c>
      <c r="B19" s="22" t="n">
        <v>0.045</v>
      </c>
    </row>
    <row r="21" customFormat="false" ht="15" hidden="false" customHeight="false" outlineLevel="0" collapsed="false">
      <c r="A21" s="2" t="s">
        <v>60</v>
      </c>
    </row>
    <row r="22" customFormat="false" ht="15" hidden="false" customHeight="false" outlineLevel="0" collapsed="false">
      <c r="A22" s="6" t="s">
        <v>61</v>
      </c>
      <c r="B22" s="23" t="n">
        <v>70</v>
      </c>
    </row>
    <row r="23" customFormat="false" ht="15" hidden="false" customHeight="false" outlineLevel="0" collapsed="false">
      <c r="A23" s="6" t="s">
        <v>62</v>
      </c>
      <c r="B23" s="23" t="n">
        <v>35</v>
      </c>
    </row>
    <row r="24" customFormat="false" ht="15" hidden="false" customHeight="false" outlineLevel="0" collapsed="false">
      <c r="A24" s="6" t="s">
        <v>63</v>
      </c>
      <c r="B24" s="23" t="n">
        <v>10</v>
      </c>
    </row>
    <row r="25" customFormat="false" ht="15" hidden="false" customHeight="false" outlineLevel="0" collapsed="false">
      <c r="A25" s="6" t="s">
        <v>64</v>
      </c>
      <c r="B25" s="23" t="n">
        <v>12</v>
      </c>
    </row>
    <row r="26" customFormat="false" ht="15" hidden="false" customHeight="false" outlineLevel="0" collapsed="false">
      <c r="A26" s="6" t="s">
        <v>65</v>
      </c>
      <c r="B26" s="23" t="n">
        <v>433</v>
      </c>
    </row>
    <row r="27" customFormat="false" ht="15" hidden="false" customHeight="false" outlineLevel="0" collapsed="false">
      <c r="A27" s="6" t="s">
        <v>66</v>
      </c>
      <c r="B27" s="22" t="n">
        <v>0.24</v>
      </c>
    </row>
    <row r="29" customFormat="false" ht="15" hidden="false" customHeight="false" outlineLevel="0" collapsed="false">
      <c r="A29" s="2" t="s">
        <v>67</v>
      </c>
    </row>
    <row r="30" customFormat="false" ht="15" hidden="false" customHeight="false" outlineLevel="0" collapsed="false">
      <c r="A30" s="6" t="s">
        <v>68</v>
      </c>
      <c r="B30" s="24" t="n">
        <v>5</v>
      </c>
    </row>
    <row r="31" customFormat="false" ht="15" hidden="false" customHeight="false" outlineLevel="0" collapsed="false">
      <c r="A31" s="6" t="s">
        <v>69</v>
      </c>
      <c r="B31" s="24" t="n">
        <v>30</v>
      </c>
    </row>
    <row r="32" customFormat="false" ht="15" hidden="false" customHeight="false" outlineLevel="0" collapsed="false">
      <c r="A32" s="6" t="s">
        <v>70</v>
      </c>
      <c r="B32" s="24" t="n">
        <v>45</v>
      </c>
    </row>
    <row r="33" customFormat="false" ht="15" hidden="false" customHeight="false" outlineLevel="0" collapsed="false">
      <c r="A33" s="6" t="s">
        <v>71</v>
      </c>
      <c r="B33" s="21" t="n">
        <v>17</v>
      </c>
    </row>
    <row r="34" customFormat="false" ht="15" hidden="false" customHeight="false" outlineLevel="0" collapsed="false">
      <c r="A34" s="6" t="s">
        <v>72</v>
      </c>
      <c r="B34" s="21" t="n">
        <v>12</v>
      </c>
    </row>
    <row r="35" customFormat="false" ht="15" hidden="false" customHeight="false" outlineLevel="0" collapsed="false">
      <c r="A35" s="6" t="s">
        <v>73</v>
      </c>
      <c r="B35" s="24" t="n">
        <v>35</v>
      </c>
    </row>
    <row r="36" customFormat="false" ht="15" hidden="false" customHeight="false" outlineLevel="0" collapsed="false">
      <c r="A36" s="6" t="s">
        <v>74</v>
      </c>
      <c r="B36" s="21" t="n">
        <v>14</v>
      </c>
    </row>
    <row r="37" customFormat="false" ht="15" hidden="false" customHeight="false" outlineLevel="0" collapsed="false">
      <c r="A37" s="2" t="s">
        <v>75</v>
      </c>
    </row>
    <row r="38" customFormat="false" ht="15" hidden="false" customHeight="false" outlineLevel="0" collapsed="false">
      <c r="A38" s="6" t="s">
        <v>16</v>
      </c>
      <c r="B38" s="22" t="n">
        <v>0.4</v>
      </c>
    </row>
    <row r="39" customFormat="false" ht="15" hidden="false" customHeight="false" outlineLevel="0" collapsed="false">
      <c r="A39" s="6" t="s">
        <v>17</v>
      </c>
      <c r="B39" s="22" t="n">
        <v>0.2</v>
      </c>
    </row>
    <row r="40" customFormat="false" ht="15" hidden="false" customHeight="false" outlineLevel="0" collapsed="false">
      <c r="A40" s="6" t="s">
        <v>76</v>
      </c>
      <c r="B40" s="22" t="n">
        <v>0.15</v>
      </c>
    </row>
    <row r="41" customFormat="false" ht="15" hidden="false" customHeight="false" outlineLevel="0" collapsed="false">
      <c r="A41" s="6" t="s">
        <v>19</v>
      </c>
      <c r="B41" s="22" t="n">
        <v>0.25</v>
      </c>
    </row>
    <row r="42" customFormat="false" ht="15" hidden="false" customHeight="false" outlineLevel="0" collapsed="false">
      <c r="A42" s="6" t="s">
        <v>77</v>
      </c>
      <c r="B42" s="12" t="n">
        <f aca="false">SUM(B38:B41)</f>
        <v>1</v>
      </c>
    </row>
    <row r="44" customFormat="false" ht="15" hidden="false" customHeight="false" outlineLevel="0" collapsed="false">
      <c r="A44" s="6" t="s">
        <v>78</v>
      </c>
      <c r="B44" s="11" t="n">
        <f aca="false">SOTP!C16</f>
        <v>560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6"/>
    <col collapsed="false" customWidth="true" hidden="false" outlineLevel="0" max="3" min="3" style="0" width="14"/>
  </cols>
  <sheetData>
    <row r="1" customFormat="false" ht="17.35" hidden="false" customHeight="false" outlineLevel="0" collapsed="false">
      <c r="A1" s="1" t="s">
        <v>79</v>
      </c>
    </row>
    <row r="2" customFormat="false" ht="15" hidden="false" customHeight="false" outlineLevel="0" collapsed="false">
      <c r="A2" s="5" t="s">
        <v>80</v>
      </c>
    </row>
    <row r="4" customFormat="false" ht="15" hidden="false" customHeight="false" outlineLevel="0" collapsed="false">
      <c r="A4" s="14" t="s">
        <v>81</v>
      </c>
      <c r="B4" s="15" t="s">
        <v>82</v>
      </c>
      <c r="C4" s="15" t="s">
        <v>28</v>
      </c>
    </row>
    <row r="5" customFormat="false" ht="15" hidden="false" customHeight="false" outlineLevel="0" collapsed="false">
      <c r="A5" s="6" t="s">
        <v>83</v>
      </c>
      <c r="B5" s="5" t="s">
        <v>84</v>
      </c>
      <c r="C5" s="25" t="n">
        <f aca="false">Assumptions!B22</f>
        <v>70</v>
      </c>
    </row>
    <row r="6" customFormat="false" ht="15" hidden="false" customHeight="false" outlineLevel="0" collapsed="false">
      <c r="A6" s="6" t="s">
        <v>85</v>
      </c>
      <c r="B6" s="5" t="s">
        <v>86</v>
      </c>
      <c r="C6" s="25" t="n">
        <f aca="false">Assumptions!B23</f>
        <v>35</v>
      </c>
    </row>
    <row r="7" customFormat="false" ht="15" hidden="false" customHeight="false" outlineLevel="0" collapsed="false">
      <c r="A7" s="6" t="s">
        <v>87</v>
      </c>
      <c r="B7" s="5" t="s">
        <v>88</v>
      </c>
      <c r="C7" s="25" t="n">
        <f aca="false">Assumptions!B24</f>
        <v>10</v>
      </c>
    </row>
    <row r="8" customFormat="false" ht="15" hidden="false" customHeight="false" outlineLevel="0" collapsed="false">
      <c r="A8" s="6" t="s">
        <v>89</v>
      </c>
      <c r="B8" s="5" t="s">
        <v>90</v>
      </c>
      <c r="C8" s="25" t="n">
        <f aca="false">Assumptions!B25</f>
        <v>12</v>
      </c>
    </row>
    <row r="9" customFormat="false" ht="15" hidden="false" customHeight="false" outlineLevel="0" collapsed="false">
      <c r="A9" s="10" t="s">
        <v>91</v>
      </c>
      <c r="C9" s="26" t="n">
        <f aca="false">SUM(C5:C8)</f>
        <v>127</v>
      </c>
    </row>
    <row r="11" customFormat="false" ht="15" hidden="false" customHeight="false" outlineLevel="0" collapsed="false">
      <c r="A11" s="27" t="s">
        <v>92</v>
      </c>
      <c r="B11" s="5" t="s">
        <v>93</v>
      </c>
      <c r="C11" s="11" t="n">
        <f aca="false">Assumptions!B26</f>
        <v>433</v>
      </c>
    </row>
    <row r="12" customFormat="false" ht="15" hidden="false" customHeight="false" outlineLevel="0" collapsed="false">
      <c r="A12" s="6" t="s">
        <v>94</v>
      </c>
      <c r="C12" s="17" t="n">
        <f aca="false">Assumptions!B27</f>
        <v>0.24</v>
      </c>
    </row>
    <row r="13" customFormat="false" ht="15" hidden="false" customHeight="false" outlineLevel="0" collapsed="false">
      <c r="A13" s="6" t="s">
        <v>95</v>
      </c>
      <c r="C13" s="28" t="n">
        <f aca="false">C11*C12</f>
        <v>103.92</v>
      </c>
    </row>
    <row r="15" customFormat="false" ht="15" hidden="false" customHeight="false" outlineLevel="0" collapsed="false">
      <c r="A15" s="10" t="s">
        <v>96</v>
      </c>
      <c r="C15" s="29" t="n">
        <f aca="false">C9+C13</f>
        <v>230.92</v>
      </c>
    </row>
    <row r="16" customFormat="false" ht="15" hidden="false" customHeight="false" outlineLevel="0" collapsed="false">
      <c r="A16" s="10" t="s">
        <v>97</v>
      </c>
      <c r="C16" s="26" t="n">
        <f aca="false">C9+C11</f>
        <v>560</v>
      </c>
    </row>
    <row r="17" customFormat="false" ht="15" hidden="false" customHeight="false" outlineLevel="0" collapsed="false">
      <c r="A17" s="10" t="s">
        <v>98</v>
      </c>
      <c r="C17" s="26" t="n">
        <f aca="false">C9</f>
        <v>127</v>
      </c>
    </row>
    <row r="19" customFormat="false" ht="15" hidden="false" customHeight="false" outlineLevel="0" collapsed="false">
      <c r="A19" s="6" t="s">
        <v>99</v>
      </c>
      <c r="C19" s="16" t="n">
        <f aca="false">C15/Assumptions!B5-1</f>
        <v>-0.450974797907751</v>
      </c>
    </row>
    <row r="20" customFormat="false" ht="15" hidden="false" customHeight="false" outlineLevel="0" collapsed="false">
      <c r="A20" s="6" t="s">
        <v>100</v>
      </c>
      <c r="C20" s="16" t="n">
        <f aca="false">C16/Assumptions!B5-1</f>
        <v>0.331431288635283</v>
      </c>
    </row>
    <row r="21" customFormat="false" ht="15" hidden="false" customHeight="false" outlineLevel="0" collapsed="false">
      <c r="A21" s="6" t="s">
        <v>101</v>
      </c>
      <c r="C21" s="16" t="n">
        <f aca="false">C17/Assumptions!B5-1</f>
        <v>-0.698050404184498</v>
      </c>
    </row>
    <row r="23" customFormat="false" ht="15" hidden="false" customHeight="false" outlineLevel="0" collapsed="false">
      <c r="A23" s="5" t="s">
        <v>102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7" min="2" style="0" width="12"/>
  </cols>
  <sheetData>
    <row r="1" customFormat="false" ht="17.35" hidden="false" customHeight="false" outlineLevel="0" collapsed="false">
      <c r="A1" s="1" t="s">
        <v>103</v>
      </c>
    </row>
    <row r="2" customFormat="false" ht="15" hidden="false" customHeight="false" outlineLevel="0" collapsed="false">
      <c r="A2" s="5" t="s">
        <v>104</v>
      </c>
    </row>
    <row r="4" customFormat="false" ht="15" hidden="false" customHeight="false" outlineLevel="0" collapsed="false">
      <c r="A4" s="14" t="s">
        <v>105</v>
      </c>
      <c r="B4" s="15" t="s">
        <v>106</v>
      </c>
      <c r="C4" s="15" t="s">
        <v>47</v>
      </c>
      <c r="D4" s="15" t="s">
        <v>48</v>
      </c>
      <c r="E4" s="15" t="s">
        <v>49</v>
      </c>
      <c r="F4" s="15" t="s">
        <v>50</v>
      </c>
      <c r="G4" s="15" t="s">
        <v>51</v>
      </c>
    </row>
    <row r="5" customFormat="false" ht="15" hidden="false" customHeight="false" outlineLevel="0" collapsed="false">
      <c r="A5" s="6" t="s">
        <v>83</v>
      </c>
      <c r="B5" s="30" t="n">
        <f aca="false">'Income Statement'!C5</f>
        <v>77.1</v>
      </c>
      <c r="D5" s="30" t="n">
        <f aca="false">'Income Statement'!E5</f>
        <v>87.4</v>
      </c>
      <c r="E5" s="30" t="n">
        <f aca="false">'Income Statement'!F5</f>
        <v>104.7</v>
      </c>
      <c r="F5" s="30" t="n">
        <f aca="false">'Income Statement'!G5</f>
        <v>124</v>
      </c>
      <c r="G5" s="30" t="n">
        <f aca="false">'Income Statement'!H5</f>
        <v>146</v>
      </c>
      <c r="H5" s="30" t="n">
        <f aca="false">'Income Statement'!I5</f>
        <v>173</v>
      </c>
    </row>
    <row r="6" customFormat="false" ht="15" hidden="false" customHeight="false" outlineLevel="0" collapsed="false">
      <c r="A6" s="6" t="s">
        <v>85</v>
      </c>
      <c r="B6" s="30" t="n">
        <f aca="false">'Income Statement'!C6</f>
        <v>10.1</v>
      </c>
      <c r="D6" s="30" t="n">
        <f aca="false">'Income Statement'!E6</f>
        <v>16</v>
      </c>
      <c r="E6" s="30" t="n">
        <f aca="false">'Income Statement'!F6</f>
        <v>20</v>
      </c>
      <c r="F6" s="30" t="n">
        <f aca="false">'Income Statement'!G6</f>
        <v>24</v>
      </c>
      <c r="G6" s="30" t="n">
        <f aca="false">'Income Statement'!H6</f>
        <v>28</v>
      </c>
      <c r="H6" s="30" t="n">
        <f aca="false">'Income Statement'!I6</f>
        <v>32</v>
      </c>
    </row>
    <row r="7" customFormat="false" ht="15" hidden="false" customHeight="false" outlineLevel="0" collapsed="false">
      <c r="A7" s="6" t="s">
        <v>87</v>
      </c>
      <c r="B7" s="30" t="n">
        <f aca="false">'Income Statement'!C7</f>
        <v>10.5</v>
      </c>
      <c r="D7" s="30" t="n">
        <f aca="false">'Income Statement'!E7</f>
        <v>14</v>
      </c>
      <c r="E7" s="30" t="n">
        <f aca="false">'Income Statement'!F7</f>
        <v>16</v>
      </c>
      <c r="F7" s="30" t="n">
        <f aca="false">'Income Statement'!G7</f>
        <v>18</v>
      </c>
      <c r="G7" s="30" t="n">
        <f aca="false">'Income Statement'!H7</f>
        <v>20</v>
      </c>
      <c r="H7" s="30" t="n">
        <f aca="false">'Income Statement'!I7</f>
        <v>22</v>
      </c>
    </row>
    <row r="8" customFormat="false" ht="15" hidden="false" customHeight="false" outlineLevel="0" collapsed="false">
      <c r="A8" s="10" t="s">
        <v>107</v>
      </c>
      <c r="B8" s="31" t="n">
        <f aca="false">SUM(B5:B7)</f>
        <v>97.7</v>
      </c>
      <c r="D8" s="31" t="n">
        <f aca="false">SUM(D5:D7)</f>
        <v>117.4</v>
      </c>
      <c r="E8" s="31" t="n">
        <f aca="false">SUM(E5:E7)</f>
        <v>140.7</v>
      </c>
      <c r="F8" s="31" t="n">
        <f aca="false">SUM(F5:F7)</f>
        <v>166</v>
      </c>
      <c r="G8" s="31" t="n">
        <f aca="false">SUM(G5:G7)</f>
        <v>194</v>
      </c>
      <c r="H8" s="31" t="n">
        <f aca="false">SUM(H5:H7)</f>
        <v>227</v>
      </c>
    </row>
    <row r="10" customFormat="false" ht="15" hidden="false" customHeight="false" outlineLevel="0" collapsed="false">
      <c r="A10" s="2" t="s">
        <v>108</v>
      </c>
    </row>
    <row r="11" customFormat="false" ht="15" hidden="false" customHeight="false" outlineLevel="0" collapsed="false">
      <c r="A11" s="6" t="s">
        <v>109</v>
      </c>
      <c r="B11" s="16" t="n">
        <f aca="false">G5/G8</f>
        <v>0.752577319587629</v>
      </c>
    </row>
    <row r="12" customFormat="false" ht="15" hidden="false" customHeight="false" outlineLevel="0" collapsed="false">
      <c r="A12" s="6" t="s">
        <v>110</v>
      </c>
      <c r="B12" s="16" t="n">
        <f aca="false">G6/G8</f>
        <v>0.144329896907216</v>
      </c>
    </row>
    <row r="13" customFormat="false" ht="15" hidden="false" customHeight="false" outlineLevel="0" collapsed="false">
      <c r="A13" s="6" t="s">
        <v>111</v>
      </c>
      <c r="B13" s="16" t="n">
        <f aca="false">G7/G8</f>
        <v>0.103092783505155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5" min="3" style="0" width="14"/>
  </cols>
  <sheetData>
    <row r="1" customFormat="false" ht="17.35" hidden="false" customHeight="false" outlineLevel="0" collapsed="false">
      <c r="A1" s="1" t="s">
        <v>112</v>
      </c>
    </row>
    <row r="2" customFormat="false" ht="15" hidden="false" customHeight="false" outlineLevel="0" collapsed="false">
      <c r="A2" s="5" t="s">
        <v>113</v>
      </c>
    </row>
    <row r="4" customFormat="false" ht="15" hidden="false" customHeight="false" outlineLevel="0" collapsed="false">
      <c r="A4" s="14" t="s">
        <v>114</v>
      </c>
      <c r="B4" s="15" t="s">
        <v>115</v>
      </c>
      <c r="C4" s="15" t="s">
        <v>116</v>
      </c>
      <c r="D4" s="15" t="s">
        <v>117</v>
      </c>
    </row>
    <row r="5" customFormat="false" ht="15" hidden="false" customHeight="false" outlineLevel="0" collapsed="false">
      <c r="A5" s="6" t="s">
        <v>118</v>
      </c>
      <c r="B5" s="30" t="n">
        <f aca="false">Assumptions!C11</f>
        <v>108</v>
      </c>
      <c r="C5" s="32" t="n">
        <f aca="false">Assumptions!B30</f>
        <v>5</v>
      </c>
      <c r="D5" s="28" t="n">
        <f aca="false">(B5*C5+Assumptions!B7)/Assumptions!B6</f>
        <v>179.566563467492</v>
      </c>
    </row>
    <row r="6" customFormat="false" ht="15" hidden="false" customHeight="false" outlineLevel="0" collapsed="false">
      <c r="A6" s="6" t="s">
        <v>119</v>
      </c>
      <c r="B6" s="30" t="n">
        <f aca="false">Assumptions!B33</f>
        <v>17</v>
      </c>
      <c r="C6" s="32" t="n">
        <f aca="false">Assumptions!B31</f>
        <v>30</v>
      </c>
      <c r="D6" s="28" t="n">
        <f aca="false">(B6*C6+Assumptions!B7)/Assumptions!B6</f>
        <v>170.278637770898</v>
      </c>
    </row>
    <row r="7" customFormat="false" ht="15" hidden="false" customHeight="false" outlineLevel="0" collapsed="false">
      <c r="A7" s="6" t="s">
        <v>120</v>
      </c>
      <c r="B7" s="30" t="n">
        <f aca="false">Assumptions!B34</f>
        <v>12</v>
      </c>
      <c r="C7" s="32" t="n">
        <f aca="false">Assumptions!B32</f>
        <v>45</v>
      </c>
      <c r="D7" s="28" t="n">
        <f aca="false">(B7*C7)/Assumptions!B6</f>
        <v>167.1826625387</v>
      </c>
    </row>
    <row r="8" customFormat="false" ht="15" hidden="false" customHeight="false" outlineLevel="0" collapsed="false">
      <c r="A8" s="10" t="s">
        <v>121</v>
      </c>
      <c r="D8" s="29" t="n">
        <f aca="false">AVERAGE(D5:D7)</f>
        <v>172.34262125903</v>
      </c>
    </row>
    <row r="10" customFormat="false" ht="15" hidden="false" customHeight="false" outlineLevel="0" collapsed="false">
      <c r="A10" s="2" t="s">
        <v>33</v>
      </c>
    </row>
    <row r="11" customFormat="false" ht="15" hidden="false" customHeight="false" outlineLevel="0" collapsed="false">
      <c r="A11" s="6" t="s">
        <v>72</v>
      </c>
      <c r="B11" s="30" t="n">
        <f aca="false">Assumptions!B36</f>
        <v>14</v>
      </c>
    </row>
    <row r="12" customFormat="false" ht="15" hidden="false" customHeight="false" outlineLevel="0" collapsed="false">
      <c r="A12" s="6" t="s">
        <v>122</v>
      </c>
      <c r="B12" s="32" t="n">
        <f aca="false">Assumptions!B35</f>
        <v>35</v>
      </c>
    </row>
    <row r="13" customFormat="false" ht="15" hidden="false" customHeight="false" outlineLevel="0" collapsed="false">
      <c r="A13" s="10" t="s">
        <v>123</v>
      </c>
      <c r="B13" s="29" t="n">
        <f aca="false">B11*B12/Assumptions!B6</f>
        <v>151.702786377709</v>
      </c>
    </row>
    <row r="15" customFormat="false" ht="15" hidden="false" customHeight="false" outlineLevel="0" collapsed="false">
      <c r="A15" s="5" t="s">
        <v>124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7" min="2" style="0" width="12"/>
  </cols>
  <sheetData>
    <row r="1" customFormat="false" ht="17.35" hidden="false" customHeight="false" outlineLevel="0" collapsed="false">
      <c r="A1" s="1" t="s">
        <v>125</v>
      </c>
    </row>
    <row r="2" customFormat="false" ht="15" hidden="false" customHeight="false" outlineLevel="0" collapsed="false">
      <c r="A2" s="5" t="s">
        <v>126</v>
      </c>
    </row>
    <row r="4" customFormat="false" ht="15" hidden="false" customHeight="false" outlineLevel="0" collapsed="false">
      <c r="A4" s="14" t="s">
        <v>127</v>
      </c>
      <c r="B4" s="15" t="s">
        <v>47</v>
      </c>
      <c r="C4" s="15" t="s">
        <v>48</v>
      </c>
      <c r="D4" s="15" t="s">
        <v>49</v>
      </c>
      <c r="E4" s="15" t="s">
        <v>50</v>
      </c>
      <c r="F4" s="15" t="s">
        <v>51</v>
      </c>
    </row>
    <row r="5" customFormat="false" ht="15" hidden="false" customHeight="false" outlineLevel="0" collapsed="false">
      <c r="A5" s="33" t="s">
        <v>128</v>
      </c>
      <c r="C5" s="30" t="n">
        <f aca="false">Assumptions!C11</f>
        <v>108</v>
      </c>
      <c r="D5" s="30" t="n">
        <f aca="false">Assumptions!D11</f>
        <v>130</v>
      </c>
      <c r="E5" s="30" t="n">
        <f aca="false">Assumptions!E11</f>
        <v>154</v>
      </c>
      <c r="F5" s="30" t="n">
        <f aca="false">Assumptions!F11</f>
        <v>182</v>
      </c>
      <c r="G5" s="30" t="n">
        <f aca="false">Assumptions!G11</f>
        <v>215</v>
      </c>
    </row>
    <row r="6" customFormat="false" ht="15" hidden="false" customHeight="false" outlineLevel="0" collapsed="false">
      <c r="A6" s="33" t="s">
        <v>53</v>
      </c>
      <c r="C6" s="17" t="n">
        <f aca="false">Assumptions!C12</f>
        <v>0.065</v>
      </c>
      <c r="D6" s="17" t="n">
        <f aca="false">Assumptions!D12</f>
        <v>0.09</v>
      </c>
      <c r="E6" s="17" t="n">
        <f aca="false">Assumptions!E12</f>
        <v>0.115</v>
      </c>
      <c r="F6" s="17" t="n">
        <f aca="false">Assumptions!F12</f>
        <v>0.135</v>
      </c>
      <c r="G6" s="17" t="n">
        <f aca="false">Assumptions!G12</f>
        <v>0.155</v>
      </c>
    </row>
    <row r="7" customFormat="false" ht="15" hidden="false" customHeight="false" outlineLevel="0" collapsed="false">
      <c r="A7" s="6" t="s">
        <v>129</v>
      </c>
      <c r="C7" s="9" t="n">
        <f aca="false">C5*C6</f>
        <v>7.02</v>
      </c>
      <c r="D7" s="9" t="n">
        <f aca="false">D5*D6</f>
        <v>11.7</v>
      </c>
      <c r="E7" s="9" t="n">
        <f aca="false">E5*E6</f>
        <v>17.71</v>
      </c>
      <c r="F7" s="9" t="n">
        <f aca="false">F5*F6</f>
        <v>24.57</v>
      </c>
      <c r="G7" s="9" t="n">
        <f aca="false">G5*G6</f>
        <v>33.325</v>
      </c>
    </row>
    <row r="8" customFormat="false" ht="15" hidden="false" customHeight="false" outlineLevel="0" collapsed="false">
      <c r="A8" s="6" t="s">
        <v>130</v>
      </c>
      <c r="C8" s="9" t="n">
        <f aca="false">C7*(1-Assumptions!$B$17)</f>
        <v>5.967</v>
      </c>
      <c r="D8" s="9" t="n">
        <f aca="false">D7*(1-Assumptions!$B$17)</f>
        <v>9.945</v>
      </c>
      <c r="E8" s="9" t="n">
        <f aca="false">E7*(1-Assumptions!$B$17)</f>
        <v>15.0535</v>
      </c>
      <c r="F8" s="9" t="n">
        <f aca="false">F7*(1-Assumptions!$B$17)</f>
        <v>20.8845</v>
      </c>
      <c r="G8" s="9" t="n">
        <f aca="false">G7*(1-Assumptions!$B$17)</f>
        <v>28.32625</v>
      </c>
    </row>
    <row r="9" customFormat="false" ht="15" hidden="false" customHeight="false" outlineLevel="0" collapsed="false">
      <c r="A9" s="33" t="s">
        <v>131</v>
      </c>
      <c r="C9" s="30" t="n">
        <f aca="false">Assumptions!C13</f>
        <v>6.5</v>
      </c>
      <c r="D9" s="30" t="n">
        <f aca="false">Assumptions!D13</f>
        <v>7.5</v>
      </c>
      <c r="E9" s="30" t="n">
        <f aca="false">Assumptions!E13</f>
        <v>8.5</v>
      </c>
      <c r="F9" s="30" t="n">
        <f aca="false">Assumptions!F13</f>
        <v>9.5</v>
      </c>
      <c r="G9" s="30" t="n">
        <f aca="false">Assumptions!G13</f>
        <v>11</v>
      </c>
    </row>
    <row r="10" customFormat="false" ht="15" hidden="false" customHeight="false" outlineLevel="0" collapsed="false">
      <c r="A10" s="33" t="s">
        <v>132</v>
      </c>
      <c r="C10" s="30" t="n">
        <f aca="false">-Assumptions!C14</f>
        <v>-25</v>
      </c>
      <c r="D10" s="30" t="n">
        <f aca="false">-Assumptions!D14</f>
        <v>-22</v>
      </c>
      <c r="E10" s="30" t="n">
        <f aca="false">-Assumptions!E14</f>
        <v>-20</v>
      </c>
      <c r="F10" s="30" t="n">
        <f aca="false">-Assumptions!F14</f>
        <v>-18</v>
      </c>
      <c r="G10" s="30" t="n">
        <f aca="false">-Assumptions!G14</f>
        <v>-17</v>
      </c>
    </row>
    <row r="11" customFormat="false" ht="15" hidden="false" customHeight="false" outlineLevel="0" collapsed="false">
      <c r="A11" s="33" t="s">
        <v>133</v>
      </c>
      <c r="C11" s="30" t="n">
        <f aca="false">-Assumptions!C15</f>
        <v>-1</v>
      </c>
      <c r="D11" s="30" t="n">
        <f aca="false">-Assumptions!D15</f>
        <v>-1.5</v>
      </c>
      <c r="E11" s="30" t="n">
        <f aca="false">-Assumptions!E15</f>
        <v>-1.5</v>
      </c>
      <c r="F11" s="30" t="n">
        <f aca="false">-Assumptions!F15</f>
        <v>-1.5</v>
      </c>
      <c r="G11" s="30" t="n">
        <f aca="false">-Assumptions!G15</f>
        <v>-1.5</v>
      </c>
    </row>
    <row r="12" customFormat="false" ht="15" hidden="false" customHeight="false" outlineLevel="0" collapsed="false">
      <c r="A12" s="10" t="s">
        <v>134</v>
      </c>
      <c r="C12" s="31" t="n">
        <f aca="false">C8+C9+C10+C11</f>
        <v>-13.533</v>
      </c>
      <c r="D12" s="31" t="n">
        <f aca="false">D8+D9+D10+D11</f>
        <v>-6.055</v>
      </c>
      <c r="E12" s="31" t="n">
        <f aca="false">E8+E9+E10+E11</f>
        <v>2.0535</v>
      </c>
      <c r="F12" s="31" t="n">
        <f aca="false">F8+F9+F10+F11</f>
        <v>10.8845</v>
      </c>
      <c r="G12" s="31" t="n">
        <f aca="false">G8+G9+G10+G11</f>
        <v>20.82625</v>
      </c>
    </row>
    <row r="13" customFormat="false" ht="15" hidden="false" customHeight="false" outlineLevel="0" collapsed="false">
      <c r="A13" s="6" t="s">
        <v>135</v>
      </c>
      <c r="C13" s="6" t="n">
        <v>1</v>
      </c>
      <c r="D13" s="6" t="n">
        <v>2</v>
      </c>
      <c r="E13" s="6" t="n">
        <v>3</v>
      </c>
      <c r="F13" s="6" t="n">
        <v>4</v>
      </c>
      <c r="G13" s="6" t="n">
        <v>5</v>
      </c>
    </row>
    <row r="14" customFormat="false" ht="15" hidden="false" customHeight="false" outlineLevel="0" collapsed="false">
      <c r="A14" s="6" t="s">
        <v>136</v>
      </c>
      <c r="C14" s="34" t="n">
        <f aca="false">1/(1+Assumptions!$B$18)^C13</f>
        <v>0.909090909090909</v>
      </c>
      <c r="D14" s="34" t="n">
        <f aca="false">1/(1+Assumptions!$B$18)^D13</f>
        <v>0.826446280991735</v>
      </c>
      <c r="E14" s="34" t="n">
        <f aca="false">1/(1+Assumptions!$B$18)^E13</f>
        <v>0.751314800901578</v>
      </c>
      <c r="F14" s="34" t="n">
        <f aca="false">1/(1+Assumptions!$B$18)^F13</f>
        <v>0.683013455365071</v>
      </c>
      <c r="G14" s="34" t="n">
        <f aca="false">1/(1+Assumptions!$B$18)^G13</f>
        <v>0.620921323059155</v>
      </c>
    </row>
    <row r="15" customFormat="false" ht="15" hidden="false" customHeight="false" outlineLevel="0" collapsed="false">
      <c r="A15" s="6" t="s">
        <v>137</v>
      </c>
      <c r="C15" s="9" t="n">
        <f aca="false">C12*C14</f>
        <v>-12.3027272727273</v>
      </c>
      <c r="D15" s="9" t="n">
        <f aca="false">D12*D14</f>
        <v>-5.00413223140496</v>
      </c>
      <c r="E15" s="9" t="n">
        <f aca="false">E12*E14</f>
        <v>1.54282494365139</v>
      </c>
      <c r="F15" s="9" t="n">
        <f aca="false">F12*F14</f>
        <v>7.43425995492111</v>
      </c>
      <c r="G15" s="9" t="n">
        <f aca="false">G12*G14</f>
        <v>12.9314627043607</v>
      </c>
    </row>
    <row r="18" customFormat="false" ht="15" hidden="false" customHeight="false" outlineLevel="0" collapsed="false">
      <c r="A18" s="2" t="s">
        <v>138</v>
      </c>
    </row>
    <row r="19" customFormat="false" ht="15" hidden="false" customHeight="false" outlineLevel="0" collapsed="false">
      <c r="A19" s="6" t="s">
        <v>139</v>
      </c>
      <c r="B19" s="9" t="n">
        <f aca="false">SUM(C15:G15)</f>
        <v>4.601688098801</v>
      </c>
    </row>
    <row r="20" customFormat="false" ht="15" hidden="false" customHeight="false" outlineLevel="0" collapsed="false">
      <c r="A20" s="6" t="s">
        <v>140</v>
      </c>
      <c r="B20" s="9" t="n">
        <f aca="false">G12*(1+Assumptions!$B$19)/(Assumptions!$B$18-Assumptions!$B$19)</f>
        <v>395.69875</v>
      </c>
    </row>
    <row r="21" customFormat="false" ht="15" hidden="false" customHeight="false" outlineLevel="0" collapsed="false">
      <c r="A21" s="6" t="s">
        <v>141</v>
      </c>
      <c r="B21" s="9" t="n">
        <f aca="false">B20*G14</f>
        <v>245.697791382854</v>
      </c>
    </row>
    <row r="22" customFormat="false" ht="15" hidden="false" customHeight="false" outlineLevel="0" collapsed="false">
      <c r="A22" s="6" t="s">
        <v>142</v>
      </c>
      <c r="B22" s="31" t="n">
        <f aca="false">B19+B21</f>
        <v>250.299479481655</v>
      </c>
    </row>
    <row r="23" customFormat="false" ht="15" hidden="false" customHeight="false" outlineLevel="0" collapsed="false">
      <c r="A23" s="6" t="s">
        <v>143</v>
      </c>
      <c r="B23" s="30" t="n">
        <f aca="false">Assumptions!B7</f>
        <v>40</v>
      </c>
    </row>
    <row r="24" customFormat="false" ht="15" hidden="false" customHeight="false" outlineLevel="0" collapsed="false">
      <c r="A24" s="6" t="s">
        <v>144</v>
      </c>
      <c r="B24" s="31" t="n">
        <f aca="false">B22+B23</f>
        <v>290.299479481655</v>
      </c>
    </row>
    <row r="25" customFormat="false" ht="15" hidden="false" customHeight="false" outlineLevel="0" collapsed="false">
      <c r="A25" s="6" t="s">
        <v>11</v>
      </c>
      <c r="B25" s="8" t="n">
        <f aca="false">Assumptions!B6</f>
        <v>3.23</v>
      </c>
    </row>
    <row r="26" customFormat="false" ht="15" hidden="false" customHeight="false" outlineLevel="0" collapsed="false">
      <c r="A26" s="6" t="s">
        <v>145</v>
      </c>
      <c r="B26" s="35" t="n">
        <f aca="false">B24/B25</f>
        <v>89.8759998395216</v>
      </c>
    </row>
    <row r="27" customFormat="false" ht="15" hidden="false" customHeight="false" outlineLevel="0" collapsed="false">
      <c r="A27" s="6" t="s">
        <v>14</v>
      </c>
      <c r="B27" s="12" t="n">
        <f aca="false">B26/Assumptions!B5-1</f>
        <v>-0.786314788779074</v>
      </c>
    </row>
    <row r="29" customFormat="false" ht="15" hidden="false" customHeight="false" outlineLevel="0" collapsed="false">
      <c r="A29" s="5" t="s">
        <v>146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10" min="2" style="0" width="11"/>
  </cols>
  <sheetData>
    <row r="1" customFormat="false" ht="17.35" hidden="false" customHeight="false" outlineLevel="0" collapsed="false">
      <c r="A1" s="1" t="s">
        <v>147</v>
      </c>
    </row>
    <row r="2" customFormat="false" ht="15" hidden="false" customHeight="false" outlineLevel="0" collapsed="false">
      <c r="A2" s="5" t="s">
        <v>148</v>
      </c>
    </row>
    <row r="4" customFormat="false" ht="15" hidden="false" customHeight="false" outlineLevel="0" collapsed="false">
      <c r="A4" s="14" t="s">
        <v>149</v>
      </c>
      <c r="B4" s="15" t="s">
        <v>150</v>
      </c>
      <c r="C4" s="15" t="s">
        <v>151</v>
      </c>
      <c r="D4" s="15" t="s">
        <v>106</v>
      </c>
      <c r="E4" s="15" t="s">
        <v>47</v>
      </c>
      <c r="F4" s="15" t="s">
        <v>48</v>
      </c>
      <c r="G4" s="15" t="s">
        <v>49</v>
      </c>
      <c r="H4" s="15" t="s">
        <v>50</v>
      </c>
      <c r="I4" s="15" t="s">
        <v>51</v>
      </c>
    </row>
    <row r="5" customFormat="false" ht="15" hidden="false" customHeight="false" outlineLevel="0" collapsed="false">
      <c r="A5" s="6" t="s">
        <v>152</v>
      </c>
      <c r="B5" s="21" t="n">
        <v>82.4</v>
      </c>
      <c r="C5" s="21" t="n">
        <v>77.1</v>
      </c>
      <c r="D5" s="21" t="n">
        <v>69.5</v>
      </c>
      <c r="E5" s="30" t="n">
        <f aca="false">Assumptions!C11-C6-C7</f>
        <v>87.4</v>
      </c>
      <c r="F5" s="30" t="n">
        <f aca="false">Assumptions!D11-D6-D7</f>
        <v>104.7</v>
      </c>
      <c r="G5" s="30" t="n">
        <f aca="false">Assumptions!E11-E6-E7</f>
        <v>124</v>
      </c>
      <c r="H5" s="30" t="n">
        <f aca="false">Assumptions!F11-F6-F7</f>
        <v>146</v>
      </c>
      <c r="I5" s="30" t="n">
        <f aca="false">Assumptions!G11-G6-G7</f>
        <v>173</v>
      </c>
    </row>
    <row r="6" customFormat="false" ht="15" hidden="false" customHeight="false" outlineLevel="0" collapsed="false">
      <c r="A6" s="6" t="s">
        <v>153</v>
      </c>
      <c r="B6" s="21" t="n">
        <v>6</v>
      </c>
      <c r="C6" s="21" t="n">
        <v>10.1</v>
      </c>
      <c r="D6" s="21" t="n">
        <v>12.8</v>
      </c>
      <c r="E6" s="9" t="n">
        <v>16</v>
      </c>
      <c r="F6" s="9" t="n">
        <v>20</v>
      </c>
      <c r="G6" s="9" t="n">
        <v>24</v>
      </c>
      <c r="H6" s="9" t="n">
        <v>28</v>
      </c>
      <c r="I6" s="9" t="n">
        <v>32</v>
      </c>
    </row>
    <row r="7" customFormat="false" ht="15" hidden="false" customHeight="false" outlineLevel="0" collapsed="false">
      <c r="A7" s="6" t="s">
        <v>87</v>
      </c>
      <c r="B7" s="21" t="n">
        <v>8.3</v>
      </c>
      <c r="C7" s="21" t="n">
        <v>10.5</v>
      </c>
      <c r="D7" s="21" t="n">
        <v>12.5</v>
      </c>
      <c r="E7" s="9" t="n">
        <v>14</v>
      </c>
      <c r="F7" s="9" t="n">
        <v>16</v>
      </c>
      <c r="G7" s="9" t="n">
        <v>18</v>
      </c>
      <c r="H7" s="9" t="n">
        <v>20</v>
      </c>
      <c r="I7" s="9" t="n">
        <v>22</v>
      </c>
    </row>
    <row r="8" customFormat="false" ht="15" hidden="false" customHeight="false" outlineLevel="0" collapsed="false">
      <c r="A8" s="10" t="s">
        <v>107</v>
      </c>
      <c r="B8" s="21" t="n">
        <v>96.8</v>
      </c>
      <c r="C8" s="21" t="n">
        <v>97.7</v>
      </c>
      <c r="D8" s="21" t="n">
        <v>94.8</v>
      </c>
      <c r="E8" s="30" t="n">
        <f aca="false">Assumptions!C11</f>
        <v>108</v>
      </c>
      <c r="F8" s="30" t="n">
        <f aca="false">Assumptions!D11</f>
        <v>130</v>
      </c>
      <c r="G8" s="30" t="n">
        <f aca="false">Assumptions!E11</f>
        <v>154</v>
      </c>
      <c r="H8" s="30" t="n">
        <f aca="false">Assumptions!F11</f>
        <v>182</v>
      </c>
      <c r="I8" s="30" t="n">
        <f aca="false">Assumptions!G11</f>
        <v>215</v>
      </c>
    </row>
    <row r="9" customFormat="false" ht="15" hidden="false" customHeight="false" outlineLevel="0" collapsed="false">
      <c r="A9" s="6" t="s">
        <v>154</v>
      </c>
      <c r="B9" s="16"/>
      <c r="C9" s="36" t="n">
        <f aca="false">C8/B8-1</f>
        <v>0.00929752066115719</v>
      </c>
      <c r="D9" s="36" t="n">
        <f aca="false">D8/C8-1</f>
        <v>-0.0296827021494371</v>
      </c>
      <c r="E9" s="36" t="n">
        <f aca="false">E8/D8-1</f>
        <v>0.139240506329114</v>
      </c>
      <c r="F9" s="36" t="n">
        <f aca="false">F8/E8-1</f>
        <v>0.203703703703704</v>
      </c>
      <c r="G9" s="36" t="n">
        <f aca="false">G8/F8-1</f>
        <v>0.184615384615385</v>
      </c>
      <c r="H9" s="36" t="n">
        <f aca="false">H8/G8-1</f>
        <v>0.181818181818182</v>
      </c>
      <c r="I9" s="36" t="n">
        <f aca="false">I8/H8-1</f>
        <v>0.181318681318681</v>
      </c>
    </row>
    <row r="10" customFormat="false" ht="15" hidden="false" customHeight="false" outlineLevel="0" collapsed="false">
      <c r="A10" s="6" t="s">
        <v>155</v>
      </c>
      <c r="B10" s="9" t="n">
        <f aca="false">-(B8-B12)</f>
        <v>-87.8944</v>
      </c>
      <c r="C10" s="9" t="n">
        <f aca="false">-(C8-C12)</f>
        <v>-90.5679</v>
      </c>
      <c r="D10" s="9" t="n">
        <f aca="false">-(D8-D12)</f>
        <v>-90.534</v>
      </c>
      <c r="E10" s="9" t="n">
        <f aca="false">-(E8-E12)</f>
        <v>-100.98</v>
      </c>
      <c r="F10" s="9" t="n">
        <f aca="false">-(F8-F12)</f>
        <v>-118.3</v>
      </c>
      <c r="G10" s="9" t="n">
        <f aca="false">-(G8-G12)</f>
        <v>-136.29</v>
      </c>
      <c r="H10" s="9" t="n">
        <f aca="false">-(H8-H12)</f>
        <v>-157.43</v>
      </c>
      <c r="I10" s="9" t="n">
        <f aca="false">-(I8-I12)</f>
        <v>-181.675</v>
      </c>
    </row>
    <row r="11" customFormat="false" ht="15" hidden="false" customHeight="false" outlineLevel="0" collapsed="false">
      <c r="A11" s="6" t="s">
        <v>53</v>
      </c>
      <c r="B11" s="22" t="n">
        <v>0.092</v>
      </c>
      <c r="C11" s="22" t="n">
        <v>0.073</v>
      </c>
      <c r="D11" s="22" t="n">
        <v>0.045</v>
      </c>
      <c r="E11" s="17" t="n">
        <f aca="false">Assumptions!C12</f>
        <v>0.065</v>
      </c>
      <c r="F11" s="17" t="n">
        <f aca="false">Assumptions!D12</f>
        <v>0.09</v>
      </c>
      <c r="G11" s="17" t="n">
        <f aca="false">Assumptions!E12</f>
        <v>0.115</v>
      </c>
      <c r="H11" s="17" t="n">
        <f aca="false">Assumptions!F12</f>
        <v>0.135</v>
      </c>
      <c r="I11" s="17" t="n">
        <f aca="false">Assumptions!G12</f>
        <v>0.155</v>
      </c>
    </row>
    <row r="12" customFormat="false" ht="15" hidden="false" customHeight="false" outlineLevel="0" collapsed="false">
      <c r="A12" s="10" t="s">
        <v>156</v>
      </c>
      <c r="B12" s="31" t="n">
        <f aca="false">B8*B11</f>
        <v>8.9056</v>
      </c>
      <c r="C12" s="31" t="n">
        <f aca="false">C8*C11</f>
        <v>7.1321</v>
      </c>
      <c r="D12" s="31" t="n">
        <f aca="false">D8*D11</f>
        <v>4.266</v>
      </c>
      <c r="E12" s="31" t="n">
        <f aca="false">E8*E11</f>
        <v>7.02</v>
      </c>
      <c r="F12" s="31" t="n">
        <f aca="false">F8*F11</f>
        <v>11.7</v>
      </c>
      <c r="G12" s="31" t="n">
        <f aca="false">G8*G11</f>
        <v>17.71</v>
      </c>
      <c r="H12" s="31" t="n">
        <f aca="false">H8*H11</f>
        <v>24.57</v>
      </c>
      <c r="I12" s="31" t="n">
        <f aca="false">I8*I11</f>
        <v>33.325</v>
      </c>
    </row>
    <row r="13" customFormat="false" ht="15" hidden="false" customHeight="false" outlineLevel="0" collapsed="false">
      <c r="A13" s="6" t="s">
        <v>157</v>
      </c>
      <c r="B13" s="9" t="n">
        <v>1</v>
      </c>
      <c r="C13" s="9" t="n">
        <v>1.6</v>
      </c>
      <c r="D13" s="9" t="n">
        <v>1.6</v>
      </c>
      <c r="E13" s="9" t="n">
        <v>1.5</v>
      </c>
      <c r="F13" s="9" t="n">
        <v>1.6</v>
      </c>
      <c r="G13" s="9" t="n">
        <v>1.7</v>
      </c>
      <c r="H13" s="9" t="n">
        <v>1.8</v>
      </c>
      <c r="I13" s="9" t="n">
        <v>1.9</v>
      </c>
    </row>
    <row r="14" customFormat="false" ht="15" hidden="false" customHeight="false" outlineLevel="0" collapsed="false">
      <c r="A14" s="6" t="s">
        <v>158</v>
      </c>
      <c r="B14" s="9" t="n">
        <f aca="false">B12+B13</f>
        <v>9.9056</v>
      </c>
      <c r="C14" s="9" t="n">
        <f aca="false">C12+C13</f>
        <v>8.7321</v>
      </c>
      <c r="D14" s="9" t="n">
        <f aca="false">D12+D13</f>
        <v>5.866</v>
      </c>
      <c r="E14" s="9" t="n">
        <f aca="false">E12+E13</f>
        <v>8.52</v>
      </c>
      <c r="F14" s="9" t="n">
        <f aca="false">F12+F13</f>
        <v>13.3</v>
      </c>
      <c r="G14" s="9" t="n">
        <f aca="false">G12+G13</f>
        <v>19.41</v>
      </c>
      <c r="H14" s="9" t="n">
        <f aca="false">H12+H13</f>
        <v>26.37</v>
      </c>
      <c r="I14" s="9" t="n">
        <f aca="false">I12+I13</f>
        <v>35.225</v>
      </c>
    </row>
    <row r="15" customFormat="false" ht="15" hidden="false" customHeight="false" outlineLevel="0" collapsed="false">
      <c r="A15" s="6" t="s">
        <v>159</v>
      </c>
      <c r="B15" s="21" t="n">
        <v>5.1</v>
      </c>
      <c r="C15" s="21" t="n">
        <v>-1.6</v>
      </c>
      <c r="D15" s="21" t="n">
        <v>-2.1</v>
      </c>
      <c r="E15" s="9" t="n">
        <f aca="false">-E14*Assumptions!$B$17</f>
        <v>-1.278</v>
      </c>
      <c r="F15" s="9" t="n">
        <f aca="false">-F14*Assumptions!$B$17</f>
        <v>-1.995</v>
      </c>
      <c r="G15" s="9" t="n">
        <f aca="false">-G14*Assumptions!$B$17</f>
        <v>-2.9115</v>
      </c>
      <c r="H15" s="9" t="n">
        <f aca="false">-H14*Assumptions!$B$17</f>
        <v>-3.9555</v>
      </c>
      <c r="I15" s="9" t="n">
        <f aca="false">-I14*Assumptions!$B$17</f>
        <v>-5.28375</v>
      </c>
    </row>
    <row r="16" customFormat="false" ht="15" hidden="false" customHeight="false" outlineLevel="0" collapsed="false">
      <c r="A16" s="10" t="s">
        <v>160</v>
      </c>
      <c r="B16" s="31" t="n">
        <f aca="false">B14+B15</f>
        <v>15.0056</v>
      </c>
      <c r="C16" s="31" t="n">
        <f aca="false">C14+C15</f>
        <v>7.1321</v>
      </c>
      <c r="D16" s="31" t="n">
        <f aca="false">D14+D15</f>
        <v>3.766</v>
      </c>
      <c r="E16" s="31" t="n">
        <f aca="false">E14+E15</f>
        <v>7.242</v>
      </c>
      <c r="F16" s="31" t="n">
        <f aca="false">F14+F15</f>
        <v>11.305</v>
      </c>
      <c r="G16" s="31" t="n">
        <f aca="false">G14+G15</f>
        <v>16.4985</v>
      </c>
      <c r="H16" s="31" t="n">
        <f aca="false">H14+H15</f>
        <v>22.4145</v>
      </c>
      <c r="I16" s="31" t="n">
        <f aca="false">I14+I15</f>
        <v>29.94125</v>
      </c>
    </row>
    <row r="17" customFormat="false" ht="15" hidden="false" customHeight="false" outlineLevel="0" collapsed="false">
      <c r="A17" s="6" t="s">
        <v>161</v>
      </c>
      <c r="B17" s="37" t="n">
        <f aca="false">B16/Assumptions!$B$6</f>
        <v>4.64569659442724</v>
      </c>
      <c r="C17" s="37" t="n">
        <f aca="false">C16/Assumptions!$B$6</f>
        <v>2.20808049535604</v>
      </c>
      <c r="D17" s="37" t="n">
        <f aca="false">D16/Assumptions!$B$6</f>
        <v>1.16594427244582</v>
      </c>
      <c r="E17" s="37" t="n">
        <f aca="false">E16/Assumptions!$B$6</f>
        <v>2.24210526315789</v>
      </c>
      <c r="F17" s="37" t="n">
        <f aca="false">F16/Assumptions!$B$6</f>
        <v>3.5</v>
      </c>
      <c r="G17" s="37" t="n">
        <f aca="false">G16/Assumptions!$B$6</f>
        <v>5.10789473684211</v>
      </c>
      <c r="H17" s="37" t="n">
        <f aca="false">H16/Assumptions!$B$6</f>
        <v>6.93947368421053</v>
      </c>
      <c r="I17" s="37" t="n">
        <f aca="false">I16/Assumptions!$B$6</f>
        <v>9.26973684210526</v>
      </c>
    </row>
    <row r="19" customFormat="false" ht="15" hidden="false" customHeight="false" outlineLevel="0" collapsed="false">
      <c r="A19" s="5" t="s">
        <v>162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10" min="2" style="0" width="11"/>
  </cols>
  <sheetData>
    <row r="1" customFormat="false" ht="17.35" hidden="false" customHeight="false" outlineLevel="0" collapsed="false">
      <c r="A1" s="1" t="s">
        <v>163</v>
      </c>
    </row>
    <row r="2" customFormat="false" ht="15" hidden="false" customHeight="false" outlineLevel="0" collapsed="false">
      <c r="A2" s="5" t="s">
        <v>164</v>
      </c>
    </row>
    <row r="4" customFormat="false" ht="15" hidden="false" customHeight="false" outlineLevel="0" collapsed="false">
      <c r="A4" s="14" t="s">
        <v>165</v>
      </c>
      <c r="B4" s="15" t="s">
        <v>150</v>
      </c>
      <c r="C4" s="15" t="s">
        <v>151</v>
      </c>
      <c r="D4" s="15" t="s">
        <v>106</v>
      </c>
      <c r="E4" s="15" t="s">
        <v>47</v>
      </c>
      <c r="F4" s="15" t="s">
        <v>48</v>
      </c>
      <c r="G4" s="15" t="s">
        <v>49</v>
      </c>
      <c r="H4" s="15" t="s">
        <v>50</v>
      </c>
      <c r="I4" s="15" t="s">
        <v>51</v>
      </c>
    </row>
    <row r="5" customFormat="false" ht="15" hidden="false" customHeight="false" outlineLevel="0" collapsed="false">
      <c r="A5" s="6" t="s">
        <v>166</v>
      </c>
      <c r="B5" s="21" t="n">
        <v>16.4</v>
      </c>
      <c r="C5" s="21" t="n">
        <v>16.1</v>
      </c>
      <c r="D5" s="21" t="n">
        <v>16.5</v>
      </c>
      <c r="E5" s="9" t="n">
        <v>14</v>
      </c>
      <c r="F5" s="9" t="n">
        <v>16</v>
      </c>
      <c r="G5" s="9" t="n">
        <v>20</v>
      </c>
      <c r="H5" s="9" t="n">
        <v>26</v>
      </c>
      <c r="I5" s="9" t="n">
        <v>34</v>
      </c>
    </row>
    <row r="6" customFormat="false" ht="15" hidden="false" customHeight="false" outlineLevel="0" collapsed="false">
      <c r="A6" s="6" t="s">
        <v>167</v>
      </c>
      <c r="B6" s="21" t="n">
        <v>12.7</v>
      </c>
      <c r="C6" s="21" t="n">
        <v>20.4</v>
      </c>
      <c r="D6" s="21" t="n">
        <v>28.2</v>
      </c>
      <c r="E6" s="9" t="n">
        <v>28</v>
      </c>
      <c r="F6" s="9" t="n">
        <v>28</v>
      </c>
      <c r="G6" s="9" t="n">
        <v>28</v>
      </c>
      <c r="H6" s="9" t="n">
        <v>28</v>
      </c>
      <c r="I6" s="9" t="n">
        <v>28</v>
      </c>
    </row>
    <row r="7" customFormat="false" ht="15" hidden="false" customHeight="false" outlineLevel="0" collapsed="false">
      <c r="A7" s="6" t="s">
        <v>168</v>
      </c>
      <c r="B7" s="21" t="n">
        <v>3.5</v>
      </c>
      <c r="C7" s="21" t="n">
        <v>4.4</v>
      </c>
      <c r="D7" s="21" t="n">
        <v>4.5</v>
      </c>
      <c r="E7" s="9" t="n">
        <v>5</v>
      </c>
      <c r="F7" s="9" t="n">
        <v>6</v>
      </c>
      <c r="G7" s="9" t="n">
        <v>7</v>
      </c>
      <c r="H7" s="9" t="n">
        <v>8</v>
      </c>
      <c r="I7" s="9" t="n">
        <v>9</v>
      </c>
    </row>
    <row r="8" customFormat="false" ht="15" hidden="false" customHeight="false" outlineLevel="0" collapsed="false">
      <c r="A8" s="6" t="s">
        <v>169</v>
      </c>
      <c r="B8" s="21" t="n">
        <v>13.6</v>
      </c>
      <c r="C8" s="21" t="n">
        <v>12</v>
      </c>
      <c r="D8" s="21" t="n">
        <v>12.5</v>
      </c>
      <c r="E8" s="9" t="n">
        <v>14</v>
      </c>
      <c r="F8" s="9" t="n">
        <v>16</v>
      </c>
      <c r="G8" s="9" t="n">
        <v>18</v>
      </c>
      <c r="H8" s="9" t="n">
        <v>20</v>
      </c>
      <c r="I8" s="9" t="n">
        <v>22</v>
      </c>
    </row>
    <row r="9" customFormat="false" ht="15" hidden="false" customHeight="false" outlineLevel="0" collapsed="false">
      <c r="A9" s="10" t="s">
        <v>170</v>
      </c>
      <c r="B9" s="31" t="n">
        <f aca="false">SUM(B5:B8)</f>
        <v>46.2</v>
      </c>
      <c r="C9" s="31" t="n">
        <f aca="false">SUM(C5:C8)</f>
        <v>52.9</v>
      </c>
      <c r="D9" s="31" t="n">
        <f aca="false">SUM(D5:D8)</f>
        <v>61.7</v>
      </c>
      <c r="E9" s="31" t="n">
        <f aca="false">SUM(E5:E8)</f>
        <v>61</v>
      </c>
      <c r="F9" s="31" t="n">
        <f aca="false">SUM(F5:F8)</f>
        <v>66</v>
      </c>
      <c r="G9" s="31" t="n">
        <f aca="false">SUM(G5:G8)</f>
        <v>73</v>
      </c>
      <c r="H9" s="31" t="n">
        <f aca="false">SUM(H5:H8)</f>
        <v>82</v>
      </c>
      <c r="I9" s="31" t="n">
        <f aca="false">SUM(I5:I8)</f>
        <v>93</v>
      </c>
    </row>
    <row r="10" customFormat="false" ht="15" hidden="false" customHeight="false" outlineLevel="0" collapsed="false">
      <c r="A10" s="6" t="s">
        <v>171</v>
      </c>
      <c r="B10" s="21" t="n">
        <v>29.7</v>
      </c>
      <c r="C10" s="21" t="n">
        <v>35.8</v>
      </c>
      <c r="D10" s="21" t="n">
        <v>40</v>
      </c>
      <c r="E10" s="9" t="n">
        <v>52</v>
      </c>
      <c r="F10" s="9" t="n">
        <v>62</v>
      </c>
      <c r="G10" s="9" t="n">
        <v>70</v>
      </c>
      <c r="H10" s="9" t="n">
        <v>76</v>
      </c>
      <c r="I10" s="9" t="n">
        <v>80</v>
      </c>
    </row>
    <row r="11" customFormat="false" ht="15" hidden="false" customHeight="false" outlineLevel="0" collapsed="false">
      <c r="A11" s="6" t="s">
        <v>172</v>
      </c>
      <c r="B11" s="21" t="n">
        <v>30.9</v>
      </c>
      <c r="C11" s="21" t="n">
        <v>33.5</v>
      </c>
      <c r="D11" s="21" t="n">
        <v>33.3</v>
      </c>
      <c r="E11" s="9" t="n">
        <v>34</v>
      </c>
      <c r="F11" s="9" t="n">
        <v>35</v>
      </c>
      <c r="G11" s="9" t="n">
        <v>36</v>
      </c>
      <c r="H11" s="9" t="n">
        <v>37</v>
      </c>
      <c r="I11" s="9" t="n">
        <v>38</v>
      </c>
    </row>
    <row r="12" customFormat="false" ht="15" hidden="false" customHeight="false" outlineLevel="0" collapsed="false">
      <c r="A12" s="10" t="s">
        <v>173</v>
      </c>
      <c r="B12" s="31" t="n">
        <f aca="false">B9+B10+B11</f>
        <v>106.8</v>
      </c>
      <c r="C12" s="31" t="n">
        <f aca="false">C9+C10+C11</f>
        <v>122.2</v>
      </c>
      <c r="D12" s="31" t="n">
        <f aca="false">D9+D10+D11</f>
        <v>135</v>
      </c>
      <c r="E12" s="31" t="n">
        <f aca="false">E9+E10+E11</f>
        <v>147</v>
      </c>
      <c r="F12" s="31" t="n">
        <f aca="false">F9+F10+F11</f>
        <v>163</v>
      </c>
      <c r="G12" s="31" t="n">
        <f aca="false">G9+G10+G11</f>
        <v>179</v>
      </c>
      <c r="H12" s="31" t="n">
        <f aca="false">H9+H10+H11</f>
        <v>195</v>
      </c>
      <c r="I12" s="31" t="n">
        <f aca="false">I9+I10+I11</f>
        <v>211</v>
      </c>
    </row>
    <row r="13" customFormat="false" ht="15" hidden="false" customHeight="false" outlineLevel="0" collapsed="false">
      <c r="A13" s="6" t="s">
        <v>174</v>
      </c>
      <c r="B13" s="21" t="n">
        <v>23.8</v>
      </c>
      <c r="C13" s="21" t="n">
        <v>26.6</v>
      </c>
      <c r="D13" s="21" t="n">
        <v>28</v>
      </c>
      <c r="E13" s="9" t="n">
        <v>30</v>
      </c>
      <c r="F13" s="9" t="n">
        <v>33</v>
      </c>
      <c r="G13" s="9" t="n">
        <v>36</v>
      </c>
      <c r="H13" s="9" t="n">
        <v>39</v>
      </c>
      <c r="I13" s="9" t="n">
        <v>42</v>
      </c>
    </row>
    <row r="14" customFormat="false" ht="15" hidden="false" customHeight="false" outlineLevel="0" collapsed="false">
      <c r="A14" s="6" t="s">
        <v>175</v>
      </c>
      <c r="B14" s="21" t="n">
        <v>9.6</v>
      </c>
      <c r="C14" s="21" t="n">
        <v>7.3</v>
      </c>
      <c r="D14" s="21" t="n">
        <v>6.5</v>
      </c>
      <c r="E14" s="9" t="n">
        <v>6.5</v>
      </c>
      <c r="F14" s="9" t="n">
        <v>6.5</v>
      </c>
      <c r="G14" s="9" t="n">
        <v>6.5</v>
      </c>
      <c r="H14" s="9" t="n">
        <v>6.5</v>
      </c>
      <c r="I14" s="9" t="n">
        <v>6.5</v>
      </c>
    </row>
    <row r="15" customFormat="false" ht="15" hidden="false" customHeight="false" outlineLevel="0" collapsed="false">
      <c r="A15" s="6" t="s">
        <v>176</v>
      </c>
      <c r="B15" s="21" t="n">
        <v>10.5</v>
      </c>
      <c r="C15" s="21" t="n">
        <v>13.6</v>
      </c>
      <c r="D15" s="21" t="n">
        <v>14.5</v>
      </c>
      <c r="E15" s="9" t="n">
        <v>15</v>
      </c>
      <c r="F15" s="9" t="n">
        <v>15.5</v>
      </c>
      <c r="G15" s="9" t="n">
        <v>16</v>
      </c>
      <c r="H15" s="9" t="n">
        <v>16.5</v>
      </c>
      <c r="I15" s="9" t="n">
        <v>17</v>
      </c>
    </row>
    <row r="16" customFormat="false" ht="15" hidden="false" customHeight="false" outlineLevel="0" collapsed="false">
      <c r="A16" s="10" t="s">
        <v>177</v>
      </c>
      <c r="B16" s="31" t="n">
        <f aca="false">B13+B14+B15</f>
        <v>43.9</v>
      </c>
      <c r="C16" s="31" t="n">
        <f aca="false">C13+C14+C15</f>
        <v>47.5</v>
      </c>
      <c r="D16" s="31" t="n">
        <f aca="false">D13+D14+D15</f>
        <v>49</v>
      </c>
      <c r="E16" s="31" t="n">
        <f aca="false">E13+E14+E15</f>
        <v>51.5</v>
      </c>
      <c r="F16" s="31" t="n">
        <f aca="false">F13+F14+F15</f>
        <v>55</v>
      </c>
      <c r="G16" s="31" t="n">
        <f aca="false">G13+G14+G15</f>
        <v>58.5</v>
      </c>
      <c r="H16" s="31" t="n">
        <f aca="false">H13+H14+H15</f>
        <v>62</v>
      </c>
      <c r="I16" s="31" t="n">
        <f aca="false">I13+I14+I15</f>
        <v>65.5</v>
      </c>
    </row>
    <row r="17" customFormat="false" ht="15" hidden="false" customHeight="false" outlineLevel="0" collapsed="false">
      <c r="A17" s="10" t="s">
        <v>178</v>
      </c>
      <c r="B17" s="31" t="n">
        <f aca="false">B12-B16</f>
        <v>62.9</v>
      </c>
      <c r="C17" s="31" t="n">
        <f aca="false">C12-C16</f>
        <v>74.7</v>
      </c>
      <c r="D17" s="31" t="n">
        <f aca="false">D12-D16</f>
        <v>86</v>
      </c>
      <c r="E17" s="31" t="n">
        <f aca="false">E12-E16</f>
        <v>95.5</v>
      </c>
      <c r="F17" s="31" t="n">
        <f aca="false">F12-F16</f>
        <v>108</v>
      </c>
      <c r="G17" s="31" t="n">
        <f aca="false">G12-G16</f>
        <v>120.5</v>
      </c>
      <c r="H17" s="31" t="n">
        <f aca="false">H12-H16</f>
        <v>133</v>
      </c>
      <c r="I17" s="31" t="n">
        <f aca="false">I12-I16</f>
        <v>145.5</v>
      </c>
    </row>
    <row r="18" customFormat="false" ht="15" hidden="false" customHeight="false" outlineLevel="0" collapsed="false">
      <c r="A18" s="6" t="s">
        <v>179</v>
      </c>
      <c r="B18" s="9" t="n">
        <f aca="false">B5+B6-B14</f>
        <v>19.5</v>
      </c>
      <c r="C18" s="9" t="n">
        <f aca="false">C5+C6-C14</f>
        <v>29.2</v>
      </c>
      <c r="D18" s="9" t="n">
        <f aca="false">D5+D6-D14</f>
        <v>38.2</v>
      </c>
      <c r="E18" s="9" t="n">
        <f aca="false">E5+E6-E14</f>
        <v>35.5</v>
      </c>
      <c r="F18" s="9" t="n">
        <f aca="false">F5+F6-F14</f>
        <v>37.5</v>
      </c>
      <c r="G18" s="9" t="n">
        <f aca="false">G5+G6-G14</f>
        <v>41.5</v>
      </c>
      <c r="H18" s="9" t="n">
        <f aca="false">H5+H6-H14</f>
        <v>47.5</v>
      </c>
      <c r="I18" s="9" t="n">
        <f aca="false">I5+I6-I14</f>
        <v>55.5</v>
      </c>
    </row>
    <row r="20" customFormat="false" ht="15" hidden="false" customHeight="false" outlineLevel="0" collapsed="false">
      <c r="A20" s="5" t="s">
        <v>180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10" min="2" style="0" width="11"/>
  </cols>
  <sheetData>
    <row r="1" customFormat="false" ht="17.35" hidden="false" customHeight="false" outlineLevel="0" collapsed="false">
      <c r="A1" s="1" t="s">
        <v>181</v>
      </c>
    </row>
    <row r="2" customFormat="false" ht="15" hidden="false" customHeight="false" outlineLevel="0" collapsed="false">
      <c r="A2" s="5" t="s">
        <v>182</v>
      </c>
    </row>
    <row r="4" customFormat="false" ht="15" hidden="false" customHeight="false" outlineLevel="0" collapsed="false">
      <c r="A4" s="14" t="s">
        <v>183</v>
      </c>
      <c r="B4" s="15" t="s">
        <v>150</v>
      </c>
      <c r="C4" s="15" t="s">
        <v>151</v>
      </c>
      <c r="D4" s="15" t="s">
        <v>106</v>
      </c>
      <c r="E4" s="15" t="s">
        <v>47</v>
      </c>
      <c r="F4" s="15" t="s">
        <v>48</v>
      </c>
      <c r="G4" s="15" t="s">
        <v>49</v>
      </c>
      <c r="H4" s="15" t="s">
        <v>50</v>
      </c>
      <c r="I4" s="15" t="s">
        <v>51</v>
      </c>
    </row>
    <row r="5" customFormat="false" ht="15" hidden="false" customHeight="false" outlineLevel="0" collapsed="false">
      <c r="A5" s="6" t="s">
        <v>184</v>
      </c>
      <c r="B5" s="21" t="n">
        <v>13.3</v>
      </c>
      <c r="C5" s="21" t="n">
        <v>14.9</v>
      </c>
      <c r="D5" s="21" t="n">
        <v>16.8</v>
      </c>
      <c r="E5" s="9" t="n">
        <v>11.5</v>
      </c>
      <c r="F5" s="9" t="n">
        <v>15.9</v>
      </c>
      <c r="G5" s="9" t="n">
        <v>22.1</v>
      </c>
      <c r="H5" s="9" t="n">
        <v>28.9</v>
      </c>
      <c r="I5" s="9" t="n">
        <v>37.8</v>
      </c>
    </row>
    <row r="6" customFormat="false" ht="15" hidden="false" customHeight="false" outlineLevel="0" collapsed="false">
      <c r="A6" s="6" t="s">
        <v>185</v>
      </c>
      <c r="B6" s="21" t="n">
        <v>-8.9</v>
      </c>
      <c r="C6" s="21" t="n">
        <v>-11.3</v>
      </c>
      <c r="D6" s="21" t="n">
        <v>-8.6</v>
      </c>
      <c r="E6" s="9" t="n">
        <f aca="false">-Assumptions!C14</f>
        <v>-25</v>
      </c>
      <c r="F6" s="9" t="n">
        <f aca="false">-Assumptions!D14</f>
        <v>-22</v>
      </c>
      <c r="G6" s="9" t="n">
        <f aca="false">-Assumptions!E14</f>
        <v>-20</v>
      </c>
      <c r="H6" s="9" t="n">
        <f aca="false">-Assumptions!F14</f>
        <v>-18</v>
      </c>
      <c r="I6" s="9" t="n">
        <f aca="false">-Assumptions!G14</f>
        <v>-17</v>
      </c>
    </row>
    <row r="7" customFormat="false" ht="15" hidden="false" customHeight="false" outlineLevel="0" collapsed="false">
      <c r="A7" s="10" t="s">
        <v>186</v>
      </c>
      <c r="B7" s="31" t="n">
        <f aca="false">B5+B6</f>
        <v>4.4</v>
      </c>
      <c r="C7" s="31" t="n">
        <f aca="false">C5+C6</f>
        <v>3.6</v>
      </c>
      <c r="D7" s="31" t="n">
        <f aca="false">D5+D6</f>
        <v>8.2</v>
      </c>
      <c r="E7" s="31" t="n">
        <f aca="false">E5+E6</f>
        <v>-13.5</v>
      </c>
      <c r="F7" s="31" t="n">
        <f aca="false">F5+F6</f>
        <v>-6.1</v>
      </c>
      <c r="G7" s="31" t="n">
        <f aca="false">G5+G6</f>
        <v>2.1</v>
      </c>
      <c r="H7" s="31" t="n">
        <f aca="false">H5+H6</f>
        <v>10.9</v>
      </c>
      <c r="I7" s="31" t="n">
        <f aca="false">I5+I6</f>
        <v>20.8</v>
      </c>
    </row>
    <row r="9" customFormat="false" ht="15" hidden="false" customHeight="false" outlineLevel="0" collapsed="false">
      <c r="A9" s="5" t="s">
        <v>187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10" min="2" style="0" width="11"/>
  </cols>
  <sheetData>
    <row r="1" customFormat="false" ht="17.35" hidden="false" customHeight="false" outlineLevel="0" collapsed="false">
      <c r="A1" s="1" t="s">
        <v>188</v>
      </c>
    </row>
    <row r="2" customFormat="false" ht="15" hidden="false" customHeight="false" outlineLevel="0" collapsed="false">
      <c r="A2" s="5" t="s">
        <v>189</v>
      </c>
    </row>
    <row r="4" customFormat="false" ht="15" hidden="false" customHeight="false" outlineLevel="0" collapsed="false">
      <c r="A4" s="14" t="s">
        <v>190</v>
      </c>
      <c r="B4" s="15" t="s">
        <v>150</v>
      </c>
      <c r="C4" s="15" t="s">
        <v>151</v>
      </c>
      <c r="D4" s="15" t="s">
        <v>106</v>
      </c>
      <c r="E4" s="15" t="s">
        <v>47</v>
      </c>
      <c r="F4" s="15" t="s">
        <v>48</v>
      </c>
      <c r="G4" s="15" t="s">
        <v>49</v>
      </c>
      <c r="H4" s="15" t="s">
        <v>50</v>
      </c>
      <c r="I4" s="15" t="s">
        <v>51</v>
      </c>
    </row>
    <row r="5" customFormat="false" ht="15" hidden="false" customHeight="false" outlineLevel="0" collapsed="false">
      <c r="A5" s="6" t="s">
        <v>107</v>
      </c>
      <c r="B5" s="30" t="n">
        <f aca="false">'Income Statement'!B8</f>
        <v>96.8</v>
      </c>
      <c r="C5" s="30" t="n">
        <f aca="false">'Income Statement'!C8</f>
        <v>97.7</v>
      </c>
      <c r="D5" s="30" t="n">
        <f aca="false">'Income Statement'!D8</f>
        <v>94.8</v>
      </c>
      <c r="E5" s="30" t="n">
        <f aca="false">'Income Statement'!E8</f>
        <v>108</v>
      </c>
      <c r="F5" s="30" t="n">
        <f aca="false">'Income Statement'!F8</f>
        <v>130</v>
      </c>
      <c r="G5" s="30" t="n">
        <f aca="false">'Income Statement'!G8</f>
        <v>154</v>
      </c>
      <c r="H5" s="30" t="n">
        <f aca="false">'Income Statement'!H8</f>
        <v>182</v>
      </c>
      <c r="I5" s="30" t="n">
        <f aca="false">'Income Statement'!I8</f>
        <v>215</v>
      </c>
    </row>
    <row r="6" customFormat="false" ht="15" hidden="false" customHeight="false" outlineLevel="0" collapsed="false">
      <c r="A6" s="6" t="s">
        <v>156</v>
      </c>
      <c r="B6" s="30" t="n">
        <f aca="false">'Income Statement'!B12</f>
        <v>8.9056</v>
      </c>
      <c r="C6" s="30" t="n">
        <f aca="false">'Income Statement'!C12</f>
        <v>7.1321</v>
      </c>
      <c r="D6" s="30" t="n">
        <f aca="false">'Income Statement'!D12</f>
        <v>4.266</v>
      </c>
      <c r="E6" s="30" t="n">
        <f aca="false">'Income Statement'!E12</f>
        <v>7.02</v>
      </c>
      <c r="F6" s="30" t="n">
        <f aca="false">'Income Statement'!F12</f>
        <v>11.7</v>
      </c>
      <c r="G6" s="30" t="n">
        <f aca="false">'Income Statement'!G12</f>
        <v>17.71</v>
      </c>
      <c r="H6" s="30" t="n">
        <f aca="false">'Income Statement'!H12</f>
        <v>24.57</v>
      </c>
      <c r="I6" s="30" t="n">
        <f aca="false">'Income Statement'!I12</f>
        <v>33.325</v>
      </c>
    </row>
    <row r="7" customFormat="false" ht="15" hidden="false" customHeight="false" outlineLevel="0" collapsed="false">
      <c r="A7" s="6" t="s">
        <v>191</v>
      </c>
      <c r="B7" s="16" t="n">
        <f aca="false">'Income Statement'!B12/'Income Statement'!B8</f>
        <v>0.092</v>
      </c>
      <c r="C7" s="16" t="n">
        <f aca="false">'Income Statement'!C12/'Income Statement'!C8</f>
        <v>0.073</v>
      </c>
      <c r="D7" s="16" t="n">
        <f aca="false">'Income Statement'!D12/'Income Statement'!D8</f>
        <v>0.045</v>
      </c>
      <c r="E7" s="16" t="n">
        <f aca="false">'Income Statement'!E12/'Income Statement'!E8</f>
        <v>0.065</v>
      </c>
      <c r="F7" s="16" t="n">
        <f aca="false">'Income Statement'!F12/'Income Statement'!F8</f>
        <v>0.09</v>
      </c>
      <c r="G7" s="16" t="n">
        <f aca="false">'Income Statement'!G12/'Income Statement'!G8</f>
        <v>0.115</v>
      </c>
      <c r="H7" s="16" t="n">
        <f aca="false">'Income Statement'!H12/'Income Statement'!H8</f>
        <v>0.135</v>
      </c>
      <c r="I7" s="16" t="n">
        <f aca="false">'Income Statement'!I12/'Income Statement'!I8</f>
        <v>0.155</v>
      </c>
    </row>
    <row r="8" customFormat="false" ht="15" hidden="false" customHeight="false" outlineLevel="0" collapsed="false">
      <c r="A8" s="6" t="s">
        <v>192</v>
      </c>
      <c r="B8" s="30" t="n">
        <f aca="false">'Income Statement'!B16</f>
        <v>15.0056</v>
      </c>
      <c r="C8" s="30" t="n">
        <f aca="false">'Income Statement'!C16</f>
        <v>7.1321</v>
      </c>
      <c r="D8" s="30" t="n">
        <f aca="false">'Income Statement'!D16</f>
        <v>3.766</v>
      </c>
      <c r="E8" s="30" t="n">
        <f aca="false">'Income Statement'!E16</f>
        <v>7.242</v>
      </c>
      <c r="F8" s="30" t="n">
        <f aca="false">'Income Statement'!F16</f>
        <v>11.305</v>
      </c>
      <c r="G8" s="30" t="n">
        <f aca="false">'Income Statement'!G16</f>
        <v>16.4985</v>
      </c>
      <c r="H8" s="30" t="n">
        <f aca="false">'Income Statement'!H16</f>
        <v>22.4145</v>
      </c>
      <c r="I8" s="30" t="n">
        <f aca="false">'Income Statement'!I16</f>
        <v>29.94125</v>
      </c>
    </row>
    <row r="9" customFormat="false" ht="15" hidden="false" customHeight="false" outlineLevel="0" collapsed="false">
      <c r="A9" s="6" t="s">
        <v>161</v>
      </c>
      <c r="B9" s="7" t="n">
        <f aca="false">'Income Statement'!B17</f>
        <v>4.64569659442724</v>
      </c>
      <c r="C9" s="7" t="n">
        <f aca="false">'Income Statement'!C17</f>
        <v>2.20808049535604</v>
      </c>
      <c r="D9" s="7" t="n">
        <f aca="false">'Income Statement'!D17</f>
        <v>1.16594427244582</v>
      </c>
      <c r="E9" s="7" t="n">
        <f aca="false">'Income Statement'!E17</f>
        <v>2.24210526315789</v>
      </c>
      <c r="F9" s="7" t="n">
        <f aca="false">'Income Statement'!F17</f>
        <v>3.5</v>
      </c>
      <c r="G9" s="7" t="n">
        <f aca="false">'Income Statement'!G17</f>
        <v>5.10789473684211</v>
      </c>
      <c r="H9" s="7" t="n">
        <f aca="false">'Income Statement'!H17</f>
        <v>6.93947368421053</v>
      </c>
      <c r="I9" s="7" t="n">
        <f aca="false">'Income Statement'!I17</f>
        <v>9.26973684210526</v>
      </c>
    </row>
    <row r="10" customFormat="false" ht="15" hidden="false" customHeight="false" outlineLevel="0" collapsed="false">
      <c r="A10" s="6" t="s">
        <v>173</v>
      </c>
      <c r="B10" s="30" t="n">
        <f aca="false">'Balance Sheet'!B12</f>
        <v>106.8</v>
      </c>
      <c r="C10" s="30" t="n">
        <f aca="false">'Balance Sheet'!C12</f>
        <v>122.2</v>
      </c>
      <c r="D10" s="30" t="n">
        <f aca="false">'Balance Sheet'!D12</f>
        <v>135</v>
      </c>
      <c r="E10" s="30" t="n">
        <f aca="false">'Balance Sheet'!E12</f>
        <v>147</v>
      </c>
      <c r="F10" s="30" t="n">
        <f aca="false">'Balance Sheet'!F12</f>
        <v>163</v>
      </c>
      <c r="G10" s="30" t="n">
        <f aca="false">'Balance Sheet'!G12</f>
        <v>179</v>
      </c>
      <c r="H10" s="30" t="n">
        <f aca="false">'Balance Sheet'!H12</f>
        <v>195</v>
      </c>
      <c r="I10" s="30" t="n">
        <f aca="false">'Balance Sheet'!I12</f>
        <v>211</v>
      </c>
    </row>
    <row r="11" customFormat="false" ht="15" hidden="false" customHeight="false" outlineLevel="0" collapsed="false">
      <c r="A11" s="6" t="s">
        <v>178</v>
      </c>
      <c r="B11" s="30" t="n">
        <f aca="false">'Balance Sheet'!B17</f>
        <v>62.9</v>
      </c>
      <c r="C11" s="30" t="n">
        <f aca="false">'Balance Sheet'!C17</f>
        <v>74.7</v>
      </c>
      <c r="D11" s="30" t="n">
        <f aca="false">'Balance Sheet'!D17</f>
        <v>86</v>
      </c>
      <c r="E11" s="30" t="n">
        <f aca="false">'Balance Sheet'!E17</f>
        <v>95.5</v>
      </c>
      <c r="F11" s="30" t="n">
        <f aca="false">'Balance Sheet'!F17</f>
        <v>108</v>
      </c>
      <c r="G11" s="30" t="n">
        <f aca="false">'Balance Sheet'!G17</f>
        <v>120.5</v>
      </c>
      <c r="H11" s="30" t="n">
        <f aca="false">'Balance Sheet'!H17</f>
        <v>133</v>
      </c>
      <c r="I11" s="30" t="n">
        <f aca="false">'Balance Sheet'!I17</f>
        <v>145.5</v>
      </c>
    </row>
    <row r="12" customFormat="false" ht="15" hidden="false" customHeight="false" outlineLevel="0" collapsed="false">
      <c r="A12" s="6" t="s">
        <v>193</v>
      </c>
      <c r="B12" s="30" t="n">
        <f aca="false">'Balance Sheet'!B18</f>
        <v>19.5</v>
      </c>
      <c r="C12" s="30" t="n">
        <f aca="false">'Balance Sheet'!C18</f>
        <v>29.2</v>
      </c>
      <c r="D12" s="30" t="n">
        <f aca="false">'Balance Sheet'!D18</f>
        <v>38.2</v>
      </c>
      <c r="E12" s="30" t="n">
        <f aca="false">'Balance Sheet'!E18</f>
        <v>35.5</v>
      </c>
      <c r="F12" s="30" t="n">
        <f aca="false">'Balance Sheet'!F18</f>
        <v>37.5</v>
      </c>
      <c r="G12" s="30" t="n">
        <f aca="false">'Balance Sheet'!G18</f>
        <v>41.5</v>
      </c>
      <c r="H12" s="30" t="n">
        <f aca="false">'Balance Sheet'!H18</f>
        <v>47.5</v>
      </c>
      <c r="I12" s="30" t="n">
        <f aca="false">'Balance Sheet'!I18</f>
        <v>55.5</v>
      </c>
    </row>
    <row r="13" customFormat="false" ht="15" hidden="false" customHeight="false" outlineLevel="0" collapsed="false">
      <c r="A13" s="6" t="s">
        <v>184</v>
      </c>
      <c r="B13" s="30" t="n">
        <f aca="false">'Cash Flow'!B5</f>
        <v>13.3</v>
      </c>
      <c r="C13" s="30" t="n">
        <f aca="false">'Cash Flow'!C5</f>
        <v>14.9</v>
      </c>
      <c r="D13" s="30" t="n">
        <f aca="false">'Cash Flow'!D5</f>
        <v>16.8</v>
      </c>
      <c r="E13" s="30" t="n">
        <f aca="false">'Cash Flow'!E5</f>
        <v>11.5</v>
      </c>
      <c r="F13" s="30" t="n">
        <f aca="false">'Cash Flow'!F5</f>
        <v>15.9</v>
      </c>
      <c r="G13" s="30" t="n">
        <f aca="false">'Cash Flow'!G5</f>
        <v>22.1</v>
      </c>
      <c r="H13" s="30" t="n">
        <f aca="false">'Cash Flow'!H5</f>
        <v>28.9</v>
      </c>
      <c r="I13" s="30" t="n">
        <f aca="false">'Cash Flow'!I5</f>
        <v>37.8</v>
      </c>
    </row>
    <row r="14" customFormat="false" ht="15" hidden="false" customHeight="false" outlineLevel="0" collapsed="false">
      <c r="A14" s="6" t="s">
        <v>186</v>
      </c>
      <c r="B14" s="30" t="n">
        <f aca="false">'Cash Flow'!B7</f>
        <v>4.4</v>
      </c>
      <c r="C14" s="30" t="n">
        <f aca="false">'Cash Flow'!C7</f>
        <v>3.6</v>
      </c>
      <c r="D14" s="30" t="n">
        <f aca="false">'Cash Flow'!D7</f>
        <v>8.2</v>
      </c>
      <c r="E14" s="30" t="n">
        <f aca="false">'Cash Flow'!E7</f>
        <v>-13.5</v>
      </c>
      <c r="F14" s="30" t="n">
        <f aca="false">'Cash Flow'!F7</f>
        <v>-6.1</v>
      </c>
      <c r="G14" s="30" t="n">
        <f aca="false">'Cash Flow'!G7</f>
        <v>2.1</v>
      </c>
      <c r="H14" s="30" t="n">
        <f aca="false">'Cash Flow'!H7</f>
        <v>10.9</v>
      </c>
      <c r="I14" s="30" t="n">
        <f aca="false">'Cash Flow'!I7</f>
        <v>20.8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6" min="2" style="0" width="12"/>
  </cols>
  <sheetData>
    <row r="1" customFormat="false" ht="17.35" hidden="false" customHeight="false" outlineLevel="0" collapsed="false">
      <c r="A1" s="1" t="s">
        <v>194</v>
      </c>
    </row>
    <row r="2" customFormat="false" ht="15" hidden="false" customHeight="false" outlineLevel="0" collapsed="false">
      <c r="A2" s="5" t="s">
        <v>195</v>
      </c>
    </row>
    <row r="4" customFormat="false" ht="15" hidden="false" customHeight="false" outlineLevel="0" collapsed="false">
      <c r="A4" s="2" t="s">
        <v>196</v>
      </c>
    </row>
    <row r="5" customFormat="false" ht="15" hidden="false" customHeight="false" outlineLevel="0" collapsed="false">
      <c r="A5" s="6" t="s">
        <v>197</v>
      </c>
      <c r="B5" s="7" t="n">
        <f aca="false">Assumptions!B5</f>
        <v>420.6</v>
      </c>
    </row>
    <row r="6" customFormat="false" ht="15" hidden="false" customHeight="false" outlineLevel="0" collapsed="false">
      <c r="A6" s="6" t="s">
        <v>198</v>
      </c>
      <c r="B6" s="22" t="n">
        <v>0.48</v>
      </c>
    </row>
    <row r="7" customFormat="false" ht="15" hidden="false" customHeight="false" outlineLevel="0" collapsed="false">
      <c r="A7" s="6" t="s">
        <v>199</v>
      </c>
      <c r="B7" s="22" t="n">
        <v>0.029</v>
      </c>
    </row>
    <row r="8" customFormat="false" ht="15" hidden="false" customHeight="false" outlineLevel="0" collapsed="false">
      <c r="A8" s="6" t="s">
        <v>200</v>
      </c>
      <c r="B8" s="16" t="n">
        <v>0.554</v>
      </c>
    </row>
    <row r="10" customFormat="false" ht="15" hidden="false" customHeight="false" outlineLevel="0" collapsed="false">
      <c r="A10" s="2" t="s">
        <v>201</v>
      </c>
    </row>
    <row r="11" customFormat="false" ht="15" hidden="false" customHeight="false" outlineLevel="0" collapsed="false">
      <c r="A11" s="14" t="s">
        <v>202</v>
      </c>
      <c r="B11" s="15" t="s">
        <v>203</v>
      </c>
      <c r="C11" s="15" t="s">
        <v>204</v>
      </c>
      <c r="D11" s="15" t="s">
        <v>205</v>
      </c>
      <c r="E11" s="15" t="s">
        <v>206</v>
      </c>
      <c r="F11" s="15" t="s">
        <v>207</v>
      </c>
    </row>
    <row r="12" customFormat="false" ht="15" hidden="false" customHeight="false" outlineLevel="0" collapsed="false">
      <c r="A12" s="6" t="s">
        <v>208</v>
      </c>
      <c r="B12" s="28" t="n">
        <v>325</v>
      </c>
      <c r="C12" s="28" t="n">
        <v>379</v>
      </c>
      <c r="D12" s="28" t="n">
        <v>420</v>
      </c>
      <c r="E12" s="28" t="n">
        <v>466</v>
      </c>
      <c r="F12" s="28" t="n">
        <v>541</v>
      </c>
    </row>
    <row r="13" customFormat="false" ht="15" hidden="false" customHeight="false" outlineLevel="0" collapsed="false">
      <c r="A13" s="6" t="s">
        <v>209</v>
      </c>
      <c r="B13" s="28" t="n">
        <v>270</v>
      </c>
      <c r="C13" s="28" t="n">
        <v>350</v>
      </c>
      <c r="D13" s="28" t="n">
        <v>419</v>
      </c>
      <c r="E13" s="28" t="n">
        <v>501</v>
      </c>
      <c r="F13" s="28" t="n">
        <v>647</v>
      </c>
    </row>
    <row r="15" customFormat="false" ht="15" hidden="false" customHeight="false" outlineLevel="0" collapsed="false">
      <c r="A15" s="2" t="s">
        <v>210</v>
      </c>
    </row>
    <row r="16" customFormat="false" ht="15" hidden="false" customHeight="false" outlineLevel="0" collapsed="false">
      <c r="A16" s="14" t="s">
        <v>211</v>
      </c>
      <c r="B16" s="15" t="s">
        <v>212</v>
      </c>
      <c r="C16" s="15" t="s">
        <v>213</v>
      </c>
      <c r="D16" s="15" t="s">
        <v>214</v>
      </c>
    </row>
    <row r="17" customFormat="false" ht="15" hidden="false" customHeight="false" outlineLevel="0" collapsed="false">
      <c r="A17" s="28" t="n">
        <v>460</v>
      </c>
      <c r="B17" s="16" t="n">
        <v>0.47</v>
      </c>
      <c r="C17" s="16" t="n">
        <v>0.68</v>
      </c>
      <c r="D17" s="5" t="s">
        <v>215</v>
      </c>
    </row>
    <row r="18" customFormat="false" ht="15" hidden="false" customHeight="false" outlineLevel="0" collapsed="false">
      <c r="A18" s="28" t="n">
        <v>485</v>
      </c>
      <c r="B18" s="16" t="n">
        <v>0.29</v>
      </c>
      <c r="C18" s="16" t="n">
        <v>0.54</v>
      </c>
      <c r="D18" s="5" t="s">
        <v>216</v>
      </c>
    </row>
    <row r="19" customFormat="false" ht="15" hidden="false" customHeight="false" outlineLevel="0" collapsed="false">
      <c r="A19" s="28" t="n">
        <v>500</v>
      </c>
      <c r="B19" s="16" t="n">
        <v>0.21</v>
      </c>
      <c r="C19" s="16" t="n">
        <v>0.46</v>
      </c>
      <c r="D19" s="38" t="s">
        <v>217</v>
      </c>
      <c r="E19" s="28" t="n">
        <v>501</v>
      </c>
      <c r="F19" s="28" t="n">
        <v>647</v>
      </c>
    </row>
    <row r="20" customFormat="false" ht="15" hidden="false" customHeight="false" outlineLevel="0" collapsed="false">
      <c r="A20" s="28" t="n">
        <v>540</v>
      </c>
      <c r="B20" s="16" t="n">
        <v>0.08</v>
      </c>
      <c r="C20" s="16" t="n">
        <v>0.3</v>
      </c>
      <c r="D20" s="5" t="s">
        <v>218</v>
      </c>
    </row>
    <row r="21" customFormat="false" ht="15" hidden="false" customHeight="false" outlineLevel="0" collapsed="false">
      <c r="A21" s="28" t="n">
        <v>380</v>
      </c>
      <c r="B21" s="16" t="n">
        <v>0.42</v>
      </c>
      <c r="C21" s="16" t="n">
        <v>0.65</v>
      </c>
      <c r="D21" s="5" t="s">
        <v>219</v>
      </c>
    </row>
    <row r="22" customFormat="false" ht="15" hidden="false" customHeight="false" outlineLevel="0" collapsed="false">
      <c r="A22" s="28" t="n">
        <v>360</v>
      </c>
      <c r="B22" s="16" t="n">
        <v>0.25</v>
      </c>
      <c r="C22" s="16" t="n">
        <v>0.51</v>
      </c>
      <c r="D22" s="5" t="s">
        <v>220</v>
      </c>
    </row>
    <row r="23" customFormat="false" ht="15" hidden="false" customHeight="false" outlineLevel="0" collapsed="false">
      <c r="A23" s="28" t="n">
        <v>320</v>
      </c>
      <c r="B23" s="16" t="n">
        <v>0.06</v>
      </c>
      <c r="C23" s="16" t="n">
        <v>0.28</v>
      </c>
      <c r="D23" s="5" t="s">
        <v>221</v>
      </c>
    </row>
    <row r="24" customFormat="false" ht="15" hidden="false" customHeight="false" outlineLevel="0" collapsed="false">
      <c r="A24" s="28" t="n">
        <v>290</v>
      </c>
      <c r="B24" s="16" t="n">
        <v>0.01</v>
      </c>
      <c r="C24" s="16" t="n">
        <v>0.15</v>
      </c>
      <c r="D24" s="5" t="s">
        <v>222</v>
      </c>
    </row>
    <row r="26" customFormat="false" ht="15" hidden="false" customHeight="false" outlineLevel="0" collapsed="false">
      <c r="A26" s="2" t="s">
        <v>223</v>
      </c>
    </row>
    <row r="27" customFormat="false" ht="15" hidden="false" customHeight="false" outlineLevel="0" collapsed="false">
      <c r="A27" s="14" t="s">
        <v>224</v>
      </c>
      <c r="B27" s="15" t="s">
        <v>225</v>
      </c>
      <c r="C27" s="15" t="s">
        <v>226</v>
      </c>
      <c r="D27" s="15" t="s">
        <v>227</v>
      </c>
    </row>
    <row r="28" customFormat="false" ht="15" hidden="false" customHeight="false" outlineLevel="0" collapsed="false">
      <c r="A28" s="6" t="s">
        <v>228</v>
      </c>
      <c r="B28" s="39" t="s">
        <v>229</v>
      </c>
      <c r="C28" s="22" t="n">
        <v>-0.005</v>
      </c>
      <c r="D28" s="39" t="s">
        <v>230</v>
      </c>
    </row>
    <row r="29" customFormat="false" ht="15" hidden="false" customHeight="false" outlineLevel="0" collapsed="false">
      <c r="A29" s="6" t="s">
        <v>231</v>
      </c>
      <c r="B29" s="39" t="s">
        <v>229</v>
      </c>
      <c r="C29" s="22" t="n">
        <v>0.01</v>
      </c>
      <c r="D29" s="39" t="s">
        <v>230</v>
      </c>
    </row>
    <row r="30" customFormat="false" ht="15" hidden="false" customHeight="false" outlineLevel="0" collapsed="false">
      <c r="A30" s="6" t="s">
        <v>232</v>
      </c>
      <c r="B30" s="39" t="s">
        <v>229</v>
      </c>
      <c r="C30" s="22" t="n">
        <v>0.01</v>
      </c>
      <c r="D30" s="39" t="s">
        <v>230</v>
      </c>
    </row>
    <row r="31" customFormat="false" ht="15" hidden="false" customHeight="false" outlineLevel="0" collapsed="false">
      <c r="A31" s="6" t="s">
        <v>233</v>
      </c>
      <c r="B31" s="39" t="s">
        <v>229</v>
      </c>
      <c r="C31" s="22" t="n">
        <v>-0.006</v>
      </c>
      <c r="D31" s="39" t="s">
        <v>230</v>
      </c>
    </row>
    <row r="32" customFormat="false" ht="15" hidden="false" customHeight="false" outlineLevel="0" collapsed="false">
      <c r="A32" s="6" t="s">
        <v>234</v>
      </c>
      <c r="B32" s="39" t="s">
        <v>229</v>
      </c>
      <c r="C32" s="22" t="n">
        <v>0.014</v>
      </c>
      <c r="D32" s="39" t="s">
        <v>230</v>
      </c>
    </row>
    <row r="33" customFormat="false" ht="15" hidden="false" customHeight="false" outlineLevel="0" collapsed="false">
      <c r="A33" s="6" t="s">
        <v>235</v>
      </c>
      <c r="B33" s="39" t="s">
        <v>229</v>
      </c>
      <c r="C33" s="22" t="n">
        <v>0.006</v>
      </c>
      <c r="D33" s="39" t="s">
        <v>230</v>
      </c>
    </row>
    <row r="34" customFormat="false" ht="15" hidden="false" customHeight="false" outlineLevel="0" collapsed="false">
      <c r="A34" s="6" t="s">
        <v>236</v>
      </c>
      <c r="B34" s="39" t="s">
        <v>229</v>
      </c>
      <c r="C34" s="22" t="n">
        <v>0</v>
      </c>
      <c r="D34" s="39" t="s">
        <v>230</v>
      </c>
    </row>
    <row r="35" customFormat="false" ht="15" hidden="false" customHeight="false" outlineLevel="0" collapsed="false">
      <c r="A35" s="6" t="s">
        <v>237</v>
      </c>
      <c r="B35" s="39" t="s">
        <v>238</v>
      </c>
      <c r="C35" s="22" t="n">
        <v>0.08</v>
      </c>
      <c r="D35" s="22" t="n">
        <v>0.35</v>
      </c>
    </row>
    <row r="36" customFormat="false" ht="15" hidden="false" customHeight="false" outlineLevel="0" collapsed="false">
      <c r="A36" s="6" t="s">
        <v>239</v>
      </c>
      <c r="B36" s="39" t="s">
        <v>238</v>
      </c>
      <c r="C36" s="22" t="n">
        <v>0.01</v>
      </c>
      <c r="D36" s="22" t="n">
        <v>0.45</v>
      </c>
    </row>
    <row r="37" customFormat="false" ht="15" hidden="false" customHeight="false" outlineLevel="0" collapsed="false">
      <c r="A37" s="6" t="s">
        <v>240</v>
      </c>
      <c r="B37" s="39" t="s">
        <v>238</v>
      </c>
      <c r="C37" s="22" t="n">
        <v>0</v>
      </c>
      <c r="D37" s="22" t="n">
        <v>0.5</v>
      </c>
    </row>
    <row r="38" customFormat="false" ht="15" hidden="false" customHeight="false" outlineLevel="0" collapsed="false">
      <c r="A38" s="6" t="s">
        <v>241</v>
      </c>
      <c r="B38" s="39" t="s">
        <v>238</v>
      </c>
      <c r="C38" s="22" t="n">
        <v>0.06</v>
      </c>
      <c r="D38" s="22" t="n">
        <v>0.3</v>
      </c>
    </row>
    <row r="39" customFormat="false" ht="15" hidden="false" customHeight="false" outlineLevel="0" collapsed="false">
      <c r="A39" s="6" t="s">
        <v>242</v>
      </c>
      <c r="B39" s="39" t="s">
        <v>238</v>
      </c>
      <c r="C39" s="22" t="n">
        <v>-0.07</v>
      </c>
      <c r="D39" s="22" t="n">
        <v>0.3</v>
      </c>
    </row>
    <row r="40" customFormat="false" ht="15" hidden="false" customHeight="false" outlineLevel="0" collapsed="false">
      <c r="A40" s="6" t="s">
        <v>243</v>
      </c>
      <c r="B40" s="39" t="s">
        <v>238</v>
      </c>
      <c r="C40" s="22" t="n">
        <v>-0.06</v>
      </c>
      <c r="D40" s="22" t="n">
        <v>0.35</v>
      </c>
    </row>
    <row r="41" customFormat="false" ht="15" hidden="false" customHeight="false" outlineLevel="0" collapsed="false">
      <c r="A41" s="6" t="s">
        <v>244</v>
      </c>
      <c r="B41" s="39" t="s">
        <v>238</v>
      </c>
      <c r="C41" s="22" t="n">
        <v>-0.01</v>
      </c>
      <c r="D41" s="22" t="n">
        <v>0.3</v>
      </c>
    </row>
    <row r="42" customFormat="false" ht="15" hidden="false" customHeight="false" outlineLevel="0" collapsed="false">
      <c r="A42" s="6" t="s">
        <v>245</v>
      </c>
      <c r="B42" s="39" t="s">
        <v>246</v>
      </c>
      <c r="C42" s="22" t="n">
        <v>-0.06</v>
      </c>
      <c r="D42" s="22" t="n">
        <v>0.25</v>
      </c>
    </row>
    <row r="43" customFormat="false" ht="15" hidden="false" customHeight="false" outlineLevel="0" collapsed="false">
      <c r="A43" s="6" t="s">
        <v>247</v>
      </c>
      <c r="B43" s="39" t="s">
        <v>238</v>
      </c>
      <c r="C43" s="22" t="n">
        <v>0.04</v>
      </c>
      <c r="D43" s="22" t="n">
        <v>0.3</v>
      </c>
    </row>
    <row r="45" customFormat="false" ht="15" hidden="false" customHeight="false" outlineLevel="0" collapsed="false">
      <c r="A45" s="5" t="s">
        <v>248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2"/>
  </cols>
  <sheetData>
    <row r="1" customFormat="false" ht="17.35" hidden="false" customHeight="false" outlineLevel="0" collapsed="false">
      <c r="A1" s="1" t="s">
        <v>249</v>
      </c>
    </row>
    <row r="2" customFormat="false" ht="15" hidden="false" customHeight="false" outlineLevel="0" collapsed="false">
      <c r="A2" s="5" t="s">
        <v>250</v>
      </c>
    </row>
    <row r="4" customFormat="false" ht="15" hidden="false" customHeight="false" outlineLevel="0" collapsed="false">
      <c r="A4" s="40" t="s">
        <v>251</v>
      </c>
      <c r="B4" s="41" t="n">
        <v>0.03</v>
      </c>
      <c r="C4" s="41" t="n">
        <v>0.035</v>
      </c>
      <c r="D4" s="41" t="n">
        <v>0.04</v>
      </c>
      <c r="E4" s="41" t="n">
        <v>0.045</v>
      </c>
      <c r="F4" s="41" t="n">
        <v>0.05</v>
      </c>
    </row>
    <row r="5" customFormat="false" ht="15" hidden="false" customHeight="false" outlineLevel="0" collapsed="false">
      <c r="A5" s="12" t="n">
        <v>0.085</v>
      </c>
      <c r="B5" s="28" t="n">
        <f aca="false">(SUMPRODUCT(DCF!$C$12:$G$12,1/(1+0.085)^DCF!$C$13:$G$13)+(DCF!$G$12*(1+0.03)/(0.085-0.03))/(1+0.085)^5+Assumptions!$B$7)/Assumptions!$B$6</f>
        <v>94.4507977585317</v>
      </c>
      <c r="C5" s="28" t="n">
        <f aca="false">(SUMPRODUCT(DCF!$C$12:$G$12,1/(1+0.085)^DCF!$C$13:$G$13)+(DCF!$G$12*(1+0.035)/(0.085-0.035))/(1+0.085)^5+Assumptions!$B$7)/Assumptions!$B$6</f>
        <v>102.909951396435</v>
      </c>
      <c r="D5" s="28" t="n">
        <f aca="false">(SUMPRODUCT(DCF!$C$12:$G$12,1/(1+0.085)^DCF!$C$13:$G$13)+(DCF!$G$12*(1+0.04)/(0.085-0.04))/(1+0.085)^5+Assumptions!$B$7)/Assumptions!$B$6</f>
        <v>113.248916953873</v>
      </c>
      <c r="E5" s="28" t="n">
        <f aca="false">(SUMPRODUCT(DCF!$C$12:$G$12,1/(1+0.085)^DCF!$C$13:$G$13)+(DCF!$G$12*(1+0.045)/(0.085-0.045))/(1+0.085)^5+Assumptions!$B$7)/Assumptions!$B$6</f>
        <v>126.17262390067</v>
      </c>
      <c r="F5" s="28" t="n">
        <f aca="false">(SUMPRODUCT(DCF!$C$12:$G$12,1/(1+0.085)^DCF!$C$13:$G$13)+(DCF!$G$12*(1+0.05)/(0.085-0.05))/(1+0.085)^5+Assumptions!$B$7)/Assumptions!$B$6</f>
        <v>142.788818546551</v>
      </c>
    </row>
    <row r="6" customFormat="false" ht="15" hidden="false" customHeight="false" outlineLevel="0" collapsed="false">
      <c r="A6" s="12" t="n">
        <v>0.09</v>
      </c>
      <c r="B6" s="28" t="n">
        <f aca="false">(SUMPRODUCT(DCF!$C$12:$G$12,1/(1+0.09)^DCF!$C$13:$G$13)+(DCF!$G$12*(1+0.03)/(0.09-0.03))/(1+0.09)^5+Assumptions!$B$7)/Assumptions!$B$6</f>
        <v>85.9696305972393</v>
      </c>
      <c r="C6" s="28" t="n">
        <f aca="false">(SUMPRODUCT(DCF!$C$12:$G$12,1/(1+0.09)^DCF!$C$13:$G$13)+(DCF!$G$12*(1+0.035)/(0.09-0.035))/(1+0.09)^5+Assumptions!$B$7)/Assumptions!$B$6</f>
        <v>92.8904677076373</v>
      </c>
      <c r="D6" s="28" t="n">
        <f aca="false">(SUMPRODUCT(DCF!$C$12:$G$12,1/(1+0.09)^DCF!$C$13:$G$13)+(DCF!$G$12*(1+0.04)/(0.09-0.04))/(1+0.09)^5+Assumptions!$B$7)/Assumptions!$B$6</f>
        <v>101.195472240115</v>
      </c>
      <c r="E6" s="28" t="n">
        <f aca="false">(SUMPRODUCT(DCF!$C$12:$G$12,1/(1+0.09)^DCF!$C$13:$G$13)+(DCF!$G$12*(1+0.045)/(0.09-0.045))/(1+0.09)^5+Assumptions!$B$7)/Assumptions!$B$6</f>
        <v>111.346033335365</v>
      </c>
      <c r="F6" s="28" t="n">
        <f aca="false">(SUMPRODUCT(DCF!$C$12:$G$12,1/(1+0.09)^DCF!$C$13:$G$13)+(DCF!$G$12*(1+0.05)/(0.09-0.05))/(1+0.09)^5+Assumptions!$B$7)/Assumptions!$B$6</f>
        <v>124.034234704428</v>
      </c>
    </row>
    <row r="7" customFormat="false" ht="15" hidden="false" customHeight="false" outlineLevel="0" collapsed="false">
      <c r="A7" s="12" t="n">
        <v>0.095</v>
      </c>
      <c r="B7" s="28" t="n">
        <f aca="false">(SUMPRODUCT(DCF!$C$12:$G$12,1/(1+0.095)^DCF!$C$13:$G$13)+(DCF!$G$12*(1+0.03)/(0.095-0.03))/(1+0.095)^5+Assumptions!$B$7)/Assumptions!$B$6</f>
        <v>78.8207037098604</v>
      </c>
      <c r="C7" s="28" t="n">
        <f aca="false">(SUMPRODUCT(DCF!$C$12:$G$12,1/(1+0.095)^DCF!$C$13:$G$13)+(DCF!$G$12*(1+0.035)/(0.095-0.035))/(1+0.095)^5+Assumptions!$B$7)/Assumptions!$B$6</f>
        <v>84.5705664270405</v>
      </c>
      <c r="D7" s="28" t="n">
        <f aca="false">(SUMPRODUCT(DCF!$C$12:$G$12,1/(1+0.095)^DCF!$C$13:$G$13)+(DCF!$G$12*(1+0.04)/(0.095-0.04))/(1+0.095)^5+Assumptions!$B$7)/Assumptions!$B$6</f>
        <v>91.3658587291625</v>
      </c>
      <c r="E7" s="28" t="n">
        <f aca="false">(SUMPRODUCT(DCF!$C$12:$G$12,1/(1+0.095)^DCF!$C$13:$G$13)+(DCF!$G$12*(1+0.045)/(0.095-0.045))/(1+0.095)^5+Assumptions!$B$7)/Assumptions!$B$6</f>
        <v>99.5202094917088</v>
      </c>
      <c r="F7" s="28" t="n">
        <f aca="false">(SUMPRODUCT(DCF!$C$12:$G$12,1/(1+0.095)^DCF!$C$13:$G$13)+(DCF!$G$12*(1+0.05)/(0.095-0.05))/(1+0.095)^5+Assumptions!$B$7)/Assumptions!$B$6</f>
        <v>109.486638201488</v>
      </c>
    </row>
    <row r="8" customFormat="false" ht="15" hidden="false" customHeight="false" outlineLevel="0" collapsed="false">
      <c r="A8" s="12" t="n">
        <v>0.1</v>
      </c>
      <c r="B8" s="28" t="n">
        <f aca="false">(SUMPRODUCT(DCF!$C$12:$G$12,1/(1+0.1)^DCF!$C$13:$G$13)+(DCF!$G$12*(1+0.03)/(0.1-0.03))/(1+0.1)^5+Assumptions!$B$7)/Assumptions!$B$6</f>
        <v>72.717933447181</v>
      </c>
      <c r="C8" s="28" t="n">
        <f aca="false">(SUMPRODUCT(DCF!$C$12:$G$12,1/(1+0.1)^DCF!$C$13:$G$13)+(DCF!$G$12*(1+0.035)/(0.1-0.035))/(1+0.1)^5+Assumptions!$B$7)/Assumptions!$B$6</f>
        <v>77.5573880706617</v>
      </c>
      <c r="D8" s="28" t="n">
        <f aca="false">(SUMPRODUCT(DCF!$C$12:$G$12,1/(1+0.1)^DCF!$C$13:$G$13)+(DCF!$G$12*(1+0.04)/(0.1-0.04))/(1+0.1)^5+Assumptions!$B$7)/Assumptions!$B$6</f>
        <v>83.2034184647225</v>
      </c>
      <c r="E8" s="42" t="n">
        <f aca="false">(SUMPRODUCT(DCF!$C$12:$G$12,1/(1+0.1)^DCF!$C$13:$G$13)+(DCF!$G$12*(1+0.045)/(0.1-0.045))/(1+0.1)^5+Assumptions!$B$7)/Assumptions!$B$6</f>
        <v>89.8759998395216</v>
      </c>
      <c r="F8" s="28" t="n">
        <f aca="false">(SUMPRODUCT(DCF!$C$12:$G$12,1/(1+0.1)^DCF!$C$13:$G$13)+(DCF!$G$12*(1+0.05)/(0.1-0.05))/(1+0.1)^5+Assumptions!$B$7)/Assumptions!$B$6</f>
        <v>97.8830974892806</v>
      </c>
    </row>
    <row r="9" customFormat="false" ht="15" hidden="false" customHeight="false" outlineLevel="0" collapsed="false">
      <c r="A9" s="12" t="n">
        <v>0.105</v>
      </c>
      <c r="B9" s="28" t="n">
        <f aca="false">(SUMPRODUCT(DCF!$C$12:$G$12,1/(1+0.105)^DCF!$C$13:$G$13)+(DCF!$G$12*(1+0.03)/(0.105-0.03))/(1+0.105)^5+Assumptions!$B$7)/Assumptions!$B$6</f>
        <v>67.451541332725</v>
      </c>
      <c r="C9" s="28" t="n">
        <f aca="false">(SUMPRODUCT(DCF!$C$12:$G$12,1/(1+0.105)^DCF!$C$13:$G$13)+(DCF!$G$12*(1+0.035)/(0.105-0.035))/(1+0.105)^5+Assumptions!$B$7)/Assumptions!$B$6</f>
        <v>71.5703360202088</v>
      </c>
      <c r="D9" s="28" t="n">
        <f aca="false">(SUMPRODUCT(DCF!$C$12:$G$12,1/(1+0.105)^DCF!$C$13:$G$13)+(DCF!$G$12*(1+0.04)/(0.105-0.04))/(1+0.105)^5+Assumptions!$B$7)/Assumptions!$B$6</f>
        <v>76.322791428844</v>
      </c>
      <c r="E9" s="28" t="n">
        <f aca="false">(SUMPRODUCT(DCF!$C$12:$G$12,1/(1+0.105)^DCF!$C$13:$G$13)+(DCF!$G$12*(1+0.045)/(0.105-0.045))/(1+0.105)^5+Assumptions!$B$7)/Assumptions!$B$6</f>
        <v>81.8673227389184</v>
      </c>
      <c r="F9" s="28" t="n">
        <f aca="false">(SUMPRODUCT(DCF!$C$12:$G$12,1/(1+0.105)^DCF!$C$13:$G$13)+(DCF!$G$12*(1+0.05)/(0.105-0.05))/(1+0.105)^5+Assumptions!$B$7)/Assumptions!$B$6</f>
        <v>88.4199506508245</v>
      </c>
    </row>
    <row r="11" customFormat="false" ht="15" hidden="false" customHeight="false" outlineLevel="0" collapsed="false">
      <c r="A11" s="5" t="s">
        <v>252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4"/>
  </cols>
  <sheetData>
    <row r="1" customFormat="false" ht="17.35" hidden="false" customHeight="false" outlineLevel="0" collapsed="false">
      <c r="A1" s="1" t="s">
        <v>253</v>
      </c>
    </row>
    <row r="2" customFormat="false" ht="15" hidden="false" customHeight="false" outlineLevel="0" collapsed="false">
      <c r="A2" s="5" t="s">
        <v>254</v>
      </c>
    </row>
    <row r="4" customFormat="false" ht="15" hidden="false" customHeight="false" outlineLevel="0" collapsed="false">
      <c r="A4" s="6" t="s">
        <v>255</v>
      </c>
      <c r="B4" s="7" t="n">
        <f aca="false">Assumptions!B5</f>
        <v>420.6</v>
      </c>
    </row>
    <row r="5" customFormat="false" ht="15" hidden="false" customHeight="false" outlineLevel="0" collapsed="false">
      <c r="A5" s="6" t="s">
        <v>11</v>
      </c>
      <c r="B5" s="8" t="n">
        <f aca="false">Assumptions!B6</f>
        <v>3.23</v>
      </c>
    </row>
    <row r="6" customFormat="false" ht="15" hidden="false" customHeight="false" outlineLevel="0" collapsed="false">
      <c r="A6" s="6" t="s">
        <v>12</v>
      </c>
      <c r="B6" s="9" t="n">
        <f aca="false">B4*B5</f>
        <v>1358.538</v>
      </c>
    </row>
    <row r="7" customFormat="false" ht="15" hidden="false" customHeight="false" outlineLevel="0" collapsed="false">
      <c r="A7" s="6" t="s">
        <v>256</v>
      </c>
      <c r="B7" s="30" t="n">
        <f aca="false">Assumptions!B7</f>
        <v>40</v>
      </c>
    </row>
    <row r="8" customFormat="false" ht="15" hidden="false" customHeight="false" outlineLevel="0" collapsed="false">
      <c r="A8" s="6" t="s">
        <v>257</v>
      </c>
      <c r="B8" s="9" t="n">
        <f aca="false">B6-B7</f>
        <v>1318.538</v>
      </c>
    </row>
    <row r="10" customFormat="false" ht="15" hidden="false" customHeight="false" outlineLevel="0" collapsed="false">
      <c r="A10" s="2" t="s">
        <v>258</v>
      </c>
    </row>
    <row r="11" customFormat="false" ht="15" hidden="false" customHeight="false" outlineLevel="0" collapsed="false">
      <c r="A11" s="6" t="s">
        <v>161</v>
      </c>
      <c r="B11" s="7" t="n">
        <f aca="false">'Income Statement'!D17</f>
        <v>1.16594427244582</v>
      </c>
    </row>
    <row r="12" customFormat="false" ht="15" hidden="false" customHeight="false" outlineLevel="0" collapsed="false">
      <c r="A12" s="6" t="s">
        <v>259</v>
      </c>
      <c r="B12" s="43" t="n">
        <f aca="false">B4/B11</f>
        <v>360.737652681891</v>
      </c>
    </row>
    <row r="13" customFormat="false" ht="15" hidden="false" customHeight="false" outlineLevel="0" collapsed="false">
      <c r="A13" s="6" t="s">
        <v>52</v>
      </c>
      <c r="B13" s="30" t="n">
        <f aca="false">'Income Statement'!D8</f>
        <v>94.8</v>
      </c>
    </row>
    <row r="14" customFormat="false" ht="15" hidden="false" customHeight="false" outlineLevel="0" collapsed="false">
      <c r="A14" s="6" t="s">
        <v>260</v>
      </c>
      <c r="B14" s="43" t="n">
        <f aca="false">B8/B13</f>
        <v>13.9086286919831</v>
      </c>
    </row>
    <row r="16" customFormat="false" ht="15" hidden="false" customHeight="false" outlineLevel="0" collapsed="false">
      <c r="A16" s="2" t="s">
        <v>261</v>
      </c>
    </row>
    <row r="17" customFormat="false" ht="15" hidden="false" customHeight="false" outlineLevel="0" collapsed="false">
      <c r="A17" s="6" t="s">
        <v>161</v>
      </c>
      <c r="B17" s="7" t="n">
        <f aca="false">'Income Statement'!F17</f>
        <v>3.5</v>
      </c>
    </row>
    <row r="18" customFormat="false" ht="15" hidden="false" customHeight="false" outlineLevel="0" collapsed="false">
      <c r="A18" s="6" t="s">
        <v>262</v>
      </c>
      <c r="B18" s="43" t="n">
        <f aca="false">B4/B17</f>
        <v>120.171428571429</v>
      </c>
    </row>
    <row r="19" customFormat="false" ht="15" hidden="false" customHeight="false" outlineLevel="0" collapsed="false">
      <c r="A19" s="6" t="s">
        <v>52</v>
      </c>
      <c r="B19" s="30" t="n">
        <f aca="false">'Income Statement'!F8</f>
        <v>130</v>
      </c>
    </row>
    <row r="20" customFormat="false" ht="15" hidden="false" customHeight="false" outlineLevel="0" collapsed="false">
      <c r="A20" s="6" t="s">
        <v>263</v>
      </c>
      <c r="B20" s="43" t="n">
        <f aca="false">B8/B19</f>
        <v>10.1426</v>
      </c>
    </row>
    <row r="22" customFormat="false" ht="15" hidden="false" customHeight="false" outlineLevel="0" collapsed="false">
      <c r="A22" s="2" t="s">
        <v>264</v>
      </c>
    </row>
    <row r="23" customFormat="false" ht="15" hidden="false" customHeight="false" outlineLevel="0" collapsed="false">
      <c r="A23" s="6" t="s">
        <v>265</v>
      </c>
      <c r="B23" s="11" t="n">
        <f aca="false">'Fundamental Valuation'!B9</f>
        <v>174.120289751186</v>
      </c>
    </row>
    <row r="24" customFormat="false" ht="15" hidden="false" customHeight="false" outlineLevel="0" collapsed="false">
      <c r="A24" s="6" t="s">
        <v>266</v>
      </c>
      <c r="B24" s="43" t="n">
        <f aca="false">B23/B17</f>
        <v>49.7486542146246</v>
      </c>
    </row>
    <row r="26" customFormat="false" ht="15" hidden="false" customHeight="false" outlineLevel="0" collapsed="false">
      <c r="A26" s="5" t="s">
        <v>267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26"/>
    <col collapsed="false" customWidth="true" hidden="false" outlineLevel="0" max="3" min="3" style="0" width="16"/>
    <col collapsed="false" customWidth="true" hidden="false" outlineLevel="0" max="4" min="4" style="0" width="34"/>
  </cols>
  <sheetData>
    <row r="1" customFormat="false" ht="17.35" hidden="false" customHeight="false" outlineLevel="0" collapsed="false">
      <c r="A1" s="1" t="s">
        <v>268</v>
      </c>
    </row>
    <row r="2" customFormat="false" ht="15" hidden="false" customHeight="false" outlineLevel="0" collapsed="false">
      <c r="A2" s="5" t="s">
        <v>269</v>
      </c>
    </row>
    <row r="4" customFormat="false" ht="15" hidden="false" customHeight="false" outlineLevel="0" collapsed="false">
      <c r="A4" s="14" t="s">
        <v>270</v>
      </c>
      <c r="B4" s="15" t="s">
        <v>271</v>
      </c>
      <c r="C4" s="15" t="s">
        <v>272</v>
      </c>
      <c r="D4" s="15" t="s">
        <v>214</v>
      </c>
    </row>
    <row r="5" customFormat="false" ht="15" hidden="false" customHeight="false" outlineLevel="0" collapsed="false">
      <c r="A5" s="6" t="s">
        <v>273</v>
      </c>
      <c r="B5" s="6" t="s">
        <v>274</v>
      </c>
      <c r="C5" s="44" t="s">
        <v>275</v>
      </c>
      <c r="D5" s="6" t="s">
        <v>276</v>
      </c>
    </row>
    <row r="6" customFormat="false" ht="15" hidden="false" customHeight="false" outlineLevel="0" collapsed="false">
      <c r="A6" s="6" t="s">
        <v>277</v>
      </c>
      <c r="B6" s="6" t="s">
        <v>278</v>
      </c>
      <c r="C6" s="44" t="s">
        <v>279</v>
      </c>
      <c r="D6" s="6" t="s">
        <v>280</v>
      </c>
    </row>
    <row r="7" customFormat="false" ht="15" hidden="false" customHeight="false" outlineLevel="0" collapsed="false">
      <c r="A7" s="6" t="s">
        <v>281</v>
      </c>
      <c r="B7" s="6" t="s">
        <v>282</v>
      </c>
      <c r="C7" s="44" t="s">
        <v>283</v>
      </c>
      <c r="D7" s="6" t="s">
        <v>284</v>
      </c>
    </row>
    <row r="8" customFormat="false" ht="15" hidden="false" customHeight="false" outlineLevel="0" collapsed="false">
      <c r="A8" s="6" t="s">
        <v>285</v>
      </c>
      <c r="B8" s="6" t="s">
        <v>286</v>
      </c>
      <c r="C8" s="44" t="s">
        <v>287</v>
      </c>
      <c r="D8" s="6" t="s">
        <v>288</v>
      </c>
    </row>
    <row r="9" customFormat="false" ht="15" hidden="false" customHeight="false" outlineLevel="0" collapsed="false">
      <c r="A9" s="6" t="s">
        <v>289</v>
      </c>
      <c r="B9" s="6" t="s">
        <v>290</v>
      </c>
      <c r="C9" s="44" t="s">
        <v>291</v>
      </c>
      <c r="D9" s="6" t="s">
        <v>292</v>
      </c>
    </row>
    <row r="10" customFormat="false" ht="15" hidden="false" customHeight="false" outlineLevel="0" collapsed="false">
      <c r="A10" s="6" t="s">
        <v>293</v>
      </c>
      <c r="B10" s="6" t="s">
        <v>294</v>
      </c>
      <c r="C10" s="44" t="s">
        <v>295</v>
      </c>
      <c r="D10" s="6" t="s">
        <v>296</v>
      </c>
    </row>
    <row r="12" customFormat="false" ht="15" hidden="false" customHeight="false" outlineLevel="0" collapsed="false">
      <c r="A12" s="2" t="s">
        <v>297</v>
      </c>
    </row>
    <row r="13" customFormat="false" ht="15" hidden="false" customHeight="false" outlineLevel="0" collapsed="false">
      <c r="A13" s="45" t="s">
        <v>298</v>
      </c>
    </row>
    <row r="14" customFormat="false" ht="15" hidden="false" customHeight="false" outlineLevel="0" collapsed="false">
      <c r="A14" s="45" t="s">
        <v>299</v>
      </c>
    </row>
    <row r="15" customFormat="false" ht="15" hidden="false" customHeight="false" outlineLevel="0" collapsed="false">
      <c r="A15" s="45" t="s">
        <v>300</v>
      </c>
    </row>
    <row r="16" customFormat="false" ht="15" hidden="false" customHeight="false" outlineLevel="0" collapsed="false">
      <c r="A16" s="45" t="s">
        <v>301</v>
      </c>
    </row>
    <row r="17" customFormat="false" ht="15" hidden="false" customHeight="false" outlineLevel="0" collapsed="false">
      <c r="A17" s="45" t="s">
        <v>302</v>
      </c>
    </row>
    <row r="18" customFormat="false" ht="15" hidden="false" customHeight="false" outlineLevel="0" collapsed="false">
      <c r="A18" s="45" t="s">
        <v>303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2026-07-01T09:20:32Z</dcterms:created>
  <dc:creator>openpyxl</dc:creator>
  <dc:description/>
  <dc:language>en-US</dc:language>
  <cp:lastModifiedBy/>
  <dcterms:modified xsi:type="dcterms:W3CDTF">2026-07-01T09:20:32Z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