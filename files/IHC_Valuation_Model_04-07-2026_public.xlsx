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&quot;x&quot;"/>
    <numFmt numFmtId="167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C3A36"/>
      <sz val="14"/>
    </font>
    <font>
      <name val="Arial"/>
      <color rgb="0055555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777777"/>
      <sz val="9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C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0" fontId="7" fillId="2" borderId="0" pivotButton="0" quotePrefix="0" xfId="0"/>
    <xf numFmtId="3" fontId="8" fillId="0" borderId="0" pivotButton="0" quotePrefix="0" xfId="0"/>
    <xf numFmtId="165" fontId="3" fillId="0" borderId="0" pivotButton="0" quotePrefix="0" xfId="0"/>
    <xf numFmtId="3" fontId="4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4" fontId="4" fillId="0" borderId="0" pivotButton="0" quotePrefix="0" xfId="0"/>
    <xf numFmtId="166" fontId="3" fillId="0" borderId="0" pivotButton="0" quotePrefix="0" xfId="0"/>
    <xf numFmtId="4" fontId="8" fillId="0" borderId="0" pivotButton="0" quotePrefix="0" xfId="0"/>
    <xf numFmtId="165" fontId="8" fillId="0" borderId="0" pivotButton="0" quotePrefix="0" xfId="0"/>
    <xf numFmtId="4" fontId="9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Testahil — International Holding Company PJSC (ADX: IHC)</t>
        </is>
      </c>
    </row>
    <row r="2">
      <c r="A2" s="2" t="inlineStr">
        <is>
          <t>Companion model · Independent Valuation Study · Educational analysis · Not investment advice</t>
        </is>
      </c>
    </row>
    <row r="5">
      <c r="A5" s="3" t="inlineStr"/>
    </row>
    <row r="6">
      <c r="A6" s="3" t="inlineStr">
        <is>
          <t>What this workbook is. A transparent companion to the IHC valuation study. Every blue cell is an input;</t>
        </is>
      </c>
    </row>
    <row r="7">
      <c r="A7" s="3" t="inlineStr">
        <is>
          <t>every black cell is a formula; green cells link across sheets. All inputs live on the Assumptions sheet —</t>
        </is>
      </c>
    </row>
    <row r="8">
      <c r="A8" s="3" t="inlineStr">
        <is>
          <t>change one (a stake %, a single mark, the applied NAV premium, a growth rate) and the whole model reprices.</t>
        </is>
      </c>
    </row>
    <row r="9">
      <c r="A9" s="3" t="inlineStr"/>
    </row>
    <row r="10">
      <c r="A10" s="3" t="inlineStr">
        <is>
          <t>What it is not. It is not investment advice, a recommendation, or a price target. Values are model outputs</t>
        </is>
      </c>
    </row>
    <row r="11">
      <c r="A11" s="3" t="inlineStr">
        <is>
          <t>shown as ranges. The preparer is not licensed by any securities regulator and may hold, and may in the future</t>
        </is>
      </c>
    </row>
    <row r="12">
      <c r="A12" s="3" t="inlineStr">
        <is>
          <t>take or dispose of, a position in the security discussed in this report.</t>
        </is>
      </c>
    </row>
    <row r="13">
      <c r="A13" s="3" t="inlineStr"/>
    </row>
    <row r="14">
      <c r="A14" s="3" t="inlineStr">
        <is>
          <t>Lens. IHC is a holding company → primary lens is holdco NAV with disciplined-SOTP mechanics (§3.5-F4):</t>
        </is>
      </c>
    </row>
    <row r="15">
      <c r="A15" s="3" t="inlineStr">
        <is>
          <t>each leg on its own basis (listed stakes at look-through market value; unlisted platforms at book/mark),</t>
        </is>
      </c>
    </row>
    <row r="16">
      <c r="A16" s="3" t="inlineStr">
        <is>
          <t>holding-level net cash as a single explicit line, no blanket conglomerate discount.</t>
        </is>
      </c>
    </row>
    <row r="17">
      <c r="A17" s="3" t="inlineStr"/>
    </row>
    <row r="18">
      <c r="A18" s="3" t="inlineStr">
        <is>
          <t>Currency. AED million unless stated; per-share in AED. FX at study date USD/AED 3.6725 (peg). Spot AED 382.30</t>
        </is>
      </c>
    </row>
    <row r="19">
      <c r="A19" s="3" t="inlineStr">
        <is>
          <t>(3 Jul 2026), 2,180m shares, market cap ~AED 833bn.</t>
        </is>
      </c>
    </row>
    <row r="20">
      <c r="A20" s="3" t="inlineStr">
        <is>
          <t>Historical financials are company disclosure (FY2025 audited results, 15 Feb 2026) and S&amp;P Global Market</t>
        </is>
      </c>
    </row>
    <row r="21">
      <c r="A21" s="3" t="inlineStr">
        <is>
          <t>Intelligence; FY2023 and several balance-sheet line items are estimated to balance to disclosed totals —</t>
        </is>
      </c>
    </row>
    <row r="22">
      <c r="A22" s="3" t="inlineStr">
        <is>
          <t>flagged on the statement sheets. Unlisted-platform marks (IRH, RIQ, private tail) are the house's own</t>
        </is>
      </c>
    </row>
    <row r="23">
      <c r="A23" s="3" t="inlineStr">
        <is>
          <t>flagged estimates per the data-discipline gate.</t>
        </is>
      </c>
    </row>
    <row r="24">
      <c r="A24" s="3" t="inlineStr"/>
    </row>
    <row r="25">
      <c r="A25" s="3" t="inlineStr">
        <is>
          <t>Sheets: Summary · Fundamental Valuation · Assumptions · SOTP · Segments · Relative &amp; Normalized · DCF ·</t>
        </is>
      </c>
    </row>
    <row r="26">
      <c r="A26" s="3" t="inlineStr">
        <is>
          <t>Income Statement · 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Valuation summary — International Holding Company (ADX: IHC)</t>
        </is>
      </c>
    </row>
    <row r="2">
      <c r="A2" s="2" t="inlineStr">
        <is>
          <t>Four-lens fair value vs spot. Base links live; bear/bull are scenario outputs (study §1.5).</t>
        </is>
      </c>
    </row>
    <row r="3">
      <c r="A3" s="12" t="inlineStr">
        <is>
          <t>Lens</t>
        </is>
      </c>
      <c r="B3" s="12" t="inlineStr">
        <is>
          <t>Bear</t>
        </is>
      </c>
      <c r="C3" s="12" t="inlineStr">
        <is>
          <t>Base</t>
        </is>
      </c>
      <c r="D3" s="12" t="inlineStr">
        <is>
          <t>Bull</t>
        </is>
      </c>
      <c r="E3" s="12" t="inlineStr">
        <is>
          <t>Weight</t>
        </is>
      </c>
    </row>
    <row r="4">
      <c r="A4" s="3" t="inlineStr">
        <is>
          <t>Sum-of-the-parts (NAV)</t>
        </is>
      </c>
      <c r="B4" s="16" t="n">
        <v>95</v>
      </c>
      <c r="C4" s="20">
        <f>SOTP!C16</f>
        <v/>
      </c>
      <c r="D4" s="16" t="n">
        <v>175</v>
      </c>
      <c r="E4" s="21">
        <f>Assumptions!B36</f>
        <v/>
      </c>
    </row>
    <row r="5">
      <c r="A5" s="3" t="inlineStr">
        <is>
          <t>Consolidated DCF (operating)</t>
        </is>
      </c>
      <c r="B5" s="16" t="n">
        <v>55</v>
      </c>
      <c r="C5" s="20">
        <f>DCF!B28</f>
        <v/>
      </c>
      <c r="D5" s="16" t="n">
        <v>130</v>
      </c>
      <c r="E5" s="21">
        <f>Assumptions!B37</f>
        <v/>
      </c>
    </row>
    <row r="6">
      <c r="A6" s="3" t="inlineStr">
        <is>
          <t>Relative multiples</t>
        </is>
      </c>
      <c r="B6" s="16" t="n">
        <v>85</v>
      </c>
      <c r="C6" s="20">
        <f>'Relative &amp; Normalized'!C5</f>
        <v/>
      </c>
      <c r="D6" s="16" t="n">
        <v>160</v>
      </c>
      <c r="E6" s="21">
        <f>Assumptions!B38</f>
        <v/>
      </c>
    </row>
    <row r="7">
      <c r="A7" s="3" t="inlineStr">
        <is>
          <t>Normalized earnings (mid-cycle)</t>
        </is>
      </c>
      <c r="B7" s="16" t="n">
        <v>80</v>
      </c>
      <c r="C7" s="20">
        <f>'Relative &amp; Normalized'!C9</f>
        <v/>
      </c>
      <c r="D7" s="16" t="n">
        <v>145</v>
      </c>
      <c r="E7" s="21">
        <f>Assumptions!B39</f>
        <v/>
      </c>
    </row>
    <row r="8">
      <c r="A8" s="4" t="inlineStr">
        <is>
          <t>Weighted central</t>
        </is>
      </c>
      <c r="B8" s="18">
        <f>SUMPRODUCT(B4:B7,$E$4:$E$7)</f>
        <v/>
      </c>
      <c r="C8" s="18">
        <f>SUMPRODUCT(C4:C7,$E$4:$E$7)</f>
        <v/>
      </c>
      <c r="D8" s="18">
        <f>SUMPRODUCT(D4:D7,$E$4:$E$7)</f>
        <v/>
      </c>
    </row>
    <row r="10">
      <c r="A10" s="3" t="inlineStr">
        <is>
          <t>Spot price (AED)</t>
        </is>
      </c>
      <c r="C10" s="20">
        <f>Assumptions!B4</f>
        <v/>
      </c>
    </row>
    <row r="11">
      <c r="A11" s="3" t="inlineStr">
        <is>
          <t>Spot premium to central base</t>
        </is>
      </c>
      <c r="C11" s="14">
        <f>C10/C8-1</f>
        <v/>
      </c>
    </row>
    <row r="13">
      <c r="A13" s="3" t="inlineStr">
        <is>
          <t>Read: on every fundamental lens IHC is worth a fraction of its market price; the market price</t>
        </is>
      </c>
    </row>
    <row r="14">
      <c r="A14" s="3" t="inlineStr">
        <is>
          <t>embeds a large scarcity / sponsor / consolidation premium that fundamentals do not underwrite.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Fundamental valuation — football field data</t>
        </is>
      </c>
    </row>
    <row r="2">
      <c r="A2" s="2" t="inlineStr">
        <is>
          <t>Bear/base/bull per lens (links to Summary).</t>
        </is>
      </c>
    </row>
    <row r="3">
      <c r="A3" s="12" t="inlineStr">
        <is>
          <t>Lens</t>
        </is>
      </c>
      <c r="B3" s="12" t="inlineStr">
        <is>
          <t>Bear</t>
        </is>
      </c>
      <c r="C3" s="12" t="inlineStr">
        <is>
          <t>Base</t>
        </is>
      </c>
      <c r="D3" s="12" t="inlineStr">
        <is>
          <t>Bull</t>
        </is>
      </c>
    </row>
    <row r="4">
      <c r="A4" s="3" t="inlineStr">
        <is>
          <t>Sum-of-the-parts (NAV)</t>
        </is>
      </c>
      <c r="B4" s="20">
        <f>Summary!B4</f>
        <v/>
      </c>
      <c r="C4" s="20">
        <f>Summary!C4</f>
        <v/>
      </c>
      <c r="D4" s="20">
        <f>Summary!D4</f>
        <v/>
      </c>
    </row>
    <row r="5">
      <c r="A5" s="3" t="inlineStr">
        <is>
          <t>Consolidated DCF (operating)</t>
        </is>
      </c>
      <c r="B5" s="20">
        <f>Summary!B5</f>
        <v/>
      </c>
      <c r="C5" s="20">
        <f>Summary!C5</f>
        <v/>
      </c>
      <c r="D5" s="20">
        <f>Summary!D5</f>
        <v/>
      </c>
    </row>
    <row r="6">
      <c r="A6" s="3" t="inlineStr">
        <is>
          <t>Relative multiples</t>
        </is>
      </c>
      <c r="B6" s="20">
        <f>Summary!B6</f>
        <v/>
      </c>
      <c r="C6" s="20">
        <f>Summary!C6</f>
        <v/>
      </c>
      <c r="D6" s="20">
        <f>Summary!D6</f>
        <v/>
      </c>
    </row>
    <row r="7">
      <c r="A7" s="3" t="inlineStr">
        <is>
          <t>Normalized earnings (mid-cycle)</t>
        </is>
      </c>
      <c r="B7" s="20">
        <f>Summary!B7</f>
        <v/>
      </c>
      <c r="C7" s="20">
        <f>Summary!C7</f>
        <v/>
      </c>
      <c r="D7" s="20">
        <f>Summary!D7</f>
        <v/>
      </c>
    </row>
    <row r="8">
      <c r="A8" s="3" t="inlineStr">
        <is>
          <t>Weighted central</t>
        </is>
      </c>
      <c r="B8" s="20">
        <f>Summary!B8</f>
        <v/>
      </c>
      <c r="C8" s="20">
        <f>Summary!C8</f>
        <v/>
      </c>
      <c r="D8" s="20">
        <f>Summary!D8</f>
        <v/>
      </c>
    </row>
    <row r="9">
      <c r="A9" s="3" t="inlineStr">
        <is>
          <t>Spot</t>
        </is>
      </c>
      <c r="C9" s="20">
        <f>Assumptions!B4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Assumptions — the single input layer</t>
        </is>
      </c>
    </row>
    <row r="2">
      <c r="A2" s="2" t="inlineStr">
        <is>
          <t>All blue cells are inputs. Every other sheet links here.</t>
        </is>
      </c>
    </row>
    <row r="3">
      <c r="A3" s="4" t="inlineStr">
        <is>
          <t>ANCHORS</t>
        </is>
      </c>
    </row>
    <row r="4">
      <c r="A4" s="4" t="inlineStr">
        <is>
          <t>Spot price (AED/share)</t>
        </is>
      </c>
      <c r="B4" s="5" t="n">
        <v>382.3</v>
      </c>
    </row>
    <row r="5">
      <c r="A5" s="4" t="inlineStr">
        <is>
          <t>Shares outstanding (m)</t>
        </is>
      </c>
      <c r="B5" s="6" t="n">
        <v>2180</v>
      </c>
    </row>
    <row r="6">
      <c r="A6" s="4" t="inlineStr">
        <is>
          <t>USD/AED (peg)</t>
        </is>
      </c>
      <c r="B6" s="7" t="n">
        <v>3.6725</v>
      </c>
    </row>
    <row r="7">
      <c r="A7" s="4" t="inlineStr">
        <is>
          <t>Holdco net cash (AED m)  [+ adds to NAV]</t>
        </is>
      </c>
      <c r="B7" s="6" t="n">
        <v>20000</v>
      </c>
      <c r="C7" s="8" t="inlineStr">
        <is>
          <t>parent-level; flagged</t>
        </is>
      </c>
    </row>
    <row r="8">
      <c r="A8" s="4" t="inlineStr">
        <is>
          <t>Consolidated net debt (AED m)  [DCF]</t>
        </is>
      </c>
      <c r="B8" s="6" t="n">
        <v>25570</v>
      </c>
      <c r="C8" s="8" t="inlineStr">
        <is>
          <t>debt 100,470 − cash 74,900</t>
        </is>
      </c>
    </row>
    <row r="9">
      <c r="A9" s="4" t="inlineStr">
        <is>
          <t>WACC</t>
        </is>
      </c>
      <c r="B9" s="9" t="n">
        <v>0.093</v>
      </c>
      <c r="C9" s="8">
        <f> Ke·we + Kd(1−t)·wd, see DCF</f>
        <v/>
      </c>
    </row>
    <row r="10">
      <c r="A10" s="4" t="inlineStr">
        <is>
          <t>Terminal growth</t>
        </is>
      </c>
      <c r="B10" s="9" t="n">
        <v>0.035</v>
      </c>
    </row>
    <row r="11">
      <c r="A11" s="4" t="inlineStr">
        <is>
          <t>Tax rate (forecast)</t>
        </is>
      </c>
      <c r="B11" s="9" t="n">
        <v>0.09</v>
      </c>
      <c r="C11" s="8" t="inlineStr">
        <is>
          <t>UAE corp tax</t>
        </is>
      </c>
    </row>
    <row r="12">
      <c r="A12" s="4" t="inlineStr">
        <is>
          <t>Risk-free rate (rf)</t>
        </is>
      </c>
      <c r="B12" s="9" t="n">
        <v>0.043</v>
      </c>
    </row>
    <row r="13">
      <c r="A13" s="4" t="inlineStr">
        <is>
          <t>Equity risk premium (ERP)</t>
        </is>
      </c>
      <c r="B13" s="9" t="n">
        <v>0.055</v>
      </c>
    </row>
    <row r="14">
      <c r="A14" s="4" t="inlineStr">
        <is>
          <t>Beta (house)</t>
        </is>
      </c>
      <c r="B14" s="10" t="n">
        <v>1</v>
      </c>
      <c r="C14" s="8" t="inlineStr">
        <is>
          <t>observed −0.24 = thin-float artifact; not used</t>
        </is>
      </c>
    </row>
    <row r="16">
      <c r="A16" s="4" t="inlineStr">
        <is>
          <t>SOTP — base marks (AED m / stakes)</t>
        </is>
      </c>
    </row>
    <row r="17">
      <c r="A17" s="4" t="inlineStr">
        <is>
          <t>Alpha Dhabi — ADX market cap</t>
        </is>
      </c>
      <c r="B17" s="6" t="n">
        <v>69500</v>
      </c>
      <c r="C17" s="8" t="inlineStr">
        <is>
          <t>holds NMDC 77% + Aldar → no double-count</t>
        </is>
      </c>
    </row>
    <row r="18">
      <c r="A18" s="4" t="inlineStr">
        <is>
          <t>IHC stake in Alpha Dhabi</t>
        </is>
      </c>
      <c r="B18" s="9" t="n">
        <v>0.6</v>
      </c>
    </row>
    <row r="19">
      <c r="A19" s="4" t="inlineStr">
        <is>
          <t>Merged Multiply/2PointZero/Ghitha — entity value</t>
        </is>
      </c>
      <c r="B19" s="6" t="n">
        <v>120000</v>
      </c>
    </row>
    <row r="20">
      <c r="A20" s="4" t="inlineStr">
        <is>
          <t>IHC look-through stake in merged entity</t>
        </is>
      </c>
      <c r="B20" s="9" t="n">
        <v>0.55</v>
      </c>
      <c r="C20" s="8" t="inlineStr">
        <is>
          <t>flagged</t>
        </is>
      </c>
    </row>
    <row r="21">
      <c r="A21" s="4" t="inlineStr">
        <is>
          <t>Other listed subs (look-through)</t>
        </is>
      </c>
      <c r="B21" s="6" t="n">
        <v>25000</v>
      </c>
      <c r="C21" s="8" t="inlineStr">
        <is>
          <t>flagged</t>
        </is>
      </c>
    </row>
    <row r="22">
      <c r="A22" s="4" t="inlineStr">
        <is>
          <t>IRH — metals (unlisted mark)</t>
        </is>
      </c>
      <c r="B22" s="6" t="n">
        <v>40000</v>
      </c>
      <c r="C22" s="8" t="inlineStr">
        <is>
          <t>flagged estimate</t>
        </is>
      </c>
    </row>
    <row r="23">
      <c r="A23" s="4" t="inlineStr">
        <is>
          <t>RIQ — reinsurance (unlisted mark)</t>
        </is>
      </c>
      <c r="B23" s="6" t="n">
        <v>8000</v>
      </c>
      <c r="C23" s="8" t="inlineStr">
        <is>
          <t>flagged estimate</t>
        </is>
      </c>
    </row>
    <row r="24">
      <c r="A24" s="4" t="inlineStr">
        <is>
          <t>Private industrial/food/tech + long tail</t>
        </is>
      </c>
      <c r="B24" s="6" t="n">
        <v>60000</v>
      </c>
      <c r="C24" s="8" t="inlineStr">
        <is>
          <t>flagged, book-based</t>
        </is>
      </c>
    </row>
    <row r="25">
      <c r="A25" s="4" t="inlineStr">
        <is>
          <t>NAV premium/(discount) applied</t>
        </is>
      </c>
      <c r="B25" s="9" t="n">
        <v>0</v>
      </c>
      <c r="C25" s="8" t="inlineStr">
        <is>
          <t>base = NAV; no arbitrary premium</t>
        </is>
      </c>
    </row>
    <row r="27">
      <c r="A27" s="4" t="inlineStr">
        <is>
          <t>RELATIVE &amp; NORMALIZED</t>
        </is>
      </c>
    </row>
    <row r="28">
      <c r="A28" s="4" t="inlineStr">
        <is>
          <t>Attributable NI, normalized (AED m)</t>
        </is>
      </c>
      <c r="B28" s="6" t="n">
        <v>18000</v>
      </c>
      <c r="C28" s="8" t="inlineStr">
        <is>
          <t>ex lumpy revaluation gains</t>
        </is>
      </c>
    </row>
    <row r="29">
      <c r="A29" s="4" t="inlineStr">
        <is>
          <t>Justified P/E</t>
        </is>
      </c>
      <c r="B29" s="11" t="n">
        <v>12</v>
      </c>
    </row>
    <row r="30">
      <c r="A30" s="4" t="inlineStr">
        <is>
          <t>Attributable book equity (AED m)</t>
        </is>
      </c>
      <c r="B30" s="6" t="n">
        <v>151500</v>
      </c>
      <c r="C30" s="8" t="inlineStr">
        <is>
          <t>BVPS 69.51 × shares</t>
        </is>
      </c>
    </row>
    <row r="31">
      <c r="A31" s="4" t="inlineStr">
        <is>
          <t>Justified P/B</t>
        </is>
      </c>
      <c r="B31" s="11" t="n">
        <v>1.5</v>
      </c>
    </row>
    <row r="32">
      <c r="A32" s="4" t="inlineStr">
        <is>
          <t>Mid-cycle recurring attributable earnings (AED m)</t>
        </is>
      </c>
      <c r="B32" s="6" t="n">
        <v>16500</v>
      </c>
    </row>
    <row r="33">
      <c r="A33" s="4" t="inlineStr">
        <is>
          <t>Mid-cycle P/E</t>
        </is>
      </c>
      <c r="B33" s="11" t="n">
        <v>12</v>
      </c>
    </row>
    <row r="35">
      <c r="A35" s="4" t="inlineStr">
        <is>
          <t>SYNTHESIS WEIGHTS</t>
        </is>
      </c>
    </row>
    <row r="36">
      <c r="A36" s="4" t="inlineStr">
        <is>
          <t>SOTP weight</t>
        </is>
      </c>
      <c r="B36" s="9" t="n">
        <v>0.45</v>
      </c>
    </row>
    <row r="37">
      <c r="A37" s="4" t="inlineStr">
        <is>
          <t>DCF weight</t>
        </is>
      </c>
      <c r="B37" s="9" t="n">
        <v>0.15</v>
      </c>
    </row>
    <row r="38">
      <c r="A38" s="4" t="inlineStr">
        <is>
          <t>Relative weight</t>
        </is>
      </c>
      <c r="B38" s="9" t="n">
        <v>0.2</v>
      </c>
    </row>
    <row r="39">
      <c r="A39" s="4" t="inlineStr">
        <is>
          <t>Normalized weight</t>
        </is>
      </c>
      <c r="B39" s="9" t="n">
        <v>0.2</v>
      </c>
    </row>
    <row r="41">
      <c r="A41" s="4" t="inlineStr">
        <is>
          <t>FORECAST DRIVERS (FY26E–FY30E)</t>
        </is>
      </c>
      <c r="E41" s="4" t="inlineStr">
        <is>
          <t>FY26E</t>
        </is>
      </c>
      <c r="F41" s="4" t="inlineStr">
        <is>
          <t>FY27E</t>
        </is>
      </c>
      <c r="G41" s="4" t="inlineStr">
        <is>
          <t>FY28E</t>
        </is>
      </c>
      <c r="H41" s="4" t="inlineStr">
        <is>
          <t>FY29E</t>
        </is>
      </c>
      <c r="I41" s="4" t="inlineStr">
        <is>
          <t>FY30E</t>
        </is>
      </c>
    </row>
    <row r="42">
      <c r="A42" s="4" t="inlineStr">
        <is>
          <t>Revenue growth</t>
        </is>
      </c>
      <c r="E42" s="9" t="n">
        <v>0.12</v>
      </c>
      <c r="F42" s="9" t="n">
        <v>0.1</v>
      </c>
      <c r="G42" s="9" t="n">
        <v>0.09</v>
      </c>
      <c r="H42" s="9" t="n">
        <v>0.08</v>
      </c>
      <c r="I42" s="9" t="n">
        <v>0.07000000000000001</v>
      </c>
    </row>
    <row r="43">
      <c r="A43" s="4" t="inlineStr">
        <is>
          <t>EBITDA margin</t>
        </is>
      </c>
      <c r="E43" s="9" t="n">
        <v>0.2</v>
      </c>
      <c r="F43" s="9" t="n">
        <v>0.2</v>
      </c>
      <c r="G43" s="9" t="n">
        <v>0.2</v>
      </c>
      <c r="H43" s="9" t="n">
        <v>0.2</v>
      </c>
      <c r="I43" s="9" t="n">
        <v>0.2</v>
      </c>
    </row>
    <row r="44">
      <c r="A44" s="4" t="inlineStr">
        <is>
          <t>D&amp;A (% revenue)</t>
        </is>
      </c>
      <c r="E44" s="9" t="n">
        <v>0.05</v>
      </c>
      <c r="F44" s="9" t="n">
        <v>0.05</v>
      </c>
      <c r="G44" s="9" t="n">
        <v>0.05</v>
      </c>
      <c r="H44" s="9" t="n">
        <v>0.05</v>
      </c>
      <c r="I44" s="9" t="n">
        <v>0.05</v>
      </c>
    </row>
    <row r="45">
      <c r="A45" s="4" t="inlineStr">
        <is>
          <t>Capex (% revenue)</t>
        </is>
      </c>
      <c r="E45" s="9" t="n">
        <v>0.06</v>
      </c>
      <c r="F45" s="9" t="n">
        <v>0.06</v>
      </c>
      <c r="G45" s="9" t="n">
        <v>0.06</v>
      </c>
      <c r="H45" s="9" t="n">
        <v>0.06</v>
      </c>
      <c r="I45" s="9" t="n">
        <v>0.06</v>
      </c>
    </row>
    <row r="46">
      <c r="A46" s="4" t="inlineStr">
        <is>
          <t>ΔWorking capital (% of ΔRevenue)</t>
        </is>
      </c>
      <c r="E46" s="9" t="n">
        <v>0.02</v>
      </c>
      <c r="F46" s="9" t="n">
        <v>0.02</v>
      </c>
      <c r="G46" s="9" t="n">
        <v>0.02</v>
      </c>
      <c r="H46" s="9" t="n">
        <v>0.02</v>
      </c>
      <c r="I46" s="9" t="n">
        <v>0.02</v>
      </c>
    </row>
    <row r="47">
      <c r="A47" s="4" t="inlineStr">
        <is>
          <t>Investment/associate income, normalized (AED m)</t>
        </is>
      </c>
      <c r="E47" s="6" t="n">
        <v>12000</v>
      </c>
      <c r="F47" s="6" t="n">
        <v>12000</v>
      </c>
      <c r="G47" s="6" t="n">
        <v>12000</v>
      </c>
      <c r="H47" s="6" t="n">
        <v>12000</v>
      </c>
      <c r="I47" s="6" t="n">
        <v>12000</v>
      </c>
    </row>
    <row r="48">
      <c r="A48" s="4" t="inlineStr">
        <is>
          <t>Net finance cost (AED m)</t>
        </is>
      </c>
      <c r="E48" s="6" t="n">
        <v>-3200</v>
      </c>
      <c r="F48" s="6" t="n">
        <v>-3000</v>
      </c>
      <c r="G48" s="6" t="n">
        <v>-2800</v>
      </c>
      <c r="H48" s="6" t="n">
        <v>-2600</v>
      </c>
      <c r="I48" s="6" t="n">
        <v>-2400</v>
      </c>
    </row>
    <row r="49">
      <c r="A49" s="4" t="inlineStr">
        <is>
          <t>Minority interest (% of PAT)</t>
        </is>
      </c>
      <c r="E49" s="9" t="n">
        <v>0.38</v>
      </c>
      <c r="F49" s="9" t="n">
        <v>0.38</v>
      </c>
      <c r="G49" s="9" t="n">
        <v>0.38</v>
      </c>
      <c r="H49" s="9" t="n">
        <v>0.38</v>
      </c>
      <c r="I49" s="9" t="n">
        <v>0.38</v>
      </c>
    </row>
    <row r="51">
      <c r="A51" s="4" t="inlineStr">
        <is>
          <t>MONTE CARLO</t>
        </is>
      </c>
    </row>
    <row r="52">
      <c r="A52" s="4" t="inlineStr">
        <is>
          <t>YZ-HAR σ (annualized)</t>
        </is>
      </c>
      <c r="B52" s="7" t="n">
        <v>0.061</v>
      </c>
      <c r="C52" s="8" t="inlineStr">
        <is>
          <t>regime-conditional; kvol floor retired</t>
        </is>
      </c>
    </row>
    <row r="53">
      <c r="A53" s="4" t="inlineStr">
        <is>
          <t>Net 3-month factor drift</t>
        </is>
      </c>
      <c r="B53" s="7" t="n">
        <v>0.025</v>
      </c>
      <c r="C53" s="8" t="inlineStr">
        <is>
          <t>7C + 9D overlay</t>
        </is>
      </c>
    </row>
    <row r="54">
      <c r="A54" s="4" t="inlineStr">
        <is>
          <t>Secular self-drift (international = 0)</t>
        </is>
      </c>
      <c r="B54" s="7" t="n">
        <v>0</v>
      </c>
    </row>
    <row r="55">
      <c r="A55" s="4" t="inlineStr">
        <is>
          <t>Paths</t>
        </is>
      </c>
      <c r="B55" s="6" t="n">
        <v>50000</v>
      </c>
    </row>
    <row r="56">
      <c r="A56" s="4" t="inlineStr">
        <is>
          <t>Seed</t>
        </is>
      </c>
      <c r="B56" s="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10" customWidth="1" min="4" max="4"/>
  </cols>
  <sheetData>
    <row r="1">
      <c r="A1" s="1" t="inlineStr">
        <is>
          <t>Sum-of-the-parts / holdco NAV (primary lens)</t>
        </is>
      </c>
    </row>
    <row r="2">
      <c r="A2" s="2" t="inlineStr">
        <is>
          <t>Each leg on its own basis, spot-FX. Listed stakes at look-through market value; unlisted at book/mark. Links to Assumptions.</t>
        </is>
      </c>
    </row>
    <row r="3">
      <c r="A3" s="12" t="inlineStr">
        <is>
          <t>Part</t>
        </is>
      </c>
      <c r="B3" s="12" t="inlineStr">
        <is>
          <t>Basis</t>
        </is>
      </c>
      <c r="C3" s="12" t="inlineStr">
        <is>
          <t>Value (AED m)</t>
        </is>
      </c>
      <c r="D3" s="12" t="inlineStr">
        <is>
          <t>% of GAV</t>
        </is>
      </c>
    </row>
    <row r="4">
      <c r="A4" s="3" t="inlineStr">
        <is>
          <t>Alpha Dhabi Holding (60%)</t>
        </is>
      </c>
      <c r="B4" s="3" t="inlineStr">
        <is>
          <t>ADX mcap × stake</t>
        </is>
      </c>
      <c r="C4" s="13">
        <f>Assumptions!B17*Assumptions!B18</f>
        <v/>
      </c>
      <c r="D4" s="14">
        <f>C4/$C$10</f>
        <v/>
      </c>
    </row>
    <row r="5">
      <c r="A5" s="3" t="inlineStr">
        <is>
          <t>Merged Multiply/2PointZero/Ghitha</t>
        </is>
      </c>
      <c r="B5" s="3" t="inlineStr">
        <is>
          <t>Entity value × look-through</t>
        </is>
      </c>
      <c r="C5" s="13">
        <f>Assumptions!B19*Assumptions!B20</f>
        <v/>
      </c>
      <c r="D5" s="14">
        <f>C5/$C$10</f>
        <v/>
      </c>
    </row>
    <row r="6">
      <c r="A6" s="3" t="inlineStr">
        <is>
          <t>Other listed subsidiaries</t>
        </is>
      </c>
      <c r="B6" s="3" t="inlineStr">
        <is>
          <t>Look-through market</t>
        </is>
      </c>
      <c r="C6" s="13">
        <f>Assumptions!B21</f>
        <v/>
      </c>
      <c r="D6" s="14">
        <f>C6/$C$10</f>
        <v/>
      </c>
    </row>
    <row r="7">
      <c r="A7" s="3" t="inlineStr">
        <is>
          <t>IRH — metals &amp; mining</t>
        </is>
      </c>
      <c r="B7" s="3" t="inlineStr">
        <is>
          <t>Book / mark (unlisted)</t>
        </is>
      </c>
      <c r="C7" s="13">
        <f>Assumptions!B22</f>
        <v/>
      </c>
      <c r="D7" s="14">
        <f>C7/$C$10</f>
        <v/>
      </c>
    </row>
    <row r="8">
      <c r="A8" s="3" t="inlineStr">
        <is>
          <t>RIQ — reinsurance</t>
        </is>
      </c>
      <c r="B8" s="3" t="inlineStr">
        <is>
          <t>Book / mark (unlisted)</t>
        </is>
      </c>
      <c r="C8" s="13">
        <f>Assumptions!B23</f>
        <v/>
      </c>
      <c r="D8" s="14">
        <f>C8/$C$10</f>
        <v/>
      </c>
    </row>
    <row r="9">
      <c r="A9" s="3" t="inlineStr">
        <is>
          <t>Private industrial/food/tech + tail</t>
        </is>
      </c>
      <c r="B9" s="3" t="inlineStr">
        <is>
          <t>Book-based (1,300 subs)</t>
        </is>
      </c>
      <c r="C9" s="13">
        <f>Assumptions!B24</f>
        <v/>
      </c>
      <c r="D9" s="14">
        <f>C9/$C$10</f>
        <v/>
      </c>
    </row>
    <row r="10">
      <c r="A10" s="4" t="inlineStr">
        <is>
          <t>Σ Gross asset value (GAV)</t>
        </is>
      </c>
      <c r="C10" s="15">
        <f>SUM(C4:C9)</f>
        <v/>
      </c>
    </row>
    <row r="11">
      <c r="A11" s="3" t="inlineStr">
        <is>
          <t>plus: holdco net cash</t>
        </is>
      </c>
      <c r="C11" s="13">
        <f>Assumptions!B7</f>
        <v/>
      </c>
    </row>
    <row r="12">
      <c r="A12" s="4" t="inlineStr">
        <is>
          <t>NAV (pre-premium)</t>
        </is>
      </c>
      <c r="C12" s="15">
        <f>C10+C11</f>
        <v/>
      </c>
    </row>
    <row r="13">
      <c r="A13" s="3" t="inlineStr">
        <is>
          <t xml:space="preserve">  per share (AED)</t>
        </is>
      </c>
      <c r="C13" s="16">
        <f>C12/Assumptions!B5</f>
        <v/>
      </c>
    </row>
    <row r="14">
      <c r="A14" s="3" t="inlineStr">
        <is>
          <t>apply: NAV premium/(discount)</t>
        </is>
      </c>
      <c r="B14" s="3" t="inlineStr">
        <is>
          <t>applied</t>
        </is>
      </c>
      <c r="C14" s="17">
        <f>C12*Assumptions!B25</f>
        <v/>
      </c>
    </row>
    <row r="15">
      <c r="A15" s="4" t="inlineStr">
        <is>
          <t>SOTP equity value</t>
        </is>
      </c>
      <c r="C15" s="15">
        <f>C12+C14</f>
        <v/>
      </c>
    </row>
    <row r="16">
      <c r="A16" s="4" t="inlineStr">
        <is>
          <t>SOTP fair value per share (AED)</t>
        </is>
      </c>
      <c r="C16" s="18">
        <f>C15/Assumptions!B5</f>
        <v/>
      </c>
    </row>
    <row r="18">
      <c r="A18" s="3" t="inlineStr">
        <is>
          <t>Memo: implied premium of spot to NAV</t>
        </is>
      </c>
      <c r="C18" s="14">
        <f>Assumptions!B4/C16-1</f>
        <v/>
      </c>
    </row>
    <row r="19">
      <c r="A19" s="3" t="inlineStr">
        <is>
          <t>Memo: spot / NAV multiple</t>
        </is>
      </c>
      <c r="C19" s="19">
        <f>Assumptions!B4/C13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1" t="inlineStr">
        <is>
          <t>Operating segments — FY2025 revenue (AED m)</t>
        </is>
      </c>
    </row>
    <row r="2">
      <c r="A2" s="2" t="inlineStr">
        <is>
          <t>Company disclosure, FY2025 results (15 Feb 2026). Investment-led profit sits above operating segments (see IS).</t>
        </is>
      </c>
    </row>
    <row r="3">
      <c r="A3" s="12" t="inlineStr">
        <is>
          <t>Segment</t>
        </is>
      </c>
      <c r="B3" s="12" t="inlineStr">
        <is>
          <t>Revenue</t>
        </is>
      </c>
      <c r="C3" s="12" t="inlineStr">
        <is>
          <t>% of total</t>
        </is>
      </c>
    </row>
    <row r="4">
      <c r="A4" s="3" t="inlineStr">
        <is>
          <t>Real Estate &amp; Construction</t>
        </is>
      </c>
      <c r="B4" s="17" t="n">
        <v>44200</v>
      </c>
      <c r="C4" s="14">
        <f>B4/$B$12</f>
        <v/>
      </c>
    </row>
    <row r="5">
      <c r="A5" s="3" t="inlineStr">
        <is>
          <t>Marine &amp; Dredging (NMDC)</t>
        </is>
      </c>
      <c r="B5" s="17" t="n">
        <v>30200</v>
      </c>
      <c r="C5" s="14">
        <f>B5/$B$12</f>
        <v/>
      </c>
    </row>
    <row r="6">
      <c r="A6" s="3" t="inlineStr">
        <is>
          <t>Services &amp; other</t>
        </is>
      </c>
      <c r="B6" s="17" t="n">
        <v>8700</v>
      </c>
      <c r="C6" s="14">
        <f>B6/$B$12</f>
        <v/>
      </c>
    </row>
    <row r="7">
      <c r="A7" s="3" t="inlineStr">
        <is>
          <t>Energy</t>
        </is>
      </c>
      <c r="B7" s="17" t="n">
        <v>8300</v>
      </c>
      <c r="C7" s="14">
        <f>B7/$B$12</f>
        <v/>
      </c>
    </row>
    <row r="8">
      <c r="A8" s="3" t="inlineStr">
        <is>
          <t>Hospitality &amp; Leisure</t>
        </is>
      </c>
      <c r="B8" s="17" t="n">
        <v>7600</v>
      </c>
      <c r="C8" s="14">
        <f>B8/$B$12</f>
        <v/>
      </c>
    </row>
    <row r="9">
      <c r="A9" s="3" t="inlineStr">
        <is>
          <t>Food &amp; Agriculture</t>
        </is>
      </c>
      <c r="B9" s="17" t="n">
        <v>5600</v>
      </c>
      <c r="C9" s="14">
        <f>B9/$B$12</f>
        <v/>
      </c>
    </row>
    <row r="10">
      <c r="A10" s="3" t="inlineStr">
        <is>
          <t>Technology</t>
        </is>
      </c>
      <c r="B10" s="17" t="n">
        <v>4200</v>
      </c>
      <c r="C10" s="14">
        <f>B10/$B$12</f>
        <v/>
      </c>
    </row>
    <row r="11">
      <c r="A11" s="3" t="inlineStr">
        <is>
          <t>Financial Services</t>
        </is>
      </c>
      <c r="B11" s="17" t="n">
        <v>4000</v>
      </c>
      <c r="C11" s="14">
        <f>B11/$B$12</f>
        <v/>
      </c>
    </row>
    <row r="12">
      <c r="A12" s="4" t="inlineStr">
        <is>
          <t>Σ (gross, pre-elimination)</t>
        </is>
      </c>
      <c r="B12" s="15">
        <f>SUM(B4:B11)</f>
        <v/>
      </c>
    </row>
    <row r="13">
      <c r="A13" s="3" t="inlineStr">
        <is>
          <t>Reported group revenue FY2025</t>
        </is>
      </c>
      <c r="B13" s="17" t="n">
        <v>111400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4" customWidth="1" min="3" max="3"/>
  </cols>
  <sheetData>
    <row r="1">
      <c r="A1" s="1" t="inlineStr">
        <is>
          <t>Relative multiples &amp; normalized earnings</t>
        </is>
      </c>
    </row>
    <row r="2">
      <c r="A2" s="2" t="inlineStr">
        <is>
          <t>Peer holdcos trade at 8–14× P/E and often a discount to book. IHC at ~35× P/E, ~5.5× attributable book.</t>
        </is>
      </c>
    </row>
    <row r="3">
      <c r="A3" s="12" t="inlineStr">
        <is>
          <t>Method</t>
        </is>
      </c>
      <c r="B3" s="12" t="inlineStr">
        <is>
          <t>Basis</t>
        </is>
      </c>
      <c r="C3" s="12" t="inlineStr">
        <is>
          <t>Value / share (AED)</t>
        </is>
      </c>
    </row>
    <row r="4">
      <c r="A4" s="3" t="inlineStr">
        <is>
          <t>Relative — P/E on normalized attrib. NI</t>
        </is>
      </c>
      <c r="B4" s="3">
        <f>Assumptions!B28&amp;" × "&amp;Assumptions!B29</f>
        <v/>
      </c>
      <c r="C4" s="20">
        <f>Assumptions!B28*Assumptions!B29/Assumptions!B5</f>
        <v/>
      </c>
    </row>
    <row r="5">
      <c r="A5" s="4" t="inlineStr">
        <is>
          <t>Relative — blended (P/E &amp; P/B avg)</t>
        </is>
      </c>
      <c r="B5" s="3" t="inlineStr">
        <is>
          <t>avg of P/E and P/B marks</t>
        </is>
      </c>
      <c r="C5" s="18">
        <f>AVERAGE(C4,C6)</f>
        <v/>
      </c>
    </row>
    <row r="6">
      <c r="A6" s="3" t="inlineStr">
        <is>
          <t>Relative — P/B on attributable book</t>
        </is>
      </c>
      <c r="B6" s="3">
        <f>Assumptions!B30&amp;" × "&amp;Assumptions!B31</f>
        <v/>
      </c>
      <c r="C6" s="20">
        <f>Assumptions!B30*Assumptions!B31/Assumptions!B5</f>
        <v/>
      </c>
    </row>
    <row r="8">
      <c r="A8" s="3" t="inlineStr">
        <is>
          <t>Normalized — mid-cycle earnings power</t>
        </is>
      </c>
      <c r="B8" s="3" t="inlineStr">
        <is>
          <t>strip one-off revaluation gains</t>
        </is>
      </c>
    </row>
    <row r="9">
      <c r="A9" s="4" t="inlineStr">
        <is>
          <t>Normalized fair value / share (AED)</t>
        </is>
      </c>
      <c r="B9" s="3">
        <f>Assumptions!B32&amp;" × "&amp;Assumptions!B33</f>
        <v/>
      </c>
      <c r="C9" s="22">
        <f>Assumptions!B32*Assumptions!B33/Assumptions!B5</f>
        <v/>
      </c>
    </row>
    <row r="11">
      <c r="A11" s="3" t="inlineStr">
        <is>
          <t>Memo: current P/E (spot × shares / attrib NI FY25)</t>
        </is>
      </c>
      <c r="C11" s="19">
        <f>Assumptions!B4*Assumptions!B5/21647</f>
        <v/>
      </c>
    </row>
    <row r="12">
      <c r="A12" s="3" t="inlineStr">
        <is>
          <t>Memo: current P/B (spot × shares / attrib book)</t>
        </is>
      </c>
      <c r="C12" s="19">
        <f>Assumptions!B4*Assumptions!B5/Assumptions!B30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— consolidated operating FCFF (cross-check lens)</t>
        </is>
      </c>
    </row>
    <row r="2">
      <c r="A2" s="2" t="inlineStr">
        <is>
          <t>Deliberately excludes portfolio revaluation &amp; associate income (an investment holdco's value sits in the SOTP). Ke published as rf + ERP. TV disclosed as % of EV.</t>
        </is>
      </c>
    </row>
    <row r="3">
      <c r="A3" s="12" t="inlineStr">
        <is>
          <t>AED m</t>
        </is>
      </c>
      <c r="B3" s="12" t="inlineStr">
        <is>
          <t>FY26E</t>
        </is>
      </c>
      <c r="C3" s="12" t="inlineStr">
        <is>
          <t>FY27E</t>
        </is>
      </c>
      <c r="D3" s="12" t="inlineStr">
        <is>
          <t>FY28E</t>
        </is>
      </c>
      <c r="E3" s="12" t="inlineStr">
        <is>
          <t>FY29E</t>
        </is>
      </c>
      <c r="F3" s="12" t="inlineStr">
        <is>
          <t>FY30E</t>
        </is>
      </c>
    </row>
    <row r="4">
      <c r="A4" s="4" t="inlineStr">
        <is>
          <t>Revenue</t>
        </is>
      </c>
      <c r="B4" s="13">
        <f>'Income Statement'!E4</f>
        <v/>
      </c>
      <c r="C4" s="13">
        <f>'Income Statement'!F4</f>
        <v/>
      </c>
      <c r="D4" s="13">
        <f>'Income Statement'!G4</f>
        <v/>
      </c>
      <c r="E4" s="13">
        <f>'Income Statement'!H4</f>
        <v/>
      </c>
      <c r="F4" s="13">
        <f>'Income Statement'!I4</f>
        <v/>
      </c>
    </row>
    <row r="5">
      <c r="A5" s="4" t="inlineStr">
        <is>
          <t>EBITDA</t>
        </is>
      </c>
      <c r="B5" s="13">
        <f>'Income Statement'!E5</f>
        <v/>
      </c>
      <c r="C5" s="13">
        <f>'Income Statement'!F5</f>
        <v/>
      </c>
      <c r="D5" s="13">
        <f>'Income Statement'!G5</f>
        <v/>
      </c>
      <c r="E5" s="13">
        <f>'Income Statement'!H5</f>
        <v/>
      </c>
      <c r="F5" s="13">
        <f>'Income Statement'!I5</f>
        <v/>
      </c>
    </row>
    <row r="6">
      <c r="A6" s="4" t="inlineStr">
        <is>
          <t>less: D&amp;A</t>
        </is>
      </c>
      <c r="B6" s="13">
        <f>'Income Statement'!E6</f>
        <v/>
      </c>
      <c r="C6" s="13">
        <f>'Income Statement'!F6</f>
        <v/>
      </c>
      <c r="D6" s="13">
        <f>'Income Statement'!G6</f>
        <v/>
      </c>
      <c r="E6" s="13">
        <f>'Income Statement'!H6</f>
        <v/>
      </c>
      <c r="F6" s="13">
        <f>'Income Statement'!I6</f>
        <v/>
      </c>
    </row>
    <row r="7">
      <c r="A7" s="4" t="inlineStr">
        <is>
          <t>EBIT</t>
        </is>
      </c>
      <c r="B7" s="17">
        <f>B5+B6</f>
        <v/>
      </c>
      <c r="C7" s="17">
        <f>C5+C6</f>
        <v/>
      </c>
      <c r="D7" s="17">
        <f>D5+D6</f>
        <v/>
      </c>
      <c r="E7" s="17">
        <f>E5+E6</f>
        <v/>
      </c>
      <c r="F7" s="17">
        <f>F5+F6</f>
        <v/>
      </c>
    </row>
    <row r="8">
      <c r="A8" s="4" t="inlineStr">
        <is>
          <t>less: tax on EBIT</t>
        </is>
      </c>
      <c r="B8" s="17">
        <f>-B7*Assumptions!B11</f>
        <v/>
      </c>
      <c r="C8" s="17">
        <f>-C7*Assumptions!B11</f>
        <v/>
      </c>
      <c r="D8" s="17">
        <f>-D7*Assumptions!B11</f>
        <v/>
      </c>
      <c r="E8" s="17">
        <f>-E7*Assumptions!B11</f>
        <v/>
      </c>
      <c r="F8" s="17">
        <f>-F7*Assumptions!B11</f>
        <v/>
      </c>
    </row>
    <row r="9">
      <c r="A9" s="4" t="inlineStr">
        <is>
          <t>NOPAT</t>
        </is>
      </c>
      <c r="B9" s="17">
        <f>B7+B8</f>
        <v/>
      </c>
      <c r="C9" s="17">
        <f>C7+C8</f>
        <v/>
      </c>
      <c r="D9" s="17">
        <f>D7+D8</f>
        <v/>
      </c>
      <c r="E9" s="17">
        <f>E7+E8</f>
        <v/>
      </c>
      <c r="F9" s="17">
        <f>F7+F8</f>
        <v/>
      </c>
    </row>
    <row r="10">
      <c r="A10" s="4" t="inlineStr">
        <is>
          <t>add: D&amp;A</t>
        </is>
      </c>
      <c r="B10" s="17">
        <f>-B6</f>
        <v/>
      </c>
      <c r="C10" s="17">
        <f>-C6</f>
        <v/>
      </c>
      <c r="D10" s="17">
        <f>-D6</f>
        <v/>
      </c>
      <c r="E10" s="17">
        <f>-E6</f>
        <v/>
      </c>
      <c r="F10" s="17">
        <f>-F6</f>
        <v/>
      </c>
    </row>
    <row r="11">
      <c r="A11" s="4" t="inlineStr">
        <is>
          <t>less: capex</t>
        </is>
      </c>
      <c r="B11" s="13">
        <f>-'Income Statement'!E4*Assumptions!E45</f>
        <v/>
      </c>
      <c r="C11" s="13">
        <f>-'Income Statement'!F4*Assumptions!F45</f>
        <v/>
      </c>
      <c r="D11" s="13">
        <f>-'Income Statement'!G4*Assumptions!G45</f>
        <v/>
      </c>
      <c r="E11" s="13">
        <f>-'Income Statement'!H4*Assumptions!H45</f>
        <v/>
      </c>
      <c r="F11" s="13">
        <f>-'Income Statement'!I4*Assumptions!I45</f>
        <v/>
      </c>
    </row>
    <row r="12">
      <c r="A12" s="4" t="inlineStr">
        <is>
          <t>less: ΔWorking capital</t>
        </is>
      </c>
      <c r="B12" s="13">
        <f>-('Income Statement'!E4-'Income Statement'!D4)*Assumptions!E46</f>
        <v/>
      </c>
      <c r="C12" s="13">
        <f>-('Income Statement'!F4-'Income Statement'!E4)*Assumptions!F46</f>
        <v/>
      </c>
      <c r="D12" s="13">
        <f>-('Income Statement'!G4-'Income Statement'!F4)*Assumptions!G46</f>
        <v/>
      </c>
      <c r="E12" s="13">
        <f>-('Income Statement'!H4-'Income Statement'!G4)*Assumptions!H46</f>
        <v/>
      </c>
      <c r="F12" s="13">
        <f>-('Income Statement'!I4-'Income Statement'!H4)*Assumptions!I46</f>
        <v/>
      </c>
    </row>
    <row r="13">
      <c r="A13" s="4" t="inlineStr">
        <is>
          <t>Free cash flow to firm (FCFF)</t>
        </is>
      </c>
      <c r="B13" s="17">
        <f>B9+B10+B11+B12</f>
        <v/>
      </c>
      <c r="C13" s="17">
        <f>C9+C10+C11+C12</f>
        <v/>
      </c>
      <c r="D13" s="17">
        <f>D9+D10+D11+D12</f>
        <v/>
      </c>
      <c r="E13" s="17">
        <f>E9+E10+E11+E12</f>
        <v/>
      </c>
      <c r="F13" s="17">
        <f>F9+F10+F11+F12</f>
        <v/>
      </c>
    </row>
    <row r="14">
      <c r="A14" s="4" t="inlineStr">
        <is>
          <t>Discount factor @ WACC</t>
        </is>
      </c>
      <c r="B14" s="23">
        <f>1/(1+Assumptions!B9)^1</f>
        <v/>
      </c>
      <c r="C14" s="23">
        <f>1/(1+Assumptions!B9)^2</f>
        <v/>
      </c>
      <c r="D14" s="23">
        <f>1/(1+Assumptions!B9)^3</f>
        <v/>
      </c>
      <c r="E14" s="23">
        <f>1/(1+Assumptions!B9)^4</f>
        <v/>
      </c>
      <c r="F14" s="23">
        <f>1/(1+Assumptions!B9)^5</f>
        <v/>
      </c>
    </row>
    <row r="15">
      <c r="A15" s="4" t="inlineStr">
        <is>
          <t>PV of FCFF</t>
        </is>
      </c>
      <c r="B15" s="17">
        <f>B13*B14</f>
        <v/>
      </c>
      <c r="C15" s="17">
        <f>C13*C14</f>
        <v/>
      </c>
      <c r="D15" s="17">
        <f>D13*D14</f>
        <v/>
      </c>
      <c r="E15" s="17">
        <f>E13*E14</f>
        <v/>
      </c>
      <c r="F15" s="17">
        <f>F13*F14</f>
        <v/>
      </c>
    </row>
    <row r="17">
      <c r="A17" s="4" t="inlineStr">
        <is>
          <t>Cost of equity  Ke = rf + β × ERP</t>
        </is>
      </c>
      <c r="B17" s="14">
        <f>Assumptions!B12+Assumptions!B14*Assumptions!B13</f>
        <v/>
      </c>
      <c r="C17" s="8" t="inlineStr">
        <is>
          <t>rf 4.3% + 1.0 × ERP 5.5%</t>
        </is>
      </c>
    </row>
    <row r="18">
      <c r="A18" s="4" t="inlineStr">
        <is>
          <t>WACC</t>
        </is>
      </c>
      <c r="B18" s="14">
        <f>Assumptions!B9</f>
        <v/>
      </c>
      <c r="C18" s="8" t="inlineStr">
        <is>
          <t>Ke·we + Kd(1−t)·wd</t>
        </is>
      </c>
    </row>
    <row r="19">
      <c r="A19" s="4" t="inlineStr">
        <is>
          <t>Terminal growth g</t>
        </is>
      </c>
      <c r="B19" s="14">
        <f>Assumptions!B10</f>
        <v/>
      </c>
    </row>
    <row r="20">
      <c r="A20" s="4" t="inlineStr">
        <is>
          <t>Σ PV of FCFF (FY26–30)</t>
        </is>
      </c>
      <c r="B20" s="15">
        <f>SUM(B15:F15)</f>
        <v/>
      </c>
    </row>
    <row r="21">
      <c r="A21" s="4" t="inlineStr">
        <is>
          <t>Terminal value (undiscounted)</t>
        </is>
      </c>
      <c r="B21" s="17">
        <f>F13*(1+B19)/(B18-B19)</f>
        <v/>
      </c>
    </row>
    <row r="22">
      <c r="A22" s="4" t="inlineStr">
        <is>
          <t>PV of terminal value</t>
        </is>
      </c>
      <c r="B22" s="17">
        <f>B21/(1+B18)^5</f>
        <v/>
      </c>
    </row>
    <row r="23">
      <c r="A23" s="4" t="inlineStr">
        <is>
          <t>Enterprise value</t>
        </is>
      </c>
      <c r="B23" s="15">
        <f>B20+B22</f>
        <v/>
      </c>
    </row>
    <row r="24">
      <c r="A24" s="4" t="inlineStr">
        <is>
          <t xml:space="preserve">  Terminal value as % of EV</t>
        </is>
      </c>
      <c r="B24" s="14">
        <f>B22/B23</f>
        <v/>
      </c>
      <c r="C24" s="8" t="inlineStr">
        <is>
          <t>high-terminal disclosure (device A-7)</t>
        </is>
      </c>
    </row>
    <row r="25">
      <c r="A25" s="4" t="inlineStr">
        <is>
          <t>less: consolidated net debt</t>
        </is>
      </c>
      <c r="B25" s="17">
        <f>-Assumptions!B8</f>
        <v/>
      </c>
    </row>
    <row r="26">
      <c r="A26" s="4" t="inlineStr">
        <is>
          <t>less: minority interest (proportional)</t>
        </is>
      </c>
      <c r="B26" s="17">
        <f>-(B23+B25)*(99200/250700)</f>
        <v/>
      </c>
      <c r="C26" s="8" t="inlineStr">
        <is>
          <t>MI share of equity</t>
        </is>
      </c>
    </row>
    <row r="27">
      <c r="A27" s="4" t="inlineStr">
        <is>
          <t>Attributable equity value</t>
        </is>
      </c>
      <c r="B27" s="15">
        <f>B23+B25+B26</f>
        <v/>
      </c>
    </row>
    <row r="28">
      <c r="A28" s="4" t="inlineStr">
        <is>
          <t>DCF fair value per share (AED)</t>
        </is>
      </c>
      <c r="B28" s="18">
        <f>B27/Assumptions!B5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Appendix A.1 — Income statement (AED m)</t>
        </is>
      </c>
    </row>
    <row r="2">
      <c r="A2" s="2" t="inlineStr">
        <is>
          <t>3 yr historical + 5 yr forecast. FY2025 audited (15 Feb 2026); FY2023 estimated (flagged). Forecast links to Assumptions.</t>
        </is>
      </c>
    </row>
    <row r="3">
      <c r="A3" s="12" t="inlineStr">
        <is>
          <t>AED m</t>
        </is>
      </c>
      <c r="B3" s="12" t="inlineStr">
        <is>
          <t>FY23e</t>
        </is>
      </c>
      <c r="C3" s="12" t="inlineStr">
        <is>
          <t>FY24A</t>
        </is>
      </c>
      <c r="D3" s="12" t="inlineStr">
        <is>
          <t>FY25A</t>
        </is>
      </c>
      <c r="E3" s="12" t="inlineStr">
        <is>
          <t>FY26E</t>
        </is>
      </c>
      <c r="F3" s="12" t="inlineStr">
        <is>
          <t>FY27E</t>
        </is>
      </c>
      <c r="G3" s="12" t="inlineStr">
        <is>
          <t>FY28E</t>
        </is>
      </c>
      <c r="H3" s="12" t="inlineStr">
        <is>
          <t>FY29E</t>
        </is>
      </c>
      <c r="I3" s="12" t="inlineStr">
        <is>
          <t>FY30E</t>
        </is>
      </c>
    </row>
    <row r="4">
      <c r="A4" s="4" t="inlineStr">
        <is>
          <t>Revenue</t>
        </is>
      </c>
      <c r="B4" s="17" t="n">
        <v>62000</v>
      </c>
      <c r="C4" s="17" t="n">
        <v>86290</v>
      </c>
      <c r="D4" s="17" t="n">
        <v>111400</v>
      </c>
      <c r="E4" s="17">
        <f>D4*(1+Assumptions!E42)</f>
        <v/>
      </c>
      <c r="F4" s="17">
        <f>E4*(1+Assumptions!F42)</f>
        <v/>
      </c>
      <c r="G4" s="17">
        <f>F4*(1+Assumptions!G42)</f>
        <v/>
      </c>
      <c r="H4" s="17">
        <f>G4*(1+Assumptions!H42)</f>
        <v/>
      </c>
      <c r="I4" s="17">
        <f>H4*(1+Assumptions!I42)</f>
        <v/>
      </c>
    </row>
    <row r="5">
      <c r="A5" s="4" t="inlineStr">
        <is>
          <t>EBITDA</t>
        </is>
      </c>
      <c r="B5" s="17" t="n">
        <v>12400</v>
      </c>
      <c r="C5" s="17" t="n">
        <v>17300</v>
      </c>
      <c r="D5" s="17" t="n">
        <v>22660</v>
      </c>
      <c r="E5" s="17">
        <f>E4*Assumptions!E43</f>
        <v/>
      </c>
      <c r="F5" s="17">
        <f>F4*Assumptions!F43</f>
        <v/>
      </c>
      <c r="G5" s="17">
        <f>G4*Assumptions!G43</f>
        <v/>
      </c>
      <c r="H5" s="17">
        <f>H4*Assumptions!H43</f>
        <v/>
      </c>
      <c r="I5" s="17">
        <f>I4*Assumptions!I43</f>
        <v/>
      </c>
    </row>
    <row r="6">
      <c r="A6" s="4" t="inlineStr">
        <is>
          <t>D&amp;A</t>
        </is>
      </c>
      <c r="B6" s="17" t="n">
        <v>-3100</v>
      </c>
      <c r="C6" s="17" t="n">
        <v>-4300</v>
      </c>
      <c r="D6" s="17" t="n">
        <v>-5030</v>
      </c>
      <c r="E6" s="17">
        <f>-E4*Assumptions!E44</f>
        <v/>
      </c>
      <c r="F6" s="17">
        <f>-F4*Assumptions!F44</f>
        <v/>
      </c>
      <c r="G6" s="17">
        <f>-G4*Assumptions!G44</f>
        <v/>
      </c>
      <c r="H6" s="17">
        <f>-H4*Assumptions!H44</f>
        <v/>
      </c>
      <c r="I6" s="17">
        <f>-I4*Assumptions!I44</f>
        <v/>
      </c>
    </row>
    <row r="7">
      <c r="A7" s="4" t="inlineStr">
        <is>
          <t>EBIT (operating)</t>
        </is>
      </c>
      <c r="B7" s="15">
        <f>B5+B6</f>
        <v/>
      </c>
      <c r="C7" s="15">
        <f>C5+C6</f>
        <v/>
      </c>
      <c r="D7" s="15">
        <f>D5+D6</f>
        <v/>
      </c>
      <c r="E7" s="15">
        <f>E5+E6</f>
        <v/>
      </c>
      <c r="F7" s="15">
        <f>F5+F6</f>
        <v/>
      </c>
      <c r="G7" s="15">
        <f>G5+G6</f>
        <v/>
      </c>
      <c r="H7" s="15">
        <f>H5+H6</f>
        <v/>
      </c>
      <c r="I7" s="15">
        <f>I5+I6</f>
        <v/>
      </c>
    </row>
    <row r="8">
      <c r="A8" s="4" t="inlineStr">
        <is>
          <t>Investment / associate income &amp; FV gains</t>
        </is>
      </c>
      <c r="B8" s="17" t="n">
        <v>26600</v>
      </c>
      <c r="C8" s="17" t="n">
        <v>17035</v>
      </c>
      <c r="D8" s="17" t="n">
        <v>22670</v>
      </c>
      <c r="E8" s="17">
        <f>Assumptions!E47</f>
        <v/>
      </c>
      <c r="F8" s="17">
        <f>Assumptions!F47</f>
        <v/>
      </c>
      <c r="G8" s="17">
        <f>Assumptions!G47</f>
        <v/>
      </c>
      <c r="H8" s="17">
        <f>Assumptions!H47</f>
        <v/>
      </c>
      <c r="I8" s="17">
        <f>Assumptions!I47</f>
        <v/>
      </c>
    </row>
    <row r="9">
      <c r="A9" s="4" t="inlineStr">
        <is>
          <t>Net finance cost</t>
        </is>
      </c>
      <c r="B9" s="17" t="n">
        <v>-2000</v>
      </c>
      <c r="C9" s="17" t="n">
        <v>-2800</v>
      </c>
      <c r="D9" s="17" t="n">
        <v>-3500</v>
      </c>
      <c r="E9" s="17">
        <f>Assumptions!E48</f>
        <v/>
      </c>
      <c r="F9" s="17">
        <f>Assumptions!F48</f>
        <v/>
      </c>
      <c r="G9" s="17">
        <f>Assumptions!G48</f>
        <v/>
      </c>
      <c r="H9" s="17">
        <f>Assumptions!H48</f>
        <v/>
      </c>
      <c r="I9" s="17">
        <f>Assumptions!I48</f>
        <v/>
      </c>
    </row>
    <row r="10">
      <c r="A10" s="4" t="inlineStr">
        <is>
          <t>Profit before tax</t>
        </is>
      </c>
      <c r="B10" s="15">
        <f>B7+B8+B9</f>
        <v/>
      </c>
      <c r="C10" s="15">
        <f>C7+C8+C9</f>
        <v/>
      </c>
      <c r="D10" s="15">
        <f>D7+D8+D9</f>
        <v/>
      </c>
      <c r="E10" s="15">
        <f>E7+E8+E9</f>
        <v/>
      </c>
      <c r="F10" s="15">
        <f>F7+F8+F9</f>
        <v/>
      </c>
      <c r="G10" s="15">
        <f>G7+G8+G9</f>
        <v/>
      </c>
      <c r="H10" s="15">
        <f>H7+H8+H9</f>
        <v/>
      </c>
      <c r="I10" s="15">
        <f>I7+I8+I9</f>
        <v/>
      </c>
    </row>
    <row r="11">
      <c r="A11" s="4" t="inlineStr">
        <is>
          <t>Tax</t>
        </is>
      </c>
      <c r="B11" s="17" t="n">
        <v>-1000</v>
      </c>
      <c r="C11" s="17" t="n">
        <v>-1550</v>
      </c>
      <c r="D11" s="17" t="n">
        <v>-2100</v>
      </c>
      <c r="E11" s="17">
        <f>-E10*Assumptions!B11</f>
        <v/>
      </c>
      <c r="F11" s="17">
        <f>-F10*Assumptions!B11</f>
        <v/>
      </c>
      <c r="G11" s="17">
        <f>-G10*Assumptions!B11</f>
        <v/>
      </c>
      <c r="H11" s="17">
        <f>-H10*Assumptions!B11</f>
        <v/>
      </c>
      <c r="I11" s="17">
        <f>-I10*Assumptions!B11</f>
        <v/>
      </c>
    </row>
    <row r="12">
      <c r="A12" s="4" t="inlineStr">
        <is>
          <t>Profit after tax (group)</t>
        </is>
      </c>
      <c r="B12" s="15">
        <f>B10+B11</f>
        <v/>
      </c>
      <c r="C12" s="15">
        <f>C10+C11</f>
        <v/>
      </c>
      <c r="D12" s="15">
        <f>D10+D11</f>
        <v/>
      </c>
      <c r="E12" s="15">
        <f>E10+E11</f>
        <v/>
      </c>
      <c r="F12" s="15">
        <f>F10+F11</f>
        <v/>
      </c>
      <c r="G12" s="15">
        <f>G10+G11</f>
        <v/>
      </c>
      <c r="H12" s="15">
        <f>H10+H11</f>
        <v/>
      </c>
      <c r="I12" s="15">
        <f>I10+I11</f>
        <v/>
      </c>
    </row>
    <row r="13">
      <c r="A13" s="4" t="inlineStr">
        <is>
          <t>Minority interest</t>
        </is>
      </c>
      <c r="B13" s="17" t="n">
        <v>-12900</v>
      </c>
      <c r="C13" s="17" t="n">
        <v>-10011</v>
      </c>
      <c r="D13" s="17" t="n">
        <v>-13053</v>
      </c>
      <c r="E13" s="17">
        <f>-E12*Assumptions!E49</f>
        <v/>
      </c>
      <c r="F13" s="17">
        <f>-F12*Assumptions!F49</f>
        <v/>
      </c>
      <c r="G13" s="17">
        <f>-G12*Assumptions!G49</f>
        <v/>
      </c>
      <c r="H13" s="17">
        <f>-H12*Assumptions!H49</f>
        <v/>
      </c>
      <c r="I13" s="17">
        <f>-I12*Assumptions!I49</f>
        <v/>
      </c>
    </row>
    <row r="14">
      <c r="A14" s="4" t="inlineStr">
        <is>
          <t>Attributable net income</t>
        </is>
      </c>
      <c r="B14" s="15">
        <f>B12+B13</f>
        <v/>
      </c>
      <c r="C14" s="15">
        <f>C12+C13</f>
        <v/>
      </c>
      <c r="D14" s="15">
        <f>D12+D13</f>
        <v/>
      </c>
      <c r="E14" s="15">
        <f>E12+E13</f>
        <v/>
      </c>
      <c r="F14" s="15">
        <f>F12+F13</f>
        <v/>
      </c>
      <c r="G14" s="15">
        <f>G12+G13</f>
        <v/>
      </c>
      <c r="H14" s="15">
        <f>H12+H13</f>
        <v/>
      </c>
      <c r="I14" s="15">
        <f>I12+I13</f>
        <v/>
      </c>
    </row>
    <row r="15">
      <c r="A15" s="4" t="inlineStr">
        <is>
          <t>EPS (AED)</t>
        </is>
      </c>
      <c r="B15" s="18">
        <f>B14/Assumptions!B5</f>
        <v/>
      </c>
      <c r="C15" s="18">
        <f>C14/Assumptions!B5</f>
        <v/>
      </c>
      <c r="D15" s="18">
        <f>D14/Assumptions!B5</f>
        <v/>
      </c>
      <c r="E15" s="18">
        <f>E14/Assumptions!B5</f>
        <v/>
      </c>
      <c r="F15" s="18">
        <f>F14/Assumptions!B5</f>
        <v/>
      </c>
      <c r="G15" s="18">
        <f>G14/Assumptions!B5</f>
        <v/>
      </c>
      <c r="H15" s="18">
        <f>H14/Assumptions!B5</f>
        <v/>
      </c>
      <c r="I15" s="18">
        <f>I14/Assumptions!B5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Appendix A.2 — Balance sheet (AED m)</t>
        </is>
      </c>
    </row>
    <row r="2">
      <c r="A2" s="2" t="inlineStr">
        <is>
          <t>3 yr historical + 5 yr forecast. FY2025 audited; FY2023 and some line items estimated to balance to disclosed totals (flagged).</t>
        </is>
      </c>
    </row>
    <row r="3">
      <c r="A3" s="12" t="inlineStr">
        <is>
          <t>AED m</t>
        </is>
      </c>
      <c r="B3" s="12" t="inlineStr">
        <is>
          <t>FY23e</t>
        </is>
      </c>
      <c r="C3" s="12" t="inlineStr">
        <is>
          <t>FY24A</t>
        </is>
      </c>
      <c r="D3" s="12" t="inlineStr">
        <is>
          <t>FY25A</t>
        </is>
      </c>
      <c r="E3" s="12" t="inlineStr">
        <is>
          <t>FY26E</t>
        </is>
      </c>
      <c r="F3" s="12" t="inlineStr">
        <is>
          <t>FY27E</t>
        </is>
      </c>
      <c r="G3" s="12" t="inlineStr">
        <is>
          <t>FY28E</t>
        </is>
      </c>
      <c r="H3" s="12" t="inlineStr">
        <is>
          <t>FY29E</t>
        </is>
      </c>
      <c r="I3" s="12" t="inlineStr">
        <is>
          <t>FY30E</t>
        </is>
      </c>
    </row>
    <row r="5">
      <c r="A5" s="4" t="inlineStr">
        <is>
          <t>Cash &amp; bank balances</t>
        </is>
      </c>
      <c r="B5" s="17" t="n">
        <v>45000</v>
      </c>
      <c r="C5" s="17" t="n">
        <v>55236</v>
      </c>
      <c r="D5" s="17" t="n">
        <v>74900</v>
      </c>
      <c r="E5" s="17">
        <f>'Cash Flow'!E12</f>
        <v/>
      </c>
      <c r="F5" s="17">
        <f>'Cash Flow'!F12</f>
        <v/>
      </c>
      <c r="G5" s="17">
        <f>'Cash Flow'!G12</f>
        <v/>
      </c>
      <c r="H5" s="17">
        <f>'Cash Flow'!H12</f>
        <v/>
      </c>
      <c r="I5" s="17">
        <f>'Cash Flow'!I12</f>
        <v/>
      </c>
    </row>
    <row r="6">
      <c r="A6" s="4" t="inlineStr">
        <is>
          <t>Property, plant &amp; equipment</t>
        </is>
      </c>
      <c r="B6" s="17" t="n">
        <v>70000</v>
      </c>
      <c r="C6" s="17" t="n">
        <v>85000</v>
      </c>
      <c r="D6" s="17" t="n">
        <v>95000</v>
      </c>
      <c r="E6" s="17">
        <f>D6+'Income Statement'!E4*Assumptions!E45+'Income Statement'!E6</f>
        <v/>
      </c>
      <c r="F6" s="17">
        <f>E6+'Income Statement'!F4*Assumptions!F45+'Income Statement'!F6</f>
        <v/>
      </c>
      <c r="G6" s="17">
        <f>F6+'Income Statement'!G4*Assumptions!G45+'Income Statement'!G6</f>
        <v/>
      </c>
      <c r="H6" s="17">
        <f>G6+'Income Statement'!H4*Assumptions!H45+'Income Statement'!H6</f>
        <v/>
      </c>
      <c r="I6" s="17">
        <f>H6+'Income Statement'!I4*Assumptions!I45+'Income Statement'!I6</f>
        <v/>
      </c>
    </row>
    <row r="7">
      <c r="A7" s="4" t="inlineStr">
        <is>
          <t>Other assets (WC, goodwill, etc.)</t>
        </is>
      </c>
      <c r="B7" s="17" t="n">
        <v>60000</v>
      </c>
      <c r="C7" s="17" t="n">
        <v>70000</v>
      </c>
      <c r="D7" s="17" t="n">
        <v>80000</v>
      </c>
      <c r="E7" s="17">
        <f>'Income Statement'!E4*0.62</f>
        <v/>
      </c>
      <c r="F7" s="17">
        <f>'Income Statement'!F4*0.62</f>
        <v/>
      </c>
      <c r="G7" s="17">
        <f>'Income Statement'!G4*0.62</f>
        <v/>
      </c>
      <c r="H7" s="17">
        <f>'Income Statement'!H4*0.62</f>
        <v/>
      </c>
      <c r="I7" s="17">
        <f>'Income Statement'!I4*0.62</f>
        <v/>
      </c>
    </row>
    <row r="8">
      <c r="A8" s="4" t="inlineStr">
        <is>
          <t>Financial investments &amp; associates (plug)</t>
        </is>
      </c>
      <c r="B8" s="17">
        <f>B9-B5-B6-B7</f>
        <v/>
      </c>
      <c r="C8" s="17">
        <f>C9-C5-C6-C7</f>
        <v/>
      </c>
      <c r="D8" s="17">
        <f>D9-D5-D6-D7</f>
        <v/>
      </c>
      <c r="E8" s="17">
        <f>E9-E5-E6-E7</f>
        <v/>
      </c>
      <c r="F8" s="17">
        <f>F9-F5-F6-F7</f>
        <v/>
      </c>
      <c r="G8" s="17">
        <f>G9-G5-G6-G7</f>
        <v/>
      </c>
      <c r="H8" s="17">
        <f>H9-H5-H6-H7</f>
        <v/>
      </c>
      <c r="I8" s="17">
        <f>I9-I5-I6-I7</f>
        <v/>
      </c>
    </row>
    <row r="9">
      <c r="A9" s="4" t="inlineStr">
        <is>
          <t>Total assets</t>
        </is>
      </c>
      <c r="B9" s="15">
        <f>B17+B13</f>
        <v/>
      </c>
      <c r="C9" s="15">
        <f>C17+C13</f>
        <v/>
      </c>
      <c r="D9" s="15">
        <f>D17+D13</f>
        <v/>
      </c>
      <c r="E9" s="15">
        <f>E17+E13</f>
        <v/>
      </c>
      <c r="F9" s="15">
        <f>F17+F13</f>
        <v/>
      </c>
      <c r="G9" s="15">
        <f>G17+G13</f>
        <v/>
      </c>
      <c r="H9" s="15">
        <f>H17+H13</f>
        <v/>
      </c>
      <c r="I9" s="15">
        <f>I17+I13</f>
        <v/>
      </c>
    </row>
    <row r="11">
      <c r="A11" s="4" t="inlineStr">
        <is>
          <t>Total borrowings</t>
        </is>
      </c>
      <c r="B11" s="17" t="n">
        <v>80000</v>
      </c>
      <c r="C11" s="17" t="n">
        <v>92000</v>
      </c>
      <c r="D11" s="17" t="n">
        <v>100470</v>
      </c>
      <c r="E11" s="17" t="n">
        <v>105000</v>
      </c>
      <c r="F11" s="17" t="n">
        <v>108000</v>
      </c>
      <c r="G11" s="17" t="n">
        <v>110000</v>
      </c>
      <c r="H11" s="17" t="n">
        <v>112000</v>
      </c>
      <c r="I11" s="17" t="n">
        <v>114000</v>
      </c>
    </row>
    <row r="12">
      <c r="A12" s="4" t="inlineStr">
        <is>
          <t>Other liabilities</t>
        </is>
      </c>
      <c r="B12" s="17" t="n">
        <v>50000</v>
      </c>
      <c r="C12" s="17" t="n">
        <v>65500</v>
      </c>
      <c r="D12" s="17" t="n">
        <v>77430</v>
      </c>
      <c r="E12" s="17">
        <f>'Income Statement'!E4*0.62</f>
        <v/>
      </c>
      <c r="F12" s="17">
        <f>'Income Statement'!F4*0.62</f>
        <v/>
      </c>
      <c r="G12" s="17">
        <f>'Income Statement'!G4*0.62</f>
        <v/>
      </c>
      <c r="H12" s="17">
        <f>'Income Statement'!H4*0.62</f>
        <v/>
      </c>
      <c r="I12" s="17">
        <f>'Income Statement'!I4*0.62</f>
        <v/>
      </c>
    </row>
    <row r="13">
      <c r="A13" s="4" t="inlineStr">
        <is>
          <t>Total liabilities</t>
        </is>
      </c>
      <c r="B13" s="15">
        <f>B11+B12</f>
        <v/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</row>
    <row r="15">
      <c r="A15" s="4" t="inlineStr">
        <is>
          <t>Attributable equity</t>
        </is>
      </c>
      <c r="B15" s="17" t="n">
        <v>120000</v>
      </c>
      <c r="C15" s="17" t="n">
        <v>140000</v>
      </c>
      <c r="D15" s="17" t="n">
        <v>151500</v>
      </c>
      <c r="E15" s="17">
        <f>D15+'Income Statement'!E14</f>
        <v/>
      </c>
      <c r="F15" s="17">
        <f>E15+'Income Statement'!F14</f>
        <v/>
      </c>
      <c r="G15" s="17">
        <f>F15+'Income Statement'!G14</f>
        <v/>
      </c>
      <c r="H15" s="17">
        <f>G15+'Income Statement'!H14</f>
        <v/>
      </c>
      <c r="I15" s="17">
        <f>H15+'Income Statement'!I14</f>
        <v/>
      </c>
    </row>
    <row r="16">
      <c r="A16" s="4" t="inlineStr">
        <is>
          <t>Minority interest</t>
        </is>
      </c>
      <c r="B16" s="17" t="n">
        <v>80000</v>
      </c>
      <c r="C16" s="17" t="n">
        <v>104300</v>
      </c>
      <c r="D16" s="17" t="n">
        <v>99200</v>
      </c>
      <c r="E16" s="17">
        <f>D16-'Income Statement'!E13</f>
        <v/>
      </c>
      <c r="F16" s="17">
        <f>E16-'Income Statement'!F13</f>
        <v/>
      </c>
      <c r="G16" s="17">
        <f>F16-'Income Statement'!G13</f>
        <v/>
      </c>
      <c r="H16" s="17">
        <f>G16-'Income Statement'!H13</f>
        <v/>
      </c>
      <c r="I16" s="17">
        <f>H16-'Income Statement'!I13</f>
        <v/>
      </c>
    </row>
    <row r="17">
      <c r="A17" s="4" t="inlineStr">
        <is>
          <t>Total equity</t>
        </is>
      </c>
      <c r="B17" s="15">
        <f>B15+B16</f>
        <v/>
      </c>
      <c r="C17" s="15">
        <f>C15+C16</f>
        <v/>
      </c>
      <c r="D17" s="15">
        <f>D15+D16</f>
        <v/>
      </c>
      <c r="E17" s="15">
        <f>E15+E16</f>
        <v/>
      </c>
      <c r="F17" s="15">
        <f>F15+F16</f>
        <v/>
      </c>
      <c r="G17" s="15">
        <f>G15+G16</f>
        <v/>
      </c>
      <c r="H17" s="15">
        <f>H15+H16</f>
        <v/>
      </c>
      <c r="I17" s="15">
        <f>I15+I16</f>
        <v/>
      </c>
    </row>
    <row r="19">
      <c r="A19" s="3" t="inlineStr">
        <is>
          <t>Check: assets − (equity+liab)</t>
        </is>
      </c>
      <c r="B19" s="17">
        <f>B9-(B17+B13)</f>
        <v/>
      </c>
      <c r="C19" s="17">
        <f>C9-(C17+C13)</f>
        <v/>
      </c>
      <c r="D19" s="17">
        <f>D9-(D17+D13)</f>
        <v/>
      </c>
      <c r="E19" s="17">
        <f>E9-(E17+E13)</f>
        <v/>
      </c>
      <c r="F19" s="17">
        <f>F9-(F17+F13)</f>
        <v/>
      </c>
      <c r="G19" s="17">
        <f>G9-(G17+G13)</f>
        <v/>
      </c>
      <c r="H19" s="17">
        <f>H9-(H17+H13)</f>
        <v/>
      </c>
      <c r="I19" s="17">
        <f>I9-(I17+I13)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Appendix A.3 — Cash flow (AED m)</t>
        </is>
      </c>
    </row>
    <row r="2">
      <c r="A2" s="2" t="inlineStr">
        <is>
          <t>Operating proxy consistent with the DCF FCFF build. Near-zero dividend.</t>
        </is>
      </c>
    </row>
    <row r="3">
      <c r="A3" s="12" t="inlineStr">
        <is>
          <t>AED m</t>
        </is>
      </c>
      <c r="B3" s="12" t="inlineStr">
        <is>
          <t>FY23e</t>
        </is>
      </c>
      <c r="C3" s="12" t="inlineStr">
        <is>
          <t>FY24A</t>
        </is>
      </c>
      <c r="D3" s="12" t="inlineStr">
        <is>
          <t>FY25A</t>
        </is>
      </c>
      <c r="E3" s="12" t="inlineStr">
        <is>
          <t>FY26E</t>
        </is>
      </c>
      <c r="F3" s="12" t="inlineStr">
        <is>
          <t>FY27E</t>
        </is>
      </c>
      <c r="G3" s="12" t="inlineStr">
        <is>
          <t>FY28E</t>
        </is>
      </c>
      <c r="H3" s="12" t="inlineStr">
        <is>
          <t>FY29E</t>
        </is>
      </c>
      <c r="I3" s="12" t="inlineStr">
        <is>
          <t>FY30E</t>
        </is>
      </c>
    </row>
    <row r="4">
      <c r="A4" s="4" t="inlineStr">
        <is>
          <t>EBITDA</t>
        </is>
      </c>
      <c r="B4" s="17" t="n">
        <v>12400</v>
      </c>
      <c r="C4" s="17" t="n">
        <v>17300</v>
      </c>
      <c r="D4" s="17" t="n">
        <v>22660</v>
      </c>
      <c r="E4" s="17">
        <f>'Income Statement'!E5</f>
        <v/>
      </c>
      <c r="F4" s="17">
        <f>'Income Statement'!F5</f>
        <v/>
      </c>
      <c r="G4" s="17">
        <f>'Income Statement'!G5</f>
        <v/>
      </c>
      <c r="H4" s="17">
        <f>'Income Statement'!H5</f>
        <v/>
      </c>
      <c r="I4" s="17">
        <f>'Income Statement'!I5</f>
        <v/>
      </c>
    </row>
    <row r="5">
      <c r="A5" s="4" t="inlineStr">
        <is>
          <t>less: tax paid</t>
        </is>
      </c>
      <c r="B5" s="17" t="n">
        <v>-1000</v>
      </c>
      <c r="C5" s="17" t="n">
        <v>-1550</v>
      </c>
      <c r="D5" s="17" t="n">
        <v>-2100</v>
      </c>
      <c r="E5" s="17">
        <f>'Income Statement'!E11</f>
        <v/>
      </c>
      <c r="F5" s="17">
        <f>'Income Statement'!F11</f>
        <v/>
      </c>
      <c r="G5" s="17">
        <f>'Income Statement'!G11</f>
        <v/>
      </c>
      <c r="H5" s="17">
        <f>'Income Statement'!H11</f>
        <v/>
      </c>
      <c r="I5" s="17">
        <f>'Income Statement'!I11</f>
        <v/>
      </c>
    </row>
    <row r="6">
      <c r="A6" s="4" t="inlineStr">
        <is>
          <t>less: ΔWorking capital</t>
        </is>
      </c>
      <c r="B6" s="17" t="n">
        <v>-1000</v>
      </c>
      <c r="C6" s="17" t="n">
        <v>-1200</v>
      </c>
      <c r="D6" s="17" t="n">
        <v>-1400</v>
      </c>
      <c r="E6" s="17">
        <f>-('Income Statement'!E4-'Income Statement'!D4)*Assumptions!E46</f>
        <v/>
      </c>
      <c r="F6" s="17">
        <f>-('Income Statement'!F4-'Income Statement'!E4)*Assumptions!F46</f>
        <v/>
      </c>
      <c r="G6" s="17">
        <f>-('Income Statement'!G4-'Income Statement'!F4)*Assumptions!G46</f>
        <v/>
      </c>
      <c r="H6" s="17">
        <f>-('Income Statement'!H4-'Income Statement'!G4)*Assumptions!H46</f>
        <v/>
      </c>
      <c r="I6" s="17">
        <f>-('Income Statement'!I4-'Income Statement'!H4)*Assumptions!I46</f>
        <v/>
      </c>
    </row>
    <row r="7">
      <c r="A7" s="4" t="inlineStr">
        <is>
          <t>Cash flow from operations</t>
        </is>
      </c>
      <c r="B7" s="15">
        <f>B4+B5+B6</f>
        <v/>
      </c>
      <c r="C7" s="15">
        <f>C4+C5+C6</f>
        <v/>
      </c>
      <c r="D7" s="15">
        <f>D4+D5+D6</f>
        <v/>
      </c>
      <c r="E7" s="15">
        <f>E4+E5+E6</f>
        <v/>
      </c>
      <c r="F7" s="15">
        <f>F4+F5+F6</f>
        <v/>
      </c>
      <c r="G7" s="15">
        <f>G4+G5+G6</f>
        <v/>
      </c>
      <c r="H7" s="15">
        <f>H4+H5+H6</f>
        <v/>
      </c>
      <c r="I7" s="15">
        <f>I4+I5+I6</f>
        <v/>
      </c>
    </row>
    <row r="8">
      <c r="A8" s="4" t="inlineStr">
        <is>
          <t>less: capex</t>
        </is>
      </c>
      <c r="B8" s="17" t="n">
        <v>-3720</v>
      </c>
      <c r="C8" s="17" t="n">
        <v>-5177</v>
      </c>
      <c r="D8" s="17" t="n">
        <v>-6684</v>
      </c>
      <c r="E8" s="17">
        <f>-'Income Statement'!E4*Assumptions!E45</f>
        <v/>
      </c>
      <c r="F8" s="17">
        <f>-'Income Statement'!F4*Assumptions!F45</f>
        <v/>
      </c>
      <c r="G8" s="17">
        <f>-'Income Statement'!G4*Assumptions!G45</f>
        <v/>
      </c>
      <c r="H8" s="17">
        <f>-'Income Statement'!H4*Assumptions!H45</f>
        <v/>
      </c>
      <c r="I8" s="17">
        <f>-'Income Statement'!I4*Assumptions!I45</f>
        <v/>
      </c>
    </row>
    <row r="9">
      <c r="A9" s="4" t="inlineStr">
        <is>
          <t>Free cash flow</t>
        </is>
      </c>
      <c r="B9" s="15">
        <f>B7+B8</f>
        <v/>
      </c>
      <c r="C9" s="15">
        <f>C7+C8</f>
        <v/>
      </c>
      <c r="D9" s="15">
        <f>D7+D8</f>
        <v/>
      </c>
      <c r="E9" s="15">
        <f>E7+E8</f>
        <v/>
      </c>
      <c r="F9" s="15">
        <f>F7+F8</f>
        <v/>
      </c>
      <c r="G9" s="15">
        <f>G7+G8</f>
        <v/>
      </c>
      <c r="H9" s="15">
        <f>H7+H8</f>
        <v/>
      </c>
      <c r="I9" s="15">
        <f>I7+I8</f>
        <v/>
      </c>
    </row>
    <row r="10">
      <c r="A10" s="4" t="inlineStr">
        <is>
          <t>Net financing &amp; investing (incl. Δdebt, ~0 div)</t>
        </is>
      </c>
      <c r="B10" s="17" t="n">
        <v>2000</v>
      </c>
      <c r="C10" s="17" t="n">
        <v>3000</v>
      </c>
      <c r="D10" s="17" t="n">
        <v>8000</v>
      </c>
      <c r="E10" s="17" t="n">
        <v>3000</v>
      </c>
      <c r="F10" s="17" t="n">
        <v>3000</v>
      </c>
      <c r="G10" s="17" t="n">
        <v>2000</v>
      </c>
      <c r="H10" s="17" t="n">
        <v>2000</v>
      </c>
      <c r="I10" s="17" t="n">
        <v>2000</v>
      </c>
    </row>
    <row r="11">
      <c r="A11" s="4" t="inlineStr">
        <is>
          <t>Net change in cash</t>
        </is>
      </c>
      <c r="B11" s="15">
        <f>B9+B10</f>
        <v/>
      </c>
      <c r="C11" s="15">
        <f>C9+C10</f>
        <v/>
      </c>
      <c r="D11" s="15">
        <f>D9+D10</f>
        <v/>
      </c>
      <c r="E11" s="15">
        <f>E9+E10</f>
        <v/>
      </c>
      <c r="F11" s="15">
        <f>F9+F10</f>
        <v/>
      </c>
      <c r="G11" s="15">
        <f>G9+G10</f>
        <v/>
      </c>
      <c r="H11" s="15">
        <f>H9+H10</f>
        <v/>
      </c>
      <c r="I11" s="15">
        <f>I9+I10</f>
        <v/>
      </c>
    </row>
    <row r="12">
      <c r="A12" s="4" t="inlineStr">
        <is>
          <t>Ending cash &amp; bank</t>
        </is>
      </c>
      <c r="B12" s="17" t="n">
        <v>45000</v>
      </c>
      <c r="C12" s="17" t="n">
        <v>55236</v>
      </c>
      <c r="D12" s="17" t="n">
        <v>74900</v>
      </c>
      <c r="E12" s="15">
        <f>D12+E11</f>
        <v/>
      </c>
      <c r="F12" s="15">
        <f>E12+F11</f>
        <v/>
      </c>
      <c r="G12" s="15">
        <f>F12+G11</f>
        <v/>
      </c>
      <c r="H12" s="15">
        <f>G12+H11</f>
        <v/>
      </c>
      <c r="I12" s="15">
        <f>H12+I11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Summary financials (AED m) — every cell links to the statement sheets</t>
        </is>
      </c>
    </row>
    <row r="3">
      <c r="A3" s="12" t="inlineStr">
        <is>
          <t>AED m</t>
        </is>
      </c>
      <c r="B3" s="12" t="inlineStr">
        <is>
          <t>FY23e</t>
        </is>
      </c>
      <c r="C3" s="12" t="inlineStr">
        <is>
          <t>FY24A</t>
        </is>
      </c>
      <c r="D3" s="12" t="inlineStr">
        <is>
          <t>FY25A</t>
        </is>
      </c>
      <c r="E3" s="12" t="inlineStr">
        <is>
          <t>FY26E</t>
        </is>
      </c>
      <c r="F3" s="12" t="inlineStr">
        <is>
          <t>FY27E</t>
        </is>
      </c>
      <c r="G3" s="12" t="inlineStr">
        <is>
          <t>FY28E</t>
        </is>
      </c>
      <c r="H3" s="12" t="inlineStr">
        <is>
          <t>FY29E</t>
        </is>
      </c>
      <c r="I3" s="12" t="inlineStr">
        <is>
          <t>FY30E</t>
        </is>
      </c>
    </row>
    <row r="4">
      <c r="A4" s="4" t="inlineStr">
        <is>
          <t>Revenue</t>
        </is>
      </c>
      <c r="B4" s="13">
        <f>'Income Statement'!B4</f>
        <v/>
      </c>
      <c r="C4" s="13">
        <f>'Income Statement'!C4</f>
        <v/>
      </c>
      <c r="D4" s="13">
        <f>'Income Statement'!D4</f>
        <v/>
      </c>
      <c r="E4" s="13">
        <f>'Income Statement'!E4</f>
        <v/>
      </c>
      <c r="F4" s="13">
        <f>'Income Statement'!F4</f>
        <v/>
      </c>
      <c r="G4" s="13">
        <f>'Income Statement'!G4</f>
        <v/>
      </c>
      <c r="H4" s="13">
        <f>'Income Statement'!H4</f>
        <v/>
      </c>
      <c r="I4" s="13">
        <f>'Income Statement'!I4</f>
        <v/>
      </c>
    </row>
    <row r="5">
      <c r="A5" s="4" t="inlineStr">
        <is>
          <t>EBITDA</t>
        </is>
      </c>
      <c r="B5" s="13">
        <f>'Income Statement'!B5</f>
        <v/>
      </c>
      <c r="C5" s="13">
        <f>'Income Statement'!C5</f>
        <v/>
      </c>
      <c r="D5" s="13">
        <f>'Income Statement'!D5</f>
        <v/>
      </c>
      <c r="E5" s="13">
        <f>'Income Statement'!E5</f>
        <v/>
      </c>
      <c r="F5" s="13">
        <f>'Income Statement'!F5</f>
        <v/>
      </c>
      <c r="G5" s="13">
        <f>'Income Statement'!G5</f>
        <v/>
      </c>
      <c r="H5" s="13">
        <f>'Income Statement'!H5</f>
        <v/>
      </c>
      <c r="I5" s="13">
        <f>'Income Statement'!I5</f>
        <v/>
      </c>
    </row>
    <row r="6">
      <c r="A6" s="4" t="inlineStr">
        <is>
          <t>EBIT</t>
        </is>
      </c>
      <c r="B6" s="13">
        <f>'Income Statement'!B7</f>
        <v/>
      </c>
      <c r="C6" s="13">
        <f>'Income Statement'!C7</f>
        <v/>
      </c>
      <c r="D6" s="13">
        <f>'Income Statement'!D7</f>
        <v/>
      </c>
      <c r="E6" s="13">
        <f>'Income Statement'!E7</f>
        <v/>
      </c>
      <c r="F6" s="13">
        <f>'Income Statement'!F7</f>
        <v/>
      </c>
      <c r="G6" s="13">
        <f>'Income Statement'!G7</f>
        <v/>
      </c>
      <c r="H6" s="13">
        <f>'Income Statement'!H7</f>
        <v/>
      </c>
      <c r="I6" s="13">
        <f>'Income Statement'!I7</f>
        <v/>
      </c>
    </row>
    <row r="7">
      <c r="A7" s="4" t="inlineStr">
        <is>
          <t>Profit before tax</t>
        </is>
      </c>
      <c r="B7" s="13">
        <f>'Income Statement'!B10</f>
        <v/>
      </c>
      <c r="C7" s="13">
        <f>'Income Statement'!C10</f>
        <v/>
      </c>
      <c r="D7" s="13">
        <f>'Income Statement'!D10</f>
        <v/>
      </c>
      <c r="E7" s="13">
        <f>'Income Statement'!E10</f>
        <v/>
      </c>
      <c r="F7" s="13">
        <f>'Income Statement'!F10</f>
        <v/>
      </c>
      <c r="G7" s="13">
        <f>'Income Statement'!G10</f>
        <v/>
      </c>
      <c r="H7" s="13">
        <f>'Income Statement'!H10</f>
        <v/>
      </c>
      <c r="I7" s="13">
        <f>'Income Statement'!I10</f>
        <v/>
      </c>
    </row>
    <row r="8">
      <c r="A8" s="4" t="inlineStr">
        <is>
          <t>Attributable net income</t>
        </is>
      </c>
      <c r="B8" s="13">
        <f>'Income Statement'!B14</f>
        <v/>
      </c>
      <c r="C8" s="13">
        <f>'Income Statement'!C14</f>
        <v/>
      </c>
      <c r="D8" s="13">
        <f>'Income Statement'!D14</f>
        <v/>
      </c>
      <c r="E8" s="13">
        <f>'Income Statement'!E14</f>
        <v/>
      </c>
      <c r="F8" s="13">
        <f>'Income Statement'!F14</f>
        <v/>
      </c>
      <c r="G8" s="13">
        <f>'Income Statement'!G14</f>
        <v/>
      </c>
      <c r="H8" s="13">
        <f>'Income Statement'!H14</f>
        <v/>
      </c>
      <c r="I8" s="13">
        <f>'Income Statement'!I14</f>
        <v/>
      </c>
    </row>
    <row r="9">
      <c r="A9" s="4" t="inlineStr">
        <is>
          <t>EPS (AED)</t>
        </is>
      </c>
      <c r="B9" s="20">
        <f>'Income Statement'!B15</f>
        <v/>
      </c>
      <c r="C9" s="20">
        <f>'Income Statement'!C15</f>
        <v/>
      </c>
      <c r="D9" s="20">
        <f>'Income Statement'!D15</f>
        <v/>
      </c>
      <c r="E9" s="20">
        <f>'Income Statement'!E15</f>
        <v/>
      </c>
      <c r="F9" s="20">
        <f>'Income Statement'!F15</f>
        <v/>
      </c>
      <c r="G9" s="20">
        <f>'Income Statement'!G15</f>
        <v/>
      </c>
      <c r="H9" s="20">
        <f>'Income Statement'!H15</f>
        <v/>
      </c>
      <c r="I9" s="20">
        <f>'Income Statement'!I15</f>
        <v/>
      </c>
    </row>
    <row r="10">
      <c r="A10" s="4" t="inlineStr">
        <is>
          <t>Total assets</t>
        </is>
      </c>
      <c r="B10" s="13">
        <f>'Balance Sheet'!B9</f>
        <v/>
      </c>
      <c r="C10" s="13">
        <f>'Balance Sheet'!C9</f>
        <v/>
      </c>
      <c r="D10" s="13">
        <f>'Balance Sheet'!D9</f>
        <v/>
      </c>
      <c r="E10" s="13">
        <f>'Balance Sheet'!E9</f>
        <v/>
      </c>
      <c r="F10" s="13">
        <f>'Balance Sheet'!F9</f>
        <v/>
      </c>
      <c r="G10" s="13">
        <f>'Balance Sheet'!G9</f>
        <v/>
      </c>
      <c r="H10" s="13">
        <f>'Balance Sheet'!H9</f>
        <v/>
      </c>
      <c r="I10" s="13">
        <f>'Balance Sheet'!I9</f>
        <v/>
      </c>
    </row>
    <row r="11">
      <c r="A11" s="4" t="inlineStr">
        <is>
          <t>Total equity</t>
        </is>
      </c>
      <c r="B11" s="13">
        <f>'Balance Sheet'!B17</f>
        <v/>
      </c>
      <c r="C11" s="13">
        <f>'Balance Sheet'!C17</f>
        <v/>
      </c>
      <c r="D11" s="13">
        <f>'Balance Sheet'!D17</f>
        <v/>
      </c>
      <c r="E11" s="13">
        <f>'Balance Sheet'!E17</f>
        <v/>
      </c>
      <c r="F11" s="13">
        <f>'Balance Sheet'!F17</f>
        <v/>
      </c>
      <c r="G11" s="13">
        <f>'Balance Sheet'!G17</f>
        <v/>
      </c>
      <c r="H11" s="13">
        <f>'Balance Sheet'!H17</f>
        <v/>
      </c>
      <c r="I11" s="13">
        <f>'Balance Sheet'!I17</f>
        <v/>
      </c>
    </row>
    <row r="12">
      <c r="A12" s="4" t="inlineStr">
        <is>
          <t>Attributable equity</t>
        </is>
      </c>
      <c r="B12" s="13">
        <f>'Balance Sheet'!B15</f>
        <v/>
      </c>
      <c r="C12" s="13">
        <f>'Balance Sheet'!C15</f>
        <v/>
      </c>
      <c r="D12" s="13">
        <f>'Balance Sheet'!D15</f>
        <v/>
      </c>
      <c r="E12" s="13">
        <f>'Balance Sheet'!E15</f>
        <v/>
      </c>
      <c r="F12" s="13">
        <f>'Balance Sheet'!F15</f>
        <v/>
      </c>
      <c r="G12" s="13">
        <f>'Balance Sheet'!G15</f>
        <v/>
      </c>
      <c r="H12" s="13">
        <f>'Balance Sheet'!H15</f>
        <v/>
      </c>
      <c r="I12" s="13">
        <f>'Balance Sheet'!I15</f>
        <v/>
      </c>
    </row>
    <row r="13">
      <c r="A13" s="4" t="inlineStr">
        <is>
          <t>Total borrowings</t>
        </is>
      </c>
      <c r="B13" s="13">
        <f>'Balance Sheet'!B11</f>
        <v/>
      </c>
      <c r="C13" s="13">
        <f>'Balance Sheet'!C11</f>
        <v/>
      </c>
      <c r="D13" s="13">
        <f>'Balance Sheet'!D11</f>
        <v/>
      </c>
      <c r="E13" s="13">
        <f>'Balance Sheet'!E11</f>
        <v/>
      </c>
      <c r="F13" s="13">
        <f>'Balance Sheet'!F11</f>
        <v/>
      </c>
      <c r="G13" s="13">
        <f>'Balance Sheet'!G11</f>
        <v/>
      </c>
      <c r="H13" s="13">
        <f>'Balance Sheet'!H11</f>
        <v/>
      </c>
      <c r="I13" s="13">
        <f>'Balance Sheet'!I11</f>
        <v/>
      </c>
    </row>
    <row r="14">
      <c r="A14" s="4" t="inlineStr">
        <is>
          <t>Cash &amp; bank</t>
        </is>
      </c>
      <c r="B14" s="13">
        <f>'Balance Sheet'!B5</f>
        <v/>
      </c>
      <c r="C14" s="13">
        <f>'Balance Sheet'!C5</f>
        <v/>
      </c>
      <c r="D14" s="13">
        <f>'Balance Sheet'!D5</f>
        <v/>
      </c>
      <c r="E14" s="13">
        <f>'Balance Sheet'!E5</f>
        <v/>
      </c>
      <c r="F14" s="13">
        <f>'Balance Sheet'!F5</f>
        <v/>
      </c>
      <c r="G14" s="13">
        <f>'Balance Sheet'!G5</f>
        <v/>
      </c>
      <c r="H14" s="13">
        <f>'Balance Sheet'!H5</f>
        <v/>
      </c>
      <c r="I14" s="13">
        <f>'Balance Sheet'!I5</f>
        <v/>
      </c>
    </row>
    <row r="15">
      <c r="A15" s="4" t="inlineStr">
        <is>
          <t>Free cash flow</t>
        </is>
      </c>
      <c r="B15" s="13">
        <f>'Cash Flow'!B9</f>
        <v/>
      </c>
      <c r="C15" s="13">
        <f>'Cash Flow'!C9</f>
        <v/>
      </c>
      <c r="D15" s="13">
        <f>'Cash Flow'!D9</f>
        <v/>
      </c>
      <c r="E15" s="13">
        <f>'Cash Flow'!E9</f>
        <v/>
      </c>
      <c r="F15" s="13">
        <f>'Cash Flow'!F9</f>
        <v/>
      </c>
      <c r="G15" s="13">
        <f>'Cash Flow'!G9</f>
        <v/>
      </c>
      <c r="H15" s="13">
        <f>'Cash Flow'!H9</f>
        <v/>
      </c>
      <c r="I15" s="13">
        <f>'Cash Flow'!I9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Monte Carlo — YZ-HAR width · Student-t(5) · zero drift (international) · 16 factors (7C+9D) · 50k paths · seed 42</t>
        </is>
      </c>
    </row>
    <row r="2">
      <c r="A2" s="2" t="inlineStr">
        <is>
          <t>Paths diffuse from spot as near-term price; the §1 value gap is kept out of the drift (lens independence).</t>
        </is>
      </c>
    </row>
    <row r="4">
      <c r="A4" s="4" t="inlineStr">
        <is>
          <t>Spot (AED)</t>
        </is>
      </c>
      <c r="B4" s="16" t="n">
        <v>382.3</v>
      </c>
    </row>
    <row r="5">
      <c r="A5" s="4" t="inlineStr">
        <is>
          <t>YZ-HAR σ (annualized)</t>
        </is>
      </c>
      <c r="B5" s="24" t="n">
        <v>0.061</v>
      </c>
    </row>
    <row r="6">
      <c r="A6" s="4" t="inlineStr">
        <is>
          <t>Net 3-month factor drift</t>
        </is>
      </c>
      <c r="B6" s="24" t="n">
        <v>0.025</v>
      </c>
    </row>
    <row r="7">
      <c r="A7" s="4" t="inlineStr">
        <is>
          <t>Realized path vol (with event overlay)</t>
        </is>
      </c>
      <c r="B7" s="24" t="n">
        <v>0.2407</v>
      </c>
    </row>
    <row r="9">
      <c r="A9" s="12" t="inlineStr">
        <is>
          <t>Percentile</t>
        </is>
      </c>
      <c r="B9" s="12" t="inlineStr">
        <is>
          <t>T+20 (AED)</t>
        </is>
      </c>
      <c r="C9" s="12" t="inlineStr">
        <is>
          <t>T+60 (AED)</t>
        </is>
      </c>
    </row>
    <row r="10">
      <c r="A10" s="3" t="inlineStr">
        <is>
          <t>5th</t>
        </is>
      </c>
      <c r="B10" s="16" t="n">
        <v>340.57</v>
      </c>
      <c r="C10" s="16" t="n">
        <v>322.62</v>
      </c>
    </row>
    <row r="11">
      <c r="A11" s="3" t="inlineStr">
        <is>
          <t>25th</t>
        </is>
      </c>
      <c r="B11" s="16" t="n">
        <v>376.01</v>
      </c>
      <c r="C11" s="16" t="n">
        <v>364.78</v>
      </c>
    </row>
    <row r="12">
      <c r="A12" s="3" t="inlineStr">
        <is>
          <t>50th</t>
        </is>
      </c>
      <c r="B12" s="16" t="n">
        <v>384.38</v>
      </c>
      <c r="C12" s="16" t="n">
        <v>391.29</v>
      </c>
    </row>
    <row r="13">
      <c r="A13" s="3" t="inlineStr">
        <is>
          <t>75th</t>
        </is>
      </c>
      <c r="B13" s="16" t="n">
        <v>397.08</v>
      </c>
      <c r="C13" s="16" t="n">
        <v>418.19</v>
      </c>
    </row>
    <row r="14">
      <c r="A14" s="3" t="inlineStr">
        <is>
          <t>95th</t>
        </is>
      </c>
      <c r="B14" s="16" t="n">
        <v>427.86</v>
      </c>
      <c r="C14" s="16" t="n">
        <v>462.27</v>
      </c>
    </row>
    <row r="16">
      <c r="A16" s="4" t="inlineStr">
        <is>
          <t>Touch-probability ladder</t>
        </is>
      </c>
    </row>
    <row r="17">
      <c r="A17" s="12" t="inlineStr">
        <is>
          <t>Level (AED)</t>
        </is>
      </c>
      <c r="B17" s="12" t="inlineStr">
        <is>
          <t>× spot</t>
        </is>
      </c>
      <c r="C17" s="12" t="inlineStr">
        <is>
          <t>P(touch) T+20</t>
        </is>
      </c>
      <c r="D17" s="12" t="inlineStr">
        <is>
          <t>P(touch) T+60</t>
        </is>
      </c>
    </row>
    <row r="18">
      <c r="A18" s="16" t="n">
        <v>393.77</v>
      </c>
      <c r="B18" s="3" t="inlineStr">
        <is>
          <t>1.03x</t>
        </is>
      </c>
      <c r="C18" s="14" t="n">
        <v>0.354</v>
      </c>
      <c r="D18" s="14" t="n">
        <v>0.67</v>
      </c>
    </row>
    <row r="19">
      <c r="A19" s="16" t="n">
        <v>405.24</v>
      </c>
      <c r="B19" s="3" t="inlineStr">
        <is>
          <t>1.06x</t>
        </is>
      </c>
      <c r="C19" s="14" t="n">
        <v>0.211</v>
      </c>
      <c r="D19" s="14" t="n">
        <v>0.51</v>
      </c>
    </row>
    <row r="20">
      <c r="A20" s="16" t="n">
        <v>420.53</v>
      </c>
      <c r="B20" s="3" t="inlineStr">
        <is>
          <t>1.10x</t>
        </is>
      </c>
      <c r="C20" s="14" t="n">
        <v>0.096</v>
      </c>
      <c r="D20" s="14" t="n">
        <v>0.326</v>
      </c>
    </row>
    <row r="21">
      <c r="A21" s="16" t="n">
        <v>439.64</v>
      </c>
      <c r="B21" s="3" t="inlineStr">
        <is>
          <t>1.15x</t>
        </is>
      </c>
      <c r="C21" s="14" t="n">
        <v>0.029</v>
      </c>
      <c r="D21" s="14" t="n">
        <v>0.168</v>
      </c>
    </row>
    <row r="22">
      <c r="A22" s="16" t="n">
        <v>458.76</v>
      </c>
      <c r="B22" s="3" t="inlineStr">
        <is>
          <t>1.20x</t>
        </is>
      </c>
      <c r="C22" s="14" t="n">
        <v>0.008999999999999999</v>
      </c>
      <c r="D22" s="14" t="n">
        <v>0.079</v>
      </c>
    </row>
    <row r="23">
      <c r="A23" s="16" t="n">
        <v>370.83</v>
      </c>
      <c r="B23" s="3" t="inlineStr">
        <is>
          <t>0.97x</t>
        </is>
      </c>
      <c r="C23" s="14" t="n">
        <v>0.233</v>
      </c>
      <c r="D23" s="14" t="n">
        <v>0.471</v>
      </c>
    </row>
    <row r="24">
      <c r="A24" s="16" t="n">
        <v>359.36</v>
      </c>
      <c r="B24" s="3" t="inlineStr">
        <is>
          <t>0.94x</t>
        </is>
      </c>
      <c r="C24" s="14" t="n">
        <v>0.144</v>
      </c>
      <c r="D24" s="14" t="n">
        <v>0.335</v>
      </c>
    </row>
    <row r="25">
      <c r="A25" s="16" t="n">
        <v>344.07</v>
      </c>
      <c r="B25" s="3" t="inlineStr">
        <is>
          <t>0.90x</t>
        </is>
      </c>
      <c r="C25" s="14" t="n">
        <v>0.076</v>
      </c>
      <c r="D25" s="14" t="n">
        <v>0.204</v>
      </c>
    </row>
    <row r="26">
      <c r="A26" s="16" t="n">
        <v>324.95</v>
      </c>
      <c r="B26" s="3" t="inlineStr">
        <is>
          <t>0.85x</t>
        </is>
      </c>
      <c r="C26" s="14" t="n">
        <v>0.025</v>
      </c>
      <c r="D26" s="14" t="n">
        <v>0.09</v>
      </c>
    </row>
    <row r="27">
      <c r="A27" s="16" t="n">
        <v>305.84</v>
      </c>
      <c r="B27" s="3" t="inlineStr">
        <is>
          <t>0.80x</t>
        </is>
      </c>
      <c r="C27" s="14" t="n">
        <v>0.006</v>
      </c>
      <c r="D27" s="14" t="n">
        <v>0.033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Sensitivity — primary lens (SOTP) and DCF cross-check</t>
        </is>
      </c>
    </row>
    <row r="2">
      <c r="A2" s="2" t="inlineStr">
        <is>
          <t>§1.9 grid. Crux swung in observable units: the applied NAV premium and the private-arm mark; and WACC × terminal g.</t>
        </is>
      </c>
    </row>
    <row r="4">
      <c r="A4" s="4" t="inlineStr">
        <is>
          <t>SOTP fair value / share (AED): NAV premium (rows) × private-arm mark AED m (cols)</t>
        </is>
      </c>
    </row>
    <row r="5">
      <c r="A5" s="12" t="inlineStr"/>
      <c r="B5" s="12" t="inlineStr">
        <is>
          <t>40k</t>
        </is>
      </c>
      <c r="C5" s="12" t="inlineStr">
        <is>
          <t>50k</t>
        </is>
      </c>
      <c r="D5" s="12" t="inlineStr">
        <is>
          <t>60k</t>
        </is>
      </c>
      <c r="E5" s="12" t="inlineStr">
        <is>
          <t>70k</t>
        </is>
      </c>
      <c r="F5" s="12" t="inlineStr">
        <is>
          <t>80k</t>
        </is>
      </c>
    </row>
    <row r="6">
      <c r="A6" s="4" t="inlineStr">
        <is>
          <t>-20%</t>
        </is>
      </c>
      <c r="B6" s="16" t="n">
        <v>88.3</v>
      </c>
      <c r="C6" s="16" t="n">
        <v>92</v>
      </c>
      <c r="D6" s="16" t="n">
        <v>95.7</v>
      </c>
      <c r="E6" s="16" t="n">
        <v>99.3</v>
      </c>
      <c r="F6" s="16" t="n">
        <v>103</v>
      </c>
    </row>
    <row r="7">
      <c r="A7" s="4" t="inlineStr">
        <is>
          <t>-10%</t>
        </is>
      </c>
      <c r="B7" s="16" t="n">
        <v>99.40000000000001</v>
      </c>
      <c r="C7" s="16" t="n">
        <v>103.5</v>
      </c>
      <c r="D7" s="16" t="n">
        <v>107.6</v>
      </c>
      <c r="E7" s="16" t="n">
        <v>111.8</v>
      </c>
      <c r="F7" s="16" t="n">
        <v>115.9</v>
      </c>
    </row>
    <row r="8">
      <c r="A8" s="4" t="inlineStr">
        <is>
          <t>+0%</t>
        </is>
      </c>
      <c r="B8" s="16" t="n">
        <v>110.4</v>
      </c>
      <c r="C8" s="16" t="n">
        <v>115</v>
      </c>
      <c r="D8" s="16" t="n">
        <v>119.6</v>
      </c>
      <c r="E8" s="16" t="n">
        <v>124.2</v>
      </c>
      <c r="F8" s="16" t="n">
        <v>128.8</v>
      </c>
    </row>
    <row r="9">
      <c r="A9" s="4" t="inlineStr">
        <is>
          <t>+10%</t>
        </is>
      </c>
      <c r="B9" s="16" t="n">
        <v>121.5</v>
      </c>
      <c r="C9" s="16" t="n">
        <v>126.5</v>
      </c>
      <c r="D9" s="16" t="n">
        <v>131.5</v>
      </c>
      <c r="E9" s="16" t="n">
        <v>136.6</v>
      </c>
      <c r="F9" s="16" t="n">
        <v>141.6</v>
      </c>
    </row>
    <row r="10">
      <c r="A10" s="4" t="inlineStr">
        <is>
          <t>+20%</t>
        </is>
      </c>
      <c r="B10" s="16" t="n">
        <v>132.5</v>
      </c>
      <c r="C10" s="16" t="n">
        <v>138</v>
      </c>
      <c r="D10" s="16" t="n">
        <v>143.5</v>
      </c>
      <c r="E10" s="16" t="n">
        <v>149</v>
      </c>
      <c r="F10" s="16" t="n">
        <v>154.5</v>
      </c>
    </row>
    <row r="12">
      <c r="A12" s="4" t="inlineStr">
        <is>
          <t>DCF fair value / share (AED): WACC (rows) × terminal g (cols)</t>
        </is>
      </c>
    </row>
    <row r="13">
      <c r="A13" s="12" t="inlineStr"/>
      <c r="B13" s="12" t="inlineStr">
        <is>
          <t>2.5%</t>
        </is>
      </c>
      <c r="C13" s="12" t="inlineStr">
        <is>
          <t>3.0%</t>
        </is>
      </c>
      <c r="D13" s="12" t="inlineStr">
        <is>
          <t>3.5%</t>
        </is>
      </c>
      <c r="E13" s="12" t="inlineStr">
        <is>
          <t>4.0%</t>
        </is>
      </c>
      <c r="F13" s="12" t="inlineStr">
        <is>
          <t>4.5%</t>
        </is>
      </c>
    </row>
    <row r="14">
      <c r="A14" s="4" t="inlineStr">
        <is>
          <t>8.3%</t>
        </is>
      </c>
      <c r="B14" s="16" t="n">
        <v>84.3</v>
      </c>
      <c r="C14" s="16" t="n">
        <v>91.40000000000001</v>
      </c>
      <c r="D14" s="16" t="n">
        <v>99.90000000000001</v>
      </c>
      <c r="E14" s="16" t="n">
        <v>110.5</v>
      </c>
      <c r="F14" s="16" t="n">
        <v>123.8</v>
      </c>
    </row>
    <row r="15">
      <c r="A15" s="4" t="inlineStr">
        <is>
          <t>8.8%</t>
        </is>
      </c>
      <c r="B15" s="16" t="n">
        <v>76.8</v>
      </c>
      <c r="C15" s="16" t="n">
        <v>82.7</v>
      </c>
      <c r="D15" s="16" t="n">
        <v>89.7</v>
      </c>
      <c r="E15" s="16" t="n">
        <v>98.09999999999999</v>
      </c>
      <c r="F15" s="16" t="n">
        <v>108.5</v>
      </c>
    </row>
    <row r="16">
      <c r="A16" s="4" t="inlineStr">
        <is>
          <t>9.3%</t>
        </is>
      </c>
      <c r="B16" s="16" t="n">
        <v>70.5</v>
      </c>
      <c r="C16" s="16" t="n">
        <v>75.40000000000001</v>
      </c>
      <c r="D16" s="16" t="n">
        <v>81.2</v>
      </c>
      <c r="E16" s="16" t="n">
        <v>88</v>
      </c>
      <c r="F16" s="16" t="n">
        <v>96.3</v>
      </c>
    </row>
    <row r="17">
      <c r="A17" s="4" t="inlineStr">
        <is>
          <t>9.8%</t>
        </is>
      </c>
      <c r="B17" s="16" t="n">
        <v>65.09999999999999</v>
      </c>
      <c r="C17" s="16" t="n">
        <v>69.2</v>
      </c>
      <c r="D17" s="16" t="n">
        <v>74</v>
      </c>
      <c r="E17" s="16" t="n">
        <v>79.7</v>
      </c>
      <c r="F17" s="16" t="n">
        <v>86.40000000000001</v>
      </c>
    </row>
    <row r="18">
      <c r="A18" s="4" t="inlineStr">
        <is>
          <t>10.3%</t>
        </is>
      </c>
      <c r="B18" s="16" t="n">
        <v>60.3</v>
      </c>
      <c r="C18" s="16" t="n">
        <v>63.9</v>
      </c>
      <c r="D18" s="16" t="n">
        <v>68</v>
      </c>
      <c r="E18" s="16" t="n">
        <v>72.7</v>
      </c>
      <c r="F18" s="16" t="n">
        <v>78.2</v>
      </c>
    </row>
    <row r="20">
      <c r="A20" s="3" t="inlineStr">
        <is>
          <t>Spot AED 382.30 sits far above every fundamental cell — the premium, not the point estimate, is the story.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Per-share &amp; ratios dashboard (Data Miner)</t>
        </is>
      </c>
    </row>
    <row r="2">
      <c r="A2" s="2" t="inlineStr">
        <is>
          <t>Fixed panel, identical across studies. Forward P/E and P/B use study-date spot; ratios link to the statements.</t>
        </is>
      </c>
    </row>
    <row r="3">
      <c r="A3" s="12" t="inlineStr">
        <is>
          <t>Metric</t>
        </is>
      </c>
      <c r="B3" s="12" t="inlineStr">
        <is>
          <t>FY23e</t>
        </is>
      </c>
      <c r="C3" s="12" t="inlineStr">
        <is>
          <t>FY24A</t>
        </is>
      </c>
      <c r="D3" s="12" t="inlineStr">
        <is>
          <t>FY25A</t>
        </is>
      </c>
      <c r="E3" s="12" t="inlineStr">
        <is>
          <t>FY26E</t>
        </is>
      </c>
      <c r="F3" s="12" t="inlineStr">
        <is>
          <t>FY27E</t>
        </is>
      </c>
      <c r="G3" s="12" t="inlineStr">
        <is>
          <t>FY28E</t>
        </is>
      </c>
      <c r="H3" s="12" t="inlineStr">
        <is>
          <t>FY29E</t>
        </is>
      </c>
      <c r="I3" s="12" t="inlineStr">
        <is>
          <t>FY30E</t>
        </is>
      </c>
    </row>
    <row r="4">
      <c r="A4" s="4" t="inlineStr">
        <is>
          <t>EPS (AED)</t>
        </is>
      </c>
      <c r="B4" s="20">
        <f>'Income Statement'!B15</f>
        <v/>
      </c>
      <c r="C4" s="20">
        <f>'Income Statement'!C15</f>
        <v/>
      </c>
      <c r="D4" s="20">
        <f>'Income Statement'!D15</f>
        <v/>
      </c>
      <c r="E4" s="20">
        <f>'Income Statement'!E15</f>
        <v/>
      </c>
      <c r="F4" s="20">
        <f>'Income Statement'!F15</f>
        <v/>
      </c>
      <c r="G4" s="20">
        <f>'Income Statement'!G15</f>
        <v/>
      </c>
      <c r="H4" s="20">
        <f>'Income Statement'!H15</f>
        <v/>
      </c>
      <c r="I4" s="20">
        <f>'Income Statement'!I15</f>
        <v/>
      </c>
    </row>
    <row r="5">
      <c r="A5" s="4" t="inlineStr">
        <is>
          <t>DPS (AED)</t>
        </is>
      </c>
      <c r="B5" s="16" t="n">
        <v>0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</row>
    <row r="6">
      <c r="A6" s="4" t="inlineStr">
        <is>
          <t>BVPS (AED)</t>
        </is>
      </c>
      <c r="B6" s="20">
        <f>'Balance Sheet'!B15/Assumptions!B5</f>
        <v/>
      </c>
      <c r="C6" s="20">
        <f>'Balance Sheet'!C15/Assumptions!B5</f>
        <v/>
      </c>
      <c r="D6" s="20">
        <f>'Balance Sheet'!D15/Assumptions!B5</f>
        <v/>
      </c>
      <c r="E6" s="20">
        <f>'Balance Sheet'!E15/Assumptions!B5</f>
        <v/>
      </c>
      <c r="F6" s="20">
        <f>'Balance Sheet'!F15/Assumptions!B5</f>
        <v/>
      </c>
      <c r="G6" s="20">
        <f>'Balance Sheet'!G15/Assumptions!B5</f>
        <v/>
      </c>
      <c r="H6" s="20">
        <f>'Balance Sheet'!H15/Assumptions!B5</f>
        <v/>
      </c>
      <c r="I6" s="20">
        <f>'Balance Sheet'!I15/Assumptions!B5</f>
        <v/>
      </c>
    </row>
    <row r="7">
      <c r="A7" s="4" t="inlineStr">
        <is>
          <t>P/E (spot ÷ EPS)</t>
        </is>
      </c>
      <c r="B7" s="25">
        <f>Assumptions!B4/'Income Statement'!B15</f>
        <v/>
      </c>
      <c r="C7" s="25">
        <f>Assumptions!B4/'Income Statement'!C15</f>
        <v/>
      </c>
      <c r="D7" s="25">
        <f>Assumptions!B4/'Income Statement'!D15</f>
        <v/>
      </c>
      <c r="E7" s="25">
        <f>Assumptions!B4/'Income Statement'!E15</f>
        <v/>
      </c>
      <c r="F7" s="25">
        <f>Assumptions!B4/'Income Statement'!F15</f>
        <v/>
      </c>
      <c r="G7" s="25">
        <f>Assumptions!B4/'Income Statement'!G15</f>
        <v/>
      </c>
      <c r="H7" s="25">
        <f>Assumptions!B4/'Income Statement'!H15</f>
        <v/>
      </c>
      <c r="I7" s="25">
        <f>Assumptions!B4/'Income Statement'!I15</f>
        <v/>
      </c>
    </row>
    <row r="8">
      <c r="A8" s="4" t="inlineStr">
        <is>
          <t>P/B (spot ÷ BVPS)</t>
        </is>
      </c>
      <c r="B8" s="25">
        <f>Assumptions!B4/('Balance Sheet'!B15/Assumptions!B5)</f>
        <v/>
      </c>
      <c r="C8" s="25">
        <f>Assumptions!B4/('Balance Sheet'!C15/Assumptions!B5)</f>
        <v/>
      </c>
      <c r="D8" s="25">
        <f>Assumptions!B4/('Balance Sheet'!D15/Assumptions!B5)</f>
        <v/>
      </c>
      <c r="E8" s="25">
        <f>Assumptions!B4/('Balance Sheet'!E15/Assumptions!B5)</f>
        <v/>
      </c>
      <c r="F8" s="25">
        <f>Assumptions!B4/('Balance Sheet'!F15/Assumptions!B5)</f>
        <v/>
      </c>
      <c r="G8" s="25">
        <f>Assumptions!B4/('Balance Sheet'!G15/Assumptions!B5)</f>
        <v/>
      </c>
      <c r="H8" s="25">
        <f>Assumptions!B4/('Balance Sheet'!H15/Assumptions!B5)</f>
        <v/>
      </c>
      <c r="I8" s="25">
        <f>Assumptions!B4/('Balance Sheet'!I15/Assumptions!B5)</f>
        <v/>
      </c>
    </row>
    <row r="9">
      <c r="A9" s="4" t="inlineStr">
        <is>
          <t>EV/EBITDA</t>
        </is>
      </c>
      <c r="B9" s="25">
        <f>((Assumptions!B4*Assumptions!B5)+Assumptions!B8)/'Income Statement'!B5</f>
        <v/>
      </c>
      <c r="C9" s="25">
        <f>((Assumptions!B4*Assumptions!B5)+Assumptions!B8)/'Income Statement'!C5</f>
        <v/>
      </c>
      <c r="D9" s="25">
        <f>((Assumptions!B4*Assumptions!B5)+Assumptions!B8)/'Income Statement'!D5</f>
        <v/>
      </c>
      <c r="E9" s="25">
        <f>((Assumptions!B4*Assumptions!B5)+Assumptions!B8)/'Income Statement'!E5</f>
        <v/>
      </c>
      <c r="F9" s="25">
        <f>((Assumptions!B4*Assumptions!B5)+Assumptions!B8)/'Income Statement'!F5</f>
        <v/>
      </c>
      <c r="G9" s="25">
        <f>((Assumptions!B4*Assumptions!B5)+Assumptions!B8)/'Income Statement'!G5</f>
        <v/>
      </c>
      <c r="H9" s="25">
        <f>((Assumptions!B4*Assumptions!B5)+Assumptions!B8)/'Income Statement'!H5</f>
        <v/>
      </c>
      <c r="I9" s="25">
        <f>((Assumptions!B4*Assumptions!B5)+Assumptions!B8)/'Income Statement'!I5</f>
        <v/>
      </c>
    </row>
    <row r="10">
      <c r="A10" s="4" t="inlineStr">
        <is>
          <t>FCF yield</t>
        </is>
      </c>
      <c r="B10" s="21">
        <f>'Cash Flow'!B9/(Assumptions!B4*Assumptions!B5)</f>
        <v/>
      </c>
      <c r="C10" s="21">
        <f>'Cash Flow'!C9/(Assumptions!B4*Assumptions!B5)</f>
        <v/>
      </c>
      <c r="D10" s="21">
        <f>'Cash Flow'!D9/(Assumptions!B4*Assumptions!B5)</f>
        <v/>
      </c>
      <c r="E10" s="21">
        <f>'Cash Flow'!E9/(Assumptions!B4*Assumptions!B5)</f>
        <v/>
      </c>
      <c r="F10" s="21">
        <f>'Cash Flow'!F9/(Assumptions!B4*Assumptions!B5)</f>
        <v/>
      </c>
      <c r="G10" s="21">
        <f>'Cash Flow'!G9/(Assumptions!B4*Assumptions!B5)</f>
        <v/>
      </c>
      <c r="H10" s="21">
        <f>'Cash Flow'!H9/(Assumptions!B4*Assumptions!B5)</f>
        <v/>
      </c>
      <c r="I10" s="21">
        <f>'Cash Flow'!I9/(Assumptions!B4*Assumptions!B5)</f>
        <v/>
      </c>
    </row>
    <row r="11">
      <c r="A11" s="4" t="inlineStr">
        <is>
          <t>Dividend yield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</row>
    <row r="12">
      <c r="A12" s="4" t="inlineStr">
        <is>
          <t>EBITDA margin</t>
        </is>
      </c>
      <c r="B12" s="21">
        <f>'Income Statement'!B5/'Income Statement'!B4</f>
        <v/>
      </c>
      <c r="C12" s="21">
        <f>'Income Statement'!C5/'Income Statement'!C4</f>
        <v/>
      </c>
      <c r="D12" s="21">
        <f>'Income Statement'!D5/'Income Statement'!D4</f>
        <v/>
      </c>
      <c r="E12" s="21">
        <f>'Income Statement'!E5/'Income Statement'!E4</f>
        <v/>
      </c>
      <c r="F12" s="21">
        <f>'Income Statement'!F5/'Income Statement'!F4</f>
        <v/>
      </c>
      <c r="G12" s="21">
        <f>'Income Statement'!G5/'Income Statement'!G4</f>
        <v/>
      </c>
      <c r="H12" s="21">
        <f>'Income Statement'!H5/'Income Statement'!H4</f>
        <v/>
      </c>
      <c r="I12" s="21">
        <f>'Income Statement'!I5/'Income Statement'!I4</f>
        <v/>
      </c>
    </row>
    <row r="13">
      <c r="A13" s="4" t="inlineStr">
        <is>
          <t>Net margin (attrib.)</t>
        </is>
      </c>
      <c r="B13" s="21">
        <f>'Income Statement'!B14/'Income Statement'!B4</f>
        <v/>
      </c>
      <c r="C13" s="21">
        <f>'Income Statement'!C14/'Income Statement'!C4</f>
        <v/>
      </c>
      <c r="D13" s="21">
        <f>'Income Statement'!D14/'Income Statement'!D4</f>
        <v/>
      </c>
      <c r="E13" s="21">
        <f>'Income Statement'!E14/'Income Statement'!E4</f>
        <v/>
      </c>
      <c r="F13" s="21">
        <f>'Income Statement'!F14/'Income Statement'!F4</f>
        <v/>
      </c>
      <c r="G13" s="21">
        <f>'Income Statement'!G14/'Income Statement'!G4</f>
        <v/>
      </c>
      <c r="H13" s="21">
        <f>'Income Statement'!H14/'Income Statement'!H4</f>
        <v/>
      </c>
      <c r="I13" s="21">
        <f>'Income Statement'!I14/'Income Statement'!I4</f>
        <v/>
      </c>
    </row>
    <row r="14">
      <c r="A14" s="4" t="inlineStr">
        <is>
          <t>Effective tax rate</t>
        </is>
      </c>
      <c r="B14" s="21">
        <f>-'Income Statement'!B11/'Income Statement'!B10</f>
        <v/>
      </c>
      <c r="C14" s="21">
        <f>-'Income Statement'!C11/'Income Statement'!C10</f>
        <v/>
      </c>
      <c r="D14" s="21">
        <f>-'Income Statement'!D11/'Income Statement'!D10</f>
        <v/>
      </c>
      <c r="E14" s="21">
        <f>-'Income Statement'!E11/'Income Statement'!E10</f>
        <v/>
      </c>
      <c r="F14" s="21">
        <f>-'Income Statement'!F11/'Income Statement'!F10</f>
        <v/>
      </c>
      <c r="G14" s="21">
        <f>-'Income Statement'!G11/'Income Statement'!G10</f>
        <v/>
      </c>
      <c r="H14" s="21">
        <f>-'Income Statement'!H11/'Income Statement'!H10</f>
        <v/>
      </c>
      <c r="I14" s="21">
        <f>-'Income Statement'!I11/'Income Statement'!I10</f>
        <v/>
      </c>
    </row>
    <row r="15">
      <c r="A15" s="4" t="inlineStr">
        <is>
          <t>Net debt / EBITDA</t>
        </is>
      </c>
      <c r="B15" s="25">
        <f>Assumptions!B8/'Income Statement'!B5</f>
        <v/>
      </c>
      <c r="C15" s="25">
        <f>Assumptions!B8/'Income Statement'!C5</f>
        <v/>
      </c>
      <c r="D15" s="25">
        <f>Assumptions!B8/'Income Statement'!D5</f>
        <v/>
      </c>
      <c r="E15" s="25">
        <f>Assumptions!B8/'Income Statement'!E5</f>
        <v/>
      </c>
      <c r="F15" s="25">
        <f>Assumptions!B8/'Income Statement'!F5</f>
        <v/>
      </c>
      <c r="G15" s="25">
        <f>Assumptions!B8/'Income Statement'!G5</f>
        <v/>
      </c>
      <c r="H15" s="25">
        <f>Assumptions!B8/'Income Statement'!H5</f>
        <v/>
      </c>
      <c r="I15" s="25">
        <f>Assumptions!B8/'Income Statement'!I5</f>
        <v/>
      </c>
    </row>
    <row r="16">
      <c r="A16" s="4" t="inlineStr">
        <is>
          <t>ROAE (attrib.)</t>
        </is>
      </c>
      <c r="B16" s="3" t="inlineStr">
        <is>
          <t>n/a</t>
        </is>
      </c>
      <c r="C16" s="21">
        <f>'Income Statement'!C14/AVERAGE('Balance Sheet'!B15,'Balance Sheet'!C15)</f>
        <v/>
      </c>
      <c r="D16" s="21">
        <f>'Income Statement'!D14/AVERAGE('Balance Sheet'!C15,'Balance Sheet'!D15)</f>
        <v/>
      </c>
      <c r="E16" s="21">
        <f>'Income Statement'!E14/AVERAGE('Balance Sheet'!D15,'Balance Sheet'!E15)</f>
        <v/>
      </c>
      <c r="F16" s="21">
        <f>'Income Statement'!F14/AVERAGE('Balance Sheet'!E15,'Balance Sheet'!F15)</f>
        <v/>
      </c>
      <c r="G16" s="21">
        <f>'Income Statement'!G14/AVERAGE('Balance Sheet'!F15,'Balance Sheet'!G15)</f>
        <v/>
      </c>
      <c r="H16" s="21">
        <f>'Income Statement'!H14/AVERAGE('Balance Sheet'!G15,'Balance Sheet'!H15)</f>
        <v/>
      </c>
      <c r="I16" s="21">
        <f>'Income Statement'!I14/AVERAGE('Balance Sheet'!H15,'Balance Sheet'!I15)</f>
        <v/>
      </c>
    </row>
    <row r="17">
      <c r="A17" s="4" t="inlineStr">
        <is>
          <t>ROAA (group)</t>
        </is>
      </c>
      <c r="B17" s="3" t="inlineStr">
        <is>
          <t>n/a</t>
        </is>
      </c>
      <c r="C17" s="21">
        <f>'Income Statement'!C12/AVERAGE('Balance Sheet'!B9,'Balance Sheet'!C9)</f>
        <v/>
      </c>
      <c r="D17" s="21">
        <f>'Income Statement'!D12/AVERAGE('Balance Sheet'!C9,'Balance Sheet'!D9)</f>
        <v/>
      </c>
      <c r="E17" s="21">
        <f>'Income Statement'!E12/AVERAGE('Balance Sheet'!D9,'Balance Sheet'!E9)</f>
        <v/>
      </c>
      <c r="F17" s="21">
        <f>'Income Statement'!F12/AVERAGE('Balance Sheet'!E9,'Balance Sheet'!F9)</f>
        <v/>
      </c>
      <c r="G17" s="21">
        <f>'Income Statement'!G12/AVERAGE('Balance Sheet'!F9,'Balance Sheet'!G9)</f>
        <v/>
      </c>
      <c r="H17" s="21">
        <f>'Income Statement'!H12/AVERAGE('Balance Sheet'!G9,'Balance Sheet'!H9)</f>
        <v/>
      </c>
      <c r="I17" s="21">
        <f>'Income Statement'!I12/AVERAGE('Balance Sheet'!H9,'Balance Sheet'!I9)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20" customWidth="1" min="5" max="5"/>
  </cols>
  <sheetData>
    <row r="1">
      <c r="A1" s="1" t="inlineStr">
        <is>
          <t>Appendix C — peer set, sector structure &amp; risks</t>
        </is>
      </c>
    </row>
    <row r="2">
      <c r="A2" s="2" t="inlineStr">
        <is>
          <t>Illustrative peer multiples (flagged). Conglomerate holdcos typically trade at 8–14× P/E and a discount to book; IHC is a large outlier.</t>
        </is>
      </c>
    </row>
    <row r="3">
      <c r="A3" s="12" t="inlineStr">
        <is>
          <t>Peer / comparator</t>
        </is>
      </c>
      <c r="B3" s="12" t="inlineStr">
        <is>
          <t>P/E (x)</t>
        </is>
      </c>
      <c r="C3" s="12" t="inlineStr">
        <is>
          <t>P/B (x)</t>
        </is>
      </c>
      <c r="D3" s="12" t="inlineStr">
        <is>
          <t>NAV disc/(prem)</t>
        </is>
      </c>
      <c r="E3" s="12" t="inlineStr">
        <is>
          <t>Note</t>
        </is>
      </c>
    </row>
    <row r="4">
      <c r="A4" s="3" t="inlineStr">
        <is>
          <t>Alpha Dhabi Holding (ADX, IHC 60%)</t>
        </is>
      </c>
      <c r="B4" s="19" t="n">
        <v>15</v>
      </c>
      <c r="C4" s="19" t="n">
        <v>1.5</v>
      </c>
      <c r="D4" s="3" t="inlineStr">
        <is>
          <t>~0%</t>
        </is>
      </c>
      <c r="E4" s="3" t="inlineStr">
        <is>
          <t>listed sub; own tree</t>
        </is>
      </c>
    </row>
    <row r="5">
      <c r="A5" s="3" t="inlineStr">
        <is>
          <t>Regional GCC investment holdco (avg)</t>
        </is>
      </c>
      <c r="B5" s="19" t="n">
        <v>12</v>
      </c>
      <c r="C5" s="19" t="n">
        <v>1.3</v>
      </c>
      <c r="D5" s="3" t="inlineStr">
        <is>
          <t>10–25% disc</t>
        </is>
      </c>
      <c r="E5" s="3" t="inlineStr">
        <is>
          <t>illustrative</t>
        </is>
      </c>
    </row>
    <row r="6">
      <c r="A6" s="3" t="inlineStr">
        <is>
          <t>Global diversified conglomerate (avg)</t>
        </is>
      </c>
      <c r="B6" s="19" t="n">
        <v>13</v>
      </c>
      <c r="C6" s="19" t="n">
        <v>1.4</v>
      </c>
      <c r="D6" s="3" t="inlineStr">
        <is>
          <t>10–30% disc</t>
        </is>
      </c>
      <c r="E6" s="3" t="inlineStr">
        <is>
          <t>illustrative</t>
        </is>
      </c>
    </row>
    <row r="7">
      <c r="A7" s="3" t="inlineStr">
        <is>
          <t>Global listed-holding / investor co (avg)</t>
        </is>
      </c>
      <c r="B7" s="19" t="n">
        <v>11</v>
      </c>
      <c r="C7" s="19" t="n">
        <v>1.1</v>
      </c>
      <c r="D7" s="3" t="inlineStr">
        <is>
          <t>15–35% disc</t>
        </is>
      </c>
      <c r="E7" s="3" t="inlineStr">
        <is>
          <t>illustrative</t>
        </is>
      </c>
    </row>
    <row r="8">
      <c r="A8" s="4" t="inlineStr">
        <is>
          <t>International Holding Company (IHC)</t>
        </is>
      </c>
      <c r="B8" s="19" t="n">
        <v>35</v>
      </c>
      <c r="C8" s="19" t="n">
        <v>5.5</v>
      </c>
      <c r="D8" s="3" t="inlineStr">
        <is>
          <t>large premium</t>
        </is>
      </c>
      <c r="E8" s="3" t="inlineStr">
        <is>
          <t>subject</t>
        </is>
      </c>
    </row>
    <row r="11">
      <c r="A11" s="4" t="inlineStr">
        <is>
          <t>Sector &amp; structure</t>
        </is>
      </c>
    </row>
    <row r="12">
      <c r="A12" s="3" t="inlineStr">
        <is>
          <t>IHC sits atop the Royal Group / Sheikh Tahnoon bin Zayed ecosystem; ~1,300 subsidiaries across 8 verticals</t>
        </is>
      </c>
    </row>
    <row r="13">
      <c r="A13" s="3" t="inlineStr">
        <is>
          <t>(real estate &amp; construction, marine &amp; dredging, energy, hospitality, food &amp; agriculture, technology, financial services, services).</t>
        </is>
      </c>
    </row>
    <row r="14">
      <c r="A14" s="3" t="inlineStr">
        <is>
          <t>Free float is modest and turnover is low, so the daily tape is very sticky (observed beta −0.24 is a float artifact,</t>
        </is>
      </c>
    </row>
    <row r="15">
      <c r="A15" s="3" t="inlineStr">
        <is>
          <t>not a true low-risk signal). Reported profit is investment-led — associate income and fair-value gains routinely exceed</t>
        </is>
      </c>
    </row>
    <row r="16">
      <c r="A16" s="3" t="inlineStr">
        <is>
          <t>operating EBITDA — so the SOTP, not an operating DCF, is the primary lens.</t>
        </is>
      </c>
    </row>
    <row r="17">
      <c r="A17" s="3" t="inlineStr"/>
    </row>
    <row r="18">
      <c r="A18" s="4" t="inlineStr">
        <is>
          <t>Key risks</t>
        </is>
      </c>
    </row>
    <row r="19">
      <c r="A19" s="3" t="inlineStr">
        <is>
          <t>1. Concentration on the sponsor / key-man; related-party governance and disclosure.</t>
        </is>
      </c>
    </row>
    <row r="20">
      <c r="A20" s="3" t="inlineStr">
        <is>
          <t>2. Lumpy revaluation earnings — a large share of profit is non-cash fair-value gains that need not recur.</t>
        </is>
      </c>
    </row>
    <row r="21">
      <c r="A21" s="3" t="inlineStr">
        <is>
          <t>3. Valuation-premium compression — the market premium to NAV is the dominant price risk.</t>
        </is>
      </c>
    </row>
    <row r="22">
      <c r="A22" s="3" t="inlineStr">
        <is>
          <t>4. EM / frontier exposure (India Sammaan, Pakistan FWBL, African metals) and FX translation.</t>
        </is>
      </c>
    </row>
    <row r="23">
      <c r="A23" s="3" t="inlineStr">
        <is>
          <t>5. Thin float / low liquidity — wide effective bid-ask on size.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2026-07-04T16:44:30Z</dcterms:created>
  <dcterms:modified xmlns:dcterms="http://purl.org/dc/terms/" xmlns:xsi="http://www.w3.org/2001/XMLSchema-instance" xsi:type="dcterms:W3CDTF">2026-07-04T16:44:30Z</dcterms:modified>
</cp:coreProperties>
</file>