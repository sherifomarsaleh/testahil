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;(#,##0);&quot;-&quot;"/>
    <numFmt numFmtId="169" formatCode="0.00x"/>
    <numFmt numFmtId="170" formatCode="0.0000"/>
    <numFmt numFmtId="171" formatCode="0.000%"/>
  </numFmts>
  <fonts count="12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/>
    <font>
      <color rgb="000000FF"/>
    </font>
    <font>
      <b val="1"/>
      <color rgb="00000000"/>
    </font>
    <font>
      <color rgb="00008000"/>
    </font>
    <font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8" fontId="9" fillId="0" borderId="0" pivotButton="0" quotePrefix="0" xfId="0"/>
    <xf numFmtId="0" fontId="5" fillId="3" borderId="0" pivotButton="0" quotePrefix="0" xfId="0"/>
    <xf numFmtId="166" fontId="9" fillId="0" borderId="0" pivotButton="0" quotePrefix="0" xfId="0"/>
    <xf numFmtId="166" fontId="10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164" fontId="10" fillId="0" borderId="0" pivotButton="0" quotePrefix="0" xfId="0"/>
    <xf numFmtId="10" fontId="9" fillId="0" borderId="0" pivotButton="0" quotePrefix="0" xfId="0"/>
    <xf numFmtId="166" fontId="11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68" fontId="11" fillId="0" borderId="0" pivotButton="0" quotePrefix="0" xfId="0"/>
    <xf numFmtId="167" fontId="9" fillId="0" borderId="0" pivotButton="0" quotePrefix="0" xfId="0"/>
    <xf numFmtId="165" fontId="10" fillId="0" borderId="0" pivotButton="0" quotePrefix="0" xfId="0"/>
    <xf numFmtId="168" fontId="10" fillId="0" borderId="0" pivotButton="0" quotePrefix="0" xfId="0"/>
    <xf numFmtId="169" fontId="10" fillId="0" borderId="0" pivotButton="0" quotePrefix="0" xfId="0"/>
    <xf numFmtId="167" fontId="10" fillId="0" borderId="0" pivotButton="0" quotePrefix="0" xfId="0"/>
    <xf numFmtId="168" fontId="8" fillId="0" borderId="0" pivotButton="0" quotePrefix="0" xfId="0"/>
    <xf numFmtId="170" fontId="10" fillId="0" borderId="0" pivotButton="0" quotePrefix="0" xfId="0"/>
    <xf numFmtId="10" fontId="10" fillId="0" borderId="0" pivotButton="0" quotePrefix="0" xfId="0"/>
    <xf numFmtId="10" fontId="8" fillId="0" borderId="0" pivotButton="0" quotePrefix="0" xfId="0"/>
    <xf numFmtId="171" fontId="1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Value per share (EGP)</t>
        </is>
      </c>
      <c r="C12" s="6" t="inlineStr">
        <is>
          <t>Weight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s="7">
        <f>'Fundamental Valuation'!B5</f>
        <v/>
      </c>
      <c r="C13" s="11">
        <f>'Fundamental Valuation'!C5</f>
        <v/>
      </c>
      <c r="D13" s="12">
        <f>B13/$B$5-1</f>
        <v/>
      </c>
      <c r="E13" s="11">
        <f>DCF!B33</f>
        <v/>
      </c>
    </row>
    <row r="14">
      <c r="A14" t="inlineStr">
        <is>
          <t>Relative multiples</t>
        </is>
      </c>
      <c r="B14" s="7">
        <f>'Fundamental Valuation'!B6</f>
        <v/>
      </c>
      <c r="C14" s="11">
        <f>'Fundamental Valuation'!C6</f>
        <v/>
      </c>
      <c r="D14" s="12">
        <f>B14/$B$5-1</f>
        <v/>
      </c>
    </row>
    <row r="15">
      <c r="A15" t="inlineStr">
        <is>
          <t>Normalised earnings</t>
        </is>
      </c>
      <c r="B15" s="7">
        <f>'Fundamental Valuation'!B7</f>
        <v/>
      </c>
      <c r="C15" s="11">
        <f>'Fundamental Valuation'!C7</f>
        <v/>
      </c>
      <c r="D15" s="12">
        <f>B15/$B$5-1</f>
        <v/>
      </c>
    </row>
    <row r="16">
      <c r="A16" t="inlineStr">
        <is>
          <t>Asset / replacement cost</t>
        </is>
      </c>
      <c r="B16" s="7">
        <f>'Fundamental Valuation'!B8</f>
        <v/>
      </c>
      <c r="C16" s="11">
        <f>'Fundamental Valuation'!C8</f>
        <v/>
      </c>
      <c r="D16" s="12">
        <f>B16/$B$5-1</f>
        <v/>
      </c>
    </row>
    <row r="17">
      <c r="A17" t="inlineStr">
        <is>
          <t>Weighted central fair value (EGP)</t>
        </is>
      </c>
      <c r="B17" s="13">
        <f>'Fundamental Valuation'!D10</f>
        <v/>
      </c>
      <c r="D17" s="14">
        <f>B17/$B$5-1</f>
        <v/>
      </c>
    </row>
    <row r="18">
      <c r="A18" t="inlineStr">
        <is>
          <t>Range across the four lenses (EGP)</t>
        </is>
      </c>
      <c r="B18" s="15">
        <f>MIN(B13:B16)</f>
        <v/>
      </c>
      <c r="C18" s="15">
        <f>MAX(B13:B16)</f>
        <v/>
      </c>
    </row>
    <row r="19">
      <c r="A19" t="inlineStr">
        <is>
          <t>Vicat tender offer, July 2025 (EGP) — reference, not a value</t>
        </is>
      </c>
      <c r="B19" s="7">
        <f>Assumptions!$B$63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1">
        <f>Assumptions!$B$24</f>
        <v/>
      </c>
    </row>
    <row r="26">
      <c r="A26" t="inlineStr">
        <is>
          <t>Terminal return on invested capital (replacement basis)</t>
        </is>
      </c>
      <c r="B26" s="11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Value per share (EGP)</t>
        </is>
      </c>
      <c r="C4" s="6" t="inlineStr">
        <is>
          <t>Weight</t>
        </is>
      </c>
      <c r="D4" s="6" t="inlineStr">
        <is>
          <t>Weighted</t>
        </is>
      </c>
    </row>
    <row r="5">
      <c r="A5" t="inlineStr">
        <is>
          <t>DCF (cash flow)</t>
        </is>
      </c>
      <c r="B5" s="7">
        <f>DCF!B39</f>
        <v/>
      </c>
      <c r="C5" s="11">
        <f>Assumptions!$B$66</f>
        <v/>
      </c>
      <c r="D5" s="15">
        <f>B5*C5</f>
        <v/>
      </c>
    </row>
    <row r="6">
      <c r="A6" t="inlineStr">
        <is>
          <t>Relative multiples</t>
        </is>
      </c>
      <c r="B6" s="7">
        <f>'Relative &amp; Normalized'!B12</f>
        <v/>
      </c>
      <c r="C6" s="11">
        <f>Assumptions!$B$67</f>
        <v/>
      </c>
      <c r="D6" s="15">
        <f>B6*C6</f>
        <v/>
      </c>
    </row>
    <row r="7">
      <c r="A7" t="inlineStr">
        <is>
          <t>Normalised earnings</t>
        </is>
      </c>
      <c r="B7" s="7">
        <f>'Relative &amp; Normalized'!B22</f>
        <v/>
      </c>
      <c r="C7" s="11">
        <f>Assumptions!$B$68</f>
        <v/>
      </c>
      <c r="D7" s="15">
        <f>B7*C7</f>
        <v/>
      </c>
    </row>
    <row r="8">
      <c r="A8" t="inlineStr">
        <is>
          <t>Asset / replacement cost</t>
        </is>
      </c>
      <c r="B8" s="7">
        <f>'Relative &amp; Normalized'!B33</f>
        <v/>
      </c>
      <c r="C8" s="11">
        <f>Assumptions!$B$69</f>
        <v/>
      </c>
      <c r="D8" s="15">
        <f>B8*C8</f>
        <v/>
      </c>
    </row>
    <row r="10">
      <c r="A10" t="inlineStr">
        <is>
          <t>Weighted central fair value (EGP)</t>
        </is>
      </c>
      <c r="D10" s="13">
        <f>SUM(D5:D8)</f>
        <v/>
      </c>
    </row>
    <row r="11">
      <c r="A11" t="inlineStr">
        <is>
          <t>Lowest lens</t>
        </is>
      </c>
      <c r="B11" s="15">
        <f>MIN(B5:B8)</f>
        <v/>
      </c>
    </row>
    <row r="12">
      <c r="A12" t="inlineStr">
        <is>
          <t>Highest lens</t>
        </is>
      </c>
      <c r="B12" s="15">
        <f>MAX(B5:B8)</f>
        <v/>
      </c>
    </row>
    <row r="13">
      <c r="A13" t="inlineStr">
        <is>
          <t>Median lens</t>
        </is>
      </c>
      <c r="B13" s="15">
        <f>MEDIAN(B5:B8)</f>
        <v/>
      </c>
    </row>
    <row r="14">
      <c r="A14" t="inlineStr">
        <is>
          <t>Spot price (EGP)</t>
        </is>
      </c>
      <c r="B14" s="7">
        <f>Assumptions!$B$5</f>
        <v/>
      </c>
    </row>
    <row r="15">
      <c r="A15" t="inlineStr">
        <is>
          <t>Central versus spot</t>
        </is>
      </c>
      <c r="B15" s="14">
        <f>D10/B14-1</f>
        <v/>
      </c>
    </row>
    <row r="16">
      <c r="A16" t="inlineStr">
        <is>
          <t>Terminal value as % of enterprise value (DCF lens)</t>
        </is>
      </c>
      <c r="B16" s="11">
        <f>DCF!B33</f>
        <v/>
      </c>
    </row>
    <row r="18">
      <c r="A18" s="5" t="inlineStr">
        <is>
          <t>The four lenses disagree by design — the spread between the cash-flow lens and the replacement-cost</t>
        </is>
      </c>
    </row>
    <row r="19">
      <c r="A19" s="5" t="inlineStr">
        <is>
          <t>lens IS the question this company poses, and averaging it away would hide it.</t>
        </is>
      </c>
    </row>
  </sheetData>
  <mergeCells count="2">
    <mergeCell ref="A18:J18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Assumptions — the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Change one and the model reprices.</t>
        </is>
      </c>
    </row>
    <row r="4">
      <c r="A4" s="10" t="inlineStr">
        <is>
          <t>MARKET AND SHARE COUNT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8" t="inlineStr">
        <is>
          <t>Spot price</t>
        </is>
      </c>
      <c r="B5" s="19" t="n">
        <v>79</v>
      </c>
      <c r="C5" s="5" t="inlineStr">
        <is>
          <t>EGP/share, close 06-Aug-2026</t>
        </is>
      </c>
    </row>
    <row r="6">
      <c r="A6" s="18" t="inlineStr">
        <is>
          <t>Shares outstanding</t>
        </is>
      </c>
      <c r="B6" s="20" t="n">
        <v>260.812477</v>
      </c>
      <c r="C6" s="5" t="inlineStr">
        <is>
          <t>mn — issued capital / EGP 10 par</t>
        </is>
      </c>
    </row>
    <row r="7">
      <c r="A7" s="18" t="inlineStr">
        <is>
          <t>Corporate tax rate</t>
        </is>
      </c>
      <c r="B7" s="21" t="n">
        <v>0.225</v>
      </c>
      <c r="C7" s="5" t="inlineStr">
        <is>
          <t>Egypt statutory</t>
        </is>
      </c>
    </row>
    <row r="8">
      <c r="A8" s="18" t="inlineStr">
        <is>
          <t>Nameplate capacity</t>
        </is>
      </c>
      <c r="B8" s="20" t="n">
        <v>3.8</v>
      </c>
      <c r="C8" s="5" t="inlineStr">
        <is>
          <t>Mt/yr, two lines</t>
        </is>
      </c>
    </row>
    <row r="9">
      <c r="A9" s="18" t="inlineStr">
        <is>
          <t>USD/EGP</t>
        </is>
      </c>
      <c r="B9" s="22" t="n">
        <v>49.8</v>
      </c>
    </row>
    <row r="11">
      <c r="A11" s="10" t="inlineStr">
        <is>
          <t>COST OF CAPITAL — EXPLICIT WINDOW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18" t="inlineStr">
        <is>
          <t>Risk-free rate (EGP 10-year)</t>
        </is>
      </c>
      <c r="B12" s="23" t="n">
        <v>0.2231</v>
      </c>
      <c r="C12" s="5" t="inlineStr">
        <is>
          <t>observed local-currency yield</t>
        </is>
      </c>
    </row>
    <row r="13">
      <c r="A13" s="18" t="inlineStr">
        <is>
          <t>Sovereign default spread (CDS basis)</t>
        </is>
      </c>
      <c r="B13" s="23" t="n">
        <v>0.034</v>
      </c>
      <c r="C13" s="5" t="inlineStr">
        <is>
          <t>NETTED OUT of rf — no double count</t>
        </is>
      </c>
    </row>
    <row r="14">
      <c r="A14" s="18" t="inlineStr">
        <is>
          <t>Equity risk premium (CDS basis)</t>
        </is>
      </c>
      <c r="B14" s="23" t="n">
        <v>0.0941</v>
      </c>
      <c r="C14" s="5" t="inlineStr">
        <is>
          <t>Damodaran, Egypt row</t>
        </is>
      </c>
    </row>
    <row r="15">
      <c r="A15" s="18" t="inlineStr">
        <is>
          <t>Beta</t>
        </is>
      </c>
      <c r="B15" s="20" t="n">
        <v>1</v>
      </c>
      <c r="C15" s="5" t="inlineStr">
        <is>
          <t>tier-3 default on a gate failure</t>
        </is>
      </c>
    </row>
    <row r="16">
      <c r="A16" s="18" t="inlineStr">
        <is>
          <t>Pre-tax cost of debt</t>
        </is>
      </c>
      <c r="B16" s="23" t="n">
        <v>0.215</v>
      </c>
      <c r="C16" s="5" t="inlineStr">
        <is>
          <t>immaterial — debt is 0.18% of capital</t>
        </is>
      </c>
    </row>
    <row r="17">
      <c r="A17" s="18" t="inlineStr">
        <is>
          <t>Gross debt</t>
        </is>
      </c>
      <c r="B17" s="22" t="n">
        <v>36.8</v>
      </c>
      <c r="C17" s="5" t="inlineStr">
        <is>
          <t>EGP mn</t>
        </is>
      </c>
    </row>
    <row r="19">
      <c r="A19" s="10" t="inlineStr">
        <is>
          <t>COST OF CAPITAL — TERMINAL (norm-built)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</row>
    <row r="20">
      <c r="A20" s="18" t="inlineStr">
        <is>
          <t>Terminal risk-free rate</t>
        </is>
      </c>
      <c r="B20" s="23" t="n">
        <v>0.105</v>
      </c>
      <c r="C20" s="5" t="inlineStr">
        <is>
          <t>CBE 5% target + 5.5pp real</t>
        </is>
      </c>
    </row>
    <row r="21">
      <c r="A21" s="18" t="inlineStr">
        <is>
          <t>Terminal equity risk premium</t>
        </is>
      </c>
      <c r="B21" s="23" t="n">
        <v>0.07000000000000001</v>
      </c>
      <c r="C21" s="5" t="inlineStr">
        <is>
          <t>normalised below crisis level</t>
        </is>
      </c>
    </row>
    <row r="22">
      <c r="A22" s="18" t="inlineStr">
        <is>
          <t>Terminal cost of debt</t>
        </is>
      </c>
      <c r="B22" s="23" t="n">
        <v>0.15</v>
      </c>
      <c r="C22" s="5" t="inlineStr">
        <is>
          <t>Egyptian corporate norm 14-16%</t>
        </is>
      </c>
    </row>
    <row r="23">
      <c r="A23" s="18" t="inlineStr">
        <is>
          <t>Terminal debt weight</t>
        </is>
      </c>
      <c r="B23" s="21" t="n">
        <v>0.2</v>
      </c>
      <c r="C23" s="5" t="inlineStr">
        <is>
          <t>normalised, not today's ~0%</t>
        </is>
      </c>
    </row>
    <row r="24">
      <c r="A24" s="18" t="inlineStr">
        <is>
          <t>Terminal growth</t>
        </is>
      </c>
      <c r="B24" s="21" t="n">
        <v>0.05</v>
      </c>
      <c r="C24" s="5" t="inlineStr">
        <is>
          <t>EGP nominal; ~0% real</t>
        </is>
      </c>
    </row>
    <row r="26">
      <c r="A26" s="10" t="inlineStr">
        <is>
          <t>UNIT BUILD — MARKET SIZE AND SHARE (pasted: research judgement)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t="inlineStr">
        <is>
          <t>FY2023 Egyptian consumption / SCEM share</t>
        </is>
      </c>
      <c r="B27" s="22" t="n">
        <v>45</v>
      </c>
      <c r="C27" s="21" t="n">
        <v>0.0449</v>
      </c>
    </row>
    <row r="28">
      <c r="A28" t="inlineStr">
        <is>
          <t>FY2024 Egyptian consumption / SCEM share</t>
        </is>
      </c>
      <c r="B28" s="22" t="n">
        <v>47.6</v>
      </c>
      <c r="C28" s="21" t="n">
        <v>0.05</v>
      </c>
    </row>
    <row r="29">
      <c r="A29" t="inlineStr">
        <is>
          <t>FY2025 Egyptian consumption / SCEM share</t>
        </is>
      </c>
      <c r="B29" s="22" t="n">
        <v>54</v>
      </c>
      <c r="C29" s="21" t="n">
        <v>0.05</v>
      </c>
    </row>
    <row r="31">
      <c r="A31" s="10" t="inlineStr">
        <is>
          <t>FORECAST DRIVERS</t>
        </is>
      </c>
      <c r="B31" s="10" t="n"/>
      <c r="C31" s="10" t="n"/>
      <c r="D31" s="10" t="n"/>
      <c r="E31" s="10" t="n"/>
      <c r="F31" s="10" t="n"/>
      <c r="G31" s="10" t="n"/>
      <c r="H31" s="10" t="n"/>
      <c r="I31" s="10" t="n"/>
    </row>
    <row r="32">
      <c r="A32" s="6" t="inlineStr"/>
      <c r="B32" s="6" t="inlineStr">
        <is>
          <t>FY2026E</t>
        </is>
      </c>
      <c r="C32" s="6" t="inlineStr">
        <is>
          <t>FY2027E</t>
        </is>
      </c>
      <c r="D32" s="6" t="inlineStr">
        <is>
          <t>FY2028E</t>
        </is>
      </c>
      <c r="E32" s="6" t="inlineStr">
        <is>
          <t>FY2029E</t>
        </is>
      </c>
      <c r="F32" s="6" t="inlineStr">
        <is>
          <t>FY2030E</t>
        </is>
      </c>
    </row>
    <row r="33">
      <c r="A33" t="inlineStr">
        <is>
          <t>Sales volume growth</t>
        </is>
      </c>
      <c r="B33" s="21" t="n">
        <v>0.01</v>
      </c>
      <c r="C33" s="21" t="n">
        <v>0.025</v>
      </c>
      <c r="D33" s="21" t="n">
        <v>0.025</v>
      </c>
      <c r="E33" s="21" t="n">
        <v>0.025</v>
      </c>
      <c r="F33" s="21" t="n">
        <v>0.025</v>
      </c>
    </row>
    <row r="34">
      <c r="A34" t="inlineStr">
        <is>
          <t>Realised price growth (nominal)</t>
        </is>
      </c>
      <c r="B34" s="21" t="n">
        <v>0.06</v>
      </c>
      <c r="C34" s="21" t="n">
        <v>0.045</v>
      </c>
      <c r="D34" s="21" t="n">
        <v>0.05</v>
      </c>
      <c r="E34" s="21" t="n">
        <v>0.055</v>
      </c>
      <c r="F34" s="21" t="n">
        <v>0.051</v>
      </c>
    </row>
    <row r="35">
      <c r="A35" t="inlineStr">
        <is>
          <t>EBITDA margin</t>
        </is>
      </c>
      <c r="B35" s="21" t="n">
        <v>0.305</v>
      </c>
      <c r="C35" s="21" t="n">
        <v>0.285</v>
      </c>
      <c r="D35" s="21" t="n">
        <v>0.27</v>
      </c>
      <c r="E35" s="21" t="n">
        <v>0.265</v>
      </c>
      <c r="F35" s="21" t="n">
        <v>0.26</v>
      </c>
    </row>
    <row r="36">
      <c r="A36" t="inlineStr">
        <is>
          <t>D&amp;A / revenue</t>
        </is>
      </c>
      <c r="B36" s="21" t="n">
        <v>0.046</v>
      </c>
      <c r="C36" s="21" t="n">
        <v>0.045</v>
      </c>
      <c r="D36" s="21" t="n">
        <v>0.044</v>
      </c>
      <c r="E36" s="21" t="n">
        <v>0.043</v>
      </c>
      <c r="F36" s="21" t="n">
        <v>0.042</v>
      </c>
    </row>
    <row r="37">
      <c r="A37" t="inlineStr">
        <is>
          <t>Capex / revenue</t>
        </is>
      </c>
      <c r="B37" s="21" t="n">
        <v>0.05</v>
      </c>
      <c r="C37" s="21" t="n">
        <v>0.048</v>
      </c>
      <c r="D37" s="21" t="n">
        <v>0.047</v>
      </c>
      <c r="E37" s="21" t="n">
        <v>0.046</v>
      </c>
      <c r="F37" s="21" t="n">
        <v>0.045</v>
      </c>
    </row>
    <row r="38">
      <c r="A38" t="inlineStr">
        <is>
          <t>Cost-of-debt path (sets the glide shape)</t>
        </is>
      </c>
      <c r="B38" s="21" t="n">
        <v>0.215</v>
      </c>
      <c r="C38" s="21" t="n">
        <v>0.195</v>
      </c>
      <c r="D38" s="21" t="n">
        <v>0.18</v>
      </c>
      <c r="E38" s="21" t="n">
        <v>0.168</v>
      </c>
      <c r="F38" s="21" t="n">
        <v>0.16</v>
      </c>
    </row>
    <row r="39">
      <c r="A39" t="inlineStr">
        <is>
          <t>Yield earned on cash</t>
        </is>
      </c>
      <c r="B39" s="21" t="n">
        <v>0.19</v>
      </c>
      <c r="C39" s="21" t="n">
        <v>0.17</v>
      </c>
      <c r="D39" s="21" t="n">
        <v>0.15</v>
      </c>
      <c r="E39" s="21" t="n">
        <v>0.135</v>
      </c>
      <c r="F39" s="21" t="n">
        <v>0.125</v>
      </c>
    </row>
    <row r="41">
      <c r="A41" s="18" t="inlineStr">
        <is>
          <t>Delta working capital / delta revenue</t>
        </is>
      </c>
      <c r="B41" s="21" t="n">
        <v>0.08</v>
      </c>
    </row>
    <row r="42">
      <c r="A42" s="18" t="inlineStr">
        <is>
          <t>Dividend payout ratio</t>
        </is>
      </c>
      <c r="B42" s="21" t="n">
        <v>0.6</v>
      </c>
      <c r="C42" s="5" t="inlineStr">
        <is>
          <t>from FY2026E</t>
        </is>
      </c>
    </row>
    <row r="43">
      <c r="A43" s="18" t="inlineStr">
        <is>
          <t>Yield on cash, FY2025</t>
        </is>
      </c>
      <c r="B43" s="21" t="n">
        <v>0.21</v>
      </c>
    </row>
    <row r="44">
      <c r="A44" s="18" t="inlineStr">
        <is>
          <t>FY2025 cash as a multiple of FY2024 cash</t>
        </is>
      </c>
      <c r="B44" s="20" t="n">
        <v>1.35</v>
      </c>
    </row>
    <row r="45">
      <c r="A45" s="10" t="inlineStr">
        <is>
          <t>DISCLOSED HISTORY (pasted: the audited/reported record)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</row>
    <row r="46">
      <c r="A46" t="inlineStr">
        <is>
          <t>FY2023 revenue / profit after tax</t>
        </is>
      </c>
      <c r="B46" s="24" t="n">
        <v>4280</v>
      </c>
      <c r="C46" s="24" t="n">
        <v>-121.42</v>
      </c>
    </row>
    <row r="47">
      <c r="A47" t="inlineStr">
        <is>
          <t>FY2024 revenue / profit after tax</t>
        </is>
      </c>
      <c r="B47" s="24" t="n">
        <v>6420</v>
      </c>
      <c r="C47" s="24" t="n">
        <v>3070</v>
      </c>
    </row>
    <row r="48">
      <c r="A48" t="inlineStr">
        <is>
          <t>FY2025 revenue / profit after tax</t>
        </is>
      </c>
      <c r="B48" s="24" t="n">
        <v>9090</v>
      </c>
      <c r="C48" s="24" t="n">
        <v>2290</v>
      </c>
    </row>
    <row r="49">
      <c r="A49" s="18" t="inlineStr">
        <is>
          <t>FY2024 EBITDA (the one disclosed margin anchor)</t>
        </is>
      </c>
      <c r="B49" s="24" t="n">
        <v>1590</v>
      </c>
      <c r="C49" s="5" t="inlineStr">
        <is>
          <t>EGP mn</t>
        </is>
      </c>
    </row>
    <row r="50">
      <c r="A50" s="18" t="inlineStr">
        <is>
          <t>FY2024 total assets</t>
        </is>
      </c>
      <c r="B50" s="22" t="n">
        <v>6385.92</v>
      </c>
      <c r="C50" s="5" t="inlineStr">
        <is>
          <t>EGP mn</t>
        </is>
      </c>
    </row>
    <row r="51">
      <c r="A51" s="18" t="inlineStr">
        <is>
          <t>FY2024 total liabilities</t>
        </is>
      </c>
      <c r="B51" s="22" t="n">
        <v>1610.86</v>
      </c>
      <c r="C51" s="5" t="inlineStr">
        <is>
          <t>EGP mn</t>
        </is>
      </c>
    </row>
    <row r="52">
      <c r="A52" s="18" t="inlineStr">
        <is>
          <t>FY2023 treasury income</t>
        </is>
      </c>
      <c r="B52" s="24" t="n">
        <v>198</v>
      </c>
      <c r="C52" s="5" t="inlineStr">
        <is>
          <t>EGP mn</t>
        </is>
      </c>
    </row>
    <row r="53">
      <c r="A53" s="18" t="inlineStr">
        <is>
          <t>Sinai White disposal — EUR consideration</t>
        </is>
      </c>
      <c r="B53" s="22" t="n">
        <v>30</v>
      </c>
      <c r="C53" s="5" t="inlineStr">
        <is>
          <t>EUR mn</t>
        </is>
      </c>
    </row>
    <row r="54">
      <c r="A54" s="18" t="inlineStr">
        <is>
          <t>EGP per EUR at completion</t>
        </is>
      </c>
      <c r="B54" s="22" t="n">
        <v>53.4</v>
      </c>
      <c r="C54" s="5" t="inlineStr">
        <is>
          <t>Aug-2024</t>
        </is>
      </c>
    </row>
    <row r="55">
      <c r="A55" s="18" t="inlineStr">
        <is>
          <t>Sinai White stake — carrying value</t>
        </is>
      </c>
      <c r="B55" s="24" t="n">
        <v>100</v>
      </c>
      <c r="C55" s="5" t="inlineStr">
        <is>
          <t>EGP mn, estimate</t>
        </is>
      </c>
    </row>
    <row r="57">
      <c r="A57" s="10" t="inlineStr">
        <is>
          <t>LENS INPUTS</t>
        </is>
      </c>
      <c r="B57" s="10" t="n"/>
      <c r="C57" s="10" t="n"/>
      <c r="D57" s="10" t="n"/>
      <c r="E57" s="10" t="n"/>
      <c r="F57" s="10" t="n"/>
      <c r="G57" s="10" t="n"/>
      <c r="H57" s="10" t="n"/>
      <c r="I57" s="10" t="n"/>
    </row>
    <row r="58">
      <c r="A58" s="18" t="inlineStr">
        <is>
          <t>Replacement cost of capacity</t>
        </is>
      </c>
      <c r="B58" s="24" t="n">
        <v>130</v>
      </c>
      <c r="C58" s="5" t="inlineStr">
        <is>
          <t>USD per annual tonne</t>
        </is>
      </c>
    </row>
    <row r="59">
      <c r="A59" s="18" t="inlineStr">
        <is>
          <t>Justified EV per tonne of capacity</t>
        </is>
      </c>
      <c r="B59" s="24" t="n">
        <v>95</v>
      </c>
      <c r="C59" s="5" t="inlineStr">
        <is>
          <t>USD per annual tonne</t>
        </is>
      </c>
    </row>
    <row r="60">
      <c r="A60" s="18" t="inlineStr">
        <is>
          <t>Justified EV/EBITDA</t>
        </is>
      </c>
      <c r="B60" s="25" t="n">
        <v>5</v>
      </c>
      <c r="C60" s="5" t="inlineStr">
        <is>
          <t>peer-anchored</t>
        </is>
      </c>
    </row>
    <row r="61">
      <c r="A61" s="18" t="inlineStr">
        <is>
          <t>Justified price/earnings</t>
        </is>
      </c>
      <c r="B61" s="25" t="n">
        <v>7</v>
      </c>
      <c r="C61" s="5" t="inlineStr">
        <is>
          <t>on normalised earnings</t>
        </is>
      </c>
    </row>
    <row r="62">
      <c r="A62" s="18" t="inlineStr">
        <is>
          <t>Mid-cycle EBITDA margin</t>
        </is>
      </c>
      <c r="B62" s="21" t="n">
        <v>0.265</v>
      </c>
      <c r="C62" s="5" t="inlineStr">
        <is>
          <t>normalisation lens</t>
        </is>
      </c>
    </row>
    <row r="63">
      <c r="A63" s="18" t="inlineStr">
        <is>
          <t>Vicat tender offer price</t>
        </is>
      </c>
      <c r="B63" s="19" t="n">
        <v>41</v>
      </c>
      <c r="C63" s="5" t="inlineStr">
        <is>
          <t>disclosed reference, NOT a value</t>
        </is>
      </c>
    </row>
    <row r="65">
      <c r="A65" s="10" t="inlineStr">
        <is>
          <t>LENS WEIGHTS</t>
        </is>
      </c>
      <c r="B65" s="10" t="n"/>
      <c r="C65" s="10" t="n"/>
      <c r="D65" s="10" t="n"/>
      <c r="E65" s="10" t="n"/>
      <c r="F65" s="10" t="n"/>
      <c r="G65" s="10" t="n"/>
      <c r="H65" s="10" t="n"/>
      <c r="I65" s="10" t="n"/>
    </row>
    <row r="66">
      <c r="A66" t="inlineStr">
        <is>
          <t>DCF (cash flow)</t>
        </is>
      </c>
      <c r="B66" s="21" t="n">
        <v>0.45</v>
      </c>
    </row>
    <row r="67">
      <c r="A67" t="inlineStr">
        <is>
          <t>Relative multiples</t>
        </is>
      </c>
      <c r="B67" s="21" t="n">
        <v>0.2</v>
      </c>
    </row>
    <row r="68">
      <c r="A68" t="inlineStr">
        <is>
          <t>Normalised earnings</t>
        </is>
      </c>
      <c r="B68" s="21" t="n">
        <v>0.2</v>
      </c>
    </row>
    <row r="69">
      <c r="A69" t="inlineStr">
        <is>
          <t>Asset / replacement cost</t>
        </is>
      </c>
      <c r="B69" s="21" t="n">
        <v>0.15</v>
      </c>
    </row>
    <row r="70">
      <c r="A70" t="inlineStr">
        <is>
          <t>Total (must be 100%)</t>
        </is>
      </c>
      <c r="B70" s="14">
        <f>SUM(B66:B69)</f>
        <v/>
      </c>
    </row>
    <row r="72">
      <c r="A72" s="5" t="inlineStr">
        <is>
          <t>Every other sheet references this one. Nothing below a driver is typed.</t>
        </is>
      </c>
    </row>
  </sheetData>
  <mergeCells count="1">
    <mergeCell ref="A72:J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6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6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Assumptions!$B$63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2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Unit build — volume × realised price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Reproduces disclosed revenue by construction.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Egyptian domestic consumption (Mt)</t>
        </is>
      </c>
      <c r="B5" s="27">
        <f>Assumptions!$B$27</f>
        <v/>
      </c>
      <c r="C5" s="27">
        <f>Assumptions!$B$28</f>
        <v/>
      </c>
      <c r="D5" s="27">
        <f>Assumptions!$B$29</f>
        <v/>
      </c>
    </row>
    <row r="6">
      <c r="A6" t="inlineStr">
        <is>
          <t>SCEM share of market</t>
        </is>
      </c>
      <c r="B6" s="11">
        <f>Assumptions!$C$27</f>
        <v/>
      </c>
      <c r="C6" s="11">
        <f>Assumptions!$C$28</f>
        <v/>
      </c>
      <c r="D6" s="11">
        <f>Assumptions!$C$29</f>
        <v/>
      </c>
    </row>
    <row r="7">
      <c r="A7" t="inlineStr">
        <is>
          <t>Sales volume (Mt)</t>
        </is>
      </c>
      <c r="B7" s="28">
        <f>B5*B6</f>
        <v/>
      </c>
      <c r="C7" s="28">
        <f>C5*C6</f>
        <v/>
      </c>
      <c r="D7" s="28">
        <f>D5*D6</f>
        <v/>
      </c>
      <c r="E7" s="28">
        <f>D7*(1+Assumptions!$B$33)</f>
        <v/>
      </c>
      <c r="F7" s="28">
        <f>E7*(1+Assumptions!$C$33)</f>
        <v/>
      </c>
      <c r="G7" s="28">
        <f>F7*(1+Assumptions!$D$33)</f>
        <v/>
      </c>
      <c r="H7" s="28">
        <f>G7*(1+Assumptions!$E$33)</f>
        <v/>
      </c>
      <c r="I7" s="28">
        <f>H7*(1+Assumptions!$F$33)</f>
        <v/>
      </c>
    </row>
    <row r="8">
      <c r="A8" t="inlineStr">
        <is>
          <t>Capacity utilisation</t>
        </is>
      </c>
      <c r="B8" s="12">
        <f>B7/Assumptions!$B$8</f>
        <v/>
      </c>
      <c r="C8" s="12">
        <f>C7/Assumptions!$B$8</f>
        <v/>
      </c>
      <c r="D8" s="12">
        <f>D7/Assumptions!$B$8</f>
        <v/>
      </c>
      <c r="E8" s="12">
        <f>E7/Assumptions!$B$8</f>
        <v/>
      </c>
      <c r="F8" s="12">
        <f>F7/Assumptions!$B$8</f>
        <v/>
      </c>
      <c r="G8" s="12">
        <f>G7/Assumptions!$B$8</f>
        <v/>
      </c>
      <c r="H8" s="12">
        <f>H7/Assumptions!$B$8</f>
        <v/>
      </c>
      <c r="I8" s="12">
        <f>I7/Assumptions!$B$8</f>
        <v/>
      </c>
    </row>
    <row r="9">
      <c r="A9" t="inlineStr">
        <is>
          <t>Realised price (EGP/t)</t>
        </is>
      </c>
      <c r="B9" s="29">
        <f>B11/B7</f>
        <v/>
      </c>
      <c r="C9" s="29">
        <f>C11/C7</f>
        <v/>
      </c>
      <c r="D9" s="29">
        <f>D11/D7</f>
        <v/>
      </c>
      <c r="E9" s="29">
        <f>D9*(1+Assumptions!$B$34)</f>
        <v/>
      </c>
      <c r="F9" s="29">
        <f>E9*(1+Assumptions!$C$34)</f>
        <v/>
      </c>
      <c r="G9" s="29">
        <f>F9*(1+Assumptions!$D$34)</f>
        <v/>
      </c>
      <c r="H9" s="29">
        <f>G9*(1+Assumptions!$E$34)</f>
        <v/>
      </c>
      <c r="I9" s="29">
        <f>H9*(1+Assumptions!$F$34)</f>
        <v/>
      </c>
    </row>
    <row r="10">
      <c r="A10" t="inlineStr">
        <is>
          <t>Revenue (EGP mn)</t>
        </is>
      </c>
      <c r="B10" s="29">
        <f>B7*B9</f>
        <v/>
      </c>
      <c r="C10" s="29">
        <f>C7*C9</f>
        <v/>
      </c>
      <c r="D10" s="29">
        <f>D7*D9</f>
        <v/>
      </c>
      <c r="E10" s="29">
        <f>E7*E9</f>
        <v/>
      </c>
      <c r="F10" s="29">
        <f>F7*F9</f>
        <v/>
      </c>
      <c r="G10" s="29">
        <f>G7*G9</f>
        <v/>
      </c>
      <c r="H10" s="29">
        <f>H7*H9</f>
        <v/>
      </c>
      <c r="I10" s="29">
        <f>I7*I9</f>
        <v/>
      </c>
    </row>
    <row r="11">
      <c r="A11" t="inlineStr">
        <is>
          <t>Revenue — disclosed (EGP mn)</t>
        </is>
      </c>
      <c r="B11" s="9">
        <f>Assumptions!$B$46</f>
        <v/>
      </c>
      <c r="C11" s="9">
        <f>Assumptions!$B$47</f>
        <v/>
      </c>
      <c r="D11" s="9">
        <f>Assumptions!$B$48</f>
        <v/>
      </c>
    </row>
    <row r="12">
      <c r="A12" t="inlineStr">
        <is>
          <t>Check: build less disclosed</t>
        </is>
      </c>
      <c r="B12" s="28">
        <f>B10-B11</f>
        <v/>
      </c>
      <c r="C12" s="28">
        <f>C10-C11</f>
        <v/>
      </c>
      <c r="D12" s="28">
        <f>D10-D11</f>
        <v/>
      </c>
    </row>
    <row r="14">
      <c r="A14" s="5" t="inlineStr">
        <is>
          <t>Historical volume = market size × share (both pasted research judgements); realised price is</t>
        </is>
      </c>
    </row>
    <row r="15">
      <c r="A15" s="5" t="inlineStr">
        <is>
          <t>then SOLVED as disclosed revenue ÷ volume, so the build ties back to the printed top line exactly —</t>
        </is>
      </c>
    </row>
    <row r="16">
      <c r="A16" s="5" t="inlineStr">
        <is>
          <t>row 12 is the residual and is zero in every historical year. Forecast volume and price compound off</t>
        </is>
      </c>
    </row>
    <row r="17">
      <c r="A17" s="5" t="inlineStr">
        <is>
          <t>the FY2025 outturn at the growth rates on Assumptions.</t>
        </is>
      </c>
    </row>
  </sheetData>
  <mergeCells count="4">
    <mergeCell ref="A17:J17"/>
    <mergeCell ref="A15:J15"/>
    <mergeCell ref="A14:J14"/>
    <mergeCell ref="A16:J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</t>
        </is>
      </c>
      <c r="B5" s="29">
        <f>'Unit Build'!D10</f>
        <v/>
      </c>
    </row>
    <row r="6">
      <c r="A6" t="inlineStr">
        <is>
          <t>Mid-cycle EBITDA margin</t>
        </is>
      </c>
      <c r="B6" s="12">
        <f>Assumptions!$B$62</f>
        <v/>
      </c>
    </row>
    <row r="7">
      <c r="A7" t="inlineStr">
        <is>
          <t>Normalised EBITDA</t>
        </is>
      </c>
      <c r="B7" s="29">
        <f>B5*B6</f>
        <v/>
      </c>
    </row>
    <row r="8">
      <c r="A8" t="inlineStr">
        <is>
          <t>Justified EV/EBITDA</t>
        </is>
      </c>
      <c r="B8" s="30">
        <f>Assumptions!$B$60</f>
        <v/>
      </c>
    </row>
    <row r="9">
      <c r="A9" t="inlineStr">
        <is>
          <t>Implied enterprise value</t>
        </is>
      </c>
      <c r="B9" s="29">
        <f>B7*B8</f>
        <v/>
      </c>
    </row>
    <row r="10">
      <c r="A10" t="inlineStr">
        <is>
          <t>Plus net cash</t>
        </is>
      </c>
      <c r="B10" s="29">
        <f>DCF!B36</f>
        <v/>
      </c>
    </row>
    <row r="11">
      <c r="A11" t="inlineStr">
        <is>
          <t>Implied equity value</t>
        </is>
      </c>
      <c r="B11" s="29">
        <f>B9+B10</f>
        <v/>
      </c>
    </row>
    <row r="12">
      <c r="A12" t="inlineStr">
        <is>
          <t>Implied value per share (EGP)</t>
        </is>
      </c>
      <c r="B12" s="13">
        <f>B11/Assumptions!$B$6</f>
        <v/>
      </c>
    </row>
    <row r="14">
      <c r="A14" s="10" t="inlineStr">
        <is>
          <t>NORMALISED EARNINGS POWER</t>
        </is>
      </c>
      <c r="B14" s="10" t="n"/>
      <c r="C14" s="10" t="n"/>
      <c r="D14" s="10" t="n"/>
      <c r="E14" s="10" t="n"/>
      <c r="F14" s="10" t="n"/>
    </row>
    <row r="15">
      <c r="A15" t="inlineStr">
        <is>
          <t>Normalised EBITDA</t>
        </is>
      </c>
      <c r="B15" s="29">
        <f>B7</f>
        <v/>
      </c>
    </row>
    <row r="16">
      <c r="A16" t="inlineStr">
        <is>
          <t>Less D&amp;A (FY2025)</t>
        </is>
      </c>
      <c r="B16" s="29">
        <f>-'Income Statement'!D8</f>
        <v/>
      </c>
    </row>
    <row r="17">
      <c r="A17" t="inlineStr">
        <is>
          <t>Normalised EBIT</t>
        </is>
      </c>
      <c r="B17" s="29">
        <f>B15+B16</f>
        <v/>
      </c>
    </row>
    <row r="18">
      <c r="A18" t="inlineStr">
        <is>
          <t>Normalised NOPAT</t>
        </is>
      </c>
      <c r="B18" s="29">
        <f>B17*(1-Assumptions!$B$7)</f>
        <v/>
      </c>
    </row>
    <row r="19">
      <c r="A19" t="inlineStr">
        <is>
          <t>Plus after-tax treasury income</t>
        </is>
      </c>
      <c r="B19" s="29">
        <f>DCF!B36*Assumptions!$D$39*(1-Assumptions!$B$7)</f>
        <v/>
      </c>
    </row>
    <row r="20">
      <c r="A20" t="inlineStr">
        <is>
          <t>Normalised earnings</t>
        </is>
      </c>
      <c r="B20" s="29">
        <f>B18+B19</f>
        <v/>
      </c>
    </row>
    <row r="21">
      <c r="A21" t="inlineStr">
        <is>
          <t>Justified price/earnings</t>
        </is>
      </c>
      <c r="B21" s="30">
        <f>Assumptions!$B$61</f>
        <v/>
      </c>
    </row>
    <row r="22">
      <c r="A22" t="inlineStr">
        <is>
          <t>Implied value per share (EGP)</t>
        </is>
      </c>
      <c r="B22" s="13">
        <f>B20*B21/Assumptions!$B$6</f>
        <v/>
      </c>
    </row>
    <row r="24">
      <c r="A24" s="10" t="inlineStr">
        <is>
          <t>ASSET LENS — EV PER TONNE OF CAPACITY (the cement sector yardstick)</t>
        </is>
      </c>
      <c r="B24" s="10" t="n"/>
      <c r="C24" s="10" t="n"/>
      <c r="D24" s="10" t="n"/>
      <c r="E24" s="10" t="n"/>
      <c r="F24" s="10" t="n"/>
    </row>
    <row r="25">
      <c r="A25" t="inlineStr">
        <is>
          <t>Enterprise value at spot (EGP mn)</t>
        </is>
      </c>
      <c r="B25" s="29">
        <f>Assumptions!$B$5*Assumptions!$B$6-DCF!B36</f>
        <v/>
      </c>
    </row>
    <row r="26">
      <c r="A26" t="inlineStr">
        <is>
          <t>Capacity (annual tonnes)</t>
        </is>
      </c>
      <c r="B26" s="29">
        <f>Assumptions!$B$8*1000000</f>
        <v/>
      </c>
    </row>
    <row r="27">
      <c r="A27" t="inlineStr">
        <is>
          <t>EV per tonne at spot (USD/t)</t>
        </is>
      </c>
      <c r="B27" s="31">
        <f>B25*1000000/B26/Assumptions!$B$9</f>
        <v/>
      </c>
    </row>
    <row r="28">
      <c r="A28" t="inlineStr">
        <is>
          <t>Replacement cost (USD/t)</t>
        </is>
      </c>
      <c r="B28" s="29">
        <f>Assumptions!$B$58</f>
        <v/>
      </c>
    </row>
    <row r="29">
      <c r="A29" t="inlineStr">
        <is>
          <t>Discount to replacement cost</t>
        </is>
      </c>
      <c r="B29" s="12">
        <f>B27/B28-1</f>
        <v/>
      </c>
    </row>
    <row r="30">
      <c r="A30" t="inlineStr">
        <is>
          <t>Justified EV per tonne (USD/t)</t>
        </is>
      </c>
      <c r="B30" s="29">
        <f>Assumptions!$B$59</f>
        <v/>
      </c>
    </row>
    <row r="31">
      <c r="A31" t="inlineStr">
        <is>
          <t>Implied enterprise value (EGP mn)</t>
        </is>
      </c>
      <c r="B31" s="29">
        <f>B30*B26*Assumptions!$B$9/1000000</f>
        <v/>
      </c>
    </row>
    <row r="32">
      <c r="A32" t="inlineStr">
        <is>
          <t>Plus net cash</t>
        </is>
      </c>
      <c r="B32" s="29">
        <f>DCF!B36</f>
        <v/>
      </c>
    </row>
    <row r="33">
      <c r="A33" t="inlineStr">
        <is>
          <t>Implied value per share (EGP)</t>
        </is>
      </c>
      <c r="B33" s="13">
        <f>(B31+B32)/Assumptions!$B$6</f>
        <v/>
      </c>
    </row>
    <row r="35">
      <c r="A35" s="10" t="inlineStr">
        <is>
          <t>MEMO — BOOK, SHOWN BUT NOT USED AS A LENS</t>
        </is>
      </c>
      <c r="B35" s="10" t="n"/>
      <c r="C35" s="10" t="n"/>
      <c r="D35" s="10" t="n"/>
      <c r="E35" s="10" t="n"/>
      <c r="F35" s="10" t="n"/>
    </row>
    <row r="36">
      <c r="A36" t="inlineStr">
        <is>
          <t>Book value per share (EGP)</t>
        </is>
      </c>
      <c r="B36" s="15">
        <f>'Balance Sheet'!D12/Assumptions!$B$6</f>
        <v/>
      </c>
    </row>
    <row r="37">
      <c r="A37" t="inlineStr">
        <is>
          <t>Sustainable return on equity</t>
        </is>
      </c>
      <c r="B37" s="12">
        <f>B18/'Balance Sheet'!D12</f>
        <v/>
      </c>
    </row>
    <row r="39">
      <c r="A39" s="5" t="inlineStr">
        <is>
          <t>A book/return lens is deliberately NOT one of the four. The El Hassana plant commissioned in 1997 and</t>
        </is>
      </c>
    </row>
    <row r="40">
      <c r="A40" s="5" t="inlineStr">
        <is>
          <t>is carried at historic cost through a five-fold devaluation, so book value measures the accounting</t>
        </is>
      </c>
    </row>
    <row r="41">
      <c r="A41" s="5" t="inlineStr">
        <is>
          <t>rather than the asset. The cement sector's own yardstick — enterprise value per annual tonne of</t>
        </is>
      </c>
    </row>
    <row r="42">
      <c r="A42" s="5" t="inlineStr">
        <is>
          <t>capacity against replacement cost — is used in its place.</t>
        </is>
      </c>
    </row>
  </sheetData>
  <mergeCells count="4">
    <mergeCell ref="A39:J39"/>
    <mergeCell ref="A40:J40"/>
    <mergeCell ref="A42:J42"/>
    <mergeCell ref="A41:J4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Build'!E10</f>
        <v/>
      </c>
      <c r="C5" s="9">
        <f>'Unit Build'!F10</f>
        <v/>
      </c>
      <c r="D5" s="9">
        <f>'Unit Build'!G10</f>
        <v/>
      </c>
      <c r="E5" s="9">
        <f>'Unit Build'!H10</f>
        <v/>
      </c>
      <c r="F5" s="9">
        <f>'Unit Build'!I10</f>
        <v/>
      </c>
    </row>
    <row r="6">
      <c r="A6" t="inlineStr">
        <is>
          <t>EBITDA margin</t>
        </is>
      </c>
      <c r="B6" s="11">
        <f>Assumptions!$B$35</f>
        <v/>
      </c>
      <c r="C6" s="11">
        <f>Assumptions!$C$35</f>
        <v/>
      </c>
      <c r="D6" s="11">
        <f>Assumptions!$D$35</f>
        <v/>
      </c>
      <c r="E6" s="11">
        <f>Assumptions!$E$35</f>
        <v/>
      </c>
      <c r="F6" s="11">
        <f>Assumptions!$F$35</f>
        <v/>
      </c>
    </row>
    <row r="7">
      <c r="A7" t="inlineStr">
        <is>
          <t>EBITDA</t>
        </is>
      </c>
      <c r="B7" s="29">
        <f>B5*B6</f>
        <v/>
      </c>
      <c r="C7" s="29">
        <f>C5*C6</f>
        <v/>
      </c>
      <c r="D7" s="29">
        <f>D5*D6</f>
        <v/>
      </c>
      <c r="E7" s="29">
        <f>E5*E6</f>
        <v/>
      </c>
      <c r="F7" s="29">
        <f>F5*F6</f>
        <v/>
      </c>
    </row>
    <row r="8">
      <c r="A8" t="inlineStr">
        <is>
          <t>Depreciation &amp; amortisation</t>
        </is>
      </c>
      <c r="B8" s="29">
        <f>B5*Assumptions!$B$36</f>
        <v/>
      </c>
      <c r="C8" s="29">
        <f>C5*Assumptions!$C$36</f>
        <v/>
      </c>
      <c r="D8" s="29">
        <f>D5*Assumptions!$D$36</f>
        <v/>
      </c>
      <c r="E8" s="29">
        <f>E5*Assumptions!$E$36</f>
        <v/>
      </c>
      <c r="F8" s="29">
        <f>F5*Assumptions!$F$36</f>
        <v/>
      </c>
    </row>
    <row r="9">
      <c r="A9" t="inlineStr">
        <is>
          <t>EBIT</t>
        </is>
      </c>
      <c r="B9" s="29">
        <f>B7-B8</f>
        <v/>
      </c>
      <c r="C9" s="29">
        <f>C7-C8</f>
        <v/>
      </c>
      <c r="D9" s="29">
        <f>D7-D8</f>
        <v/>
      </c>
      <c r="E9" s="29">
        <f>E7-E8</f>
        <v/>
      </c>
      <c r="F9" s="29">
        <f>F7-F8</f>
        <v/>
      </c>
    </row>
    <row r="10">
      <c r="A10" t="inlineStr">
        <is>
          <t>Tax rate</t>
        </is>
      </c>
      <c r="B10" s="11">
        <f>Assumptions!$B$7</f>
        <v/>
      </c>
      <c r="C10" s="11">
        <f>Assumptions!$B$7</f>
        <v/>
      </c>
      <c r="D10" s="11">
        <f>Assumptions!$B$7</f>
        <v/>
      </c>
      <c r="E10" s="11">
        <f>Assumptions!$B$7</f>
        <v/>
      </c>
      <c r="F10" s="11">
        <f>Assumptions!$B$7</f>
        <v/>
      </c>
    </row>
    <row r="11">
      <c r="A11" t="inlineStr">
        <is>
          <t>NOPAT  (EBIT × (1 − t))</t>
        </is>
      </c>
      <c r="B11" s="29">
        <f>B9*(1-B10)</f>
        <v/>
      </c>
      <c r="C11" s="29">
        <f>C9*(1-C10)</f>
        <v/>
      </c>
      <c r="D11" s="29">
        <f>D9*(1-D10)</f>
        <v/>
      </c>
      <c r="E11" s="29">
        <f>E9*(1-E10)</f>
        <v/>
      </c>
      <c r="F11" s="29">
        <f>F9*(1-F10)</f>
        <v/>
      </c>
    </row>
    <row r="12">
      <c r="A12" t="inlineStr">
        <is>
          <t>+ Depreciation &amp; amortisation</t>
        </is>
      </c>
      <c r="B12" s="29">
        <f>B8</f>
        <v/>
      </c>
      <c r="C12" s="29">
        <f>C8</f>
        <v/>
      </c>
      <c r="D12" s="29">
        <f>D8</f>
        <v/>
      </c>
      <c r="E12" s="29">
        <f>E8</f>
        <v/>
      </c>
      <c r="F12" s="29">
        <f>F8</f>
        <v/>
      </c>
    </row>
    <row r="13">
      <c r="A13" t="inlineStr">
        <is>
          <t>− Capital expenditure</t>
        </is>
      </c>
      <c r="B13" s="29">
        <f>B5*Assumptions!$B$37</f>
        <v/>
      </c>
      <c r="C13" s="29">
        <f>C5*Assumptions!$C$37</f>
        <v/>
      </c>
      <c r="D13" s="29">
        <f>D5*Assumptions!$D$37</f>
        <v/>
      </c>
      <c r="E13" s="29">
        <f>E5*Assumptions!$E$37</f>
        <v/>
      </c>
      <c r="F13" s="29">
        <f>F5*Assumptions!$F$37</f>
        <v/>
      </c>
    </row>
    <row r="14">
      <c r="A14" t="inlineStr">
        <is>
          <t>− Change in working capital</t>
        </is>
      </c>
      <c r="B14" s="29">
        <f>(B5-'Unit Build'!D10)*Assumptions!$B$41</f>
        <v/>
      </c>
      <c r="C14" s="29">
        <f>(C5-B5)*Assumptions!$B$41</f>
        <v/>
      </c>
      <c r="D14" s="29">
        <f>(D5-C5)*Assumptions!$B$41</f>
        <v/>
      </c>
      <c r="E14" s="29">
        <f>(E5-D5)*Assumptions!$B$41</f>
        <v/>
      </c>
      <c r="F14" s="29">
        <f>(F5-E5)*Assumptions!$B$41</f>
        <v/>
      </c>
    </row>
    <row r="15">
      <c r="A15" t="inlineStr">
        <is>
          <t>Free cash flow to the firm</t>
        </is>
      </c>
      <c r="B15" s="32">
        <f>B11+B12-B13-B14</f>
        <v/>
      </c>
      <c r="C15" s="32">
        <f>C11+C12-C13-C14</f>
        <v/>
      </c>
      <c r="D15" s="32">
        <f>D11+D12-D13-D14</f>
        <v/>
      </c>
      <c r="E15" s="32">
        <f>E11+E12-E13-E14</f>
        <v/>
      </c>
      <c r="F15" s="32">
        <f>F11+F12-F13-F14</f>
        <v/>
      </c>
    </row>
    <row r="16">
      <c r="A16" t="inlineStr">
        <is>
          <t>Glide fraction</t>
        </is>
      </c>
      <c r="B16" s="33">
        <f>(Assumptions!$B$38-Assumptions!$B$38)/(Assumptions!$B$38-Assumptions!$F$38)</f>
        <v/>
      </c>
      <c r="C16" s="33">
        <f>(Assumptions!$B$38-Assumptions!$C$38)/(Assumptions!$B$38-Assumptions!$F$38)</f>
        <v/>
      </c>
      <c r="D16" s="33">
        <f>(Assumptions!$B$38-Assumptions!$D$38)/(Assumptions!$B$38-Assumptions!$F$38)</f>
        <v/>
      </c>
      <c r="E16" s="33">
        <f>(Assumptions!$B$38-Assumptions!$E$38)/(Assumptions!$B$38-Assumptions!$F$38)</f>
        <v/>
      </c>
      <c r="F16" s="33">
        <f>(Assumptions!$B$38-Assumptions!$F$38)/(Assumptions!$B$38-Assumptions!$F$38)</f>
        <v/>
      </c>
    </row>
    <row r="17">
      <c r="A17" t="inlineStr">
        <is>
          <t>Forward cost of capital</t>
        </is>
      </c>
      <c r="B17" s="34">
        <f>$C$46-($C$46-$C$53)*B16</f>
        <v/>
      </c>
      <c r="C17" s="34">
        <f>$C$46-($C$46-$C$53)*C16</f>
        <v/>
      </c>
      <c r="D17" s="34">
        <f>$C$46-($C$46-$C$53)*D16</f>
        <v/>
      </c>
      <c r="E17" s="34">
        <f>$C$46-($C$46-$C$53)*E16</f>
        <v/>
      </c>
      <c r="F17" s="34">
        <f>$C$46-($C$46-$C$53)*F16</f>
        <v/>
      </c>
    </row>
    <row r="18">
      <c r="A18" t="inlineStr">
        <is>
          <t>Discount factor</t>
        </is>
      </c>
      <c r="B18" s="33">
        <f>1/(1+B17)</f>
        <v/>
      </c>
      <c r="C18" s="33">
        <f>B18/(1+C17)</f>
        <v/>
      </c>
      <c r="D18" s="33">
        <f>C18/(1+D17)</f>
        <v/>
      </c>
      <c r="E18" s="33">
        <f>D18/(1+E17)</f>
        <v/>
      </c>
      <c r="F18" s="33">
        <f>E18/(1+F17)</f>
        <v/>
      </c>
    </row>
    <row r="19">
      <c r="A19" t="inlineStr">
        <is>
          <t>Present value of FCFF</t>
        </is>
      </c>
      <c r="B19" s="29">
        <f>B15*B18</f>
        <v/>
      </c>
      <c r="C19" s="29">
        <f>C15*C18</f>
        <v/>
      </c>
      <c r="D19" s="29">
        <f>D15*D18</f>
        <v/>
      </c>
      <c r="E19" s="29">
        <f>E15*E18</f>
        <v/>
      </c>
      <c r="F19" s="29">
        <f>F15*F18</f>
        <v/>
      </c>
    </row>
    <row r="21">
      <c r="A21" s="10" t="inlineStr">
        <is>
          <t>TERMINAL BLOCK</t>
        </is>
      </c>
      <c r="B21" s="10" t="n"/>
      <c r="C21" s="10" t="n"/>
      <c r="D21" s="10" t="n"/>
      <c r="E21" s="10" t="n"/>
      <c r="F21" s="10" t="n"/>
      <c r="G21" s="10" t="n"/>
      <c r="H21" s="10" t="n"/>
    </row>
    <row r="22">
      <c r="A22" t="inlineStr">
        <is>
          <t>Replacement-cost invested capital (EGP mn)</t>
        </is>
      </c>
      <c r="B22" s="29">
        <f>Assumptions!$B$8*1000000*Assumptions!$B$58*Assumptions!$B$9/1000000</f>
        <v/>
      </c>
    </row>
    <row r="23">
      <c r="A23" t="inlineStr">
        <is>
          <t>Terminal NOPAT  (year-5 NOPAT × (1+g))</t>
        </is>
      </c>
      <c r="B23" s="29">
        <f>F11*(1+Assumptions!$B$24)</f>
        <v/>
      </c>
    </row>
    <row r="24">
      <c r="A24" t="inlineStr">
        <is>
          <t>Terminal return on invested capital</t>
        </is>
      </c>
      <c r="B24" s="12">
        <f>B23/B22</f>
        <v/>
      </c>
    </row>
    <row r="25">
      <c r="A25" t="inlineStr">
        <is>
          <t>Reinvestment rate  (g ÷ ROIC)</t>
        </is>
      </c>
      <c r="B25" s="12">
        <f>Assumptions!$B$24/B24</f>
        <v/>
      </c>
    </row>
    <row r="26">
      <c r="A26" t="inlineStr">
        <is>
          <t>Terminal value</t>
        </is>
      </c>
      <c r="B26" s="29">
        <f>B23*(1-B25)/($C$53-Assumptions!$B$24)</f>
        <v/>
      </c>
    </row>
    <row r="27">
      <c r="A27" t="inlineStr">
        <is>
          <t>Present value of terminal value</t>
        </is>
      </c>
      <c r="B27" s="29">
        <f>B26*F18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29">
        <f>SUM(B19:F19)</f>
        <v/>
      </c>
    </row>
    <row r="31">
      <c r="A31" t="inlineStr">
        <is>
          <t>Present value of terminal value</t>
        </is>
      </c>
      <c r="B31" s="29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 and equivalents</t>
        </is>
      </c>
      <c r="B34" s="29">
        <f>'Balance Sheet'!D7</f>
        <v/>
      </c>
    </row>
    <row r="35">
      <c r="A35" t="inlineStr">
        <is>
          <t>Less gross debt</t>
        </is>
      </c>
      <c r="B35" s="29">
        <f>-Assumptions!$B$17</f>
        <v/>
      </c>
    </row>
    <row r="36">
      <c r="A36" t="inlineStr">
        <is>
          <t>Net cash (ADDED — the company is net cash)</t>
        </is>
      </c>
      <c r="B36" s="29">
        <f>B34+B35</f>
        <v/>
      </c>
    </row>
    <row r="37">
      <c r="A37" t="inlineStr">
        <is>
          <t>Equity value</t>
        </is>
      </c>
      <c r="B37" s="32">
        <f>B32+B36</f>
        <v/>
      </c>
    </row>
    <row r="38">
      <c r="A38" t="inlineStr">
        <is>
          <t>Shares outstanding (mn)</t>
        </is>
      </c>
      <c r="B38" s="2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4">
        <f>Assumptions!$B$12</f>
        <v/>
      </c>
    </row>
    <row r="43">
      <c r="A43" t="inlineStr">
        <is>
          <t>Less sovereign default spread</t>
        </is>
      </c>
      <c r="C43" s="34">
        <f>-Assumptions!$B$13</f>
        <v/>
      </c>
    </row>
    <row r="44">
      <c r="A44" t="inlineStr">
        <is>
          <t>Normalised risk-free rate</t>
        </is>
      </c>
      <c r="C44" s="34">
        <f>C42+C43</f>
        <v/>
      </c>
    </row>
    <row r="45">
      <c r="A45" t="inlineStr">
        <is>
          <t>Cost of equity  (rf* + β × ERP)</t>
        </is>
      </c>
      <c r="C45" s="34">
        <f>C44+Assumptions!$B$15*Assumptions!$B$14</f>
        <v/>
      </c>
    </row>
    <row r="46">
      <c r="A46" t="inlineStr">
        <is>
          <t>WACC — explicit window</t>
        </is>
      </c>
      <c r="C46" s="35">
        <f>(1-C49)*C45+C49*C48</f>
        <v/>
      </c>
    </row>
    <row r="48">
      <c r="A48" t="inlineStr">
        <is>
          <t>Cost of debt after tax</t>
        </is>
      </c>
      <c r="C48" s="34">
        <f>Assumptions!$B$16*(1-Assumptions!$B$7)</f>
        <v/>
      </c>
    </row>
    <row r="49">
      <c r="A49" t="inlineStr">
        <is>
          <t>Debt weight  D/(D+E)</t>
        </is>
      </c>
      <c r="C49" s="36">
        <f>Assumptions!$B$17/(Assumptions!$B$17+C50)</f>
        <v/>
      </c>
    </row>
    <row r="50">
      <c r="A50" t="inlineStr">
        <is>
          <t>Market capitalisation</t>
        </is>
      </c>
      <c r="C50" s="29">
        <f>Assumptions!$B$5*Assumptions!$B$6</f>
        <v/>
      </c>
    </row>
    <row r="51">
      <c r="A51" t="inlineStr">
        <is>
          <t>Terminal cost of equity  (rf_term + β × ERP_term)</t>
        </is>
      </c>
      <c r="C51" s="34">
        <f>Assumptions!$B$20+Assumptions!$B$15*Assumptions!$B$21</f>
        <v/>
      </c>
    </row>
    <row r="52">
      <c r="A52" t="inlineStr">
        <is>
          <t>Terminal cost of debt after tax</t>
        </is>
      </c>
      <c r="C52" s="34">
        <f>Assumptions!$B$22*(1-Assumptions!$B$7)</f>
        <v/>
      </c>
    </row>
    <row r="53">
      <c r="A53" t="inlineStr">
        <is>
          <t>WACC — terminal</t>
        </is>
      </c>
      <c r="C53" s="35">
        <f>(1-Assumptions!$B$23)*C51+Assumptions!$B$23*C52</f>
        <v/>
      </c>
    </row>
    <row r="54">
      <c r="A54" t="inlineStr">
        <is>
          <t>Retired construction: rf NOT netted (disclosed only)</t>
        </is>
      </c>
      <c r="C54" s="34">
        <f>Assumptions!$B$12+Assumptions!$B$15*Assumptions!$B$14</f>
        <v/>
      </c>
    </row>
    <row r="55">
      <c r="A55" t="inlineStr">
        <is>
          <t>Sovereign double-count removed (bp)</t>
        </is>
      </c>
      <c r="C55" s="29">
        <f>(C54-C45)*10000</f>
        <v/>
      </c>
    </row>
    <row r="57">
      <c r="A57" s="5" t="inlineStr">
        <is>
          <t>The glide fraction on row 16 is derived from the cost-of-debt path on Assumptions, so the shape of</t>
        </is>
      </c>
    </row>
    <row r="58">
      <c r="A58" s="5" t="inlineStr">
        <is>
          <t>the discount schedule is INHERITED rather than invented. The terminal value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'Unit Build'!B11</f>
        <v/>
      </c>
      <c r="C5" s="9">
        <f>'Unit Build'!C11</f>
        <v/>
      </c>
      <c r="D5" s="9">
        <f>'Unit Build'!D11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29">
        <f>B9+B8</f>
        <v/>
      </c>
      <c r="C6" s="29">
        <f>C9+C8</f>
        <v/>
      </c>
      <c r="D6" s="29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2">
        <f>B6/B5</f>
        <v/>
      </c>
      <c r="C7" s="12">
        <f>C6/C5</f>
        <v/>
      </c>
      <c r="D7" s="12">
        <f>D6/D5</f>
        <v/>
      </c>
      <c r="E7" s="12">
        <f>E6/E5</f>
        <v/>
      </c>
      <c r="F7" s="12">
        <f>F6/F5</f>
        <v/>
      </c>
      <c r="G7" s="12">
        <f>G6/G5</f>
        <v/>
      </c>
      <c r="H7" s="12">
        <f>H6/H5</f>
        <v/>
      </c>
      <c r="I7" s="12">
        <f>I6/I5</f>
        <v/>
      </c>
    </row>
    <row r="8">
      <c r="A8" t="inlineStr">
        <is>
          <t>Depreciation &amp; amortisation</t>
        </is>
      </c>
      <c r="B8" s="29">
        <f>B5*0.094</f>
        <v/>
      </c>
      <c r="C8" s="29">
        <f>C5*0.062</f>
        <v/>
      </c>
      <c r="D8" s="29">
        <f>D5*0.046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29">
        <f>B14-B10</f>
        <v/>
      </c>
      <c r="C9" s="29">
        <f>Assumptions!$B$49-C8</f>
        <v/>
      </c>
      <c r="D9" s="29">
        <f>D14/(1-Assumptions!$B$7)-D10</f>
        <v/>
      </c>
      <c r="E9" s="29">
        <f>E6-E8</f>
        <v/>
      </c>
      <c r="F9" s="29">
        <f>F6-F8</f>
        <v/>
      </c>
      <c r="G9" s="29">
        <f>G6-G8</f>
        <v/>
      </c>
      <c r="H9" s="29">
        <f>H6-H8</f>
        <v/>
      </c>
      <c r="I9" s="29">
        <f>I6-I8</f>
        <v/>
      </c>
    </row>
    <row r="10">
      <c r="A10" t="inlineStr">
        <is>
          <t>Treasury / investment income</t>
        </is>
      </c>
      <c r="B10" s="9">
        <f>Assumptions!$B$52</f>
        <v/>
      </c>
      <c r="C10" s="29">
        <f>(C14-C11)/(1-Assumptions!$B$7)-C9</f>
        <v/>
      </c>
      <c r="D10" s="29">
        <f>C10</f>
        <v/>
      </c>
      <c r="E10" s="29">
        <f>'Balance Sheet'!D7*Assumptions!$B$39</f>
        <v/>
      </c>
      <c r="F10" s="29">
        <f>'Balance Sheet'!E7*Assumptions!$C$39</f>
        <v/>
      </c>
      <c r="G10" s="29">
        <f>'Balance Sheet'!F7*Assumptions!$D$39</f>
        <v/>
      </c>
      <c r="H10" s="29">
        <f>'Balance Sheet'!G7*Assumptions!$E$39</f>
        <v/>
      </c>
      <c r="I10" s="29">
        <f>'Balance Sheet'!H7*Assumptions!$F$39</f>
        <v/>
      </c>
    </row>
    <row r="11">
      <c r="A11" t="inlineStr">
        <is>
          <t>Gain on disposal of Sinai White stake</t>
        </is>
      </c>
      <c r="B11" s="29">
        <f>0</f>
        <v/>
      </c>
      <c r="C11" s="29">
        <f>Assumptions!$B$53*Assumptions!$B$54-Assumptions!$B$55</f>
        <v/>
      </c>
      <c r="D11" s="29">
        <f>0</f>
        <v/>
      </c>
      <c r="E11" s="29">
        <f>0</f>
        <v/>
      </c>
      <c r="F11" s="29">
        <f>0</f>
        <v/>
      </c>
      <c r="G11" s="29">
        <f>0</f>
        <v/>
      </c>
      <c r="H11" s="29">
        <f>0</f>
        <v/>
      </c>
      <c r="I11" s="29">
        <f>0</f>
        <v/>
      </c>
    </row>
    <row r="12">
      <c r="A12" t="inlineStr">
        <is>
          <t>Profit before tax</t>
        </is>
      </c>
      <c r="B12" s="29">
        <f>B9+B10+B11</f>
        <v/>
      </c>
      <c r="C12" s="29">
        <f>C9+C10+C11</f>
        <v/>
      </c>
      <c r="D12" s="29">
        <f>D9+D10+D11</f>
        <v/>
      </c>
      <c r="E12" s="29">
        <f>E9+E10+E11</f>
        <v/>
      </c>
      <c r="F12" s="29">
        <f>F9+F10+F11</f>
        <v/>
      </c>
      <c r="G12" s="29">
        <f>G9+G10+G11</f>
        <v/>
      </c>
      <c r="H12" s="29">
        <f>H9+H10+H11</f>
        <v/>
      </c>
      <c r="I12" s="29">
        <f>I9+I10+I11</f>
        <v/>
      </c>
    </row>
    <row r="13">
      <c r="A13" t="inlineStr">
        <is>
          <t>Tax</t>
        </is>
      </c>
      <c r="B13" s="29">
        <f>B12-B14</f>
        <v/>
      </c>
      <c r="C13" s="29">
        <f>C12-C14</f>
        <v/>
      </c>
      <c r="D13" s="29">
        <f>D12-D14</f>
        <v/>
      </c>
      <c r="E13" s="29">
        <f>E12*Assumptions!$B$7</f>
        <v/>
      </c>
      <c r="F13" s="29">
        <f>F12*Assumptions!$B$7</f>
        <v/>
      </c>
      <c r="G13" s="29">
        <f>G12*Assumptions!$B$7</f>
        <v/>
      </c>
      <c r="H13" s="29">
        <f>H12*Assumptions!$B$7</f>
        <v/>
      </c>
      <c r="I13" s="29">
        <f>I12*Assumptions!$B$7</f>
        <v/>
      </c>
    </row>
    <row r="14">
      <c r="A14" t="inlineStr">
        <is>
          <t>Profit after tax</t>
        </is>
      </c>
      <c r="B14" s="26">
        <f>Assumptions!$C$46</f>
        <v/>
      </c>
      <c r="C14" s="26">
        <f>Assumptions!$C$47</f>
        <v/>
      </c>
      <c r="D14" s="26">
        <f>Assumptions!$C$48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Assumptions!$C$46</f>
        <v/>
      </c>
      <c r="C15" s="9">
        <f>Assumptions!$C$47</f>
        <v/>
      </c>
      <c r="D15" s="9">
        <f>Assumptions!$C$48</f>
        <v/>
      </c>
    </row>
    <row r="16">
      <c r="A16" t="inlineStr">
        <is>
          <t>Earnings per share (EGP)</t>
        </is>
      </c>
      <c r="B16" s="15">
        <f>B14/Assumptions!$B$6</f>
        <v/>
      </c>
      <c r="C16" s="15">
        <f>C14/Assumptions!$B$6</f>
        <v/>
      </c>
      <c r="D16" s="15">
        <f>D14/Assumptions!$B$6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4" t="n">
        <v>1451.13582795699</v>
      </c>
      <c r="C5" s="29">
        <f>Assumptions!$B$50-C6-C7</f>
        <v/>
      </c>
      <c r="D5" s="29">
        <f>C5</f>
        <v/>
      </c>
      <c r="E5" s="29">
        <f>D5+DCF!B13-DCF!B8</f>
        <v/>
      </c>
      <c r="F5" s="29">
        <f>E5+DCF!C13-DCF!C8</f>
        <v/>
      </c>
      <c r="G5" s="29">
        <f>F5+DCF!D13-DCF!D8</f>
        <v/>
      </c>
      <c r="H5" s="29">
        <f>G5+DCF!E13-DCF!E8</f>
        <v/>
      </c>
      <c r="I5" s="29">
        <f>H5+DCF!F13-DCF!F8</f>
        <v/>
      </c>
    </row>
    <row r="6">
      <c r="A6" t="inlineStr">
        <is>
          <t>Working capital (net)</t>
        </is>
      </c>
      <c r="B6" s="24" t="n">
        <v>850</v>
      </c>
      <c r="C6" s="24" t="n">
        <v>900</v>
      </c>
      <c r="D6" s="29">
        <f>C6</f>
        <v/>
      </c>
      <c r="E6" s="29">
        <f>D6+DCF!B14</f>
        <v/>
      </c>
      <c r="F6" s="29">
        <f>E6+DCF!C14</f>
        <v/>
      </c>
      <c r="G6" s="29">
        <f>F6+DCF!D14</f>
        <v/>
      </c>
      <c r="H6" s="29">
        <f>G6+DCF!E14</f>
        <v/>
      </c>
      <c r="I6" s="29">
        <f>H6+DCF!F14</f>
        <v/>
      </c>
    </row>
    <row r="7">
      <c r="A7" t="inlineStr">
        <is>
          <t>Cash and equivalents</t>
        </is>
      </c>
      <c r="B7" s="24" t="n">
        <v>1385.443010752688</v>
      </c>
      <c r="C7" s="29">
        <f>'Income Statement'!C10/Assumptions!$B$43</f>
        <v/>
      </c>
      <c r="D7" s="29">
        <f>C7*Assumptions!$B$44</f>
        <v/>
      </c>
      <c r="E7" s="29">
        <f>D7+'Cash Flow'!E16</f>
        <v/>
      </c>
      <c r="F7" s="29">
        <f>E7+'Cash Flow'!F16</f>
        <v/>
      </c>
      <c r="G7" s="29">
        <f>F7+'Cash Flow'!G16</f>
        <v/>
      </c>
      <c r="H7" s="29">
        <f>G7+'Cash Flow'!H16</f>
        <v/>
      </c>
      <c r="I7" s="29">
        <f>H7+'Cash Flow'!I16</f>
        <v/>
      </c>
    </row>
    <row r="8">
      <c r="A8" t="inlineStr">
        <is>
          <t>Total assets (condensed)</t>
        </is>
      </c>
      <c r="B8" s="32">
        <f>SUM(B5:B7)</f>
        <v/>
      </c>
      <c r="C8" s="26">
        <f>Assumptions!$B$50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1">
        <f>Assumptions!$B$17</f>
        <v/>
      </c>
      <c r="C9" s="31">
        <f>Assumptions!$B$17</f>
        <v/>
      </c>
      <c r="D9" s="31">
        <f>Assumptions!$B$17</f>
        <v/>
      </c>
      <c r="E9" s="31">
        <f>Assumptions!$B$17</f>
        <v/>
      </c>
      <c r="F9" s="31">
        <f>Assumptions!$B$17</f>
        <v/>
      </c>
      <c r="G9" s="31">
        <f>Assumptions!$B$17</f>
        <v/>
      </c>
      <c r="H9" s="31">
        <f>Assumptions!$B$17</f>
        <v/>
      </c>
      <c r="I9" s="31">
        <f>Assumptions!$B$17</f>
        <v/>
      </c>
    </row>
    <row r="10">
      <c r="A10" t="inlineStr">
        <is>
          <t>Other liabilities</t>
        </is>
      </c>
      <c r="B10" s="29">
        <f>B11-B9</f>
        <v/>
      </c>
      <c r="C10" s="29">
        <f>C11-C9</f>
        <v/>
      </c>
      <c r="D10" s="29">
        <f>D11-D9</f>
        <v/>
      </c>
      <c r="E10" s="29">
        <f>E11-E9</f>
        <v/>
      </c>
      <c r="F10" s="29">
        <f>F11-F9</f>
        <v/>
      </c>
      <c r="G10" s="29">
        <f>G11-G9</f>
        <v/>
      </c>
      <c r="H10" s="29">
        <f>H11-H9</f>
        <v/>
      </c>
      <c r="I10" s="29">
        <f>I11-I9</f>
        <v/>
      </c>
    </row>
    <row r="11">
      <c r="A11" t="inlineStr">
        <is>
          <t>Total liabilities</t>
        </is>
      </c>
      <c r="B11" s="29">
        <f>B8-B12</f>
        <v/>
      </c>
      <c r="C11" s="9">
        <f>Assumptions!$B$51</f>
        <v/>
      </c>
      <c r="D11" s="29">
        <f>D8-D12</f>
        <v/>
      </c>
      <c r="E11" s="29">
        <f>E8-E12</f>
        <v/>
      </c>
      <c r="F11" s="29">
        <f>F8-F12</f>
        <v/>
      </c>
      <c r="G11" s="29">
        <f>G8-G12</f>
        <v/>
      </c>
      <c r="H11" s="29">
        <f>H8-H12</f>
        <v/>
      </c>
      <c r="I11" s="29">
        <f>I8-I12</f>
        <v/>
      </c>
    </row>
    <row r="12">
      <c r="A12" t="inlineStr">
        <is>
          <t>Shareholders' equity</t>
        </is>
      </c>
      <c r="B12" s="32">
        <f>C12-Assumptions!$C$47</f>
        <v/>
      </c>
      <c r="C12" s="32">
        <f>C8-C11</f>
        <v/>
      </c>
      <c r="D12" s="32">
        <f>C12+Assumptions!$C$48</f>
        <v/>
      </c>
      <c r="E12" s="32">
        <f>D12+'Income Statement'!E14-'Cash Flow'!E15</f>
        <v/>
      </c>
      <c r="F12" s="32">
        <f>E12+'Income Statement'!F14-'Cash Flow'!F15</f>
        <v/>
      </c>
      <c r="G12" s="32">
        <f>F12+'Income Statement'!G14-'Cash Flow'!G15</f>
        <v/>
      </c>
      <c r="H12" s="32">
        <f>G12+'Income Statement'!H14-'Cash Flow'!H15</f>
        <v/>
      </c>
      <c r="I12" s="32">
        <f>H12+'Income Statement'!I14-'Cash Flow'!I15</f>
        <v/>
      </c>
    </row>
    <row r="13">
      <c r="A13" t="inlineStr">
        <is>
          <t>Equity — reported cross-check</t>
        </is>
      </c>
      <c r="D13" s="24" t="n">
        <v>5200</v>
      </c>
    </row>
    <row r="14">
      <c r="A14" t="inlineStr">
        <is>
          <t>Net cash</t>
        </is>
      </c>
      <c r="B14" s="29">
        <f>B7-B9</f>
        <v/>
      </c>
      <c r="C14" s="29">
        <f>C7-C9</f>
        <v/>
      </c>
      <c r="D14" s="29">
        <f>D7-D9</f>
        <v/>
      </c>
      <c r="E14" s="29">
        <f>E7-E9</f>
        <v/>
      </c>
      <c r="F14" s="29">
        <f>F7-F9</f>
        <v/>
      </c>
      <c r="G14" s="29">
        <f>G7-G9</f>
        <v/>
      </c>
      <c r="H14" s="29">
        <f>H7-H9</f>
        <v/>
      </c>
      <c r="I14" s="29">
        <f>I7-I9</f>
        <v/>
      </c>
    </row>
    <row r="15">
      <c r="A15" t="inlineStr">
        <is>
          <t>Return on equity</t>
        </is>
      </c>
      <c r="D15" s="12">
        <f>Assumptions!$C$48/D12</f>
        <v/>
      </c>
      <c r="E15" s="12">
        <f>'Income Statement'!E14/E12</f>
        <v/>
      </c>
      <c r="F15" s="12">
        <f>'Income Statement'!F14/F12</f>
        <v/>
      </c>
      <c r="G15" s="12">
        <f>'Income Statement'!G14/G12</f>
        <v/>
      </c>
      <c r="H15" s="12">
        <f>'Income Statement'!H14/H12</f>
        <v/>
      </c>
      <c r="I15" s="12">
        <f>'Income Statement'!I14/I12</f>
        <v/>
      </c>
    </row>
    <row r="17">
      <c r="A17" s="5" t="inlineStr">
        <is>
          <t>The FY2024 column is the DISCLOSED triple — total assets EGP 6,385.92mn less total liabilities EGP</t>
        </is>
      </c>
    </row>
    <row r="18">
      <c r="A18" s="5" t="inlineStr">
        <is>
          <t>1,610.86mn closes to equity of EGP 4,775.06mn exactly. Equity then ROLLS FORWARD: prior equity plus</t>
        </is>
      </c>
    </row>
    <row r="19">
      <c r="A19" s="5" t="inlineStr">
        <is>
          <t>profit less dividends. Row 13 carries the REPORTED FY2025 equity beside the rolled figure: the two do</t>
        </is>
      </c>
    </row>
    <row r="20">
      <c r="A20" s="5" t="inlineStr">
        <is>
          <t>not agree, and the gap implies a FY2025 distribution that no retrievable source reports. Disclosed, not</t>
        </is>
      </c>
    </row>
    <row r="21">
      <c r="A21" s="5" t="inlineStr">
        <is>
          <t>plugged.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− Change in working capital</t>
        </is>
      </c>
      <c r="E6" s="29">
        <f>-DCF!B14</f>
        <v/>
      </c>
      <c r="F6" s="29">
        <f>-DCF!C14</f>
        <v/>
      </c>
      <c r="G6" s="29">
        <f>-DCF!D14</f>
        <v/>
      </c>
      <c r="H6" s="29">
        <f>-DCF!E14</f>
        <v/>
      </c>
      <c r="I6" s="29">
        <f>-DCF!F14</f>
        <v/>
      </c>
    </row>
    <row r="7">
      <c r="A7" t="inlineStr">
        <is>
          <t>− Capital expenditure</t>
        </is>
      </c>
      <c r="E7" s="29">
        <f>-DCF!B13</f>
        <v/>
      </c>
      <c r="F7" s="29">
        <f>-DCF!C13</f>
        <v/>
      </c>
      <c r="G7" s="29">
        <f>-DCF!D13</f>
        <v/>
      </c>
      <c r="H7" s="29">
        <f>-DCF!E13</f>
        <v/>
      </c>
      <c r="I7" s="29">
        <f>-DCF!F13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+ D&amp;A</t>
        </is>
      </c>
      <c r="E10" s="9">
        <f>DCF!B12</f>
        <v/>
      </c>
      <c r="F10" s="9">
        <f>DCF!C12</f>
        <v/>
      </c>
      <c r="G10" s="9">
        <f>DCF!D12</f>
        <v/>
      </c>
      <c r="H10" s="9">
        <f>DCF!E12</f>
        <v/>
      </c>
      <c r="I10" s="9">
        <f>DCF!F12</f>
        <v/>
      </c>
    </row>
    <row r="11">
      <c r="A11" t="inlineStr">
        <is>
          <t>− Capex</t>
        </is>
      </c>
      <c r="E11" s="29">
        <f>-DCF!B13</f>
        <v/>
      </c>
      <c r="F11" s="29">
        <f>-DCF!C13</f>
        <v/>
      </c>
      <c r="G11" s="29">
        <f>-DCF!D13</f>
        <v/>
      </c>
      <c r="H11" s="29">
        <f>-DCF!E13</f>
        <v/>
      </c>
      <c r="I11" s="29">
        <f>-DCF!F13</f>
        <v/>
      </c>
    </row>
    <row r="12">
      <c r="A12" t="inlineStr">
        <is>
          <t>− Change in working capital</t>
        </is>
      </c>
      <c r="E12" s="29">
        <f>-DCF!B14</f>
        <v/>
      </c>
      <c r="F12" s="29">
        <f>-DCF!C14</f>
        <v/>
      </c>
      <c r="G12" s="29">
        <f>-DCF!D14</f>
        <v/>
      </c>
      <c r="H12" s="29">
        <f>-DCF!E14</f>
        <v/>
      </c>
      <c r="I12" s="29">
        <f>-DCF!F14</f>
        <v/>
      </c>
    </row>
    <row r="13">
      <c r="A13" t="inlineStr">
        <is>
          <t>Free cash flow to the firm</t>
        </is>
      </c>
      <c r="E13" s="32">
        <f>SUM(E9:E12)</f>
        <v/>
      </c>
      <c r="F13" s="32">
        <f>SUM(F9:F12)</f>
        <v/>
      </c>
      <c r="G13" s="32">
        <f>SUM(G9:G12)</f>
        <v/>
      </c>
      <c r="H13" s="32">
        <f>SUM(H9:H12)</f>
        <v/>
      </c>
      <c r="I13" s="32">
        <f>SUM(I9:I12)</f>
        <v/>
      </c>
    </row>
    <row r="14">
      <c r="A14" t="inlineStr">
        <is>
          <t>Treasury income after tax</t>
        </is>
      </c>
      <c r="E14" s="29">
        <f>'Income Statement'!E10*(1-Assumptions!$B$7)</f>
        <v/>
      </c>
      <c r="F14" s="29">
        <f>'Income Statement'!F10*(1-Assumptions!$B$7)</f>
        <v/>
      </c>
      <c r="G14" s="29">
        <f>'Income Statement'!G10*(1-Assumptions!$B$7)</f>
        <v/>
      </c>
      <c r="H14" s="29">
        <f>'Income Statement'!H10*(1-Assumptions!$B$7)</f>
        <v/>
      </c>
      <c r="I14" s="29">
        <f>'Income Statement'!I10*(1-Assumptions!$B$7)</f>
        <v/>
      </c>
    </row>
    <row r="15">
      <c r="A15" t="inlineStr">
        <is>
          <t>Dividends paid</t>
        </is>
      </c>
      <c r="E15" s="29">
        <f>'Income Statement'!E14*Assumptions!$B$42</f>
        <v/>
      </c>
      <c r="F15" s="29">
        <f>'Income Statement'!F14*Assumptions!$B$42</f>
        <v/>
      </c>
      <c r="G15" s="29">
        <f>'Income Statement'!G14*Assumptions!$B$42</f>
        <v/>
      </c>
      <c r="H15" s="29">
        <f>'Income Statement'!H14*Assumptions!$B$42</f>
        <v/>
      </c>
      <c r="I15" s="29">
        <f>'Income Statement'!I14*Assumptions!$B$42</f>
        <v/>
      </c>
    </row>
    <row r="16">
      <c r="A16" t="inlineStr">
        <is>
          <t>Net change in cash</t>
        </is>
      </c>
      <c r="E16" s="32">
        <f>'Income Statement'!E14+DCF!B12-DCF!B13-DCF!B14-E15</f>
        <v/>
      </c>
      <c r="F16" s="32">
        <f>'Income Statement'!F14+DCF!C12-DCF!C13-DCF!C14-F15</f>
        <v/>
      </c>
      <c r="G16" s="32">
        <f>'Income Statement'!G14+DCF!D12-DCF!D13-DCF!D14-G15</f>
        <v/>
      </c>
      <c r="H16" s="32">
        <f>'Income Statement'!H14+DCF!E12-DCF!E13-DCF!E14-H15</f>
        <v/>
      </c>
      <c r="I16" s="32">
        <f>'Income Statement'!I14+DCF!F12-DCF!F13-DCF!F14-I15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B9" s="8">
        <f>'Unit Build'!B7</f>
        <v/>
      </c>
      <c r="C9" s="8">
        <f>'Unit Build'!C7</f>
        <v/>
      </c>
      <c r="D9" s="8">
        <f>'Unit Build'!D7</f>
        <v/>
      </c>
      <c r="E9" s="8">
        <f>'Unit Build'!E7</f>
        <v/>
      </c>
      <c r="F9" s="8">
        <f>'Unit Build'!F7</f>
        <v/>
      </c>
      <c r="G9" s="8">
        <f>'Unit Build'!G7</f>
        <v/>
      </c>
      <c r="H9" s="8">
        <f>'Unit Build'!H7</f>
        <v/>
      </c>
      <c r="I9" s="8">
        <f>'Unit Build'!I7</f>
        <v/>
      </c>
    </row>
    <row r="10">
      <c r="A10" t="inlineStr">
        <is>
          <t>Realised price (EGP/t)</t>
        </is>
      </c>
      <c r="B10" s="9">
        <f>'Unit Build'!B9</f>
        <v/>
      </c>
      <c r="C10" s="9">
        <f>'Unit Build'!C9</f>
        <v/>
      </c>
      <c r="D10" s="9">
        <f>'Unit Build'!D9</f>
        <v/>
      </c>
      <c r="E10" s="9">
        <f>'Unit Build'!E9</f>
        <v/>
      </c>
      <c r="F10" s="9">
        <f>'Unit Build'!F9</f>
        <v/>
      </c>
      <c r="G10" s="9">
        <f>'Unit Build'!G9</f>
        <v/>
      </c>
      <c r="H10" s="9">
        <f>'Unit Build'!H9</f>
        <v/>
      </c>
      <c r="I10" s="9">
        <f>'Unit Build'!I9</f>
        <v/>
      </c>
    </row>
    <row r="11">
      <c r="A11" t="inlineStr">
        <is>
          <t>Capacity utilisation</t>
        </is>
      </c>
      <c r="B11" s="11">
        <f>'Unit Build'!B8</f>
        <v/>
      </c>
      <c r="C11" s="11">
        <f>'Unit Build'!C8</f>
        <v/>
      </c>
      <c r="D11" s="11">
        <f>'Unit Build'!D8</f>
        <v/>
      </c>
      <c r="E11" s="11">
        <f>'Unit Build'!E8</f>
        <v/>
      </c>
      <c r="F11" s="11">
        <f>'Unit Build'!F8</f>
        <v/>
      </c>
      <c r="G11" s="11">
        <f>'Unit Build'!G8</f>
        <v/>
      </c>
      <c r="H11" s="11">
        <f>'Unit Build'!H8</f>
        <v/>
      </c>
      <c r="I11" s="11">
        <f>'Unit Build'!I8</f>
        <v/>
      </c>
    </row>
    <row r="13">
      <c r="A13" t="inlineStr">
        <is>
          <t>EBITDA margin</t>
        </is>
      </c>
      <c r="B13" s="12">
        <f>B6/B5</f>
        <v/>
      </c>
      <c r="C13" s="12">
        <f>C6/C5</f>
        <v/>
      </c>
      <c r="D13" s="12">
        <f>D6/D5</f>
        <v/>
      </c>
      <c r="E13" s="12">
        <f>E6/E5</f>
        <v/>
      </c>
      <c r="F13" s="12">
        <f>F6/F5</f>
        <v/>
      </c>
      <c r="G13" s="12">
        <f>G6/G5</f>
        <v/>
      </c>
      <c r="H13" s="12">
        <f>H6/H5</f>
        <v/>
      </c>
      <c r="I13" s="12">
        <f>I6/I5</f>
        <v/>
      </c>
    </row>
    <row r="14">
      <c r="A14" t="inlineStr">
        <is>
          <t>Revenue growth</t>
        </is>
      </c>
      <c r="C14" s="12">
        <f>C5/B5-1</f>
        <v/>
      </c>
      <c r="D14" s="12">
        <f>D5/C5-1</f>
        <v/>
      </c>
      <c r="E14" s="12">
        <f>E5/D5-1</f>
        <v/>
      </c>
      <c r="F14" s="12">
        <f>F5/E5-1</f>
        <v/>
      </c>
      <c r="G14" s="12">
        <f>G5/F5-1</f>
        <v/>
      </c>
      <c r="H14" s="12">
        <f>H5/G5-1</f>
        <v/>
      </c>
      <c r="I14" s="12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4" t="n">
        <v>20</v>
      </c>
      <c r="C5" s="37" t="inlineStr">
        <is>
          <t>2026-09-06</t>
        </is>
      </c>
      <c r="D5" s="19" t="n">
        <v>62.1420635589089</v>
      </c>
      <c r="E5" s="19" t="n">
        <v>72.94331198622631</v>
      </c>
      <c r="F5" s="19" t="n">
        <v>80.17497538017265</v>
      </c>
      <c r="G5" s="19" t="n">
        <v>88.18397736359992</v>
      </c>
      <c r="H5" s="19" t="n">
        <v>103.4995013727537</v>
      </c>
    </row>
    <row r="6">
      <c r="A6" t="inlineStr">
        <is>
          <t>3M (3 months)</t>
        </is>
      </c>
      <c r="B6" s="24" t="n">
        <v>62</v>
      </c>
      <c r="C6" s="37" t="inlineStr">
        <is>
          <t>2026-11-08</t>
        </is>
      </c>
      <c r="D6" s="19" t="n">
        <v>52.12577688877463</v>
      </c>
      <c r="E6" s="19" t="n">
        <v>69.74973064913542</v>
      </c>
      <c r="F6" s="19" t="n">
        <v>82.77876151400348</v>
      </c>
      <c r="G6" s="19" t="n">
        <v>98.07395179014382</v>
      </c>
      <c r="H6" s="19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1" t="n">
        <v>0.54204</v>
      </c>
      <c r="C9" s="21" t="n">
        <v>0.2819</v>
      </c>
      <c r="D9" s="21" t="n">
        <v>0.19682</v>
      </c>
      <c r="E9" s="21" t="n">
        <v>0.4586</v>
      </c>
      <c r="F9" s="21" t="n">
        <v>0.35234</v>
      </c>
    </row>
    <row r="10">
      <c r="A10" t="inlineStr">
        <is>
          <t>3M</t>
        </is>
      </c>
      <c r="B10" s="21" t="n">
        <v>0.5746599999999999</v>
      </c>
      <c r="C10" s="21" t="n">
        <v>0.4217</v>
      </c>
      <c r="D10" s="21" t="n">
        <v>0.27342</v>
      </c>
      <c r="E10" s="21" t="n">
        <v>0.70524</v>
      </c>
      <c r="F10" s="21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38" t="inlineStr">
        <is>
          <t>Market panel verdict (Egypt)</t>
        </is>
      </c>
      <c r="B13" s="39" t="inlineStr">
        <is>
          <t>PASS — skill +0.0158, 90% interval [0.009, 0.022]</t>
        </is>
      </c>
    </row>
    <row r="14">
      <c r="A14" s="38" t="inlineStr">
        <is>
          <t>This name's verdict</t>
        </is>
      </c>
      <c r="B14" s="39" t="inlineStr">
        <is>
          <t>PARITY at every bootstrap block size {2,3,4}</t>
        </is>
      </c>
    </row>
    <row r="15">
      <c r="A15" s="38" t="inlineStr">
        <is>
          <t>This name's CRPS skill vs a random walk</t>
        </is>
      </c>
      <c r="B15" s="39" t="inlineStr">
        <is>
          <t>-0.1276 — BELOW zero</t>
        </is>
      </c>
    </row>
    <row r="16">
      <c r="A16" s="38" t="inlineStr">
        <is>
          <t>Coverage 50 / 80 / 90</t>
        </is>
      </c>
      <c r="B16" s="39" t="inlineStr">
        <is>
          <t>0.76 / 0.82 / 0.94 against nominal 0.50 / 0.80 / 0.90 — OVER-COVERED</t>
        </is>
      </c>
    </row>
    <row r="17">
      <c r="A17" s="38" t="inlineStr">
        <is>
          <t>Cone width versus the benchmark</t>
        </is>
      </c>
      <c r="B17" s="39" t="inlineStr">
        <is>
          <t>4.71x</t>
        </is>
      </c>
    </row>
    <row r="18">
      <c r="A18" s="38" t="inlineStr">
        <is>
          <t>Why</t>
        </is>
      </c>
      <c r="B18" s="39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9">
      <c r="A19" s="38" t="inlineStr">
        <is>
          <t>Consequence</t>
        </is>
      </c>
      <c r="B19" s="39" t="inlineStr">
        <is>
          <t>The map is ILLUSTRATIVE ONLY. It is materially too wide and must not be read with the confidence of a calibrated name.</t>
        </is>
      </c>
    </row>
  </sheetData>
  <mergeCells count="7">
    <mergeCell ref="B14:H14"/>
    <mergeCell ref="B17:H17"/>
    <mergeCell ref="B18:H18"/>
    <mergeCell ref="B13:H13"/>
    <mergeCell ref="B16:H16"/>
    <mergeCell ref="B15:H15"/>
    <mergeCell ref="B19:H1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38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3" t="n">
        <v>0.2529921630262293</v>
      </c>
      <c r="B6" s="19" t="n">
        <v>59.01009210696876</v>
      </c>
      <c r="C6" s="19" t="n">
        <v>57.65937496174703</v>
      </c>
      <c r="D6" s="19" t="n">
        <v>56.07012057233603</v>
      </c>
      <c r="E6" s="19" t="n">
        <v>54.17302029635631</v>
      </c>
      <c r="F6" s="19" t="n">
        <v>51.86903524268657</v>
      </c>
    </row>
    <row r="7">
      <c r="A7" s="23" t="n">
        <v>0.2679921630262292</v>
      </c>
      <c r="B7" s="19" t="n">
        <v>58.12979307972953</v>
      </c>
      <c r="C7" s="19" t="n">
        <v>56.81386762926719</v>
      </c>
      <c r="D7" s="19" t="n">
        <v>55.26554916327065</v>
      </c>
      <c r="E7" s="19" t="n">
        <v>53.41731428739584</v>
      </c>
      <c r="F7" s="19" t="n">
        <v>51.17267514859882</v>
      </c>
    </row>
    <row r="8">
      <c r="A8" s="23" t="n">
        <v>0.2829921630262293</v>
      </c>
      <c r="B8" s="19" t="n">
        <v>57.27818372994562</v>
      </c>
      <c r="C8" s="19" t="n">
        <v>55.99586630708646</v>
      </c>
      <c r="D8" s="19" t="n">
        <v>54.48709106120581</v>
      </c>
      <c r="E8" s="19" t="n">
        <v>52.68605910910129</v>
      </c>
      <c r="F8" s="19" t="n">
        <v>50.49874684555345</v>
      </c>
    </row>
    <row r="9">
      <c r="A9" s="23" t="n">
        <v>0.2979921630262293</v>
      </c>
      <c r="B9" s="19" t="n">
        <v>56.45406278038458</v>
      </c>
      <c r="C9" s="19" t="n">
        <v>55.20422029927338</v>
      </c>
      <c r="D9" s="19" t="n">
        <v>53.7336550841911</v>
      </c>
      <c r="E9" s="19" t="n">
        <v>51.97823462163526</v>
      </c>
      <c r="F9" s="19" t="n">
        <v>49.84631647274035</v>
      </c>
    </row>
    <row r="10">
      <c r="A10" s="23" t="n">
        <v>0.3129921630262292</v>
      </c>
      <c r="B10" s="19" t="n">
        <v>55.65629045553789</v>
      </c>
      <c r="C10" s="19" t="n">
        <v>54.43783779326222</v>
      </c>
      <c r="D10" s="19" t="n">
        <v>53.00420585288047</v>
      </c>
      <c r="E10" s="19" t="n">
        <v>51.29287281024559</v>
      </c>
      <c r="F10" s="19" t="n">
        <v>49.2144978281716</v>
      </c>
    </row>
    <row r="12">
      <c r="A12" s="38" t="inlineStr">
        <is>
          <t>Explicit WACC (rows) × terminal WACC (columns) — fair value per share (EGP)</t>
        </is>
      </c>
    </row>
    <row r="13">
      <c r="A13" s="6" t="inlineStr"/>
      <c r="B13" s="6" t="inlineStr">
        <is>
          <t>14.3%</t>
        </is>
      </c>
      <c r="C13" s="6" t="inlineStr">
        <is>
          <t>15.3%</t>
        </is>
      </c>
      <c r="D13" s="6" t="inlineStr">
        <is>
          <t>16.3%</t>
        </is>
      </c>
      <c r="E13" s="6" t="inlineStr">
        <is>
          <t>17.3%</t>
        </is>
      </c>
      <c r="F13" s="6" t="inlineStr">
        <is>
          <t>18.3%</t>
        </is>
      </c>
    </row>
    <row r="14">
      <c r="A14" s="23" t="n">
        <v>0.2529921630262293</v>
      </c>
      <c r="B14" s="19" t="n">
        <v>60.48610546924424</v>
      </c>
      <c r="C14" s="19" t="n">
        <v>58.07360337682618</v>
      </c>
      <c r="D14" s="19" t="n">
        <v>56.07012057233603</v>
      </c>
      <c r="E14" s="19" t="n">
        <v>54.37659482364894</v>
      </c>
      <c r="F14" s="19" t="n">
        <v>52.92368238321455</v>
      </c>
    </row>
    <row r="15">
      <c r="A15" s="23" t="n">
        <v>0.2679921630262292</v>
      </c>
      <c r="B15" s="19" t="n">
        <v>59.5644159168212</v>
      </c>
      <c r="C15" s="19" t="n">
        <v>57.21589105821878</v>
      </c>
      <c r="D15" s="19" t="n">
        <v>55.26554916327065</v>
      </c>
      <c r="E15" s="19" t="n">
        <v>53.61695037907413</v>
      </c>
      <c r="F15" s="19" t="n">
        <v>52.20258675295898</v>
      </c>
    </row>
    <row r="16">
      <c r="A16" s="23" t="n">
        <v>0.2829921630262293</v>
      </c>
      <c r="B16" s="19" t="n">
        <v>58.67291716058843</v>
      </c>
      <c r="C16" s="19" t="n">
        <v>56.38614224680695</v>
      </c>
      <c r="D16" s="19" t="n">
        <v>54.48709106120581</v>
      </c>
      <c r="E16" s="19" t="n">
        <v>52.88185493452322</v>
      </c>
      <c r="F16" s="19" t="n">
        <v>51.5046978636255</v>
      </c>
    </row>
    <row r="17">
      <c r="A17" s="23" t="n">
        <v>0.2979921630262293</v>
      </c>
      <c r="B17" s="19" t="n">
        <v>57.8103406020862</v>
      </c>
      <c r="C17" s="19" t="n">
        <v>55.58318525535164</v>
      </c>
      <c r="D17" s="19" t="n">
        <v>53.7336550841911</v>
      </c>
      <c r="E17" s="19" t="n">
        <v>52.17028537298748</v>
      </c>
      <c r="F17" s="19" t="n">
        <v>50.82905099922696</v>
      </c>
    </row>
    <row r="18">
      <c r="A18" s="23" t="n">
        <v>0.3129921630262292</v>
      </c>
      <c r="B18" s="19" t="n">
        <v>56.97548275922937</v>
      </c>
      <c r="C18" s="19" t="n">
        <v>54.805908425422</v>
      </c>
      <c r="D18" s="19" t="n">
        <v>53.00420585288047</v>
      </c>
      <c r="E18" s="19" t="n">
        <v>51.48127080709907</v>
      </c>
      <c r="F18" s="19" t="n">
        <v>50.17473060797412</v>
      </c>
    </row>
    <row r="20">
      <c r="A20" s="38" t="inlineStr">
        <is>
          <t>Beta — fair value per share (EGP)</t>
        </is>
      </c>
    </row>
    <row r="21">
      <c r="A21" s="6" t="inlineStr"/>
      <c r="B21" s="6" t="inlineStr">
        <is>
          <t>β = 0.60</t>
        </is>
      </c>
      <c r="C21" s="6" t="inlineStr">
        <is>
          <t>β = 0.80</t>
        </is>
      </c>
      <c r="D21" s="6" t="inlineStr">
        <is>
          <t>β = 1.00</t>
        </is>
      </c>
      <c r="E21" s="6" t="inlineStr">
        <is>
          <t>β = 1.15</t>
        </is>
      </c>
      <c r="F21" s="6" t="inlineStr">
        <is>
          <t>β = 1.30</t>
        </is>
      </c>
    </row>
    <row r="22">
      <c r="A22" s="40" t="inlineStr">
        <is>
          <t>Fair value</t>
        </is>
      </c>
      <c r="B22" s="19" t="n">
        <v>61.62711453191083</v>
      </c>
      <c r="C22" s="19" t="n">
        <v>57.68997460982408</v>
      </c>
      <c r="D22" s="19" t="n">
        <v>54.48709106120581</v>
      </c>
      <c r="E22" s="19" t="n">
        <v>52.44698262820113</v>
      </c>
      <c r="F22" s="19" t="n">
        <v>50.65185702135076</v>
      </c>
    </row>
    <row r="24">
      <c r="A24" s="38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0" t="inlineStr">
        <is>
          <t>Fair value</t>
        </is>
      </c>
      <c r="B26" s="19" t="n">
        <v>45.42129736081894</v>
      </c>
      <c r="C26" s="19" t="n">
        <v>49.95419421101236</v>
      </c>
      <c r="D26" s="19" t="n">
        <v>54.48709106120581</v>
      </c>
      <c r="E26" s="19" t="n">
        <v>59.01998791139925</v>
      </c>
      <c r="F26" s="19" t="n">
        <v>63.55288476159266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3">
    <mergeCell ref="A29:J29"/>
    <mergeCell ref="A28:J28"/>
    <mergeCell ref="A30:J3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Flow'!E15/Assumptions!$B$6</f>
        <v/>
      </c>
      <c r="F6" s="15">
        <f>'Cash Flow'!F15/Assumptions!$B$6</f>
        <v/>
      </c>
      <c r="G6" s="15">
        <f>'Cash Flow'!G15/Assumptions!$B$6</f>
        <v/>
      </c>
      <c r="H6" s="15">
        <f>'Cash Flow'!H15/Assumptions!$B$6</f>
        <v/>
      </c>
      <c r="I6" s="15">
        <f>'Cash Flow'!I15/Assumptions!$B$6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2">
        <f>'Income Statement'!B14/'Balance Sheet'!B12</f>
        <v/>
      </c>
      <c r="C10" s="12">
        <f>'Income Statement'!C14/'Balance Sheet'!C12</f>
        <v/>
      </c>
      <c r="D10" s="12">
        <f>'Income Statement'!D14/'Balance Sheet'!D12</f>
        <v/>
      </c>
      <c r="E10" s="12">
        <f>'Income Statement'!E14/'Balance Sheet'!E12</f>
        <v/>
      </c>
      <c r="F10" s="12">
        <f>'Income Statement'!F14/'Balance Sheet'!F12</f>
        <v/>
      </c>
      <c r="G10" s="12">
        <f>'Income Statement'!G14/'Balance Sheet'!G12</f>
        <v/>
      </c>
      <c r="H10" s="12">
        <f>'Income Statement'!H14/'Balance Sheet'!H12</f>
        <v/>
      </c>
      <c r="I10" s="12">
        <f>'Income Statement'!I14/'Balance Sheet'!I12</f>
        <v/>
      </c>
    </row>
    <row r="11">
      <c r="A11" t="inlineStr">
        <is>
          <t>EBITDA per tonne sold (EGP)</t>
        </is>
      </c>
      <c r="B11" s="29">
        <f>'Income Statement'!B6/'Unit Build'!B7</f>
        <v/>
      </c>
      <c r="C11" s="29">
        <f>'Income Statement'!C6/'Unit Build'!C7</f>
        <v/>
      </c>
      <c r="D11" s="29">
        <f>'Income Statement'!D6/'Unit Build'!D7</f>
        <v/>
      </c>
      <c r="E11" s="29">
        <f>'Income Statement'!E6/'Unit Build'!E7</f>
        <v/>
      </c>
      <c r="F11" s="29">
        <f>'Income Statement'!F6/'Unit Build'!F7</f>
        <v/>
      </c>
      <c r="G11" s="29">
        <f>'Income Statement'!G6/'Unit Build'!G7</f>
        <v/>
      </c>
      <c r="H11" s="29">
        <f>'Income Statement'!H6/'Unit Build'!H7</f>
        <v/>
      </c>
      <c r="I11" s="29">
        <f>'Income Statement'!I6/'Unit Build'!I7</f>
        <v/>
      </c>
    </row>
    <row r="12">
      <c r="A12" t="inlineStr">
        <is>
          <t>Price / earnings (at spot)</t>
        </is>
      </c>
      <c r="B12" s="30">
        <f>Assumptions!$B$5/B5</f>
        <v/>
      </c>
      <c r="C12" s="30">
        <f>Assumptions!$B$5/C5</f>
        <v/>
      </c>
      <c r="D12" s="30">
        <f>Assumptions!$B$5/D5</f>
        <v/>
      </c>
      <c r="E12" s="30">
        <f>Assumptions!$B$5/E5</f>
        <v/>
      </c>
      <c r="F12" s="30">
        <f>Assumptions!$B$5/F5</f>
        <v/>
      </c>
      <c r="G12" s="30">
        <f>Assumptions!$B$5/G5</f>
        <v/>
      </c>
      <c r="H12" s="30">
        <f>Assumptions!$B$5/H5</f>
        <v/>
      </c>
      <c r="I12" s="30">
        <f>Assumptions!$B$5/I5</f>
        <v/>
      </c>
    </row>
    <row r="13">
      <c r="A13" t="inlineStr">
        <is>
          <t>EV / EBITDA (at spot)</t>
        </is>
      </c>
      <c r="B13" s="30">
        <f>(Assumptions!$B$5*Assumptions!$B$6-('Balance Sheet'!B7-'Balance Sheet'!B9))/'Income Statement'!B6</f>
        <v/>
      </c>
      <c r="C13" s="30">
        <f>(Assumptions!$B$5*Assumptions!$B$6-('Balance Sheet'!C7-'Balance Sheet'!C9))/'Income Statement'!C6</f>
        <v/>
      </c>
      <c r="D13" s="30">
        <f>(Assumptions!$B$5*Assumptions!$B$6-('Balance Sheet'!D7-'Balance Sheet'!D9))/'Income Statement'!D6</f>
        <v/>
      </c>
      <c r="E13" s="30">
        <f>(Assumptions!$B$5*Assumptions!$B$6-('Balance Sheet'!E7-'Balance Sheet'!E9))/'Income Statement'!E6</f>
        <v/>
      </c>
      <c r="F13" s="30">
        <f>(Assumptions!$B$5*Assumptions!$B$6-('Balance Sheet'!F7-'Balance Sheet'!F9))/'Income Statement'!F6</f>
        <v/>
      </c>
      <c r="G13" s="30">
        <f>(Assumptions!$B$5*Assumptions!$B$6-('Balance Sheet'!G7-'Balance Sheet'!G9))/'Income Statement'!G6</f>
        <v/>
      </c>
      <c r="H13" s="30">
        <f>(Assumptions!$B$5*Assumptions!$B$6-('Balance Sheet'!H7-'Balance Sheet'!H9))/'Income Statement'!H6</f>
        <v/>
      </c>
      <c r="I13" s="30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4" t="n">
        <v>5700</v>
      </c>
    </row>
    <row r="6">
      <c r="A6" t="inlineStr">
        <is>
          <t>Misr Beni Suef — FY2025 attributable profit (EGP mn)</t>
        </is>
      </c>
      <c r="B6" s="24" t="n">
        <v>3946</v>
      </c>
    </row>
    <row r="7">
      <c r="A7" t="inlineStr">
        <is>
          <t>Misr Beni Suef — earnings per share (EGP)</t>
        </is>
      </c>
      <c r="B7" s="19" t="n">
        <v>61.25</v>
      </c>
    </row>
    <row r="8">
      <c r="A8" t="inlineStr">
        <is>
          <t>Misr Beni Suef — market capitalisation (EGP mn)</t>
        </is>
      </c>
      <c r="B8" s="24" t="n">
        <v>13730</v>
      </c>
    </row>
    <row r="9">
      <c r="A9" t="inlineStr">
        <is>
          <t>Misr Beni Suef — trailing price/earnings</t>
        </is>
      </c>
      <c r="B9" s="25" t="n">
        <v>6.44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4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2" t="n">
        <v>76</v>
      </c>
    </row>
    <row r="15">
      <c r="A15" t="inlineStr">
        <is>
          <t>Domestic consumption 2025 (Mt)</t>
        </is>
      </c>
      <c r="B15" s="22" t="n">
        <v>54</v>
      </c>
    </row>
    <row r="16">
      <c r="A16" t="inlineStr">
        <is>
          <t>Production 2025 (Mt)</t>
        </is>
      </c>
      <c r="B16" s="22" t="n">
        <v>65</v>
      </c>
    </row>
    <row r="17">
      <c r="A17" t="inlineStr">
        <is>
          <t>Exports 2025 (Mt)</t>
        </is>
      </c>
      <c r="B17" s="22" t="n">
        <v>18.5</v>
      </c>
    </row>
    <row r="18">
      <c r="A18" t="inlineStr">
        <is>
          <t>Dormant capacity under revival from 2H-2026 (Mt)</t>
        </is>
      </c>
      <c r="B18" s="22" t="n">
        <v>12.6</v>
      </c>
    </row>
    <row r="19">
      <c r="A19" t="inlineStr">
        <is>
          <t>SCEM capacity as % of Egyptian capacity</t>
        </is>
      </c>
      <c r="B19" s="12">
        <f>Assumptions!$B$8/B14</f>
        <v/>
      </c>
    </row>
    <row r="20">
      <c r="A20" t="inlineStr">
        <is>
          <t>Revival capacity as % of domestic consumption</t>
        </is>
      </c>
      <c r="B20" s="12">
        <f>B18/B15</f>
        <v/>
      </c>
    </row>
    <row r="21">
      <c r="A21" t="inlineStr">
        <is>
          <t>Structural surplus (capacity less consumption, Mt)</t>
        </is>
      </c>
      <c r="B21" s="31">
        <f>B14-B15</f>
        <v/>
      </c>
    </row>
    <row r="22">
      <c r="A22" t="inlineStr">
        <is>
          <t>SCEM EV/EBITDA at spot on FY2026E</t>
        </is>
      </c>
      <c r="B22" s="30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2026-08-06T15:04:20Z</dcterms:created>
  <dcterms:modified xmlns:dcterms="http://purl.org/dc/terms/" xmlns:xsi="http://www.w3.org/2001/XMLSchema-instance" xsi:type="dcterms:W3CDTF">2026-08-06T15:04:20Z</dcterms:modified>
</cp:coreProperties>
</file>