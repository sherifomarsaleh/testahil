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b val="1"/>
      <color rgb="00000000"/>
    </font>
    <font>
      <color rgb="00008000"/>
    </font>
    <font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9" fontId="8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9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0" fontId="8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69" fontId="10" fillId="0" borderId="0" pivotButton="0" quotePrefix="0" xfId="0"/>
    <xf numFmtId="168" fontId="9" fillId="0" borderId="0" pivotButton="0" quotePrefix="0" xfId="0"/>
    <xf numFmtId="168" fontId="8" fillId="0" borderId="0" pivotButton="0" quotePrefix="0" xfId="0"/>
    <xf numFmtId="167" fontId="8" fillId="0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1" fontId="9" fillId="0" borderId="0" pivotButton="0" quotePrefix="0" xfId="0"/>
    <xf numFmtId="10" fontId="9" fillId="0" borderId="0" pivotButton="0" quotePrefix="0" xfId="0"/>
    <xf numFmtId="169" fontId="5" fillId="3" borderId="0" pivotButton="0" quotePrefix="0" xfId="0"/>
    <xf numFmtId="165" fontId="9" fillId="0" borderId="0" pivotButton="0" quotePrefix="0" xfId="0"/>
    <xf numFmtId="10" fontId="7" fillId="0" borderId="0" pivotButton="0" quotePrefix="0" xfId="0"/>
    <xf numFmtId="172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Value per share (EGP)</t>
        </is>
      </c>
      <c r="C12" s="6" t="inlineStr">
        <is>
          <t>Weight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s="7">
        <f>'Fundamental Valuation'!B5</f>
        <v/>
      </c>
      <c r="C13" s="11">
        <f>'Fundamental Valuation'!C5</f>
        <v/>
      </c>
      <c r="D13" s="12">
        <f>B13/$B$5-1</f>
        <v/>
      </c>
      <c r="E13" s="11">
        <f>DCF!B33</f>
        <v/>
      </c>
    </row>
    <row r="14">
      <c r="A14" t="inlineStr">
        <is>
          <t>Relative multiples</t>
        </is>
      </c>
      <c r="B14" s="7">
        <f>'Fundamental Valuation'!B6</f>
        <v/>
      </c>
      <c r="C14" s="11">
        <f>'Fundamental Valuation'!C6</f>
        <v/>
      </c>
      <c r="D14" s="12">
        <f>B14/$B$5-1</f>
        <v/>
      </c>
    </row>
    <row r="15">
      <c r="A15" t="inlineStr">
        <is>
          <t>Normalised earnings</t>
        </is>
      </c>
      <c r="B15" s="7">
        <f>'Fundamental Valuation'!B7</f>
        <v/>
      </c>
      <c r="C15" s="11">
        <f>'Fundamental Valuation'!C7</f>
        <v/>
      </c>
      <c r="D15" s="12">
        <f>B15/$B$5-1</f>
        <v/>
      </c>
    </row>
    <row r="16">
      <c r="A16" t="inlineStr">
        <is>
          <t>Asset / replacement cost</t>
        </is>
      </c>
      <c r="B16" s="7">
        <f>'Fundamental Valuation'!B8</f>
        <v/>
      </c>
      <c r="C16" s="11">
        <f>'Fundamental Valuation'!C8</f>
        <v/>
      </c>
      <c r="D16" s="12">
        <f>B16/$B$5-1</f>
        <v/>
      </c>
    </row>
    <row r="17">
      <c r="A17" t="inlineStr">
        <is>
          <t>Weighted central fair value (EGP)</t>
        </is>
      </c>
      <c r="B17" s="13">
        <f>'Fundamental Valuation'!D10</f>
        <v/>
      </c>
      <c r="D17" s="14">
        <f>B17/$B$5-1</f>
        <v/>
      </c>
    </row>
    <row r="18">
      <c r="A18" t="inlineStr">
        <is>
          <t>Range across the four lenses (EGP)</t>
        </is>
      </c>
      <c r="B18" s="15">
        <f>MIN(B13:B16)</f>
        <v/>
      </c>
      <c r="C18" s="15">
        <f>MAX(B13:B16)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1">
        <f>Assumptions!$B$55</f>
        <v/>
      </c>
    </row>
    <row r="26">
      <c r="A26" t="inlineStr">
        <is>
          <t>Terminal return on invested capital (replacement basis)</t>
        </is>
      </c>
      <c r="B26" s="11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Value per share (EGP)</t>
        </is>
      </c>
      <c r="C4" s="6" t="inlineStr">
        <is>
          <t>Weight</t>
        </is>
      </c>
      <c r="D4" s="6" t="inlineStr">
        <is>
          <t>Weighted</t>
        </is>
      </c>
    </row>
    <row r="5">
      <c r="A5" t="inlineStr">
        <is>
          <t>DCF (cash flow)</t>
        </is>
      </c>
      <c r="B5" s="7">
        <f>DCF!B39</f>
        <v/>
      </c>
      <c r="C5" s="11">
        <f>Assumptions!$B$87</f>
        <v/>
      </c>
      <c r="D5" s="15">
        <f>B5*C5</f>
        <v/>
      </c>
    </row>
    <row r="6">
      <c r="A6" t="inlineStr">
        <is>
          <t>Relative multiples</t>
        </is>
      </c>
      <c r="B6" s="7">
        <f>'Relative &amp; Normalized'!B15</f>
        <v/>
      </c>
      <c r="C6" s="11">
        <f>Assumptions!$B$88</f>
        <v/>
      </c>
      <c r="D6" s="15">
        <f>B6*C6</f>
        <v/>
      </c>
    </row>
    <row r="7">
      <c r="A7" t="inlineStr">
        <is>
          <t>Normalised earnings</t>
        </is>
      </c>
      <c r="B7" s="7">
        <f>'Relative &amp; Normalized'!B26</f>
        <v/>
      </c>
      <c r="C7" s="11">
        <f>Assumptions!$B$89</f>
        <v/>
      </c>
      <c r="D7" s="15">
        <f>B7*C7</f>
        <v/>
      </c>
    </row>
    <row r="8">
      <c r="A8" t="inlineStr">
        <is>
          <t>Asset / replacement cost</t>
        </is>
      </c>
      <c r="B8" s="7">
        <f>'Relative &amp; Normalized'!B38</f>
        <v/>
      </c>
      <c r="C8" s="11">
        <f>Assumptions!$B$90</f>
        <v/>
      </c>
      <c r="D8" s="15">
        <f>B8*C8</f>
        <v/>
      </c>
    </row>
    <row r="10">
      <c r="A10" t="inlineStr">
        <is>
          <t>Weighted central fair value (EGP)</t>
        </is>
      </c>
      <c r="D10" s="13">
        <f>SUM(D5:D8)</f>
        <v/>
      </c>
    </row>
    <row r="11">
      <c r="A11" t="inlineStr">
        <is>
          <t>Lowest lens</t>
        </is>
      </c>
      <c r="B11" s="15">
        <f>MIN(B5:B8)</f>
        <v/>
      </c>
    </row>
    <row r="12">
      <c r="A12" t="inlineStr">
        <is>
          <t>Highest lens</t>
        </is>
      </c>
      <c r="B12" s="15">
        <f>MAX(B5:B8)</f>
        <v/>
      </c>
    </row>
    <row r="13">
      <c r="A13" t="inlineStr">
        <is>
          <t>Median lens</t>
        </is>
      </c>
      <c r="B13" s="15">
        <f>MEDIAN(B5:B8)</f>
        <v/>
      </c>
    </row>
    <row r="14">
      <c r="A14" t="inlineStr">
        <is>
          <t>Spot price (EGP)</t>
        </is>
      </c>
      <c r="B14" s="7">
        <f>Assumptions!$B$5</f>
        <v/>
      </c>
    </row>
    <row r="15">
      <c r="A15" t="inlineStr">
        <is>
          <t>Central versus spot</t>
        </is>
      </c>
      <c r="B15" s="14">
        <f>D10/B14-1</f>
        <v/>
      </c>
    </row>
    <row r="16">
      <c r="A16" t="inlineStr">
        <is>
          <t>Terminal value as % of enterprise value (DCF lens)</t>
        </is>
      </c>
      <c r="B16" s="11">
        <f>DCF!B33</f>
        <v/>
      </c>
    </row>
    <row r="18">
      <c r="A18" s="5" t="inlineStr">
        <is>
          <t>The four lenses disagree by design — the spread between the cash-flow lens and the replacement-cost</t>
        </is>
      </c>
    </row>
    <row r="19">
      <c r="A19" s="5" t="inlineStr">
        <is>
          <t>lens IS the question this company poses, and averaging it away would hide it.</t>
        </is>
      </c>
    </row>
  </sheetData>
  <mergeCells count="2">
    <mergeCell ref="A18:J18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49.8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straight-line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3993.4</v>
      </c>
      <c r="D30" s="23" t="n">
        <v>4431.3</v>
      </c>
      <c r="E30" s="23" t="n">
        <v>4781.6</v>
      </c>
      <c r="F30" s="23" t="n">
        <v>5079.3</v>
      </c>
      <c r="G30" s="23" t="n">
        <v>5359.6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49.8</v>
      </c>
      <c r="C32" s="21" t="n">
        <v>55.39</v>
      </c>
      <c r="D32" s="21" t="n">
        <v>59.96</v>
      </c>
      <c r="E32" s="21" t="n">
        <v>63.12</v>
      </c>
      <c r="F32" s="21" t="n">
        <v>65.42</v>
      </c>
      <c r="G32" s="21" t="n">
        <v>67.34999999999999</v>
      </c>
    </row>
    <row r="33">
      <c r="A33" t="inlineStr">
        <is>
          <t>Local cost inflation index</t>
        </is>
      </c>
      <c r="B33" s="22" t="n">
        <v>1</v>
      </c>
      <c r="C33" s="22" t="n">
        <v>1.14</v>
      </c>
      <c r="D33" s="22" t="n">
        <v>1.265</v>
      </c>
      <c r="E33" s="22" t="n">
        <v>1.365</v>
      </c>
      <c r="F33" s="22" t="n">
        <v>1.45</v>
      </c>
      <c r="G33" s="22" t="n">
        <v>1.53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0.215</v>
      </c>
      <c r="C38" s="20" t="n">
        <v>0.195</v>
      </c>
      <c r="D38" s="20" t="n">
        <v>0.18</v>
      </c>
      <c r="E38" s="20" t="n">
        <v>0.168</v>
      </c>
      <c r="F38" s="20" t="n">
        <v>0.16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0.2231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0.215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0.125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0.05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</t>
        </is>
      </c>
      <c r="B69" s="21" t="n">
        <v>6385.92</v>
      </c>
    </row>
    <row r="70">
      <c r="A70" t="inlineStr">
        <is>
          <t>FY2024 total liabilities</t>
        </is>
      </c>
      <c r="B70" s="21" t="n">
        <v>1610.86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Weight — cash flow</t>
        </is>
      </c>
      <c r="B87" s="20" t="n">
        <v>0.48</v>
      </c>
    </row>
    <row r="88">
      <c r="A88" t="inlineStr">
        <is>
          <t>Weight — relative</t>
        </is>
      </c>
      <c r="B88" s="20" t="n">
        <v>0.21</v>
      </c>
    </row>
    <row r="89">
      <c r="A89" t="inlineStr">
        <is>
          <t>Weight — normalised</t>
        </is>
      </c>
      <c r="B89" s="20" t="n">
        <v>0.23</v>
      </c>
    </row>
    <row r="90">
      <c r="A90" t="inlineStr">
        <is>
          <t>Weight — asset</t>
        </is>
      </c>
      <c r="B90" s="20" t="n">
        <v>0.08</v>
      </c>
    </row>
    <row r="91">
      <c r="A91" t="inlineStr">
        <is>
          <t>Total (must be 100%)</t>
        </is>
      </c>
      <c r="B91" s="14">
        <f>SUM(B87:B90)</f>
        <v/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6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6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2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1">
        <f>Assumptions!$B$28</f>
        <v/>
      </c>
      <c r="C6" s="11">
        <f>Assumptions!$C$28</f>
        <v/>
      </c>
      <c r="D6" s="11">
        <f>Assumptions!$D$28</f>
        <v/>
      </c>
      <c r="E6" s="11">
        <f>Assumptions!$E$28</f>
        <v/>
      </c>
      <c r="F6" s="11">
        <f>Assumptions!$F$28</f>
        <v/>
      </c>
      <c r="G6" s="11">
        <f>Assumptions!$G$28</f>
        <v/>
      </c>
    </row>
    <row r="7">
      <c r="A7" t="inlineStr">
        <is>
          <t>Clinker produced (Mt)</t>
        </is>
      </c>
      <c r="B7" s="27">
        <f>B5*B6</f>
        <v/>
      </c>
      <c r="C7" s="27">
        <f>C5*C6</f>
        <v/>
      </c>
      <c r="D7" s="27">
        <f>D5*D6</f>
        <v/>
      </c>
      <c r="E7" s="27">
        <f>E5*E6</f>
        <v/>
      </c>
      <c r="F7" s="27">
        <f>F5*F6</f>
        <v/>
      </c>
      <c r="G7" s="27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8">
        <f>Assumptions!$B$14</f>
        <v/>
      </c>
      <c r="C9" s="28">
        <f>Assumptions!$B$14</f>
        <v/>
      </c>
      <c r="D9" s="28">
        <f>Assumptions!$B$14</f>
        <v/>
      </c>
      <c r="E9" s="28">
        <f>Assumptions!$B$14</f>
        <v/>
      </c>
      <c r="F9" s="28">
        <f>Assumptions!$B$14</f>
        <v/>
      </c>
      <c r="G9" s="28">
        <f>Assumptions!$B$14</f>
        <v/>
      </c>
    </row>
    <row r="10">
      <c r="A10" t="inlineStr">
        <is>
          <t>Cement produced (Mt)</t>
        </is>
      </c>
      <c r="B10" s="27">
        <f>B7/B9</f>
        <v/>
      </c>
      <c r="C10" s="27">
        <f>C7/C9</f>
        <v/>
      </c>
      <c r="D10" s="27">
        <f>D7/D9</f>
        <v/>
      </c>
      <c r="E10" s="27">
        <f>E7/E9</f>
        <v/>
      </c>
      <c r="F10" s="27">
        <f>F7/F9</f>
        <v/>
      </c>
      <c r="G10" s="27">
        <f>G7/G9</f>
        <v/>
      </c>
    </row>
    <row r="11">
      <c r="A11" t="inlineStr">
        <is>
          <t>Domestic share</t>
        </is>
      </c>
      <c r="B11" s="11">
        <f>Assumptions!$B$29</f>
        <v/>
      </c>
      <c r="C11" s="11">
        <f>Assumptions!$C$29</f>
        <v/>
      </c>
      <c r="D11" s="11">
        <f>Assumptions!$D$29</f>
        <v/>
      </c>
      <c r="E11" s="11">
        <f>Assumptions!$E$29</f>
        <v/>
      </c>
      <c r="F11" s="11">
        <f>Assumptions!$F$29</f>
        <v/>
      </c>
      <c r="G11" s="11">
        <f>Assumptions!$G$29</f>
        <v/>
      </c>
    </row>
    <row r="12">
      <c r="A12" t="inlineStr">
        <is>
          <t>Domestic volume (Mt)</t>
        </is>
      </c>
      <c r="B12" s="27">
        <f>B10*B11</f>
        <v/>
      </c>
      <c r="C12" s="27">
        <f>C10*C11</f>
        <v/>
      </c>
      <c r="D12" s="27">
        <f>D10*D11</f>
        <v/>
      </c>
      <c r="E12" s="27">
        <f>E10*E11</f>
        <v/>
      </c>
      <c r="F12" s="27">
        <f>F10*F11</f>
        <v/>
      </c>
      <c r="G12" s="27">
        <f>G10*G11</f>
        <v/>
      </c>
    </row>
    <row r="13">
      <c r="A13" t="inlineStr">
        <is>
          <t>Export volume (Mt)</t>
        </is>
      </c>
      <c r="B13" s="27">
        <f>B10-B12</f>
        <v/>
      </c>
      <c r="C13" s="27">
        <f>C10-C12</f>
        <v/>
      </c>
      <c r="D13" s="27">
        <f>D10-D12</f>
        <v/>
      </c>
      <c r="E13" s="27">
        <f>E10-E12</f>
        <v/>
      </c>
      <c r="F13" s="27">
        <f>F10-F12</f>
        <v/>
      </c>
      <c r="G13" s="27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29">
        <f>Assumptions!$B$31</f>
        <v/>
      </c>
      <c r="C15" s="29">
        <f>Assumptions!$C$31</f>
        <v/>
      </c>
      <c r="D15" s="29">
        <f>Assumptions!$D$31</f>
        <v/>
      </c>
      <c r="E15" s="29">
        <f>Assumptions!$E$31</f>
        <v/>
      </c>
      <c r="F15" s="29">
        <f>Assumptions!$F$31</f>
        <v/>
      </c>
      <c r="G15" s="29">
        <f>Assumptions!$G$31</f>
        <v/>
      </c>
    </row>
    <row r="16">
      <c r="A16" t="inlineStr">
        <is>
          <t>USD/EGP</t>
        </is>
      </c>
      <c r="B16" s="29">
        <f>Assumptions!$B$32</f>
        <v/>
      </c>
      <c r="C16" s="29">
        <f>Assumptions!$C$32</f>
        <v/>
      </c>
      <c r="D16" s="29">
        <f>Assumptions!$D$32</f>
        <v/>
      </c>
      <c r="E16" s="29">
        <f>Assumptions!$E$32</f>
        <v/>
      </c>
      <c r="F16" s="29">
        <f>Assumptions!$F$32</f>
        <v/>
      </c>
      <c r="G16" s="29">
        <f>Assumptions!$G$32</f>
        <v/>
      </c>
    </row>
    <row r="17">
      <c r="A17" t="inlineStr">
        <is>
          <t>Domestic revenue (EGP mn)</t>
        </is>
      </c>
      <c r="B17" s="30">
        <f>B12*B14</f>
        <v/>
      </c>
      <c r="C17" s="30">
        <f>C12*C14</f>
        <v/>
      </c>
      <c r="D17" s="30">
        <f>D12*D14</f>
        <v/>
      </c>
      <c r="E17" s="30">
        <f>E12*E14</f>
        <v/>
      </c>
      <c r="F17" s="30">
        <f>F12*F14</f>
        <v/>
      </c>
      <c r="G17" s="30">
        <f>G12*G14</f>
        <v/>
      </c>
    </row>
    <row r="18">
      <c r="A18" t="inlineStr">
        <is>
          <t>Export revenue (EGP mn)</t>
        </is>
      </c>
      <c r="B18" s="30">
        <f>B13*B15*B16</f>
        <v/>
      </c>
      <c r="C18" s="30">
        <f>C13*C15*C16</f>
        <v/>
      </c>
      <c r="D18" s="30">
        <f>D13*D15*D16</f>
        <v/>
      </c>
      <c r="E18" s="30">
        <f>E13*E15*E16</f>
        <v/>
      </c>
      <c r="F18" s="30">
        <f>F13*F15*F16</f>
        <v/>
      </c>
      <c r="G18" s="30">
        <f>G13*G15*G16</f>
        <v/>
      </c>
    </row>
    <row r="19">
      <c r="A19" t="inlineStr">
        <is>
          <t>REVENUE (EGP mn)</t>
        </is>
      </c>
      <c r="B19" s="31">
        <f>B17+B18</f>
        <v/>
      </c>
      <c r="C19" s="31">
        <f>C17+C18</f>
        <v/>
      </c>
      <c r="D19" s="31">
        <f>D17+D18</f>
        <v/>
      </c>
      <c r="E19" s="31">
        <f>E17+E18</f>
        <v/>
      </c>
      <c r="F19" s="31">
        <f>F17+F18</f>
        <v/>
      </c>
      <c r="G19" s="31">
        <f>G17+G18</f>
        <v/>
      </c>
    </row>
    <row r="20">
      <c r="A20" t="inlineStr">
        <is>
          <t>Blended realised price (EGP/t)</t>
        </is>
      </c>
      <c r="B20" s="30">
        <f>B19/B10</f>
        <v/>
      </c>
      <c r="C20" s="30">
        <f>C19/C10</f>
        <v/>
      </c>
      <c r="D20" s="30">
        <f>D19/D10</f>
        <v/>
      </c>
      <c r="E20" s="30">
        <f>E19/E10</f>
        <v/>
      </c>
      <c r="F20" s="30">
        <f>F19/F10</f>
        <v/>
      </c>
      <c r="G20" s="30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0">
        <f>Assumptions!$B$16/$B$10*(Assumptions!$B$19*B16/Assumptions!$B$32+(1-Assumptions!$B$19)*Assumptions!$B$33/Assumptions!$B$33)</f>
        <v/>
      </c>
      <c r="C23" s="30">
        <f>Assumptions!$B$16/$B$10*(Assumptions!$B$19*C16/Assumptions!$B$32+(1-Assumptions!$B$19)*Assumptions!$C$33/Assumptions!$B$33)</f>
        <v/>
      </c>
      <c r="D23" s="30">
        <f>Assumptions!$B$16/$B$10*(Assumptions!$B$19*D16/Assumptions!$B$32+(1-Assumptions!$B$19)*Assumptions!$D$33/Assumptions!$B$33)</f>
        <v/>
      </c>
      <c r="E23" s="30">
        <f>Assumptions!$B$16/$B$10*(Assumptions!$B$19*E16/Assumptions!$B$32+(1-Assumptions!$B$19)*Assumptions!$E$33/Assumptions!$B$33)</f>
        <v/>
      </c>
      <c r="F23" s="30">
        <f>Assumptions!$B$16/$B$10*(Assumptions!$B$19*F16/Assumptions!$B$32+(1-Assumptions!$B$19)*Assumptions!$F$33/Assumptions!$B$33)</f>
        <v/>
      </c>
      <c r="G23" s="30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0">
        <f>Assumptions!$B$17/$B$10*Assumptions!$B$33/Assumptions!$B$33</f>
        <v/>
      </c>
      <c r="C24" s="30">
        <f>Assumptions!$B$17/$B$10*Assumptions!$C$33/Assumptions!$B$33</f>
        <v/>
      </c>
      <c r="D24" s="30">
        <f>Assumptions!$B$17/$B$10*Assumptions!$D$33/Assumptions!$B$33</f>
        <v/>
      </c>
      <c r="E24" s="30">
        <f>Assumptions!$B$17/$B$10*Assumptions!$E$33/Assumptions!$B$33</f>
        <v/>
      </c>
      <c r="F24" s="30">
        <f>Assumptions!$B$17/$B$10*Assumptions!$F$33/Assumptions!$B$33</f>
        <v/>
      </c>
      <c r="G24" s="30">
        <f>Assumptions!$B$17/$B$10*Assumptions!$G$33/Assumptions!$B$33</f>
        <v/>
      </c>
    </row>
    <row r="28">
      <c r="A28" t="inlineStr">
        <is>
          <t>TOTAL VARIABLE (EGP/t)</t>
        </is>
      </c>
      <c r="B28" s="31">
        <f>B23+B24</f>
        <v/>
      </c>
      <c r="C28" s="31">
        <f>C23+C24</f>
        <v/>
      </c>
      <c r="D28" s="31">
        <f>D23+D24</f>
        <v/>
      </c>
      <c r="E28" s="31">
        <f>E23+E24</f>
        <v/>
      </c>
      <c r="F28" s="31">
        <f>F23+F24</f>
        <v/>
      </c>
      <c r="G28" s="31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0">
        <f>B28*B10</f>
        <v/>
      </c>
      <c r="C32" s="30">
        <f>C28*C10</f>
        <v/>
      </c>
      <c r="D32" s="30">
        <f>D28*D10</f>
        <v/>
      </c>
      <c r="E32" s="30">
        <f>E28*E10</f>
        <v/>
      </c>
      <c r="F32" s="30">
        <f>F28*F10</f>
        <v/>
      </c>
      <c r="G32" s="30">
        <f>G28*G10</f>
        <v/>
      </c>
    </row>
    <row r="33">
      <c r="A33" t="inlineStr">
        <is>
          <t>Fixed cost</t>
        </is>
      </c>
      <c r="B33" s="30">
        <f>Assumptions!$B$18*Assumptions!$B$33/Assumptions!$B$33</f>
        <v/>
      </c>
      <c r="C33" s="30">
        <f>Assumptions!$B$18*Assumptions!$C$33/Assumptions!$B$33</f>
        <v/>
      </c>
      <c r="D33" s="30">
        <f>Assumptions!$B$18*Assumptions!$D$33/Assumptions!$B$33</f>
        <v/>
      </c>
      <c r="E33" s="30">
        <f>Assumptions!$B$18*Assumptions!$E$33/Assumptions!$B$33</f>
        <v/>
      </c>
      <c r="F33" s="30">
        <f>Assumptions!$B$18*Assumptions!$F$33/Assumptions!$B$33</f>
        <v/>
      </c>
      <c r="G33" s="30">
        <f>Assumptions!$B$18*Assumptions!$G$33/Assumptions!$B$33</f>
        <v/>
      </c>
    </row>
    <row r="34">
      <c r="A34" t="inlineStr">
        <is>
          <t>EBITDA  (AN OUTPUT)</t>
        </is>
      </c>
      <c r="B34" s="31">
        <f>B31-B32-B33</f>
        <v/>
      </c>
      <c r="C34" s="31">
        <f>C31-C32-C33</f>
        <v/>
      </c>
      <c r="D34" s="31">
        <f>D31-D32-D33</f>
        <v/>
      </c>
      <c r="E34" s="31">
        <f>E31-E32-E33</f>
        <v/>
      </c>
      <c r="F34" s="31">
        <f>F31-F32-F33</f>
        <v/>
      </c>
      <c r="G34" s="31">
        <f>G31-G32-G33</f>
        <v/>
      </c>
    </row>
    <row r="35">
      <c r="A35" t="inlineStr">
        <is>
          <t>EBITDA margin</t>
        </is>
      </c>
      <c r="B35" s="12">
        <f>B34/B31</f>
        <v/>
      </c>
      <c r="C35" s="12">
        <f>C34/C31</f>
        <v/>
      </c>
      <c r="D35" s="12">
        <f>D34/D31</f>
        <v/>
      </c>
      <c r="E35" s="12">
        <f>E34/E31</f>
        <v/>
      </c>
      <c r="F35" s="12">
        <f>F34/F31</f>
        <v/>
      </c>
      <c r="G35" s="12">
        <f>G34/G31</f>
        <v/>
      </c>
    </row>
    <row r="36">
      <c r="A36" t="inlineStr">
        <is>
          <t>EBITDA per tonne (EGP)</t>
        </is>
      </c>
      <c r="B36" s="30">
        <f>B34/B10</f>
        <v/>
      </c>
      <c r="C36" s="30">
        <f>C34/C10</f>
        <v/>
      </c>
      <c r="D36" s="30">
        <f>D34/D10</f>
        <v/>
      </c>
      <c r="E36" s="30">
        <f>E34/E10</f>
        <v/>
      </c>
      <c r="F36" s="30">
        <f>F34/F10</f>
        <v/>
      </c>
      <c r="G36" s="30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0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2">
        <f>B39/B40-1</f>
        <v/>
      </c>
    </row>
    <row r="42">
      <c r="A42" t="inlineStr">
        <is>
          <t>Bottom-up FY2025 EBITDA</t>
        </is>
      </c>
      <c r="B42" s="30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2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0">
        <f>Assumptions!$B$64</f>
        <v/>
      </c>
    </row>
    <row r="6">
      <c r="A6" t="inlineStr">
        <is>
          <t>Normalised revenue haircut</t>
        </is>
      </c>
      <c r="B6" s="12">
        <f>Assumptions!$B$85</f>
        <v/>
      </c>
    </row>
    <row r="7">
      <c r="A7" t="inlineStr">
        <is>
          <t>Normalised revenue base</t>
        </is>
      </c>
      <c r="B7" s="30">
        <f>B5*B6</f>
        <v/>
      </c>
    </row>
    <row r="8">
      <c r="A8" t="inlineStr">
        <is>
          <t>Mid-cycle EBITDA margin</t>
        </is>
      </c>
      <c r="B8" s="12">
        <f>Assumptions!$B$84</f>
        <v/>
      </c>
    </row>
    <row r="9">
      <c r="A9" t="inlineStr">
        <is>
          <t>Normalised EBITDA</t>
        </is>
      </c>
      <c r="B9" s="30">
        <f>B7*B8</f>
        <v/>
      </c>
    </row>
    <row r="10">
      <c r="A10" t="inlineStr">
        <is>
          <t>Justified EV/EBITDA</t>
        </is>
      </c>
      <c r="B10" s="32">
        <f>Assumptions!$B$82</f>
        <v/>
      </c>
    </row>
    <row r="11">
      <c r="A11" t="inlineStr">
        <is>
          <t>Implied enterprise value</t>
        </is>
      </c>
      <c r="B11" s="30">
        <f>B9*B10</f>
        <v/>
      </c>
    </row>
    <row r="12">
      <c r="A12" t="inlineStr">
        <is>
          <t>Plus net cash</t>
        </is>
      </c>
      <c r="B12" s="30">
        <f>DCF!B36</f>
        <v/>
      </c>
    </row>
    <row r="13">
      <c r="A13" t="inlineStr">
        <is>
          <t>Less non-controlling interests</t>
        </is>
      </c>
      <c r="B13" s="30">
        <f>-Assumptions!$B$61</f>
        <v/>
      </c>
    </row>
    <row r="14">
      <c r="A14" t="inlineStr">
        <is>
          <t>Implied equity value</t>
        </is>
      </c>
      <c r="B14" s="30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0">
        <f>B9</f>
        <v/>
      </c>
    </row>
    <row r="19">
      <c r="A19" t="inlineStr">
        <is>
          <t>Less D&amp;A (FY2025)</t>
        </is>
      </c>
      <c r="B19" s="30">
        <f>-'Income Statement'!D8</f>
        <v/>
      </c>
    </row>
    <row r="20">
      <c r="A20" t="inlineStr">
        <is>
          <t>Normalised EBIT</t>
        </is>
      </c>
      <c r="B20" s="30">
        <f>B18+B19</f>
        <v/>
      </c>
    </row>
    <row r="21">
      <c r="A21" t="inlineStr">
        <is>
          <t>Normalised NOPAT</t>
        </is>
      </c>
      <c r="B21" s="30">
        <f>B20*(1-Assumptions!$B$7)</f>
        <v/>
      </c>
    </row>
    <row r="22">
      <c r="A22" t="inlineStr">
        <is>
          <t>Justified price/earnings</t>
        </is>
      </c>
      <c r="B22" s="32">
        <f>Assumptions!$B$83</f>
        <v/>
      </c>
    </row>
    <row r="23">
      <c r="A23" t="inlineStr">
        <is>
          <t>Operating equity value</t>
        </is>
      </c>
      <c r="B23" s="30">
        <f>B21*B22</f>
        <v/>
      </c>
    </row>
    <row r="24">
      <c r="A24" t="inlineStr">
        <is>
          <t>Plus net cash AT FACE (not capitalised)</t>
        </is>
      </c>
      <c r="B24" s="30">
        <f>DCF!B36</f>
        <v/>
      </c>
    </row>
    <row r="25">
      <c r="A25" t="inlineStr">
        <is>
          <t>Less non-controlling interests</t>
        </is>
      </c>
      <c r="B25" s="30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0">
        <f>Assumptions!$B$5*Assumptions!$B$6-DCF!B36</f>
        <v/>
      </c>
    </row>
    <row r="30">
      <c r="A30" t="inlineStr">
        <is>
          <t>Capacity (annual tonnes)</t>
        </is>
      </c>
      <c r="B30" s="30">
        <f>Assumptions!$B$12*1000000</f>
        <v/>
      </c>
    </row>
    <row r="31">
      <c r="A31" t="inlineStr">
        <is>
          <t>EV per tonne at spot (USD/t)</t>
        </is>
      </c>
      <c r="B31" s="33">
        <f>B29*1000000/B30/Assumptions!$B$9</f>
        <v/>
      </c>
    </row>
    <row r="32">
      <c r="A32" t="inlineStr">
        <is>
          <t>Replacement cost (USD/t)</t>
        </is>
      </c>
      <c r="B32" s="30">
        <f>Assumptions!$B$80</f>
        <v/>
      </c>
    </row>
    <row r="33">
      <c r="A33" t="inlineStr">
        <is>
          <t>Discount to replacement cost</t>
        </is>
      </c>
      <c r="B33" s="12">
        <f>B31/B32-1</f>
        <v/>
      </c>
    </row>
    <row r="34">
      <c r="A34" t="inlineStr">
        <is>
          <t>Justified EV per tonne (USD/t)</t>
        </is>
      </c>
      <c r="B34" s="30">
        <f>Assumptions!$B$81</f>
        <v/>
      </c>
    </row>
    <row r="35">
      <c r="A35" t="inlineStr">
        <is>
          <t>Implied enterprise value (EGP mn)</t>
        </is>
      </c>
      <c r="B35" s="30">
        <f>B34*B30*Assumptions!$B$9/1000000</f>
        <v/>
      </c>
    </row>
    <row r="36">
      <c r="A36" t="inlineStr">
        <is>
          <t>Plus net cash</t>
        </is>
      </c>
      <c r="B36" s="30">
        <f>DCF!B36</f>
        <v/>
      </c>
    </row>
    <row r="37">
      <c r="A37" t="inlineStr">
        <is>
          <t>Less non-controlling interests</t>
        </is>
      </c>
      <c r="B37" s="31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2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2">
        <f>B7/B5</f>
        <v/>
      </c>
      <c r="C6" s="12">
        <f>C7/C5</f>
        <v/>
      </c>
      <c r="D6" s="12">
        <f>D7/D5</f>
        <v/>
      </c>
      <c r="E6" s="12">
        <f>E7/E5</f>
        <v/>
      </c>
      <c r="F6" s="12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0">
        <f>B21*Assumptions!$B$21</f>
        <v/>
      </c>
      <c r="C8" s="30">
        <f>C21*Assumptions!$B$21</f>
        <v/>
      </c>
      <c r="D8" s="30">
        <f>D21*Assumptions!$B$21</f>
        <v/>
      </c>
      <c r="E8" s="30">
        <f>E21*Assumptions!$B$21</f>
        <v/>
      </c>
      <c r="F8" s="30">
        <f>F21*Assumptions!$B$21</f>
        <v/>
      </c>
    </row>
    <row r="9">
      <c r="A9" t="inlineStr">
        <is>
          <t>EBIT</t>
        </is>
      </c>
      <c r="B9" s="30">
        <f>B7-B8</f>
        <v/>
      </c>
      <c r="C9" s="30">
        <f>C7-C8</f>
        <v/>
      </c>
      <c r="D9" s="30">
        <f>D7-D8</f>
        <v/>
      </c>
      <c r="E9" s="30">
        <f>E7-E8</f>
        <v/>
      </c>
      <c r="F9" s="30">
        <f>F7-F8</f>
        <v/>
      </c>
    </row>
    <row r="10">
      <c r="A10" t="inlineStr">
        <is>
          <t>Tax rate</t>
        </is>
      </c>
      <c r="B10" s="11">
        <f>Assumptions!$B$7</f>
        <v/>
      </c>
      <c r="C10" s="11">
        <f>Assumptions!$B$7</f>
        <v/>
      </c>
      <c r="D10" s="11">
        <f>Assumptions!$B$7</f>
        <v/>
      </c>
      <c r="E10" s="11">
        <f>Assumptions!$B$7</f>
        <v/>
      </c>
      <c r="F10" s="11">
        <f>Assumptions!$B$7</f>
        <v/>
      </c>
    </row>
    <row r="11">
      <c r="A11" t="inlineStr">
        <is>
          <t>NOPAT  (EBIT × (1 − t))</t>
        </is>
      </c>
      <c r="B11" s="30">
        <f>B9*(1-B10)</f>
        <v/>
      </c>
      <c r="C11" s="30">
        <f>C9*(1-C10)</f>
        <v/>
      </c>
      <c r="D11" s="30">
        <f>D9*(1-D10)</f>
        <v/>
      </c>
      <c r="E11" s="30">
        <f>E9*(1-E10)</f>
        <v/>
      </c>
      <c r="F11" s="30">
        <f>F9*(1-F10)</f>
        <v/>
      </c>
    </row>
    <row r="12">
      <c r="A12" t="inlineStr">
        <is>
          <t>Memo: capital expenditure</t>
        </is>
      </c>
      <c r="B12" s="30">
        <f>B20</f>
        <v/>
      </c>
      <c r="C12" s="30">
        <f>C20</f>
        <v/>
      </c>
      <c r="D12" s="30">
        <f>D20</f>
        <v/>
      </c>
      <c r="E12" s="30">
        <f>E20</f>
        <v/>
      </c>
      <c r="F12" s="30">
        <f>F20</f>
        <v/>
      </c>
    </row>
    <row r="13">
      <c r="A13" t="inlineStr">
        <is>
          <t>Memo: change in working capital</t>
        </is>
      </c>
      <c r="B13" s="30">
        <f>(B5-Assumptions!$B$64)*Assumptions!$B$40</f>
        <v/>
      </c>
      <c r="C13" s="30">
        <f>(C5-B5)*Assumptions!$B$40</f>
        <v/>
      </c>
      <c r="D13" s="30">
        <f>(D5-C5)*Assumptions!$B$40</f>
        <v/>
      </c>
      <c r="E13" s="30">
        <f>(E5-D5)*Assumptions!$B$40</f>
        <v/>
      </c>
      <c r="F13" s="30">
        <f>(F5-E5)*Assumptions!$B$40</f>
        <v/>
      </c>
    </row>
    <row r="14">
      <c r="A14" t="inlineStr">
        <is>
          <t>Net capital charge  (capex + working capital − depreciation)</t>
        </is>
      </c>
      <c r="B14" s="30">
        <f>B12+B13-B8</f>
        <v/>
      </c>
      <c r="C14" s="30">
        <f>C12+C13-C8</f>
        <v/>
      </c>
      <c r="D14" s="30">
        <f>D12+D13-D8</f>
        <v/>
      </c>
      <c r="E14" s="30">
        <f>E12+E13-E8</f>
        <v/>
      </c>
      <c r="F14" s="30">
        <f>F12+F13-F8</f>
        <v/>
      </c>
    </row>
    <row r="15">
      <c r="A15" t="inlineStr">
        <is>
          <t>Free cash flow to the firm</t>
        </is>
      </c>
      <c r="B15" s="31">
        <f>(B11+B8-B12-B13)*(1-Assumptions!$B$56)</f>
        <v/>
      </c>
      <c r="C15" s="31">
        <f>C11+C8-C12-C13</f>
        <v/>
      </c>
      <c r="D15" s="31">
        <f>D11+D8-D12-D13</f>
        <v/>
      </c>
      <c r="E15" s="31">
        <f>E11+E8-E12-E13</f>
        <v/>
      </c>
      <c r="F15" s="31">
        <f>F11+F8-F12-F13</f>
        <v/>
      </c>
    </row>
    <row r="16">
      <c r="A16" t="inlineStr">
        <is>
          <t>Glide fraction</t>
        </is>
      </c>
      <c r="B16" s="34">
        <f>(Assumptions!$B$38-Assumptions!$B$38)/(Assumptions!$B$38-Assumptions!$F$38)</f>
        <v/>
      </c>
      <c r="C16" s="34">
        <f>(Assumptions!$B$38-Assumptions!$C$38)/(Assumptions!$B$38-Assumptions!$F$38)</f>
        <v/>
      </c>
      <c r="D16" s="34">
        <f>(Assumptions!$B$38-Assumptions!$D$38)/(Assumptions!$B$38-Assumptions!$F$38)</f>
        <v/>
      </c>
      <c r="E16" s="34">
        <f>(Assumptions!$B$38-Assumptions!$E$38)/(Assumptions!$B$38-Assumptions!$F$38)</f>
        <v/>
      </c>
      <c r="F16" s="34">
        <f>(Assumptions!$B$38-Assumptions!$F$38)/(Assumptions!$B$38-Assumptions!$F$38)</f>
        <v/>
      </c>
    </row>
    <row r="17">
      <c r="A17" t="inlineStr">
        <is>
          <t>Forward cost of capital</t>
        </is>
      </c>
      <c r="B17" s="35">
        <f>$C$46-($C$46-$C$53)*B16</f>
        <v/>
      </c>
      <c r="C17" s="35">
        <f>$C$46-($C$46-$C$53)*C16</f>
        <v/>
      </c>
      <c r="D17" s="35">
        <f>$C$46-($C$46-$C$53)*D16</f>
        <v/>
      </c>
      <c r="E17" s="35">
        <f>$C$46-($C$46-$C$53)*E16</f>
        <v/>
      </c>
      <c r="F17" s="35">
        <f>$C$46-($C$46-$C$53)*F16</f>
        <v/>
      </c>
    </row>
    <row r="18">
      <c r="A18" t="inlineStr">
        <is>
          <t>Discount factor</t>
        </is>
      </c>
      <c r="B18" s="34">
        <f>1/(1+B17)^((1-Assumptions!$B$56)/2)</f>
        <v/>
      </c>
      <c r="C18" s="34">
        <f>1/(1+B17)^(1-Assumptions!$B$56+0.5)</f>
        <v/>
      </c>
      <c r="D18" s="34">
        <f>1/((1+B17)*(1+C17)^(1-Assumptions!$B$56+0.5))</f>
        <v/>
      </c>
      <c r="E18" s="34">
        <f>1/((1+B17)*(1+C17)*(1+D17)^(1-Assumptions!$B$56+0.5))</f>
        <v/>
      </c>
      <c r="F18" s="34">
        <f>1/((1+B17)*(1+C17)*(1+D17)*(1+E17)^(1-Assumptions!$B$56+0.5))</f>
        <v/>
      </c>
    </row>
    <row r="19">
      <c r="A19" t="inlineStr">
        <is>
          <t>Present value of FCFF</t>
        </is>
      </c>
      <c r="B19" s="30">
        <f>B15*B18</f>
        <v/>
      </c>
      <c r="C19" s="30">
        <f>C15*C18</f>
        <v/>
      </c>
      <c r="D19" s="30">
        <f>D15*D18</f>
        <v/>
      </c>
      <c r="E19" s="30">
        <f>E15*E18</f>
        <v/>
      </c>
      <c r="F19" s="30">
        <f>F15*F18</f>
        <v/>
      </c>
    </row>
    <row r="20">
      <c r="A20" t="inlineStr">
        <is>
          <t>Memo: capital expenditure, on the company's own run rate</t>
        </is>
      </c>
      <c r="B20" s="30">
        <f>Assumptions!$B$22*Assumptions!$C$33/Assumptions!$B$33</f>
        <v/>
      </c>
      <c r="C20" s="30">
        <f>Assumptions!$B$22*Assumptions!$D$33/Assumptions!$B$33</f>
        <v/>
      </c>
      <c r="D20" s="30">
        <f>Assumptions!$B$22*Assumptions!$E$33/Assumptions!$B$33</f>
        <v/>
      </c>
      <c r="E20" s="30">
        <f>Assumptions!$B$22*Assumptions!$F$33/Assumptions!$B$33</f>
        <v/>
      </c>
      <c r="F20" s="30">
        <f>Assumptions!$B$22*Assumptions!$G$33/Assumptions!$B$33</f>
        <v/>
      </c>
    </row>
    <row r="21">
      <c r="A21" s="10" t="inlineStr">
        <is>
          <t>TERMINAL BLOCK</t>
        </is>
      </c>
      <c r="B21" s="36">
        <f>Assumptions!$B$20+B20</f>
        <v/>
      </c>
      <c r="C21" s="36">
        <f>B21+C20</f>
        <v/>
      </c>
      <c r="D21" s="36">
        <f>C21+D20</f>
        <v/>
      </c>
      <c r="E21" s="36">
        <f>D21+E20</f>
        <v/>
      </c>
      <c r="F21" s="36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0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0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2">
        <f>F11*(1+Assumptions!$B$55)/B22</f>
        <v/>
      </c>
    </row>
    <row r="25">
      <c r="A25" t="inlineStr">
        <is>
          <t>Maintenance at current cost  (invested capital / life)</t>
        </is>
      </c>
      <c r="B25" s="30">
        <f>B22/B45</f>
        <v/>
      </c>
    </row>
    <row r="26">
      <c r="A26" t="inlineStr">
        <is>
          <t>Terminal value</t>
        </is>
      </c>
      <c r="B26" s="30">
        <f>B48*(1+Assumptions!$B$55)/($C$53-Assumptions!$B$55)</f>
        <v/>
      </c>
    </row>
    <row r="27">
      <c r="A27" t="inlineStr">
        <is>
          <t>Present value of terminal value</t>
        </is>
      </c>
      <c r="B27" s="30">
        <f>B26*F18</f>
        <v/>
      </c>
    </row>
    <row r="28">
      <c r="A28" t="inlineStr">
        <is>
          <t>Terminal NOPAT</t>
        </is>
      </c>
      <c r="B28" s="30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0">
        <f>SUM(B19:F19)</f>
        <v/>
      </c>
    </row>
    <row r="31">
      <c r="A31" t="inlineStr">
        <is>
          <t>Present value of terminal value</t>
        </is>
      </c>
      <c r="B31" s="30">
        <f>B27</f>
        <v/>
      </c>
    </row>
    <row r="32">
      <c r="A32" t="inlineStr">
        <is>
          <t>Enterprise value</t>
        </is>
      </c>
      <c r="B32" s="31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0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0">
        <f>-Assumptions!$B$24</f>
        <v/>
      </c>
    </row>
    <row r="36">
      <c r="A36" t="inlineStr">
        <is>
          <t>Net cash (ADDED — the company is net cash)</t>
        </is>
      </c>
      <c r="B36" s="30">
        <f>B34+B35</f>
        <v/>
      </c>
    </row>
    <row r="37">
      <c r="A37" t="inlineStr">
        <is>
          <t>Equity value</t>
        </is>
      </c>
      <c r="B37" s="31">
        <f>B32+B36-B40</f>
        <v/>
      </c>
    </row>
    <row r="38">
      <c r="A38" t="inlineStr">
        <is>
          <t>Shares outstanding (mn)</t>
        </is>
      </c>
      <c r="B38" s="37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0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5">
        <f>Assumptions!$B$45</f>
        <v/>
      </c>
    </row>
    <row r="43">
      <c r="A43" t="inlineStr">
        <is>
          <t>Less sovereign default spread</t>
        </is>
      </c>
      <c r="C43" s="35">
        <f>-Assumptions!$B$46</f>
        <v/>
      </c>
    </row>
    <row r="44">
      <c r="A44" t="inlineStr">
        <is>
          <t>Normalised risk-free rate</t>
        </is>
      </c>
      <c r="C44" s="35">
        <f>C42+C43</f>
        <v/>
      </c>
    </row>
    <row r="45">
      <c r="A45" t="inlineStr">
        <is>
          <t>Cost of equity  (rf* + β × ERP)</t>
        </is>
      </c>
      <c r="B45" s="33">
        <f>1/Assumptions!$B$21</f>
        <v/>
      </c>
      <c r="C45" s="35">
        <f>C44+Assumptions!$B$48*Assumptions!$B$47</f>
        <v/>
      </c>
    </row>
    <row r="46">
      <c r="A46" t="inlineStr">
        <is>
          <t>WACC — explicit window</t>
        </is>
      </c>
      <c r="B46" s="30">
        <f>DCF!F8*(1+Assumptions!$B$55)</f>
        <v/>
      </c>
      <c r="C46" s="38">
        <f>(1-C49)*C45+C49*C48</f>
        <v/>
      </c>
    </row>
    <row r="47">
      <c r="A47" t="inlineStr">
        <is>
          <t>Working capital charged with inflation</t>
        </is>
      </c>
      <c r="B47" s="30">
        <f>Assumptions!$B$64*Assumptions!$B$40*Assumptions!$B$55</f>
        <v/>
      </c>
    </row>
    <row r="48">
      <c r="A48" t="inlineStr">
        <is>
          <t>Cost of debt after tax</t>
        </is>
      </c>
      <c r="B48" s="30">
        <f>B28+B46-B25-B47</f>
        <v/>
      </c>
      <c r="C48" s="35">
        <f>Assumptions!$B$49*(1-Assumptions!$B$7)</f>
        <v/>
      </c>
    </row>
    <row r="49">
      <c r="A49" t="inlineStr">
        <is>
          <t>Debt weight  D/(D+E)</t>
        </is>
      </c>
      <c r="C49" s="39">
        <f>Assumptions!$B$50/(Assumptions!$B$50+C50)</f>
        <v/>
      </c>
    </row>
    <row r="50">
      <c r="A50" t="inlineStr">
        <is>
          <t>Market capitalisation</t>
        </is>
      </c>
      <c r="C50" s="30">
        <f>Assumptions!$B$5*Assumptions!$B$6</f>
        <v/>
      </c>
    </row>
    <row r="51">
      <c r="A51" t="inlineStr">
        <is>
          <t>Terminal cost of equity  (rf_term + β_L × ERP_term)</t>
        </is>
      </c>
      <c r="C51" s="35">
        <f>Assumptions!$B$51+C56*Assumptions!$B$52</f>
        <v/>
      </c>
    </row>
    <row r="52">
      <c r="A52" t="inlineStr">
        <is>
          <t>Terminal cost of debt after tax</t>
        </is>
      </c>
      <c r="C52" s="35">
        <f>Assumptions!$B$53*(1-Assumptions!$B$7)</f>
        <v/>
      </c>
    </row>
    <row r="53">
      <c r="A53" t="inlineStr">
        <is>
          <t>WACC — terminal</t>
        </is>
      </c>
      <c r="C53" s="38">
        <f>(1-Assumptions!$B$54)*C51+Assumptions!$B$54*C52</f>
        <v/>
      </c>
    </row>
    <row r="54">
      <c r="A54" t="inlineStr">
        <is>
          <t>Retired construction: rf NOT netted (disclosed only)</t>
        </is>
      </c>
      <c r="C54" s="35">
        <f>Assumptions!$B$45+Assumptions!$B$48*Assumptions!$B$47</f>
        <v/>
      </c>
    </row>
    <row r="55">
      <c r="A55" t="inlineStr">
        <is>
          <t>Sovereign double-count removed (bp)</t>
        </is>
      </c>
      <c r="C55" s="30">
        <f>(C54-C45)*10000</f>
        <v/>
      </c>
    </row>
    <row r="56">
      <c r="A56" t="inlineStr">
        <is>
          <t>Terminal beta, RE-LEVERED to the terminal structure (Hamada)</t>
        </is>
      </c>
      <c r="C56" s="27">
        <f>Assumptions!$B$48*(1+(1-Assumptions!$B$7)*Assumptions!$B$54/(1-Assumptions!$B$54))</f>
        <v/>
      </c>
    </row>
    <row r="57">
      <c r="A57" s="5" t="inlineStr">
        <is>
          <t>The glide fraction on row 16 is derived from the cost-of-debt path on Assumptions, so the shape of</t>
        </is>
      </c>
    </row>
    <row r="58">
      <c r="A58" s="5" t="inlineStr">
        <is>
          <t>the discount schedule is INHERITED rather than invented. The terminal value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0">
        <f>B9+B8</f>
        <v/>
      </c>
      <c r="C6" s="30">
        <f>C9+C8</f>
        <v/>
      </c>
      <c r="D6" s="30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2">
        <f>B6/B5</f>
        <v/>
      </c>
      <c r="C7" s="12">
        <f>C6/C5</f>
        <v/>
      </c>
      <c r="D7" s="12">
        <f>D6/D5</f>
        <v/>
      </c>
      <c r="E7" s="12">
        <f>E6/E5</f>
        <v/>
      </c>
      <c r="F7" s="12">
        <f>F6/F5</f>
        <v/>
      </c>
      <c r="G7" s="12">
        <f>G6/G5</f>
        <v/>
      </c>
      <c r="H7" s="12">
        <f>H6/H5</f>
        <v/>
      </c>
      <c r="I7" s="12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0">
        <f>E6-E8</f>
        <v/>
      </c>
      <c r="F9" s="30">
        <f>F6-F8</f>
        <v/>
      </c>
      <c r="G9" s="30">
        <f>G6-G8</f>
        <v/>
      </c>
      <c r="H9" s="30">
        <f>H6-H8</f>
        <v/>
      </c>
      <c r="I9" s="30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0">
        <f>'Balance Sheet'!D7*Assumptions!$B$39</f>
        <v/>
      </c>
      <c r="F10" s="30">
        <f>'Balance Sheet'!E7*Assumptions!$C$39</f>
        <v/>
      </c>
      <c r="G10" s="30">
        <f>'Balance Sheet'!F7*Assumptions!$D$39</f>
        <v/>
      </c>
      <c r="H10" s="30">
        <f>'Balance Sheet'!G7*Assumptions!$E$39</f>
        <v/>
      </c>
      <c r="I10" s="30">
        <f>'Balance Sheet'!H7*Assumptions!$F$39</f>
        <v/>
      </c>
    </row>
    <row r="11">
      <c r="A11" t="inlineStr">
        <is>
          <t>Gain on disposal of Sinai White stake</t>
        </is>
      </c>
      <c r="B11" s="30">
        <f>0</f>
        <v/>
      </c>
      <c r="C11" s="9">
        <f>Assumptions!$B$92</f>
        <v/>
      </c>
      <c r="D11" s="30">
        <f>0</f>
        <v/>
      </c>
      <c r="E11" s="30">
        <f>0</f>
        <v/>
      </c>
      <c r="F11" s="30">
        <f>0</f>
        <v/>
      </c>
      <c r="G11" s="30">
        <f>0</f>
        <v/>
      </c>
      <c r="H11" s="30">
        <f>0</f>
        <v/>
      </c>
      <c r="I11" s="30">
        <f>0</f>
        <v/>
      </c>
    </row>
    <row r="12">
      <c r="A12" t="inlineStr">
        <is>
          <t>Profit before tax</t>
        </is>
      </c>
      <c r="B12" s="30">
        <f>B9+B10+B11</f>
        <v/>
      </c>
      <c r="C12" s="30">
        <f>C9+C10+C11</f>
        <v/>
      </c>
      <c r="D12" s="30">
        <f>D9+D10+D11</f>
        <v/>
      </c>
      <c r="E12" s="30">
        <f>E9+E10+E11</f>
        <v/>
      </c>
      <c r="F12" s="30">
        <f>F9+F10+F11</f>
        <v/>
      </c>
      <c r="G12" s="30">
        <f>G9+G10+G11</f>
        <v/>
      </c>
      <c r="H12" s="30">
        <f>H9+H10+H11</f>
        <v/>
      </c>
      <c r="I12" s="30">
        <f>I9+I10+I11</f>
        <v/>
      </c>
    </row>
    <row r="13">
      <c r="A13" t="inlineStr">
        <is>
          <t>Tax</t>
        </is>
      </c>
      <c r="B13" s="30">
        <f>B12-B14</f>
        <v/>
      </c>
      <c r="C13" s="30">
        <f>C12-C14</f>
        <v/>
      </c>
      <c r="D13" s="30">
        <f>D12-D14</f>
        <v/>
      </c>
      <c r="E13" s="30">
        <f>E12*Assumptions!$B$7</f>
        <v/>
      </c>
      <c r="F13" s="30">
        <f>F12*Assumptions!$B$7</f>
        <v/>
      </c>
      <c r="G13" s="30">
        <f>G12*Assumptions!$B$7</f>
        <v/>
      </c>
      <c r="H13" s="30">
        <f>H12*Assumptions!$B$7</f>
        <v/>
      </c>
      <c r="I13" s="30">
        <f>I12*Assumptions!$B$7</f>
        <v/>
      </c>
    </row>
    <row r="14">
      <c r="A14" t="inlineStr">
        <is>
          <t>Profit after tax</t>
        </is>
      </c>
      <c r="B14" s="26">
        <f>Assumptions!$B$65</f>
        <v/>
      </c>
      <c r="C14" s="26">
        <f>Assumptions!$B$66</f>
        <v/>
      </c>
      <c r="D14" s="26">
        <f>Assumptions!$B$67</f>
        <v/>
      </c>
      <c r="E14" s="31">
        <f>E12-E13</f>
        <v/>
      </c>
      <c r="F14" s="31">
        <f>F12-F13</f>
        <v/>
      </c>
      <c r="G14" s="31">
        <f>G12-G13</f>
        <v/>
      </c>
      <c r="H14" s="31">
        <f>H12-H13</f>
        <v/>
      </c>
      <c r="I14" s="31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0">
        <f>C5</f>
        <v/>
      </c>
      <c r="E5" s="30">
        <f>D5+DCF!B12-DCF!B8</f>
        <v/>
      </c>
      <c r="F5" s="30">
        <f>E5+DCF!C12-DCF!C8</f>
        <v/>
      </c>
      <c r="G5" s="30">
        <f>F5+DCF!D12-DCF!D8</f>
        <v/>
      </c>
      <c r="H5" s="30">
        <f>G5+DCF!E12-DCF!E8</f>
        <v/>
      </c>
      <c r="I5" s="30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0">
        <f>C6</f>
        <v/>
      </c>
      <c r="E6" s="30">
        <f>D6+DCF!B13</f>
        <v/>
      </c>
      <c r="F6" s="30">
        <f>E6+DCF!C13</f>
        <v/>
      </c>
      <c r="G6" s="30">
        <f>F6+DCF!D13</f>
        <v/>
      </c>
      <c r="H6" s="30">
        <f>G6+DCF!E13</f>
        <v/>
      </c>
      <c r="I6" s="30">
        <f>H6+DCF!F13</f>
        <v/>
      </c>
    </row>
    <row r="7">
      <c r="A7" t="inlineStr">
        <is>
          <t>Cash and equivalents</t>
        </is>
      </c>
      <c r="B7" s="23" t="n">
        <v>1333.45762648</v>
      </c>
      <c r="C7" s="30">
        <f>Assumptions!$B$59/1.25</f>
        <v/>
      </c>
      <c r="D7" s="9">
        <f>Assumptions!$B$59</f>
        <v/>
      </c>
      <c r="E7" s="30">
        <f>D7+'Cash Flow'!E14</f>
        <v/>
      </c>
      <c r="F7" s="30">
        <f>E7+'Cash Flow'!F14</f>
        <v/>
      </c>
      <c r="G7" s="30">
        <f>F7+'Cash Flow'!G14</f>
        <v/>
      </c>
      <c r="H7" s="30">
        <f>G7+'Cash Flow'!H14</f>
        <v/>
      </c>
      <c r="I7" s="30">
        <f>H7+'Cash Flow'!I14</f>
        <v/>
      </c>
    </row>
    <row r="8">
      <c r="A8" t="inlineStr">
        <is>
          <t>Total assets (condensed)</t>
        </is>
      </c>
      <c r="B8" s="31">
        <f>SUM(B5:B7)</f>
        <v/>
      </c>
      <c r="C8" s="26">
        <f>Assumptions!$B$69</f>
        <v/>
      </c>
      <c r="D8" s="31">
        <f>SUM(D5:D7)</f>
        <v/>
      </c>
      <c r="E8" s="31">
        <f>SUM(E5:E7)</f>
        <v/>
      </c>
      <c r="F8" s="31">
        <f>SUM(F5:F7)</f>
        <v/>
      </c>
      <c r="G8" s="31">
        <f>SUM(G5:G7)</f>
        <v/>
      </c>
      <c r="H8" s="31">
        <f>SUM(H5:H7)</f>
        <v/>
      </c>
      <c r="I8" s="31">
        <f>SUM(I5:I7)</f>
        <v/>
      </c>
    </row>
    <row r="9">
      <c r="A9" t="inlineStr">
        <is>
          <t>Gross debt</t>
        </is>
      </c>
      <c r="B9" s="33">
        <f>Assumptions!$B$50</f>
        <v/>
      </c>
      <c r="C9" s="33">
        <f>Assumptions!$B$50</f>
        <v/>
      </c>
      <c r="D9" s="33">
        <f>Assumptions!$B$50</f>
        <v/>
      </c>
      <c r="E9" s="33">
        <f>Assumptions!$B$50</f>
        <v/>
      </c>
      <c r="F9" s="33">
        <f>Assumptions!$B$50</f>
        <v/>
      </c>
      <c r="G9" s="33">
        <f>Assumptions!$B$50</f>
        <v/>
      </c>
      <c r="H9" s="33">
        <f>Assumptions!$B$50</f>
        <v/>
      </c>
      <c r="I9" s="33">
        <f>Assumptions!$B$50</f>
        <v/>
      </c>
    </row>
    <row r="10">
      <c r="A10" t="inlineStr">
        <is>
          <t>Other liabilities</t>
        </is>
      </c>
      <c r="B10" s="30">
        <f>B11-B9</f>
        <v/>
      </c>
      <c r="C10" s="30">
        <f>C11-C9</f>
        <v/>
      </c>
      <c r="D10" s="30">
        <f>D11-D9</f>
        <v/>
      </c>
      <c r="E10" s="30">
        <f>E11-E9</f>
        <v/>
      </c>
      <c r="F10" s="30">
        <f>F11-F9</f>
        <v/>
      </c>
      <c r="G10" s="30">
        <f>G11-G9</f>
        <v/>
      </c>
      <c r="H10" s="30">
        <f>H11-H9</f>
        <v/>
      </c>
      <c r="I10" s="30">
        <f>I11-I9</f>
        <v/>
      </c>
    </row>
    <row r="11">
      <c r="A11" t="inlineStr">
        <is>
          <t>Total liabilities</t>
        </is>
      </c>
      <c r="B11" s="30">
        <f>B8-B12</f>
        <v/>
      </c>
      <c r="C11" s="9">
        <f>Assumptions!$B$70</f>
        <v/>
      </c>
      <c r="D11" s="30">
        <f>D8-D12</f>
        <v/>
      </c>
      <c r="E11" s="30">
        <f>E8-E12</f>
        <v/>
      </c>
      <c r="F11" s="30">
        <f>F8-F12</f>
        <v/>
      </c>
      <c r="G11" s="30">
        <f>G8-G12</f>
        <v/>
      </c>
      <c r="H11" s="30">
        <f>H8-H12</f>
        <v/>
      </c>
      <c r="I11" s="30">
        <f>I8-I12</f>
        <v/>
      </c>
    </row>
    <row r="12">
      <c r="A12" t="inlineStr">
        <is>
          <t>Shareholders' equity</t>
        </is>
      </c>
      <c r="B12" s="31">
        <f>C12-Assumptions!$B$66</f>
        <v/>
      </c>
      <c r="C12" s="31">
        <f>C8-C11</f>
        <v/>
      </c>
      <c r="D12" s="26">
        <f>Assumptions!$B$60</f>
        <v/>
      </c>
      <c r="E12" s="31">
        <f>D12+'Income Statement'!E14-'Cash Flow'!E13</f>
        <v/>
      </c>
      <c r="F12" s="31">
        <f>E12+'Income Statement'!F14-'Cash Flow'!F13</f>
        <v/>
      </c>
      <c r="G12" s="31">
        <f>F12+'Income Statement'!G14-'Cash Flow'!G13</f>
        <v/>
      </c>
      <c r="H12" s="31">
        <f>G12+'Income Statement'!H14-'Cash Flow'!H13</f>
        <v/>
      </c>
      <c r="I12" s="31">
        <f>H12+'Income Statement'!I14-'Cash Flow'!I13</f>
        <v/>
      </c>
    </row>
    <row r="13">
      <c r="A13" t="inlineStr">
        <is>
          <t>Equity — reported cross-check</t>
        </is>
      </c>
      <c r="D13" s="30">
        <f>C12+Assumptions!$B$67</f>
        <v/>
      </c>
    </row>
    <row r="14">
      <c r="A14" t="inlineStr">
        <is>
          <t>Net cash</t>
        </is>
      </c>
      <c r="B14" s="30">
        <f>B7-B9</f>
        <v/>
      </c>
      <c r="C14" s="30">
        <f>C7-C9</f>
        <v/>
      </c>
      <c r="D14" s="30">
        <f>D7-D9</f>
        <v/>
      </c>
      <c r="E14" s="30">
        <f>E7-E9</f>
        <v/>
      </c>
      <c r="F14" s="30">
        <f>F7-F9</f>
        <v/>
      </c>
      <c r="G14" s="30">
        <f>G7-G9</f>
        <v/>
      </c>
      <c r="H14" s="30">
        <f>H7-H9</f>
        <v/>
      </c>
      <c r="I14" s="30">
        <f>I7-I9</f>
        <v/>
      </c>
    </row>
    <row r="15">
      <c r="A15" t="inlineStr">
        <is>
          <t>Return on equity</t>
        </is>
      </c>
      <c r="D15" s="12">
        <f>Assumptions!$B$67/D12</f>
        <v/>
      </c>
      <c r="E15" s="12">
        <f>'Income Statement'!E14/E12</f>
        <v/>
      </c>
      <c r="F15" s="12">
        <f>'Income Statement'!F14/F12</f>
        <v/>
      </c>
      <c r="G15" s="12">
        <f>'Income Statement'!G14/G12</f>
        <v/>
      </c>
      <c r="H15" s="12">
        <f>'Income Statement'!H14/H12</f>
        <v/>
      </c>
      <c r="I15" s="12">
        <f>'Income Statement'!I14/I12</f>
        <v/>
      </c>
    </row>
    <row r="17">
      <c r="A17" s="5" t="inlineStr">
        <is>
          <t>The FY2024 column is the DISCLOSED triple — total assets EGP 6,385.92mn less total liabilities EGP</t>
        </is>
      </c>
    </row>
    <row r="18">
      <c r="A18" s="5" t="inlineStr">
        <is>
          <t>1,610.86mn closes to equity of EGP 4,775.06mn exactly. Equity then ROLLS FORWARD: prior equity plus</t>
        </is>
      </c>
    </row>
    <row r="19">
      <c r="A19" s="5" t="inlineStr">
        <is>
          <t>profit less dividends. Row 13 carries the REPORTED FY2025 equity beside the rolled figure: the two do</t>
        </is>
      </c>
    </row>
    <row r="20">
      <c r="A20" s="5" t="inlineStr">
        <is>
          <t>not agree, and the gap implies a FY2025 distribution that no retrievable source reports. Disclosed, not</t>
        </is>
      </c>
    </row>
    <row r="21">
      <c r="A21" s="5" t="inlineStr">
        <is>
          <t>plugged.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0">
        <f>-DCF!B13</f>
        <v/>
      </c>
      <c r="F6" s="30">
        <f>-DCF!C13</f>
        <v/>
      </c>
      <c r="G6" s="30">
        <f>-DCF!D13</f>
        <v/>
      </c>
      <c r="H6" s="30">
        <f>-DCF!E13</f>
        <v/>
      </c>
      <c r="I6" s="30">
        <f>-DCF!F13</f>
        <v/>
      </c>
    </row>
    <row r="7">
      <c r="A7" t="inlineStr">
        <is>
          <t>Less capital expenditure</t>
        </is>
      </c>
      <c r="E7" s="30">
        <f>-DCF!B12</f>
        <v/>
      </c>
      <c r="F7" s="30">
        <f>-DCF!C12</f>
        <v/>
      </c>
      <c r="G7" s="30">
        <f>-DCF!D12</f>
        <v/>
      </c>
      <c r="H7" s="30">
        <f>-DCF!E12</f>
        <v/>
      </c>
      <c r="I7" s="30">
        <f>-DCF!F12</f>
        <v/>
      </c>
    </row>
    <row r="8">
      <c r="A8" t="inlineStr">
        <is>
          <t>Operating free cash flow</t>
        </is>
      </c>
      <c r="E8" s="31">
        <f>SUM(E5:E7)</f>
        <v/>
      </c>
      <c r="F8" s="31">
        <f>SUM(F5:F7)</f>
        <v/>
      </c>
      <c r="G8" s="31">
        <f>SUM(G5:G7)</f>
        <v/>
      </c>
      <c r="H8" s="31">
        <f>SUM(H5:H7)</f>
        <v/>
      </c>
      <c r="I8" s="31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0">
        <f>-DCF!B14</f>
        <v/>
      </c>
      <c r="F10" s="30">
        <f>-DCF!C14</f>
        <v/>
      </c>
      <c r="G10" s="30">
        <f>-DCF!D14</f>
        <v/>
      </c>
      <c r="H10" s="30">
        <f>-DCF!E14</f>
        <v/>
      </c>
      <c r="I10" s="30">
        <f>-DCF!F14</f>
        <v/>
      </c>
    </row>
    <row r="11">
      <c r="A11" t="inlineStr">
        <is>
          <t>Free cash flow to the firm</t>
        </is>
      </c>
      <c r="E11" s="31">
        <f>DCF!B15</f>
        <v/>
      </c>
      <c r="F11" s="31">
        <f>DCF!C15</f>
        <v/>
      </c>
      <c r="G11" s="31">
        <f>DCF!D15</f>
        <v/>
      </c>
      <c r="H11" s="31">
        <f>DCF!E15</f>
        <v/>
      </c>
      <c r="I11" s="31">
        <f>DCF!F15</f>
        <v/>
      </c>
    </row>
    <row r="12">
      <c r="A12" t="inlineStr">
        <is>
          <t>Treasury income after tax</t>
        </is>
      </c>
      <c r="E12" s="30">
        <f>'Income Statement'!E10*(1-Assumptions!$B$7)</f>
        <v/>
      </c>
      <c r="F12" s="30">
        <f>'Income Statement'!F10*(1-Assumptions!$B$7)</f>
        <v/>
      </c>
      <c r="G12" s="30">
        <f>'Income Statement'!G10*(1-Assumptions!$B$7)</f>
        <v/>
      </c>
      <c r="H12" s="30">
        <f>'Income Statement'!H10*(1-Assumptions!$B$7)</f>
        <v/>
      </c>
      <c r="I12" s="30">
        <f>'Income Statement'!I10*(1-Assumptions!$B$7)</f>
        <v/>
      </c>
    </row>
    <row r="13">
      <c r="A13" t="inlineStr">
        <is>
          <t>Dividends paid</t>
        </is>
      </c>
      <c r="E13" s="30">
        <f>'Income Statement'!E14*Assumptions!$B$41</f>
        <v/>
      </c>
      <c r="F13" s="30">
        <f>'Income Statement'!F14*Assumptions!$B$41</f>
        <v/>
      </c>
      <c r="G13" s="30">
        <f>'Income Statement'!G14*Assumptions!$B$41</f>
        <v/>
      </c>
      <c r="H13" s="30">
        <f>'Income Statement'!H14*Assumptions!$B$41</f>
        <v/>
      </c>
      <c r="I13" s="30">
        <f>'Income Statement'!I14*Assumptions!$B$41</f>
        <v/>
      </c>
    </row>
    <row r="14">
      <c r="A14" t="inlineStr">
        <is>
          <t>Net change in cash</t>
        </is>
      </c>
      <c r="E14" s="31">
        <f>'Income Statement'!E14+DCF!B8-DCF!B12-DCF!B13-E13</f>
        <v/>
      </c>
      <c r="F14" s="31">
        <f>'Income Statement'!F14+DCF!C8-DCF!C12-DCF!C13-F13</f>
        <v/>
      </c>
      <c r="G14" s="31">
        <f>'Income Statement'!G14+DCF!D8-DCF!D12-DCF!D13-G13</f>
        <v/>
      </c>
      <c r="H14" s="31">
        <f>'Income Statement'!H14+DCF!E8-DCF!E12-DCF!E13-H13</f>
        <v/>
      </c>
      <c r="I14" s="31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8">
        <f>'Unit Build'!B10</f>
        <v/>
      </c>
      <c r="E9" s="28">
        <f>'Unit Build'!C10</f>
        <v/>
      </c>
      <c r="F9" s="28">
        <f>'Unit Build'!D10</f>
        <v/>
      </c>
      <c r="G9" s="28">
        <f>'Unit Build'!E10</f>
        <v/>
      </c>
      <c r="H9" s="28">
        <f>'Unit Build'!F10</f>
        <v/>
      </c>
      <c r="I9" s="28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1">
        <f>'Unit Build'!B6</f>
        <v/>
      </c>
      <c r="E11" s="11">
        <f>'Unit Build'!C6</f>
        <v/>
      </c>
      <c r="F11" s="11">
        <f>'Unit Build'!D6</f>
        <v/>
      </c>
      <c r="G11" s="11">
        <f>'Unit Build'!E6</f>
        <v/>
      </c>
      <c r="H11" s="11">
        <f>'Unit Build'!F6</f>
        <v/>
      </c>
      <c r="I11" s="11">
        <f>'Unit Build'!G6</f>
        <v/>
      </c>
    </row>
    <row r="13">
      <c r="A13" t="inlineStr">
        <is>
          <t>EBITDA margin</t>
        </is>
      </c>
      <c r="B13" s="12">
        <f>B6/B5</f>
        <v/>
      </c>
      <c r="C13" s="12">
        <f>C6/C5</f>
        <v/>
      </c>
      <c r="D13" s="12">
        <f>D6/D5</f>
        <v/>
      </c>
      <c r="E13" s="12">
        <f>E6/E5</f>
        <v/>
      </c>
      <c r="F13" s="12">
        <f>F6/F5</f>
        <v/>
      </c>
      <c r="G13" s="12">
        <f>G6/G5</f>
        <v/>
      </c>
      <c r="H13" s="12">
        <f>H6/H5</f>
        <v/>
      </c>
      <c r="I13" s="12">
        <f>I6/I5</f>
        <v/>
      </c>
    </row>
    <row r="14">
      <c r="A14" t="inlineStr">
        <is>
          <t>Revenue growth</t>
        </is>
      </c>
      <c r="C14" s="12">
        <f>C5/B5-1</f>
        <v/>
      </c>
      <c r="D14" s="12">
        <f>D5/C5-1</f>
        <v/>
      </c>
      <c r="E14" s="12">
        <f>E5/D5-1</f>
        <v/>
      </c>
      <c r="F14" s="12">
        <f>F5/E5-1</f>
        <v/>
      </c>
      <c r="G14" s="12">
        <f>G5/F5-1</f>
        <v/>
      </c>
      <c r="H14" s="12">
        <f>H5/G5-1</f>
        <v/>
      </c>
      <c r="I14" s="12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0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0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1" t="inlineStr">
        <is>
          <t>Market panel verdict (Egypt)</t>
        </is>
      </c>
      <c r="B13" s="42" t="inlineStr">
        <is>
          <t>PASS — skill +0.0158, 90% interval [0.009, 0.022]</t>
        </is>
      </c>
    </row>
    <row r="14">
      <c r="A14" s="41" t="inlineStr">
        <is>
          <t>This name's verdict</t>
        </is>
      </c>
      <c r="B14" s="42" t="inlineStr">
        <is>
          <t>PARITY at every bootstrap block size {2,3,4}</t>
        </is>
      </c>
    </row>
    <row r="15">
      <c r="A15" s="41" t="inlineStr">
        <is>
          <t>This name's CRPS skill vs a random walk</t>
        </is>
      </c>
      <c r="B15" s="42" t="inlineStr">
        <is>
          <t>-0.1276 — BELOW zero</t>
        </is>
      </c>
    </row>
    <row r="16">
      <c r="A16" s="41" t="inlineStr">
        <is>
          <t>Coverage 50 / 80 / 90</t>
        </is>
      </c>
      <c r="B16" s="42" t="inlineStr">
        <is>
          <t>0.76 / 0.82 / 0.94 against nominal 0.50 / 0.80 / 0.90 — OVER-COVERED</t>
        </is>
      </c>
    </row>
    <row r="17">
      <c r="A17" s="41" t="inlineStr">
        <is>
          <t>Cone width versus the benchmark</t>
        </is>
      </c>
      <c r="B17" s="42" t="inlineStr">
        <is>
          <t>4.71x</t>
        </is>
      </c>
    </row>
    <row r="18">
      <c r="A18" s="41" t="inlineStr">
        <is>
          <t>Why</t>
        </is>
      </c>
      <c r="B18" s="42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9">
      <c r="A19" s="41" t="inlineStr">
        <is>
          <t>Consequence</t>
        </is>
      </c>
      <c r="B19" s="42" t="inlineStr">
        <is>
          <t>The map is ILLUSTRATIVE ONLY. It is materially too wide and must not be read with the confidence of a calibrated name.</t>
        </is>
      </c>
    </row>
  </sheetData>
  <mergeCells count="7">
    <mergeCell ref="B14:H14"/>
    <mergeCell ref="B17:H17"/>
    <mergeCell ref="B18:H18"/>
    <mergeCell ref="B13:H13"/>
    <mergeCell ref="B16:H16"/>
    <mergeCell ref="B15:H15"/>
    <mergeCell ref="B19:H1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1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0.2525913769174497</v>
      </c>
      <c r="B6" s="18" t="n">
        <v>85.43422679150203</v>
      </c>
      <c r="C6" s="18" t="n">
        <v>89.35597090426347</v>
      </c>
      <c r="D6" s="18" t="n">
        <v>93.81299327661097</v>
      </c>
      <c r="E6" s="18" t="n">
        <v>98.92976661953224</v>
      </c>
      <c r="F6" s="18" t="n">
        <v>104.8721778078644</v>
      </c>
    </row>
    <row r="7">
      <c r="A7" s="24" t="n">
        <v>0.2675913769174497</v>
      </c>
      <c r="B7" s="18" t="n">
        <v>84.00762868477028</v>
      </c>
      <c r="C7" s="18" t="n">
        <v>87.83159587372695</v>
      </c>
      <c r="D7" s="18" t="n">
        <v>92.17717374217652</v>
      </c>
      <c r="E7" s="18" t="n">
        <v>97.16566705137153</v>
      </c>
      <c r="F7" s="18" t="n">
        <v>102.9587402831979</v>
      </c>
    </row>
    <row r="8">
      <c r="A8" s="24" t="n">
        <v>0.2825913769174497</v>
      </c>
      <c r="B8" s="18" t="n">
        <v>82.62809864313135</v>
      </c>
      <c r="C8" s="18" t="n">
        <v>86.35757426555165</v>
      </c>
      <c r="D8" s="18" t="n">
        <v>90.59545467134566</v>
      </c>
      <c r="E8" s="18" t="n">
        <v>95.45998360748743</v>
      </c>
      <c r="F8" s="18" t="n">
        <v>101.1087456946099</v>
      </c>
    </row>
    <row r="9">
      <c r="A9" s="24" t="n">
        <v>0.2975913769174497</v>
      </c>
      <c r="B9" s="18" t="n">
        <v>81.29365747766214</v>
      </c>
      <c r="C9" s="18" t="n">
        <v>84.93178753792651</v>
      </c>
      <c r="D9" s="18" t="n">
        <v>89.0655585408756</v>
      </c>
      <c r="E9" s="18" t="n">
        <v>93.81025560970393</v>
      </c>
      <c r="F9" s="18" t="n">
        <v>99.31951997756768</v>
      </c>
    </row>
    <row r="10">
      <c r="A10" s="24" t="n">
        <v>0.3125913769174498</v>
      </c>
      <c r="B10" s="18" t="n">
        <v>80.00242746957701</v>
      </c>
      <c r="C10" s="18" t="n">
        <v>83.55222579774555</v>
      </c>
      <c r="D10" s="18" t="n">
        <v>87.58532466717638</v>
      </c>
      <c r="E10" s="18" t="n">
        <v>92.21414865720189</v>
      </c>
      <c r="F10" s="18" t="n">
        <v>97.58852634175473</v>
      </c>
    </row>
    <row r="12">
      <c r="A12" s="41" t="inlineStr">
        <is>
          <t>NET CASH — the largest single uncertainty, now sensitised</t>
        </is>
      </c>
    </row>
    <row r="13">
      <c r="A13" s="6" t="inlineStr"/>
      <c r="B13" s="6" t="inlineStr">
        <is>
          <t>5,033</t>
        </is>
      </c>
      <c r="C13" s="6" t="inlineStr">
        <is>
          <t>5,783</t>
        </is>
      </c>
      <c r="D13" s="6" t="inlineStr">
        <is>
          <t>6,533</t>
        </is>
      </c>
      <c r="E13" s="6" t="inlineStr">
        <is>
          <t>7,283</t>
        </is>
      </c>
      <c r="F13" s="6" t="inlineStr">
        <is>
          <t>8,033</t>
        </is>
      </c>
    </row>
    <row r="14">
      <c r="A14" s="43" t="inlineStr">
        <is>
          <t>Fair value per share (EGP)</t>
        </is>
      </c>
      <c r="B14" s="18" t="n">
        <v>84.84419607645873</v>
      </c>
      <c r="C14" s="18" t="n">
        <v>87.7198253739022</v>
      </c>
      <c r="D14" s="18" t="n">
        <v>90.59545467134566</v>
      </c>
      <c r="E14" s="18" t="n">
        <v>93.47108396878912</v>
      </c>
      <c r="F14" s="18" t="n">
        <v>96.34671326623258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1" t="inlineStr">
        <is>
          <t>Beta — fair value per share (EGP)</t>
        </is>
      </c>
    </row>
    <row r="21">
      <c r="A21" s="6" t="inlineStr"/>
      <c r="B21" s="6" t="inlineStr">
        <is>
          <t>β = 0.60</t>
        </is>
      </c>
      <c r="C21" s="6" t="inlineStr">
        <is>
          <t>β = 0.80</t>
        </is>
      </c>
      <c r="D21" s="6" t="inlineStr">
        <is>
          <t>β = 0.84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3" t="inlineStr">
        <is>
          <t>Fair value</t>
        </is>
      </c>
      <c r="B22" s="18" t="n">
        <v>109.4877914735178</v>
      </c>
      <c r="C22" s="18" t="n">
        <v>98.99877527851166</v>
      </c>
      <c r="D22" s="18" t="n">
        <v>97.30640473659925</v>
      </c>
      <c r="E22" s="18" t="n">
        <v>90.59545467134566</v>
      </c>
      <c r="F22" s="18" t="n">
        <v>80.74732742837557</v>
      </c>
    </row>
    <row r="24">
      <c r="A24" s="41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3" t="inlineStr">
        <is>
          <t>Fair value</t>
        </is>
      </c>
      <c r="B26" s="18" t="n">
        <v>82.80602149093339</v>
      </c>
      <c r="C26" s="18" t="n">
        <v>86.63401685311617</v>
      </c>
      <c r="D26" s="18" t="n">
        <v>90.59545467134566</v>
      </c>
      <c r="E26" s="18" t="n">
        <v>94.67036103810479</v>
      </c>
      <c r="F26" s="18" t="n">
        <v>98.84255891259662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2">
        <f>'Income Statement'!B14/'Balance Sheet'!B12</f>
        <v/>
      </c>
      <c r="C10" s="12">
        <f>'Income Statement'!C14/'Balance Sheet'!C12</f>
        <v/>
      </c>
      <c r="D10" s="12">
        <f>'Income Statement'!D14/'Balance Sheet'!D12</f>
        <v/>
      </c>
      <c r="E10" s="12">
        <f>'Income Statement'!E14/'Balance Sheet'!E12</f>
        <v/>
      </c>
      <c r="F10" s="12">
        <f>'Income Statement'!F14/'Balance Sheet'!F12</f>
        <v/>
      </c>
      <c r="G10" s="12">
        <f>'Income Statement'!G14/'Balance Sheet'!G12</f>
        <v/>
      </c>
      <c r="H10" s="12">
        <f>'Income Statement'!H14/'Balance Sheet'!H12</f>
        <v/>
      </c>
      <c r="I10" s="12">
        <f>'Income Statement'!I14/'Balance Sheet'!I12</f>
        <v/>
      </c>
    </row>
    <row r="11">
      <c r="A11" t="inlineStr">
        <is>
          <t>EBITDA per tonne sold (EGP)</t>
        </is>
      </c>
      <c r="D11" s="30">
        <f>'Income Statement'!D6/'Summary Financials'!D9</f>
        <v/>
      </c>
      <c r="E11" s="30">
        <f>'Income Statement'!E6/'Summary Financials'!E9</f>
        <v/>
      </c>
      <c r="F11" s="30">
        <f>'Income Statement'!F6/'Summary Financials'!F9</f>
        <v/>
      </c>
      <c r="G11" s="30">
        <f>'Income Statement'!G6/'Summary Financials'!G9</f>
        <v/>
      </c>
      <c r="H11" s="30">
        <f>'Income Statement'!H6/'Summary Financials'!H9</f>
        <v/>
      </c>
      <c r="I11" s="30">
        <f>'Income Statement'!I6/'Summary Financials'!I9</f>
        <v/>
      </c>
    </row>
    <row r="12">
      <c r="A12" t="inlineStr">
        <is>
          <t>Price / earnings (at spot)</t>
        </is>
      </c>
      <c r="B12" s="32">
        <f>Assumptions!$B$5/B5</f>
        <v/>
      </c>
      <c r="C12" s="32">
        <f>Assumptions!$B$5/C5</f>
        <v/>
      </c>
      <c r="D12" s="32">
        <f>Assumptions!$B$5/D5</f>
        <v/>
      </c>
      <c r="E12" s="32">
        <f>Assumptions!$B$5/E5</f>
        <v/>
      </c>
      <c r="F12" s="32">
        <f>Assumptions!$B$5/F5</f>
        <v/>
      </c>
      <c r="G12" s="32">
        <f>Assumptions!$B$5/G5</f>
        <v/>
      </c>
      <c r="H12" s="32">
        <f>Assumptions!$B$5/H5</f>
        <v/>
      </c>
      <c r="I12" s="32">
        <f>Assumptions!$B$5/I5</f>
        <v/>
      </c>
    </row>
    <row r="13">
      <c r="A13" t="inlineStr">
        <is>
          <t>EV / EBITDA (at spot)</t>
        </is>
      </c>
      <c r="B13" s="32">
        <f>(Assumptions!$B$5*Assumptions!$B$6-('Balance Sheet'!B7-'Balance Sheet'!B9))/'Income Statement'!B6</f>
        <v/>
      </c>
      <c r="C13" s="32">
        <f>(Assumptions!$B$5*Assumptions!$B$6-('Balance Sheet'!C7-'Balance Sheet'!C9))/'Income Statement'!C6</f>
        <v/>
      </c>
      <c r="D13" s="32">
        <f>(Assumptions!$B$5*Assumptions!$B$6-('Balance Sheet'!D7-'Balance Sheet'!D9))/'Income Statement'!D6</f>
        <v/>
      </c>
      <c r="E13" s="32">
        <f>(Assumptions!$B$5*Assumptions!$B$6-('Balance Sheet'!E7-'Balance Sheet'!E9))/'Income Statement'!E6</f>
        <v/>
      </c>
      <c r="F13" s="32">
        <f>(Assumptions!$B$5*Assumptions!$B$6-('Balance Sheet'!F7-'Balance Sheet'!F9))/'Income Statement'!F6</f>
        <v/>
      </c>
      <c r="G13" s="32">
        <f>(Assumptions!$B$5*Assumptions!$B$6-('Balance Sheet'!G7-'Balance Sheet'!G9))/'Income Statement'!G6</f>
        <v/>
      </c>
      <c r="H13" s="32">
        <f>(Assumptions!$B$5*Assumptions!$B$6-('Balance Sheet'!H7-'Balance Sheet'!H9))/'Income Statement'!H6</f>
        <v/>
      </c>
      <c r="I13" s="32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2">
        <f>Assumptions!$B$12/B14</f>
        <v/>
      </c>
    </row>
    <row r="20">
      <c r="A20" t="inlineStr">
        <is>
          <t>Revival capacity as % of domestic consumption</t>
        </is>
      </c>
      <c r="B20" s="12">
        <f>B18/B15</f>
        <v/>
      </c>
    </row>
    <row r="21">
      <c r="A21" t="inlineStr">
        <is>
          <t>Structural surplus (capacity less consumption, Mt)</t>
        </is>
      </c>
      <c r="B21" s="33">
        <f>B14-B15</f>
        <v/>
      </c>
    </row>
    <row r="22">
      <c r="A22" t="inlineStr">
        <is>
          <t>SCEM EV/EBITDA at spot on FY2026E</t>
        </is>
      </c>
      <c r="B22" s="32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2026-09-04T02:41:16Z</dcterms:created>
  <dcterms:modified xmlns:dcterms="http://purl.org/dc/terms/" xmlns:xsi="http://www.w3.org/2001/XMLSchema-instance" xsi:type="dcterms:W3CDTF">2026-09-04T02:41:16Z</dcterms:modified>
</cp:coreProperties>
</file>