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9" fontId="7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4" fontId="8" fillId="0" borderId="0" pivotButton="0" quotePrefix="0" xfId="0"/>
    <xf numFmtId="10" fontId="7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10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9" fontId="5" fillId="3" borderId="0" pivotButton="0" quotePrefix="0" xfId="0"/>
    <xf numFmtId="165" fontId="8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Role</t>
        </is>
      </c>
      <c r="C12" s="6" t="inlineStr">
        <is>
          <t>Value per share (EGP)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t="inlineStr">
        <is>
          <t>PRIMARY — this IS the central</t>
        </is>
      </c>
      <c r="C13" s="7">
        <f>'Fundamental Valuation'!C5</f>
        <v/>
      </c>
      <c r="D13" s="11">
        <f>C13/$B$5-1</f>
        <v/>
      </c>
      <c r="E13" s="12">
        <f>DCF!B33</f>
        <v/>
      </c>
    </row>
    <row r="14">
      <c r="A14" t="inlineStr">
        <is>
          <t>Relative multiples</t>
        </is>
      </c>
      <c r="B14" t="inlineStr">
        <is>
          <t>cross-check</t>
        </is>
      </c>
      <c r="C14" s="7">
        <f>'Fundamental Valuation'!C6</f>
        <v/>
      </c>
      <c r="D14" s="11">
        <f>C14/$B$5-1</f>
        <v/>
      </c>
    </row>
    <row r="15">
      <c r="A15" t="inlineStr">
        <is>
          <t>Asset / replacement cost</t>
        </is>
      </c>
      <c r="B15" t="inlineStr">
        <is>
          <t>cross-check</t>
        </is>
      </c>
      <c r="C15" s="7">
        <f>'Fundamental Valuation'!C7</f>
        <v/>
      </c>
      <c r="D15" s="11">
        <f>C15/$B$5-1</f>
        <v/>
      </c>
    </row>
    <row r="16">
      <c r="A16" t="inlineStr">
        <is>
          <t>Book value (disclosed floor)</t>
        </is>
      </c>
      <c r="B16" t="inlineStr">
        <is>
          <t>disclosed floor — never weighted</t>
        </is>
      </c>
      <c r="C16" s="7">
        <f>'Fundamental Valuation'!C8</f>
        <v/>
      </c>
      <c r="D16" s="11">
        <f>C16/$B$5-1</f>
        <v/>
      </c>
    </row>
    <row r="17">
      <c r="A17" t="inlineStr">
        <is>
          <t>CENTRAL FAIR VALUE (EGP) — the primary lens, not a blend</t>
        </is>
      </c>
      <c r="C17" s="13">
        <f>'Fundamental Valuation'!C12</f>
        <v/>
      </c>
      <c r="D17" s="14">
        <f>C17/$B$5-1</f>
        <v/>
      </c>
    </row>
    <row r="18">
      <c r="A18" t="inlineStr">
        <is>
          <t>Envelope — the primary with the EBITDA margin across its own filed span (EGP)</t>
        </is>
      </c>
      <c r="C18" s="15">
        <f>'Fundamental Valuation'!C13</f>
        <v/>
      </c>
      <c r="E18" s="15">
        <f>'Fundamental Valuation'!C14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2">
        <f>Assumptions!$B$55</f>
        <v/>
      </c>
    </row>
    <row r="26">
      <c r="A26" t="inlineStr">
        <is>
          <t>Terminal return on invested capital (replacement basis)</t>
        </is>
      </c>
      <c r="B26" s="12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Role</t>
        </is>
      </c>
      <c r="C4" s="6" t="inlineStr">
        <is>
          <t>Value per share (EGP)</t>
        </is>
      </c>
      <c r="D4" s="6" t="inlineStr">
        <is>
          <t>vs spot</t>
        </is>
      </c>
    </row>
    <row r="5">
      <c r="A5" t="inlineStr">
        <is>
          <t>DCF (cash flow)</t>
        </is>
      </c>
      <c r="B5" t="inlineStr">
        <is>
          <t>PRIMARY — this IS the central</t>
        </is>
      </c>
      <c r="C5" s="7">
        <f>DCF!B39</f>
        <v/>
      </c>
      <c r="D5" s="11">
        <f>C5/$C$11-1</f>
        <v/>
      </c>
    </row>
    <row r="6">
      <c r="A6" t="inlineStr">
        <is>
          <t>Relative multiples</t>
        </is>
      </c>
      <c r="B6" t="inlineStr">
        <is>
          <t>cross-check</t>
        </is>
      </c>
      <c r="C6" s="7">
        <f>'Relative &amp; Normalized'!B15</f>
        <v/>
      </c>
      <c r="D6" s="11">
        <f>C6/$C$11-1</f>
        <v/>
      </c>
    </row>
    <row r="7">
      <c r="A7" t="inlineStr">
        <is>
          <t>Asset / replacement cost</t>
        </is>
      </c>
      <c r="B7" t="inlineStr">
        <is>
          <t>cross-check</t>
        </is>
      </c>
      <c r="C7" s="7">
        <f>'Relative &amp; Normalized'!B38</f>
        <v/>
      </c>
      <c r="D7" s="11">
        <f>C7/$C$11-1</f>
        <v/>
      </c>
    </row>
    <row r="8">
      <c r="A8" t="inlineStr">
        <is>
          <t>Book value (disclosed floor)</t>
        </is>
      </c>
      <c r="B8" t="inlineStr">
        <is>
          <t>disclosed floor — never weighted</t>
        </is>
      </c>
      <c r="C8" s="7">
        <f>'Relative &amp; Normalized'!B41</f>
        <v/>
      </c>
      <c r="D8" s="11">
        <f>C8/$C$11-1</f>
        <v/>
      </c>
    </row>
    <row r="10">
      <c r="A10" t="inlineStr">
        <is>
          <t>RETIRED — normalised earnings power, not a lens for this class</t>
        </is>
      </c>
      <c r="C10" s="15">
        <f>'Relative &amp; Normalized'!B26</f>
        <v/>
      </c>
    </row>
    <row r="11">
      <c r="A11" t="inlineStr">
        <is>
          <t>Spot price (EGP)</t>
        </is>
      </c>
      <c r="C11" s="7">
        <f>Assumptions!$B$5</f>
        <v/>
      </c>
    </row>
    <row r="12">
      <c r="A12" t="inlineStr">
        <is>
          <t>CENTRAL FAIR VALUE (EGP) — the primary lens, not a blend</t>
        </is>
      </c>
      <c r="C12" s="13">
        <f>C5</f>
        <v/>
      </c>
      <c r="D12" s="14">
        <f>C12/C11-1</f>
        <v/>
      </c>
    </row>
    <row r="13">
      <c r="A13" t="inlineStr">
        <is>
          <t>Envelope, low — the primary with the EBITDA margin at its filed floor</t>
        </is>
      </c>
      <c r="C13" s="7">
        <f>Assumptions!$B$87</f>
        <v/>
      </c>
    </row>
    <row r="14">
      <c r="A14" t="inlineStr">
        <is>
          <t>Envelope, high — the primary as published</t>
        </is>
      </c>
      <c r="C14" s="15">
        <f>C12</f>
        <v/>
      </c>
    </row>
    <row r="15">
      <c r="A15" t="inlineStr">
        <is>
          <t>MEMO — what the retired four-lens blend would have read</t>
        </is>
      </c>
      <c r="C15" s="7">
        <f>Assumptions!$B$88</f>
        <v/>
      </c>
    </row>
    <row r="16">
      <c r="A16" t="inlineStr">
        <is>
          <t>Terminal value as % of enterprise value (primary lens)</t>
        </is>
      </c>
      <c r="C16" s="12">
        <f>DCF!B33</f>
        <v/>
      </c>
    </row>
    <row r="18">
      <c r="A18" s="5" t="inlineStr">
        <is>
          <t>The lenses disagree by design and the disagreement is PUBLISHED rather than averaged away. The</t>
        </is>
      </c>
    </row>
    <row r="19">
      <c r="A19" s="5" t="inlineStr">
        <is>
          <t>cash-flow lens is the central for this class; the others are cross-checks read beside it, and the</t>
        </is>
      </c>
    </row>
    <row r="20">
      <c r="A20" s="5" t="inlineStr">
        <is>
          <t>book value is a disclosed floor that is never weighted into an answer.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50.25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straight-line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4063.48</v>
      </c>
      <c r="D30" s="23" t="n">
        <v>4551.0976</v>
      </c>
      <c r="E30" s="23" t="n">
        <v>4960.696384000001</v>
      </c>
      <c r="F30" s="23" t="n">
        <v>5332.748612800001</v>
      </c>
      <c r="G30" s="23" t="n">
        <v>5706.041015696001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50.25</v>
      </c>
      <c r="C32" s="21" t="n">
        <v>55.11414634146342</v>
      </c>
      <c r="D32" s="21" t="n">
        <v>60.22228673408688</v>
      </c>
      <c r="E32" s="21" t="n">
        <v>64.04126101478509</v>
      </c>
      <c r="F32" s="21" t="n">
        <v>67.16522496672583</v>
      </c>
      <c r="G32" s="21" t="n">
        <v>70.11394216038698</v>
      </c>
    </row>
    <row r="33">
      <c r="A33" t="inlineStr">
        <is>
          <t>Local cost inflation index</t>
        </is>
      </c>
      <c r="B33" s="22" t="n">
        <v>1</v>
      </c>
      <c r="C33" s="22" t="n">
        <v>1.16</v>
      </c>
      <c r="D33" s="22" t="n">
        <v>1.2992</v>
      </c>
      <c r="E33" s="22" t="n">
        <v>1.416128</v>
      </c>
      <c r="F33" s="22" t="n">
        <v>1.5223376</v>
      </c>
      <c r="G33" s="22" t="n">
        <v>1.628901232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0.25</v>
      </c>
      <c r="C38" s="20" t="n">
        <v>0.2142857142857143</v>
      </c>
      <c r="D38" s="20" t="n">
        <v>0.1857142857142857</v>
      </c>
      <c r="E38" s="20" t="n">
        <v>0.1642857142857143</v>
      </c>
      <c r="F38" s="20" t="n">
        <v>0.15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0.23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0.125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0.07000000000000001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</t>
        </is>
      </c>
      <c r="B69" s="21" t="n">
        <v>6385.92</v>
      </c>
    </row>
    <row r="70">
      <c r="A70" t="inlineStr">
        <is>
          <t>FY2024 total liabilities</t>
        </is>
      </c>
      <c r="B70" s="21" t="n">
        <v>1610.86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Envelope floor — the primary at the filed margin floor</t>
        </is>
      </c>
      <c r="B87" s="18" t="n">
        <v>23.62014366636873</v>
      </c>
    </row>
    <row r="88">
      <c r="A88" t="inlineStr">
        <is>
          <t>MEMO — the retired four-lens blend</t>
        </is>
      </c>
      <c r="B88" s="18" t="n">
        <v>95.96108438513127</v>
      </c>
    </row>
    <row r="89">
      <c r="A89" t="inlineStr">
        <is>
          <t>Maintenance at current cost (replacement base / disclosed life)</t>
        </is>
      </c>
      <c r="B89" s="23" t="n">
        <v>958.8325110000001</v>
      </c>
      <c r="C89" s="5" t="inlineStr">
        <is>
          <t>Replacement capital over the note 3/2 life — the SAME charge the terminal makes</t>
        </is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  <row r="105">
      <c r="A105" t="inlineStr">
        <is>
          <t>Capital-charge convergence weight, FY2026</t>
        </is>
      </c>
      <c r="B105" s="20" t="n">
        <v>0</v>
      </c>
      <c r="C105" s="5" t="inlineStr">
        <is>
          <t>the share of the way from the company's own spend to current-cost maintenance</t>
        </is>
      </c>
    </row>
    <row r="106">
      <c r="A106" t="inlineStr">
        <is>
          <t>Capital-charge convergence weight, FY2027</t>
        </is>
      </c>
      <c r="B106" s="20" t="n">
        <v>0.25</v>
      </c>
      <c r="C106" s="5" t="inlineStr">
        <is>
          <t>the share of the way from the company's own spend to current-cost maintenance</t>
        </is>
      </c>
    </row>
    <row r="107">
      <c r="A107" t="inlineStr">
        <is>
          <t>Capital-charge convergence weight, FY2028</t>
        </is>
      </c>
      <c r="B107" s="20" t="n">
        <v>0.5</v>
      </c>
      <c r="C107" s="5" t="inlineStr">
        <is>
          <t>the share of the way from the company's own spend to current-cost maintenance</t>
        </is>
      </c>
    </row>
    <row r="108">
      <c r="A108" t="inlineStr">
        <is>
          <t>Capital-charge convergence weight, FY2029</t>
        </is>
      </c>
      <c r="B108" s="20" t="n">
        <v>0.75</v>
      </c>
      <c r="C108" s="5" t="inlineStr">
        <is>
          <t>the share of the way from the company's own spend to current-cost maintenance</t>
        </is>
      </c>
    </row>
    <row r="109">
      <c r="A109" t="inlineStr">
        <is>
          <t>Capital-charge convergence weight, FY2030</t>
        </is>
      </c>
      <c r="B109" s="20" t="n">
        <v>1</v>
      </c>
      <c r="C109" s="5" t="inlineStr">
        <is>
          <t>the share of the way from the company's own spend to current-cost maintenance</t>
        </is>
      </c>
    </row>
    <row r="116">
      <c r="A116" t="inlineStr">
        <is>
          <t>Cost-of-capital glide fraction, FY2026</t>
        </is>
      </c>
      <c r="B116" s="26" t="n">
        <v>0</v>
      </c>
      <c r="C116" s="5" t="inlineStr">
        <is>
          <t>the central bank's own easing calendar: the policy path's cumulative progress</t>
        </is>
      </c>
    </row>
    <row r="117">
      <c r="A117" t="inlineStr">
        <is>
          <t>Cost-of-capital glide fraction, FY2027</t>
        </is>
      </c>
      <c r="B117" s="26" t="n">
        <v>0.357142857142857</v>
      </c>
      <c r="C117" s="5" t="inlineStr">
        <is>
          <t>the central bank's own easing calendar: the policy path's cumulative progress</t>
        </is>
      </c>
    </row>
    <row r="118">
      <c r="A118" t="inlineStr">
        <is>
          <t>Cost-of-capital glide fraction, FY2028</t>
        </is>
      </c>
      <c r="B118" s="26" t="n">
        <v>0.642857142857143</v>
      </c>
      <c r="C118" s="5" t="inlineStr">
        <is>
          <t>the central bank's own easing calendar: the policy path's cumulative progress</t>
        </is>
      </c>
    </row>
    <row r="119">
      <c r="A119" t="inlineStr">
        <is>
          <t>Cost-of-capital glide fraction, FY2029</t>
        </is>
      </c>
      <c r="B119" s="26" t="n">
        <v>0.857142857142857</v>
      </c>
      <c r="C119" s="5" t="inlineStr">
        <is>
          <t>the central bank's own easing calendar: the policy path's cumulative progress</t>
        </is>
      </c>
    </row>
    <row r="120">
      <c r="A120" t="inlineStr">
        <is>
          <t>Cost-of-capital glide fraction, FY2030</t>
        </is>
      </c>
      <c r="B120" s="26" t="n">
        <v>1</v>
      </c>
      <c r="C120" s="5" t="inlineStr">
        <is>
          <t>the central bank's own easing calendar: the policy path's cumulative progress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7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7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1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2">
        <f>Assumptions!$B$28</f>
        <v/>
      </c>
      <c r="C6" s="12">
        <f>Assumptions!$C$28</f>
        <v/>
      </c>
      <c r="D6" s="12">
        <f>Assumptions!$D$28</f>
        <v/>
      </c>
      <c r="E6" s="12">
        <f>Assumptions!$E$28</f>
        <v/>
      </c>
      <c r="F6" s="12">
        <f>Assumptions!$F$28</f>
        <v/>
      </c>
      <c r="G6" s="12">
        <f>Assumptions!$G$28</f>
        <v/>
      </c>
    </row>
    <row r="7">
      <c r="A7" t="inlineStr">
        <is>
          <t>Clinker produced (Mt)</t>
        </is>
      </c>
      <c r="B7" s="28">
        <f>B5*B6</f>
        <v/>
      </c>
      <c r="C7" s="28">
        <f>C5*C6</f>
        <v/>
      </c>
      <c r="D7" s="28">
        <f>D5*D6</f>
        <v/>
      </c>
      <c r="E7" s="28">
        <f>E5*E6</f>
        <v/>
      </c>
      <c r="F7" s="28">
        <f>F5*F6</f>
        <v/>
      </c>
      <c r="G7" s="28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9">
        <f>Assumptions!$B$14</f>
        <v/>
      </c>
      <c r="C9" s="29">
        <f>Assumptions!$B$14</f>
        <v/>
      </c>
      <c r="D9" s="29">
        <f>Assumptions!$B$14</f>
        <v/>
      </c>
      <c r="E9" s="29">
        <f>Assumptions!$B$14</f>
        <v/>
      </c>
      <c r="F9" s="29">
        <f>Assumptions!$B$14</f>
        <v/>
      </c>
      <c r="G9" s="29">
        <f>Assumptions!$B$14</f>
        <v/>
      </c>
    </row>
    <row r="10">
      <c r="A10" t="inlineStr">
        <is>
          <t>Cement produced (Mt)</t>
        </is>
      </c>
      <c r="B10" s="28">
        <f>B7/B9</f>
        <v/>
      </c>
      <c r="C10" s="28">
        <f>C7/C9</f>
        <v/>
      </c>
      <c r="D10" s="28">
        <f>D7/D9</f>
        <v/>
      </c>
      <c r="E10" s="28">
        <f>E7/E9</f>
        <v/>
      </c>
      <c r="F10" s="28">
        <f>F7/F9</f>
        <v/>
      </c>
      <c r="G10" s="28">
        <f>G7/G9</f>
        <v/>
      </c>
    </row>
    <row r="11">
      <c r="A11" t="inlineStr">
        <is>
          <t>Domestic share</t>
        </is>
      </c>
      <c r="B11" s="12">
        <f>Assumptions!$B$29</f>
        <v/>
      </c>
      <c r="C11" s="12">
        <f>Assumptions!$C$29</f>
        <v/>
      </c>
      <c r="D11" s="12">
        <f>Assumptions!$D$29</f>
        <v/>
      </c>
      <c r="E11" s="12">
        <f>Assumptions!$E$29</f>
        <v/>
      </c>
      <c r="F11" s="12">
        <f>Assumptions!$F$29</f>
        <v/>
      </c>
      <c r="G11" s="12">
        <f>Assumptions!$G$29</f>
        <v/>
      </c>
    </row>
    <row r="12">
      <c r="A12" t="inlineStr">
        <is>
          <t>Domestic volume (Mt)</t>
        </is>
      </c>
      <c r="B12" s="28">
        <f>B10*B11</f>
        <v/>
      </c>
      <c r="C12" s="28">
        <f>C10*C11</f>
        <v/>
      </c>
      <c r="D12" s="28">
        <f>D10*D11</f>
        <v/>
      </c>
      <c r="E12" s="28">
        <f>E10*E11</f>
        <v/>
      </c>
      <c r="F12" s="28">
        <f>F10*F11</f>
        <v/>
      </c>
      <c r="G12" s="28">
        <f>G10*G11</f>
        <v/>
      </c>
    </row>
    <row r="13">
      <c r="A13" t="inlineStr">
        <is>
          <t>Export volume (Mt)</t>
        </is>
      </c>
      <c r="B13" s="28">
        <f>B10-B12</f>
        <v/>
      </c>
      <c r="C13" s="28">
        <f>C10-C12</f>
        <v/>
      </c>
      <c r="D13" s="28">
        <f>D10-D12</f>
        <v/>
      </c>
      <c r="E13" s="28">
        <f>E10-E12</f>
        <v/>
      </c>
      <c r="F13" s="28">
        <f>F10-F12</f>
        <v/>
      </c>
      <c r="G13" s="28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30">
        <f>Assumptions!$B$31</f>
        <v/>
      </c>
      <c r="C15" s="30">
        <f>Assumptions!$C$31</f>
        <v/>
      </c>
      <c r="D15" s="30">
        <f>Assumptions!$D$31</f>
        <v/>
      </c>
      <c r="E15" s="30">
        <f>Assumptions!$E$31</f>
        <v/>
      </c>
      <c r="F15" s="30">
        <f>Assumptions!$F$31</f>
        <v/>
      </c>
      <c r="G15" s="30">
        <f>Assumptions!$G$31</f>
        <v/>
      </c>
    </row>
    <row r="16">
      <c r="A16" t="inlineStr">
        <is>
          <t>USD/EGP</t>
        </is>
      </c>
      <c r="B16" s="30">
        <f>Assumptions!$B$32</f>
        <v/>
      </c>
      <c r="C16" s="30">
        <f>Assumptions!$C$32</f>
        <v/>
      </c>
      <c r="D16" s="30">
        <f>Assumptions!$D$32</f>
        <v/>
      </c>
      <c r="E16" s="30">
        <f>Assumptions!$E$32</f>
        <v/>
      </c>
      <c r="F16" s="30">
        <f>Assumptions!$F$32</f>
        <v/>
      </c>
      <c r="G16" s="30">
        <f>Assumptions!$G$32</f>
        <v/>
      </c>
    </row>
    <row r="17">
      <c r="A17" t="inlineStr">
        <is>
          <t>Domestic revenue (EGP mn)</t>
        </is>
      </c>
      <c r="B17" s="31">
        <f>B12*B14</f>
        <v/>
      </c>
      <c r="C17" s="31">
        <f>C12*C14</f>
        <v/>
      </c>
      <c r="D17" s="31">
        <f>D12*D14</f>
        <v/>
      </c>
      <c r="E17" s="31">
        <f>E12*E14</f>
        <v/>
      </c>
      <c r="F17" s="31">
        <f>F12*F14</f>
        <v/>
      </c>
      <c r="G17" s="31">
        <f>G12*G14</f>
        <v/>
      </c>
    </row>
    <row r="18">
      <c r="A18" t="inlineStr">
        <is>
          <t>Export revenue (EGP mn)</t>
        </is>
      </c>
      <c r="B18" s="31">
        <f>B13*B15*B16</f>
        <v/>
      </c>
      <c r="C18" s="31">
        <f>C13*C15*C16</f>
        <v/>
      </c>
      <c r="D18" s="31">
        <f>D13*D15*D16</f>
        <v/>
      </c>
      <c r="E18" s="31">
        <f>E13*E15*E16</f>
        <v/>
      </c>
      <c r="F18" s="31">
        <f>F13*F15*F16</f>
        <v/>
      </c>
      <c r="G18" s="31">
        <f>G13*G15*G16</f>
        <v/>
      </c>
    </row>
    <row r="19">
      <c r="A19" t="inlineStr">
        <is>
          <t>REVENUE (EGP mn)</t>
        </is>
      </c>
      <c r="B19" s="32">
        <f>B17+B18</f>
        <v/>
      </c>
      <c r="C19" s="32">
        <f>C17+C18</f>
        <v/>
      </c>
      <c r="D19" s="32">
        <f>D17+D18</f>
        <v/>
      </c>
      <c r="E19" s="32">
        <f>E17+E18</f>
        <v/>
      </c>
      <c r="F19" s="32">
        <f>F17+F18</f>
        <v/>
      </c>
      <c r="G19" s="32">
        <f>G17+G18</f>
        <v/>
      </c>
    </row>
    <row r="20">
      <c r="A20" t="inlineStr">
        <is>
          <t>Blended realised price (EGP/t)</t>
        </is>
      </c>
      <c r="B20" s="31">
        <f>B19/B10</f>
        <v/>
      </c>
      <c r="C20" s="31">
        <f>C19/C10</f>
        <v/>
      </c>
      <c r="D20" s="31">
        <f>D19/D10</f>
        <v/>
      </c>
      <c r="E20" s="31">
        <f>E19/E10</f>
        <v/>
      </c>
      <c r="F20" s="31">
        <f>F19/F10</f>
        <v/>
      </c>
      <c r="G20" s="31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1">
        <f>Assumptions!$B$16/$B$10*(Assumptions!$B$19*B16/Assumptions!$B$32+(1-Assumptions!$B$19)*Assumptions!$B$33/Assumptions!$B$33)</f>
        <v/>
      </c>
      <c r="C23" s="31">
        <f>Assumptions!$B$16/$B$10*(Assumptions!$B$19*C16/Assumptions!$B$32+(1-Assumptions!$B$19)*Assumptions!$C$33/Assumptions!$B$33)</f>
        <v/>
      </c>
      <c r="D23" s="31">
        <f>Assumptions!$B$16/$B$10*(Assumptions!$B$19*D16/Assumptions!$B$32+(1-Assumptions!$B$19)*Assumptions!$D$33/Assumptions!$B$33)</f>
        <v/>
      </c>
      <c r="E23" s="31">
        <f>Assumptions!$B$16/$B$10*(Assumptions!$B$19*E16/Assumptions!$B$32+(1-Assumptions!$B$19)*Assumptions!$E$33/Assumptions!$B$33)</f>
        <v/>
      </c>
      <c r="F23" s="31">
        <f>Assumptions!$B$16/$B$10*(Assumptions!$B$19*F16/Assumptions!$B$32+(1-Assumptions!$B$19)*Assumptions!$F$33/Assumptions!$B$33)</f>
        <v/>
      </c>
      <c r="G23" s="31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1">
        <f>Assumptions!$B$17/$B$10*Assumptions!$B$33/Assumptions!$B$33</f>
        <v/>
      </c>
      <c r="C24" s="31">
        <f>Assumptions!$B$17/$B$10*Assumptions!$C$33/Assumptions!$B$33</f>
        <v/>
      </c>
      <c r="D24" s="31">
        <f>Assumptions!$B$17/$B$10*Assumptions!$D$33/Assumptions!$B$33</f>
        <v/>
      </c>
      <c r="E24" s="31">
        <f>Assumptions!$B$17/$B$10*Assumptions!$E$33/Assumptions!$B$33</f>
        <v/>
      </c>
      <c r="F24" s="31">
        <f>Assumptions!$B$17/$B$10*Assumptions!$F$33/Assumptions!$B$33</f>
        <v/>
      </c>
      <c r="G24" s="31">
        <f>Assumptions!$B$17/$B$10*Assumptions!$G$33/Assumptions!$B$33</f>
        <v/>
      </c>
    </row>
    <row r="28">
      <c r="A28" t="inlineStr">
        <is>
          <t>TOTAL VARIABLE (EGP/t)</t>
        </is>
      </c>
      <c r="B28" s="32">
        <f>B23+B24</f>
        <v/>
      </c>
      <c r="C28" s="32">
        <f>C23+C24</f>
        <v/>
      </c>
      <c r="D28" s="32">
        <f>D23+D24</f>
        <v/>
      </c>
      <c r="E28" s="32">
        <f>E23+E24</f>
        <v/>
      </c>
      <c r="F28" s="32">
        <f>F23+F24</f>
        <v/>
      </c>
      <c r="G28" s="32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1">
        <f>B28*B10</f>
        <v/>
      </c>
      <c r="C32" s="31">
        <f>C28*C10</f>
        <v/>
      </c>
      <c r="D32" s="31">
        <f>D28*D10</f>
        <v/>
      </c>
      <c r="E32" s="31">
        <f>E28*E10</f>
        <v/>
      </c>
      <c r="F32" s="31">
        <f>F28*F10</f>
        <v/>
      </c>
      <c r="G32" s="31">
        <f>G28*G10</f>
        <v/>
      </c>
    </row>
    <row r="33">
      <c r="A33" t="inlineStr">
        <is>
          <t>Fixed cost</t>
        </is>
      </c>
      <c r="B33" s="31">
        <f>Assumptions!$B$18*Assumptions!$B$33/Assumptions!$B$33</f>
        <v/>
      </c>
      <c r="C33" s="31">
        <f>Assumptions!$B$18*Assumptions!$C$33/Assumptions!$B$33</f>
        <v/>
      </c>
      <c r="D33" s="31">
        <f>Assumptions!$B$18*Assumptions!$D$33/Assumptions!$B$33</f>
        <v/>
      </c>
      <c r="E33" s="31">
        <f>Assumptions!$B$18*Assumptions!$E$33/Assumptions!$B$33</f>
        <v/>
      </c>
      <c r="F33" s="31">
        <f>Assumptions!$B$18*Assumptions!$F$33/Assumptions!$B$33</f>
        <v/>
      </c>
      <c r="G33" s="31">
        <f>Assumptions!$B$18*Assumptions!$G$33/Assumptions!$B$33</f>
        <v/>
      </c>
    </row>
    <row r="34">
      <c r="A34" t="inlineStr">
        <is>
          <t>EBITDA  (AN OUTPUT)</t>
        </is>
      </c>
      <c r="B34" s="32">
        <f>B31-B32-B33</f>
        <v/>
      </c>
      <c r="C34" s="32">
        <f>C31-C32-C33</f>
        <v/>
      </c>
      <c r="D34" s="32">
        <f>D31-D32-D33</f>
        <v/>
      </c>
      <c r="E34" s="32">
        <f>E31-E32-E33</f>
        <v/>
      </c>
      <c r="F34" s="32">
        <f>F31-F32-F33</f>
        <v/>
      </c>
      <c r="G34" s="32">
        <f>G31-G32-G33</f>
        <v/>
      </c>
    </row>
    <row r="35">
      <c r="A35" t="inlineStr">
        <is>
          <t>EBITDA margin</t>
        </is>
      </c>
      <c r="B35" s="11">
        <f>B34/B31</f>
        <v/>
      </c>
      <c r="C35" s="11">
        <f>C34/C31</f>
        <v/>
      </c>
      <c r="D35" s="11">
        <f>D34/D31</f>
        <v/>
      </c>
      <c r="E35" s="11">
        <f>E34/E31</f>
        <v/>
      </c>
      <c r="F35" s="11">
        <f>F34/F31</f>
        <v/>
      </c>
      <c r="G35" s="11">
        <f>G34/G31</f>
        <v/>
      </c>
    </row>
    <row r="36">
      <c r="A36" t="inlineStr">
        <is>
          <t>EBITDA per tonne (EGP)</t>
        </is>
      </c>
      <c r="B36" s="31">
        <f>B34/B10</f>
        <v/>
      </c>
      <c r="C36" s="31">
        <f>C34/C10</f>
        <v/>
      </c>
      <c r="D36" s="31">
        <f>D34/D10</f>
        <v/>
      </c>
      <c r="E36" s="31">
        <f>E34/E10</f>
        <v/>
      </c>
      <c r="F36" s="31">
        <f>F34/F10</f>
        <v/>
      </c>
      <c r="G36" s="31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1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1">
        <f>B39/B40-1</f>
        <v/>
      </c>
    </row>
    <row r="42">
      <c r="A42" t="inlineStr">
        <is>
          <t>Bottom-up FY2025 EBITDA</t>
        </is>
      </c>
      <c r="B42" s="31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1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1">
        <f>Assumptions!$B$64</f>
        <v/>
      </c>
    </row>
    <row r="6">
      <c r="A6" t="inlineStr">
        <is>
          <t>Normalised revenue haircut</t>
        </is>
      </c>
      <c r="B6" s="11">
        <f>Assumptions!$B$85</f>
        <v/>
      </c>
    </row>
    <row r="7">
      <c r="A7" t="inlineStr">
        <is>
          <t>Normalised revenue base</t>
        </is>
      </c>
      <c r="B7" s="31">
        <f>B5*B6</f>
        <v/>
      </c>
    </row>
    <row r="8">
      <c r="A8" t="inlineStr">
        <is>
          <t>Mid-cycle EBITDA margin</t>
        </is>
      </c>
      <c r="B8" s="11">
        <f>Assumptions!$B$84</f>
        <v/>
      </c>
    </row>
    <row r="9">
      <c r="A9" t="inlineStr">
        <is>
          <t>Normalised EBITDA</t>
        </is>
      </c>
      <c r="B9" s="31">
        <f>B7*B8</f>
        <v/>
      </c>
    </row>
    <row r="10">
      <c r="A10" t="inlineStr">
        <is>
          <t>Justified EV/EBITDA</t>
        </is>
      </c>
      <c r="B10" s="33">
        <f>Assumptions!$B$82</f>
        <v/>
      </c>
    </row>
    <row r="11">
      <c r="A11" t="inlineStr">
        <is>
          <t>Implied enterprise value</t>
        </is>
      </c>
      <c r="B11" s="31">
        <f>B9*B10</f>
        <v/>
      </c>
    </row>
    <row r="12">
      <c r="A12" t="inlineStr">
        <is>
          <t>Plus net cash</t>
        </is>
      </c>
      <c r="B12" s="31">
        <f>DCF!B36</f>
        <v/>
      </c>
    </row>
    <row r="13">
      <c r="A13" t="inlineStr">
        <is>
          <t>Less non-controlling interests</t>
        </is>
      </c>
      <c r="B13" s="31">
        <f>-Assumptions!$B$61</f>
        <v/>
      </c>
    </row>
    <row r="14">
      <c r="A14" t="inlineStr">
        <is>
          <t>Implied equity value</t>
        </is>
      </c>
      <c r="B14" s="31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 — RETIRED AS A LENS FOR THIS CLASS, SHOWN FOR THE RECORD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1">
        <f>B9</f>
        <v/>
      </c>
    </row>
    <row r="19">
      <c r="A19" t="inlineStr">
        <is>
          <t>Less D&amp;A (FY2025)</t>
        </is>
      </c>
      <c r="B19" s="31">
        <f>-'Income Statement'!D8</f>
        <v/>
      </c>
    </row>
    <row r="20">
      <c r="A20" t="inlineStr">
        <is>
          <t>Normalised EBIT</t>
        </is>
      </c>
      <c r="B20" s="31">
        <f>B18+B19</f>
        <v/>
      </c>
    </row>
    <row r="21">
      <c r="A21" t="inlineStr">
        <is>
          <t>Normalised NOPAT</t>
        </is>
      </c>
      <c r="B21" s="31">
        <f>B20*(1-Assumptions!$B$7)</f>
        <v/>
      </c>
    </row>
    <row r="22">
      <c r="A22" t="inlineStr">
        <is>
          <t>Justified price/earnings</t>
        </is>
      </c>
      <c r="B22" s="33">
        <f>Assumptions!$B$83</f>
        <v/>
      </c>
    </row>
    <row r="23">
      <c r="A23" t="inlineStr">
        <is>
          <t>Operating equity value</t>
        </is>
      </c>
      <c r="B23" s="31">
        <f>B21*B22</f>
        <v/>
      </c>
    </row>
    <row r="24">
      <c r="A24" t="inlineStr">
        <is>
          <t>Plus net cash AT FACE (not capitalised)</t>
        </is>
      </c>
      <c r="B24" s="31">
        <f>DCF!B36</f>
        <v/>
      </c>
    </row>
    <row r="25">
      <c r="A25" t="inlineStr">
        <is>
          <t>Less non-controlling interests</t>
        </is>
      </c>
      <c r="B25" s="31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1">
        <f>Assumptions!$B$5*Assumptions!$B$6-DCF!B36</f>
        <v/>
      </c>
    </row>
    <row r="30">
      <c r="A30" t="inlineStr">
        <is>
          <t>Capacity (annual tonnes)</t>
        </is>
      </c>
      <c r="B30" s="31">
        <f>Assumptions!$B$12*1000000</f>
        <v/>
      </c>
    </row>
    <row r="31">
      <c r="A31" t="inlineStr">
        <is>
          <t>EV per tonne at spot (USD/t)</t>
        </is>
      </c>
      <c r="B31" s="34">
        <f>B29*1000000/B30/Assumptions!$B$9</f>
        <v/>
      </c>
    </row>
    <row r="32">
      <c r="A32" t="inlineStr">
        <is>
          <t>Replacement cost (USD/t)</t>
        </is>
      </c>
      <c r="B32" s="31">
        <f>Assumptions!$B$80</f>
        <v/>
      </c>
    </row>
    <row r="33">
      <c r="A33" t="inlineStr">
        <is>
          <t>Discount to replacement cost</t>
        </is>
      </c>
      <c r="B33" s="11">
        <f>B31/B32-1</f>
        <v/>
      </c>
    </row>
    <row r="34">
      <c r="A34" t="inlineStr">
        <is>
          <t>Justified EV per tonne (USD/t)</t>
        </is>
      </c>
      <c r="B34" s="31">
        <f>Assumptions!$B$81</f>
        <v/>
      </c>
    </row>
    <row r="35">
      <c r="A35" t="inlineStr">
        <is>
          <t>Implied enterprise value (EGP mn)</t>
        </is>
      </c>
      <c r="B35" s="31">
        <f>B34*B30*Assumptions!$B$9/1000000</f>
        <v/>
      </c>
    </row>
    <row r="36">
      <c r="A36" t="inlineStr">
        <is>
          <t>Plus net cash</t>
        </is>
      </c>
      <c r="B36" s="31">
        <f>DCF!B36</f>
        <v/>
      </c>
    </row>
    <row r="37">
      <c r="A37" t="inlineStr">
        <is>
          <t>Less non-controlling interests</t>
        </is>
      </c>
      <c r="B37" s="32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1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1">
        <f>B7/B5</f>
        <v/>
      </c>
      <c r="C6" s="11">
        <f>C7/C5</f>
        <v/>
      </c>
      <c r="D6" s="11">
        <f>D7/D5</f>
        <v/>
      </c>
      <c r="E6" s="11">
        <f>E7/E5</f>
        <v/>
      </c>
      <c r="F6" s="11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1">
        <f>B21*Assumptions!$B$21</f>
        <v/>
      </c>
      <c r="C8" s="31">
        <f>C21*Assumptions!$B$21</f>
        <v/>
      </c>
      <c r="D8" s="31">
        <f>D21*Assumptions!$B$21</f>
        <v/>
      </c>
      <c r="E8" s="31">
        <f>E21*Assumptions!$B$21</f>
        <v/>
      </c>
      <c r="F8" s="31">
        <f>F21*Assumptions!$B$21</f>
        <v/>
      </c>
    </row>
    <row r="9">
      <c r="A9" t="inlineStr">
        <is>
          <t>EBIT</t>
        </is>
      </c>
      <c r="B9" s="31">
        <f>B7-B8</f>
        <v/>
      </c>
      <c r="C9" s="31">
        <f>C7-C8</f>
        <v/>
      </c>
      <c r="D9" s="31">
        <f>D7-D8</f>
        <v/>
      </c>
      <c r="E9" s="31">
        <f>E7-E8</f>
        <v/>
      </c>
      <c r="F9" s="31">
        <f>F7-F8</f>
        <v/>
      </c>
    </row>
    <row r="10">
      <c r="A10" t="inlineStr">
        <is>
          <t>Tax rate</t>
        </is>
      </c>
      <c r="B10" s="12">
        <f>Assumptions!$B$7</f>
        <v/>
      </c>
      <c r="C10" s="12">
        <f>Assumptions!$B$7</f>
        <v/>
      </c>
      <c r="D10" s="12">
        <f>Assumptions!$B$7</f>
        <v/>
      </c>
      <c r="E10" s="12">
        <f>Assumptions!$B$7</f>
        <v/>
      </c>
      <c r="F10" s="12">
        <f>Assumptions!$B$7</f>
        <v/>
      </c>
    </row>
    <row r="11">
      <c r="A11" t="inlineStr">
        <is>
          <t>NOPAT  (EBIT × (1 − t))</t>
        </is>
      </c>
      <c r="B11" s="31">
        <f>B9*(1-B10)</f>
        <v/>
      </c>
      <c r="C11" s="31">
        <f>C9*(1-C10)</f>
        <v/>
      </c>
      <c r="D11" s="31">
        <f>D9*(1-D10)</f>
        <v/>
      </c>
      <c r="E11" s="31">
        <f>E9*(1-E10)</f>
        <v/>
      </c>
      <c r="F11" s="31">
        <f>F9*(1-F10)</f>
        <v/>
      </c>
    </row>
    <row r="12">
      <c r="A12" t="inlineStr">
        <is>
          <t>Memo: capital expenditure</t>
        </is>
      </c>
      <c r="B12" s="31">
        <f>B20</f>
        <v/>
      </c>
      <c r="C12" s="31">
        <f>C20</f>
        <v/>
      </c>
      <c r="D12" s="31">
        <f>D20</f>
        <v/>
      </c>
      <c r="E12" s="31">
        <f>E20</f>
        <v/>
      </c>
      <c r="F12" s="31">
        <f>F20</f>
        <v/>
      </c>
    </row>
    <row r="13">
      <c r="A13" t="inlineStr">
        <is>
          <t>Memo: change in working capital</t>
        </is>
      </c>
      <c r="B13" s="31">
        <f>(B5-Assumptions!$B$64)*Assumptions!$B$40</f>
        <v/>
      </c>
      <c r="C13" s="31">
        <f>(C5-B5)*Assumptions!$B$40</f>
        <v/>
      </c>
      <c r="D13" s="31">
        <f>(D5-C5)*Assumptions!$B$40</f>
        <v/>
      </c>
      <c r="E13" s="31">
        <f>(E5-D5)*Assumptions!$B$40</f>
        <v/>
      </c>
      <c r="F13" s="31">
        <f>(F5-E5)*Assumptions!$B$40</f>
        <v/>
      </c>
    </row>
    <row r="14">
      <c r="A14" t="inlineStr">
        <is>
          <t>Net capital charge  (capex + working capital − depreciation)</t>
        </is>
      </c>
      <c r="B14" s="31">
        <f>B12+B13-B8</f>
        <v/>
      </c>
      <c r="C14" s="31">
        <f>C12+C13-C8</f>
        <v/>
      </c>
      <c r="D14" s="31">
        <f>D12+D13-D8</f>
        <v/>
      </c>
      <c r="E14" s="31">
        <f>E12+E13-E8</f>
        <v/>
      </c>
      <c r="F14" s="31">
        <f>F12+F13-F8</f>
        <v/>
      </c>
    </row>
    <row r="15">
      <c r="A15" t="inlineStr">
        <is>
          <t>Free cash flow to the firm</t>
        </is>
      </c>
      <c r="B15" s="32">
        <f>(B11+B8-B12-B13)*(1-Assumptions!$B$56)</f>
        <v/>
      </c>
      <c r="C15" s="32">
        <f>C11+C8-C12-C13</f>
        <v/>
      </c>
      <c r="D15" s="32">
        <f>D11+D8-D12-D13</f>
        <v/>
      </c>
      <c r="E15" s="32">
        <f>E11+E8-E12-E13</f>
        <v/>
      </c>
      <c r="F15" s="32">
        <f>F11+F8-F12-F13</f>
        <v/>
      </c>
    </row>
    <row r="16">
      <c r="A16" t="inlineStr">
        <is>
          <t>Glide fraction</t>
        </is>
      </c>
      <c r="B16" s="35">
        <f>Assumptions!$B$116</f>
        <v/>
      </c>
      <c r="C16" s="35">
        <f>Assumptions!$B$117</f>
        <v/>
      </c>
      <c r="D16" s="35">
        <f>Assumptions!$B$118</f>
        <v/>
      </c>
      <c r="E16" s="35">
        <f>Assumptions!$B$119</f>
        <v/>
      </c>
      <c r="F16" s="35">
        <f>Assumptions!$B$120</f>
        <v/>
      </c>
    </row>
    <row r="17">
      <c r="A17" t="inlineStr">
        <is>
          <t>Forward cost of capital</t>
        </is>
      </c>
      <c r="B17" s="36">
        <f>$C$46-($C$46-$C$53)*B16</f>
        <v/>
      </c>
      <c r="C17" s="36">
        <f>$C$46-($C$46-$C$53)*C16</f>
        <v/>
      </c>
      <c r="D17" s="36">
        <f>$C$46-($C$46-$C$53)*D16</f>
        <v/>
      </c>
      <c r="E17" s="36">
        <f>$C$46-($C$46-$C$53)*E16</f>
        <v/>
      </c>
      <c r="F17" s="36">
        <f>$C$46-($C$46-$C$53)*F16</f>
        <v/>
      </c>
    </row>
    <row r="18">
      <c r="A18" t="inlineStr">
        <is>
          <t>Discount factor</t>
        </is>
      </c>
      <c r="B18" s="35">
        <f>1/(1+B17)^((1-Assumptions!$B$56)/2)</f>
        <v/>
      </c>
      <c r="C18" s="35">
        <f>1/((1+B17)^(1-Assumptions!$B$56)*(1+C17)^0.5)</f>
        <v/>
      </c>
      <c r="D18" s="35">
        <f>1/((1+B17)^(1-Assumptions!$B$56)*(1+C17)*(1+D17)^0.5)</f>
        <v/>
      </c>
      <c r="E18" s="35">
        <f>1/((1+B17)^(1-Assumptions!$B$56)*(1+C17)*(1+D17)*(1+E17)^0.5)</f>
        <v/>
      </c>
      <c r="F18" s="35">
        <f>1/((1+B17)^(1-Assumptions!$B$56)*(1+C17)*(1+D17)*(1+E17)*(1+F17)^0.5)</f>
        <v/>
      </c>
    </row>
    <row r="19">
      <c r="A19" t="inlineStr">
        <is>
          <t>Present value of FCFF</t>
        </is>
      </c>
      <c r="B19" s="31">
        <f>B15*B18</f>
        <v/>
      </c>
      <c r="C19" s="31">
        <f>C15*C18</f>
        <v/>
      </c>
      <c r="D19" s="31">
        <f>D15*D18</f>
        <v/>
      </c>
      <c r="E19" s="31">
        <f>E15*E18</f>
        <v/>
      </c>
      <c r="F19" s="31">
        <f>F15*F18</f>
        <v/>
      </c>
    </row>
    <row r="20">
      <c r="A20" t="inlineStr">
        <is>
          <t>Memo: capital expenditure, on the company's own run rate</t>
        </is>
      </c>
      <c r="B20" s="31">
        <f>(Assumptions!$B$22+(Assumptions!$B$89-Assumptions!$B$22)*Assumptions!$B$105)*Assumptions!$C$33/Assumptions!$B$33</f>
        <v/>
      </c>
      <c r="C20" s="31">
        <f>(Assumptions!$B$22+(Assumptions!$B$89-Assumptions!$B$22)*Assumptions!$B$106)*Assumptions!$D$33/Assumptions!$B$33</f>
        <v/>
      </c>
      <c r="D20" s="31">
        <f>(Assumptions!$B$22+(Assumptions!$B$89-Assumptions!$B$22)*Assumptions!$B$107)*Assumptions!$E$33/Assumptions!$B$33</f>
        <v/>
      </c>
      <c r="E20" s="31">
        <f>(Assumptions!$B$22+(Assumptions!$B$89-Assumptions!$B$22)*Assumptions!$B$108)*Assumptions!$F$33/Assumptions!$B$33</f>
        <v/>
      </c>
      <c r="F20" s="31">
        <f>(Assumptions!$B$22+(Assumptions!$B$89-Assumptions!$B$22)*Assumptions!$B$109)*Assumptions!$G$33/Assumptions!$B$33</f>
        <v/>
      </c>
    </row>
    <row r="21">
      <c r="A21" s="10" t="inlineStr">
        <is>
          <t>TERMINAL BLOCK</t>
        </is>
      </c>
      <c r="B21" s="37">
        <f>Assumptions!$B$20+B20</f>
        <v/>
      </c>
      <c r="C21" s="37">
        <f>B21+C20</f>
        <v/>
      </c>
      <c r="D21" s="37">
        <f>C21+D20</f>
        <v/>
      </c>
      <c r="E21" s="37">
        <f>D21+E20</f>
        <v/>
      </c>
      <c r="F21" s="37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1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1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1">
        <f>F11*(1+Assumptions!$B$55)/B22</f>
        <v/>
      </c>
    </row>
    <row r="25">
      <c r="A25" t="inlineStr">
        <is>
          <t>Maintenance at current cost  (invested capital / life)</t>
        </is>
      </c>
      <c r="B25" s="31">
        <f>B22/B45</f>
        <v/>
      </c>
    </row>
    <row r="26">
      <c r="A26" t="inlineStr">
        <is>
          <t>Terminal value</t>
        </is>
      </c>
      <c r="B26" s="31">
        <f>B48*(1+Assumptions!$B$55)/($C$53-Assumptions!$B$55)</f>
        <v/>
      </c>
    </row>
    <row r="27">
      <c r="A27" t="inlineStr">
        <is>
          <t>Present value of terminal value</t>
        </is>
      </c>
      <c r="B27" s="31">
        <f>B26*F18</f>
        <v/>
      </c>
    </row>
    <row r="28">
      <c r="A28" t="inlineStr">
        <is>
          <t>Terminal NOPAT</t>
        </is>
      </c>
      <c r="B28" s="31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1">
        <f>SUM(B19:F19)</f>
        <v/>
      </c>
    </row>
    <row r="31">
      <c r="A31" t="inlineStr">
        <is>
          <t>Present value of terminal value</t>
        </is>
      </c>
      <c r="B31" s="31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1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1">
        <f>-Assumptions!$B$24</f>
        <v/>
      </c>
    </row>
    <row r="36">
      <c r="A36" t="inlineStr">
        <is>
          <t>Net cash (ADDED — the company is net cash)</t>
        </is>
      </c>
      <c r="B36" s="31">
        <f>B34+B35</f>
        <v/>
      </c>
    </row>
    <row r="37">
      <c r="A37" t="inlineStr">
        <is>
          <t>Equity value</t>
        </is>
      </c>
      <c r="B37" s="32">
        <f>B32+B36-B40</f>
        <v/>
      </c>
    </row>
    <row r="38">
      <c r="A38" t="inlineStr">
        <is>
          <t>Shares outstanding (mn)</t>
        </is>
      </c>
      <c r="B38" s="3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1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6">
        <f>Assumptions!$B$45</f>
        <v/>
      </c>
    </row>
    <row r="43">
      <c r="A43" t="inlineStr">
        <is>
          <t>Less sovereign default spread</t>
        </is>
      </c>
      <c r="C43" s="36">
        <f>-Assumptions!$B$46</f>
        <v/>
      </c>
    </row>
    <row r="44">
      <c r="A44" t="inlineStr">
        <is>
          <t>Normalised risk-free rate</t>
        </is>
      </c>
      <c r="C44" s="36">
        <f>C42+C43</f>
        <v/>
      </c>
    </row>
    <row r="45">
      <c r="A45" t="inlineStr">
        <is>
          <t>Cost of equity  (rf* + β × ERP)</t>
        </is>
      </c>
      <c r="B45" s="34">
        <f>1/Assumptions!$B$21</f>
        <v/>
      </c>
      <c r="C45" s="36">
        <f>C44+Assumptions!$B$48*Assumptions!$B$47</f>
        <v/>
      </c>
    </row>
    <row r="46">
      <c r="A46" t="inlineStr">
        <is>
          <t>WACC — explicit window</t>
        </is>
      </c>
      <c r="B46" s="31">
        <f>DCF!F8*(1+Assumptions!$B$55)</f>
        <v/>
      </c>
      <c r="C46" s="39">
        <f>(1-C49)*C45+C49*C48</f>
        <v/>
      </c>
    </row>
    <row r="47">
      <c r="A47" t="inlineStr">
        <is>
          <t>Asset beta, unlevered at the observed structure</t>
        </is>
      </c>
      <c r="B47" s="31">
        <f>Assumptions!$B$64*Assumptions!$B$40*Assumptions!$B$55</f>
        <v/>
      </c>
      <c r="C47" s="28">
        <f>Assumptions!$B$48/(1+(1-Assumptions!$B$7)*C49/(1-C49))</f>
        <v/>
      </c>
    </row>
    <row r="48">
      <c r="A48" t="inlineStr">
        <is>
          <t>Cost of debt after tax</t>
        </is>
      </c>
      <c r="B48" s="31">
        <f>B28+B46-B25-B47</f>
        <v/>
      </c>
      <c r="C48" s="36">
        <f>Assumptions!$B$49*(1-Assumptions!$B$7)</f>
        <v/>
      </c>
    </row>
    <row r="49">
      <c r="A49" t="inlineStr">
        <is>
          <t>Debt weight  D/(D+E)</t>
        </is>
      </c>
      <c r="C49" s="40">
        <f>Assumptions!$B$50/(Assumptions!$B$50+C50)</f>
        <v/>
      </c>
    </row>
    <row r="50">
      <c r="A50" t="inlineStr">
        <is>
          <t>Market capitalisation</t>
        </is>
      </c>
      <c r="C50" s="31">
        <f>Assumptions!$B$5*Assumptions!$B$6</f>
        <v/>
      </c>
    </row>
    <row r="51">
      <c r="A51" t="inlineStr">
        <is>
          <t>Terminal cost of equity  (rf_term + β_L × ERP_term)</t>
        </is>
      </c>
      <c r="C51" s="36">
        <f>Assumptions!$B$51+C56*Assumptions!$B$52</f>
        <v/>
      </c>
    </row>
    <row r="52">
      <c r="A52" t="inlineStr">
        <is>
          <t>Terminal cost of debt after tax</t>
        </is>
      </c>
      <c r="C52" s="36">
        <f>Assumptions!$B$53*(1-Assumptions!$B$7)</f>
        <v/>
      </c>
    </row>
    <row r="53">
      <c r="A53" t="inlineStr">
        <is>
          <t>WACC — terminal</t>
        </is>
      </c>
      <c r="C53" s="39">
        <f>(1-Assumptions!$B$54)*C51+Assumptions!$B$54*C52</f>
        <v/>
      </c>
    </row>
    <row r="54">
      <c r="A54" t="inlineStr">
        <is>
          <t>Retired construction: rf NOT netted (disclosed only)</t>
        </is>
      </c>
      <c r="C54" s="36">
        <f>Assumptions!$B$45+Assumptions!$B$48*Assumptions!$B$47</f>
        <v/>
      </c>
    </row>
    <row r="55">
      <c r="A55" t="inlineStr">
        <is>
          <t>Sovereign double-count removed (bp)</t>
        </is>
      </c>
      <c r="C55" s="31">
        <f>(C54-C45)*10000</f>
        <v/>
      </c>
    </row>
    <row r="56">
      <c r="A56" t="inlineStr">
        <is>
          <t>Terminal beta, RE-LEVERED to the terminal structure (Hamada)</t>
        </is>
      </c>
      <c r="C56" s="28">
        <f>C47*(1+(1-Assumptions!$B$7)*Assumptions!$B$54/(1-Assumptions!$B$54))</f>
        <v/>
      </c>
    </row>
    <row r="57">
      <c r="A57" s="5" t="inlineStr">
        <is>
          <t>The glide fraction on row 16 is the central bank's own easing calendar — the policy path's</t>
        </is>
      </c>
    </row>
    <row r="58">
      <c r="A58" s="5" t="inlineStr">
        <is>
          <t>cumulative progress — so the schedule is INHERITED rather than invented. The terminal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1">
        <f>B9+B8</f>
        <v/>
      </c>
      <c r="C6" s="31">
        <f>C9+C8</f>
        <v/>
      </c>
      <c r="D6" s="31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  <c r="H7" s="11">
        <f>H6/H5</f>
        <v/>
      </c>
      <c r="I7" s="11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1">
        <f>E6-E8</f>
        <v/>
      </c>
      <c r="F9" s="31">
        <f>F6-F8</f>
        <v/>
      </c>
      <c r="G9" s="31">
        <f>G6-G8</f>
        <v/>
      </c>
      <c r="H9" s="31">
        <f>H6-H8</f>
        <v/>
      </c>
      <c r="I9" s="31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1">
        <f>'Balance Sheet'!D7*Assumptions!$B$39</f>
        <v/>
      </c>
      <c r="F10" s="31">
        <f>'Balance Sheet'!E7*Assumptions!$C$39</f>
        <v/>
      </c>
      <c r="G10" s="31">
        <f>'Balance Sheet'!F7*Assumptions!$D$39</f>
        <v/>
      </c>
      <c r="H10" s="31">
        <f>'Balance Sheet'!G7*Assumptions!$E$39</f>
        <v/>
      </c>
      <c r="I10" s="31">
        <f>'Balance Sheet'!H7*Assumptions!$F$39</f>
        <v/>
      </c>
    </row>
    <row r="11">
      <c r="A11" t="inlineStr">
        <is>
          <t>Gain on disposal of Sinai White stake</t>
        </is>
      </c>
      <c r="B11" s="31">
        <f>0</f>
        <v/>
      </c>
      <c r="C11" s="9">
        <f>Assumptions!$B$92</f>
        <v/>
      </c>
      <c r="D11" s="31">
        <f>0</f>
        <v/>
      </c>
      <c r="E11" s="31">
        <f>0</f>
        <v/>
      </c>
      <c r="F11" s="31">
        <f>0</f>
        <v/>
      </c>
      <c r="G11" s="31">
        <f>0</f>
        <v/>
      </c>
      <c r="H11" s="31">
        <f>0</f>
        <v/>
      </c>
      <c r="I11" s="31">
        <f>0</f>
        <v/>
      </c>
    </row>
    <row r="12">
      <c r="A12" t="inlineStr">
        <is>
          <t>Profit before tax</t>
        </is>
      </c>
      <c r="B12" s="31">
        <f>B9+B10+B11</f>
        <v/>
      </c>
      <c r="C12" s="31">
        <f>C9+C10+C11</f>
        <v/>
      </c>
      <c r="D12" s="31">
        <f>D9+D10+D11</f>
        <v/>
      </c>
      <c r="E12" s="31">
        <f>E9+E10+E11</f>
        <v/>
      </c>
      <c r="F12" s="31">
        <f>F9+F10+F11</f>
        <v/>
      </c>
      <c r="G12" s="31">
        <f>G9+G10+G11</f>
        <v/>
      </c>
      <c r="H12" s="31">
        <f>H9+H10+H11</f>
        <v/>
      </c>
      <c r="I12" s="31">
        <f>I9+I10+I11</f>
        <v/>
      </c>
    </row>
    <row r="13">
      <c r="A13" t="inlineStr">
        <is>
          <t>Tax</t>
        </is>
      </c>
      <c r="B13" s="31">
        <f>B12-B14</f>
        <v/>
      </c>
      <c r="C13" s="31">
        <f>C12-C14</f>
        <v/>
      </c>
      <c r="D13" s="31">
        <f>D12-D14</f>
        <v/>
      </c>
      <c r="E13" s="31">
        <f>E12*Assumptions!$B$7</f>
        <v/>
      </c>
      <c r="F13" s="31">
        <f>F12*Assumptions!$B$7</f>
        <v/>
      </c>
      <c r="G13" s="31">
        <f>G12*Assumptions!$B$7</f>
        <v/>
      </c>
      <c r="H13" s="31">
        <f>H12*Assumptions!$B$7</f>
        <v/>
      </c>
      <c r="I13" s="31">
        <f>I12*Assumptions!$B$7</f>
        <v/>
      </c>
    </row>
    <row r="14">
      <c r="A14" t="inlineStr">
        <is>
          <t>Profit after tax</t>
        </is>
      </c>
      <c r="B14" s="27">
        <f>Assumptions!$B$65</f>
        <v/>
      </c>
      <c r="C14" s="27">
        <f>Assumptions!$B$66</f>
        <v/>
      </c>
      <c r="D14" s="27">
        <f>Assumptions!$B$67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1">
        <f>C5</f>
        <v/>
      </c>
      <c r="E5" s="31">
        <f>D5+DCF!B12-DCF!B8</f>
        <v/>
      </c>
      <c r="F5" s="31">
        <f>E5+DCF!C12-DCF!C8</f>
        <v/>
      </c>
      <c r="G5" s="31">
        <f>F5+DCF!D12-DCF!D8</f>
        <v/>
      </c>
      <c r="H5" s="31">
        <f>G5+DCF!E12-DCF!E8</f>
        <v/>
      </c>
      <c r="I5" s="31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1">
        <f>C6</f>
        <v/>
      </c>
      <c r="E6" s="31">
        <f>D6+DCF!B13</f>
        <v/>
      </c>
      <c r="F6" s="31">
        <f>E6+DCF!C13</f>
        <v/>
      </c>
      <c r="G6" s="31">
        <f>F6+DCF!D13</f>
        <v/>
      </c>
      <c r="H6" s="31">
        <f>G6+DCF!E13</f>
        <v/>
      </c>
      <c r="I6" s="31">
        <f>H6+DCF!F13</f>
        <v/>
      </c>
    </row>
    <row r="7">
      <c r="A7" t="inlineStr">
        <is>
          <t>Cash and equivalents</t>
        </is>
      </c>
      <c r="B7" s="23" t="n">
        <v>1333.45762648</v>
      </c>
      <c r="C7" s="31">
        <f>Assumptions!$B$59/1.25</f>
        <v/>
      </c>
      <c r="D7" s="9">
        <f>Assumptions!$B$59</f>
        <v/>
      </c>
      <c r="E7" s="31">
        <f>D7+'Cash Flow'!E14</f>
        <v/>
      </c>
      <c r="F7" s="31">
        <f>E7+'Cash Flow'!F14</f>
        <v/>
      </c>
      <c r="G7" s="31">
        <f>F7+'Cash Flow'!G14</f>
        <v/>
      </c>
      <c r="H7" s="31">
        <f>G7+'Cash Flow'!H14</f>
        <v/>
      </c>
      <c r="I7" s="31">
        <f>H7+'Cash Flow'!I14</f>
        <v/>
      </c>
    </row>
    <row r="8">
      <c r="A8" t="inlineStr">
        <is>
          <t>Total assets (condensed)</t>
        </is>
      </c>
      <c r="B8" s="32">
        <f>SUM(B5:B7)</f>
        <v/>
      </c>
      <c r="C8" s="27">
        <f>Assumptions!$B$69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4">
        <f>Assumptions!$B$50</f>
        <v/>
      </c>
      <c r="C9" s="34">
        <f>Assumptions!$B$50</f>
        <v/>
      </c>
      <c r="D9" s="34">
        <f>Assumptions!$B$50</f>
        <v/>
      </c>
      <c r="E9" s="34">
        <f>Assumptions!$B$50</f>
        <v/>
      </c>
      <c r="F9" s="34">
        <f>Assumptions!$B$50</f>
        <v/>
      </c>
      <c r="G9" s="34">
        <f>Assumptions!$B$50</f>
        <v/>
      </c>
      <c r="H9" s="34">
        <f>Assumptions!$B$50</f>
        <v/>
      </c>
      <c r="I9" s="34">
        <f>Assumptions!$B$50</f>
        <v/>
      </c>
    </row>
    <row r="10">
      <c r="A10" t="inlineStr">
        <is>
          <t>Other liabilities</t>
        </is>
      </c>
      <c r="B10" s="31">
        <f>B11-B9</f>
        <v/>
      </c>
      <c r="C10" s="31">
        <f>C11-C9</f>
        <v/>
      </c>
      <c r="D10" s="31">
        <f>D11-D9</f>
        <v/>
      </c>
      <c r="E10" s="31">
        <f>E11-E9</f>
        <v/>
      </c>
      <c r="F10" s="31">
        <f>F11-F9</f>
        <v/>
      </c>
      <c r="G10" s="31">
        <f>G11-G9</f>
        <v/>
      </c>
      <c r="H10" s="31">
        <f>H11-H9</f>
        <v/>
      </c>
      <c r="I10" s="31">
        <f>I11-I9</f>
        <v/>
      </c>
    </row>
    <row r="11">
      <c r="A11" t="inlineStr">
        <is>
          <t>Total liabilities</t>
        </is>
      </c>
      <c r="B11" s="31">
        <f>B8-B12</f>
        <v/>
      </c>
      <c r="C11" s="9">
        <f>Assumptions!$B$70</f>
        <v/>
      </c>
      <c r="D11" s="31">
        <f>D8-D12</f>
        <v/>
      </c>
      <c r="E11" s="31">
        <f>E8-E12</f>
        <v/>
      </c>
      <c r="F11" s="31">
        <f>F8-F12</f>
        <v/>
      </c>
      <c r="G11" s="31">
        <f>G8-G12</f>
        <v/>
      </c>
      <c r="H11" s="31">
        <f>H8-H12</f>
        <v/>
      </c>
      <c r="I11" s="31">
        <f>I8-I12</f>
        <v/>
      </c>
    </row>
    <row r="12">
      <c r="A12" t="inlineStr">
        <is>
          <t>Shareholders' equity</t>
        </is>
      </c>
      <c r="B12" s="32">
        <f>C12-Assumptions!$B$66</f>
        <v/>
      </c>
      <c r="C12" s="32">
        <f>C8-C11</f>
        <v/>
      </c>
      <c r="D12" s="27">
        <f>Assumptions!$B$60</f>
        <v/>
      </c>
      <c r="E12" s="32">
        <f>D12+'Income Statement'!E14-'Cash Flow'!E13</f>
        <v/>
      </c>
      <c r="F12" s="32">
        <f>E12+'Income Statement'!F14-'Cash Flow'!F13</f>
        <v/>
      </c>
      <c r="G12" s="32">
        <f>F12+'Income Statement'!G14-'Cash Flow'!G13</f>
        <v/>
      </c>
      <c r="H12" s="32">
        <f>G12+'Income Statement'!H14-'Cash Flow'!H13</f>
        <v/>
      </c>
      <c r="I12" s="32">
        <f>H12+'Income Statement'!I14-'Cash Flow'!I13</f>
        <v/>
      </c>
    </row>
    <row r="13">
      <c r="A13" t="inlineStr">
        <is>
          <t>Equity — reported cross-check</t>
        </is>
      </c>
      <c r="D13" s="31">
        <f>C12+Assumptions!$B$67</f>
        <v/>
      </c>
    </row>
    <row r="14">
      <c r="A14" t="inlineStr">
        <is>
          <t>Net cash</t>
        </is>
      </c>
      <c r="B14" s="31">
        <f>B7-B9</f>
        <v/>
      </c>
      <c r="C14" s="31">
        <f>C7-C9</f>
        <v/>
      </c>
      <c r="D14" s="31">
        <f>D7-D9</f>
        <v/>
      </c>
      <c r="E14" s="31">
        <f>E7-E9</f>
        <v/>
      </c>
      <c r="F14" s="31">
        <f>F7-F9</f>
        <v/>
      </c>
      <c r="G14" s="31">
        <f>G7-G9</f>
        <v/>
      </c>
      <c r="H14" s="31">
        <f>H7-H9</f>
        <v/>
      </c>
      <c r="I14" s="31">
        <f>I7-I9</f>
        <v/>
      </c>
    </row>
    <row r="15">
      <c r="A15" t="inlineStr">
        <is>
          <t>Return on equity</t>
        </is>
      </c>
      <c r="D15" s="11">
        <f>Assumptions!$B$67/D12</f>
        <v/>
      </c>
      <c r="E15" s="11">
        <f>'Income Statement'!E14/E12</f>
        <v/>
      </c>
      <c r="F15" s="11">
        <f>'Income Statement'!F14/F12</f>
        <v/>
      </c>
      <c r="G15" s="11">
        <f>'Income Statement'!G14/G12</f>
        <v/>
      </c>
      <c r="H15" s="11">
        <f>'Income Statement'!H14/H12</f>
        <v/>
      </c>
      <c r="I15" s="11">
        <f>'Income Statement'!I14/I12</f>
        <v/>
      </c>
    </row>
    <row r="17">
      <c r="A17" s="5" t="inlineStr">
        <is>
          <t>The FY2024 column is the DISCLOSED triple — total assets EGP 6,385.92mn less total liabilities EGP</t>
        </is>
      </c>
    </row>
    <row r="18">
      <c r="A18" s="5" t="inlineStr">
        <is>
          <t>1,610.86mn closes to equity of EGP 4,775.06mn exactly. Equity then ROLLS FORWARD: prior equity plus</t>
        </is>
      </c>
    </row>
    <row r="19">
      <c r="A19" s="5" t="inlineStr">
        <is>
          <t>profit less dividends. Row 13 carries the REPORTED FY2025 equity beside the rolled figure: the two do</t>
        </is>
      </c>
    </row>
    <row r="20">
      <c r="A20" s="5" t="inlineStr">
        <is>
          <t>not agree, and the gap implies a FY2025 distribution that no retrievable source reports. Disclosed, not</t>
        </is>
      </c>
    </row>
    <row r="21">
      <c r="A21" s="5" t="inlineStr">
        <is>
          <t>plugged.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1">
        <f>-DCF!B13</f>
        <v/>
      </c>
      <c r="F6" s="31">
        <f>-DCF!C13</f>
        <v/>
      </c>
      <c r="G6" s="31">
        <f>-DCF!D13</f>
        <v/>
      </c>
      <c r="H6" s="31">
        <f>-DCF!E13</f>
        <v/>
      </c>
      <c r="I6" s="31">
        <f>-DCF!F13</f>
        <v/>
      </c>
    </row>
    <row r="7">
      <c r="A7" t="inlineStr">
        <is>
          <t>Less capital expenditure</t>
        </is>
      </c>
      <c r="E7" s="31">
        <f>-DCF!B12</f>
        <v/>
      </c>
      <c r="F7" s="31">
        <f>-DCF!C12</f>
        <v/>
      </c>
      <c r="G7" s="31">
        <f>-DCF!D12</f>
        <v/>
      </c>
      <c r="H7" s="31">
        <f>-DCF!E12</f>
        <v/>
      </c>
      <c r="I7" s="31">
        <f>-DCF!F12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1">
        <f>-DCF!B14</f>
        <v/>
      </c>
      <c r="F10" s="31">
        <f>-DCF!C14</f>
        <v/>
      </c>
      <c r="G10" s="31">
        <f>-DCF!D14</f>
        <v/>
      </c>
      <c r="H10" s="31">
        <f>-DCF!E14</f>
        <v/>
      </c>
      <c r="I10" s="31">
        <f>-DCF!F14</f>
        <v/>
      </c>
    </row>
    <row r="11">
      <c r="A11" t="inlineStr">
        <is>
          <t>Free cash flow to the firm</t>
        </is>
      </c>
      <c r="E11" s="32">
        <f>DCF!B15</f>
        <v/>
      </c>
      <c r="F11" s="32">
        <f>DCF!C15</f>
        <v/>
      </c>
      <c r="G11" s="32">
        <f>DCF!D15</f>
        <v/>
      </c>
      <c r="H11" s="32">
        <f>DCF!E15</f>
        <v/>
      </c>
      <c r="I11" s="32">
        <f>DCF!F15</f>
        <v/>
      </c>
    </row>
    <row r="12">
      <c r="A12" t="inlineStr">
        <is>
          <t>Treasury income after tax</t>
        </is>
      </c>
      <c r="E12" s="31">
        <f>'Income Statement'!E10*(1-Assumptions!$B$7)</f>
        <v/>
      </c>
      <c r="F12" s="31">
        <f>'Income Statement'!F10*(1-Assumptions!$B$7)</f>
        <v/>
      </c>
      <c r="G12" s="31">
        <f>'Income Statement'!G10*(1-Assumptions!$B$7)</f>
        <v/>
      </c>
      <c r="H12" s="31">
        <f>'Income Statement'!H10*(1-Assumptions!$B$7)</f>
        <v/>
      </c>
      <c r="I12" s="31">
        <f>'Income Statement'!I10*(1-Assumptions!$B$7)</f>
        <v/>
      </c>
    </row>
    <row r="13">
      <c r="A13" t="inlineStr">
        <is>
          <t>Dividends paid</t>
        </is>
      </c>
      <c r="E13" s="31">
        <f>'Income Statement'!E14*Assumptions!$B$41</f>
        <v/>
      </c>
      <c r="F13" s="31">
        <f>'Income Statement'!F14*Assumptions!$B$41</f>
        <v/>
      </c>
      <c r="G13" s="31">
        <f>'Income Statement'!G14*Assumptions!$B$41</f>
        <v/>
      </c>
      <c r="H13" s="31">
        <f>'Income Statement'!H14*Assumptions!$B$41</f>
        <v/>
      </c>
      <c r="I13" s="31">
        <f>'Income Statement'!I14*Assumptions!$B$41</f>
        <v/>
      </c>
    </row>
    <row r="14">
      <c r="A14" t="inlineStr">
        <is>
          <t>Net change in cash</t>
        </is>
      </c>
      <c r="E14" s="32">
        <f>'Income Statement'!E14+DCF!B8-DCF!B12-DCF!B13-E13</f>
        <v/>
      </c>
      <c r="F14" s="32">
        <f>'Income Statement'!F14+DCF!C8-DCF!C12-DCF!C13-F13</f>
        <v/>
      </c>
      <c r="G14" s="32">
        <f>'Income Statement'!G14+DCF!D8-DCF!D12-DCF!D13-G13</f>
        <v/>
      </c>
      <c r="H14" s="32">
        <f>'Income Statement'!H14+DCF!E8-DCF!E12-DCF!E13-H13</f>
        <v/>
      </c>
      <c r="I14" s="32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9">
        <f>'Unit Build'!B10</f>
        <v/>
      </c>
      <c r="E9" s="29">
        <f>'Unit Build'!C10</f>
        <v/>
      </c>
      <c r="F9" s="29">
        <f>'Unit Build'!D10</f>
        <v/>
      </c>
      <c r="G9" s="29">
        <f>'Unit Build'!E10</f>
        <v/>
      </c>
      <c r="H9" s="29">
        <f>'Unit Build'!F10</f>
        <v/>
      </c>
      <c r="I9" s="29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2">
        <f>'Unit Build'!B6</f>
        <v/>
      </c>
      <c r="E11" s="12">
        <f>'Unit Build'!C6</f>
        <v/>
      </c>
      <c r="F11" s="12">
        <f>'Unit Build'!D6</f>
        <v/>
      </c>
      <c r="G11" s="12">
        <f>'Unit Build'!E6</f>
        <v/>
      </c>
      <c r="H11" s="12">
        <f>'Unit Build'!F6</f>
        <v/>
      </c>
      <c r="I11" s="12">
        <f>'Unit Build'!G6</f>
        <v/>
      </c>
    </row>
    <row r="13">
      <c r="A13" t="inlineStr">
        <is>
          <t>EBITDA margin</t>
        </is>
      </c>
      <c r="B13" s="11">
        <f>B6/B5</f>
        <v/>
      </c>
      <c r="C13" s="11">
        <f>C6/C5</f>
        <v/>
      </c>
      <c r="D13" s="11">
        <f>D6/D5</f>
        <v/>
      </c>
      <c r="E13" s="11">
        <f>E6/E5</f>
        <v/>
      </c>
      <c r="F13" s="11">
        <f>F6/F5</f>
        <v/>
      </c>
      <c r="G13" s="11">
        <f>G6/G5</f>
        <v/>
      </c>
      <c r="H13" s="11">
        <f>H6/H5</f>
        <v/>
      </c>
      <c r="I13" s="11">
        <f>I6/I5</f>
        <v/>
      </c>
    </row>
    <row r="14">
      <c r="A14" t="inlineStr">
        <is>
          <t>Revenue growth</t>
        </is>
      </c>
      <c r="C14" s="11">
        <f>C5/B5-1</f>
        <v/>
      </c>
      <c r="D14" s="11">
        <f>D5/C5-1</f>
        <v/>
      </c>
      <c r="E14" s="11">
        <f>E5/D5-1</f>
        <v/>
      </c>
      <c r="F14" s="11">
        <f>F5/E5-1</f>
        <v/>
      </c>
      <c r="G14" s="11">
        <f>G5/F5-1</f>
        <v/>
      </c>
      <c r="H14" s="11">
        <f>H5/G5-1</f>
        <v/>
      </c>
      <c r="I14" s="11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1" t="inlineStr">
        <is>
          <t>2026-09-06</t>
        </is>
      </c>
      <c r="D5" s="18" t="n">
        <v>62.1420635589089</v>
      </c>
      <c r="E5" s="18" t="n">
        <v>72.94331198622631</v>
      </c>
      <c r="F5" s="18" t="n">
        <v>80.17497538017265</v>
      </c>
      <c r="G5" s="18" t="n">
        <v>88.18397736359992</v>
      </c>
      <c r="H5" s="18" t="n">
        <v>103.4995013727537</v>
      </c>
    </row>
    <row r="6">
      <c r="A6" t="inlineStr">
        <is>
          <t>3M (3 months)</t>
        </is>
      </c>
      <c r="B6" s="23" t="n">
        <v>62</v>
      </c>
      <c r="C6" s="41" t="inlineStr">
        <is>
          <t>2026-11-08</t>
        </is>
      </c>
      <c r="D6" s="18" t="n">
        <v>52.12577688877463</v>
      </c>
      <c r="E6" s="18" t="n">
        <v>69.74973064913542</v>
      </c>
      <c r="F6" s="18" t="n">
        <v>82.77876151400348</v>
      </c>
      <c r="G6" s="18" t="n">
        <v>98.07395179014382</v>
      </c>
      <c r="H6" s="18" t="n">
        <v>131.3522656071748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0.54204</v>
      </c>
      <c r="C9" s="20" t="n">
        <v>0.2819</v>
      </c>
      <c r="D9" s="20" t="n">
        <v>0.19682</v>
      </c>
      <c r="E9" s="20" t="n">
        <v>0.4586</v>
      </c>
      <c r="F9" s="20" t="n">
        <v>0.35234</v>
      </c>
    </row>
    <row r="10">
      <c r="A10" t="inlineStr">
        <is>
          <t>3M</t>
        </is>
      </c>
      <c r="B10" s="20" t="n">
        <v>0.5746599999999999</v>
      </c>
      <c r="C10" s="20" t="n">
        <v>0.4217</v>
      </c>
      <c r="D10" s="20" t="n">
        <v>0.27342</v>
      </c>
      <c r="E10" s="20" t="n">
        <v>0.70524</v>
      </c>
      <c r="F10" s="20" t="n">
        <v>0.56498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2" t="inlineStr">
        <is>
          <t>Market panel verdict (Egypt)</t>
        </is>
      </c>
      <c r="B13" s="43" t="inlineStr">
        <is>
          <t>PASS — skill +0.0158, 90% interval [0.009, 0.022]</t>
        </is>
      </c>
    </row>
    <row r="14">
      <c r="A14" s="42" t="inlineStr">
        <is>
          <t>This name's verdict</t>
        </is>
      </c>
      <c r="B14" s="43" t="inlineStr">
        <is>
          <t>PARITY at every bootstrap block size {2,3,4}</t>
        </is>
      </c>
    </row>
    <row r="15">
      <c r="A15" s="42" t="inlineStr">
        <is>
          <t>This name's CRPS skill vs a random walk</t>
        </is>
      </c>
      <c r="B15" s="43" t="inlineStr">
        <is>
          <t>-0.1276 — BELOW zero</t>
        </is>
      </c>
    </row>
    <row r="16">
      <c r="A16" s="42" t="inlineStr">
        <is>
          <t>Coverage 50 / 80 / 90</t>
        </is>
      </c>
      <c r="B16" s="43" t="inlineStr">
        <is>
          <t>0.76 / 0.82 / 0.94 against nominal 0.50 / 0.80 / 0.90 — OVER-COVERED</t>
        </is>
      </c>
    </row>
    <row r="17">
      <c r="A17" s="42" t="inlineStr">
        <is>
          <t>Cone width versus the benchmark</t>
        </is>
      </c>
      <c r="B17" s="43" t="inlineStr">
        <is>
          <t>4.71x</t>
        </is>
      </c>
    </row>
    <row r="18">
      <c r="A18" s="42" t="inlineStr">
        <is>
          <t>Why</t>
        </is>
      </c>
      <c r="B18" s="43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9">
      <c r="A19" s="42" t="inlineStr">
        <is>
          <t>Consequence</t>
        </is>
      </c>
      <c r="B19" s="43" t="inlineStr">
        <is>
          <t>The map is ILLUSTRATIVE ONLY. It is materially too wide and must not be read with the confidence of a calibrated name.</t>
        </is>
      </c>
    </row>
  </sheetData>
  <mergeCells count="7">
    <mergeCell ref="B14:H14"/>
    <mergeCell ref="B17:H17"/>
    <mergeCell ref="B18:H18"/>
    <mergeCell ref="B13:H13"/>
    <mergeCell ref="B16:H16"/>
    <mergeCell ref="B15:H15"/>
    <mergeCell ref="B19:H1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2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0.2595969690413578</v>
      </c>
      <c r="B6" s="18" t="n">
        <v>105.7744753435361</v>
      </c>
      <c r="C6" s="18" t="n">
        <v>109.9344802635012</v>
      </c>
      <c r="D6" s="18" t="n">
        <v>114.7002382683086</v>
      </c>
      <c r="E6" s="18" t="n">
        <v>120.2117224397915</v>
      </c>
      <c r="F6" s="18" t="n">
        <v>126.65563005976</v>
      </c>
    </row>
    <row r="7">
      <c r="A7" s="24" t="n">
        <v>0.2745969690413578</v>
      </c>
      <c r="B7" s="18" t="n">
        <v>104.4517863458828</v>
      </c>
      <c r="C7" s="18" t="n">
        <v>108.5339013273708</v>
      </c>
      <c r="D7" s="18" t="n">
        <v>113.2104275632422</v>
      </c>
      <c r="E7" s="18" t="n">
        <v>118.6187173464268</v>
      </c>
      <c r="F7" s="18" t="n">
        <v>124.9419723283029</v>
      </c>
    </row>
    <row r="8">
      <c r="A8" s="24" t="n">
        <v>0.2895969690413578</v>
      </c>
      <c r="B8" s="18" t="n">
        <v>103.1622934599548</v>
      </c>
      <c r="C8" s="18" t="n">
        <v>107.1685387943926</v>
      </c>
      <c r="D8" s="18" t="n">
        <v>111.7581477345618</v>
      </c>
      <c r="E8" s="18" t="n">
        <v>117.0659197619123</v>
      </c>
      <c r="F8" s="18" t="n">
        <v>123.2716515662545</v>
      </c>
    </row>
    <row r="9">
      <c r="A9" s="24" t="n">
        <v>0.3045969690413578</v>
      </c>
      <c r="B9" s="18" t="n">
        <v>101.9048910689767</v>
      </c>
      <c r="C9" s="18" t="n">
        <v>105.8372188335528</v>
      </c>
      <c r="D9" s="18" t="n">
        <v>110.3421468040977</v>
      </c>
      <c r="E9" s="18" t="n">
        <v>115.5519873327781</v>
      </c>
      <c r="F9" s="18" t="n">
        <v>121.6432197553057</v>
      </c>
    </row>
    <row r="10">
      <c r="A10" s="24" t="n">
        <v>0.3195969690413578</v>
      </c>
      <c r="B10" s="18" t="n">
        <v>100.6785198127876</v>
      </c>
      <c r="C10" s="18" t="n">
        <v>104.5388167423198</v>
      </c>
      <c r="D10" s="18" t="n">
        <v>108.9612252122133</v>
      </c>
      <c r="E10" s="18" t="n">
        <v>114.075633928951</v>
      </c>
      <c r="F10" s="18" t="n">
        <v>120.0552895491089</v>
      </c>
    </row>
    <row r="12">
      <c r="A12" s="42" t="inlineStr">
        <is>
          <t>NET CASH — the largest single uncertainty, now sensitised</t>
        </is>
      </c>
    </row>
    <row r="13">
      <c r="A13" s="6" t="inlineStr"/>
      <c r="B13" s="6" t="inlineStr">
        <is>
          <t>5,055</t>
        </is>
      </c>
      <c r="C13" s="6" t="inlineStr">
        <is>
          <t>5,805</t>
        </is>
      </c>
      <c r="D13" s="6" t="inlineStr">
        <is>
          <t>6,555</t>
        </is>
      </c>
      <c r="E13" s="6" t="inlineStr">
        <is>
          <t>7,305</t>
        </is>
      </c>
      <c r="F13" s="6" t="inlineStr">
        <is>
          <t>8,055</t>
        </is>
      </c>
    </row>
    <row r="14">
      <c r="A14" s="44" t="inlineStr">
        <is>
          <t>Fair value per share (EGP)</t>
        </is>
      </c>
      <c r="B14" s="18" t="n">
        <v>117.5203929713675</v>
      </c>
      <c r="C14" s="18" t="n">
        <v>120.396022268811</v>
      </c>
      <c r="D14" s="18" t="n">
        <v>123.2716515662545</v>
      </c>
      <c r="E14" s="18" t="n">
        <v>126.1472808636979</v>
      </c>
      <c r="F14" s="18" t="n">
        <v>129.0229101611414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2" t="inlineStr">
        <is>
          <t>Beta — fair value per share (EGP)</t>
        </is>
      </c>
    </row>
    <row r="21">
      <c r="A21" s="6" t="inlineStr"/>
      <c r="B21" s="6" t="inlineStr">
        <is>
          <t>β = 0.60</t>
        </is>
      </c>
      <c r="C21" s="6" t="inlineStr">
        <is>
          <t>β = 0.80</t>
        </is>
      </c>
      <c r="D21" s="6" t="inlineStr">
        <is>
          <t>β = 0.84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4" t="inlineStr">
        <is>
          <t>Fair value</t>
        </is>
      </c>
      <c r="B22" s="18" t="n">
        <v>152.6200660812137</v>
      </c>
      <c r="C22" s="18" t="n">
        <v>136.0802085964604</v>
      </c>
      <c r="D22" s="18" t="n">
        <v>133.4702009329797</v>
      </c>
      <c r="E22" s="18" t="n">
        <v>123.2716515662545</v>
      </c>
      <c r="F22" s="18" t="n">
        <v>108.7151473219916</v>
      </c>
    </row>
    <row r="24">
      <c r="A24" s="42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4" t="inlineStr">
        <is>
          <t>Fair value</t>
        </is>
      </c>
      <c r="B26" s="18" t="n">
        <v>110.8208758124425</v>
      </c>
      <c r="C26" s="18" t="n">
        <v>117.0462636893485</v>
      </c>
      <c r="D26" s="18" t="n">
        <v>123.2716515662545</v>
      </c>
      <c r="E26" s="18" t="n">
        <v>129.4970394431604</v>
      </c>
      <c r="F26" s="18" t="n">
        <v>135.7224273200664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1">
        <f>'Income Statement'!B14/'Balance Sheet'!B12</f>
        <v/>
      </c>
      <c r="C10" s="11">
        <f>'Income Statement'!C14/'Balance Sheet'!C12</f>
        <v/>
      </c>
      <c r="D10" s="11">
        <f>'Income Statement'!D14/'Balance Sheet'!D12</f>
        <v/>
      </c>
      <c r="E10" s="11">
        <f>'Income Statement'!E14/'Balance Sheet'!E12</f>
        <v/>
      </c>
      <c r="F10" s="11">
        <f>'Income Statement'!F14/'Balance Sheet'!F12</f>
        <v/>
      </c>
      <c r="G10" s="11">
        <f>'Income Statement'!G14/'Balance Sheet'!G12</f>
        <v/>
      </c>
      <c r="H10" s="11">
        <f>'Income Statement'!H14/'Balance Sheet'!H12</f>
        <v/>
      </c>
      <c r="I10" s="11">
        <f>'Income Statement'!I14/'Balance Sheet'!I12</f>
        <v/>
      </c>
    </row>
    <row r="11">
      <c r="A11" t="inlineStr">
        <is>
          <t>EBITDA per tonne sold (EGP)</t>
        </is>
      </c>
      <c r="D11" s="31">
        <f>'Income Statement'!D6/'Summary Financials'!D9</f>
        <v/>
      </c>
      <c r="E11" s="31">
        <f>'Income Statement'!E6/'Summary Financials'!E9</f>
        <v/>
      </c>
      <c r="F11" s="31">
        <f>'Income Statement'!F6/'Summary Financials'!F9</f>
        <v/>
      </c>
      <c r="G11" s="31">
        <f>'Income Statement'!G6/'Summary Financials'!G9</f>
        <v/>
      </c>
      <c r="H11" s="31">
        <f>'Income Statement'!H6/'Summary Financials'!H9</f>
        <v/>
      </c>
      <c r="I11" s="31">
        <f>'Income Statement'!I6/'Summary Financials'!I9</f>
        <v/>
      </c>
    </row>
    <row r="12">
      <c r="A12" t="inlineStr">
        <is>
          <t>Price / earnings (at spot)</t>
        </is>
      </c>
      <c r="B12" s="33">
        <f>Assumptions!$B$5/B5</f>
        <v/>
      </c>
      <c r="C12" s="33">
        <f>Assumptions!$B$5/C5</f>
        <v/>
      </c>
      <c r="D12" s="33">
        <f>Assumptions!$B$5/D5</f>
        <v/>
      </c>
      <c r="E12" s="33">
        <f>Assumptions!$B$5/E5</f>
        <v/>
      </c>
      <c r="F12" s="33">
        <f>Assumptions!$B$5/F5</f>
        <v/>
      </c>
      <c r="G12" s="33">
        <f>Assumptions!$B$5/G5</f>
        <v/>
      </c>
      <c r="H12" s="33">
        <f>Assumptions!$B$5/H5</f>
        <v/>
      </c>
      <c r="I12" s="33">
        <f>Assumptions!$B$5/I5</f>
        <v/>
      </c>
    </row>
    <row r="13">
      <c r="A13" t="inlineStr">
        <is>
          <t>EV / EBITDA (at spot)</t>
        </is>
      </c>
      <c r="B13" s="33">
        <f>(Assumptions!$B$5*Assumptions!$B$6-('Balance Sheet'!B7-'Balance Sheet'!B9))/'Income Statement'!B6</f>
        <v/>
      </c>
      <c r="C13" s="33">
        <f>(Assumptions!$B$5*Assumptions!$B$6-('Balance Sheet'!C7-'Balance Sheet'!C9))/'Income Statement'!C6</f>
        <v/>
      </c>
      <c r="D13" s="33">
        <f>(Assumptions!$B$5*Assumptions!$B$6-('Balance Sheet'!D7-'Balance Sheet'!D9))/'Income Statement'!D6</f>
        <v/>
      </c>
      <c r="E13" s="33">
        <f>(Assumptions!$B$5*Assumptions!$B$6-('Balance Sheet'!E7-'Balance Sheet'!E9))/'Income Statement'!E6</f>
        <v/>
      </c>
      <c r="F13" s="33">
        <f>(Assumptions!$B$5*Assumptions!$B$6-('Balance Sheet'!F7-'Balance Sheet'!F9))/'Income Statement'!F6</f>
        <v/>
      </c>
      <c r="G13" s="33">
        <f>(Assumptions!$B$5*Assumptions!$B$6-('Balance Sheet'!G7-'Balance Sheet'!G9))/'Income Statement'!G6</f>
        <v/>
      </c>
      <c r="H13" s="33">
        <f>(Assumptions!$B$5*Assumptions!$B$6-('Balance Sheet'!H7-'Balance Sheet'!H9))/'Income Statement'!H6</f>
        <v/>
      </c>
      <c r="I13" s="33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1">
        <f>Assumptions!$B$12/B14</f>
        <v/>
      </c>
    </row>
    <row r="20">
      <c r="A20" t="inlineStr">
        <is>
          <t>Revival capacity as % of domestic consumption</t>
        </is>
      </c>
      <c r="B20" s="11">
        <f>B18/B15</f>
        <v/>
      </c>
    </row>
    <row r="21">
      <c r="A21" t="inlineStr">
        <is>
          <t>Structural surplus (capacity less consumption, Mt)</t>
        </is>
      </c>
      <c r="B21" s="34">
        <f>B14-B15</f>
        <v/>
      </c>
    </row>
    <row r="22">
      <c r="A22" t="inlineStr">
        <is>
          <t>SCEM EV/EBITDA at spot on FY2026E</t>
        </is>
      </c>
      <c r="B22" s="33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2026-09-04T03:18:27Z</dcterms:created>
  <dcterms:modified xmlns:dcterms="http://purl.org/dc/terms/" xmlns:xsi="http://www.w3.org/2001/XMLSchema-instance" xsi:type="dcterms:W3CDTF">2026-09-04T03:18:27Z</dcterms:modified>
</cp:coreProperties>
</file>