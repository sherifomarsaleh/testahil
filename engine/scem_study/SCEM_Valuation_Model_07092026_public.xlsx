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BOOK charge only — not the terminal life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5">
      <c r="A25" t="inlineStr">
        <is>
          <t>Disclosed useful life, machinery (note 3/2)</t>
        </is>
      </c>
      <c r="B25" s="21" t="n">
        <v>20</v>
      </c>
      <c r="C25" s="5" t="inlineStr">
        <is>
          <t>years; 5% on machinery, 69.5% of note 4 gross cost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0.125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0.07000000000000001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</t>
        </is>
      </c>
      <c r="B69" s="21" t="n">
        <v>6385.92</v>
      </c>
    </row>
    <row r="70">
      <c r="A70" t="inlineStr">
        <is>
          <t>FY2024 total liabilities</t>
        </is>
      </c>
      <c r="B70" s="21" t="n">
        <v>1610.86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21.59798678191003</v>
      </c>
    </row>
    <row r="88">
      <c r="A88" t="inlineStr">
        <is>
          <t>MEMO — the retired four-lens blend</t>
        </is>
      </c>
      <c r="B88" s="18" t="n">
        <v>92.91616012464766</v>
      </c>
    </row>
    <row r="89">
      <c r="A89" t="inlineStr">
        <is>
          <t>Maintenance at current cost (replacement base / disclosed life)</t>
        </is>
      </c>
      <c r="B89" s="23" t="n">
        <v>1241.175</v>
      </c>
      <c r="C89" s="5" t="inlineStr">
        <is>
          <t>Replacement capital over the note 3/2 MACHINERY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C44" s="36">
        <f>C42+C43</f>
        <v/>
      </c>
    </row>
    <row r="45">
      <c r="A45" t="inlineStr">
        <is>
          <t>Cost of equity  (rf* + β × ERP)</t>
        </is>
      </c>
      <c r="B45" s="34">
        <f>Assumptions!$B$25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DCF!F8*(1+Assumptions!$B$55)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B28+B46-B25-B47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 — total assets EGP 6,385.92mn less total liabilities EGP</t>
        </is>
      </c>
    </row>
    <row r="18">
      <c r="A18" s="5" t="inlineStr">
        <is>
          <t>1,610.86mn closes to equity of EGP 4,775.06mn exactly. Equity then ROLLS FORWARD: prior equity plus</t>
        </is>
      </c>
    </row>
    <row r="19">
      <c r="A19" s="5" t="inlineStr">
        <is>
          <t>profit less dividends. Row 13 carries the REPORTED FY2025 equity beside the rolled figure: the two do</t>
        </is>
      </c>
    </row>
    <row r="20">
      <c r="A20" s="5" t="inlineStr">
        <is>
          <t>not agree, and the gap implies a FY2025 distribution that no retrievable source reports. Disclosed, not</t>
        </is>
      </c>
    </row>
    <row r="21">
      <c r="A21" s="5" t="inlineStr">
        <is>
          <t>plugged.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100.3949039578356</v>
      </c>
      <c r="C6" s="18" t="n">
        <v>104.3156499111916</v>
      </c>
      <c r="D6" s="18" t="n">
        <v>108.8079510287171</v>
      </c>
      <c r="E6" s="18" t="n">
        <v>114.003878181809</v>
      </c>
      <c r="F6" s="18" t="n">
        <v>120.0795886170832</v>
      </c>
    </row>
    <row r="7">
      <c r="A7" s="24" t="n">
        <v>0.2745969690413578</v>
      </c>
      <c r="B7" s="18" t="n">
        <v>99.16754112323778</v>
      </c>
      <c r="C7" s="18" t="n">
        <v>103.0148769083448</v>
      </c>
      <c r="D7" s="18" t="n">
        <v>107.4230663326401</v>
      </c>
      <c r="E7" s="18" t="n">
        <v>112.5217074358182</v>
      </c>
      <c r="F7" s="18" t="n">
        <v>118.4836591806312</v>
      </c>
    </row>
    <row r="8">
      <c r="A8" s="24" t="n">
        <v>0.2895969690413578</v>
      </c>
      <c r="B8" s="18" t="n">
        <v>97.97094810507103</v>
      </c>
      <c r="C8" s="18" t="n">
        <v>101.7467778180994</v>
      </c>
      <c r="D8" s="18" t="n">
        <v>106.0730372190444</v>
      </c>
      <c r="E8" s="18" t="n">
        <v>111.076915655642</v>
      </c>
      <c r="F8" s="18" t="n">
        <v>116.9280593569136</v>
      </c>
    </row>
    <row r="9">
      <c r="A9" s="24" t="n">
        <v>0.3045969690413578</v>
      </c>
      <c r="B9" s="18" t="n">
        <v>96.80410052545189</v>
      </c>
      <c r="C9" s="18" t="n">
        <v>100.5102639716144</v>
      </c>
      <c r="D9" s="18" t="n">
        <v>104.7567013559794</v>
      </c>
      <c r="E9" s="18" t="n">
        <v>109.6682553084179</v>
      </c>
      <c r="F9" s="18" t="n">
        <v>115.4114419857919</v>
      </c>
    </row>
    <row r="10">
      <c r="A10" s="24" t="n">
        <v>0.3195969690413578</v>
      </c>
      <c r="B10" s="18" t="n">
        <v>95.66601685634413</v>
      </c>
      <c r="C10" s="18" t="n">
        <v>99.30429225659127</v>
      </c>
      <c r="D10" s="18" t="n">
        <v>103.4729450693056</v>
      </c>
      <c r="E10" s="18" t="n">
        <v>108.2945311061131</v>
      </c>
      <c r="F10" s="18" t="n">
        <v>113.9325163463356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111.1768007620267</v>
      </c>
      <c r="C14" s="18" t="n">
        <v>114.0524300594702</v>
      </c>
      <c r="D14" s="18" t="n">
        <v>116.9280593569136</v>
      </c>
      <c r="E14" s="18" t="n">
        <v>119.8036886543571</v>
      </c>
      <c r="F14" s="18" t="n">
        <v>122.6793179518006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0.60</t>
        </is>
      </c>
      <c r="C21" s="6" t="inlineStr">
        <is>
          <t>β = 0.80</t>
        </is>
      </c>
      <c r="D21" s="6" t="inlineStr">
        <is>
          <t>β = 0.84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144.3637450871468</v>
      </c>
      <c r="C22" s="18" t="n">
        <v>128.8993522294487</v>
      </c>
      <c r="D22" s="18" t="n">
        <v>126.4596017523283</v>
      </c>
      <c r="E22" s="18" t="n">
        <v>116.9280593569136</v>
      </c>
      <c r="F22" s="18" t="n">
        <v>103.3293889329463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104.4772836031017</v>
      </c>
      <c r="C26" s="18" t="n">
        <v>110.7026714800077</v>
      </c>
      <c r="D26" s="18" t="n">
        <v>116.9280593569136</v>
      </c>
      <c r="E26" s="18" t="n">
        <v>123.1534472338196</v>
      </c>
      <c r="F26" s="18" t="n">
        <v>129.3788351107256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2026-09-07T17:56:28Z</dcterms:created>
  <dcterms:modified xmlns:dcterms="http://purl.org/dc/terms/" xmlns:xsi="http://www.w3.org/2001/XMLSchema-instance" xsi:type="dcterms:W3CDTF">2026-09-07T17:56:28Z</dcterms:modified>
</cp:coreProperties>
</file>