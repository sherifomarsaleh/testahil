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BOOK charge only — not the terminal life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5">
      <c r="A25" t="inlineStr">
        <is>
          <t>Disclosed useful life, machinery (note 3/2)</t>
        </is>
      </c>
      <c r="B25" s="21" t="n">
        <v>20</v>
      </c>
      <c r="C25" s="5" t="inlineStr">
        <is>
          <t>years; 5% on machinery, 69.5% of note 4 gross cost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0.105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0.07000000000000006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  (audited, as filed)</t>
        </is>
      </c>
      <c r="B69" s="21" t="n">
        <v>5695.60821</v>
      </c>
    </row>
    <row r="70">
      <c r="A70" t="inlineStr">
        <is>
          <t>FY2024 total liabilities  (audited, as filed)</t>
        </is>
      </c>
      <c r="B70" s="21" t="n">
        <v>1959.808479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5">
      <c r="A75" t="inlineStr">
        <is>
          <t>Paid under capital increase during FY2024  (audited, as filed)</t>
        </is>
      </c>
      <c r="B75" s="21" t="n">
        <v>1277.4661</v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22.29436104663261</v>
      </c>
    </row>
    <row r="88">
      <c r="A88" t="inlineStr">
        <is>
          <t>MEMO — the retired four-lens blend</t>
        </is>
      </c>
      <c r="B88" s="18" t="n">
        <v>95.67157376888532</v>
      </c>
    </row>
    <row r="89">
      <c r="A89" t="inlineStr">
        <is>
          <t>Maintenance at current cost (replacement base / disclosed life)</t>
        </is>
      </c>
      <c r="B89" s="23" t="n">
        <v>1241.175</v>
      </c>
      <c r="C89" s="5" t="inlineStr">
        <is>
          <t>Replacement capital over the note 3/2 MACHINERY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 — the first perpetuity year, a diagnostic beside the return above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B44" s="31">
        <f>F11</f>
        <v/>
      </c>
      <c r="C44" s="36">
        <f>C42+C43</f>
        <v/>
      </c>
    </row>
    <row r="45">
      <c r="A45" t="inlineStr">
        <is>
          <t>Cost of equity  (rf* + β × ERP)</t>
        </is>
      </c>
      <c r="B45" s="34">
        <f>Assumptions!$B$25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B44+B46-B25-B47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C12-Assumptions!$B$66-Assumptions!$B$75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triple, taken from the audited statements for that year: total assets</t>
        </is>
      </c>
    </row>
    <row r="18">
      <c r="A18" s="5" t="inlineStr">
        <is>
          <t>EGP 5,695.61mn less total liabilities EGP 1,959.81mn closes to equity of EGP 3,735.80mn exactly.</t>
        </is>
      </c>
    </row>
    <row r="19">
      <c r="A19" s="5" t="inlineStr">
        <is>
          <t>FY2023 rolls BACK through the year's profit AND the EGP 1,277.47mn paid in under the capital increase, to the</t>
        </is>
      </c>
    </row>
    <row r="20">
      <c r="A20" s="5" t="inlineStr">
        <is>
          <t>filed EGP -614.03mn. Rolling FY2024 forward by FY2025 profit gives EGP 6,020.34mn against a reported EGP</t>
        </is>
      </c>
    </row>
    <row r="21">
      <c r="A21" s="5" t="inlineStr">
        <is>
          <t>6,020.34mn — they agree to the pound.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62.1420635589089</v>
      </c>
      <c r="E5" s="18" t="n">
        <v>72.94331198622631</v>
      </c>
      <c r="F5" s="18" t="n">
        <v>80.17497538017265</v>
      </c>
      <c r="G5" s="18" t="n">
        <v>88.18397736359992</v>
      </c>
      <c r="H5" s="18" t="n">
        <v>103.4995013727537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52.12577688877463</v>
      </c>
      <c r="E6" s="18" t="n">
        <v>69.74973064913542</v>
      </c>
      <c r="F6" s="18" t="n">
        <v>82.77876151400348</v>
      </c>
      <c r="G6" s="18" t="n">
        <v>98.07395179014382</v>
      </c>
      <c r="H6" s="18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0.54204</v>
      </c>
      <c r="C9" s="20" t="n">
        <v>0.2819</v>
      </c>
      <c r="D9" s="20" t="n">
        <v>0.19682</v>
      </c>
      <c r="E9" s="20" t="n">
        <v>0.4586</v>
      </c>
      <c r="F9" s="20" t="n">
        <v>0.35234</v>
      </c>
    </row>
    <row r="10">
      <c r="A10" t="inlineStr">
        <is>
          <t>3M</t>
        </is>
      </c>
      <c r="B10" s="20" t="n">
        <v>0.5746599999999999</v>
      </c>
      <c r="C10" s="20" t="n">
        <v>0.4217</v>
      </c>
      <c r="D10" s="20" t="n">
        <v>0.27342</v>
      </c>
      <c r="E10" s="20" t="n">
        <v>0.70524</v>
      </c>
      <c r="F10" s="20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Resolved three-month forecasts scored</t>
        </is>
      </c>
      <c r="B13" s="43" t="inlineStr">
        <is>
          <t>17</t>
        </is>
      </c>
    </row>
    <row r="14">
      <c r="A14" s="42" t="inlineStr">
        <is>
          <t>Coverage 50 / 80 / 90</t>
        </is>
      </c>
      <c r="B14" s="43" t="inlineStr">
        <is>
          <t>0.76 / 0.82 / 0.94 against nominal 0.50 / 0.80 / 0.90 — the bands ran WIDE</t>
        </is>
      </c>
    </row>
    <row r="15">
      <c r="A15" s="42" t="inlineStr">
        <is>
          <t>Cone width versus a naive carry-anchored band</t>
        </is>
      </c>
      <c r="B15" s="43" t="inlineStr">
        <is>
          <t>4.64x — and this is the figure that carries the caveat below, not a score</t>
        </is>
      </c>
    </row>
    <row r="16">
      <c r="A16" s="42" t="inlineStr">
        <is>
          <t>Why</t>
        </is>
      </c>
      <c r="B16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7">
      <c r="A17" s="42" t="inlineStr">
        <is>
          <t>Consequence</t>
        </is>
      </c>
      <c r="B17" s="43" t="inlineStr">
        <is>
          <t>The map is ILLUSTRATIVE ONLY. It is materially too wide and must not be read with the confidence of a calibrated name.</t>
        </is>
      </c>
    </row>
  </sheetData>
  <mergeCells count="5">
    <mergeCell ref="B14:H14"/>
    <mergeCell ref="B17:H17"/>
    <mergeCell ref="B13:H13"/>
    <mergeCell ref="B16:H16"/>
    <mergeCell ref="B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105.2712424795545</v>
      </c>
      <c r="C6" s="18" t="n">
        <v>109.3054795323648</v>
      </c>
      <c r="D6" s="18" t="n">
        <v>113.9891474702462</v>
      </c>
      <c r="E6" s="18" t="n">
        <v>119.4934056037856</v>
      </c>
      <c r="F6" s="18" t="n">
        <v>126.0553520425674</v>
      </c>
    </row>
    <row r="7">
      <c r="A7" s="24" t="n">
        <v>0.2745969690413578</v>
      </c>
      <c r="B7" s="18" t="n">
        <v>103.9470986180909</v>
      </c>
      <c r="C7" s="18" t="n">
        <v>107.9054278920373</v>
      </c>
      <c r="D7" s="18" t="n">
        <v>112.5009684280218</v>
      </c>
      <c r="E7" s="18" t="n">
        <v>117.9016590210968</v>
      </c>
      <c r="F7" s="18" t="n">
        <v>124.3401365678251</v>
      </c>
    </row>
    <row r="8">
      <c r="A8" s="24" t="n">
        <v>0.2895969690413578</v>
      </c>
      <c r="B8" s="18" t="n">
        <v>102.6563536606548</v>
      </c>
      <c r="C8" s="18" t="n">
        <v>106.5407519781437</v>
      </c>
      <c r="D8" s="18" t="n">
        <v>111.0504601632167</v>
      </c>
      <c r="E8" s="18" t="n">
        <v>116.3502803654162</v>
      </c>
      <c r="F8" s="18" t="n">
        <v>122.6685044490754</v>
      </c>
    </row>
    <row r="9">
      <c r="A9" s="24" t="n">
        <v>0.3045969690413578</v>
      </c>
      <c r="B9" s="18" t="n">
        <v>101.3978911977065</v>
      </c>
      <c r="C9" s="18" t="n">
        <v>105.2102684190301</v>
      </c>
      <c r="D9" s="18" t="n">
        <v>109.6363615625115</v>
      </c>
      <c r="E9" s="18" t="n">
        <v>114.837917161227</v>
      </c>
      <c r="F9" s="18" t="n">
        <v>121.0389942926093</v>
      </c>
    </row>
    <row r="10">
      <c r="A10" s="24" t="n">
        <v>0.3195969690413578</v>
      </c>
      <c r="B10" s="18" t="n">
        <v>100.1706416524464</v>
      </c>
      <c r="C10" s="18" t="n">
        <v>103.9128435020293</v>
      </c>
      <c r="D10" s="18" t="n">
        <v>108.2574644527894</v>
      </c>
      <c r="E10" s="18" t="n">
        <v>113.3632737293079</v>
      </c>
      <c r="F10" s="18" t="n">
        <v>119.4502060980856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116.9172458541885</v>
      </c>
      <c r="C14" s="18" t="n">
        <v>119.792875151632</v>
      </c>
      <c r="D14" s="18" t="n">
        <v>122.6685044490754</v>
      </c>
      <c r="E14" s="18" t="n">
        <v>125.5441337465189</v>
      </c>
      <c r="F14" s="18" t="n">
        <v>128.4197630439624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0.59</t>
        </is>
      </c>
      <c r="C21" s="6" t="inlineStr">
        <is>
          <t>β = 0.60</t>
        </is>
      </c>
      <c r="D21" s="6" t="inlineStr">
        <is>
          <t>β = 0.80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157.9026265409939</v>
      </c>
      <c r="C22" s="18" t="n">
        <v>156.8570192056681</v>
      </c>
      <c r="D22" s="18" t="n">
        <v>137.2220532144429</v>
      </c>
      <c r="E22" s="18" t="n">
        <v>122.6685044490754</v>
      </c>
      <c r="F22" s="18" t="n">
        <v>106.7727176961527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109.2573175378658</v>
      </c>
      <c r="C26" s="18" t="n">
        <v>115.9629109934706</v>
      </c>
      <c r="D26" s="18" t="n">
        <v>122.6685044490754</v>
      </c>
      <c r="E26" s="18" t="n">
        <v>129.3740979046802</v>
      </c>
      <c r="F26" s="18" t="n">
        <v>136.0796913602851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2026-09-10T11:58:22Z</dcterms:created>
  <dcterms:modified xmlns:dcterms="http://purl.org/dc/terms/" xmlns:xsi="http://www.w3.org/2001/XMLSchema-instance" xsi:type="dcterms:W3CDTF">2026-09-10T11:58:22Z</dcterms:modified>
</cp:coreProperties>
</file>