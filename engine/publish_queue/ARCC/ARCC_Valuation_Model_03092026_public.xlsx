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1">
    <font>
      <name val="Calibri"/>
      <family val="2"/>
      <color theme="1"/>
      <sz val="11"/>
      <scheme val="minor"/>
    </font>
    <font>
      <b val="1"/>
      <color rgb="00F6F1E6"/>
      <sz val="13"/>
    </font>
    <font>
      <sz val="10"/>
    </font>
    <font>
      <sz val="9"/>
    </font>
    <font>
      <color rgb="006E7B77"/>
      <sz val="9"/>
    </font>
    <font>
      <b val="1"/>
    </font>
    <font>
      <color rgb="000000FF"/>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49">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0" fillId="0" borderId="0" pivotButton="0" quotePrefix="0" xfId="0"/>
    <xf numFmtId="166" fontId="8" fillId="0" borderId="0" pivotButton="0" quotePrefix="0" xfId="0"/>
    <xf numFmtId="166" fontId="10" fillId="0" borderId="0" pivotButton="0" quotePrefix="0" xfId="0"/>
    <xf numFmtId="164" fontId="7" fillId="0" borderId="0" pivotButton="0" quotePrefix="0" xfId="0"/>
    <xf numFmtId="164" fontId="9" fillId="0" borderId="0" pivotButton="0" quotePrefix="0" xfId="0"/>
    <xf numFmtId="166" fontId="9" fillId="0" borderId="0" pivotButton="0" quotePrefix="0" xfId="0"/>
    <xf numFmtId="164" fontId="8" fillId="0" borderId="0" pivotButton="0" quotePrefix="0" xfId="0"/>
    <xf numFmtId="170" fontId="7" fillId="0" borderId="0" pivotButton="0" quotePrefix="0" xfId="0"/>
    <xf numFmtId="0" fontId="5" fillId="3" borderId="0" pivotButton="0" quotePrefix="0" xfId="0"/>
    <xf numFmtId="169" fontId="8" fillId="0" borderId="0" pivotButton="0" quotePrefix="0" xfId="0"/>
    <xf numFmtId="170" fontId="8" fillId="0" borderId="0" pivotButton="0" quotePrefix="0" xfId="0"/>
    <xf numFmtId="165" fontId="7" fillId="0" borderId="0" pivotButton="0" quotePrefix="0" xfId="0"/>
    <xf numFmtId="168" fontId="8" fillId="0" borderId="0" pivotButton="0" quotePrefix="0" xfId="0"/>
    <xf numFmtId="0" fontId="0" fillId="0" borderId="0" applyAlignment="1" pivotButton="0" quotePrefix="0" xfId="0">
      <alignment vertical="top" wrapText="1"/>
    </xf>
    <xf numFmtId="164" fontId="6" fillId="0" borderId="0" pivotButton="0" quotePrefix="0" xfId="0"/>
    <xf numFmtId="166" fontId="7"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71" fontId="6" fillId="0" borderId="0" pivotButton="0" quotePrefix="0" xfId="0"/>
    <xf numFmtId="170" fontId="10" fillId="0" borderId="0" pivotButton="0" quotePrefix="0" xfId="0"/>
    <xf numFmtId="169" fontId="7" fillId="0" borderId="0" pivotButton="0" quotePrefix="0" xfId="0"/>
    <xf numFmtId="167" fontId="8" fillId="0" borderId="0" pivotButton="0" quotePrefix="0" xfId="0"/>
    <xf numFmtId="167" fontId="7" fillId="0" borderId="0" pivotButton="0" quotePrefix="0" xfId="0"/>
    <xf numFmtId="167" fontId="9" fillId="0" borderId="0" pivotButton="0" quotePrefix="0" xfId="0"/>
    <xf numFmtId="170" fontId="9" fillId="0" borderId="0" pivotButton="0" quotePrefix="0" xfId="0"/>
    <xf numFmtId="168" fontId="9" fillId="0" borderId="0" pivotButton="0" quotePrefix="0" xfId="0"/>
    <xf numFmtId="167" fontId="5" fillId="3" borderId="0" pivotButton="0" quotePrefix="0" xfId="0"/>
    <xf numFmtId="171" fontId="8" fillId="0" borderId="0" pivotButton="0" quotePrefix="0" xfId="0"/>
    <xf numFmtId="172" fontId="8" fillId="0" borderId="0" pivotButton="0" quotePrefix="0" xfId="0"/>
    <xf numFmtId="10" fontId="8" fillId="0" borderId="0" pivotButton="0" quotePrefix="0" xfId="0"/>
    <xf numFmtId="165" fontId="8" fillId="0" borderId="0" pivotButton="0" quotePrefix="0" xfId="0"/>
    <xf numFmtId="10" fontId="9" fillId="0" borderId="0" pivotButton="0" quotePrefix="0" xfId="0"/>
    <xf numFmtId="165" fontId="9" fillId="0" borderId="0" pivotButton="0" quotePrefix="0" xfId="0"/>
    <xf numFmtId="0" fontId="5" fillId="0" borderId="0" pivotButton="0" quotePrefix="0" xfId="0"/>
    <xf numFmtId="173" fontId="9" fillId="0" borderId="0" pivotButton="0" quotePrefix="0" xfId="0"/>
    <xf numFmtId="171" fontId="9" fillId="0" borderId="0" pivotButton="0" quotePrefix="0" xfId="0"/>
    <xf numFmtId="168"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4</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949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Role</t>
        </is>
      </c>
      <c r="D4" s="6" t="inlineStr">
        <is>
          <t>Versus spot</t>
        </is>
      </c>
      <c r="E4" s="6" t="inlineStr">
        <is>
          <t>Terminal value % of EV</t>
        </is>
      </c>
    </row>
    <row r="5">
      <c r="A5" t="inlineStr">
        <is>
          <t>DCF (cash flow)</t>
        </is>
      </c>
      <c r="B5" s="7">
        <f>DCF!B44</f>
        <v/>
      </c>
      <c r="C5" t="inlineStr">
        <is>
          <t>PRIMARY — the central</t>
        </is>
      </c>
      <c r="D5" s="8">
        <f>B5/Assumptions!$B$5-1</f>
        <v/>
      </c>
      <c r="E5" s="9">
        <f>DCF!B34</f>
        <v/>
      </c>
    </row>
    <row r="6">
      <c r="A6" t="inlineStr">
        <is>
          <t>Relative multiples</t>
        </is>
      </c>
      <c r="B6" s="7">
        <f>'Relative &amp; Normalized'!B23</f>
        <v/>
      </c>
      <c r="C6" t="inlineStr">
        <is>
          <t>cross-check</t>
        </is>
      </c>
      <c r="D6" s="8">
        <f>B6/Assumptions!$B$5-1</f>
        <v/>
      </c>
      <c r="E6" t="inlineStr">
        <is>
          <t>—</t>
        </is>
      </c>
    </row>
    <row r="7">
      <c r="A7" t="inlineStr">
        <is>
          <t>Asset / replacement cost</t>
        </is>
      </c>
      <c r="B7" s="7">
        <f>'Fundamental Valuation'!B13</f>
        <v/>
      </c>
      <c r="C7" t="inlineStr">
        <is>
          <t>cross-check</t>
        </is>
      </c>
      <c r="D7" s="8">
        <f>B7/Assumptions!$B$5-1</f>
        <v/>
      </c>
      <c r="E7" t="inlineStr">
        <is>
          <t>—</t>
        </is>
      </c>
    </row>
    <row r="8">
      <c r="A8" t="inlineStr">
        <is>
          <t>Normalised earnings</t>
        </is>
      </c>
      <c r="B8" s="10">
        <f>'Relative &amp; Normalized'!B31</f>
        <v/>
      </c>
      <c r="C8" t="inlineStr">
        <is>
          <t>DIAGNOSTIC — not a lens for this class, reaches no published number</t>
        </is>
      </c>
      <c r="D8" s="8">
        <f>B8/Assumptions!$B$5-1</f>
        <v/>
      </c>
    </row>
    <row r="9">
      <c r="A9" t="inlineStr">
        <is>
          <t>CENTRAL FAIR VALUE — the cash-flow lens, not a blend</t>
        </is>
      </c>
      <c r="B9" s="11">
        <f>B5</f>
        <v/>
      </c>
      <c r="D9" s="12">
        <f>B9/Assumptions!$B$5-1</f>
        <v/>
      </c>
    </row>
    <row r="10">
      <c r="A10" t="inlineStr">
        <is>
          <t>Lowest of the three cross-checks</t>
        </is>
      </c>
      <c r="B10" s="13">
        <f>MIN(B6:B8)</f>
        <v/>
      </c>
      <c r="D10" s="8">
        <f>B10/Assumptions!$B$5-1</f>
        <v/>
      </c>
    </row>
    <row r="11">
      <c r="A11" t="inlineStr">
        <is>
          <t>Highest of the three cross-checks</t>
        </is>
      </c>
      <c r="B11" s="13">
        <f>MAX(B6:B8)</f>
        <v/>
      </c>
      <c r="D11" s="8">
        <f>B11/Assumptions!$B$5-1</f>
        <v/>
      </c>
    </row>
    <row r="12">
      <c r="A12" t="inlineStr">
        <is>
          <t>Market price, 2026-09-03</t>
        </is>
      </c>
      <c r="B12" s="10">
        <f>Assumptions!$B$5</f>
        <v/>
      </c>
    </row>
    <row r="13">
      <c r="A13" t="inlineStr">
        <is>
          <t>Market capitalisation (EGP mn)</t>
        </is>
      </c>
      <c r="B13" s="14">
        <f>DCF!C45</f>
        <v/>
      </c>
    </row>
    <row r="14">
      <c r="A14" t="inlineStr">
        <is>
          <t>RETIRED: the 50/20/22/8 blend this edition dropped</t>
        </is>
      </c>
      <c r="B14" s="13">
        <f>B5*0.50+B6*0.20+B8*0.22+B7*0.08</f>
        <v/>
      </c>
      <c r="C14" t="inlineStr">
        <is>
          <t>weights nobody tested; kept visible, not used</t>
        </is>
      </c>
    </row>
    <row r="15">
      <c r="A15" s="15" t="inlineStr">
        <is>
          <t>THE THREE-PANEL VALUATIONS</t>
        </is>
      </c>
      <c r="B15" s="15" t="n"/>
      <c r="C15" s="15" t="n"/>
      <c r="D15" s="15" t="n"/>
      <c r="E15" s="15" t="n"/>
      <c r="F15" s="15" t="n"/>
      <c r="G15" s="15"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13">
        <f>((Assumptions!$B$153-15)*Assumptions!$B$13*Assumptions!$B$11+DCF!$B$40+DCF!$B$41)/DCF!$B$43</f>
        <v/>
      </c>
      <c r="C17" s="13">
        <f>(Assumptions!$B$153*Assumptions!$B$13*Assumptions!$B$11+DCF!$B$40+DCF!$B$41)/DCF!$B$43</f>
        <v/>
      </c>
      <c r="D17" s="13">
        <f>((Assumptions!$B$153+15)*Assumptions!$B$13*Assumptions!$B$11+DCF!$B$40+DCF!$B$41)/DCF!$B$43</f>
        <v/>
      </c>
      <c r="E17" s="8">
        <f>C17/Assumptions!$B$5-1</f>
        <v/>
      </c>
    </row>
    <row r="18">
      <c r="A18" t="inlineStr">
        <is>
          <t>Expert 2 — Mid-cycle earnings-power analyst</t>
        </is>
      </c>
      <c r="B18" s="13">
        <f>('Relative &amp; Normalized'!$B$12*(Assumptions!$B$155-1)+DCF!$B$40+DCF!$B$41)/DCF!$B$43</f>
        <v/>
      </c>
      <c r="C18" s="13">
        <f>('Relative &amp; Normalized'!$B$12*Assumptions!$B$155+DCF!$B$40+DCF!$B$41)/DCF!$B$43</f>
        <v/>
      </c>
      <c r="D18" s="13">
        <f>('Relative &amp; Normalized'!$B$12*(Assumptions!$B$155+1)+DCF!$B$40+DCF!$B$41)/DCF!$B$43</f>
        <v/>
      </c>
      <c r="E18" s="8">
        <f>C18/Assumptions!$B$5-1</f>
        <v/>
      </c>
    </row>
    <row r="19">
      <c r="A19" t="inlineStr">
        <is>
          <t>Expert 3 — Cash-return and distribution investor</t>
        </is>
      </c>
      <c r="B19" s="13">
        <f>(AVERAGE(DCF!C15:F15)/0.20+DCF!$B$40+DCF!$B$41)/DCF!$B$43</f>
        <v/>
      </c>
      <c r="C19" s="13">
        <f>(AVERAGE(DCF!C15:F15)/0.175+DCF!$B$40+DCF!$B$41)/DCF!$B$43</f>
        <v/>
      </c>
      <c r="D19" s="13">
        <f>(AVERAGE(DCF!C15:F15)/0.15+DCF!$B$40+DCF!$B$41)/DCF!$B$43</f>
        <v/>
      </c>
      <c r="E19" s="8">
        <f>C19/Assumptions!$B$5-1</f>
        <v/>
      </c>
    </row>
    <row r="20">
      <c r="A20" t="inlineStr">
        <is>
          <t>Panel median</t>
        </is>
      </c>
      <c r="C20" s="11">
        <f>MEDIAN(C17:C19)</f>
        <v/>
      </c>
      <c r="E20" s="8">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5" t="inlineStr">
        <is>
          <t>ASSET / REPLACEMENT-COST LENS</t>
        </is>
      </c>
      <c r="B4" s="15" t="n"/>
      <c r="C4" s="15" t="n"/>
      <c r="D4" s="15" t="n"/>
      <c r="E4" s="15" t="n"/>
      <c r="F4" s="15" t="n"/>
      <c r="G4" s="15" t="n"/>
    </row>
    <row r="5">
      <c r="A5" t="inlineStr">
        <is>
          <t>Cement capacity (Mt/yr, audited note 1)</t>
        </is>
      </c>
      <c r="B5" s="16">
        <f>Assumptions!$B$13</f>
        <v/>
      </c>
    </row>
    <row r="6">
      <c r="A6" t="inlineStr">
        <is>
          <t>Replacement cost per annual tonne (USD)</t>
        </is>
      </c>
      <c r="B6" s="17">
        <f>Assumptions!$B$152</f>
        <v/>
      </c>
    </row>
    <row r="7">
      <c r="A7" t="inlineStr">
        <is>
          <t>Justified enterprise value per annual tonne (USD)</t>
        </is>
      </c>
      <c r="B7" s="17">
        <f>Assumptions!$B$153</f>
        <v/>
      </c>
    </row>
    <row r="8">
      <c r="A8" t="inlineStr">
        <is>
          <t>Discount to replacement cost</t>
        </is>
      </c>
      <c r="B8" s="8">
        <f>B7/B6-1</f>
        <v/>
      </c>
    </row>
    <row r="9">
      <c r="A9" t="inlineStr">
        <is>
          <t>Implied enterprise value (EGP mn)</t>
        </is>
      </c>
      <c r="B9" s="17">
        <f>B7*B5*Assumptions!$B$11</f>
        <v/>
      </c>
    </row>
    <row r="10">
      <c r="A10" t="inlineStr">
        <is>
          <t>Plus net cash</t>
        </is>
      </c>
      <c r="B10" s="14">
        <f>DCF!B40</f>
        <v/>
      </c>
    </row>
    <row r="11">
      <c r="A11" t="inlineStr">
        <is>
          <t>Less non-controlling interests</t>
        </is>
      </c>
      <c r="B11" s="18">
        <f>DCF!B41</f>
        <v/>
      </c>
    </row>
    <row r="12">
      <c r="A12" t="inlineStr">
        <is>
          <t>Equity value</t>
        </is>
      </c>
      <c r="B12" s="17">
        <f>B9+B10+B11</f>
        <v/>
      </c>
    </row>
    <row r="13">
      <c r="A13" t="inlineStr">
        <is>
          <t>Value per share (EGP)</t>
        </is>
      </c>
      <c r="B13" s="11">
        <f>B12/DCF!$B$43</f>
        <v/>
      </c>
    </row>
    <row r="14">
      <c r="A14" t="inlineStr">
        <is>
          <t>Memo: what the MARKET is paying per annual tonne (USD)</t>
        </is>
      </c>
      <c r="B14" s="19">
        <f>(Assumptions!$B$5*DCF!$B$43-DCF!B40+Assumptions!$B$118)/Assumptions!$B$13/Assumptions!$B$11</f>
        <v/>
      </c>
    </row>
    <row r="15">
      <c r="A15" t="inlineStr">
        <is>
          <t>Memo: audited net book value of property and construction (EGP mn)</t>
        </is>
      </c>
      <c r="B15" s="17">
        <f>Assumptions!$B$106+Assumptions!$B$107</f>
        <v/>
      </c>
    </row>
    <row r="16">
      <c r="A16" t="inlineStr">
        <is>
          <t>Memo: that book value per annual tonne (USD)</t>
        </is>
      </c>
      <c r="B16" s="19">
        <f>B15/Assumptions!$B$13/Assumptions!$B$11</f>
        <v/>
      </c>
    </row>
    <row r="18">
      <c r="A18" s="15" t="inlineStr">
        <is>
          <t>CONTESTED CHOICES — EACH COMPUTED, NOT ARGUED</t>
        </is>
      </c>
      <c r="B18" s="15" t="n"/>
      <c r="C18" s="15" t="n"/>
      <c r="D18" s="15" t="n"/>
      <c r="E18" s="15" t="n"/>
      <c r="F18" s="15" t="n"/>
      <c r="G18" s="15"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0" t="inlineStr">
        <is>
          <t>Cost of debt: the POUND-EQUIVALENT cost of a euro debt book (adopted) vs the contracted euro rate</t>
        </is>
      </c>
      <c r="B20" t="inlineStr">
        <is>
          <t>13.36%</t>
        </is>
      </c>
      <c r="C20" t="inlineStr">
        <is>
          <t>7.89%</t>
        </is>
      </c>
      <c r="D20" s="10">
        <f>DCF!$B$44</f>
        <v/>
      </c>
      <c r="E20" s="21" t="n">
        <v>66.64442256173977</v>
      </c>
      <c r="F20" s="8">
        <f>E20/D20-1</f>
        <v/>
      </c>
    </row>
    <row r="21">
      <c r="A21" s="20" t="inlineStr">
        <is>
          <t>Beta: same-country peer median (adopted, tier 2) vs the own-stock regression against the EGX30 that is too weak to use: its R-squared of 0.047 leaves the slope indistinguishable from noise</t>
        </is>
      </c>
      <c r="B21" t="inlineStr">
        <is>
          <t>0.928</t>
        </is>
      </c>
      <c r="C21" t="inlineStr">
        <is>
          <t>0.698</t>
        </is>
      </c>
      <c r="D21" s="10">
        <f>DCF!$B$44</f>
        <v/>
      </c>
      <c r="E21" s="21" t="n">
        <v>74.54390340298886</v>
      </c>
      <c r="F21" s="8">
        <f>E21/D21-1</f>
        <v/>
      </c>
    </row>
    <row r="22">
      <c r="A22" s="20" t="inlineStr">
        <is>
          <t>Capex: economic maintenance in dollars per tonne (adopted) vs book depreciation</t>
        </is>
      </c>
      <c r="B22" t="inlineStr">
        <is>
          <t>USD 3.23/t</t>
        </is>
      </c>
      <c r="C22" t="inlineStr">
        <is>
          <t>book depreciation</t>
        </is>
      </c>
      <c r="D22" s="10">
        <f>DCF!$B$44</f>
        <v/>
      </c>
      <c r="E22" s="21" t="n">
        <v>70.62433473497708</v>
      </c>
      <c r="F22" s="8">
        <f>E22/D22-1</f>
        <v/>
      </c>
    </row>
    <row r="24">
      <c r="A24" s="5" t="inlineStr">
        <is>
          <t>Column E holds whole-model re-runs — class 3 pasted cells. The EFFECT column is a live formula.</t>
        </is>
      </c>
    </row>
    <row r="26">
      <c r="A26" s="15" t="inlineStr">
        <is>
          <t>TERMINAL RECONCILIATION — NOW BUILDABLE, BECAUSE CAPEX IS DISCLOSED</t>
        </is>
      </c>
      <c r="B26" s="15" t="n"/>
      <c r="C26" s="15" t="n"/>
      <c r="D26" s="15" t="n"/>
      <c r="E26" s="15" t="n"/>
      <c r="F26" s="15" t="n"/>
      <c r="G26" s="15" t="n"/>
    </row>
    <row r="27">
      <c r="A27" s="6" t="inlineStr"/>
      <c r="B27" s="6" t="inlineStr">
        <is>
          <t>FY2023</t>
        </is>
      </c>
      <c r="C27" s="6" t="inlineStr">
        <is>
          <t>FY2024</t>
        </is>
      </c>
      <c r="D27" s="6" t="inlineStr">
        <is>
          <t>FY2025</t>
        </is>
      </c>
    </row>
    <row r="28">
      <c r="A28" t="inlineStr">
        <is>
          <t>Capital expenditure (audited)</t>
        </is>
      </c>
      <c r="B28" s="14">
        <f>Assumptions!$B$83</f>
        <v/>
      </c>
      <c r="C28" s="14">
        <f>Assumptions!$B$84</f>
        <v/>
      </c>
      <c r="D28" s="14">
        <f>Assumptions!$B$85</f>
        <v/>
      </c>
    </row>
    <row r="29">
      <c r="A29" t="inlineStr">
        <is>
          <t>Capex / EBITDA</t>
        </is>
      </c>
      <c r="B29" s="8">
        <f>B28/'Income Statement'!B14</f>
        <v/>
      </c>
      <c r="C29" s="8">
        <f>C28/'Income Statement'!C14</f>
        <v/>
      </c>
      <c r="D29" s="8">
        <f>D28/'Income Statement'!D14</f>
        <v/>
      </c>
    </row>
    <row r="30">
      <c r="A30" t="inlineStr">
        <is>
          <t>Depreciation (audited)</t>
        </is>
      </c>
      <c r="B30" s="14">
        <f>Assumptions!$B$80</f>
        <v/>
      </c>
      <c r="C30" s="14">
        <f>Assumptions!$B$81</f>
        <v/>
      </c>
      <c r="D30" s="14">
        <f>Assumptions!$B$82</f>
        <v/>
      </c>
    </row>
    <row r="31">
      <c r="A31" t="inlineStr">
        <is>
          <t>Net reinvestment (capex less depreciation)</t>
        </is>
      </c>
      <c r="B31" s="17">
        <f>B28-B30</f>
        <v/>
      </c>
      <c r="C31" s="17">
        <f>C28-C30</f>
        <v/>
      </c>
      <c r="D31" s="17">
        <f>D28-D30</f>
        <v/>
      </c>
    </row>
    <row r="32">
      <c r="A32" t="inlineStr">
        <is>
          <t>NOPAT</t>
        </is>
      </c>
      <c r="B32" s="17">
        <f>'Income Statement'!B11*(1-'Income Statement'!B19)</f>
        <v/>
      </c>
      <c r="C32" s="17">
        <f>'Income Statement'!C11*(1-'Income Statement'!C19)</f>
        <v/>
      </c>
      <c r="D32" s="17">
        <f>'Income Statement'!D11*(1-'Income Statement'!D19)</f>
        <v/>
      </c>
    </row>
    <row r="33">
      <c r="A33" t="inlineStr">
        <is>
          <t>Reinvestment rate</t>
        </is>
      </c>
      <c r="B33" s="8">
        <f>B31/B32</f>
        <v/>
      </c>
      <c r="C33" s="8">
        <f>C31/C32</f>
        <v/>
      </c>
      <c r="D33" s="8">
        <f>D31/D32</f>
        <v/>
      </c>
    </row>
    <row r="34">
      <c r="A34" t="inlineStr">
        <is>
          <t>Return on BOOK invested capital</t>
        </is>
      </c>
      <c r="B34" s="8">
        <f>B32/(Assumptions!$B$117+Assumptions!$B$125)</f>
        <v/>
      </c>
      <c r="C34" s="8">
        <f>C32/(Assumptions!$B$116+Assumptions!$B$124)</f>
        <v/>
      </c>
      <c r="D34" s="8">
        <f>D32/(Assumptions!$B$115+DCF!$C$44)</f>
        <v/>
      </c>
    </row>
    <row r="35">
      <c r="A35" t="inlineStr">
        <is>
          <t>Implied growth (return x reinvestment)</t>
        </is>
      </c>
      <c r="B35" s="8">
        <f>B34*B33</f>
        <v/>
      </c>
      <c r="C35" s="8">
        <f>C34*C33</f>
        <v/>
      </c>
      <c r="D35" s="8">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t>
        </is>
      </c>
      <c r="B38" s="22">
        <f>DCF!B24</f>
        <v/>
      </c>
    </row>
    <row r="39">
      <c r="A39" t="inlineStr">
        <is>
          <t>Terminal return on capital, BOOK basis (FY2025)</t>
        </is>
      </c>
      <c r="B39" s="22">
        <f>DCF!B25</f>
        <v/>
      </c>
    </row>
    <row r="40">
      <c r="A40" t="inlineStr">
        <is>
          <t>Terminal rate</t>
        </is>
      </c>
      <c r="B40" s="22">
        <f>DCF!$C$50</f>
        <v/>
      </c>
    </row>
    <row r="41">
      <c r="A41" t="inlineStr">
        <is>
          <t>Terminal growth adopted</t>
        </is>
      </c>
      <c r="B41" s="8">
        <f>Assumptions!$B$50</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2"/>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5" t="inlineStr">
        <is>
          <t>MARKET AND SHARE COUNT</t>
        </is>
      </c>
      <c r="B4" s="15" t="n"/>
      <c r="C4" s="15" t="n"/>
      <c r="D4" s="15" t="n"/>
      <c r="E4" s="15" t="n"/>
      <c r="F4" s="15" t="n"/>
      <c r="G4" s="15" t="n"/>
      <c r="H4" s="15" t="n"/>
      <c r="I4" s="15" t="n"/>
    </row>
    <row r="5">
      <c r="A5" t="inlineStr">
        <is>
          <t>Spot price</t>
        </is>
      </c>
      <c r="B5" s="21" t="n">
        <v>77</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(own-stock weekly regression)</t>
        </is>
      </c>
      <c r="B10" s="26" t="n">
        <v>0.9275220650537075</v>
      </c>
    </row>
    <row r="11">
      <c r="A11" t="inlineStr">
        <is>
          <t>USD/EGP at the valuation date</t>
        </is>
      </c>
      <c r="B11" s="27" t="n">
        <v>50.3</v>
      </c>
    </row>
    <row r="12">
      <c r="A12" s="15" t="inlineStr">
        <is>
          <t>PLANT — AUDITED NOTE 1</t>
        </is>
      </c>
      <c r="B12" s="15" t="n"/>
      <c r="C12" s="15" t="n"/>
      <c r="D12" s="15" t="n"/>
      <c r="E12" s="15" t="n"/>
      <c r="F12" s="15" t="n"/>
      <c r="G12" s="15" t="n"/>
      <c r="H12" s="15" t="n"/>
      <c r="I12" s="15" t="n"/>
    </row>
    <row r="13">
      <c r="A13" t="inlineStr">
        <is>
          <t>Cement capacity</t>
        </is>
      </c>
      <c r="B13" s="28" t="n">
        <v>5</v>
      </c>
      <c r="C13" s="5" t="inlineStr">
        <is>
          <t>Mt/yr</t>
        </is>
      </c>
    </row>
    <row r="14">
      <c r="A14" t="inlineStr">
        <is>
          <t>Kiln clinker capacity</t>
        </is>
      </c>
      <c r="B14" s="28" t="n">
        <v>4.2</v>
      </c>
      <c r="C14" s="5" t="inlineStr">
        <is>
          <t>Mt/yr</t>
        </is>
      </c>
    </row>
    <row r="15">
      <c r="A15" t="inlineStr">
        <is>
          <t>Clinker factor</t>
        </is>
      </c>
      <c r="B15" s="26" t="n">
        <v>0.7329</v>
      </c>
      <c r="C15" s="5" t="inlineStr">
        <is>
          <t>t clinker / t cement</t>
        </is>
      </c>
    </row>
    <row r="16">
      <c r="A16" s="15" t="inlineStr">
        <is>
          <t>EXPORT SPLIT — the one ratio the export leg needs; both prices come OUT</t>
        </is>
      </c>
      <c r="B16" s="15" t="n"/>
      <c r="C16" s="15" t="n"/>
      <c r="D16" s="15" t="n"/>
      <c r="E16" s="15" t="n"/>
      <c r="F16" s="15" t="n"/>
      <c r="G16" s="15" t="n"/>
      <c r="H16" s="15" t="n"/>
      <c r="I16" s="15" t="n"/>
    </row>
    <row r="17">
      <c r="A17" t="inlineStr">
        <is>
          <t>Export clinker price as a fraction of export cement</t>
        </is>
      </c>
      <c r="B17" s="26" t="n">
        <v>0.65</v>
      </c>
    </row>
    <row r="18">
      <c r="A18" t="inlineStr">
        <is>
          <t>Average USD/EGP FY2025</t>
        </is>
      </c>
      <c r="B18" s="28" t="n">
        <v>49.26</v>
      </c>
      <c r="C18" s="5" t="inlineStr">
        <is>
          <t>audited note 2.5</t>
        </is>
      </c>
    </row>
    <row r="19">
      <c r="A19" t="inlineStr">
        <is>
          <t>Services revenue as a share of goods revenue</t>
        </is>
      </c>
      <c r="B19" s="25" t="n">
        <v>0.06325</v>
      </c>
    </row>
    <row r="20">
      <c r="A20" s="15" t="inlineStr">
        <is>
          <t>PATHS — FY2025A then FY2026E to FY2030E</t>
        </is>
      </c>
      <c r="B20" s="15" t="n"/>
      <c r="C20" s="15" t="n"/>
      <c r="D20" s="15" t="n"/>
      <c r="E20" s="15" t="n"/>
      <c r="F20" s="15" t="n"/>
      <c r="G20" s="15" t="n"/>
      <c r="H20" s="15" t="n"/>
      <c r="I20" s="15" t="n"/>
    </row>
    <row r="21">
      <c r="A21" s="6" t="inlineStr"/>
      <c r="B21" s="6" t="inlineStr">
        <is>
          <t>FY2025A</t>
        </is>
      </c>
      <c r="C21" s="6" t="inlineStr">
        <is>
          <t>FY2026E</t>
        </is>
      </c>
      <c r="D21" s="6" t="inlineStr">
        <is>
          <t>FY2027E</t>
        </is>
      </c>
      <c r="E21" s="6" t="inlineStr">
        <is>
          <t>FY2028E</t>
        </is>
      </c>
      <c r="F21" s="6" t="inlineStr">
        <is>
          <t>FY2029E</t>
        </is>
      </c>
      <c r="G21" s="6" t="inlineStr">
        <is>
          <t>FY2030E</t>
        </is>
      </c>
    </row>
    <row r="22">
      <c r="A22" t="inlineStr">
        <is>
          <t>Kiln utilisation  (THE volume driver)</t>
        </is>
      </c>
      <c r="B22" s="24" t="n">
        <v>0.917</v>
      </c>
      <c r="C22" s="24" t="n">
        <v>0.92</v>
      </c>
      <c r="D22" s="24" t="n">
        <v>0.925</v>
      </c>
      <c r="E22" s="24" t="n">
        <v>0.93</v>
      </c>
      <c r="F22" s="24" t="n">
        <v>0.9330000000000001</v>
      </c>
      <c r="G22" s="24" t="n">
        <v>0.9350000000000001</v>
      </c>
    </row>
    <row r="23">
      <c r="A23" t="inlineStr">
        <is>
          <t>Clinker sold as clinker, share of clinker made</t>
        </is>
      </c>
      <c r="B23" s="24" t="n">
        <v>0.3377</v>
      </c>
      <c r="C23" s="24" t="n">
        <v>0.33</v>
      </c>
      <c r="D23" s="24" t="n">
        <v>0.32</v>
      </c>
      <c r="E23" s="24" t="n">
        <v>0.31</v>
      </c>
      <c r="F23" s="24" t="n">
        <v>0.305</v>
      </c>
      <c r="G23" s="24" t="n">
        <v>0.3</v>
      </c>
    </row>
    <row r="24">
      <c r="A24" t="inlineStr">
        <is>
          <t>Cement exported, share of cement sold</t>
        </is>
      </c>
      <c r="B24" s="24" t="n">
        <v>0.1772</v>
      </c>
      <c r="C24" s="24" t="n">
        <v>0.18</v>
      </c>
      <c r="D24" s="24" t="n">
        <v>0.18</v>
      </c>
      <c r="E24" s="24" t="n">
        <v>0.175</v>
      </c>
      <c r="F24" s="24" t="n">
        <v>0.17</v>
      </c>
      <c r="G24" s="24" t="n">
        <v>0.165</v>
      </c>
    </row>
    <row r="25">
      <c r="A25" t="inlineStr">
        <is>
          <t>Cement stock draw (Mt)</t>
        </is>
      </c>
      <c r="B25" s="26" t="n">
        <v>0.0725</v>
      </c>
      <c r="C25" s="26" t="n">
        <v>0</v>
      </c>
      <c r="D25" s="26" t="n">
        <v>0</v>
      </c>
      <c r="E25" s="26" t="n">
        <v>0</v>
      </c>
      <c r="F25" s="26" t="n">
        <v>0</v>
      </c>
      <c r="G25" s="26" t="n">
        <v>0</v>
      </c>
    </row>
    <row r="26">
      <c r="A26" t="inlineStr">
        <is>
          <t>Local price index</t>
        </is>
      </c>
      <c r="B26" s="26" t="n">
        <v>1</v>
      </c>
      <c r="C26" s="26" t="n">
        <v>1.08</v>
      </c>
      <c r="D26" s="26" t="n">
        <v>1.2096</v>
      </c>
      <c r="E26" s="26" t="n">
        <v>1.318464</v>
      </c>
      <c r="F26" s="26" t="n">
        <v>1.417349</v>
      </c>
      <c r="G26" s="26" t="n">
        <v>1.516563</v>
      </c>
    </row>
    <row r="27">
      <c r="A27" t="inlineStr">
        <is>
          <t>Export price index (USD)</t>
        </is>
      </c>
      <c r="B27" s="26" t="n">
        <v>1</v>
      </c>
      <c r="C27" s="26" t="n">
        <v>0.968</v>
      </c>
      <c r="D27" s="26" t="n">
        <v>0.944</v>
      </c>
      <c r="E27" s="26" t="n">
        <v>0.927</v>
      </c>
      <c r="F27" s="26" t="n">
        <v>0.911</v>
      </c>
      <c r="G27" s="26" t="n">
        <v>0.895</v>
      </c>
    </row>
    <row r="28">
      <c r="A28" t="inlineStr">
        <is>
          <t>USD/EGP path</t>
        </is>
      </c>
      <c r="B28" s="27" t="n">
        <v>49.26</v>
      </c>
      <c r="C28" s="27" t="n">
        <v>55.11</v>
      </c>
      <c r="D28" s="27" t="n">
        <v>60.22</v>
      </c>
      <c r="E28" s="27" t="n">
        <v>64.04000000000001</v>
      </c>
      <c r="F28" s="27" t="n">
        <v>67.17</v>
      </c>
      <c r="G28" s="27" t="n">
        <v>70.11</v>
      </c>
    </row>
    <row r="29">
      <c r="A29" t="inlineStr">
        <is>
          <t>Local cost-inflation index</t>
        </is>
      </c>
      <c r="B29" s="26" t="n">
        <v>1</v>
      </c>
      <c r="C29" s="26" t="n">
        <v>1.115</v>
      </c>
      <c r="D29" s="26" t="n">
        <v>1.2488</v>
      </c>
      <c r="E29" s="26" t="n">
        <v>1.361192</v>
      </c>
      <c r="F29" s="26" t="n">
        <v>1.463281</v>
      </c>
      <c r="G29" s="26" t="n">
        <v>1.565711</v>
      </c>
    </row>
    <row r="30">
      <c r="A30" t="inlineStr">
        <is>
          <t>Alternative-fuel saving on materials</t>
        </is>
      </c>
      <c r="B30" s="24" t="n">
        <v>0</v>
      </c>
      <c r="C30" s="24" t="n">
        <v>0.015</v>
      </c>
      <c r="D30" s="24" t="n">
        <v>0.03</v>
      </c>
      <c r="E30" s="24" t="n">
        <v>0.04</v>
      </c>
      <c r="F30" s="24" t="n">
        <v>0.048</v>
      </c>
      <c r="G30" s="24" t="n">
        <v>0.055</v>
      </c>
    </row>
    <row r="31">
      <c r="A31" s="15" t="inlineStr">
        <is>
          <t>FORECAST DRIVERS — FY2026E to FY2030E</t>
        </is>
      </c>
      <c r="B31" s="15" t="n"/>
      <c r="C31" s="15" t="n"/>
      <c r="D31" s="15" t="n"/>
      <c r="E31" s="15" t="n"/>
      <c r="F31" s="15" t="n"/>
      <c r="G31" s="15" t="n"/>
      <c r="H31" s="15" t="n"/>
      <c r="I31" s="15" t="n"/>
    </row>
    <row r="32">
      <c r="A32" s="6" t="inlineStr"/>
      <c r="B32" s="6" t="inlineStr">
        <is>
          <t>FY2026E</t>
        </is>
      </c>
      <c r="C32" s="6" t="inlineStr">
        <is>
          <t>FY2027E</t>
        </is>
      </c>
      <c r="D32" s="6" t="inlineStr">
        <is>
          <t>FY2028E</t>
        </is>
      </c>
      <c r="E32" s="6" t="inlineStr">
        <is>
          <t>FY2029E</t>
        </is>
      </c>
      <c r="F32" s="6" t="inlineStr">
        <is>
          <t>FY2030E</t>
        </is>
      </c>
    </row>
    <row r="33">
      <c r="A33" t="inlineStr">
        <is>
          <t>Depreciation as % of revenue</t>
        </is>
      </c>
      <c r="B33" s="24" t="n">
        <v>0.025</v>
      </c>
      <c r="C33" s="24" t="n">
        <v>0.027</v>
      </c>
      <c r="D33" s="24" t="n">
        <v>0.029</v>
      </c>
      <c r="E33" s="24" t="n">
        <v>0.031</v>
      </c>
      <c r="F33" s="24" t="n">
        <v>0.033</v>
      </c>
    </row>
    <row r="34">
      <c r="A34" t="inlineStr">
        <is>
          <t>EGP marginal cost-of-debt path</t>
        </is>
      </c>
      <c r="B34" s="24" t="n">
        <v>0.206</v>
      </c>
      <c r="C34" s="24" t="n">
        <v>0.181</v>
      </c>
      <c r="D34" s="24" t="n">
        <v>0.161</v>
      </c>
      <c r="E34" s="24" t="n">
        <v>0.149</v>
      </c>
      <c r="F34" s="24" t="n">
        <v>0.14</v>
      </c>
    </row>
    <row r="35">
      <c r="A35" t="inlineStr">
        <is>
          <t>Yield earned on cash</t>
        </is>
      </c>
      <c r="B35" s="24" t="n">
        <v>0.15</v>
      </c>
      <c r="C35" s="24" t="n">
        <v>0.13</v>
      </c>
      <c r="D35" s="24" t="n">
        <v>0.12</v>
      </c>
      <c r="E35" s="24" t="n">
        <v>0.112</v>
      </c>
      <c r="F35" s="24" t="n">
        <v>0.108</v>
      </c>
    </row>
    <row r="36">
      <c r="A36" t="inlineStr">
        <is>
          <t>Maintenance capital expenditure</t>
        </is>
      </c>
      <c r="B36" s="28" t="n">
        <v>3.23</v>
      </c>
      <c r="C36" s="5" t="inlineStr">
        <is>
          <t>USD/t capacity</t>
        </is>
      </c>
    </row>
    <row r="37">
      <c r="A37" t="inlineStr">
        <is>
          <t>Change in working capital / change in revenue</t>
        </is>
      </c>
      <c r="B37" s="24" t="n">
        <v>0.12</v>
      </c>
    </row>
    <row r="38">
      <c r="A38" t="inlineStr">
        <is>
          <t>Dividend payout ratio</t>
        </is>
      </c>
      <c r="B38" s="24" t="n">
        <v>0.556</v>
      </c>
    </row>
    <row r="39">
      <c r="A39" s="15" t="inlineStr">
        <is>
          <t>COST OF CAPITAL</t>
        </is>
      </c>
      <c r="B39" s="15" t="n"/>
      <c r="C39" s="15" t="n"/>
      <c r="D39" s="15" t="n"/>
      <c r="E39" s="15" t="n"/>
      <c r="F39" s="15" t="n"/>
      <c r="G39" s="15" t="n"/>
      <c r="H39" s="15" t="n"/>
      <c r="I39" s="15" t="n"/>
    </row>
    <row r="40">
      <c r="A40" t="inlineStr">
        <is>
          <t>Risk-free rate (EGP 10-year government)</t>
        </is>
      </c>
      <c r="B40" s="25" t="n">
        <v>0.2295</v>
      </c>
    </row>
    <row r="41">
      <c r="A41" t="inlineStr">
        <is>
          <t>Sovereign default spread (netted out)</t>
        </is>
      </c>
      <c r="B41" s="25" t="n">
        <v>0.034</v>
      </c>
    </row>
    <row r="42">
      <c r="A42" t="inlineStr">
        <is>
          <t>Equity risk premium</t>
        </is>
      </c>
      <c r="B42" s="25" t="n">
        <v>0.0941</v>
      </c>
    </row>
    <row r="43">
      <c r="A43" t="inlineStr">
        <is>
          <t>Euribor (EBRD and NBE reference rate)</t>
        </is>
      </c>
      <c r="B43" s="25" t="n">
        <v>0.0249</v>
      </c>
    </row>
    <row r="44">
      <c r="A44" t="inlineStr">
        <is>
          <t>EGP marginal borrowing rate (corridor + 0.6%)</t>
        </is>
      </c>
      <c r="B44" s="25" t="n">
        <v>0.206</v>
      </c>
    </row>
    <row r="45">
      <c r="A45" t="inlineStr">
        <is>
          <t>Expected EGP depreciation against the euro</t>
        </is>
      </c>
      <c r="B45" s="25" t="n">
        <v>0.06</v>
      </c>
    </row>
    <row r="46">
      <c r="A46" t="inlineStr">
        <is>
          <t>Terminal cost of debt</t>
        </is>
      </c>
      <c r="B46" s="25" t="n">
        <v>0.15</v>
      </c>
    </row>
    <row r="47">
      <c r="A47" t="inlineStr">
        <is>
          <t>Terminal risk-free rate</t>
        </is>
      </c>
      <c r="B47" s="25" t="n">
        <v>0.125</v>
      </c>
    </row>
    <row r="48">
      <c r="A48" t="inlineStr">
        <is>
          <t>Terminal equity risk premium</t>
        </is>
      </c>
      <c r="B48" s="25" t="n">
        <v>0.07000000000000001</v>
      </c>
    </row>
    <row r="49">
      <c r="A49" t="inlineStr">
        <is>
          <t>Terminal debt weight</t>
        </is>
      </c>
      <c r="B49" s="24" t="n">
        <v>0.2</v>
      </c>
    </row>
    <row r="50">
      <c r="A50" t="inlineStr">
        <is>
          <t>Terminal growth rate</t>
        </is>
      </c>
      <c r="B50" s="24" t="n">
        <v>0.07000000000000001</v>
      </c>
    </row>
    <row r="51">
      <c r="A51" t="inlineStr">
        <is>
          <t>Elapsed fraction of FY2026 at the valuation date</t>
        </is>
      </c>
      <c r="B51" s="26" t="n">
        <v>0.5</v>
      </c>
    </row>
    <row r="52">
      <c r="A52" s="15" t="inlineStr">
        <is>
          <t>AUDITED INCOME STATEMENT — PASTED CLASS 1 (EGP mn)</t>
        </is>
      </c>
      <c r="B52" s="15" t="n"/>
      <c r="C52" s="15" t="n"/>
      <c r="D52" s="15" t="n"/>
      <c r="E52" s="15" t="n"/>
      <c r="F52" s="15" t="n"/>
      <c r="G52" s="15" t="n"/>
      <c r="H52" s="15" t="n"/>
      <c r="I52" s="15" t="n"/>
    </row>
    <row r="53">
      <c r="A53" t="inlineStr">
        <is>
          <t>FY2023 sales (net)</t>
        </is>
      </c>
      <c r="B53" s="29" t="n">
        <v>6042.831338</v>
      </c>
    </row>
    <row r="54">
      <c r="A54" t="inlineStr">
        <is>
          <t>FY2024 sales (net)</t>
        </is>
      </c>
      <c r="B54" s="29" t="n">
        <v>8729.782821000001</v>
      </c>
    </row>
    <row r="55">
      <c r="A55" t="inlineStr">
        <is>
          <t>FY2025 sales (net)</t>
        </is>
      </c>
      <c r="B55" s="29" t="n">
        <v>12447.320081</v>
      </c>
    </row>
    <row r="56">
      <c r="A56" t="inlineStr">
        <is>
          <t>FY2023 cost of sales</t>
        </is>
      </c>
      <c r="B56" s="29" t="n">
        <v>4759.815212</v>
      </c>
    </row>
    <row r="57">
      <c r="A57" t="inlineStr">
        <is>
          <t>FY2024 cost of sales</t>
        </is>
      </c>
      <c r="B57" s="29" t="n">
        <v>6642.972487</v>
      </c>
    </row>
    <row r="58">
      <c r="A58" t="inlineStr">
        <is>
          <t>FY2025 cost of sales</t>
        </is>
      </c>
      <c r="B58" s="29" t="n">
        <v>7389.054416</v>
      </c>
    </row>
    <row r="59">
      <c r="A59" t="inlineStr">
        <is>
          <t>FY2023 general and administrative expenses</t>
        </is>
      </c>
      <c r="B59" s="29" t="n">
        <v>183.940276</v>
      </c>
    </row>
    <row r="60">
      <c r="A60" t="inlineStr">
        <is>
          <t>FY2024 general and administrative expenses</t>
        </is>
      </c>
      <c r="B60" s="29" t="n">
        <v>267.798104</v>
      </c>
    </row>
    <row r="61">
      <c r="A61" t="inlineStr">
        <is>
          <t>FY2025 general and administrative expenses</t>
        </is>
      </c>
      <c r="B61" s="29" t="n">
        <v>384.332833</v>
      </c>
    </row>
    <row r="62">
      <c r="A62" t="inlineStr">
        <is>
          <t>FY2023 provisions charged</t>
        </is>
      </c>
      <c r="B62" s="29" t="n">
        <v>15.220195</v>
      </c>
    </row>
    <row r="63">
      <c r="A63" t="inlineStr">
        <is>
          <t>FY2024 provisions charged</t>
        </is>
      </c>
      <c r="B63" s="29" t="n">
        <v>56.05295</v>
      </c>
    </row>
    <row r="64">
      <c r="A64" t="inlineStr">
        <is>
          <t>FY2025 provisions charged</t>
        </is>
      </c>
      <c r="B64" s="29" t="n">
        <v>74.505707</v>
      </c>
    </row>
    <row r="65">
      <c r="A65" t="inlineStr">
        <is>
          <t>FY2023 expected credit losses</t>
        </is>
      </c>
      <c r="B65" s="29" t="n">
        <v>4.745753</v>
      </c>
    </row>
    <row r="66">
      <c r="A66" t="inlineStr">
        <is>
          <t>FY2024 expected credit losses</t>
        </is>
      </c>
      <c r="B66" s="29" t="n">
        <v>-1.106452</v>
      </c>
    </row>
    <row r="67">
      <c r="A67" t="inlineStr">
        <is>
          <t>FY2025 expected credit losses</t>
        </is>
      </c>
      <c r="B67" s="29" t="n">
        <v>3.603563</v>
      </c>
    </row>
    <row r="68">
      <c r="A68" t="inlineStr">
        <is>
          <t>FY2023 profit before tax</t>
        </is>
      </c>
      <c r="B68" s="29" t="n">
        <v>930.231432</v>
      </c>
    </row>
    <row r="69">
      <c r="A69" t="inlineStr">
        <is>
          <t>FY2024 profit before tax</t>
        </is>
      </c>
      <c r="B69" s="29" t="n">
        <v>1505.866118</v>
      </c>
    </row>
    <row r="70">
      <c r="A70" t="inlineStr">
        <is>
          <t>FY2025 profit before tax</t>
        </is>
      </c>
      <c r="B70" s="29" t="n">
        <v>4725.157878</v>
      </c>
    </row>
    <row r="71">
      <c r="A71" t="inlineStr">
        <is>
          <t>FY2023 income tax</t>
        </is>
      </c>
      <c r="B71" s="29" t="n">
        <v>232.732802</v>
      </c>
    </row>
    <row r="72">
      <c r="A72" t="inlineStr">
        <is>
          <t>FY2024 income tax</t>
        </is>
      </c>
      <c r="B72" s="29" t="n">
        <v>345.730996</v>
      </c>
    </row>
    <row r="73">
      <c r="A73" t="inlineStr">
        <is>
          <t>FY2025 income tax</t>
        </is>
      </c>
      <c r="B73" s="29" t="n">
        <v>1125.467657</v>
      </c>
    </row>
    <row r="74">
      <c r="A74" t="inlineStr">
        <is>
          <t>FY2023 attributable profit</t>
        </is>
      </c>
      <c r="B74" s="29" t="n">
        <v>697.488741</v>
      </c>
    </row>
    <row r="75">
      <c r="A75" t="inlineStr">
        <is>
          <t>FY2024 attributable profit</t>
        </is>
      </c>
      <c r="B75" s="29" t="n">
        <v>1160.129411</v>
      </c>
    </row>
    <row r="76">
      <c r="A76" t="inlineStr">
        <is>
          <t>FY2025 attributable profit</t>
        </is>
      </c>
      <c r="B76" s="29" t="n">
        <v>3599.585937</v>
      </c>
    </row>
    <row r="77">
      <c r="A77" t="inlineStr">
        <is>
          <t>FY2023 earnings per share</t>
        </is>
      </c>
      <c r="B77" s="21" t="n">
        <v>1.81</v>
      </c>
      <c r="C77" s="5" t="inlineStr">
        <is>
          <t>EGP</t>
        </is>
      </c>
    </row>
    <row r="78">
      <c r="A78" t="inlineStr">
        <is>
          <t>FY2024 earnings per share</t>
        </is>
      </c>
      <c r="B78" s="21" t="n">
        <v>3.02</v>
      </c>
      <c r="C78" s="5" t="inlineStr">
        <is>
          <t>EGP</t>
        </is>
      </c>
    </row>
    <row r="79">
      <c r="A79" t="inlineStr">
        <is>
          <t>FY2025 earnings per share</t>
        </is>
      </c>
      <c r="B79" s="21" t="n">
        <v>9.49</v>
      </c>
      <c r="C79" s="5" t="inlineStr">
        <is>
          <t>EGP</t>
        </is>
      </c>
    </row>
    <row r="80">
      <c r="A80" t="inlineStr">
        <is>
          <t>FY2023 depreciation and amortisation</t>
        </is>
      </c>
      <c r="B80" s="29" t="n">
        <v>250.424521</v>
      </c>
    </row>
    <row r="81">
      <c r="A81" t="inlineStr">
        <is>
          <t>FY2024 depreciation and amortisation</t>
        </is>
      </c>
      <c r="B81" s="29" t="n">
        <v>256.801527</v>
      </c>
    </row>
    <row r="82">
      <c r="A82" t="inlineStr">
        <is>
          <t>FY2025 depreciation and amortisation</t>
        </is>
      </c>
      <c r="B82" s="29" t="n">
        <v>289.771295</v>
      </c>
    </row>
    <row r="83">
      <c r="A83" t="inlineStr">
        <is>
          <t>FY2023 capital expenditure</t>
        </is>
      </c>
      <c r="B83" s="29" t="n">
        <v>58.543963</v>
      </c>
    </row>
    <row r="84">
      <c r="A84" t="inlineStr">
        <is>
          <t>FY2024 capital expenditure</t>
        </is>
      </c>
      <c r="B84" s="29" t="n">
        <v>912.0154</v>
      </c>
    </row>
    <row r="85">
      <c r="A85" t="inlineStr">
        <is>
          <t>FY2025 capital expenditure</t>
        </is>
      </c>
      <c r="B85" s="29" t="n">
        <v>796.47076</v>
      </c>
    </row>
    <row r="86">
      <c r="A86" t="inlineStr">
        <is>
          <t>FY2025 interest income</t>
        </is>
      </c>
      <c r="B86" s="29" t="n">
        <v>226.274781</v>
      </c>
    </row>
    <row r="87">
      <c r="A87" t="inlineStr">
        <is>
          <t>FY2025 other income</t>
        </is>
      </c>
      <c r="B87" s="29" t="n">
        <v>53.339508</v>
      </c>
    </row>
    <row r="88">
      <c r="A88" t="inlineStr">
        <is>
          <t>FY2025 finance costs</t>
        </is>
      </c>
      <c r="B88" s="29" t="n">
        <v>49.841733</v>
      </c>
    </row>
    <row r="89">
      <c r="A89" t="inlineStr">
        <is>
          <t>FY2025 foreign exchange differences</t>
        </is>
      </c>
      <c r="B89" s="29" t="n">
        <v>-101.57824</v>
      </c>
    </row>
    <row r="90">
      <c r="A90" s="15" t="inlineStr">
        <is>
          <t>AUDITED REVENUE AND COST NOTES (EGP mn)</t>
        </is>
      </c>
      <c r="B90" s="15" t="n"/>
      <c r="C90" s="15" t="n"/>
      <c r="D90" s="15" t="n"/>
      <c r="E90" s="15" t="n"/>
      <c r="F90" s="15" t="n"/>
      <c r="G90" s="15" t="n"/>
      <c r="H90" s="15" t="n"/>
      <c r="I90" s="15" t="n"/>
    </row>
    <row r="91">
      <c r="A91" t="inlineStr">
        <is>
          <t>FY2025 local sales of goods</t>
        </is>
      </c>
      <c r="B91" s="29" t="n">
        <v>8350.454610000001</v>
      </c>
    </row>
    <row r="92">
      <c r="A92" t="inlineStr">
        <is>
          <t>FY2025 local services</t>
        </is>
      </c>
      <c r="B92" s="29" t="n">
        <v>281.863546</v>
      </c>
    </row>
    <row r="93">
      <c r="A93" t="inlineStr">
        <is>
          <t>FY2025 export sales of goods</t>
        </is>
      </c>
      <c r="B93" s="29" t="n">
        <v>3356.422381</v>
      </c>
    </row>
    <row r="94">
      <c r="A94" t="inlineStr">
        <is>
          <t>FY2025 export services</t>
        </is>
      </c>
      <c r="B94" s="29" t="n">
        <v>458.579544</v>
      </c>
    </row>
    <row r="95">
      <c r="A95" t="inlineStr">
        <is>
          <t>FY2024 total local sales</t>
        </is>
      </c>
      <c r="B95" s="29" t="n">
        <v>4883.304477</v>
      </c>
    </row>
    <row r="96">
      <c r="A96" t="inlineStr">
        <is>
          <t>FY2024 total export sales</t>
        </is>
      </c>
      <c r="B96" s="29" t="n">
        <v>3846.478344</v>
      </c>
    </row>
    <row r="97">
      <c r="A97" t="inlineStr">
        <is>
          <t>FY2025 cost of sales — materials and fuel</t>
        </is>
      </c>
      <c r="B97" s="29" t="n">
        <v>5698.184715</v>
      </c>
    </row>
    <row r="98">
      <c r="A98" t="inlineStr">
        <is>
          <t>FY2025 cost of sales — transportation</t>
        </is>
      </c>
      <c r="B98" s="29" t="n">
        <v>764.279332</v>
      </c>
    </row>
    <row r="99">
      <c r="A99" t="inlineStr">
        <is>
          <t>FY2025 cost of sales — overheads</t>
        </is>
      </c>
      <c r="B99" s="29" t="n">
        <v>641.143208</v>
      </c>
    </row>
    <row r="100">
      <c r="A100" t="inlineStr">
        <is>
          <t>FY2025 administrative depreciation</t>
        </is>
      </c>
      <c r="B100" s="29" t="n">
        <v>4.324134</v>
      </c>
    </row>
    <row r="101">
      <c r="A101" s="15" t="inlineStr">
        <is>
          <t>AUDITED BALANCE SHEET — PASTED CLASS 1 (EGP mn)</t>
        </is>
      </c>
      <c r="B101" s="15" t="n"/>
      <c r="C101" s="15" t="n"/>
      <c r="D101" s="15" t="n"/>
      <c r="E101" s="15" t="n"/>
      <c r="F101" s="15" t="n"/>
      <c r="G101" s="15" t="n"/>
      <c r="H101" s="15" t="n"/>
      <c r="I101" s="15" t="n"/>
    </row>
    <row r="102">
      <c r="A102" t="inlineStr">
        <is>
          <t>Total assets FY2025</t>
        </is>
      </c>
      <c r="B102" s="29" t="n">
        <v>8783.721849</v>
      </c>
    </row>
    <row r="103">
      <c r="A103" t="inlineStr">
        <is>
          <t>Total assets FY2024</t>
        </is>
      </c>
      <c r="B103" s="29" t="n">
        <v>5848.616103</v>
      </c>
    </row>
    <row r="104">
      <c r="A104" t="inlineStr">
        <is>
          <t>Total assets FY2023</t>
        </is>
      </c>
      <c r="B104" s="29" t="n">
        <v>3887.527427</v>
      </c>
    </row>
    <row r="105">
      <c r="A105" t="inlineStr">
        <is>
          <t>Total liabilities FY2025</t>
        </is>
      </c>
      <c r="B105" s="29" t="n">
        <v>4140.989609</v>
      </c>
    </row>
    <row r="106">
      <c r="A106" t="inlineStr">
        <is>
          <t>Property, plant and equipment FY2025</t>
        </is>
      </c>
      <c r="B106" s="29" t="n">
        <v>2522.323523</v>
      </c>
    </row>
    <row r="107">
      <c r="A107" t="inlineStr">
        <is>
          <t>Assets under construction FY2025</t>
        </is>
      </c>
      <c r="B107" s="29" t="n">
        <v>391.543753</v>
      </c>
    </row>
    <row r="108">
      <c r="A108" t="inlineStr">
        <is>
          <t>Intangible assets FY2025</t>
        </is>
      </c>
      <c r="B108" s="29" t="n">
        <v>106.799617</v>
      </c>
    </row>
    <row r="109">
      <c r="A109" t="inlineStr">
        <is>
          <t>Inventories FY2025</t>
        </is>
      </c>
      <c r="B109" s="29" t="n">
        <v>1053.646218</v>
      </c>
    </row>
    <row r="110">
      <c r="A110" t="inlineStr">
        <is>
          <t>Trade receivables FY2025</t>
        </is>
      </c>
      <c r="B110" s="29" t="n">
        <v>244.416417</v>
      </c>
    </row>
    <row r="111">
      <c r="A111" t="inlineStr">
        <is>
          <t>Debtors and other debit balances FY2025</t>
        </is>
      </c>
      <c r="B111" s="29" t="n">
        <v>1004.779062</v>
      </c>
    </row>
    <row r="112">
      <c r="A112" t="inlineStr">
        <is>
          <t>Cash and bank balances FY2025</t>
        </is>
      </c>
      <c r="B112" s="29" t="n">
        <v>3459.391229</v>
      </c>
    </row>
    <row r="113">
      <c r="A113" t="inlineStr">
        <is>
          <t>Cash and bank balances FY2024</t>
        </is>
      </c>
      <c r="B113" s="29" t="n">
        <v>1687.062873</v>
      </c>
    </row>
    <row r="114">
      <c r="A114" t="inlineStr">
        <is>
          <t>Cash and bank balances FY2023</t>
        </is>
      </c>
      <c r="B114" s="29" t="n">
        <v>561.09968</v>
      </c>
    </row>
    <row r="115">
      <c r="A115" t="inlineStr">
        <is>
          <t>Equity attributable to owners FY2025</t>
        </is>
      </c>
      <c r="B115" s="29" t="n">
        <v>4642.574235</v>
      </c>
    </row>
    <row r="116">
      <c r="A116" t="inlineStr">
        <is>
          <t>Equity attributable to owners FY2024</t>
        </is>
      </c>
      <c r="B116" s="29" t="n">
        <v>2303.472299</v>
      </c>
    </row>
    <row r="117">
      <c r="A117" t="inlineStr">
        <is>
          <t>Equity attributable to owners FY2023</t>
        </is>
      </c>
      <c r="B117" s="29" t="n">
        <v>1754.221659</v>
      </c>
    </row>
    <row r="118">
      <c r="A118" t="inlineStr">
        <is>
          <t>Non-controlling interests FY2025</t>
        </is>
      </c>
      <c r="B118" s="23" t="n">
        <v>0.158005</v>
      </c>
    </row>
    <row r="119">
      <c r="A119" s="15" t="inlineStr">
        <is>
          <t>AUDITED DEBT NOTE 25 (EGP mn)</t>
        </is>
      </c>
      <c r="B119" s="15" t="n"/>
      <c r="C119" s="15" t="n"/>
      <c r="D119" s="15" t="n"/>
      <c r="E119" s="15" t="n"/>
      <c r="F119" s="15" t="n"/>
      <c r="G119" s="15" t="n"/>
      <c r="H119" s="15" t="n"/>
      <c r="I119" s="15" t="n"/>
    </row>
    <row r="120">
      <c r="A120" t="inlineStr">
        <is>
          <t>CIB credit facilities — EGP</t>
        </is>
      </c>
      <c r="B120" s="29" t="n">
        <v>99.916937</v>
      </c>
    </row>
    <row r="121">
      <c r="A121" t="inlineStr">
        <is>
          <t>National Bank of Egypt facility — EUR</t>
        </is>
      </c>
      <c r="B121" s="29" t="n">
        <v>145.741484</v>
      </c>
    </row>
    <row r="122">
      <c r="A122" t="inlineStr">
        <is>
          <t>EBRD facility — EUR</t>
        </is>
      </c>
      <c r="B122" s="29" t="n">
        <v>888.274195</v>
      </c>
    </row>
    <row r="123">
      <c r="A123" t="inlineStr">
        <is>
          <t>Lease liabilities</t>
        </is>
      </c>
      <c r="B123" s="29" t="n">
        <v>1.176042</v>
      </c>
    </row>
    <row r="124">
      <c r="A124" t="inlineStr">
        <is>
          <t>Total interest-bearing debt FY2024</t>
        </is>
      </c>
      <c r="B124" s="29" t="n">
        <v>760.917684</v>
      </c>
    </row>
    <row r="125">
      <c r="A125" t="inlineStr">
        <is>
          <t>Total interest-bearing debt FY2023</t>
        </is>
      </c>
      <c r="B125" s="29" t="n">
        <v>90.07427300000001</v>
      </c>
    </row>
    <row r="126">
      <c r="A126" t="inlineStr">
        <is>
          <t>FY2025 loan interest expense</t>
        </is>
      </c>
      <c r="B126" s="29" t="n">
        <v>24.61313</v>
      </c>
    </row>
    <row r="127">
      <c r="A127" t="inlineStr">
        <is>
          <t>FY2025 credit-facility interest expense</t>
        </is>
      </c>
      <c r="B127" s="29" t="n">
        <v>23.00737</v>
      </c>
    </row>
    <row r="128">
      <c r="A128" t="inlineStr">
        <is>
          <t>FY2024 loan interest expense</t>
        </is>
      </c>
      <c r="B128" s="29" t="n">
        <v>2.754107</v>
      </c>
    </row>
    <row r="129">
      <c r="A129" t="inlineStr">
        <is>
          <t>FY2024 credit-facility interest expense</t>
        </is>
      </c>
      <c r="B129" s="29" t="n">
        <v>85.95302599999999</v>
      </c>
    </row>
    <row r="130">
      <c r="A130" s="15" t="inlineStr">
        <is>
          <t>DIVIDENDS AND Q1-2026 (EGP mn)</t>
        </is>
      </c>
      <c r="B130" s="15" t="n"/>
      <c r="C130" s="15" t="n"/>
      <c r="D130" s="15" t="n"/>
      <c r="E130" s="15" t="n"/>
      <c r="F130" s="15" t="n"/>
      <c r="G130" s="15" t="n"/>
      <c r="H130" s="15" t="n"/>
      <c r="I130" s="15" t="n"/>
    </row>
    <row r="131">
      <c r="A131" t="inlineStr">
        <is>
          <t>FY2025 dividend declared</t>
        </is>
      </c>
      <c r="B131" s="29" t="n">
        <v>2001.79216</v>
      </c>
    </row>
    <row r="132">
      <c r="A132" t="inlineStr">
        <is>
          <t>FY2024 dividend approved and paid</t>
        </is>
      </c>
      <c r="B132" s="29" t="n">
        <v>1102.110289</v>
      </c>
    </row>
    <row r="133">
      <c r="A133" t="inlineStr">
        <is>
          <t>Q1-2026 sales</t>
        </is>
      </c>
      <c r="B133" s="29" t="n">
        <v>2995.95935</v>
      </c>
    </row>
    <row r="134">
      <c r="A134" t="inlineStr">
        <is>
          <t>Q1-2025 sales</t>
        </is>
      </c>
      <c r="B134" s="29" t="n">
        <v>2554.448091</v>
      </c>
    </row>
    <row r="135">
      <c r="A135" t="inlineStr">
        <is>
          <t>Q1-2026 gross profit</t>
        </is>
      </c>
      <c r="B135" s="29" t="n">
        <v>1286.145881</v>
      </c>
    </row>
    <row r="136">
      <c r="A136" t="inlineStr">
        <is>
          <t>Q1-2026 attributable profit</t>
        </is>
      </c>
      <c r="B136" s="29" t="n">
        <v>943.068309</v>
      </c>
    </row>
    <row r="137">
      <c r="A137" t="inlineStr">
        <is>
          <t>Q1-2026 cash and bank balances</t>
        </is>
      </c>
      <c r="B137" s="29" t="n">
        <v>4379.627379</v>
      </c>
    </row>
    <row r="138">
      <c r="A138" t="inlineStr">
        <is>
          <t>Q1-2026 interest-bearing debt</t>
        </is>
      </c>
      <c r="B138" s="29" t="n">
        <v>1260.509089</v>
      </c>
    </row>
    <row r="139">
      <c r="A139" t="inlineStr">
        <is>
          <t>Cash and bank balances, reviewed 30 June 2026</t>
        </is>
      </c>
      <c r="B139" s="29" t="n">
        <v>1970.50114</v>
      </c>
    </row>
    <row r="140">
      <c r="A140" t="inlineStr">
        <is>
          <t>Interest-bearing debt, reviewed 30 June 2026</t>
        </is>
      </c>
      <c r="B140" s="29" t="n">
        <v>1283.288394</v>
      </c>
    </row>
    <row r="141">
      <c r="A141" t="inlineStr">
        <is>
          <t>Non-controlling interests, reviewed 30 June 2026</t>
        </is>
      </c>
      <c r="B141" s="23" t="n">
        <v>0.216054</v>
      </c>
    </row>
    <row r="142">
      <c r="A142" t="inlineStr">
        <is>
          <t>FY2026+ local price calibration on the H1-2026 reviewed half</t>
        </is>
      </c>
      <c r="B142" s="23" t="n">
        <v>1.078760449086537</v>
      </c>
    </row>
    <row r="143">
      <c r="A143" t="inlineStr">
        <is>
          <t>FY2026+ export price calibration on the H1-2026 reviewed half</t>
        </is>
      </c>
      <c r="B143" s="23" t="n">
        <v>0.8711327338803936</v>
      </c>
    </row>
    <row r="144">
      <c r="A144" t="inlineStr">
        <is>
          <t>FY2026+ cash-cost calibration on the SAME half</t>
        </is>
      </c>
      <c r="B144" s="23" t="n">
        <v>0.9763641792055924</v>
      </c>
    </row>
    <row r="145">
      <c r="A145" t="inlineStr">
        <is>
          <t>Services as a share of goods revenue, recalibrated on the half</t>
        </is>
      </c>
      <c r="B145" s="23" t="n">
        <v>0.0442178203915956</v>
      </c>
    </row>
    <row r="146">
      <c r="A146" t="inlineStr">
        <is>
          <t>Depreciation correction from this name's own fundamental walk-forward</t>
        </is>
      </c>
      <c r="B146" s="23" t="n">
        <v>1.0298</v>
      </c>
    </row>
    <row r="147">
      <c r="A147" t="inlineStr">
        <is>
          <t>Export subsidy as a share of export revenue, FY2025 DISCLOSED rate</t>
        </is>
      </c>
      <c r="B147" s="23" t="n">
        <v>0.008556374712707386</v>
      </c>
    </row>
    <row r="148">
      <c r="A148" t="inlineStr">
        <is>
          <t>Other income excluding the export subsidy, FY2025</t>
        </is>
      </c>
      <c r="B148" s="26" t="n">
        <v>20.696922</v>
      </c>
    </row>
    <row r="149">
      <c r="A149" t="inlineStr">
        <is>
          <t>Q1-2026 dividends payable</t>
        </is>
      </c>
      <c r="B149" s="29" t="n">
        <v>2001.79216</v>
      </c>
    </row>
    <row r="150">
      <c r="A150" t="inlineStr">
        <is>
          <t>Q1-2026 finance costs</t>
        </is>
      </c>
      <c r="B150" s="29" t="n">
        <v>11.168843</v>
      </c>
    </row>
    <row r="151">
      <c r="A151" s="15" t="inlineStr">
        <is>
          <t>LENS INPUTS</t>
        </is>
      </c>
      <c r="B151" s="15" t="n"/>
      <c r="C151" s="15" t="n"/>
      <c r="D151" s="15" t="n"/>
      <c r="E151" s="15" t="n"/>
      <c r="F151" s="15" t="n"/>
      <c r="G151" s="15" t="n"/>
      <c r="H151" s="15" t="n"/>
      <c r="I151" s="15" t="n"/>
    </row>
    <row r="152">
      <c r="A152" t="inlineStr">
        <is>
          <t>Replacement cost per annual tonne</t>
        </is>
      </c>
      <c r="B152" s="29" t="n">
        <v>130</v>
      </c>
      <c r="C152" s="5" t="inlineStr">
        <is>
          <t>USD/t</t>
        </is>
      </c>
    </row>
    <row r="153">
      <c r="A153" t="inlineStr">
        <is>
          <t>Justified enterprise value per annual tonne</t>
        </is>
      </c>
      <c r="B153" s="29" t="n">
        <v>95</v>
      </c>
      <c r="C153" s="5" t="inlineStr">
        <is>
          <t>USD/t</t>
        </is>
      </c>
    </row>
    <row r="154">
      <c r="A154" t="inlineStr">
        <is>
          <t>Justified EV/EBITDA</t>
        </is>
      </c>
      <c r="B154" s="30" t="n">
        <v>4.5</v>
      </c>
    </row>
    <row r="155">
      <c r="A155" t="inlineStr">
        <is>
          <t>Justified price/earnings</t>
        </is>
      </c>
      <c r="B155" s="30" t="n">
        <v>7</v>
      </c>
    </row>
    <row r="156">
      <c r="A156" t="inlineStr">
        <is>
          <t>Mid-cycle EBITDA margin</t>
        </is>
      </c>
      <c r="B156" s="24" t="n">
        <v>0.312</v>
      </c>
    </row>
    <row r="157">
      <c r="A157" t="inlineStr">
        <is>
          <t>Normalised revenue haircut</t>
        </is>
      </c>
      <c r="B157" s="24" t="n">
        <v>0.9399999999999999</v>
      </c>
    </row>
    <row r="158">
      <c r="A158" s="15" t="inlineStr">
        <is>
          <t>SECTOR AND PEERS</t>
        </is>
      </c>
      <c r="B158" s="15" t="n"/>
      <c r="C158" s="15" t="n"/>
      <c r="D158" s="15" t="n"/>
      <c r="E158" s="15" t="n"/>
      <c r="F158" s="15" t="n"/>
      <c r="G158" s="15" t="n"/>
      <c r="H158" s="15" t="n"/>
      <c r="I158" s="15" t="n"/>
    </row>
    <row r="159">
      <c r="A159" t="inlineStr">
        <is>
          <t>Egyptian nameplate capacity</t>
        </is>
      </c>
      <c r="B159" s="27" t="n">
        <v>76</v>
      </c>
      <c r="C159" s="5" t="inlineStr">
        <is>
          <t>Mt</t>
        </is>
      </c>
    </row>
    <row r="160">
      <c r="A160" t="inlineStr">
        <is>
          <t>Egyptian production 2025</t>
        </is>
      </c>
      <c r="B160" s="27" t="n">
        <v>72.59999999999999</v>
      </c>
      <c r="C160" s="5" t="inlineStr">
        <is>
          <t>Mt</t>
        </is>
      </c>
    </row>
    <row r="161">
      <c r="A161" t="inlineStr">
        <is>
          <t>Egyptian consumption 2025</t>
        </is>
      </c>
      <c r="B161" s="27" t="n">
        <v>53.9</v>
      </c>
      <c r="C161" s="5" t="inlineStr">
        <is>
          <t>Mt</t>
        </is>
      </c>
    </row>
    <row r="162">
      <c r="A162" t="inlineStr">
        <is>
          <t>Egyptian exports 2025</t>
        </is>
      </c>
      <c r="B162" s="27" t="n">
        <v>18.6</v>
      </c>
      <c r="C162" s="5" t="inlineStr">
        <is>
          <t>Mt</t>
        </is>
      </c>
    </row>
    <row r="163">
      <c r="A163" t="inlineStr">
        <is>
          <t>Dormant capacity under revival</t>
        </is>
      </c>
      <c r="B163" s="27" t="n">
        <v>12.6</v>
      </c>
      <c r="C163" s="5" t="inlineStr">
        <is>
          <t>Mt</t>
        </is>
      </c>
    </row>
    <row r="164">
      <c r="A164" t="inlineStr">
        <is>
          <t>Peer — Sinai Cement revenue</t>
        </is>
      </c>
      <c r="B164" s="29" t="n">
        <v>9090</v>
      </c>
    </row>
    <row r="165">
      <c r="A165" t="inlineStr">
        <is>
          <t>Peer — Sinai Cement profit</t>
        </is>
      </c>
      <c r="B165" s="29" t="n">
        <v>2290</v>
      </c>
    </row>
    <row r="166">
      <c r="A166" t="inlineStr">
        <is>
          <t>Peer — Sinai Cement market capitalisation</t>
        </is>
      </c>
      <c r="B166" s="29" t="n">
        <v>20604.19</v>
      </c>
    </row>
    <row r="167">
      <c r="A167" t="inlineStr">
        <is>
          <t>Peer — Misr Beni Suef revenue</t>
        </is>
      </c>
      <c r="B167" s="29" t="n">
        <v>5700</v>
      </c>
    </row>
    <row r="168">
      <c r="A168" t="inlineStr">
        <is>
          <t>Peer — Misr Beni Suef profit</t>
        </is>
      </c>
      <c r="B168" s="29" t="n">
        <v>3946</v>
      </c>
    </row>
    <row r="169">
      <c r="A169" t="inlineStr">
        <is>
          <t>Peer — Misr Beni Suef market capitalisation</t>
        </is>
      </c>
      <c r="B169" s="29" t="n">
        <v>13730</v>
      </c>
    </row>
    <row r="171">
      <c r="A171" s="5" t="inlineStr">
        <is>
          <t>Every cell on this sheet is BLUE — an input. Nothing here is computed from anything else here.</t>
        </is>
      </c>
    </row>
    <row r="172">
      <c r="A172" s="5" t="inlineStr">
        <is>
          <t>Everything on every other sheet that can be derived from these is a formula.</t>
        </is>
      </c>
    </row>
  </sheetData>
  <mergeCells count="2">
    <mergeCell ref="A172:J172"/>
    <mergeCell ref="A171:J17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4">
        <f>DCF!B31</f>
        <v/>
      </c>
      <c r="C5" s="13">
        <f>B5/DCF!$B$43</f>
        <v/>
      </c>
    </row>
    <row r="6">
      <c r="A6" t="inlineStr">
        <is>
          <t>Present value of terminal value</t>
        </is>
      </c>
      <c r="B6" s="14">
        <f>DCF!B32</f>
        <v/>
      </c>
      <c r="C6" s="13">
        <f>B6/DCF!$B$43</f>
        <v/>
      </c>
    </row>
    <row r="7">
      <c r="A7" t="inlineStr">
        <is>
          <t>Enterprise value</t>
        </is>
      </c>
      <c r="B7" s="31">
        <f>DCF!B33</f>
        <v/>
      </c>
      <c r="C7" s="11">
        <f>B7/DCF!$B$43</f>
        <v/>
      </c>
    </row>
    <row r="8">
      <c r="A8" t="inlineStr">
        <is>
          <t>Plus net cash at the valuation date</t>
        </is>
      </c>
      <c r="B8" s="14">
        <f>DCF!B40</f>
        <v/>
      </c>
      <c r="C8" s="13">
        <f>B8/DCF!$B$43</f>
        <v/>
      </c>
    </row>
    <row r="9">
      <c r="A9" t="inlineStr">
        <is>
          <t>Less non-controlling interests</t>
        </is>
      </c>
      <c r="B9" s="14">
        <f>DCF!B41</f>
        <v/>
      </c>
      <c r="C9" s="13">
        <f>B9/DCF!$B$43</f>
        <v/>
      </c>
    </row>
    <row r="10">
      <c r="A10" t="inlineStr">
        <is>
          <t>Equity value</t>
        </is>
      </c>
      <c r="B10" s="31">
        <f>DCF!B42</f>
        <v/>
      </c>
      <c r="C10" s="11">
        <f>B10/DCF!$B$43</f>
        <v/>
      </c>
    </row>
    <row r="12">
      <c r="A12" t="inlineStr">
        <is>
          <t>TERMINAL VALUE AS % OF ENTERPRISE VALUE</t>
        </is>
      </c>
      <c r="B12" s="9">
        <f>DCF!B34</f>
        <v/>
      </c>
    </row>
    <row r="13">
      <c r="A13" t="inlineStr">
        <is>
          <t>Memo: spot price</t>
        </is>
      </c>
      <c r="C13" s="10">
        <f>Assumptions!$B$5</f>
        <v/>
      </c>
    </row>
    <row r="14">
      <c r="A14" t="inlineStr">
        <is>
          <t>Fair value less spot</t>
        </is>
      </c>
      <c r="C14" s="13">
        <f>C10-C13</f>
        <v/>
      </c>
    </row>
    <row r="15">
      <c r="A15" t="inlineStr">
        <is>
          <t>Upside / (downside) to the cash-flow lens</t>
        </is>
      </c>
      <c r="C15" s="8">
        <f>C10/C13-1</f>
        <v/>
      </c>
    </row>
    <row r="16">
      <c r="A16" t="inlineStr">
        <is>
          <t>Memo: enterprise value per annual tonne of capacity (USD)</t>
        </is>
      </c>
      <c r="C16" s="19">
        <f>B7/Assumptions!$B$13/Assumptions!$B$11</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5" t="inlineStr">
        <is>
          <t>FY2025 — THE PLANT IN TONNES (drivers in green, everything else derived)</t>
        </is>
      </c>
      <c r="B4" s="15" t="n"/>
      <c r="C4" s="15" t="n"/>
      <c r="D4" s="15" t="n"/>
      <c r="E4" s="15" t="n"/>
      <c r="F4" s="15" t="n"/>
      <c r="G4" s="15" t="n"/>
      <c r="H4" s="15" t="n"/>
      <c r="I4" s="15" t="n"/>
      <c r="J4" s="15" t="n"/>
    </row>
    <row r="5">
      <c r="A5" t="inlineStr">
        <is>
          <t>Kiln clinker capacity (Mt, audited note 1)</t>
        </is>
      </c>
      <c r="B5" s="32">
        <f>Assumptions!$B$14</f>
        <v/>
      </c>
    </row>
    <row r="6">
      <c r="A6" t="inlineStr">
        <is>
          <t>Kiln utilisation</t>
        </is>
      </c>
      <c r="B6" s="22">
        <f>Assumptions!$B$22</f>
        <v/>
      </c>
    </row>
    <row r="7">
      <c r="A7" t="inlineStr">
        <is>
          <t>Clinker produced (Mt)</t>
        </is>
      </c>
      <c r="B7" s="33">
        <f>B5*B6</f>
        <v/>
      </c>
    </row>
    <row r="8">
      <c r="A8" t="inlineStr">
        <is>
          <t>Share sold as clinker</t>
        </is>
      </c>
      <c r="B8" s="22">
        <f>Assumptions!$B$23</f>
        <v/>
      </c>
    </row>
    <row r="9">
      <c r="A9" t="inlineStr">
        <is>
          <t>Clinker EXPORTED (Mt)</t>
        </is>
      </c>
      <c r="B9" s="33">
        <f>B7*B8</f>
        <v/>
      </c>
    </row>
    <row r="10">
      <c r="A10" t="inlineStr">
        <is>
          <t>Clinker ground into cement (Mt)</t>
        </is>
      </c>
      <c r="B10" s="33">
        <f>B7-B9</f>
        <v/>
      </c>
    </row>
    <row r="11">
      <c r="A11" t="inlineStr">
        <is>
          <t>Clinker factor (t clinker / t cement)</t>
        </is>
      </c>
      <c r="B11" s="34">
        <f>Assumptions!$B$15</f>
        <v/>
      </c>
    </row>
    <row r="12">
      <c r="A12" t="inlineStr">
        <is>
          <t>Cement produced (Mt)</t>
        </is>
      </c>
      <c r="B12" s="35">
        <f>B10/B11</f>
        <v/>
      </c>
    </row>
    <row r="13">
      <c r="A13" t="inlineStr">
        <is>
          <t>Cement mill capacity (Mt, audited note 1)</t>
        </is>
      </c>
      <c r="B13" s="32">
        <f>Assumptions!$B$13</f>
        <v/>
      </c>
    </row>
    <row r="14">
      <c r="A14" t="inlineStr">
        <is>
          <t>Mill utilisation</t>
        </is>
      </c>
      <c r="B14" s="8">
        <f>B12/B13</f>
        <v/>
      </c>
    </row>
    <row r="15">
      <c r="A15" t="inlineStr">
        <is>
          <t>Cement exported, share of cement sold</t>
        </is>
      </c>
      <c r="B15" s="22">
        <f>Assumptions!$B$24</f>
        <v/>
      </c>
    </row>
    <row r="16">
      <c r="A16" t="inlineStr">
        <is>
          <t>Cement EXPORTED (Mt)</t>
        </is>
      </c>
      <c r="B16" s="33">
        <f>B29*B15</f>
        <v/>
      </c>
    </row>
    <row r="17">
      <c r="A17" t="inlineStr">
        <is>
          <t>Cement sold LOCALLY (Mt)</t>
        </is>
      </c>
      <c r="B17" s="33">
        <f>B29-B16</f>
        <v/>
      </c>
    </row>
    <row r="18">
      <c r="A18" t="inlineStr">
        <is>
          <t>TOTAL DESPATCHES FY2025 (Mt)</t>
        </is>
      </c>
      <c r="B18" s="35">
        <f>B29+B9</f>
        <v/>
      </c>
    </row>
    <row r="19">
      <c r="A19" t="inlineStr">
        <is>
          <t>Plus draw from finished-goods stock (Mt)</t>
        </is>
      </c>
      <c r="B19" s="34">
        <f>Assumptions!$B$25</f>
        <v/>
      </c>
    </row>
    <row r="20">
      <c r="A20" s="15" t="inlineStr">
        <is>
          <t>FY2025 PRICES — DERIVED FROM THE AUDITED REVENUE NOTE, AND TESTABLE</t>
        </is>
      </c>
      <c r="B20" s="15" t="n"/>
      <c r="C20" s="15" t="n"/>
      <c r="D20" s="15" t="n"/>
      <c r="E20" s="15" t="n"/>
      <c r="F20" s="15" t="n"/>
      <c r="G20" s="15" t="n"/>
      <c r="H20" s="15" t="n"/>
      <c r="I20" s="15" t="n"/>
      <c r="J20" s="15" t="n"/>
    </row>
    <row r="21">
      <c r="A21" t="inlineStr">
        <is>
          <t>Local sales of goods (audited note 4)</t>
        </is>
      </c>
      <c r="B21" s="14">
        <f>Assumptions!$B$91</f>
        <v/>
      </c>
    </row>
    <row r="22">
      <c r="A22" t="inlineStr">
        <is>
          <t>LOCAL CEMENT PRICE (EGP/t) — DERIVED</t>
        </is>
      </c>
      <c r="B22" s="36">
        <f>B21/B17</f>
        <v/>
      </c>
    </row>
    <row r="23">
      <c r="A23" t="inlineStr">
        <is>
          <t>Export sales of goods (audited note 4)</t>
        </is>
      </c>
      <c r="B23" s="14">
        <f>Assumptions!$B$93</f>
        <v/>
      </c>
    </row>
    <row r="24">
      <c r="A24" t="inlineStr">
        <is>
          <t>Clinker price as a fraction of cement</t>
        </is>
      </c>
      <c r="B24" s="33">
        <f>Assumptions!$B$17</f>
        <v/>
      </c>
    </row>
    <row r="25">
      <c r="A25" t="inlineStr">
        <is>
          <t>Export cement-equivalent tonnes</t>
        </is>
      </c>
      <c r="B25" s="33">
        <f>B16+B9*B24</f>
        <v/>
      </c>
    </row>
    <row r="26">
      <c r="A26" t="inlineStr">
        <is>
          <t>EXPORT CEMENT PRICE (USD/t) — DERIVED</t>
        </is>
      </c>
      <c r="B26" s="37">
        <f>B23/B25/Assumptions!$B$18</f>
        <v/>
      </c>
    </row>
    <row r="27">
      <c r="A27" t="inlineStr">
        <is>
          <t>EXPORT CLINKER PRICE (USD/t) — DERIVED</t>
        </is>
      </c>
      <c r="B27" s="37">
        <f>B26*B24</f>
        <v/>
      </c>
    </row>
    <row r="28">
      <c r="A28" t="inlineStr">
        <is>
          <t>Cement exports as a share of cement PRODUCED — the 30% statutory cap bites here</t>
        </is>
      </c>
      <c r="B28" s="8">
        <f>B16/B12</f>
        <v/>
      </c>
    </row>
    <row r="29">
      <c r="A29" t="inlineStr">
        <is>
          <t>Cement SOLD (Mt)</t>
        </is>
      </c>
      <c r="B29" s="33">
        <f>B12+B19</f>
        <v/>
      </c>
    </row>
    <row r="30">
      <c r="A30" s="15" t="inlineStr">
        <is>
          <t>FY2025 CASH COST — DISCLOSED, AND ALLOCATED TO ITS OWN DRIVER</t>
        </is>
      </c>
      <c r="B30" s="15" t="n"/>
      <c r="C30" s="15" t="n"/>
      <c r="D30" s="15" t="n"/>
      <c r="E30" s="15" t="n"/>
      <c r="F30" s="15" t="n"/>
      <c r="G30" s="15" t="n"/>
      <c r="H30" s="15" t="n"/>
      <c r="I30" s="15" t="n"/>
      <c r="J30" s="15" t="n"/>
    </row>
    <row r="31">
      <c r="A31" t="inlineStr">
        <is>
          <t>Materials and fuel (note 5)</t>
        </is>
      </c>
      <c r="B31" s="14">
        <f>Assumptions!$B$97</f>
        <v/>
      </c>
    </row>
    <row r="32">
      <c r="A32" t="inlineStr">
        <is>
          <t>Transportation (note 5)</t>
        </is>
      </c>
      <c r="B32" s="14">
        <f>Assumptions!$B$98</f>
        <v/>
      </c>
    </row>
    <row r="33">
      <c r="A33" t="inlineStr">
        <is>
          <t>Overheads (note 5) plus cash administration (note 6)</t>
        </is>
      </c>
      <c r="B33" s="17">
        <f>Assumptions!$B$99+Assumptions!$B$61-Assumptions!$B$100</f>
        <v/>
      </c>
    </row>
    <row r="34">
      <c r="A34" t="inlineStr">
        <is>
          <t>Total cash cost (EGP mn)</t>
        </is>
      </c>
      <c r="B34" s="17">
        <f>SUM(B31:B33)</f>
        <v/>
      </c>
    </row>
    <row r="35">
      <c r="A35" t="inlineStr">
        <is>
          <t>Materials and fuel per tonne of CLINKER — the kiln burns it</t>
        </is>
      </c>
      <c r="B35" s="17">
        <f>B31/B7</f>
        <v/>
      </c>
    </row>
    <row r="36">
      <c r="A36" t="inlineStr">
        <is>
          <t>Transportation per tonne DESPATCHED</t>
        </is>
      </c>
      <c r="B36" s="17">
        <f>B32/B18</f>
        <v/>
      </c>
    </row>
    <row r="37">
      <c r="A37" t="inlineStr">
        <is>
          <t>Overheads and administration per tonne DESPATCHED</t>
        </is>
      </c>
      <c r="B37" s="17">
        <f>B33/B18</f>
        <v/>
      </c>
    </row>
    <row r="38">
      <c r="A38" t="inlineStr">
        <is>
          <t>TOTAL CASH COST PER TONNE SOLD</t>
        </is>
      </c>
      <c r="B38" s="36">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5" t="inlineStr">
        <is>
          <t>THE BUILD — FY2025A THEN FY2026E TO FY2030E</t>
        </is>
      </c>
      <c r="B43" s="15" t="n"/>
      <c r="C43" s="15" t="n"/>
      <c r="D43" s="15" t="n"/>
      <c r="E43" s="15" t="n"/>
      <c r="F43" s="15" t="n"/>
      <c r="G43" s="15" t="n"/>
      <c r="H43" s="15" t="n"/>
      <c r="I43" s="15" t="n"/>
      <c r="J43" s="15"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22">
        <f>Assumptions!$B$22</f>
        <v/>
      </c>
      <c r="C45" s="22">
        <f>Assumptions!$C$22</f>
        <v/>
      </c>
      <c r="D45" s="22">
        <f>Assumptions!$D$22</f>
        <v/>
      </c>
      <c r="E45" s="22">
        <f>Assumptions!$E$22</f>
        <v/>
      </c>
      <c r="F45" s="22">
        <f>Assumptions!$F$22</f>
        <v/>
      </c>
      <c r="G45" s="22">
        <f>Assumptions!$G$22</f>
        <v/>
      </c>
    </row>
    <row r="46">
      <c r="A46" t="inlineStr">
        <is>
          <t>Clinker produced (Mt)</t>
        </is>
      </c>
      <c r="B46" s="33">
        <f>$B$5*B45</f>
        <v/>
      </c>
      <c r="C46" s="33">
        <f>$B$5*C45</f>
        <v/>
      </c>
      <c r="D46" s="33">
        <f>$B$5*D45</f>
        <v/>
      </c>
      <c r="E46" s="33">
        <f>$B$5*E45</f>
        <v/>
      </c>
      <c r="F46" s="33">
        <f>$B$5*F45</f>
        <v/>
      </c>
      <c r="G46" s="33">
        <f>$B$5*G45</f>
        <v/>
      </c>
    </row>
    <row r="47">
      <c r="A47" t="inlineStr">
        <is>
          <t>Clinker sold as clinker, share  (DRIVER)</t>
        </is>
      </c>
      <c r="B47" s="22">
        <f>Assumptions!$B$23</f>
        <v/>
      </c>
      <c r="C47" s="22">
        <f>Assumptions!$C$23</f>
        <v/>
      </c>
      <c r="D47" s="22">
        <f>Assumptions!$D$23</f>
        <v/>
      </c>
      <c r="E47" s="22">
        <f>Assumptions!$E$23</f>
        <v/>
      </c>
      <c r="F47" s="22">
        <f>Assumptions!$F$23</f>
        <v/>
      </c>
      <c r="G47" s="22">
        <f>Assumptions!$G$23</f>
        <v/>
      </c>
    </row>
    <row r="48">
      <c r="A48" t="inlineStr">
        <is>
          <t>Clinker exported (Mt)</t>
        </is>
      </c>
      <c r="B48" s="33">
        <f>B46*B47</f>
        <v/>
      </c>
      <c r="C48" s="33">
        <f>C46*C47</f>
        <v/>
      </c>
      <c r="D48" s="33">
        <f>D46*D47</f>
        <v/>
      </c>
      <c r="E48" s="33">
        <f>E46*E47</f>
        <v/>
      </c>
      <c r="F48" s="33">
        <f>F46*F47</f>
        <v/>
      </c>
      <c r="G48" s="33">
        <f>G46*G47</f>
        <v/>
      </c>
    </row>
    <row r="49">
      <c r="A49" t="inlineStr">
        <is>
          <t>Clinker ground (Mt)</t>
        </is>
      </c>
      <c r="B49" s="33">
        <f>B46-B48</f>
        <v/>
      </c>
      <c r="C49" s="33">
        <f>C46-C48</f>
        <v/>
      </c>
      <c r="D49" s="33">
        <f>D46-D48</f>
        <v/>
      </c>
      <c r="E49" s="33">
        <f>E46-E48</f>
        <v/>
      </c>
      <c r="F49" s="33">
        <f>F46-F48</f>
        <v/>
      </c>
      <c r="G49" s="33">
        <f>G46-G48</f>
        <v/>
      </c>
    </row>
    <row r="50">
      <c r="A50" t="inlineStr">
        <is>
          <t>Cement produced (Mt)</t>
        </is>
      </c>
      <c r="B50" s="33">
        <f>B49/$B$11</f>
        <v/>
      </c>
      <c r="C50" s="33">
        <f>C49/$B$11</f>
        <v/>
      </c>
      <c r="D50" s="33">
        <f>D49/$B$11</f>
        <v/>
      </c>
      <c r="E50" s="33">
        <f>E49/$B$11</f>
        <v/>
      </c>
      <c r="F50" s="33">
        <f>F49/$B$11</f>
        <v/>
      </c>
      <c r="G50" s="33">
        <f>G49/$B$11</f>
        <v/>
      </c>
    </row>
    <row r="51">
      <c r="A51" t="inlineStr">
        <is>
          <t>Mill utilisation</t>
        </is>
      </c>
      <c r="B51" s="8">
        <f>B50/$B$13</f>
        <v/>
      </c>
      <c r="C51" s="8">
        <f>C50/$B$13</f>
        <v/>
      </c>
      <c r="D51" s="8">
        <f>D50/$B$13</f>
        <v/>
      </c>
      <c r="E51" s="8">
        <f>E50/$B$13</f>
        <v/>
      </c>
      <c r="F51" s="8">
        <f>F50/$B$13</f>
        <v/>
      </c>
      <c r="G51" s="8">
        <f>G50/$B$13</f>
        <v/>
      </c>
    </row>
    <row r="52">
      <c r="A52" t="inlineStr">
        <is>
          <t>Cement exported, share  (DRIVER)</t>
        </is>
      </c>
      <c r="B52" s="22">
        <f>Assumptions!$B$24</f>
        <v/>
      </c>
      <c r="C52" s="22">
        <f>Assumptions!$C$24</f>
        <v/>
      </c>
      <c r="D52" s="22">
        <f>Assumptions!$D$24</f>
        <v/>
      </c>
      <c r="E52" s="22">
        <f>Assumptions!$E$24</f>
        <v/>
      </c>
      <c r="F52" s="22">
        <f>Assumptions!$F$24</f>
        <v/>
      </c>
      <c r="G52" s="22">
        <f>Assumptions!$G$24</f>
        <v/>
      </c>
    </row>
    <row r="53">
      <c r="A53" t="inlineStr">
        <is>
          <t>Cement exported (Mt)</t>
        </is>
      </c>
      <c r="B53" s="33">
        <f>B75*B52</f>
        <v/>
      </c>
      <c r="C53" s="33">
        <f>C75*C52</f>
        <v/>
      </c>
      <c r="D53" s="33">
        <f>D75*D52</f>
        <v/>
      </c>
      <c r="E53" s="33">
        <f>E75*E52</f>
        <v/>
      </c>
      <c r="F53" s="33">
        <f>F75*F52</f>
        <v/>
      </c>
      <c r="G53" s="33">
        <f>G75*G52</f>
        <v/>
      </c>
    </row>
    <row r="54">
      <c r="A54" t="inlineStr">
        <is>
          <t>Cement local (Mt)</t>
        </is>
      </c>
      <c r="B54" s="33">
        <f>B75-B53</f>
        <v/>
      </c>
      <c r="C54" s="33">
        <f>C75-C53</f>
        <v/>
      </c>
      <c r="D54" s="33">
        <f>D75-D53</f>
        <v/>
      </c>
      <c r="E54" s="33">
        <f>E75-E53</f>
        <v/>
      </c>
      <c r="F54" s="33">
        <f>F75-F53</f>
        <v/>
      </c>
      <c r="G54" s="33">
        <f>G75-G53</f>
        <v/>
      </c>
    </row>
    <row r="55">
      <c r="A55" t="inlineStr">
        <is>
          <t>TOTAL DESPATCHES (Mt)</t>
        </is>
      </c>
      <c r="B55" s="35">
        <f>B75+B48</f>
        <v/>
      </c>
      <c r="C55" s="35">
        <f>C75+C48</f>
        <v/>
      </c>
      <c r="D55" s="35">
        <f>D75+D48</f>
        <v/>
      </c>
      <c r="E55" s="35">
        <f>E75+E48</f>
        <v/>
      </c>
      <c r="F55" s="35">
        <f>F75+F48</f>
        <v/>
      </c>
      <c r="G55" s="35">
        <f>G75+G48</f>
        <v/>
      </c>
    </row>
    <row r="56">
      <c r="A56" t="inlineStr">
        <is>
          <t>Local cement price (EGP/t)</t>
        </is>
      </c>
      <c r="B56" s="17">
        <f>$B$22*Assumptions!$B$26</f>
        <v/>
      </c>
      <c r="C56" s="17">
        <f>$B$22*Assumptions!$C$26*Assumptions!$B$142</f>
        <v/>
      </c>
      <c r="D56" s="17">
        <f>$B$22*Assumptions!$D$26*Assumptions!$B$142</f>
        <v/>
      </c>
      <c r="E56" s="17">
        <f>$B$22*Assumptions!$E$26*Assumptions!$B$142</f>
        <v/>
      </c>
      <c r="F56" s="17">
        <f>$B$22*Assumptions!$F$26*Assumptions!$B$142</f>
        <v/>
      </c>
      <c r="G56" s="17">
        <f>$B$22*Assumptions!$G$26*Assumptions!$B$142</f>
        <v/>
      </c>
    </row>
    <row r="57">
      <c r="A57" t="inlineStr">
        <is>
          <t>Export cement price (EGP/t)</t>
        </is>
      </c>
      <c r="B57" s="17">
        <f>$B$26*Assumptions!$B$27*Assumptions!$B$28</f>
        <v/>
      </c>
      <c r="C57" s="17">
        <f>$B$26*Assumptions!$C$27*Assumptions!$C$28*Assumptions!$B$143</f>
        <v/>
      </c>
      <c r="D57" s="17">
        <f>$B$26*Assumptions!$D$27*Assumptions!$D$28*Assumptions!$B$143</f>
        <v/>
      </c>
      <c r="E57" s="17">
        <f>$B$26*Assumptions!$E$27*Assumptions!$E$28*Assumptions!$B$143</f>
        <v/>
      </c>
      <c r="F57" s="17">
        <f>$B$26*Assumptions!$F$27*Assumptions!$F$28*Assumptions!$B$143</f>
        <v/>
      </c>
      <c r="G57" s="17">
        <f>$B$26*Assumptions!$G$27*Assumptions!$G$28*Assumptions!$B$143</f>
        <v/>
      </c>
    </row>
    <row r="58">
      <c r="A58" t="inlineStr">
        <is>
          <t>Export clinker price (EGP/t)</t>
        </is>
      </c>
      <c r="B58" s="17">
        <f>B57*$B$24</f>
        <v/>
      </c>
      <c r="C58" s="17">
        <f>C57*$B$24</f>
        <v/>
      </c>
      <c r="D58" s="17">
        <f>D57*$B$24</f>
        <v/>
      </c>
      <c r="E58" s="17">
        <f>E57*$B$24</f>
        <v/>
      </c>
      <c r="F58" s="17">
        <f>F57*$B$24</f>
        <v/>
      </c>
      <c r="G58" s="17">
        <f>G57*$B$24</f>
        <v/>
      </c>
    </row>
    <row r="59">
      <c r="A59" t="inlineStr">
        <is>
          <t>Local revenue (EGP mn)</t>
        </is>
      </c>
      <c r="B59" s="17">
        <f>B54*B56</f>
        <v/>
      </c>
      <c r="C59" s="17">
        <f>C54*C56</f>
        <v/>
      </c>
      <c r="D59" s="17">
        <f>D54*D56</f>
        <v/>
      </c>
      <c r="E59" s="17">
        <f>E54*E56</f>
        <v/>
      </c>
      <c r="F59" s="17">
        <f>F54*F56</f>
        <v/>
      </c>
      <c r="G59" s="17">
        <f>G54*G56</f>
        <v/>
      </c>
    </row>
    <row r="60">
      <c r="A60" t="inlineStr">
        <is>
          <t>Export cement revenue (EGP mn)</t>
        </is>
      </c>
      <c r="B60" s="17">
        <f>B53*B57</f>
        <v/>
      </c>
      <c r="C60" s="17">
        <f>C53*C57</f>
        <v/>
      </c>
      <c r="D60" s="17">
        <f>D53*D57</f>
        <v/>
      </c>
      <c r="E60" s="17">
        <f>E53*E57</f>
        <v/>
      </c>
      <c r="F60" s="17">
        <f>F53*F57</f>
        <v/>
      </c>
      <c r="G60" s="17">
        <f>G53*G57</f>
        <v/>
      </c>
    </row>
    <row r="61">
      <c r="A61" t="inlineStr">
        <is>
          <t>Export clinker revenue (EGP mn)</t>
        </is>
      </c>
      <c r="B61" s="17">
        <f>B48*B58</f>
        <v/>
      </c>
      <c r="C61" s="17">
        <f>C48*C58</f>
        <v/>
      </c>
      <c r="D61" s="17">
        <f>D48*D58</f>
        <v/>
      </c>
      <c r="E61" s="17">
        <f>E48*E58</f>
        <v/>
      </c>
      <c r="F61" s="17">
        <f>F48*F58</f>
        <v/>
      </c>
      <c r="G61" s="17">
        <f>G48*G58</f>
        <v/>
      </c>
    </row>
    <row r="62">
      <c r="A62" t="inlineStr">
        <is>
          <t>Goods revenue (EGP mn)</t>
        </is>
      </c>
      <c r="B62" s="17">
        <f>SUM(B59:B61)</f>
        <v/>
      </c>
      <c r="C62" s="17">
        <f>SUM(C59:C61)</f>
        <v/>
      </c>
      <c r="D62" s="17">
        <f>SUM(D59:D61)</f>
        <v/>
      </c>
      <c r="E62" s="17">
        <f>SUM(E59:E61)</f>
        <v/>
      </c>
      <c r="F62" s="17">
        <f>SUM(F59:F61)</f>
        <v/>
      </c>
      <c r="G62" s="17">
        <f>SUM(G59:G61)</f>
        <v/>
      </c>
    </row>
    <row r="63">
      <c r="A63" t="inlineStr">
        <is>
          <t>REVENUE (EGP mn)</t>
        </is>
      </c>
      <c r="B63" s="36">
        <f>B62*(1+Assumptions!$B$19)</f>
        <v/>
      </c>
      <c r="C63" s="36">
        <f>C62*(1+Assumptions!$B$145)</f>
        <v/>
      </c>
      <c r="D63" s="36">
        <f>D62*(1+Assumptions!$B$145)</f>
        <v/>
      </c>
      <c r="E63" s="36">
        <f>E62*(1+Assumptions!$B$145)</f>
        <v/>
      </c>
      <c r="F63" s="36">
        <f>F62*(1+Assumptions!$B$145)</f>
        <v/>
      </c>
      <c r="G63" s="36">
        <f>G62*(1+Assumptions!$B$145)</f>
        <v/>
      </c>
    </row>
    <row r="64">
      <c r="A64" t="inlineStr">
        <is>
          <t>Revenue per tonne despatched (EGP)</t>
        </is>
      </c>
      <c r="B64" s="17">
        <f>B63/B55</f>
        <v/>
      </c>
      <c r="C64" s="17">
        <f>C63/C55</f>
        <v/>
      </c>
      <c r="D64" s="17">
        <f>D63/D55</f>
        <v/>
      </c>
      <c r="E64" s="17">
        <f>E63/E55</f>
        <v/>
      </c>
      <c r="F64" s="17">
        <f>F63/F55</f>
        <v/>
      </c>
      <c r="G64" s="17">
        <f>G63/G55</f>
        <v/>
      </c>
    </row>
    <row r="65">
      <c r="A65" t="inlineStr">
        <is>
          <t>Materials and fuel (EGP mn)</t>
        </is>
      </c>
      <c r="B65" s="17">
        <f>$B$35*Assumptions!$B$29*(1-Assumptions!$B$30)*B46</f>
        <v/>
      </c>
      <c r="C65" s="17">
        <f>$B$35*Assumptions!$C$29*(1-Assumptions!$C$30)*C46*Assumptions!$B$144</f>
        <v/>
      </c>
      <c r="D65" s="17">
        <f>$B$35*Assumptions!$D$29*(1-Assumptions!$D$30)*D46*Assumptions!$B$144</f>
        <v/>
      </c>
      <c r="E65" s="17">
        <f>$B$35*Assumptions!$E$29*(1-Assumptions!$E$30)*E46*Assumptions!$B$144</f>
        <v/>
      </c>
      <c r="F65" s="17">
        <f>$B$35*Assumptions!$F$29*(1-Assumptions!$F$30)*F46*Assumptions!$B$144</f>
        <v/>
      </c>
      <c r="G65" s="17">
        <f>$B$35*Assumptions!$G$29*(1-Assumptions!$G$30)*G46*Assumptions!$B$144</f>
        <v/>
      </c>
    </row>
    <row r="66">
      <c r="A66" t="inlineStr">
        <is>
          <t>Transportation (EGP mn)</t>
        </is>
      </c>
      <c r="B66" s="17">
        <f>$B$36*Assumptions!$B$29*B55</f>
        <v/>
      </c>
      <c r="C66" s="17">
        <f>$B$36*Assumptions!$C$29*C55*Assumptions!$B$144</f>
        <v/>
      </c>
      <c r="D66" s="17">
        <f>$B$36*Assumptions!$D$29*D55*Assumptions!$B$144</f>
        <v/>
      </c>
      <c r="E66" s="17">
        <f>$B$36*Assumptions!$E$29*E55*Assumptions!$B$144</f>
        <v/>
      </c>
      <c r="F66" s="17">
        <f>$B$36*Assumptions!$F$29*F55*Assumptions!$B$144</f>
        <v/>
      </c>
      <c r="G66" s="17">
        <f>$B$36*Assumptions!$G$29*G55*Assumptions!$B$144</f>
        <v/>
      </c>
    </row>
    <row r="67">
      <c r="A67" t="inlineStr">
        <is>
          <t>Overheads and administration (EGP mn)</t>
        </is>
      </c>
      <c r="B67" s="17">
        <f>$B$37*Assumptions!$B$29*B55</f>
        <v/>
      </c>
      <c r="C67" s="17">
        <f>$B$37*Assumptions!$C$29*C55*Assumptions!$B$144</f>
        <v/>
      </c>
      <c r="D67" s="17">
        <f>$B$37*Assumptions!$D$29*D55*Assumptions!$B$144</f>
        <v/>
      </c>
      <c r="E67" s="17">
        <f>$B$37*Assumptions!$E$29*E55*Assumptions!$B$144</f>
        <v/>
      </c>
      <c r="F67" s="17">
        <f>$B$37*Assumptions!$F$29*F55*Assumptions!$B$144</f>
        <v/>
      </c>
      <c r="G67" s="17">
        <f>$B$37*Assumptions!$G$29*G55*Assumptions!$B$144</f>
        <v/>
      </c>
    </row>
    <row r="68">
      <c r="A68" t="inlineStr">
        <is>
          <t>Cash cost (EGP mn)</t>
        </is>
      </c>
      <c r="B68" s="17">
        <f>SUM(B65:B67)</f>
        <v/>
      </c>
      <c r="C68" s="17">
        <f>SUM(C65:C67)</f>
        <v/>
      </c>
      <c r="D68" s="17">
        <f>SUM(D65:D67)</f>
        <v/>
      </c>
      <c r="E68" s="17">
        <f>SUM(E65:E67)</f>
        <v/>
      </c>
      <c r="F68" s="17">
        <f>SUM(F65:F67)</f>
        <v/>
      </c>
      <c r="G68" s="17">
        <f>SUM(G65:G67)</f>
        <v/>
      </c>
    </row>
    <row r="69">
      <c r="A69" t="inlineStr">
        <is>
          <t>Cash cost per tonne sold (EGP)</t>
        </is>
      </c>
      <c r="B69" s="17">
        <f>B68/B55</f>
        <v/>
      </c>
      <c r="C69" s="17">
        <f>C68/C55</f>
        <v/>
      </c>
      <c r="D69" s="17">
        <f>D68/D55</f>
        <v/>
      </c>
      <c r="E69" s="17">
        <f>E68/E55</f>
        <v/>
      </c>
      <c r="F69" s="17">
        <f>F68/F55</f>
        <v/>
      </c>
      <c r="G69" s="17">
        <f>G68/G55</f>
        <v/>
      </c>
    </row>
    <row r="70">
      <c r="A70" t="inlineStr">
        <is>
          <t>Provisions and credit losses (EGP mn)</t>
        </is>
      </c>
      <c r="B70" s="17">
        <f>(Assumptions!$B$64+Assumptions!$B$67)/Assumptions!$B$55*B63</f>
        <v/>
      </c>
      <c r="C70" s="17">
        <f>(Assumptions!$B$64+Assumptions!$B$67)/Assumptions!$B$55*C63</f>
        <v/>
      </c>
      <c r="D70" s="17">
        <f>(Assumptions!$B$64+Assumptions!$B$67)/Assumptions!$B$55*D63</f>
        <v/>
      </c>
      <c r="E70" s="17">
        <f>(Assumptions!$B$64+Assumptions!$B$67)/Assumptions!$B$55*E63</f>
        <v/>
      </c>
      <c r="F70" s="17">
        <f>(Assumptions!$B$64+Assumptions!$B$67)/Assumptions!$B$55*F63</f>
        <v/>
      </c>
      <c r="G70" s="17">
        <f>(Assumptions!$B$64+Assumptions!$B$67)/Assumptions!$B$55*G63</f>
        <v/>
      </c>
    </row>
    <row r="71">
      <c r="A71" t="inlineStr">
        <is>
          <t>EBITDA  (AN OUTPUT)</t>
        </is>
      </c>
      <c r="B71" s="36">
        <f>B63-B68-B70</f>
        <v/>
      </c>
      <c r="C71" s="36">
        <f>C63-C68-C70</f>
        <v/>
      </c>
      <c r="D71" s="36">
        <f>D63-D68-D70</f>
        <v/>
      </c>
      <c r="E71" s="36">
        <f>E63-E68-E70</f>
        <v/>
      </c>
      <c r="F71" s="36">
        <f>F63-F68-F70</f>
        <v/>
      </c>
      <c r="G71" s="36">
        <f>G63-G68-G70</f>
        <v/>
      </c>
    </row>
    <row r="72">
      <c r="A72" t="inlineStr">
        <is>
          <t>EBITDA margin</t>
        </is>
      </c>
      <c r="B72" s="8">
        <f>B71/B63</f>
        <v/>
      </c>
      <c r="C72" s="8">
        <f>C71/C63</f>
        <v/>
      </c>
      <c r="D72" s="8">
        <f>D71/D63</f>
        <v/>
      </c>
      <c r="E72" s="8">
        <f>E71/E63</f>
        <v/>
      </c>
      <c r="F72" s="8">
        <f>F71/F63</f>
        <v/>
      </c>
      <c r="G72" s="8">
        <f>G71/G63</f>
        <v/>
      </c>
    </row>
    <row r="73">
      <c r="A73" t="inlineStr">
        <is>
          <t>EBITDA per tonne (EGP)</t>
        </is>
      </c>
      <c r="B73" s="17">
        <f>B71/B55</f>
        <v/>
      </c>
      <c r="C73" s="17">
        <f>C71/C55</f>
        <v/>
      </c>
      <c r="D73" s="17">
        <f>D71/D55</f>
        <v/>
      </c>
      <c r="E73" s="17">
        <f>E71/E55</f>
        <v/>
      </c>
      <c r="F73" s="17">
        <f>F71/F55</f>
        <v/>
      </c>
      <c r="G73" s="17">
        <f>G71/G55</f>
        <v/>
      </c>
    </row>
    <row r="74">
      <c r="A74" t="inlineStr">
        <is>
          <t>Draw from finished-goods stock (Mt)  (DRIVER)</t>
        </is>
      </c>
      <c r="B74" s="34">
        <f>Assumptions!$B$25</f>
        <v/>
      </c>
      <c r="C74" s="34">
        <f>Assumptions!$C$25</f>
        <v/>
      </c>
      <c r="D74" s="34">
        <f>Assumptions!$D$25</f>
        <v/>
      </c>
      <c r="E74" s="34">
        <f>Assumptions!$E$25</f>
        <v/>
      </c>
      <c r="F74" s="34">
        <f>Assumptions!$F$25</f>
        <v/>
      </c>
      <c r="G74" s="34">
        <f>Assumptions!$G$25</f>
        <v/>
      </c>
    </row>
    <row r="75">
      <c r="A75" s="15" t="inlineStr">
        <is>
          <t>VALIDATION — AND A PRICE TEST THAT CAN ACTUALLY FAIL</t>
        </is>
      </c>
      <c r="B75" s="38">
        <f>B50+B74</f>
        <v/>
      </c>
      <c r="C75" s="38">
        <f>C50+C74</f>
        <v/>
      </c>
      <c r="D75" s="38">
        <f>D50+D74</f>
        <v/>
      </c>
      <c r="E75" s="38">
        <f>E50+E74</f>
        <v/>
      </c>
      <c r="F75" s="38">
        <f>F50+F74</f>
        <v/>
      </c>
      <c r="G75" s="38">
        <f>G50+G74</f>
        <v/>
      </c>
      <c r="H75" s="15" t="n"/>
      <c r="I75" s="15" t="n"/>
      <c r="J75" s="15" t="n"/>
    </row>
    <row r="76">
      <c r="A76" t="inlineStr">
        <is>
          <t>Reconstructed FY2025 revenue</t>
        </is>
      </c>
      <c r="B76" s="17">
        <f>B63</f>
        <v/>
      </c>
    </row>
    <row r="77">
      <c r="A77" t="inlineStr">
        <is>
          <t>AUDITED FY2025 revenue</t>
        </is>
      </c>
      <c r="B77" s="14">
        <f>Assumptions!$B$55</f>
        <v/>
      </c>
    </row>
    <row r="78">
      <c r="A78" t="inlineStr">
        <is>
          <t>Difference</t>
        </is>
      </c>
      <c r="B78" s="8">
        <f>B76/B77-1</f>
        <v/>
      </c>
    </row>
    <row r="79">
      <c r="A79" t="inlineStr">
        <is>
          <t>Reconstructed FY2025 EBITDA</t>
        </is>
      </c>
      <c r="B79" s="17">
        <f>B71</f>
        <v/>
      </c>
    </row>
    <row r="80">
      <c r="A80" t="inlineStr">
        <is>
          <t>AUDITED FY2025 EBITDA (operating profit plus D&amp;A)</t>
        </is>
      </c>
      <c r="B80" s="14">
        <f>'Income Statement'!D14</f>
        <v/>
      </c>
    </row>
    <row r="81">
      <c r="A81" t="inlineStr">
        <is>
          <t>Difference</t>
        </is>
      </c>
      <c r="B81" s="8">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5" t="inlineStr">
        <is>
          <t>THE TWO CAPACITY CONSTRAINTS — BOTH LIVE, BOTH CHECKED EVERY YEAR</t>
        </is>
      </c>
      <c r="B91" s="15" t="n"/>
      <c r="C91" s="15" t="n"/>
      <c r="D91" s="15" t="n"/>
      <c r="E91" s="15" t="n"/>
      <c r="F91" s="15" t="n"/>
      <c r="G91" s="15" t="n"/>
      <c r="H91" s="15" t="n"/>
      <c r="I91" s="15" t="n"/>
      <c r="J91" s="15" t="n"/>
    </row>
    <row r="92">
      <c r="A92" t="inlineStr">
        <is>
          <t>Kiln clinker capacity (Mt, audited note 1)</t>
        </is>
      </c>
      <c r="B92" s="32">
        <f>Assumptions!$B$14</f>
        <v/>
      </c>
    </row>
    <row r="93">
      <c r="A93" t="inlineStr">
        <is>
          <t>Peak clinker required across the forecast (Mt)</t>
        </is>
      </c>
      <c r="B93" s="33">
        <f>MAX(C46:G46)</f>
        <v/>
      </c>
    </row>
    <row r="94">
      <c r="A94" t="inlineStr">
        <is>
          <t>Peak kiln utilisation — must stay below 100%</t>
        </is>
      </c>
      <c r="B94" s="12">
        <f>B93/B92</f>
        <v/>
      </c>
    </row>
    <row r="95">
      <c r="A95" t="inlineStr">
        <is>
          <t>Headroom at the kiln (Mt of clinker)</t>
        </is>
      </c>
      <c r="B95" s="33">
        <f>B92-B93</f>
        <v/>
      </c>
    </row>
    <row r="96">
      <c r="A96" t="inlineStr">
        <is>
          <t>Cement mill capacity (Mt, audited note 1)</t>
        </is>
      </c>
      <c r="B96" s="32">
        <f>Assumptions!$B$13</f>
        <v/>
      </c>
    </row>
    <row r="97">
      <c r="A97" t="inlineStr">
        <is>
          <t>Peak cement produced across the forecast (Mt)</t>
        </is>
      </c>
      <c r="B97" s="33">
        <f>MAX(C50:G50)</f>
        <v/>
      </c>
    </row>
    <row r="98">
      <c r="A98" t="inlineStr">
        <is>
          <t>Peak mill utilisation — must stay below 100%</t>
        </is>
      </c>
      <c r="B98" s="12">
        <f>B97/B96</f>
        <v/>
      </c>
    </row>
    <row r="99">
      <c r="A99" t="inlineStr">
        <is>
          <t>Headroom at the mill (Mt of cement)</t>
        </is>
      </c>
      <c r="B99" s="33">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5" t="inlineStr">
        <is>
          <t>NORMALISED EARNINGS BASE</t>
        </is>
      </c>
      <c r="B4" s="15" t="n"/>
      <c r="C4" s="15" t="n"/>
      <c r="D4" s="15" t="n"/>
      <c r="E4" s="15" t="n"/>
      <c r="F4" s="15" t="n"/>
      <c r="G4" s="15" t="n"/>
    </row>
    <row r="5">
      <c r="A5" t="inlineStr">
        <is>
          <t>FY2025 revenue, audited (the cyclical peak)</t>
        </is>
      </c>
      <c r="B5" s="17">
        <f>Assumptions!$B$55</f>
        <v/>
      </c>
    </row>
    <row r="6">
      <c r="A6" t="inlineStr">
        <is>
          <t>Haircut to the revenue base</t>
        </is>
      </c>
      <c r="B6" s="8">
        <f>Assumptions!$B$157</f>
        <v/>
      </c>
    </row>
    <row r="7">
      <c r="A7" t="inlineStr">
        <is>
          <t>Normalised revenue</t>
        </is>
      </c>
      <c r="B7" s="17">
        <f>B5*B6</f>
        <v/>
      </c>
    </row>
    <row r="8">
      <c r="A8" t="inlineStr">
        <is>
          <t>Mid-cycle EBITDA margin</t>
        </is>
      </c>
      <c r="B8" s="8">
        <f>Assumptions!$B$156</f>
        <v/>
      </c>
    </row>
    <row r="9">
      <c r="A9" t="inlineStr">
        <is>
          <t>Normalised EBITDA</t>
        </is>
      </c>
      <c r="B9" s="36">
        <f>B7*B8</f>
        <v/>
      </c>
    </row>
    <row r="10">
      <c r="A10" t="inlineStr">
        <is>
          <t>Less audited depreciation</t>
        </is>
      </c>
      <c r="B10" s="17">
        <f>-Assumptions!$B$82</f>
        <v/>
      </c>
    </row>
    <row r="11">
      <c r="A11" t="inlineStr">
        <is>
          <t>Normalised EBIT</t>
        </is>
      </c>
      <c r="B11" s="17">
        <f>B9+B10</f>
        <v/>
      </c>
    </row>
    <row r="12">
      <c r="A12" t="inlineStr">
        <is>
          <t>Normalised NOPAT</t>
        </is>
      </c>
      <c r="B12" s="36">
        <f>B11*(1-Assumptions!$B$9)</f>
        <v/>
      </c>
    </row>
    <row r="13">
      <c r="A13" t="inlineStr">
        <is>
          <t>Memo: audited FY2023 EBITDA margin</t>
        </is>
      </c>
      <c r="B13" s="22">
        <f>'Income Statement'!B15</f>
        <v/>
      </c>
    </row>
    <row r="14">
      <c r="A14" t="inlineStr">
        <is>
          <t>Memo: audited FY2024 EBITDA margin</t>
        </is>
      </c>
      <c r="B14" s="22">
        <f>'Income Statement'!C15</f>
        <v/>
      </c>
    </row>
    <row r="15">
      <c r="A15" t="inlineStr">
        <is>
          <t>Memo: audited FY2025 EBITDA margin</t>
        </is>
      </c>
      <c r="B15" s="22">
        <f>'Income Statement'!D15</f>
        <v/>
      </c>
    </row>
    <row r="17">
      <c r="A17" s="15" t="inlineStr">
        <is>
          <t>RELATIVE LENS — EV/EBITDA ON NORMALISED EARNINGS</t>
        </is>
      </c>
      <c r="B17" s="15" t="n"/>
      <c r="C17" s="15" t="n"/>
      <c r="D17" s="15" t="n"/>
      <c r="E17" s="15" t="n"/>
      <c r="F17" s="15" t="n"/>
      <c r="G17" s="15" t="n"/>
    </row>
    <row r="18">
      <c r="A18" t="inlineStr">
        <is>
          <t>Justified EV/EBITDA</t>
        </is>
      </c>
      <c r="B18" s="39">
        <f>Assumptions!$B$154</f>
        <v/>
      </c>
    </row>
    <row r="19">
      <c r="A19" t="inlineStr">
        <is>
          <t>Implied enterprise value</t>
        </is>
      </c>
      <c r="B19" s="17">
        <f>B9*B18</f>
        <v/>
      </c>
    </row>
    <row r="20">
      <c r="A20" t="inlineStr">
        <is>
          <t>Plus net cash</t>
        </is>
      </c>
      <c r="B20" s="14">
        <f>DCF!B40</f>
        <v/>
      </c>
    </row>
    <row r="21">
      <c r="A21" t="inlineStr">
        <is>
          <t>Less non-controlling interests</t>
        </is>
      </c>
      <c r="B21" s="18">
        <f>DCF!B41</f>
        <v/>
      </c>
    </row>
    <row r="22">
      <c r="A22" t="inlineStr">
        <is>
          <t>Equity value</t>
        </is>
      </c>
      <c r="B22" s="17">
        <f>B19+B20+B21</f>
        <v/>
      </c>
    </row>
    <row r="23">
      <c r="A23" t="inlineStr">
        <is>
          <t>Value per share (EGP)</t>
        </is>
      </c>
      <c r="B23" s="11">
        <f>B22/DCF!$B$43</f>
        <v/>
      </c>
    </row>
    <row r="25">
      <c r="A25" s="15" t="inlineStr">
        <is>
          <t>NORMALISED-EARNINGS LENS</t>
        </is>
      </c>
      <c r="B25" s="15" t="n"/>
      <c r="C25" s="15" t="n"/>
      <c r="D25" s="15" t="n"/>
      <c r="E25" s="15" t="n"/>
      <c r="F25" s="15" t="n"/>
      <c r="G25" s="15" t="n"/>
    </row>
    <row r="26">
      <c r="A26" t="inlineStr">
        <is>
          <t>Justified price / earnings</t>
        </is>
      </c>
      <c r="B26" s="39">
        <f>Assumptions!$B$155</f>
        <v/>
      </c>
    </row>
    <row r="27">
      <c r="A27" t="inlineStr">
        <is>
          <t>Capitalised operating earnings</t>
        </is>
      </c>
      <c r="B27" s="17">
        <f>B12*B26</f>
        <v/>
      </c>
    </row>
    <row r="28">
      <c r="A28" t="inlineStr">
        <is>
          <t>Plus net cash, at FACE</t>
        </is>
      </c>
      <c r="B28" s="14">
        <f>DCF!B40</f>
        <v/>
      </c>
    </row>
    <row r="29">
      <c r="A29" t="inlineStr">
        <is>
          <t>Less non-controlling interests</t>
        </is>
      </c>
      <c r="B29" s="18">
        <f>DCF!B41</f>
        <v/>
      </c>
    </row>
    <row r="30">
      <c r="A30" t="inlineStr">
        <is>
          <t>Equity value</t>
        </is>
      </c>
      <c r="B30" s="17">
        <f>B27+B28+B29</f>
        <v/>
      </c>
    </row>
    <row r="31">
      <c r="A31" t="inlineStr">
        <is>
          <t>Value per share (EGP)</t>
        </is>
      </c>
      <c r="B31" s="11">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4">
        <f>'Segments'!C63</f>
        <v/>
      </c>
      <c r="C5" s="14">
        <f>'Segments'!D63</f>
        <v/>
      </c>
      <c r="D5" s="14">
        <f>'Segments'!E63</f>
        <v/>
      </c>
      <c r="E5" s="14">
        <f>'Segments'!F63</f>
        <v/>
      </c>
      <c r="F5" s="14">
        <f>'Segments'!G63</f>
        <v/>
      </c>
    </row>
    <row r="6">
      <c r="A6" t="inlineStr">
        <is>
          <t>EBITDA margin</t>
        </is>
      </c>
      <c r="B6" s="8">
        <f>B7/B5</f>
        <v/>
      </c>
      <c r="C6" s="8">
        <f>C7/C5</f>
        <v/>
      </c>
      <c r="D6" s="8">
        <f>D7/D5</f>
        <v/>
      </c>
      <c r="E6" s="8">
        <f>E7/E5</f>
        <v/>
      </c>
      <c r="F6" s="8">
        <f>F7/F5</f>
        <v/>
      </c>
    </row>
    <row r="7">
      <c r="A7" t="inlineStr">
        <is>
          <t>EBITDA</t>
        </is>
      </c>
      <c r="B7" s="14">
        <f>'Segments'!C71</f>
        <v/>
      </c>
      <c r="C7" s="14">
        <f>'Segments'!D71</f>
        <v/>
      </c>
      <c r="D7" s="14">
        <f>'Segments'!E71</f>
        <v/>
      </c>
      <c r="E7" s="14">
        <f>'Segments'!F71</f>
        <v/>
      </c>
      <c r="F7" s="14">
        <f>'Segments'!G71</f>
        <v/>
      </c>
    </row>
    <row r="8">
      <c r="A8" t="inlineStr">
        <is>
          <t>Depreciation and amortisation</t>
        </is>
      </c>
      <c r="B8" s="17">
        <f>B5*Assumptions!$B$33*Assumptions!$B$146</f>
        <v/>
      </c>
      <c r="C8" s="17">
        <f>C5*Assumptions!$C$33*Assumptions!$B$146</f>
        <v/>
      </c>
      <c r="D8" s="17">
        <f>D5*Assumptions!$D$33*Assumptions!$B$146</f>
        <v/>
      </c>
      <c r="E8" s="17">
        <f>E5*Assumptions!$E$33*Assumptions!$B$146</f>
        <v/>
      </c>
      <c r="F8" s="17">
        <f>F5*Assumptions!$F$33*Assumptions!$B$146</f>
        <v/>
      </c>
    </row>
    <row r="9">
      <c r="A9" t="inlineStr">
        <is>
          <t>EBIT</t>
        </is>
      </c>
      <c r="B9" s="17">
        <f>B7-B8+Assumptions!$B$147*'Segments'!C60+Assumptions!$B$147*'Segments'!C61+Assumptions!$B$148*Assumptions!$C$29</f>
        <v/>
      </c>
      <c r="C9" s="17">
        <f>C7-C8+Assumptions!$B$147*'Segments'!D60+Assumptions!$B$147*'Segments'!D61+Assumptions!$B$148*Assumptions!$D$29</f>
        <v/>
      </c>
      <c r="D9" s="17">
        <f>D7-D8+Assumptions!$B$147*'Segments'!E60+Assumptions!$B$147*'Segments'!E61+Assumptions!$B$148*Assumptions!$E$29</f>
        <v/>
      </c>
      <c r="E9" s="17">
        <f>E7-E8+Assumptions!$B$147*'Segments'!F60+Assumptions!$B$147*'Segments'!F61+Assumptions!$B$148*Assumptions!$F$29</f>
        <v/>
      </c>
      <c r="F9" s="17">
        <f>F7-F8+Assumptions!$B$147*'Segments'!G60+Assumptions!$B$147*'Segments'!G61+Assumptions!$B$148*Assumptions!$G$29</f>
        <v/>
      </c>
    </row>
    <row r="10">
      <c r="A10" t="inlineStr">
        <is>
          <t>Tax rate (effective)</t>
        </is>
      </c>
      <c r="B10" s="22">
        <f>Assumptions!$B$9</f>
        <v/>
      </c>
      <c r="C10" s="22">
        <f>Assumptions!$B$9</f>
        <v/>
      </c>
      <c r="D10" s="22">
        <f>Assumptions!$B$9</f>
        <v/>
      </c>
      <c r="E10" s="22">
        <f>Assumptions!$B$9</f>
        <v/>
      </c>
      <c r="F10" s="22">
        <f>Assumptions!$B$9</f>
        <v/>
      </c>
    </row>
    <row r="11">
      <c r="A11" t="inlineStr">
        <is>
          <t>NOPAT  (EBIT × (1 − t))</t>
        </is>
      </c>
      <c r="B11" s="17">
        <f>B9*(1-B10)</f>
        <v/>
      </c>
      <c r="C11" s="17">
        <f>C9*(1-C10)</f>
        <v/>
      </c>
      <c r="D11" s="17">
        <f>D9*(1-D10)</f>
        <v/>
      </c>
      <c r="E11" s="17">
        <f>E9*(1-E10)</f>
        <v/>
      </c>
      <c r="F11" s="17">
        <f>F9*(1-F10)</f>
        <v/>
      </c>
    </row>
    <row r="12">
      <c r="A12" t="inlineStr">
        <is>
          <t>Plus depreciation</t>
        </is>
      </c>
      <c r="B12" s="17">
        <f>B8</f>
        <v/>
      </c>
      <c r="C12" s="17">
        <f>C8</f>
        <v/>
      </c>
      <c r="D12" s="17">
        <f>D8</f>
        <v/>
      </c>
      <c r="E12" s="17">
        <f>E8</f>
        <v/>
      </c>
      <c r="F12" s="17">
        <f>F8</f>
        <v/>
      </c>
    </row>
    <row r="13">
      <c r="A13" t="inlineStr">
        <is>
          <t>Less capital expenditure</t>
        </is>
      </c>
      <c r="B13" s="17">
        <f>-Assumptions!$B$13*Assumptions!$B$36*Assumptions!$C$28</f>
        <v/>
      </c>
      <c r="C13" s="17">
        <f>-Assumptions!$B$13*Assumptions!$B$36*Assumptions!$D$28</f>
        <v/>
      </c>
      <c r="D13" s="17">
        <f>-Assumptions!$B$13*Assumptions!$B$36*Assumptions!$E$28</f>
        <v/>
      </c>
      <c r="E13" s="17">
        <f>-Assumptions!$B$13*Assumptions!$B$36*Assumptions!$F$28</f>
        <v/>
      </c>
      <c r="F13" s="17">
        <f>-Assumptions!$B$13*Assumptions!$B$36*Assumptions!$G$28</f>
        <v/>
      </c>
    </row>
    <row r="14">
      <c r="A14" t="inlineStr">
        <is>
          <t>Less change in working capital</t>
        </is>
      </c>
      <c r="B14" s="17">
        <f>-(B5-Assumptions!$B$55)*Assumptions!$B$37</f>
        <v/>
      </c>
      <c r="C14" s="17">
        <f>-(C5-B5)*Assumptions!$B$37</f>
        <v/>
      </c>
      <c r="D14" s="17">
        <f>-(D5-C5)*Assumptions!$B$37</f>
        <v/>
      </c>
      <c r="E14" s="17">
        <f>-(E5-D5)*Assumptions!$B$37</f>
        <v/>
      </c>
      <c r="F14" s="17">
        <f>-(F5-E5)*Assumptions!$B$37</f>
        <v/>
      </c>
    </row>
    <row r="15">
      <c r="A15" t="inlineStr">
        <is>
          <t>FREE CASH FLOW TO THE FIRM</t>
        </is>
      </c>
      <c r="B15" s="36">
        <f>(B11+B12+B13+B14)*(1-Assumptions!$B$51)</f>
        <v/>
      </c>
      <c r="C15" s="36">
        <f>C11+C12+C13+C14</f>
        <v/>
      </c>
      <c r="D15" s="36">
        <f>D11+D12+D13+D14</f>
        <v/>
      </c>
      <c r="E15" s="36">
        <f>E11+E12+E13+E14</f>
        <v/>
      </c>
      <c r="F15" s="36">
        <f>F11+F12+F13+F14</f>
        <v/>
      </c>
    </row>
    <row r="16">
      <c r="A16" t="inlineStr">
        <is>
          <t>Glide fraction</t>
        </is>
      </c>
      <c r="B16" s="40">
        <f>(Assumptions!$B$34-Assumptions!$B$34)/(Assumptions!$B$34-Assumptions!$F$34)</f>
        <v/>
      </c>
      <c r="C16" s="40">
        <f>(Assumptions!$B$34-Assumptions!$C$34)/(Assumptions!$B$34-Assumptions!$F$34)</f>
        <v/>
      </c>
      <c r="D16" s="40">
        <f>(Assumptions!$B$34-Assumptions!$D$34)/(Assumptions!$B$34-Assumptions!$F$34)</f>
        <v/>
      </c>
      <c r="E16" s="40">
        <f>(Assumptions!$B$34-Assumptions!$E$34)/(Assumptions!$B$34-Assumptions!$F$34)</f>
        <v/>
      </c>
      <c r="F16" s="40">
        <f>(Assumptions!$B$34-Assumptions!$F$34)/(Assumptions!$B$34-Assumptions!$F$34)</f>
        <v/>
      </c>
    </row>
    <row r="17">
      <c r="A17" t="inlineStr">
        <is>
          <t>Forward cost of capital</t>
        </is>
      </c>
      <c r="B17" s="41">
        <f>$C$40-($C$40-$C$50)*B16</f>
        <v/>
      </c>
      <c r="C17" s="41">
        <f>$C$40-($C$40-$C$50)*C16</f>
        <v/>
      </c>
      <c r="D17" s="41">
        <f>$C$40-($C$40-$C$50)*D16</f>
        <v/>
      </c>
      <c r="E17" s="41">
        <f>$C$40-($C$40-$C$50)*E16</f>
        <v/>
      </c>
      <c r="F17" s="41">
        <f>$C$40-($C$40-$C$50)*F16</f>
        <v/>
      </c>
    </row>
    <row r="18">
      <c r="A18" t="inlineStr">
        <is>
          <t>Discount factor</t>
        </is>
      </c>
      <c r="B18" s="40">
        <f>1/(1+B17)^((1-Assumptions!$B$51)/2)</f>
        <v/>
      </c>
      <c r="C18" s="40">
        <f>1/((1+B17)^(1-Assumptions!$B$51)*(1+C17)^0.5)</f>
        <v/>
      </c>
      <c r="D18" s="40">
        <f>1/((1+B17)^(1-Assumptions!$B$51)*(1+C17)*(1+D17)^0.5)</f>
        <v/>
      </c>
      <c r="E18" s="40">
        <f>1/((1+B17)^(1-Assumptions!$B$51)*(1+C17)*(1+D17)*(1+E17)^0.5)</f>
        <v/>
      </c>
      <c r="F18" s="40">
        <f>1/((1+B17)^(1-Assumptions!$B$51)*(1+C17)*(1+D17)*(1+E17)*(1+F17)^0.5)</f>
        <v/>
      </c>
    </row>
    <row r="19">
      <c r="A19" t="inlineStr">
        <is>
          <t>PRESENT VALUE OF FCFF</t>
        </is>
      </c>
      <c r="B19" s="17">
        <f>B15*B18</f>
        <v/>
      </c>
      <c r="C19" s="17">
        <f>C15*C18</f>
        <v/>
      </c>
      <c r="D19" s="17">
        <f>D15*D18</f>
        <v/>
      </c>
      <c r="E19" s="17">
        <f>E15*E18</f>
        <v/>
      </c>
      <c r="F19" s="17">
        <f>F15*F18</f>
        <v/>
      </c>
    </row>
    <row r="21">
      <c r="A21" s="15" t="inlineStr">
        <is>
          <t>TERMINAL BLOCK</t>
        </is>
      </c>
      <c r="B21" s="15" t="n"/>
      <c r="C21" s="15" t="n"/>
      <c r="D21" s="15" t="n"/>
      <c r="E21" s="15" t="n"/>
      <c r="F21" s="15" t="n"/>
      <c r="G21" s="15" t="n"/>
      <c r="H21" s="15" t="n"/>
    </row>
    <row r="22">
      <c r="A22" t="inlineStr">
        <is>
          <t>Replacement-cost invested capital, in TERMINAL-year pounds (EGP mn)</t>
        </is>
      </c>
      <c r="B22" s="17">
        <f>Assumptions!$B$13*Assumptions!$B$152*Assumptions!$B$11*Assumptions!$G$29</f>
        <v/>
      </c>
      <c r="C22" t="inlineStr">
        <is>
          <t>Capital maintenance at the DISCLOSED 20-year useful life  (replacement cost / life)</t>
        </is>
      </c>
      <c r="D22" s="17">
        <f>B22/20.0</f>
        <v/>
      </c>
    </row>
    <row r="23">
      <c r="A23" t="inlineStr">
        <is>
          <t>Terminal NOPAT  (year 5 NOPAT grown at g)</t>
        </is>
      </c>
      <c r="B23" s="17">
        <f>F11*(1+Assumptions!$B$50)</f>
        <v/>
      </c>
      <c r="C23" t="inlineStr">
        <is>
          <t>Book depreciation already inside terminal NOPAT, added back</t>
        </is>
      </c>
      <c r="D23" s="17">
        <f>F8</f>
        <v/>
      </c>
    </row>
    <row r="24">
      <c r="A24" t="inlineStr">
        <is>
          <t>Memo: return on invested capital at replacement cost</t>
        </is>
      </c>
      <c r="B24" s="8">
        <f>B23/B22</f>
        <v/>
      </c>
      <c r="C24" t="inlineStr">
        <is>
          <t>Inflation on working capital  (terminal inflation x working-capital level)</t>
        </is>
      </c>
      <c r="D24" s="17">
        <f>Assumptions!$B$50*F5*0.12000000</f>
        <v/>
      </c>
    </row>
    <row r="25">
      <c r="A25" t="inlineStr">
        <is>
          <t>Memo: FY2025 return on BOOK invested capital</t>
        </is>
      </c>
      <c r="B25" s="8">
        <f>('Income Statement'!D12*(1-Assumptions!$B$9))/(Assumptions!$B$115+$C$44)</f>
        <v/>
      </c>
      <c r="C25" t="inlineStr">
        <is>
          <t>Growth capital  (REAL growth x replacement cost; real growth derives from the nominal rate and the house inflation path)</t>
        </is>
      </c>
      <c r="D25" s="17">
        <f>((1+Assumptions!$B$50)/(1+0.07000000)-1)*B22</f>
        <v/>
      </c>
    </row>
    <row r="26">
      <c r="A26" t="inlineStr">
        <is>
          <t>Memo: reinvestment rate the RETIRED construction charged  (g / return)</t>
        </is>
      </c>
      <c r="B26" s="8">
        <f>Assumptions!$B$50/B24</f>
        <v/>
      </c>
      <c r="C26" t="inlineStr">
        <is>
          <t>Terminal free cash flow  (NOPAT + depreciation - maintenance - working capital - growth capital)</t>
        </is>
      </c>
      <c r="D26" s="17">
        <f>F11+D23-D22-D24-D25</f>
        <v/>
      </c>
    </row>
    <row r="27">
      <c r="A27" t="inlineStr">
        <is>
          <t>Terminal value</t>
        </is>
      </c>
      <c r="B27" s="17">
        <f>D26*(1+Assumptions!$B$50)/($C$50-Assumptions!$B$50)</f>
        <v/>
      </c>
    </row>
    <row r="28">
      <c r="A28" t="inlineStr">
        <is>
          <t>Present value of terminal value</t>
        </is>
      </c>
      <c r="B28" s="17">
        <f>B27*B29</f>
        <v/>
      </c>
    </row>
    <row r="29">
      <c r="A29" t="inlineStr">
        <is>
          <t>End-of-window discount factor  (t = 4.417y, not the year-5 mid-point)</t>
        </is>
      </c>
      <c r="B29" s="40">
        <f>1/((1+B17)^(1-Assumptions!$B$51)*(1+C17)*(1+D17)*(1+E17)*(1+F17))</f>
        <v/>
      </c>
    </row>
    <row r="30">
      <c r="A30" s="15" t="inlineStr">
        <is>
          <t>ENTERPRISE TO EQUITY BRIDGE</t>
        </is>
      </c>
      <c r="B30" s="15" t="n"/>
      <c r="C30" s="15" t="n"/>
      <c r="D30" s="15" t="n"/>
      <c r="E30" s="15" t="n"/>
      <c r="F30" s="15" t="n"/>
      <c r="G30" s="15" t="n"/>
      <c r="H30" s="15" t="n"/>
    </row>
    <row r="31">
      <c r="A31" t="inlineStr">
        <is>
          <t>Present value of explicit years (FY2026E-FY2030E)</t>
        </is>
      </c>
      <c r="B31" s="17">
        <f>SUM(B19:F19)</f>
        <v/>
      </c>
    </row>
    <row r="32">
      <c r="A32" t="inlineStr">
        <is>
          <t>Present value of terminal value</t>
        </is>
      </c>
      <c r="B32" s="17">
        <f>B28</f>
        <v/>
      </c>
    </row>
    <row r="33">
      <c r="A33" t="inlineStr">
        <is>
          <t>Enterprise value</t>
        </is>
      </c>
      <c r="B33" s="36">
        <f>B31+B32</f>
        <v/>
      </c>
    </row>
    <row r="34">
      <c r="A34" t="inlineStr">
        <is>
          <t>TERMINAL VALUE AS % OF ENTERPRISE VALUE</t>
        </is>
      </c>
      <c r="B34" s="12">
        <f>B32/B33</f>
        <v/>
      </c>
    </row>
    <row r="35">
      <c r="A35" t="inlineStr">
        <is>
          <t>Cash and bank balances, reviewed 30 June 2026 — THE DISCLOSED BALANCE</t>
        </is>
      </c>
      <c r="B35" s="17">
        <f>Assumptions!$B$139</f>
        <v/>
      </c>
      <c r="E35" t="inlineStr">
        <is>
          <t>COST OF CAPITAL — BUILT HERE, FACILITY BY FACILITY (labels in column E:</t>
        </is>
      </c>
    </row>
    <row r="36">
      <c r="A36" t="inlineStr">
        <is>
          <t>(memo) the roll-forward the previous edition had to use instead</t>
        </is>
      </c>
      <c r="B36" s="17">
        <f>Assumptions!$B$112+B15/(1-Assumptions!$B$51)*Assumptions!$B$51+Assumptions!$B$112*Assumptions!$B$35*Assumptions!$B$51*(1-Assumptions!$B$9)-Assumptions!$B$131</f>
        <v/>
      </c>
      <c r="C36" s="41">
        <f>Assumptions!$B$40</f>
        <v/>
      </c>
      <c r="E36" t="inlineStr">
        <is>
          <t>Risk-free rate (observed EGP 10-year)</t>
        </is>
      </c>
    </row>
    <row r="37">
      <c r="A37" t="inlineStr">
        <is>
          <t>(memo) what that roll-forward missed, per share</t>
        </is>
      </c>
      <c r="B37" s="42">
        <f>(B36-Assumptions!$B$138-B38-B39)/B43</f>
        <v/>
      </c>
      <c r="C37" s="41">
        <f>-Assumptions!$B$41</f>
        <v/>
      </c>
      <c r="E37" t="inlineStr">
        <is>
          <t>Less sovereign default spread</t>
        </is>
      </c>
    </row>
    <row r="38">
      <c r="A38" t="inlineStr">
        <is>
          <t>Cash at the valuation date (30 June 2026)</t>
        </is>
      </c>
      <c r="B38" s="17">
        <f>Assumptions!$B$139</f>
        <v/>
      </c>
      <c r="C38" s="41">
        <f>C36+C37</f>
        <v/>
      </c>
      <c r="E38" t="inlineStr">
        <is>
          <t>Normalised risk-free rate</t>
        </is>
      </c>
    </row>
    <row r="39">
      <c r="A39" t="inlineStr">
        <is>
          <t>Less interest-bearing debt, reviewed 30 June 2026</t>
        </is>
      </c>
      <c r="B39" s="17">
        <f>-Assumptions!$B$140</f>
        <v/>
      </c>
      <c r="C39" s="41">
        <f>C38+Assumptions!$B$10*Assumptions!$B$42</f>
        <v/>
      </c>
      <c r="E39" t="inlineStr">
        <is>
          <t>Cost of equity  (rf* + beta × premium)</t>
        </is>
      </c>
    </row>
    <row r="40">
      <c r="A40" t="inlineStr">
        <is>
          <t>Net cash (ADDED — the company is net cash)</t>
        </is>
      </c>
      <c r="B40" s="17">
        <f>B38+B39</f>
        <v/>
      </c>
      <c r="C40" s="43">
        <f>(1-C43)*C39+C43*C42</f>
        <v/>
      </c>
      <c r="E40" t="inlineStr">
        <is>
          <t>WACC — explicit window</t>
        </is>
      </c>
    </row>
    <row r="41">
      <c r="A41" t="inlineStr">
        <is>
          <t>Less non-controlling interests (reviewed 30 June 2026)</t>
        </is>
      </c>
      <c r="B41" s="42">
        <f>-Assumptions!$B$141</f>
        <v/>
      </c>
      <c r="C41" s="43">
        <f>(Assumptions!$B$120*Assumptions!$B$44+Assumptions!$B$121*(Assumptions!$B$43+0.03+Assumptions!$B$45)+Assumptions!$B$122*(Assumptions!$B$43+0.0435+Assumptions!$B$45)+Assumptions!$B$123*Assumptions!$B$44)/C44</f>
        <v/>
      </c>
      <c r="E41" t="inlineStr">
        <is>
          <t>Cost of debt, blended by currency, POUND-EQUIVALENT</t>
        </is>
      </c>
    </row>
    <row r="42">
      <c r="A42" t="inlineStr">
        <is>
          <t>Equity value</t>
        </is>
      </c>
      <c r="B42" s="36">
        <f>B33+B40+B41</f>
        <v/>
      </c>
      <c r="C42" s="41">
        <f>C41*(1-Assumptions!$B$8)</f>
        <v/>
      </c>
      <c r="E42" t="inlineStr">
        <is>
          <t>Cost of debt after tax</t>
        </is>
      </c>
    </row>
    <row r="43">
      <c r="A43" t="inlineStr">
        <is>
          <t>Shares outstanding (mn)</t>
        </is>
      </c>
      <c r="B43" s="42">
        <f>Assumptions!$B$6-Assumptions!$B$7</f>
        <v/>
      </c>
      <c r="C43" s="41">
        <f>C44/(C44+C45)</f>
        <v/>
      </c>
      <c r="E43" t="inlineStr">
        <is>
          <t>Debt weight  D/(D+E)</t>
        </is>
      </c>
    </row>
    <row r="44">
      <c r="A44" t="inlineStr">
        <is>
          <t>FAIR VALUE PER SHARE (EGP)</t>
        </is>
      </c>
      <c r="B44" s="11">
        <f>B42/B43</f>
        <v/>
      </c>
      <c r="C44" s="17">
        <f>Assumptions!$B$120+Assumptions!$B$121+Assumptions!$B$122+Assumptions!$B$123</f>
        <v/>
      </c>
      <c r="E44" t="inlineStr">
        <is>
          <t>Total interest-bearing debt</t>
        </is>
      </c>
    </row>
    <row r="45">
      <c r="C45" s="17">
        <f>Assumptions!$B$5*(Assumptions!$B$6-Assumptions!$B$7)</f>
        <v/>
      </c>
      <c r="E45" t="inlineStr">
        <is>
          <t>Market capitalisation</t>
        </is>
      </c>
    </row>
    <row r="46">
      <c r="C46" s="8">
        <f>(Assumptions!$B$121+Assumptions!$B$122)/C44</f>
        <v/>
      </c>
      <c r="E46" t="inlineStr">
        <is>
          <t>Euro share of the debt book</t>
        </is>
      </c>
    </row>
    <row r="47">
      <c r="C47" s="33">
        <f>Assumptions!$B$10/(1+(1-Assumptions!$B$8)*C43/(1-C43))*(1+(1-Assumptions!$B$8)*Assumptions!$B$49/(1-Assumptions!$B$49))</f>
        <v/>
      </c>
      <c r="E47" t="inlineStr">
        <is>
          <t>Terminal beta, UNLEVERED at the observed structure then re-levered</t>
        </is>
      </c>
    </row>
    <row r="48">
      <c r="C48" s="41">
        <f>Assumptions!$B$47+C47*Assumptions!$B$48</f>
        <v/>
      </c>
      <c r="E48" t="inlineStr">
        <is>
          <t>Terminal cost of equity</t>
        </is>
      </c>
    </row>
    <row r="49">
      <c r="C49" s="41">
        <f>Assumptions!$B$46*(1-Assumptions!$B$8)</f>
        <v/>
      </c>
      <c r="E49" t="inlineStr">
        <is>
          <t>Terminal cost of debt after tax</t>
        </is>
      </c>
    </row>
    <row r="50">
      <c r="C50" s="43">
        <f>(1-Assumptions!$B$49)*C48+Assumptions!$B$49*C49</f>
        <v/>
      </c>
      <c r="E50" t="inlineStr">
        <is>
          <t>WACC — terminal</t>
        </is>
      </c>
    </row>
    <row r="51">
      <c r="C51" s="41">
        <f>Assumptions!$B$40+Assumptions!$B$10*Assumptions!$B$42</f>
        <v/>
      </c>
      <c r="E51" t="inlineStr">
        <is>
          <t>Memo: retired construction, risk-free NOT netted</t>
        </is>
      </c>
    </row>
    <row r="52">
      <c r="C52" s="17">
        <f>(C51-C39)*10000</f>
        <v/>
      </c>
      <c r="E52" t="inlineStr">
        <is>
          <t>Memo: sovereign double-count removed (basis points)</t>
        </is>
      </c>
    </row>
    <row r="54">
      <c r="A54" s="15" t="inlineStr">
        <is>
          <t>COST-OF-DEBT INTEGRITY — THE EVIDENCE, NOT THE ASSERTION</t>
        </is>
      </c>
      <c r="B54" s="15" t="n"/>
      <c r="C54" s="15" t="n"/>
      <c r="D54" s="15" t="n"/>
      <c r="E54" s="15" t="n"/>
      <c r="F54" s="15" t="n"/>
      <c r="G54" s="15" t="n"/>
      <c r="H54" s="15" t="n"/>
    </row>
    <row r="55">
      <c r="A55" t="inlineStr">
        <is>
          <t>Euro share of the book (audited note 25)</t>
        </is>
      </c>
      <c r="B55" s="8">
        <f>C46</f>
        <v/>
      </c>
    </row>
    <row r="56">
      <c r="A56" t="inlineStr">
        <is>
          <t>CIB facility rate — EGP corridor + 0.6%</t>
        </is>
      </c>
      <c r="B56" s="41">
        <f>Assumptions!$B$44</f>
        <v/>
      </c>
    </row>
    <row r="57">
      <c r="A57" t="inlineStr">
        <is>
          <t>NBE/KfW facility rate — Euribor + 3.00%</t>
        </is>
      </c>
      <c r="B57" s="41">
        <f>Assumptions!$B$43+0.03</f>
        <v/>
      </c>
    </row>
    <row r="58">
      <c r="A58" t="inlineStr">
        <is>
          <t>EBRD facility rate — Euribor + 4.35%</t>
        </is>
      </c>
      <c r="B58" s="41">
        <f>Assumptions!$B$43+0.0435</f>
        <v/>
      </c>
    </row>
    <row r="59">
      <c r="A59" t="inlineStr">
        <is>
          <t>ADOPTED blended cost of debt</t>
        </is>
      </c>
      <c r="B59" s="43">
        <f>C41</f>
        <v/>
      </c>
    </row>
    <row r="60">
      <c r="A60" t="inlineStr">
        <is>
          <t>Effective rate computed FY2024 (interest / average debt)</t>
        </is>
      </c>
      <c r="B60" s="41">
        <f>(Assumptions!$B$128+Assumptions!$B$129)/((Assumptions!$B$125+Assumptions!$B$124)/2)</f>
        <v/>
      </c>
    </row>
    <row r="61">
      <c r="A61" t="inlineStr">
        <is>
          <t>Effective rate computed FY2025</t>
        </is>
      </c>
      <c r="B61" s="41">
        <f>(Assumptions!$B$126+Assumptions!$B$127)/((Assumptions!$B$124+C44-Assumptions!$B$123)/2)</f>
        <v/>
      </c>
    </row>
    <row r="62">
      <c r="A62" t="inlineStr">
        <is>
          <t>Effective rate computed Q1-2026, annualised</t>
        </is>
      </c>
      <c r="B62" s="41">
        <f>Assumptions!$B$150*4/((C44+Assumptions!$B$138)/2)</f>
        <v/>
      </c>
    </row>
    <row r="63">
      <c r="A63" t="inlineStr">
        <is>
          <t>Pound-EQUIVALENT cost of debt under interest parity</t>
        </is>
      </c>
      <c r="B63" s="43">
        <f>(Assumptions!$B$120*Assumptions!$B$44+Assumptions!$B$121*(Assumptions!$B$43+0.03+Assumptions!$B$45)+Assumptions!$B$122*(Assumptions!$B$43+0.0435+Assumptions!$B$45)+Assumptions!$B$123*Assumptions!$B$44)/C44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Assumptions!$B$53</f>
        <v/>
      </c>
      <c r="C5" s="14">
        <f>Assumptions!$B$54</f>
        <v/>
      </c>
      <c r="D5" s="14">
        <f>Assumptions!$B$55</f>
        <v/>
      </c>
      <c r="E5" s="14">
        <f>DCF!B5</f>
        <v/>
      </c>
      <c r="F5" s="14">
        <f>DCF!C5</f>
        <v/>
      </c>
      <c r="G5" s="14">
        <f>DCF!D5</f>
        <v/>
      </c>
      <c r="H5" s="14">
        <f>DCF!E5</f>
        <v/>
      </c>
      <c r="I5" s="14">
        <f>DCF!F5</f>
        <v/>
      </c>
    </row>
    <row r="6">
      <c r="A6" t="inlineStr">
        <is>
          <t>Cost of sales</t>
        </is>
      </c>
      <c r="B6" s="14">
        <f>-Assumptions!$B$56</f>
        <v/>
      </c>
      <c r="C6" s="14">
        <f>-Assumptions!$B$57</f>
        <v/>
      </c>
      <c r="D6" s="14">
        <f>-Assumptions!$B$58</f>
        <v/>
      </c>
      <c r="E6" s="17" t="n"/>
      <c r="F6" s="17" t="n"/>
      <c r="G6" s="17" t="n"/>
      <c r="H6" s="17" t="n"/>
      <c r="I6" s="17" t="n"/>
    </row>
    <row r="7">
      <c r="A7" t="inlineStr">
        <is>
          <t>Gross profit</t>
        </is>
      </c>
      <c r="B7" s="17">
        <f>B5+B6</f>
        <v/>
      </c>
      <c r="C7" s="17">
        <f>C5+C6</f>
        <v/>
      </c>
      <c r="D7" s="17">
        <f>D5+D6</f>
        <v/>
      </c>
    </row>
    <row r="8">
      <c r="A8" t="inlineStr">
        <is>
          <t>Gross margin</t>
        </is>
      </c>
      <c r="B8" s="8">
        <f>B7/B5</f>
        <v/>
      </c>
      <c r="C8" s="8">
        <f>C7/C5</f>
        <v/>
      </c>
      <c r="D8" s="8">
        <f>D7/D5</f>
        <v/>
      </c>
    </row>
    <row r="9">
      <c r="A9" t="inlineStr">
        <is>
          <t>General and administrative expenses</t>
        </is>
      </c>
      <c r="B9" s="14">
        <f>-Assumptions!$B$59</f>
        <v/>
      </c>
      <c r="C9" s="14">
        <f>-Assumptions!$B$60</f>
        <v/>
      </c>
      <c r="D9" s="14">
        <f>-Assumptions!$B$61</f>
        <v/>
      </c>
    </row>
    <row r="10">
      <c r="A10" t="inlineStr">
        <is>
          <t>Provisions and credit losses</t>
        </is>
      </c>
      <c r="B10" s="14">
        <f>-Assumptions!$B$62-Assumptions!$B$65</f>
        <v/>
      </c>
      <c r="C10" s="14">
        <f>-Assumptions!$B$63-Assumptions!$B$66</f>
        <v/>
      </c>
      <c r="D10" s="14">
        <f>-Assumptions!$B$64-Assumptions!$B$67</f>
        <v/>
      </c>
    </row>
    <row r="11">
      <c r="A11" t="inlineStr">
        <is>
          <t>OPERATING PROFIT</t>
        </is>
      </c>
      <c r="B11" s="36">
        <f>B7+B9+B10</f>
        <v/>
      </c>
      <c r="C11" s="36">
        <f>C7+C9+C10</f>
        <v/>
      </c>
      <c r="D11" s="36">
        <f>D7+D9+D10</f>
        <v/>
      </c>
      <c r="E11" s="36">
        <f>E14-E13+Assumptions!$B$147*'Segments'!C60+Assumptions!$B$147*'Segments'!C61+Assumptions!$B$148*Assumptions!$C$29</f>
        <v/>
      </c>
      <c r="F11" s="36">
        <f>F14-F13+Assumptions!$B$147*'Segments'!D60+Assumptions!$B$147*'Segments'!D61+Assumptions!$B$148*Assumptions!$D$29</f>
        <v/>
      </c>
      <c r="G11" s="36">
        <f>G14-G13+Assumptions!$B$147*'Segments'!E60+Assumptions!$B$147*'Segments'!E61+Assumptions!$B$148*Assumptions!$E$29</f>
        <v/>
      </c>
      <c r="H11" s="36">
        <f>H14-H13+Assumptions!$B$147*'Segments'!F60+Assumptions!$B$147*'Segments'!F61+Assumptions!$B$148*Assumptions!$F$29</f>
        <v/>
      </c>
      <c r="I11" s="36">
        <f>I14-I13+Assumptions!$B$147*'Segments'!G60+Assumptions!$B$147*'Segments'!G61+Assumptions!$B$148*Assumptions!$G$29</f>
        <v/>
      </c>
    </row>
    <row r="12">
      <c r="A12" t="inlineStr">
        <is>
          <t>Operating profit, opening the EBITDA bridge</t>
        </is>
      </c>
      <c r="B12" s="17">
        <f>B11</f>
        <v/>
      </c>
      <c r="C12" s="17">
        <f>C11</f>
        <v/>
      </c>
      <c r="D12" s="17">
        <f>D11</f>
        <v/>
      </c>
      <c r="E12" s="17">
        <f>E11</f>
        <v/>
      </c>
      <c r="F12" s="17">
        <f>F11</f>
        <v/>
      </c>
      <c r="G12" s="17">
        <f>G11</f>
        <v/>
      </c>
      <c r="H12" s="17">
        <f>H11</f>
        <v/>
      </c>
      <c r="I12" s="17">
        <f>I11</f>
        <v/>
      </c>
    </row>
    <row r="13">
      <c r="A13" t="inlineStr">
        <is>
          <t>Depreciation and amortisation</t>
        </is>
      </c>
      <c r="B13" s="14">
        <f>Assumptions!$B$80</f>
        <v/>
      </c>
      <c r="C13" s="14">
        <f>Assumptions!$B$81</f>
        <v/>
      </c>
      <c r="D13" s="14">
        <f>Assumptions!$B$82</f>
        <v/>
      </c>
      <c r="E13" s="14">
        <f>DCF!B8</f>
        <v/>
      </c>
      <c r="F13" s="14">
        <f>DCF!C8</f>
        <v/>
      </c>
      <c r="G13" s="14">
        <f>DCF!D8</f>
        <v/>
      </c>
      <c r="H13" s="14">
        <f>DCF!E8</f>
        <v/>
      </c>
      <c r="I13" s="14">
        <f>DCF!F8</f>
        <v/>
      </c>
    </row>
    <row r="14">
      <c r="A14" t="inlineStr">
        <is>
          <t>EBITDA</t>
        </is>
      </c>
      <c r="B14" s="36">
        <f>B12+B13</f>
        <v/>
      </c>
      <c r="C14" s="36">
        <f>C12+C13</f>
        <v/>
      </c>
      <c r="D14" s="36">
        <f>D12+D13</f>
        <v/>
      </c>
      <c r="E14" s="31">
        <f>DCF!B7</f>
        <v/>
      </c>
      <c r="F14" s="31">
        <f>DCF!C7</f>
        <v/>
      </c>
      <c r="G14" s="31">
        <f>DCF!D7</f>
        <v/>
      </c>
      <c r="H14" s="31">
        <f>DCF!E7</f>
        <v/>
      </c>
      <c r="I14" s="31">
        <f>DCF!F7</f>
        <v/>
      </c>
    </row>
    <row r="15">
      <c r="A15" t="inlineStr">
        <is>
          <t>EBITDA margin</t>
        </is>
      </c>
      <c r="B15" s="8">
        <f>B14/B5</f>
        <v/>
      </c>
      <c r="C15" s="8">
        <f>C14/C5</f>
        <v/>
      </c>
      <c r="D15" s="8">
        <f>D14/D5</f>
        <v/>
      </c>
      <c r="E15" s="8">
        <f>E14/E5</f>
        <v/>
      </c>
      <c r="F15" s="8">
        <f>F14/F5</f>
        <v/>
      </c>
      <c r="G15" s="8">
        <f>G14/G5</f>
        <v/>
      </c>
      <c r="H15" s="8">
        <f>H14/H5</f>
        <v/>
      </c>
      <c r="I15" s="8">
        <f>I14/I5</f>
        <v/>
      </c>
    </row>
    <row r="16">
      <c r="A16" t="inlineStr">
        <is>
          <t>Net finance and other income</t>
        </is>
      </c>
      <c r="B16" s="17">
        <f>Assumptions!$B$68-B11</f>
        <v/>
      </c>
      <c r="C16" s="17">
        <f>Assumptions!$B$69-C11</f>
        <v/>
      </c>
      <c r="D16" s="17">
        <f>Assumptions!$B$86+Assumptions!$B$87-Assumptions!$B$88+Assumptions!$B$89+1.14</f>
        <v/>
      </c>
      <c r="E16" s="17">
        <f>('Balance Sheet'!D9-Assumptions!$B$131)*Assumptions!$B$35-DCF!$C$44*(1-DCF!$C$46)*Assumptions!$B$34-DCF!$C$44*DCF!$C$46*(Assumptions!$B$43+0.0435)</f>
        <v/>
      </c>
      <c r="F16" s="17">
        <f>'Balance Sheet'!E9*Assumptions!$C$35-DCF!$C$44*(1-DCF!$C$46)*Assumptions!$C$34-DCF!$C$44*DCF!$C$46*(Assumptions!$B$43+0.0435)</f>
        <v/>
      </c>
      <c r="G16" s="17">
        <f>'Balance Sheet'!F9*Assumptions!$D$35-DCF!$C$44*(1-DCF!$C$46)*Assumptions!$D$34-DCF!$C$44*DCF!$C$46*(Assumptions!$B$43+0.0435)</f>
        <v/>
      </c>
      <c r="H16" s="17">
        <f>'Balance Sheet'!G9*Assumptions!$E$35-DCF!$C$44*(1-DCF!$C$46)*Assumptions!$E$34-DCF!$C$44*DCF!$C$46*(Assumptions!$B$43+0.0435)</f>
        <v/>
      </c>
      <c r="I16" s="17">
        <f>'Balance Sheet'!H9*Assumptions!$F$35-DCF!$C$44*(1-DCF!$C$46)*Assumptions!$F$34-DCF!$C$44*DCF!$C$46*(Assumptions!$B$43+0.0435)</f>
        <v/>
      </c>
    </row>
    <row r="17">
      <c r="A17" t="inlineStr">
        <is>
          <t>Profit before tax</t>
        </is>
      </c>
      <c r="B17" s="14">
        <f>Assumptions!$B$68</f>
        <v/>
      </c>
      <c r="C17" s="14">
        <f>Assumptions!$B$69</f>
        <v/>
      </c>
      <c r="D17" s="14">
        <f>Assumptions!$B$70</f>
        <v/>
      </c>
      <c r="E17" s="17">
        <f>E11+E16</f>
        <v/>
      </c>
      <c r="F17" s="17">
        <f>F11+F16</f>
        <v/>
      </c>
      <c r="G17" s="17">
        <f>G11+G16</f>
        <v/>
      </c>
      <c r="H17" s="17">
        <f>H11+H16</f>
        <v/>
      </c>
      <c r="I17" s="17">
        <f>I11+I16</f>
        <v/>
      </c>
    </row>
    <row r="18">
      <c r="A18" t="inlineStr">
        <is>
          <t>Income tax</t>
        </is>
      </c>
      <c r="B18" s="14">
        <f>-Assumptions!$B$71</f>
        <v/>
      </c>
      <c r="C18" s="14">
        <f>-Assumptions!$B$72</f>
        <v/>
      </c>
      <c r="D18" s="14">
        <f>-Assumptions!$B$73</f>
        <v/>
      </c>
      <c r="E18" s="17">
        <f>-E17*Assumptions!$B$9</f>
        <v/>
      </c>
      <c r="F18" s="17">
        <f>-F17*Assumptions!$B$9</f>
        <v/>
      </c>
      <c r="G18" s="17">
        <f>-G17*Assumptions!$B$9</f>
        <v/>
      </c>
      <c r="H18" s="17">
        <f>-H17*Assumptions!$B$9</f>
        <v/>
      </c>
      <c r="I18" s="17">
        <f>-I17*Assumptions!$B$9</f>
        <v/>
      </c>
    </row>
    <row r="19">
      <c r="A19" t="inlineStr">
        <is>
          <t>Effective tax rate</t>
        </is>
      </c>
      <c r="B19" s="8">
        <f>-B18/B17</f>
        <v/>
      </c>
      <c r="C19" s="8">
        <f>-C18/C17</f>
        <v/>
      </c>
      <c r="D19" s="8">
        <f>-D18/D17</f>
        <v/>
      </c>
      <c r="E19" s="8">
        <f>-E18/E17</f>
        <v/>
      </c>
      <c r="F19" s="8">
        <f>-F18/F17</f>
        <v/>
      </c>
      <c r="G19" s="8">
        <f>-G18/G17</f>
        <v/>
      </c>
      <c r="H19" s="8">
        <f>-H18/H17</f>
        <v/>
      </c>
      <c r="I19" s="8">
        <f>-I18/I17</f>
        <v/>
      </c>
    </row>
    <row r="20">
      <c r="A20" t="inlineStr">
        <is>
          <t>Attributable profit</t>
        </is>
      </c>
      <c r="B20" s="31">
        <f>Assumptions!$B$74</f>
        <v/>
      </c>
      <c r="C20" s="31">
        <f>Assumptions!$B$75</f>
        <v/>
      </c>
      <c r="D20" s="31">
        <f>Assumptions!$B$76</f>
        <v/>
      </c>
      <c r="E20" s="36">
        <f>E17+E18</f>
        <v/>
      </c>
      <c r="F20" s="36">
        <f>F17+F18</f>
        <v/>
      </c>
      <c r="G20" s="36">
        <f>G17+G18</f>
        <v/>
      </c>
      <c r="H20" s="36">
        <f>H17+H18</f>
        <v/>
      </c>
      <c r="I20" s="36">
        <f>I17+I18</f>
        <v/>
      </c>
    </row>
    <row r="21">
      <c r="A21" t="inlineStr">
        <is>
          <t>Earnings per share (EGP)</t>
        </is>
      </c>
      <c r="B21" s="10">
        <f>Assumptions!$B$77</f>
        <v/>
      </c>
      <c r="C21" s="10">
        <f>Assumptions!$B$78</f>
        <v/>
      </c>
      <c r="D21" s="10">
        <f>Assumptions!$B$79</f>
        <v/>
      </c>
      <c r="E21" s="13">
        <f>E20/DCF!$B$43</f>
        <v/>
      </c>
      <c r="F21" s="13">
        <f>F20/DCF!$B$43</f>
        <v/>
      </c>
      <c r="G21" s="13">
        <f>G20/DCF!$B$43</f>
        <v/>
      </c>
      <c r="H21" s="13">
        <f>H20/DCF!$B$43</f>
        <v/>
      </c>
      <c r="I21" s="13">
        <f>I20/DCF!$B$43</f>
        <v/>
      </c>
    </row>
    <row r="22">
      <c r="A22" t="inlineStr">
        <is>
          <t>Dividends declared</t>
        </is>
      </c>
      <c r="C22" s="14">
        <f>Assumptions!$B$132</f>
        <v/>
      </c>
      <c r="D22" s="14">
        <f>Assumptions!$B$131</f>
        <v/>
      </c>
      <c r="E22" s="17">
        <f>E20*Assumptions!$B$38</f>
        <v/>
      </c>
      <c r="F22" s="17">
        <f>F20*Assumptions!$B$38</f>
        <v/>
      </c>
      <c r="G22" s="17">
        <f>G20*Assumptions!$B$38</f>
        <v/>
      </c>
      <c r="H22" s="17">
        <f>H20*Assumptions!$B$38</f>
        <v/>
      </c>
      <c r="I22" s="17">
        <f>I20*Assumptions!$B$38</f>
        <v/>
      </c>
    </row>
    <row r="23">
      <c r="A23" t="inlineStr">
        <is>
          <t>Dividend per share (EGP)</t>
        </is>
      </c>
      <c r="C23" s="13">
        <f>C22/DCF!$B$43</f>
        <v/>
      </c>
      <c r="D23" s="13">
        <f>D22/DCF!$B$43</f>
        <v/>
      </c>
      <c r="E23" s="13">
        <f>E22/DCF!$B$43</f>
        <v/>
      </c>
      <c r="F23" s="13">
        <f>F22/DCF!$B$43</f>
        <v/>
      </c>
      <c r="G23" s="13">
        <f>G22/DCF!$B$43</f>
        <v/>
      </c>
      <c r="H23" s="13">
        <f>H22/DCF!$B$43</f>
        <v/>
      </c>
      <c r="I23" s="13">
        <f>I22/DCF!$B$43</f>
        <v/>
      </c>
    </row>
    <row r="24">
      <c r="A24" t="inlineStr">
        <is>
          <t>FY2025 check: components of non-operating income against the audited residual</t>
        </is>
      </c>
      <c r="B24" s="42">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4">
        <f>Assumptions!$B$106</f>
        <v/>
      </c>
    </row>
    <row r="6">
      <c r="A6" t="inlineStr">
        <is>
          <t>Assets under construction</t>
        </is>
      </c>
      <c r="D6" s="14">
        <f>Assumptions!$B$107</f>
        <v/>
      </c>
    </row>
    <row r="7">
      <c r="A7" t="inlineStr">
        <is>
          <t>Intangible assets</t>
        </is>
      </c>
      <c r="D7" s="14">
        <f>Assumptions!$B$108</f>
        <v/>
      </c>
    </row>
    <row r="8">
      <c r="A8" t="inlineStr">
        <is>
          <t>Total non-current assets</t>
        </is>
      </c>
      <c r="D8" s="17">
        <f>SUM(D5:D7)</f>
        <v/>
      </c>
      <c r="E8" s="17">
        <f>D8-DCF!B8-DCF!B13</f>
        <v/>
      </c>
      <c r="F8" s="17">
        <f>E8-DCF!C8-DCF!C13</f>
        <v/>
      </c>
      <c r="G8" s="17">
        <f>F8-DCF!D8-DCF!D13</f>
        <v/>
      </c>
      <c r="H8" s="17">
        <f>G8-DCF!E8-DCF!E13</f>
        <v/>
      </c>
      <c r="I8" s="17">
        <f>H8-DCF!F8-DCF!F13</f>
        <v/>
      </c>
    </row>
    <row r="9">
      <c r="A9" t="inlineStr">
        <is>
          <t>Cash and bank balances</t>
        </is>
      </c>
      <c r="B9" s="14">
        <f>Assumptions!$B$114</f>
        <v/>
      </c>
      <c r="C9" s="14">
        <f>Assumptions!$B$113</f>
        <v/>
      </c>
      <c r="D9" s="14">
        <f>Assumptions!$B$112</f>
        <v/>
      </c>
      <c r="E9" s="17">
        <f>D9-Assumptions!$B$131+'Income Statement'!E20+DCF!B8+DCF!B13+DCF!B14-'Income Statement'!E22</f>
        <v/>
      </c>
      <c r="F9" s="17">
        <f>E9+'Income Statement'!F20+DCF!C8+DCF!C13+DCF!C14-'Income Statement'!F22</f>
        <v/>
      </c>
      <c r="G9" s="17">
        <f>F9+'Income Statement'!G20+DCF!D8+DCF!D13+DCF!D14-'Income Statement'!G22</f>
        <v/>
      </c>
      <c r="H9" s="17">
        <f>G9+'Income Statement'!H20+DCF!E8+DCF!E13+DCF!E14-'Income Statement'!H22</f>
        <v/>
      </c>
      <c r="I9" s="17">
        <f>H9+'Income Statement'!I20+DCF!F8+DCF!F13+DCF!F14-'Income Statement'!I22</f>
        <v/>
      </c>
    </row>
    <row r="10">
      <c r="A10" t="inlineStr">
        <is>
          <t>Inventories, receivables and debtors</t>
        </is>
      </c>
      <c r="D10" s="17">
        <f>Assumptions!$B$109+Assumptions!$B$110+Assumptions!$B$111</f>
        <v/>
      </c>
      <c r="E10" s="17">
        <f>D10-DCF!B14</f>
        <v/>
      </c>
      <c r="F10" s="17">
        <f>E10-DCF!C14</f>
        <v/>
      </c>
      <c r="G10" s="17">
        <f>F10-DCF!D14</f>
        <v/>
      </c>
      <c r="H10" s="17">
        <f>G10-DCF!E14</f>
        <v/>
      </c>
      <c r="I10" s="17">
        <f>H10-DCF!F14</f>
        <v/>
      </c>
    </row>
    <row r="11">
      <c r="A11" t="inlineStr">
        <is>
          <t>TOTAL ASSETS</t>
        </is>
      </c>
      <c r="B11" s="31">
        <f>Assumptions!$B$104</f>
        <v/>
      </c>
      <c r="C11" s="31">
        <f>Assumptions!$B$103</f>
        <v/>
      </c>
      <c r="D11" s="31">
        <f>Assumptions!$B$102</f>
        <v/>
      </c>
      <c r="E11" s="36">
        <f>E8+E9+E10</f>
        <v/>
      </c>
      <c r="F11" s="36">
        <f>F8+F9+F10</f>
        <v/>
      </c>
      <c r="G11" s="36">
        <f>G8+G9+G10</f>
        <v/>
      </c>
      <c r="H11" s="36">
        <f>H8+H9+H10</f>
        <v/>
      </c>
      <c r="I11" s="36">
        <f>I8+I9+I10</f>
        <v/>
      </c>
    </row>
    <row r="12">
      <c r="A12" t="inlineStr">
        <is>
          <t>Interest-bearing debt</t>
        </is>
      </c>
      <c r="B12" s="14">
        <f>Assumptions!$B$125</f>
        <v/>
      </c>
      <c r="C12" s="14">
        <f>Assumptions!$B$124</f>
        <v/>
      </c>
      <c r="D12" s="14">
        <f>DCF!C44</f>
        <v/>
      </c>
      <c r="E12" s="14">
        <f>DCF!$C$44</f>
        <v/>
      </c>
      <c r="F12" s="14">
        <f>DCF!$C$44</f>
        <v/>
      </c>
      <c r="G12" s="14">
        <f>DCF!$C$44</f>
        <v/>
      </c>
      <c r="H12" s="14">
        <f>DCF!$C$44</f>
        <v/>
      </c>
      <c r="I12" s="14">
        <f>DCF!$C$44</f>
        <v/>
      </c>
    </row>
    <row r="13">
      <c r="A13" t="inlineStr">
        <is>
          <t>Other liabilities</t>
        </is>
      </c>
      <c r="D13" s="17">
        <f>D14-D12</f>
        <v/>
      </c>
      <c r="E13" s="17">
        <f>D13</f>
        <v/>
      </c>
      <c r="F13" s="17">
        <f>D13</f>
        <v/>
      </c>
      <c r="G13" s="17">
        <f>D13</f>
        <v/>
      </c>
      <c r="H13" s="17">
        <f>D13</f>
        <v/>
      </c>
      <c r="I13" s="17">
        <f>D13</f>
        <v/>
      </c>
    </row>
    <row r="14">
      <c r="A14" t="inlineStr">
        <is>
          <t>Total liabilities</t>
        </is>
      </c>
      <c r="D14" s="14">
        <f>Assumptions!$B$105</f>
        <v/>
      </c>
      <c r="E14" s="17">
        <f>E12+E13</f>
        <v/>
      </c>
      <c r="F14" s="17">
        <f>F12+F13</f>
        <v/>
      </c>
      <c r="G14" s="17">
        <f>G12+G13</f>
        <v/>
      </c>
      <c r="H14" s="17">
        <f>H12+H13</f>
        <v/>
      </c>
      <c r="I14" s="17">
        <f>I12+I13</f>
        <v/>
      </c>
    </row>
    <row r="15">
      <c r="A15" t="inlineStr">
        <is>
          <t>Equity attributable to owners</t>
        </is>
      </c>
      <c r="B15" s="31">
        <f>Assumptions!$B$117</f>
        <v/>
      </c>
      <c r="C15" s="31">
        <f>Assumptions!$B$116</f>
        <v/>
      </c>
      <c r="D15" s="31">
        <f>Assumptions!$B$115</f>
        <v/>
      </c>
      <c r="E15" s="36">
        <f>D15-Assumptions!$B$131+'Income Statement'!E20-'Income Statement'!E22</f>
        <v/>
      </c>
      <c r="F15" s="36">
        <f>E15+'Income Statement'!F20-'Income Statement'!F22</f>
        <v/>
      </c>
      <c r="G15" s="36">
        <f>F15+'Income Statement'!G20-'Income Statement'!G22</f>
        <v/>
      </c>
      <c r="H15" s="36">
        <f>G15+'Income Statement'!H20-'Income Statement'!H22</f>
        <v/>
      </c>
      <c r="I15" s="36">
        <f>H15+'Income Statement'!I20-'Income Statement'!I22</f>
        <v/>
      </c>
    </row>
    <row r="16">
      <c r="A16" t="inlineStr">
        <is>
          <t>Net (cash) / debt</t>
        </is>
      </c>
      <c r="B16" s="17">
        <f>B12-B9</f>
        <v/>
      </c>
      <c r="C16" s="17">
        <f>C12-C9</f>
        <v/>
      </c>
      <c r="D16" s="17">
        <f>D12-D9</f>
        <v/>
      </c>
      <c r="E16" s="17">
        <f>E12-E9</f>
        <v/>
      </c>
      <c r="F16" s="17">
        <f>F12-F9</f>
        <v/>
      </c>
      <c r="G16" s="17">
        <f>G12-G9</f>
        <v/>
      </c>
      <c r="H16" s="17">
        <f>H12-H9</f>
        <v/>
      </c>
      <c r="I16" s="17">
        <f>I12-I9</f>
        <v/>
      </c>
    </row>
    <row r="17">
      <c r="A17" t="inlineStr">
        <is>
          <t>Book value per share (EGP)</t>
        </is>
      </c>
      <c r="B17" s="13">
        <f>B15/DCF!$B$43</f>
        <v/>
      </c>
      <c r="C17" s="13">
        <f>C15/DCF!$B$43</f>
        <v/>
      </c>
      <c r="D17" s="13">
        <f>D15/DCF!$B$43</f>
        <v/>
      </c>
      <c r="E17" s="13">
        <f>E15/DCF!$B$43</f>
        <v/>
      </c>
      <c r="F17" s="13">
        <f>F15/DCF!$B$43</f>
        <v/>
      </c>
      <c r="G17" s="13">
        <f>G15/DCF!$B$43</f>
        <v/>
      </c>
      <c r="H17" s="13">
        <f>H15/DCF!$B$43</f>
        <v/>
      </c>
      <c r="I17" s="13">
        <f>I15/DCF!$B$43</f>
        <v/>
      </c>
    </row>
    <row r="18">
      <c r="A18" t="inlineStr">
        <is>
          <t>Return on equity</t>
        </is>
      </c>
      <c r="B18" s="8">
        <f>'Income Statement'!B20/B15</f>
        <v/>
      </c>
      <c r="C18" s="8">
        <f>'Income Statement'!C20/C15</f>
        <v/>
      </c>
      <c r="D18" s="8">
        <f>'Income Statement'!D20/D15</f>
        <v/>
      </c>
      <c r="E18" s="8">
        <f>'Income Statement'!E20/E15</f>
        <v/>
      </c>
      <c r="F18" s="8">
        <f>'Income Statement'!F20/F15</f>
        <v/>
      </c>
      <c r="G18" s="8">
        <f>'Income Statement'!G20/G15</f>
        <v/>
      </c>
      <c r="H18" s="8">
        <f>'Income Statement'!H20/H15</f>
        <v/>
      </c>
      <c r="I18" s="8">
        <f>'Income Statement'!I20/I15</f>
        <v/>
      </c>
    </row>
    <row r="20">
      <c r="A20" s="15" t="inlineStr">
        <is>
          <t>THE AUDITED BALANCE SHEET CLOSES — A CHECK REVISION 1 COULD NOT RUN</t>
        </is>
      </c>
      <c r="B20" s="15" t="n"/>
      <c r="C20" s="15" t="n"/>
      <c r="D20" s="15" t="n"/>
      <c r="E20" s="15" t="n"/>
      <c r="F20" s="15" t="n"/>
      <c r="G20" s="15" t="n"/>
      <c r="H20" s="15" t="n"/>
      <c r="I20" s="15" t="n"/>
      <c r="J20" s="15" t="n"/>
    </row>
    <row r="21">
      <c r="A21" t="inlineStr">
        <is>
          <t>Total assets (audited)</t>
        </is>
      </c>
      <c r="B21" s="17">
        <f>Assumptions!$B$102</f>
        <v/>
      </c>
    </row>
    <row r="22">
      <c r="A22" t="inlineStr">
        <is>
          <t>Less total liabilities (audited)</t>
        </is>
      </c>
      <c r="B22" s="17">
        <f>-Assumptions!$B$105</f>
        <v/>
      </c>
    </row>
    <row r="23">
      <c r="A23" t="inlineStr">
        <is>
          <t>Equals total equity</t>
        </is>
      </c>
      <c r="B23" s="17">
        <f>B21+B22</f>
        <v/>
      </c>
    </row>
    <row r="24">
      <c r="A24" t="inlineStr">
        <is>
          <t>Equity attributable to owners plus minorities (audited)</t>
        </is>
      </c>
      <c r="B24" s="17">
        <f>Assumptions!$B$115+Assumptions!$B$118</f>
        <v/>
      </c>
    </row>
    <row r="25">
      <c r="A25" t="inlineStr">
        <is>
          <t>Difference</t>
        </is>
      </c>
      <c r="B25" s="44">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4">
        <f>'Income Statement'!D20</f>
        <v/>
      </c>
      <c r="C5" s="14">
        <f>'Income Statement'!E20</f>
        <v/>
      </c>
      <c r="D5" s="14">
        <f>'Income Statement'!F20</f>
        <v/>
      </c>
      <c r="E5" s="14">
        <f>'Income Statement'!G20</f>
        <v/>
      </c>
      <c r="F5" s="14">
        <f>'Income Statement'!H20</f>
        <v/>
      </c>
      <c r="G5" s="14">
        <f>'Income Statement'!I20</f>
        <v/>
      </c>
    </row>
    <row r="6">
      <c r="A6" t="inlineStr">
        <is>
          <t>Add back depreciation</t>
        </is>
      </c>
      <c r="B6" s="14">
        <f>Assumptions!$B$82</f>
        <v/>
      </c>
      <c r="C6" s="14">
        <f>DCF!B8</f>
        <v/>
      </c>
      <c r="D6" s="14">
        <f>DCF!C8</f>
        <v/>
      </c>
      <c r="E6" s="14">
        <f>DCF!D8</f>
        <v/>
      </c>
      <c r="F6" s="14">
        <f>DCF!E8</f>
        <v/>
      </c>
      <c r="G6" s="14">
        <f>DCF!F8</f>
        <v/>
      </c>
    </row>
    <row r="7">
      <c r="A7" t="inlineStr">
        <is>
          <t>Less change in working capital</t>
        </is>
      </c>
      <c r="C7" s="14">
        <f>DCF!B14</f>
        <v/>
      </c>
      <c r="D7" s="14">
        <f>DCF!C14</f>
        <v/>
      </c>
      <c r="E7" s="14">
        <f>DCF!D14</f>
        <v/>
      </c>
      <c r="F7" s="14">
        <f>DCF!E14</f>
        <v/>
      </c>
      <c r="G7" s="14">
        <f>DCF!F14</f>
        <v/>
      </c>
    </row>
    <row r="8">
      <c r="A8" t="inlineStr">
        <is>
          <t>Cash from operations</t>
        </is>
      </c>
      <c r="B8" s="36">
        <f>B5+B6</f>
        <v/>
      </c>
      <c r="C8" s="36">
        <f>C5+C6+C7</f>
        <v/>
      </c>
      <c r="D8" s="36">
        <f>D5+D6+D7</f>
        <v/>
      </c>
      <c r="E8" s="36">
        <f>E5+E6+E7</f>
        <v/>
      </c>
      <c r="F8" s="36">
        <f>F5+F6+F7</f>
        <v/>
      </c>
      <c r="G8" s="36">
        <f>G5+G6+G7</f>
        <v/>
      </c>
    </row>
    <row r="9">
      <c r="A9" t="inlineStr">
        <is>
          <t>Capital expenditure</t>
        </is>
      </c>
      <c r="B9" s="14">
        <f>-Assumptions!$B$85</f>
        <v/>
      </c>
      <c r="C9" s="14">
        <f>DCF!B13</f>
        <v/>
      </c>
      <c r="D9" s="14">
        <f>DCF!C13</f>
        <v/>
      </c>
      <c r="E9" s="14">
        <f>DCF!D13</f>
        <v/>
      </c>
      <c r="F9" s="14">
        <f>DCF!E13</f>
        <v/>
      </c>
      <c r="G9" s="14">
        <f>DCF!F13</f>
        <v/>
      </c>
    </row>
    <row r="10">
      <c r="A10" t="inlineStr">
        <is>
          <t>Free cash flow to equity</t>
        </is>
      </c>
      <c r="B10" s="36">
        <f>B8+B9</f>
        <v/>
      </c>
      <c r="C10" s="36">
        <f>C8+C9</f>
        <v/>
      </c>
      <c r="D10" s="36">
        <f>D8+D9</f>
        <v/>
      </c>
      <c r="E10" s="36">
        <f>E8+E9</f>
        <v/>
      </c>
      <c r="F10" s="36">
        <f>F8+F9</f>
        <v/>
      </c>
      <c r="G10" s="36">
        <f>G8+G9</f>
        <v/>
      </c>
    </row>
    <row r="11">
      <c r="A11" t="inlineStr">
        <is>
          <t>Dividends declared</t>
        </is>
      </c>
      <c r="B11" s="14">
        <f>-Assumptions!$B$131</f>
        <v/>
      </c>
      <c r="C11" s="17">
        <f>-'Income Statement'!E22</f>
        <v/>
      </c>
      <c r="D11" s="17">
        <f>-'Income Statement'!F22</f>
        <v/>
      </c>
      <c r="E11" s="17">
        <f>-'Income Statement'!G22</f>
        <v/>
      </c>
      <c r="F11" s="17">
        <f>-'Income Statement'!H22</f>
        <v/>
      </c>
      <c r="G11" s="17">
        <f>-'Income Statement'!I22</f>
        <v/>
      </c>
    </row>
    <row r="12">
      <c r="A12" t="inlineStr">
        <is>
          <t>Closing cash</t>
        </is>
      </c>
      <c r="B12" s="14">
        <f>Assumptions!$B$112</f>
        <v/>
      </c>
      <c r="C12" s="14">
        <f>'Balance Sheet'!E9</f>
        <v/>
      </c>
      <c r="D12" s="14">
        <f>'Balance Sheet'!F9</f>
        <v/>
      </c>
      <c r="E12" s="14">
        <f>'Balance Sheet'!G9</f>
        <v/>
      </c>
      <c r="F12" s="14">
        <f>'Balance Sheet'!H9</f>
        <v/>
      </c>
      <c r="G12" s="14">
        <f>'Balance Sheet'!I9</f>
        <v/>
      </c>
    </row>
    <row r="13">
      <c r="A13" t="inlineStr">
        <is>
          <t>Memo: free cash flow to the firm</t>
        </is>
      </c>
      <c r="C13" s="14">
        <f>DCF!B15</f>
        <v/>
      </c>
      <c r="D13" s="14">
        <f>DCF!C15</f>
        <v/>
      </c>
      <c r="E13" s="14">
        <f>DCF!D15</f>
        <v/>
      </c>
      <c r="F13" s="14">
        <f>DCF!E15</f>
        <v/>
      </c>
      <c r="G13" s="14">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t="inlineStr">
        <is>
          <t>EBITDA</t>
        </is>
      </c>
      <c r="B6" s="14">
        <f>'Income Statement'!B14</f>
        <v/>
      </c>
      <c r="C6" s="14">
        <f>'Income Statement'!C14</f>
        <v/>
      </c>
      <c r="D6" s="14">
        <f>'Income Statement'!D14</f>
        <v/>
      </c>
      <c r="E6" s="14">
        <f>'Income Statement'!E14</f>
        <v/>
      </c>
      <c r="F6" s="14">
        <f>'Income Statement'!F14</f>
        <v/>
      </c>
      <c r="G6" s="14">
        <f>'Income Statement'!G14</f>
        <v/>
      </c>
      <c r="H6" s="14">
        <f>'Income Statement'!H14</f>
        <v/>
      </c>
      <c r="I6" s="14">
        <f>'Income Statement'!I14</f>
        <v/>
      </c>
    </row>
    <row r="7">
      <c r="A7" t="inlineStr">
        <is>
          <t>EBITDA margin</t>
        </is>
      </c>
      <c r="B7" s="22">
        <f>'Income Statement'!B15</f>
        <v/>
      </c>
      <c r="C7" s="22">
        <f>'Income Statement'!C15</f>
        <v/>
      </c>
      <c r="D7" s="22">
        <f>'Income Statement'!D15</f>
        <v/>
      </c>
      <c r="E7" s="22">
        <f>'Income Statement'!E15</f>
        <v/>
      </c>
      <c r="F7" s="22">
        <f>'Income Statement'!F15</f>
        <v/>
      </c>
      <c r="G7" s="22">
        <f>'Income Statement'!G15</f>
        <v/>
      </c>
      <c r="H7" s="22">
        <f>'Income Statement'!H15</f>
        <v/>
      </c>
      <c r="I7" s="22">
        <f>'Income Statement'!I15</f>
        <v/>
      </c>
    </row>
    <row r="8">
      <c r="A8" t="inlineStr">
        <is>
          <t>Operating profit</t>
        </is>
      </c>
      <c r="B8" s="14">
        <f>'Income Statement'!B11</f>
        <v/>
      </c>
      <c r="C8" s="14">
        <f>'Income Statement'!C11</f>
        <v/>
      </c>
      <c r="D8" s="14">
        <f>'Income Statement'!D11</f>
        <v/>
      </c>
      <c r="E8" s="14">
        <f>'Income Statement'!E11</f>
        <v/>
      </c>
      <c r="F8" s="14">
        <f>'Income Statement'!F11</f>
        <v/>
      </c>
      <c r="G8" s="14">
        <f>'Income Statement'!G11</f>
        <v/>
      </c>
      <c r="H8" s="14">
        <f>'Income Statement'!H11</f>
        <v/>
      </c>
      <c r="I8" s="14">
        <f>'Income Statement'!I11</f>
        <v/>
      </c>
    </row>
    <row r="9">
      <c r="A9" t="inlineStr">
        <is>
          <t>Attributable profit</t>
        </is>
      </c>
      <c r="B9" s="14">
        <f>'Income Statement'!B20</f>
        <v/>
      </c>
      <c r="C9" s="14">
        <f>'Income Statement'!C20</f>
        <v/>
      </c>
      <c r="D9" s="14">
        <f>'Income Statement'!D20</f>
        <v/>
      </c>
      <c r="E9" s="14">
        <f>'Income Statement'!E20</f>
        <v/>
      </c>
      <c r="F9" s="14">
        <f>'Income Statement'!F20</f>
        <v/>
      </c>
      <c r="G9" s="14">
        <f>'Income Statement'!G20</f>
        <v/>
      </c>
      <c r="H9" s="14">
        <f>'Income Statement'!H20</f>
        <v/>
      </c>
      <c r="I9" s="14">
        <f>'Income Statement'!I20</f>
        <v/>
      </c>
    </row>
    <row r="10">
      <c r="A10" t="inlineStr">
        <is>
          <t>Earnings per share (EGP)</t>
        </is>
      </c>
      <c r="B10" s="10">
        <f>'Income Statement'!B21</f>
        <v/>
      </c>
      <c r="C10" s="10">
        <f>'Income Statement'!C21</f>
        <v/>
      </c>
      <c r="D10" s="10">
        <f>'Income Statement'!D21</f>
        <v/>
      </c>
      <c r="E10" s="10">
        <f>'Income Statement'!E21</f>
        <v/>
      </c>
      <c r="F10" s="10">
        <f>'Income Statement'!F21</f>
        <v/>
      </c>
      <c r="G10" s="10">
        <f>'Income Statement'!G21</f>
        <v/>
      </c>
      <c r="H10" s="10">
        <f>'Income Statement'!H21</f>
        <v/>
      </c>
      <c r="I10" s="10">
        <f>'Income Statement'!I21</f>
        <v/>
      </c>
    </row>
    <row r="12">
      <c r="A12" s="15" t="inlineStr">
        <is>
          <t>GROWTH</t>
        </is>
      </c>
      <c r="B12" s="15" t="n"/>
      <c r="C12" s="15" t="n"/>
      <c r="D12" s="15" t="n"/>
      <c r="E12" s="15" t="n"/>
      <c r="F12" s="15" t="n"/>
      <c r="G12" s="15" t="n"/>
      <c r="H12" s="15" t="n"/>
      <c r="I12" s="15" t="n"/>
      <c r="J12" s="15" t="n"/>
    </row>
    <row r="13">
      <c r="A13" t="inlineStr">
        <is>
          <t>Revenue growth</t>
        </is>
      </c>
      <c r="C13" s="8">
        <f>C5/B5-1</f>
        <v/>
      </c>
      <c r="D13" s="8">
        <f>D5/C5-1</f>
        <v/>
      </c>
      <c r="E13" s="8">
        <f>E5/D5-1</f>
        <v/>
      </c>
      <c r="F13" s="8">
        <f>F5/E5-1</f>
        <v/>
      </c>
      <c r="G13" s="8">
        <f>G5/F5-1</f>
        <v/>
      </c>
      <c r="H13" s="8">
        <f>H5/G5-1</f>
        <v/>
      </c>
      <c r="I13" s="8">
        <f>I5/H5-1</f>
        <v/>
      </c>
    </row>
    <row r="14">
      <c r="A14" t="inlineStr">
        <is>
          <t>EBITDA growth</t>
        </is>
      </c>
      <c r="C14" s="8">
        <f>C6/B6-1</f>
        <v/>
      </c>
      <c r="D14" s="8">
        <f>D6/C6-1</f>
        <v/>
      </c>
      <c r="E14" s="8">
        <f>E6/D6-1</f>
        <v/>
      </c>
      <c r="F14" s="8">
        <f>F6/E6-1</f>
        <v/>
      </c>
      <c r="G14" s="8">
        <f>G6/F6-1</f>
        <v/>
      </c>
      <c r="H14" s="8">
        <f>H6/G6-1</f>
        <v/>
      </c>
      <c r="I14" s="8">
        <f>I6/H6-1</f>
        <v/>
      </c>
    </row>
    <row r="15">
      <c r="A15" t="inlineStr">
        <is>
          <t>Profit growth</t>
        </is>
      </c>
      <c r="C15" s="8">
        <f>C9/B9-1</f>
        <v/>
      </c>
      <c r="D15" s="8">
        <f>D9/C9-1</f>
        <v/>
      </c>
      <c r="E15" s="8">
        <f>E9/D9-1</f>
        <v/>
      </c>
      <c r="F15" s="8">
        <f>F9/E9-1</f>
        <v/>
      </c>
      <c r="G15" s="8">
        <f>G9/F9-1</f>
        <v/>
      </c>
      <c r="H15" s="8">
        <f>H9/G9-1</f>
        <v/>
      </c>
      <c r="I15" s="8">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1" t="n">
        <v>50.44411079643812</v>
      </c>
      <c r="C7" s="21" t="n">
        <v>43.92251500574132</v>
      </c>
    </row>
    <row r="8">
      <c r="A8" t="inlineStr">
        <is>
          <t>25th percentile</t>
        </is>
      </c>
      <c r="B8" s="21" t="n">
        <v>55.93407825036965</v>
      </c>
      <c r="C8" s="21" t="n">
        <v>53.71118201283569</v>
      </c>
    </row>
    <row r="9">
      <c r="A9" t="inlineStr">
        <is>
          <t>Median</t>
        </is>
      </c>
      <c r="B9" s="21" t="n">
        <v>59.44846516132147</v>
      </c>
      <c r="C9" s="21" t="n">
        <v>60.45648238700502</v>
      </c>
    </row>
    <row r="10">
      <c r="A10" t="inlineStr">
        <is>
          <t>75th percentile</t>
        </is>
      </c>
      <c r="B10" s="21" t="n">
        <v>63.21157019864793</v>
      </c>
      <c r="C10" s="21" t="n">
        <v>67.96866271949057</v>
      </c>
    </row>
    <row r="11">
      <c r="A11" t="inlineStr">
        <is>
          <t>95th percentile</t>
        </is>
      </c>
      <c r="B11" s="21" t="n">
        <v>70.08572445904177</v>
      </c>
      <c r="C11" s="21" t="n">
        <v>83.16839780094888</v>
      </c>
    </row>
    <row r="12">
      <c r="A12" t="inlineStr">
        <is>
          <t>Spot</t>
        </is>
      </c>
      <c r="B12" s="10">
        <f>Assumptions!$B$5</f>
        <v/>
      </c>
      <c r="C12" s="10">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8">
        <f>B9/B12-1</f>
        <v/>
      </c>
      <c r="C20" s="8">
        <f>C9/C12-1</f>
        <v/>
      </c>
    </row>
    <row r="21">
      <c r="A21" t="inlineStr">
        <is>
          <t>Width of the 5th-95th band, as % of spot</t>
        </is>
      </c>
      <c r="B21" s="8">
        <f>(B11-B7)/B12</f>
        <v/>
      </c>
      <c r="C21" s="8">
        <f>(C11-C7)/C12</f>
        <v/>
      </c>
    </row>
    <row r="23">
      <c r="A23" s="15" t="inlineStr">
        <is>
          <t>HOW WELL CALIBRATED IS THIS MAP? — MEASURED, NOT ASSERTED</t>
        </is>
      </c>
      <c r="B23" s="15" t="n"/>
      <c r="C23" s="15" t="n"/>
      <c r="D23" s="15" t="n"/>
      <c r="E23" s="15" t="n"/>
      <c r="F23" s="15" t="n"/>
      <c r="G23" s="15" t="n"/>
    </row>
    <row r="24">
      <c r="A24" t="inlineStr">
        <is>
          <t>Windows scored</t>
        </is>
      </c>
      <c r="B24" s="29" t="n">
        <v>16</v>
      </c>
    </row>
    <row r="25">
      <c r="A25" t="inlineStr">
        <is>
          <t>Coverage of the 50% band (nominal 50%)</t>
        </is>
      </c>
      <c r="B25" s="24" t="n">
        <v>0.5625</v>
      </c>
    </row>
    <row r="26">
      <c r="A26" t="inlineStr">
        <is>
          <t>Coverage of the 80% band (nominal 80%)</t>
        </is>
      </c>
      <c r="B26" s="24" t="n">
        <v>1</v>
      </c>
    </row>
    <row r="27">
      <c r="A27" t="inlineStr">
        <is>
          <t>Coverage of the 90% band (nominal 90%)</t>
        </is>
      </c>
      <c r="B27" s="24" t="n">
        <v>1</v>
      </c>
    </row>
    <row r="28">
      <c r="A28" t="inlineStr">
        <is>
          <t>Cone width against the benchmark</t>
        </is>
      </c>
      <c r="B28" s="30"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5"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0.2459972623102014</v>
      </c>
      <c r="B6" s="21" t="n">
        <v>73.15115550310519</v>
      </c>
      <c r="C6" s="21" t="n">
        <v>72.39121804075427</v>
      </c>
      <c r="D6" s="21" t="n">
        <v>71.43475752289696</v>
      </c>
      <c r="E6" s="21" t="n">
        <v>70.23400500819082</v>
      </c>
      <c r="F6" s="21" t="n">
        <v>68.72434496386767</v>
      </c>
    </row>
    <row r="7">
      <c r="A7" s="25" t="n">
        <v>0.2609972623102014</v>
      </c>
      <c r="B7" s="21" t="n">
        <v>71.95537665287969</v>
      </c>
      <c r="C7" s="21" t="n">
        <v>71.20992878008629</v>
      </c>
      <c r="D7" s="21" t="n">
        <v>70.2717049211888</v>
      </c>
      <c r="E7" s="21" t="n">
        <v>69.09384693657252</v>
      </c>
      <c r="F7" s="21" t="n">
        <v>67.61297130609562</v>
      </c>
    </row>
    <row r="8">
      <c r="A8" s="25" t="n">
        <v>0.2759972623102014</v>
      </c>
      <c r="B8" s="21" t="n">
        <v>70.79027426617279</v>
      </c>
      <c r="C8" s="21" t="n">
        <v>70.05893254940186</v>
      </c>
      <c r="D8" s="21" t="n">
        <v>69.13846275838848</v>
      </c>
      <c r="E8" s="21" t="n">
        <v>67.98289345298068</v>
      </c>
      <c r="F8" s="21" t="n">
        <v>66.5300405232932</v>
      </c>
    </row>
    <row r="9">
      <c r="A9" s="25" t="n">
        <v>0.2909972623102015</v>
      </c>
      <c r="B9" s="21" t="n">
        <v>69.65480186677657</v>
      </c>
      <c r="C9" s="21" t="n">
        <v>68.93719612025457</v>
      </c>
      <c r="D9" s="21" t="n">
        <v>68.03401447973839</v>
      </c>
      <c r="E9" s="21" t="n">
        <v>66.90014893501545</v>
      </c>
      <c r="F9" s="21" t="n">
        <v>65.47458331051055</v>
      </c>
    </row>
    <row r="10">
      <c r="A10" s="25" t="n">
        <v>0.3059972623102014</v>
      </c>
      <c r="B10" s="21" t="n">
        <v>68.54795792803237</v>
      </c>
      <c r="C10" s="21" t="n">
        <v>67.84373064145841</v>
      </c>
      <c r="D10" s="21" t="n">
        <v>66.95738718745619</v>
      </c>
      <c r="E10" s="21" t="n">
        <v>65.84466051299739</v>
      </c>
      <c r="F10" s="21" t="n">
        <v>64.44567197863307</v>
      </c>
    </row>
    <row r="12">
      <c r="A12" s="45" t="inlineStr">
        <is>
          <t>Fair value per share (EGP): explicit-window rate against TERMINAL rate</t>
        </is>
      </c>
    </row>
    <row r="13">
      <c r="A13" s="6" t="inlineStr"/>
      <c r="B13" s="6" t="inlineStr">
        <is>
          <t>terminal 16.3%</t>
        </is>
      </c>
      <c r="C13" s="6" t="inlineStr">
        <is>
          <t>terminal 17.3%</t>
        </is>
      </c>
      <c r="D13" s="6" t="inlineStr">
        <is>
          <t>terminal 18.3%</t>
        </is>
      </c>
      <c r="E13" s="6" t="inlineStr">
        <is>
          <t>terminal 19.3%</t>
        </is>
      </c>
      <c r="F13" s="6" t="inlineStr">
        <is>
          <t>terminal 20.3%</t>
        </is>
      </c>
    </row>
    <row r="14">
      <c r="A14" s="25" t="n">
        <v>0.2459972623102014</v>
      </c>
      <c r="B14" s="21" t="n">
        <v>79.14869700437482</v>
      </c>
      <c r="C14" s="21" t="n">
        <v>73.43934140744406</v>
      </c>
      <c r="D14" s="21" t="n">
        <v>68.72434496386767</v>
      </c>
      <c r="E14" s="21" t="n">
        <v>64.76215452853266</v>
      </c>
      <c r="F14" s="21" t="n">
        <v>61.38363607670657</v>
      </c>
    </row>
    <row r="15">
      <c r="A15" s="25" t="n">
        <v>0.2609972623102014</v>
      </c>
      <c r="B15" s="21" t="n">
        <v>77.83186473658633</v>
      </c>
      <c r="C15" s="21" t="n">
        <v>72.23505994921064</v>
      </c>
      <c r="D15" s="21" t="n">
        <v>67.61297130609562</v>
      </c>
      <c r="E15" s="21" t="n">
        <v>63.72881719413502</v>
      </c>
      <c r="F15" s="21" t="n">
        <v>60.41680459456074</v>
      </c>
    </row>
    <row r="16">
      <c r="A16" s="25" t="n">
        <v>0.2759972623102014</v>
      </c>
      <c r="B16" s="21" t="n">
        <v>76.54905633046795</v>
      </c>
      <c r="C16" s="21" t="n">
        <v>71.06174450953958</v>
      </c>
      <c r="D16" s="21" t="n">
        <v>66.5300405232932</v>
      </c>
      <c r="E16" s="21" t="n">
        <v>62.72180440330386</v>
      </c>
      <c r="F16" s="21" t="n">
        <v>59.47449319014144</v>
      </c>
    </row>
    <row r="17">
      <c r="A17" s="25" t="n">
        <v>0.2909972623102015</v>
      </c>
      <c r="B17" s="21" t="n">
        <v>75.29910574798446</v>
      </c>
      <c r="C17" s="21" t="n">
        <v>69.91833685911959</v>
      </c>
      <c r="D17" s="21" t="n">
        <v>65.47458331051055</v>
      </c>
      <c r="E17" s="21" t="n">
        <v>61.74022147866935</v>
      </c>
      <c r="F17" s="21" t="n">
        <v>58.55587072908333</v>
      </c>
    </row>
    <row r="18">
      <c r="A18" s="25" t="n">
        <v>0.3059972623102014</v>
      </c>
      <c r="B18" s="21" t="n">
        <v>74.08089719357272</v>
      </c>
      <c r="C18" s="21" t="n">
        <v>68.80382428307459</v>
      </c>
      <c r="D18" s="21" t="n">
        <v>64.44567197863307</v>
      </c>
      <c r="E18" s="21" t="n">
        <v>60.78321208802295</v>
      </c>
      <c r="F18" s="21" t="n">
        <v>57.66014163833711</v>
      </c>
    </row>
    <row r="20">
      <c r="A20" s="45"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1" t="n">
        <v>79.15643371094544</v>
      </c>
      <c r="C22" s="21" t="n">
        <v>70.34565986790007</v>
      </c>
      <c r="D22" s="21" t="n">
        <v>63.47470890863362</v>
      </c>
      <c r="E22" s="21" t="n">
        <v>59.23540560020016</v>
      </c>
      <c r="F22" s="21" t="n">
        <v>55.5930443411386</v>
      </c>
    </row>
    <row r="24">
      <c r="A24" s="45"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1" t="n">
        <v>56.68320592500003</v>
      </c>
      <c r="C26" s="21" t="n">
        <v>61.60662322414661</v>
      </c>
      <c r="D26" s="21" t="n">
        <v>66.5300405232932</v>
      </c>
      <c r="E26" s="21" t="n">
        <v>71.45345782243979</v>
      </c>
      <c r="F26" s="21" t="n">
        <v>76.37687512158635</v>
      </c>
    </row>
    <row r="28">
      <c r="A28" s="45"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1" t="n">
        <v>62.52862610332402</v>
      </c>
      <c r="C30" s="21" t="n">
        <v>64.52933331330861</v>
      </c>
      <c r="D30" s="21" t="n">
        <v>66.5300405232932</v>
      </c>
      <c r="E30" s="21" t="n">
        <v>68.53074773327778</v>
      </c>
      <c r="F30" s="21" t="n">
        <v>70.53145494326236</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0">
        <f>'Income Statement'!B21</f>
        <v/>
      </c>
      <c r="C5" s="10">
        <f>'Income Statement'!C21</f>
        <v/>
      </c>
      <c r="D5" s="10">
        <f>'Income Statement'!D21</f>
        <v/>
      </c>
      <c r="E5" s="10">
        <f>'Income Statement'!E21</f>
        <v/>
      </c>
      <c r="F5" s="10">
        <f>'Income Statement'!F21</f>
        <v/>
      </c>
      <c r="G5" s="10">
        <f>'Income Statement'!G21</f>
        <v/>
      </c>
      <c r="H5" s="10">
        <f>'Income Statement'!H21</f>
        <v/>
      </c>
      <c r="I5" s="10">
        <f>'Income Statement'!I21</f>
        <v/>
      </c>
    </row>
    <row r="6">
      <c r="A6" t="inlineStr">
        <is>
          <t>Book value per share (EGP)</t>
        </is>
      </c>
      <c r="B6" s="10">
        <f>'Balance Sheet'!B17</f>
        <v/>
      </c>
      <c r="C6" s="10">
        <f>'Balance Sheet'!C17</f>
        <v/>
      </c>
      <c r="D6" s="10">
        <f>'Balance Sheet'!D17</f>
        <v/>
      </c>
      <c r="E6" s="10">
        <f>'Balance Sheet'!E17</f>
        <v/>
      </c>
      <c r="F6" s="10">
        <f>'Balance Sheet'!F17</f>
        <v/>
      </c>
      <c r="G6" s="10">
        <f>'Balance Sheet'!G17</f>
        <v/>
      </c>
      <c r="H6" s="10">
        <f>'Balance Sheet'!H17</f>
        <v/>
      </c>
      <c r="I6" s="10">
        <f>'Balance Sheet'!I17</f>
        <v/>
      </c>
    </row>
    <row r="7">
      <c r="A7" t="inlineStr">
        <is>
          <t>Price / earnings (at spot)</t>
        </is>
      </c>
      <c r="B7" s="39">
        <f>Assumptions!$B$5/B5</f>
        <v/>
      </c>
      <c r="C7" s="39">
        <f>Assumptions!$B$5/C5</f>
        <v/>
      </c>
      <c r="D7" s="39">
        <f>Assumptions!$B$5/D5</f>
        <v/>
      </c>
      <c r="E7" s="39">
        <f>Assumptions!$B$5/E5</f>
        <v/>
      </c>
      <c r="F7" s="39">
        <f>Assumptions!$B$5/F5</f>
        <v/>
      </c>
      <c r="G7" s="39">
        <f>Assumptions!$B$5/G5</f>
        <v/>
      </c>
      <c r="H7" s="39">
        <f>Assumptions!$B$5/H5</f>
        <v/>
      </c>
      <c r="I7" s="39">
        <f>Assumptions!$B$5/I5</f>
        <v/>
      </c>
    </row>
    <row r="8">
      <c r="A8" t="inlineStr">
        <is>
          <t>Price / book (at spot)</t>
        </is>
      </c>
      <c r="B8" s="39">
        <f>Assumptions!$B$5/B6</f>
        <v/>
      </c>
      <c r="C8" s="39">
        <f>Assumptions!$B$5/C6</f>
        <v/>
      </c>
      <c r="D8" s="39">
        <f>Assumptions!$B$5/D6</f>
        <v/>
      </c>
      <c r="E8" s="39">
        <f>Assumptions!$B$5/E6</f>
        <v/>
      </c>
      <c r="F8" s="39">
        <f>Assumptions!$B$5/F6</f>
        <v/>
      </c>
      <c r="G8" s="39">
        <f>Assumptions!$B$5/G6</f>
        <v/>
      </c>
      <c r="H8" s="39">
        <f>Assumptions!$B$5/H6</f>
        <v/>
      </c>
      <c r="I8" s="39">
        <f>Assumptions!$B$5/I6</f>
        <v/>
      </c>
    </row>
    <row r="9">
      <c r="A9" t="inlineStr">
        <is>
          <t>EBITDA per tonne (EGP)</t>
        </is>
      </c>
      <c r="D9" s="17">
        <f>'Income Statement'!D14/'Segments'!B55</f>
        <v/>
      </c>
      <c r="E9" s="17">
        <f>'Income Statement'!E14/'Segments'!C55</f>
        <v/>
      </c>
      <c r="F9" s="17">
        <f>'Income Statement'!F14/'Segments'!D55</f>
        <v/>
      </c>
      <c r="G9" s="17">
        <f>'Income Statement'!G14/'Segments'!E55</f>
        <v/>
      </c>
      <c r="H9" s="17">
        <f>'Income Statement'!H14/'Segments'!F55</f>
        <v/>
      </c>
      <c r="I9" s="17">
        <f>'Income Statement'!I14/'Segments'!G55</f>
        <v/>
      </c>
    </row>
    <row r="10">
      <c r="A10" t="inlineStr">
        <is>
          <t>Return on equity</t>
        </is>
      </c>
      <c r="B10" s="22">
        <f>'Balance Sheet'!B18</f>
        <v/>
      </c>
      <c r="C10" s="22">
        <f>'Balance Sheet'!C18</f>
        <v/>
      </c>
      <c r="D10" s="22">
        <f>'Balance Sheet'!D18</f>
        <v/>
      </c>
      <c r="E10" s="22">
        <f>'Balance Sheet'!E18</f>
        <v/>
      </c>
      <c r="F10" s="22">
        <f>'Balance Sheet'!F18</f>
        <v/>
      </c>
      <c r="G10" s="22">
        <f>'Balance Sheet'!G18</f>
        <v/>
      </c>
      <c r="H10" s="22">
        <f>'Balance Sheet'!H18</f>
        <v/>
      </c>
      <c r="I10" s="22">
        <f>'Balance Sheet'!I18</f>
        <v/>
      </c>
    </row>
    <row r="11">
      <c r="A11" t="inlineStr">
        <is>
          <t>Net (cash) / EBITDA</t>
        </is>
      </c>
      <c r="B11" s="39">
        <f>'Balance Sheet'!B16/'Income Statement'!B14</f>
        <v/>
      </c>
      <c r="C11" s="39">
        <f>'Balance Sheet'!C16/'Income Statement'!C14</f>
        <v/>
      </c>
      <c r="D11" s="39">
        <f>'Balance Sheet'!D16/'Income Statement'!D14</f>
        <v/>
      </c>
      <c r="E11" s="39">
        <f>'Balance Sheet'!E16/'Income Statement'!E14</f>
        <v/>
      </c>
      <c r="F11" s="39">
        <f>'Balance Sheet'!F16/'Income Statement'!F14</f>
        <v/>
      </c>
      <c r="G11" s="39">
        <f>'Balance Sheet'!G16/'Income Statement'!G14</f>
        <v/>
      </c>
      <c r="H11" s="39">
        <f>'Balance Sheet'!H16/'Income Statement'!H14</f>
        <v/>
      </c>
      <c r="I11" s="39">
        <f>'Balance Sheet'!I16/'Income Statement'!I14</f>
        <v/>
      </c>
    </row>
    <row r="13">
      <c r="A13" s="15" t="inlineStr">
        <is>
          <t>RECONCILIATIONS AGAINST THE AUDITED ACCOUNTS</t>
        </is>
      </c>
      <c r="B13" s="15" t="n"/>
      <c r="C13" s="15" t="n"/>
      <c r="D13" s="15" t="n"/>
      <c r="E13" s="15" t="n"/>
      <c r="F13" s="15" t="n"/>
      <c r="G13" s="15" t="n"/>
      <c r="H13" s="15" t="n"/>
      <c r="I13" s="15" t="n"/>
      <c r="J13" s="15" t="n"/>
    </row>
    <row r="14">
      <c r="A14" t="inlineStr">
        <is>
          <t>Shares issued (audited note 20)</t>
        </is>
      </c>
      <c r="B14" s="42">
        <f>Assumptions!$B$6</f>
        <v/>
      </c>
    </row>
    <row r="15">
      <c r="A15" t="inlineStr">
        <is>
          <t>Less treasury shares (audited note 21)</t>
        </is>
      </c>
      <c r="B15" s="42">
        <f>-Assumptions!$B$7</f>
        <v/>
      </c>
    </row>
    <row r="16">
      <c r="A16" t="inlineStr">
        <is>
          <t>Shares outstanding — ADOPTED</t>
        </is>
      </c>
      <c r="B16" s="44">
        <f>B14+B15</f>
        <v/>
      </c>
    </row>
    <row r="17">
      <c r="A17" t="inlineStr">
        <is>
          <t>Shares implied by the FY2025 dividend at EGP 5.34 per share</t>
        </is>
      </c>
      <c r="B17" s="42">
        <f>Assumptions!$B$131/5.34</f>
        <v/>
      </c>
    </row>
    <row r="18">
      <c r="A18" t="inlineStr">
        <is>
          <t>Difference</t>
        </is>
      </c>
      <c r="B18" s="46">
        <f>B17/B16-1</f>
        <v/>
      </c>
    </row>
    <row r="19">
      <c r="A19" t="inlineStr">
        <is>
          <t>Issued capital implied at EGP 2 par (EGP mn)</t>
        </is>
      </c>
      <c r="B19" s="17">
        <f>Assumptions!$B$6*2</f>
        <v/>
      </c>
    </row>
    <row r="20">
      <c r="A20" t="inlineStr">
        <is>
          <t>Q1-2026 revenue growth on Q1-2025</t>
        </is>
      </c>
      <c r="B20" s="8">
        <f>Assumptions!$B$133/Assumptions!$B$134-1</f>
        <v/>
      </c>
    </row>
    <row r="21">
      <c r="A21" t="inlineStr">
        <is>
          <t>FY2026 revenue implied by holding that growth</t>
        </is>
      </c>
      <c r="B21" s="17">
        <f>Assumptions!$B$55*Assumptions!$B$133/Assumptions!$B$134</f>
        <v/>
      </c>
    </row>
    <row r="22">
      <c r="A22" t="inlineStr">
        <is>
          <t>FY2026 revenue this model forecasts</t>
        </is>
      </c>
      <c r="B22" s="14">
        <f>DCF!B5</f>
        <v/>
      </c>
    </row>
    <row r="23">
      <c r="A23" t="inlineStr">
        <is>
          <t>The forecast against the run rate</t>
        </is>
      </c>
      <c r="B23" s="8">
        <f>B22/B21-1</f>
        <v/>
      </c>
    </row>
    <row r="24">
      <c r="A24" t="inlineStr">
        <is>
          <t>Q1-2026 gross margin</t>
        </is>
      </c>
      <c r="B24" s="8">
        <f>Assumptions!$B$135/Assumptions!$B$133</f>
        <v/>
      </c>
    </row>
    <row r="25">
      <c r="A25" t="inlineStr">
        <is>
          <t>FY2025 gross margin</t>
        </is>
      </c>
      <c r="B25" s="22">
        <f>'Income Statement'!D8</f>
        <v/>
      </c>
    </row>
    <row r="26">
      <c r="A26" t="inlineStr">
        <is>
          <t>Q1-2026 attributable profit annualised at four times</t>
        </is>
      </c>
      <c r="B26" s="17">
        <f>4*Assumptions!$B$136</f>
        <v/>
      </c>
    </row>
    <row r="27">
      <c r="A27" t="inlineStr">
        <is>
          <t>FY2026 profit this model forecasts</t>
        </is>
      </c>
      <c r="B27" s="14">
        <f>'Income Statement'!E20</f>
        <v/>
      </c>
    </row>
    <row r="28">
      <c r="A28" t="inlineStr">
        <is>
          <t>The forecast against the annualised first quarter</t>
        </is>
      </c>
      <c r="B28" s="8">
        <f>B27/B26-1</f>
        <v/>
      </c>
    </row>
    <row r="29">
      <c r="A29" t="inlineStr">
        <is>
          <t>Q1-2026 net cash, free of the declared dividend</t>
        </is>
      </c>
      <c r="B29" s="17">
        <f>Assumptions!$B$137-Assumptions!$B$138-Assumptions!$B$149</f>
        <v/>
      </c>
    </row>
    <row r="30">
      <c r="A30" t="inlineStr">
        <is>
          <t>Net cash at the valuation date in this model</t>
        </is>
      </c>
      <c r="B30" s="14">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4">
        <f>Assumptions!$B$55</f>
        <v/>
      </c>
      <c r="C5" s="14">
        <f>Assumptions!$B$76</f>
        <v/>
      </c>
      <c r="D5" s="14">
        <f>DCF!C45</f>
        <v/>
      </c>
      <c r="E5" s="39">
        <f>D5/C5</f>
        <v/>
      </c>
      <c r="F5" s="39">
        <f>D5/B5</f>
        <v/>
      </c>
      <c r="G5" s="8">
        <f>C5/B5</f>
        <v/>
      </c>
    </row>
    <row r="6">
      <c r="A6" t="inlineStr">
        <is>
          <t>Sinai Cement (SCEM)</t>
        </is>
      </c>
      <c r="B6" s="14">
        <f>Assumptions!$B$164</f>
        <v/>
      </c>
      <c r="C6" s="14">
        <f>Assumptions!$B$165</f>
        <v/>
      </c>
      <c r="D6" s="14">
        <f>Assumptions!$B$166</f>
        <v/>
      </c>
      <c r="E6" s="39">
        <f>D6/C6</f>
        <v/>
      </c>
      <c r="F6" s="39">
        <f>D6/B6</f>
        <v/>
      </c>
      <c r="G6" s="8">
        <f>C6/B6</f>
        <v/>
      </c>
    </row>
    <row r="7">
      <c r="A7" t="inlineStr">
        <is>
          <t>Misr Beni Suef Cement (MBSC)</t>
        </is>
      </c>
      <c r="B7" s="14">
        <f>Assumptions!$B$167</f>
        <v/>
      </c>
      <c r="C7" s="14">
        <f>Assumptions!$B$168</f>
        <v/>
      </c>
      <c r="D7" s="14">
        <f>Assumptions!$B$169</f>
        <v/>
      </c>
      <c r="E7" s="39">
        <f>D7/C7</f>
        <v/>
      </c>
      <c r="F7" s="39">
        <f>D7/B7</f>
        <v/>
      </c>
      <c r="G7" s="8">
        <f>C7/B7</f>
        <v/>
      </c>
    </row>
    <row r="9">
      <c r="A9" t="inlineStr">
        <is>
          <t>Peer average price / earnings (excluding the subject)</t>
        </is>
      </c>
      <c r="E9" s="47">
        <f>AVERAGE(E6:E7)</f>
        <v/>
      </c>
    </row>
    <row r="10">
      <c r="A10" t="inlineStr">
        <is>
          <t>Subject premium / (discount) to the peer average</t>
        </is>
      </c>
      <c r="E10" s="8">
        <f>E5/E9-1</f>
        <v/>
      </c>
    </row>
    <row r="12">
      <c r="A12" s="15" t="inlineStr">
        <is>
          <t>THE EGYPTIAN CEMENT BALANCE</t>
        </is>
      </c>
      <c r="B12" s="15" t="n"/>
      <c r="C12" s="15" t="n"/>
      <c r="D12" s="15" t="n"/>
      <c r="E12" s="15" t="n"/>
      <c r="F12" s="15" t="n"/>
      <c r="G12" s="15" t="n"/>
      <c r="H12" s="15" t="n"/>
    </row>
    <row r="13">
      <c r="A13" t="inlineStr">
        <is>
          <t>Nameplate capacity (Mt)</t>
        </is>
      </c>
      <c r="B13" s="48">
        <f>Assumptions!$B$159</f>
        <v/>
      </c>
    </row>
    <row r="14">
      <c r="A14" t="inlineStr">
        <is>
          <t>Production 2025 (Mt)</t>
        </is>
      </c>
      <c r="B14" s="48">
        <f>Assumptions!$B$160</f>
        <v/>
      </c>
    </row>
    <row r="15">
      <c r="A15" t="inlineStr">
        <is>
          <t>Domestic consumption 2025 (Mt)</t>
        </is>
      </c>
      <c r="B15" s="48">
        <f>Assumptions!$B$161</f>
        <v/>
      </c>
    </row>
    <row r="16">
      <c r="A16" t="inlineStr">
        <is>
          <t>Exports 2025 (Mt)</t>
        </is>
      </c>
      <c r="B16" s="48">
        <f>Assumptions!$B$162</f>
        <v/>
      </c>
    </row>
    <row r="17">
      <c r="A17" t="inlineStr">
        <is>
          <t>Dormant capacity under revival (Mt)</t>
        </is>
      </c>
      <c r="B17" s="48">
        <f>Assumptions!$B$163</f>
        <v/>
      </c>
    </row>
    <row r="18">
      <c r="A18" t="inlineStr">
        <is>
          <t>Sector utilisation</t>
        </is>
      </c>
      <c r="B18" s="8">
        <f>B14/B13</f>
        <v/>
      </c>
    </row>
    <row r="19">
      <c r="A19" t="inlineStr">
        <is>
          <t>The subject as a share of national capacity</t>
        </is>
      </c>
      <c r="B19" s="8">
        <f>Assumptions!$B$13/B13</f>
        <v/>
      </c>
    </row>
    <row r="20">
      <c r="A20" t="inlineStr">
        <is>
          <t>Revival capacity as a share of consumption</t>
        </is>
      </c>
      <c r="B20" s="8">
        <f>B17/B15</f>
        <v/>
      </c>
    </row>
    <row r="21">
      <c r="A21" t="inlineStr">
        <is>
          <t>The subject's own volume as a share of national production</t>
        </is>
      </c>
      <c r="B21" s="8">
        <f>'Segments'!B18/B14</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2026-09-05T21:19:38Z</dcterms:created>
  <dcterms:modified xmlns:dcterms="http://purl.org/dc/terms/" xmlns:xsi="http://www.w3.org/2001/XMLSchema-instance" xsi:type="dcterms:W3CDTF">2026-09-05T21:19:38Z</dcterms:modified>
</cp:coreProperties>
</file>