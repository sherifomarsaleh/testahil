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copper-price growth times FX-translation growth times a modest real-volume assumption,</t>
        </is>
      </c>
    </row>
    <row r="27">
      <c r="A27" s="3" t="inlineStr">
        <is>
          <t>Constructions and Electrical products on a taper of their own recent revenue CAGR — because none of the</t>
        </is>
      </c>
    </row>
    <row r="28">
      <c r="A28" s="3" t="inlineStr">
        <is>
          <t>audited filings discloses a tonnage, order-book or backlog figure to build a literal unit model from.</t>
        </is>
      </c>
    </row>
    <row r="29">
      <c r="A29" s="3" t="inlineStr">
        <is>
          <t>Margins come from the same segment build; group EBITDA margin is an OUTPUT of it, not an input.</t>
        </is>
      </c>
    </row>
    <row r="30">
      <c r="A30" s="3" t="inlineStr"/>
    </row>
    <row r="31">
      <c r="A31" s="3" t="inlineStr">
        <is>
          <t>What it is not. It is not investment advice, a recommendation, or a price target. Values are model outputs</t>
        </is>
      </c>
    </row>
    <row r="32">
      <c r="A32" s="3" t="inlineStr">
        <is>
          <t>shown as ranges.</t>
        </is>
      </c>
    </row>
    <row r="33">
      <c r="A33" s="3" t="inlineStr"/>
    </row>
    <row r="34">
      <c r="A34" s="3" t="inlineStr">
        <is>
          <t>Sourcing note, up front. FY2023, FY2024 and FY2025 all come from the company's own audited consolidated</t>
        </is>
      </c>
    </row>
    <row r="35">
      <c r="A35" s="3" t="inlineStr">
        <is>
          <t>financial statements — every income-statement, balance-sheet and segment line is the audited figure, not a</t>
        </is>
      </c>
    </row>
    <row r="36">
      <c r="A36" s="3" t="inlineStr">
        <is>
          <t>derivation or a triangulation. Segment revenue ties EXACTLY to consolidated revenue in every year (Note</t>
        </is>
      </c>
    </row>
    <row r="37">
      <c r="A37" s="3" t="inlineStr">
        <is>
          <t>5-3); segment profit reconciles to consolidated operating profit through an explicit, exactly-reconciling</t>
        </is>
      </c>
    </row>
    <row r="38">
      <c r="A38" s="3" t="inlineStr">
        <is>
          <t>corporate cost load (Note 16 less G&amp;A, net impairment, other expenses and other income). Every input is</t>
        </is>
      </c>
    </row>
    <row r="39">
      <c r="A39" s="3" t="inlineStr">
        <is>
          <t>annotated where it appears and listed with source and date in the companion bibliography document.</t>
        </is>
      </c>
    </row>
    <row r="40">
      <c r="A40" s="3" t="inlineStr"/>
    </row>
    <row r="41">
      <c r="A41" s="3" t="inlineStr">
        <is>
          <t>Discount convention. Each explicit year is discounted at its own forward cost of capital, gliding</t>
        </is>
      </c>
    </row>
    <row r="42">
      <c r="A42" s="3" t="inlineStr">
        <is>
          <t>26.9% -&gt; 15.9% on the same easing calendar as the interest forecast; the terminal value is</t>
        </is>
      </c>
    </row>
    <row r="43">
      <c r="A43" s="3" t="inlineStr">
        <is>
          <t>capitalised at the terminal rate and discounted at the year-5 cumulative factor. One date, one price of time.</t>
        </is>
      </c>
    </row>
    <row r="44">
      <c r="A44" s="3" t="inlineStr">
        <is>
          <t>The glide fractions are not a free parameter: they are the cost-of-debt path's own cumulative progress, and</t>
        </is>
      </c>
    </row>
    <row r="45">
      <c r="A45" s="3" t="inlineStr">
        <is>
          <t>the DCF sheet computes them in front of you.</t>
        </is>
      </c>
    </row>
    <row r="46">
      <c r="A46" s="3" t="inlineStr"/>
    </row>
    <row r="47">
      <c r="A47" s="3" t="inlineStr">
        <is>
          <t>The open question. This company earns just over half its revenue on a hard-currency-linked basis but</t>
        </is>
      </c>
    </row>
    <row r="48">
      <c r="A48" s="3" t="inlineStr">
        <is>
          <t>reports, lists and borrows in Egyptian pounds. The primary model charges the full Egyptian cost of capital.</t>
        </is>
      </c>
    </row>
    <row r="49">
      <c r="A49" s="3" t="inlineStr">
        <is>
          <t>The Fundamental Valuation sheet also shows what the same cash flows are worth if the hard-currency leg is</t>
        </is>
      </c>
    </row>
    <row r="50">
      <c r="A50" s="3" t="inlineStr">
        <is>
          <t>discounted at a hard-currency rate. Both are shown; they are not averaged.</t>
        </is>
      </c>
    </row>
    <row r="51">
      <c r="A51" s="3" t="inlineStr"/>
    </row>
    <row r="52">
      <c r="A52" s="3" t="inlineStr">
        <is>
          <t>Currency. EGP million unless stated. Spot EGP 130.00 (2026-09-03 close). Sheets: READ FIRST · Summary ·</t>
        </is>
      </c>
    </row>
    <row r="53">
      <c r="A53" s="3" t="inlineStr">
        <is>
          <t>Fundamental Valuation · Assumptions · SOTP Bridge · Segments · Relative &amp; Normalized · DCF · Income</t>
        </is>
      </c>
    </row>
    <row r="54">
      <c r="A54" s="3" t="inlineStr">
        <is>
          <t>Statement · Balance Sheet · Cash Flow · Summary Financials · Monte Carlo · Sensitivity · Per-Share &amp;</t>
        </is>
      </c>
    </row>
    <row r="55">
      <c r="A55"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19.63802419176771</v>
      </c>
      <c r="C5" s="8">
        <f>DCF!C62</f>
        <v/>
      </c>
      <c r="D5" s="7" t="n">
        <v>101.3067584343183</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19.63802419176771</v>
      </c>
    </row>
    <row r="7">
      <c r="A7" s="6" t="inlineStr">
        <is>
          <t xml:space="preserve">  bull</t>
        </is>
      </c>
      <c r="B7" s="6" t="inlineStr">
        <is>
          <t>margin +1.5pp, stronger currency path, −2pp cost of capital, g 6%</t>
        </is>
      </c>
      <c r="C7" s="7" t="n">
        <v>101.3067584343183</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0.5254856747391311</v>
      </c>
    </row>
    <row r="16">
      <c r="A16" s="6" t="inlineStr">
        <is>
          <t>Cost of capital applied in the primary model (explicit → terminal)</t>
        </is>
      </c>
      <c r="C16" s="22" t="inlineStr">
        <is>
          <t>26.9% → 15.9%</t>
        </is>
      </c>
    </row>
    <row r="17">
      <c r="A17" s="6" t="inlineStr">
        <is>
          <t>Hard-currency cost of capital for the foreign leg</t>
        </is>
      </c>
      <c r="C17" s="23">
        <f>(1-Assumptions!$C$65)*(Assumptions!$C$62+Assumptions!$C$33*Assumptions!$C$63)+Assumptions!$C$65*Assumptions!$C$64*(1-Assumptions!$C$7)</f>
        <v/>
      </c>
    </row>
    <row r="18">
      <c r="A18" s="6" t="inlineStr">
        <is>
          <t>Fair value if the foreign leg is discounted at the hard-currency rate</t>
        </is>
      </c>
      <c r="C18" s="7" t="n">
        <v>70.84778269949645</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151.4223547712553</v>
      </c>
      <c r="D23" s="7" t="n">
        <v>111.0875245682934</v>
      </c>
      <c r="E23" s="7" t="n">
        <v>191.7571849742172</v>
      </c>
    </row>
    <row r="24">
      <c r="A24" s="6" t="inlineStr">
        <is>
          <t>Expert 2</t>
        </is>
      </c>
      <c r="B24" s="6" t="inlineStr">
        <is>
          <t>owner cash earnings</t>
        </is>
      </c>
      <c r="C24" s="7" t="n">
        <v>74.30796795435184</v>
      </c>
      <c r="D24" s="7" t="n">
        <v>36.90047424542561</v>
      </c>
      <c r="E24" s="7" t="n">
        <v>67.07141566856639</v>
      </c>
    </row>
    <row r="25">
      <c r="A25" s="6" t="inlineStr">
        <is>
          <t>Expert 3</t>
        </is>
      </c>
      <c r="B25" s="6" t="inlineStr">
        <is>
          <t>cash returns vs cost of capital</t>
        </is>
      </c>
      <c r="C25" s="7" t="n">
        <v>55.21683864604976</v>
      </c>
      <c r="D25" s="7" t="n">
        <v>47.64716300797847</v>
      </c>
      <c r="E25" s="7" t="n">
        <v>70.84778269949645</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49.5</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14000</v>
      </c>
      <c r="D12" s="24" t="n">
        <v>14000</v>
      </c>
      <c r="E12" s="24" t="n">
        <v>14000</v>
      </c>
      <c r="F12" s="24" t="n">
        <v>14000</v>
      </c>
    </row>
    <row r="13">
      <c r="A13" s="6" t="inlineStr">
        <is>
          <t>USD/EGP path</t>
        </is>
      </c>
      <c r="B13" s="25" t="n">
        <v>51</v>
      </c>
      <c r="C13" s="25" t="n">
        <v>54</v>
      </c>
      <c r="D13" s="25" t="n">
        <v>57.5</v>
      </c>
      <c r="E13" s="25" t="n">
        <v>61</v>
      </c>
      <c r="F13" s="25" t="n">
        <v>64.5</v>
      </c>
    </row>
    <row r="14">
      <c r="A14" s="6" t="inlineStr">
        <is>
          <t>Cables — real (volume) growth over copper x FX</t>
        </is>
      </c>
      <c r="B14" s="21" t="n">
        <v>0.03</v>
      </c>
      <c r="C14" s="21" t="n">
        <v>0.03</v>
      </c>
      <c r="D14" s="21" t="n">
        <v>0.03</v>
      </c>
      <c r="E14" s="21" t="n">
        <v>0.03</v>
      </c>
      <c r="F14" s="21" t="n">
        <v>0.03</v>
      </c>
    </row>
    <row r="15">
      <c r="A15" s="6" t="inlineStr">
        <is>
          <t>Constructions and infrastructure — revenue growth</t>
        </is>
      </c>
      <c r="B15" s="21" t="n">
        <v>0.18</v>
      </c>
      <c r="C15" s="21" t="n">
        <v>0.14</v>
      </c>
      <c r="D15" s="21" t="n">
        <v>0.11</v>
      </c>
      <c r="E15" s="21" t="n">
        <v>0.09</v>
      </c>
      <c r="F15" s="21" t="n">
        <v>0.08</v>
      </c>
    </row>
    <row r="16">
      <c r="A16" s="6" t="inlineStr">
        <is>
          <t>Electrical products and digital solutions — revenue growth</t>
        </is>
      </c>
      <c r="B16" s="21" t="n">
        <v>0.2</v>
      </c>
      <c r="C16" s="21" t="n">
        <v>0.16</v>
      </c>
      <c r="D16" s="21" t="n">
        <v>0.13</v>
      </c>
      <c r="E16" s="21" t="n">
        <v>0.11</v>
      </c>
      <c r="F16" s="21" t="n">
        <v>0.1</v>
      </c>
    </row>
    <row r="18">
      <c r="A18" s="10" t="inlineStr">
        <is>
          <t>Segment gross margins and corporate cost load</t>
        </is>
      </c>
      <c r="B18" s="13" t="n"/>
      <c r="C18" s="13" t="n"/>
      <c r="D18" s="13" t="n"/>
      <c r="E18" s="13" t="n"/>
      <c r="F18" s="13" t="n"/>
      <c r="G18" s="13" t="n"/>
      <c r="H18" s="13" t="n"/>
    </row>
    <row r="19">
      <c r="A19" s="6" t="inlineStr">
        <is>
          <t>Cables — gross/segment margin</t>
        </is>
      </c>
      <c r="B19" s="21" t="n">
        <v>0.114341</v>
      </c>
      <c r="C19" s="21" t="n">
        <v>0.114341</v>
      </c>
      <c r="D19" s="21" t="n">
        <v>0.114341</v>
      </c>
      <c r="E19" s="21" t="n">
        <v>0.114341</v>
      </c>
      <c r="F19" s="21" t="n">
        <v>0.114341</v>
      </c>
    </row>
    <row r="20">
      <c r="A20" s="6" t="inlineStr">
        <is>
          <t>Constructions and infrastructure — segment margin</t>
        </is>
      </c>
      <c r="B20" s="21" t="n">
        <v>0.08987100000000001</v>
      </c>
      <c r="C20" s="21" t="n">
        <v>0.08987100000000001</v>
      </c>
      <c r="D20" s="21" t="n">
        <v>0.08987100000000001</v>
      </c>
      <c r="E20" s="21" t="n">
        <v>0.08987100000000001</v>
      </c>
      <c r="F20" s="21" t="n">
        <v>0.08987100000000001</v>
      </c>
    </row>
    <row r="21">
      <c r="A21" s="6" t="inlineStr">
        <is>
          <t>Electrical products and digital solutions — segment margin</t>
        </is>
      </c>
      <c r="B21" s="21" t="n">
        <v>0.236221</v>
      </c>
      <c r="C21" s="21" t="n">
        <v>0.236221</v>
      </c>
      <c r="D21" s="21" t="n">
        <v>0.236221</v>
      </c>
      <c r="E21" s="21" t="n">
        <v>0.236221</v>
      </c>
      <c r="F21" s="21" t="n">
        <v>0.236221</v>
      </c>
    </row>
    <row r="22">
      <c r="A22" s="6" t="inlineStr">
        <is>
          <t>Corporate cost load (% of revenue) — the bridge from segment profit to EBIT</t>
        </is>
      </c>
      <c r="B22" s="21" t="n">
        <v>0.0307</v>
      </c>
      <c r="C22" s="21" t="n">
        <v>0.0307</v>
      </c>
      <c r="D22" s="21" t="n">
        <v>0.0307</v>
      </c>
      <c r="E22" s="21" t="n">
        <v>0.0307</v>
      </c>
      <c r="F22" s="21" t="n">
        <v>0.0307</v>
      </c>
    </row>
    <row r="24">
      <c r="A24" s="10" t="inlineStr">
        <is>
          <t>Capital intensity</t>
        </is>
      </c>
      <c r="B24" s="13" t="n"/>
      <c r="C24" s="13" t="n"/>
      <c r="D24" s="13" t="n"/>
      <c r="E24" s="13" t="n"/>
      <c r="F24" s="13" t="n"/>
      <c r="G24" s="13" t="n"/>
      <c r="H24" s="13" t="n"/>
    </row>
    <row r="25">
      <c r="A25" s="6" t="inlineStr">
        <is>
          <t>Working capital / revenue</t>
        </is>
      </c>
      <c r="C25" s="21" t="n">
        <v>0.199</v>
      </c>
    </row>
    <row r="26">
      <c r="A26" s="6" t="inlineStr">
        <is>
          <t>Capital expenditure / revenue</t>
        </is>
      </c>
      <c r="B26" s="21" t="n">
        <v>0.044</v>
      </c>
      <c r="C26" s="21" t="n">
        <v>0.04</v>
      </c>
      <c r="D26" s="21" t="n">
        <v>0.036</v>
      </c>
      <c r="E26" s="21" t="n">
        <v>0.033</v>
      </c>
      <c r="F26" s="21" t="n">
        <v>0.031</v>
      </c>
    </row>
    <row r="27">
      <c r="A27" s="6" t="inlineStr">
        <is>
          <t>Depreciation and amortisation / revenue</t>
        </is>
      </c>
      <c r="C27" s="21" t="n">
        <v>0.0125</v>
      </c>
    </row>
    <row r="29">
      <c r="A29" s="10" t="inlineStr">
        <is>
          <t>Cost of capital</t>
        </is>
      </c>
      <c r="B29" s="13" t="n"/>
      <c r="C29" s="13" t="n"/>
      <c r="D29" s="13" t="n"/>
      <c r="E29" s="13" t="n"/>
      <c r="F29" s="13" t="n"/>
      <c r="G29" s="13" t="n"/>
      <c r="H29" s="13" t="n"/>
    </row>
    <row r="30">
      <c r="A30" s="6" t="inlineStr">
        <is>
          <t>Risk-free rate (10-year local currency)</t>
        </is>
      </c>
      <c r="C30" s="21" t="n">
        <v>0.2231</v>
      </c>
    </row>
    <row r="31">
      <c r="A31" s="6" t="inlineStr">
        <is>
          <t>Sovereign default spread (netted out)</t>
        </is>
      </c>
      <c r="C31" s="21" t="n">
        <v>0.034</v>
      </c>
    </row>
    <row r="32">
      <c r="A32" s="6" t="inlineStr">
        <is>
          <t>Equity risk premium</t>
        </is>
      </c>
      <c r="C32" s="21" t="n">
        <v>0.0941</v>
      </c>
    </row>
    <row r="33">
      <c r="A33" s="6" t="inlineStr">
        <is>
          <t>Beta</t>
        </is>
      </c>
      <c r="C33" s="26" t="n">
        <v>1.009</v>
      </c>
    </row>
    <row r="34">
      <c r="A34" s="6" t="inlineStr">
        <is>
          <t>Cost of debt, blended</t>
        </is>
      </c>
      <c r="C34" s="21" t="n">
        <v>0.095</v>
      </c>
    </row>
    <row r="35">
      <c r="A35" s="6" t="inlineStr">
        <is>
          <t>Cost of debt path</t>
        </is>
      </c>
      <c r="B35" s="21" t="n">
        <v>0.095</v>
      </c>
      <c r="C35" s="21" t="n">
        <v>0.089</v>
      </c>
      <c r="D35" s="21" t="n">
        <v>0.08400000000000001</v>
      </c>
      <c r="E35" s="21" t="n">
        <v>0.08</v>
      </c>
      <c r="F35" s="21" t="n">
        <v>0.077</v>
      </c>
    </row>
    <row r="36">
      <c r="A36" s="6" t="inlineStr">
        <is>
          <t>Terminal risk-free rate</t>
        </is>
      </c>
      <c r="C36" s="21" t="n">
        <v>0.105</v>
      </c>
    </row>
    <row r="37">
      <c r="A37" s="6" t="inlineStr">
        <is>
          <t>Terminal equity risk premium</t>
        </is>
      </c>
      <c r="C37" s="21" t="n">
        <v>0.07000000000000001</v>
      </c>
    </row>
    <row r="38">
      <c r="A38" s="6" t="inlineStr">
        <is>
          <t>Terminal cost of debt</t>
        </is>
      </c>
      <c r="C38" s="21" t="n">
        <v>0.0888</v>
      </c>
    </row>
    <row r="39">
      <c r="A39" s="6" t="inlineStr">
        <is>
          <t>Terminal debt weight</t>
        </is>
      </c>
      <c r="C39" s="21" t="n">
        <v>0.15</v>
      </c>
    </row>
    <row r="40">
      <c r="A40" s="6" t="inlineStr">
        <is>
          <t>Terminal growth</t>
        </is>
      </c>
      <c r="C40" s="21" t="n">
        <v>0.07000000000000001</v>
      </c>
    </row>
    <row r="42">
      <c r="A42" s="10" t="inlineStr">
        <is>
          <t>Balance-sheet and bridge anchors</t>
        </is>
      </c>
      <c r="B42" s="13" t="n"/>
      <c r="C42" s="13" t="n"/>
      <c r="D42" s="13" t="n"/>
      <c r="E42" s="13" t="n"/>
      <c r="F42" s="13" t="n"/>
      <c r="G42" s="13" t="n"/>
      <c r="H42" s="13" t="n"/>
    </row>
    <row r="43">
      <c r="A43" s="6" t="inlineStr">
        <is>
          <t>Net bank debt at FY2025 (EGP mn, disclosed)</t>
        </is>
      </c>
      <c r="C43" s="24" t="n">
        <v>20560.003173</v>
      </c>
    </row>
    <row r="44">
      <c r="A44" s="6" t="inlineStr">
        <is>
          <t>Equity-accounted investees at carrying value (EGP mn)</t>
        </is>
      </c>
      <c r="C44" s="24" t="n">
        <v>6757.650507</v>
      </c>
    </row>
    <row r="45">
      <c r="A45" s="6" t="inlineStr">
        <is>
          <t>Intangible assets and goodwill (EGP mn)</t>
        </is>
      </c>
      <c r="C45" s="24" t="n">
        <v>1748.816945</v>
      </c>
    </row>
    <row r="46">
      <c r="A46" s="6" t="inlineStr">
        <is>
          <t>FY2025 profit after tax (EGP mn, disclosed)</t>
        </is>
      </c>
      <c r="C46" s="24" t="n">
        <v>19186.550057</v>
      </c>
    </row>
    <row r="47">
      <c r="A47" s="6" t="inlineStr">
        <is>
          <t>FY2025 profit after minority interests (EGP mn, disclosed)</t>
        </is>
      </c>
      <c r="C47" s="24" t="n">
        <v>17330.24499</v>
      </c>
    </row>
    <row r="48">
      <c r="A48" s="6" t="inlineStr">
        <is>
          <t>FY2024 dividend per share (EGP)</t>
        </is>
      </c>
      <c r="C48" s="7" t="n">
        <v>1</v>
      </c>
    </row>
    <row r="49">
      <c r="A49" s="6" t="inlineStr">
        <is>
          <t>FY2025 dividend per share (EGP, ratified 6 May 2026, paid 4 June 2026)</t>
        </is>
      </c>
      <c r="C49" s="7" t="n">
        <v>1.85</v>
      </c>
    </row>
    <row r="50">
      <c r="A50" s="6" t="inlineStr">
        <is>
          <t>Forecast dividend payout ratio (struck at the actual FY2025 rate)</t>
        </is>
      </c>
      <c r="C50" s="21" t="n">
        <v>0.25</v>
      </c>
    </row>
    <row r="51">
      <c r="A51" s="6" t="inlineStr">
        <is>
          <t>Growth in the share of equity-accounted investees</t>
        </is>
      </c>
      <c r="C51" s="21" t="n">
        <v>0.08</v>
      </c>
    </row>
    <row r="52">
      <c r="A52" s="6" t="inlineStr">
        <is>
          <t>Yield assumed on surplus cash (blend of EGP deposit and hard-currency rates)</t>
        </is>
      </c>
      <c r="C52" s="21" t="n">
        <v>0.1</v>
      </c>
    </row>
    <row r="53">
      <c r="A53" s="6" t="inlineStr">
        <is>
          <t>Days from the 31-Dec-2025 valuation date to the 3-Sep-2026 anchor</t>
        </is>
      </c>
      <c r="C53" s="24" t="n">
        <v>246</v>
      </c>
    </row>
    <row r="55">
      <c r="A55" s="10" t="inlineStr">
        <is>
          <t>Terminal construction — the sanctioned one, never g x IC</t>
        </is>
      </c>
      <c r="B55" s="13" t="n"/>
      <c r="C55" s="13" t="n"/>
      <c r="D55" s="13" t="n"/>
      <c r="E55" s="13" t="n"/>
      <c r="F55" s="13" t="n"/>
      <c r="G55" s="13" t="n"/>
      <c r="H55" s="13" t="n"/>
    </row>
    <row r="56">
      <c r="A56" s="6" t="inlineStr">
        <is>
          <t>Terminal inflation (house Egyptian macro path)</t>
        </is>
      </c>
      <c r="C56" s="21" t="n">
        <v>0.07000000000000001</v>
      </c>
    </row>
    <row r="57">
      <c r="A57" s="6" t="inlineStr">
        <is>
          <t>DISCLOSED useful life, derived by identity from note 17 (years)</t>
        </is>
      </c>
      <c r="C57" s="27" t="n">
        <v>17.2627</v>
      </c>
    </row>
    <row r="58">
      <c r="A58" s="6" t="inlineStr">
        <is>
          <t>Terminal working-capital base (EGP mn, last explicit year)</t>
        </is>
      </c>
      <c r="C58" s="24" t="n">
        <v>110489.8413121987</v>
      </c>
    </row>
    <row r="59">
      <c r="A59" s="6" t="inlineStr">
        <is>
          <t>Employees' statutory share of profit (mean of FY2024, FY2025, H1-2026)</t>
        </is>
      </c>
      <c r="C59" s="21" t="n">
        <v>0.1219271916645494</v>
      </c>
    </row>
    <row r="61">
      <c r="A61" s="10" t="inlineStr">
        <is>
          <t>Currency-of-discounting alternative</t>
        </is>
      </c>
      <c r="B61" s="13" t="n"/>
      <c r="C61" s="13" t="n"/>
      <c r="D61" s="13" t="n"/>
      <c r="E61" s="13" t="n"/>
      <c r="F61" s="13" t="n"/>
      <c r="G61" s="13" t="n"/>
      <c r="H61" s="13" t="n"/>
    </row>
    <row r="62">
      <c r="A62" s="6" t="inlineStr">
        <is>
          <t>US dollar risk-free rate</t>
        </is>
      </c>
      <c r="C62" s="21" t="n">
        <v>0.043</v>
      </c>
    </row>
    <row r="63">
      <c r="A63" s="6" t="inlineStr">
        <is>
          <t>Hard-currency-leg equity risk premium</t>
        </is>
      </c>
      <c r="C63" s="21" t="n">
        <v>0.075</v>
      </c>
    </row>
    <row r="64">
      <c r="A64" s="6" t="inlineStr">
        <is>
          <t>US dollar cost of debt</t>
        </is>
      </c>
      <c r="C64" s="21" t="n">
        <v>0.065</v>
      </c>
    </row>
    <row r="65">
      <c r="A65" s="6" t="inlineStr">
        <is>
          <t>Debt weight, USD leg</t>
        </is>
      </c>
      <c r="C65" s="21" t="n">
        <v>0.25</v>
      </c>
    </row>
    <row r="66">
      <c r="A66" s="6" t="inlineStr">
        <is>
          <t>Terminal growth of the USD leg</t>
        </is>
      </c>
      <c r="C66" s="21" t="n">
        <v>0.035</v>
      </c>
    </row>
    <row r="68">
      <c r="A68" s="10" t="inlineStr">
        <is>
          <t>Lens inputs</t>
        </is>
      </c>
      <c r="B68" s="13" t="n"/>
      <c r="C68" s="13" t="n"/>
      <c r="D68" s="13" t="n"/>
      <c r="E68" s="13" t="n"/>
      <c r="F68" s="13" t="n"/>
      <c r="G68" s="13" t="n"/>
      <c r="H68" s="13" t="n"/>
    </row>
    <row r="69">
      <c r="A69" s="6" t="inlineStr">
        <is>
          <t>Justified EV/EBITDA</t>
        </is>
      </c>
      <c r="C69" s="28" t="n">
        <v>6.5</v>
      </c>
    </row>
    <row r="70">
      <c r="A70" s="6" t="inlineStr">
        <is>
          <t>Justified price/earnings</t>
        </is>
      </c>
      <c r="C70" s="28" t="n">
        <v>9</v>
      </c>
    </row>
    <row r="71">
      <c r="A71" s="6" t="inlineStr">
        <is>
          <t>Sustainable return on equity</t>
        </is>
      </c>
      <c r="C71"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29">
        <f>C5+C6</f>
        <v/>
      </c>
      <c r="D7" s="30">
        <f>C7/Assumptions!$C$6</f>
        <v/>
      </c>
    </row>
    <row r="8">
      <c r="A8" s="6" t="inlineStr">
        <is>
          <t>Less net bank debt</t>
        </is>
      </c>
      <c r="C8" s="19">
        <f>-Assumptions!$C$43</f>
        <v/>
      </c>
      <c r="D8" s="16">
        <f>C8/Assumptions!$C$6</f>
        <v/>
      </c>
    </row>
    <row r="9">
      <c r="A9" s="6" t="inlineStr">
        <is>
          <t>Plus equity-accounted investees at carrying value</t>
        </is>
      </c>
      <c r="C9" s="19">
        <f>Assumptions!$C$44</f>
        <v/>
      </c>
      <c r="D9" s="16">
        <f>C9/Assumptions!$C$6</f>
        <v/>
      </c>
    </row>
    <row r="10">
      <c r="A10" s="6" t="inlineStr">
        <is>
          <t>Equity before minority interests</t>
        </is>
      </c>
      <c r="C10" s="31">
        <f>C7+C8+C9</f>
        <v/>
      </c>
      <c r="D10" s="16">
        <f>C10/Assumptions!$C$6</f>
        <v/>
      </c>
    </row>
    <row r="11">
      <c r="A11" s="6" t="inlineStr">
        <is>
          <t>Less minority interests at their share of group profit</t>
        </is>
      </c>
      <c r="C11" s="31">
        <f>-C10*$C$17</f>
        <v/>
      </c>
      <c r="D11" s="16">
        <f>C11/Assumptions!$C$6</f>
        <v/>
      </c>
    </row>
    <row r="12">
      <c r="A12" s="6" t="inlineStr">
        <is>
          <t>Less the employees' statutory share of profit</t>
        </is>
      </c>
      <c r="C12" s="29">
        <f>-(C10+C11)*$C$18</f>
        <v/>
      </c>
      <c r="D12" s="30">
        <f>C12/Assumptions!$C$6</f>
        <v/>
      </c>
    </row>
    <row r="13">
      <c r="A13" s="13" t="inlineStr">
        <is>
          <t>Equity attributable to ordinary shareholders</t>
        </is>
      </c>
      <c r="B13" s="13" t="n"/>
      <c r="C13" s="32">
        <f>C10+C11+C12</f>
        <v/>
      </c>
      <c r="D13" s="33">
        <f>C13/Assumptions!$C$6</f>
        <v/>
      </c>
    </row>
    <row r="15">
      <c r="A15" s="6" t="inlineStr">
        <is>
          <t>Terminal value as a share of enterprise value</t>
        </is>
      </c>
      <c r="C15" s="17">
        <f>DCF!C28</f>
        <v/>
      </c>
    </row>
    <row r="17">
      <c r="A17" s="6" t="inlineStr">
        <is>
          <t>Minority share of group profit</t>
        </is>
      </c>
      <c r="C17" s="9">
        <f>(Assumptions!$C$46-Assumptions!$C$47)/Assumptions!$C$46</f>
        <v/>
      </c>
    </row>
    <row r="18">
      <c r="A18" s="6" t="inlineStr">
        <is>
          <t>Employees' statutory share of profit — an appropriation disclosed only in the earnings-per-share note, below profit attributable to owners</t>
        </is>
      </c>
      <c r="C18" s="17">
        <f>Assumptions!$C$59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24" t="n">
        <v>221541.3228857327</v>
      </c>
      <c r="F5" s="24" t="n">
        <v>252428.7347156312</v>
      </c>
      <c r="G5" s="24" t="n">
        <v>276853.5521024677</v>
      </c>
      <c r="H5" s="24" t="n">
        <v>302516.6726712704</v>
      </c>
      <c r="I5" s="24" t="n">
        <v>329470.412277309</v>
      </c>
    </row>
    <row r="6">
      <c r="A6" s="6" t="inlineStr">
        <is>
          <t>Constructions and infrastructure</t>
        </is>
      </c>
      <c r="B6" s="24" t="n">
        <v>90958.55022799999</v>
      </c>
      <c r="C6" s="9">
        <f>B6/$B$8</f>
        <v/>
      </c>
      <c r="D6" s="21" t="n">
        <v>0.06452269254829619</v>
      </c>
      <c r="E6" s="24" t="n">
        <v>107331.08926904</v>
      </c>
      <c r="F6" s="24" t="n">
        <v>122357.4417667056</v>
      </c>
      <c r="G6" s="24" t="n">
        <v>135816.7603610432</v>
      </c>
      <c r="H6" s="24" t="n">
        <v>148040.2687935371</v>
      </c>
      <c r="I6" s="24" t="n">
        <v>159883.4902970201</v>
      </c>
    </row>
    <row r="7">
      <c r="A7" s="6" t="inlineStr">
        <is>
          <t>Electrical products and digital solutions</t>
        </is>
      </c>
      <c r="B7" s="24" t="n">
        <v>34297.601753</v>
      </c>
      <c r="C7" s="9">
        <f>B7/$B$8</f>
        <v/>
      </c>
      <c r="D7" s="21" t="n">
        <v>0.2217300370961013</v>
      </c>
      <c r="E7" s="24" t="n">
        <v>41157.1221036</v>
      </c>
      <c r="F7" s="24" t="n">
        <v>47742.261640176</v>
      </c>
      <c r="G7" s="24" t="n">
        <v>53948.75565339887</v>
      </c>
      <c r="H7" s="24" t="n">
        <v>59883.11877527275</v>
      </c>
      <c r="I7" s="24" t="n">
        <v>65871.43065280003</v>
      </c>
    </row>
    <row r="8">
      <c r="A8" s="10" t="inlineStr">
        <is>
          <t>Total revenue</t>
        </is>
      </c>
      <c r="B8" s="34">
        <f>SUM(B5:B7)</f>
        <v/>
      </c>
      <c r="C8" s="14">
        <f>SUM(C5:C7)</f>
        <v/>
      </c>
      <c r="D8" s="13" t="n"/>
      <c r="E8" s="34">
        <f>SUM(E5:E7)</f>
        <v/>
      </c>
      <c r="F8" s="34">
        <f>SUM(F5:F7)</f>
        <v/>
      </c>
      <c r="G8" s="34">
        <f>SUM(G5:G7)</f>
        <v/>
      </c>
      <c r="H8" s="34">
        <f>SUM(H5:H7)</f>
        <v/>
      </c>
      <c r="I8" s="34">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24" t="n">
        <v>25331.25640007756</v>
      </c>
      <c r="C11" s="24" t="n">
        <v>28862.95395611998</v>
      </c>
      <c r="D11" s="24" t="n">
        <v>31655.71200094826</v>
      </c>
      <c r="E11" s="24" t="n">
        <v>34590.05886990573</v>
      </c>
      <c r="F11" s="24" t="n">
        <v>37671.97641019979</v>
      </c>
    </row>
    <row r="12">
      <c r="A12" s="6" t="inlineStr">
        <is>
          <t>Constructions and infrastructure</t>
        </is>
      </c>
      <c r="B12" s="24" t="n">
        <v>9645.952323697893</v>
      </c>
      <c r="C12" s="24" t="n">
        <v>10996.3856490156</v>
      </c>
      <c r="D12" s="24" t="n">
        <v>12205.98807040732</v>
      </c>
      <c r="E12" s="24" t="n">
        <v>13304.52699674398</v>
      </c>
      <c r="F12" s="24" t="n">
        <v>14368.8891564835</v>
      </c>
    </row>
    <row r="13">
      <c r="A13" s="6" t="inlineStr">
        <is>
          <t>Electrical products and digital solutions</t>
        </is>
      </c>
      <c r="B13" s="24" t="n">
        <v>9722.176540434495</v>
      </c>
      <c r="C13" s="24" t="n">
        <v>11277.72478690401</v>
      </c>
      <c r="D13" s="24" t="n">
        <v>12743.82900920153</v>
      </c>
      <c r="E13" s="24" t="n">
        <v>14145.6502002137</v>
      </c>
      <c r="F13" s="24" t="n">
        <v>15560.21522023508</v>
      </c>
    </row>
    <row r="14">
      <c r="A14" s="10" t="inlineStr">
        <is>
          <t>Group segment profit</t>
        </is>
      </c>
      <c r="B14" s="34">
        <f>SUM(B11:B13)</f>
        <v/>
      </c>
      <c r="C14" s="34">
        <f>SUM(C11:C13)</f>
        <v/>
      </c>
      <c r="D14" s="34">
        <f>SUM(D11:D13)</f>
        <v/>
      </c>
      <c r="E14" s="34">
        <f>SUM(E11:E13)</f>
        <v/>
      </c>
      <c r="F14" s="34">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1">
        <f>B11-Assumptions!$B$22*E5</f>
        <v/>
      </c>
      <c r="C18" s="31">
        <f>C11-Assumptions!$C$22*F5</f>
        <v/>
      </c>
      <c r="D18" s="31">
        <f>D11-Assumptions!$D$22*G5</f>
        <v/>
      </c>
      <c r="E18" s="31">
        <f>E11-Assumptions!$E$22*H5</f>
        <v/>
      </c>
      <c r="F18" s="31">
        <f>F11-Assumptions!$F$22*I5</f>
        <v/>
      </c>
    </row>
    <row r="19">
      <c r="A19" s="6" t="inlineStr">
        <is>
          <t>Constructions and infrastructure</t>
        </is>
      </c>
      <c r="B19" s="31">
        <f>B12-Assumptions!$B$22*E6</f>
        <v/>
      </c>
      <c r="C19" s="31">
        <f>C12-Assumptions!$C$22*F6</f>
        <v/>
      </c>
      <c r="D19" s="31">
        <f>D12-Assumptions!$D$22*G6</f>
        <v/>
      </c>
      <c r="E19" s="31">
        <f>E12-Assumptions!$E$22*H6</f>
        <v/>
      </c>
      <c r="F19" s="31">
        <f>F12-Assumptions!$F$22*I6</f>
        <v/>
      </c>
    </row>
    <row r="20">
      <c r="A20" s="6" t="inlineStr">
        <is>
          <t>Electrical products and digital solutions</t>
        </is>
      </c>
      <c r="B20" s="31">
        <f>B13-Assumptions!$B$22*E7</f>
        <v/>
      </c>
      <c r="C20" s="31">
        <f>C13-Assumptions!$C$22*F7</f>
        <v/>
      </c>
      <c r="D20" s="31">
        <f>D13-Assumptions!$D$22*G7</f>
        <v/>
      </c>
      <c r="E20" s="31">
        <f>E13-Assumptions!$E$22*H7</f>
        <v/>
      </c>
      <c r="F20" s="31">
        <f>F13-Assumptions!$F$22*I7</f>
        <v/>
      </c>
    </row>
    <row r="21">
      <c r="A21" s="10" t="inlineStr">
        <is>
          <t>Group EBIT</t>
        </is>
      </c>
      <c r="B21" s="34">
        <f>SUM(B18:B20)</f>
        <v/>
      </c>
      <c r="C21" s="34">
        <f>SUM(C18:C20)</f>
        <v/>
      </c>
      <c r="D21" s="34">
        <f>SUM(D18:D20)</f>
        <v/>
      </c>
      <c r="E21" s="34">
        <f>SUM(E18:E20)</f>
        <v/>
      </c>
      <c r="F21" s="34">
        <f>SUM(F18:F20)</f>
        <v/>
      </c>
    </row>
    <row r="22">
      <c r="A22" s="6" t="inlineStr">
        <is>
          <t>Add back depreciation and amortisation</t>
        </is>
      </c>
      <c r="B22" s="31">
        <f>Assumptions!$C$27*E8</f>
        <v/>
      </c>
      <c r="C22" s="31">
        <f>Assumptions!$C$27*F8</f>
        <v/>
      </c>
      <c r="D22" s="31">
        <f>Assumptions!$C$27*G8</f>
        <v/>
      </c>
      <c r="E22" s="31">
        <f>Assumptions!$C$27*H8</f>
        <v/>
      </c>
      <c r="F22" s="31">
        <f>Assumptions!$C$27*I8</f>
        <v/>
      </c>
    </row>
    <row r="23">
      <c r="A23" s="10" t="inlineStr">
        <is>
          <t>Group EBITDA</t>
        </is>
      </c>
      <c r="B23" s="34">
        <f>B21+B22</f>
        <v/>
      </c>
      <c r="C23" s="34">
        <f>C21+C22</f>
        <v/>
      </c>
      <c r="D23" s="34">
        <f>D21+D22</f>
        <v/>
      </c>
      <c r="E23" s="34">
        <f>E21+E22</f>
        <v/>
      </c>
      <c r="F23" s="34">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5">
        <f>Assumptions!$C$69</f>
        <v/>
      </c>
    </row>
    <row r="7">
      <c r="A7" s="6" t="inlineStr">
        <is>
          <t>Implied enterprise value AS AT end-FY2027 (EGP mn)</t>
        </is>
      </c>
      <c r="C7" s="31">
        <f>C5*C6</f>
        <v/>
      </c>
    </row>
    <row r="8">
      <c r="A8" s="6" t="inlineStr">
        <is>
          <t>Discount factor back to the valuation date (year-2)</t>
        </is>
      </c>
      <c r="C8" s="36">
        <f>DCF!C16</f>
        <v/>
      </c>
    </row>
    <row r="9">
      <c r="A9" s="6" t="inlineStr">
        <is>
          <t>Plus present value of the interim FY26-27 free cash flows (EGP mn)</t>
        </is>
      </c>
      <c r="C9" s="19">
        <f>DCF!B17+DCF!C17</f>
        <v/>
      </c>
    </row>
    <row r="10">
      <c r="A10" s="6" t="inlineStr">
        <is>
          <t>Implied enterprise value at 31-Dec-2025 (EGP mn)</t>
        </is>
      </c>
      <c r="C10" s="31">
        <f>C7*C8+C9</f>
        <v/>
      </c>
    </row>
    <row r="11">
      <c r="A11" s="13" t="inlineStr">
        <is>
          <t>Implied value per share, rolled to the anchor (EGP)</t>
        </is>
      </c>
      <c r="B11" s="13" t="n"/>
      <c r="C11" s="33">
        <f>((C10-Assumptions!$C$43+Assumptions!$C$44)*(1-'SOTP Bridge'!$C$17)*(1-'SOTP Bridge'!$C$18)/Assumptions!$C$6)*DCF!$C$61-Assumptions!$C$49</f>
        <v/>
      </c>
    </row>
    <row r="12">
      <c r="A12" s="6" t="inlineStr">
        <is>
          <t>Bear at 5.5× (C) / bull at 8.0× (D), same construction</t>
        </is>
      </c>
      <c r="C12" s="16">
        <f>((5.5*C5*C8+C9-Assumptions!$C$43+Assumptions!$C$44)*(1-'SOTP Bridge'!$C$17)*(1-'SOTP Bridge'!$C$18)/Assumptions!$C$6)*DCF!$C$61-Assumptions!$C$49</f>
        <v/>
      </c>
      <c r="D12" s="16">
        <f>((8.0*C5*C8+C9-Assumptions!$C$43+Assumptions!$C$44)*(1-'SOTP Bridge'!$C$17)*(1-'SOTP Bridge'!$C$18)/Assumptions!$C$6)*DCF!$C$61-Assumptions!$C$49</f>
        <v/>
      </c>
    </row>
    <row r="13">
      <c r="A13" s="6" t="inlineStr">
        <is>
          <t>Trailing enterprise value / EBITDA</t>
        </is>
      </c>
      <c r="C13" s="37">
        <f>((Assumptions!$C$5*Assumptions!$C$6)+Assumptions!$C$43)/'Income Statement'!D7</f>
        <v/>
      </c>
    </row>
    <row r="14">
      <c r="A14" s="6" t="inlineStr">
        <is>
          <t>Trailing price / earnings</t>
        </is>
      </c>
      <c r="C14" s="37">
        <f>Assumptions!$C$5/'Income Statement'!D18</f>
        <v/>
      </c>
    </row>
    <row r="15">
      <c r="A15" s="6" t="inlineStr">
        <is>
          <t>Trailing price / book</t>
        </is>
      </c>
      <c r="C15" s="37">
        <f>Assumptions!$C$5/C31</f>
        <v/>
      </c>
    </row>
    <row r="16">
      <c r="A16" s="6" t="inlineStr">
        <is>
          <t>Net bank debt / EBITDA</t>
        </is>
      </c>
      <c r="C16" s="37">
        <f>Assumptions!$C$43/'Income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1">
        <f>C19*C20</f>
        <v/>
      </c>
    </row>
    <row r="22">
      <c r="A22" s="6" t="inlineStr">
        <is>
          <t>Normalised EBIT (EGP mn)</t>
        </is>
      </c>
      <c r="C22" s="31">
        <f>C21-C19*Assumptions!$C$27</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1">
        <f>(C22+C23+C24)*(1-Assumptions!$C$7)*(1-'SOTP Bridge'!$C$17)*(1-'SOTP Bridge'!$C$18)</f>
        <v/>
      </c>
    </row>
    <row r="26">
      <c r="A26" s="6" t="inlineStr">
        <is>
          <t>Normalised earnings per share (EGP)</t>
        </is>
      </c>
      <c r="C26" s="16">
        <f>C25/Assumptions!$C$6</f>
        <v/>
      </c>
    </row>
    <row r="27">
      <c r="A27" s="6" t="inlineStr">
        <is>
          <t>Justified price / earnings</t>
        </is>
      </c>
      <c r="C27" s="37">
        <f>Assumptions!$C$70</f>
        <v/>
      </c>
    </row>
    <row r="28">
      <c r="A28" s="13" t="inlineStr">
        <is>
          <t>Implied value per share, rolled to the anchor (EGP)</t>
        </is>
      </c>
      <c r="B28" s="13" t="n"/>
      <c r="C28" s="33">
        <f>C26*C27*DCF!$C$61-Assumptions!$C$49</f>
        <v/>
      </c>
      <c r="D28" s="6" t="inlineStr">
        <is>
          <t>bear 7.0× (E) / bull 11.5× (F):</t>
        </is>
      </c>
      <c r="E28" s="16">
        <f>C26*7*DCF!$C$61-Assumptions!$C$49</f>
        <v/>
      </c>
      <c r="F28" s="16">
        <f>C26*11.5*DCF!$C$61-Assumptions!$C$49</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Assumptions!$C$71</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7">
        <f>(C32-Assumptions!$C$40)/(C34-Assumptions!$C$40)</f>
        <v/>
      </c>
    </row>
    <row r="36">
      <c r="A36" s="13" t="inlineStr">
        <is>
          <t>Implied value per share, rolled to the anchor (EGP)</t>
        </is>
      </c>
      <c r="B36" s="13" t="n"/>
      <c r="C36" s="33">
        <f>C31*C35*DCF!$C$61-Assumptions!$C$49</f>
        <v/>
      </c>
      <c r="D36" s="6" t="inlineStr">
        <is>
          <t>bear / bull constructions (E / F):</t>
        </is>
      </c>
      <c r="E36" s="16">
        <f>((Assumptions!$C$71-0.03)/((DCF!C39+DCF!C49)/2-0.03))*C31*DCF!$C$61-Assumptions!$C$49</f>
        <v/>
      </c>
      <c r="F36" s="16">
        <f>((Assumptions!$C$71+0.02-Assumptions!$C$40)/(DCF!C49-Assumptions!$C$40))*C31*DCF!$C$61-Assumptions!$C$49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1">
        <f>-B5*Assumptions!$C$27</f>
        <v/>
      </c>
      <c r="C8" s="31">
        <f>-C5*Assumptions!$C$27</f>
        <v/>
      </c>
      <c r="D8" s="31">
        <f>-D5*Assumptions!$C$27</f>
        <v/>
      </c>
      <c r="E8" s="31">
        <f>-E5*Assumptions!$C$27</f>
        <v/>
      </c>
      <c r="F8" s="31">
        <f>-F5*Assumptions!$C$27</f>
        <v/>
      </c>
    </row>
    <row r="9">
      <c r="A9" s="13" t="inlineStr">
        <is>
          <t>EBIT</t>
        </is>
      </c>
      <c r="B9" s="32">
        <f>B6+B8</f>
        <v/>
      </c>
      <c r="C9" s="32">
        <f>C6+C8</f>
        <v/>
      </c>
      <c r="D9" s="32">
        <f>D6+D8</f>
        <v/>
      </c>
      <c r="E9" s="32">
        <f>E6+E8</f>
        <v/>
      </c>
      <c r="F9" s="32">
        <f>F6+F8</f>
        <v/>
      </c>
    </row>
    <row r="10">
      <c r="A10" s="6" t="inlineStr">
        <is>
          <t>NOPAT — EBIT x (1 - 24%)</t>
        </is>
      </c>
      <c r="B10" s="31">
        <f>B9*(1-Assumptions!$C$7)</f>
        <v/>
      </c>
      <c r="C10" s="31">
        <f>C9*(1-Assumptions!$C$7)</f>
        <v/>
      </c>
      <c r="D10" s="31">
        <f>D9*(1-Assumptions!$C$7)</f>
        <v/>
      </c>
      <c r="E10" s="31">
        <f>E9*(1-Assumptions!$C$7)</f>
        <v/>
      </c>
      <c r="F10" s="31">
        <f>F9*(1-Assumptions!$C$7)</f>
        <v/>
      </c>
    </row>
    <row r="11">
      <c r="A11" s="6" t="inlineStr">
        <is>
          <t>Add back depreciation and amortisation</t>
        </is>
      </c>
      <c r="B11" s="31">
        <f>-B8</f>
        <v/>
      </c>
      <c r="C11" s="31">
        <f>-C8</f>
        <v/>
      </c>
      <c r="D11" s="31">
        <f>-D8</f>
        <v/>
      </c>
      <c r="E11" s="31">
        <f>-E8</f>
        <v/>
      </c>
      <c r="F11" s="31">
        <f>-F8</f>
        <v/>
      </c>
    </row>
    <row r="12">
      <c r="A12" s="6" t="inlineStr">
        <is>
          <t>Less capital expenditure</t>
        </is>
      </c>
      <c r="B12" s="31">
        <f>-B5*Assumptions!$B$26</f>
        <v/>
      </c>
      <c r="C12" s="31">
        <f>-C5*Assumptions!$C$26</f>
        <v/>
      </c>
      <c r="D12" s="31">
        <f>-D5*Assumptions!$D$26</f>
        <v/>
      </c>
      <c r="E12" s="31">
        <f>-E5*Assumptions!$E$26</f>
        <v/>
      </c>
      <c r="F12" s="31">
        <f>-F5*Assumptions!$F$26</f>
        <v/>
      </c>
    </row>
    <row r="13">
      <c r="A13" s="6" t="inlineStr">
        <is>
          <t>Less change in working capital</t>
        </is>
      </c>
      <c r="B13" s="31">
        <f>-(B5*Assumptions!$C$25-'Balance Sheet'!D16)</f>
        <v/>
      </c>
      <c r="C13" s="31">
        <f>-(C5-B5)*Assumptions!$C$25</f>
        <v/>
      </c>
      <c r="D13" s="31">
        <f>-(D5-C5)*Assumptions!$C$25</f>
        <v/>
      </c>
      <c r="E13" s="31">
        <f>-(E5-D5)*Assumptions!$C$25</f>
        <v/>
      </c>
      <c r="F13" s="31">
        <f>-(F5-E5)*Assumptions!$C$25</f>
        <v/>
      </c>
    </row>
    <row r="14">
      <c r="A14" s="13" t="inlineStr">
        <is>
          <t>Free cash flow to the firm</t>
        </is>
      </c>
      <c r="B14" s="32">
        <f>B10+B11+B12+B13</f>
        <v/>
      </c>
      <c r="C14" s="32">
        <f>C10+C11+C12+C13</f>
        <v/>
      </c>
      <c r="D14" s="32">
        <f>D10+D11+D12+D13</f>
        <v/>
      </c>
      <c r="E14" s="32">
        <f>E10+E11+E12+E13</f>
        <v/>
      </c>
      <c r="F14" s="32">
        <f>F10+F11+F12+F13</f>
        <v/>
      </c>
    </row>
    <row r="15">
      <c r="A15" s="6" t="inlineStr">
        <is>
          <t>Forward cost of capital</t>
        </is>
      </c>
      <c r="B15" s="38">
        <f>$C$46-($C$46-$C$53)*B57</f>
        <v/>
      </c>
      <c r="C15" s="38">
        <f>$C$46-($C$46-$C$53)*C57</f>
        <v/>
      </c>
      <c r="D15" s="38">
        <f>$C$46-($C$46-$C$53)*D57</f>
        <v/>
      </c>
      <c r="E15" s="38">
        <f>$C$46-($C$46-$C$53)*E57</f>
        <v/>
      </c>
      <c r="F15" s="38">
        <f>$C$46-($C$46-$C$53)*F57</f>
        <v/>
      </c>
    </row>
    <row r="16">
      <c r="A16" s="6" t="inlineStr">
        <is>
          <t>Discount factor</t>
        </is>
      </c>
      <c r="B16" s="39">
        <f>1/(1+B15)</f>
        <v/>
      </c>
      <c r="C16" s="39">
        <f>B16/(1+C15)</f>
        <v/>
      </c>
      <c r="D16" s="39">
        <f>C16/(1+D15)</f>
        <v/>
      </c>
      <c r="E16" s="39">
        <f>D16/(1+E15)</f>
        <v/>
      </c>
      <c r="F16" s="39">
        <f>E16/(1+F15)</f>
        <v/>
      </c>
    </row>
    <row r="17">
      <c r="A17" s="13" t="inlineStr">
        <is>
          <t>Present value of FCFF</t>
        </is>
      </c>
      <c r="B17" s="32">
        <f>B14*B16</f>
        <v/>
      </c>
      <c r="C17" s="32">
        <f>C14*C16</f>
        <v/>
      </c>
      <c r="D17" s="32">
        <f>D14*D16</f>
        <v/>
      </c>
      <c r="E17" s="32">
        <f>E14*E16</f>
        <v/>
      </c>
      <c r="F17" s="32">
        <f>F14*F16</f>
        <v/>
      </c>
    </row>
    <row r="19">
      <c r="A19" s="15" t="inlineStr">
        <is>
          <t>TERMINAL VALUE, BRIDGE AND THE ANCHOR ROLL</t>
        </is>
      </c>
    </row>
    <row r="20">
      <c r="A20" s="6" t="inlineStr">
        <is>
          <t>Terminal-year NOPAT — the LAST EXPLICIT year (FY2030), NOT grown (EGP mn)</t>
        </is>
      </c>
      <c r="C20" s="31">
        <f>F10</f>
        <v/>
      </c>
    </row>
    <row r="21">
      <c r="A21" s="6" t="inlineStr">
        <is>
          <t>Add back FY2030 book depreciation and amortisation (EGP mn)</t>
        </is>
      </c>
      <c r="C21" s="31">
        <f>-F8</f>
        <v/>
      </c>
    </row>
    <row r="22">
      <c r="A22" s="6" t="inlineStr">
        <is>
          <t>Terminal free cash flow to the firm — C20 + C21 less the capital charge on rows 65-67</t>
        </is>
      </c>
      <c r="C22" s="31">
        <f>C20+C21+C65+C66+C67</f>
        <v/>
      </c>
    </row>
    <row r="23">
      <c r="A23" s="6" t="inlineStr">
        <is>
          <t>Terminal growth (nominal, derived from zero real growth and terminal inflation)</t>
        </is>
      </c>
      <c r="C23" s="17">
        <f>Assumptions!$C$40</f>
        <v/>
      </c>
    </row>
    <row r="24">
      <c r="A24" s="6" t="inlineStr">
        <is>
          <t>Terminal cost of capital</t>
        </is>
      </c>
      <c r="C24" s="9">
        <f>C53</f>
        <v/>
      </c>
    </row>
    <row r="25">
      <c r="A25" s="6" t="inlineStr">
        <is>
          <t>Terminal value — C22 grown one year and capitalised at (C24 − C23) (EGP mn)</t>
        </is>
      </c>
      <c r="C25" s="31">
        <f>C22*(1+C23)/(C24-C23)</f>
        <v/>
      </c>
    </row>
    <row r="26">
      <c r="A26" s="6" t="inlineStr">
        <is>
          <t>Present value of the five forecast years (EGP mn)</t>
        </is>
      </c>
      <c r="C26" s="31">
        <f>SUM(B17:F17)</f>
        <v/>
      </c>
    </row>
    <row r="27">
      <c r="A27" s="6" t="inlineStr">
        <is>
          <t>Present value of the terminal value (EGP mn)</t>
        </is>
      </c>
      <c r="C27" s="31">
        <f>C25*F16</f>
        <v/>
      </c>
    </row>
    <row r="28">
      <c r="A28" s="6" t="inlineStr">
        <is>
          <t>Terminal value as a share of enterprise value</t>
        </is>
      </c>
      <c r="C28" s="9">
        <f>C27/(C26+C27)</f>
        <v/>
      </c>
    </row>
    <row r="29">
      <c r="A29" s="6" t="inlineStr">
        <is>
          <t>Enterprise value (EGP mn)</t>
        </is>
      </c>
      <c r="C29" s="31">
        <f>C26+C27</f>
        <v/>
      </c>
    </row>
    <row r="30">
      <c r="A30" s="6" t="inlineStr">
        <is>
          <t>Equity attributable to ordinary shareholders (EGP mn)</t>
        </is>
      </c>
      <c r="C30" s="19">
        <f>'SOTP Bridge'!C13</f>
        <v/>
      </c>
    </row>
    <row r="31">
      <c r="A31" s="13" t="inlineStr">
        <is>
          <t>Fair value per share at 31-Dec-2025 (EGP)</t>
        </is>
      </c>
      <c r="B31" s="13" t="n"/>
      <c r="C31" s="33">
        <f>C30/Assumptions!$C$6</f>
        <v/>
      </c>
      <c r="D31" s="13" t="n"/>
    </row>
    <row r="33">
      <c r="A33" s="15" t="inlineStr">
        <is>
          <t>COST OF CAPITAL — BUILT HERE, NOT ASSUMED</t>
        </is>
      </c>
    </row>
    <row r="34">
      <c r="A34" s="6" t="inlineStr">
        <is>
          <t>Risk-free rate, 10-year local currency</t>
        </is>
      </c>
      <c r="C34" s="23">
        <f>Assumptions!$C$30</f>
        <v/>
      </c>
    </row>
    <row r="35">
      <c r="A35" s="6" t="inlineStr">
        <is>
          <t>Less sovereign default spread (removed to avoid double-counting)</t>
        </is>
      </c>
      <c r="C35" s="23">
        <f>Assumptions!$C$31</f>
        <v/>
      </c>
    </row>
    <row r="36">
      <c r="A36" s="6" t="inlineStr">
        <is>
          <t>Risk-free rate net of the sovereign spread</t>
        </is>
      </c>
      <c r="C36" s="38">
        <f>C34-C35</f>
        <v/>
      </c>
    </row>
    <row r="37">
      <c r="A37" s="6" t="inlineStr">
        <is>
          <t>Beta</t>
        </is>
      </c>
      <c r="C37" s="40">
        <f>Assumptions!$C$33</f>
        <v/>
      </c>
    </row>
    <row r="38">
      <c r="A38" s="6" t="inlineStr">
        <is>
          <t>Equity risk premium</t>
        </is>
      </c>
      <c r="C38" s="23">
        <f>Assumptions!$C$32</f>
        <v/>
      </c>
    </row>
    <row r="39">
      <c r="A39" s="6" t="inlineStr">
        <is>
          <t>Cost of equity, explicit window</t>
        </is>
      </c>
      <c r="C39" s="38">
        <f>C36+C37*C38</f>
        <v/>
      </c>
    </row>
    <row r="40">
      <c r="A40" s="6" t="inlineStr">
        <is>
          <t>Cost of debt, blended</t>
        </is>
      </c>
      <c r="C40" s="23">
        <f>Assumptions!$C$34</f>
        <v/>
      </c>
    </row>
    <row r="41">
      <c r="A41" s="6" t="inlineStr">
        <is>
          <t>Cost of debt after tax</t>
        </is>
      </c>
      <c r="C41" s="38">
        <f>C40*(1-Assumptions!$C$7)</f>
        <v/>
      </c>
    </row>
    <row r="42">
      <c r="A42" s="6" t="inlineStr">
        <is>
          <t>Market capitalisation (EGP mn)</t>
        </is>
      </c>
      <c r="C42" s="19">
        <f>Assumptions!$C$5*Assumptions!$C$6</f>
        <v/>
      </c>
    </row>
    <row r="43">
      <c r="A43" s="6" t="inlineStr">
        <is>
          <t>Net bank debt (EGP mn)</t>
        </is>
      </c>
      <c r="C43" s="19">
        <f>Assumptions!$C$43</f>
        <v/>
      </c>
    </row>
    <row r="44">
      <c r="A44" s="6" t="inlineStr">
        <is>
          <t>Debt weight (net debt / (net debt + market capitalisation))</t>
        </is>
      </c>
      <c r="C44" s="38">
        <f>C43/(C43+C42)</f>
        <v/>
      </c>
    </row>
    <row r="45">
      <c r="A45" s="6" t="inlineStr">
        <is>
          <t>Equity weight</t>
        </is>
      </c>
      <c r="C45" s="38">
        <f>1-C44</f>
        <v/>
      </c>
    </row>
    <row r="46">
      <c r="A46" s="13" t="inlineStr">
        <is>
          <t>Cost of capital, explicit window</t>
        </is>
      </c>
      <c r="B46" s="13" t="n"/>
      <c r="C46" s="41">
        <f>C45*C39+C44*C41</f>
        <v/>
      </c>
      <c r="D46" s="13" t="n"/>
    </row>
    <row r="47">
      <c r="A47" s="6" t="inlineStr">
        <is>
          <t>Terminal risk-free rate</t>
        </is>
      </c>
      <c r="C47" s="23">
        <f>Assumptions!$C$36</f>
        <v/>
      </c>
    </row>
    <row r="48">
      <c r="A48" s="6" t="inlineStr">
        <is>
          <t>Terminal equity risk premium</t>
        </is>
      </c>
      <c r="C48" s="23">
        <f>Assumptions!$C$37</f>
        <v/>
      </c>
    </row>
    <row r="49">
      <c r="A49" s="6" t="inlineStr">
        <is>
          <t>Terminal cost of equity</t>
        </is>
      </c>
      <c r="C49" s="38">
        <f>C47+C37*C48</f>
        <v/>
      </c>
    </row>
    <row r="50">
      <c r="A50" s="6" t="inlineStr">
        <is>
          <t>Terminal cost of debt</t>
        </is>
      </c>
      <c r="C50" s="23">
        <f>Assumptions!$C$38</f>
        <v/>
      </c>
    </row>
    <row r="51">
      <c r="A51" s="6" t="inlineStr">
        <is>
          <t>Terminal cost of debt after tax</t>
        </is>
      </c>
      <c r="C51" s="38">
        <f>C50*(1-Assumptions!$C$7)</f>
        <v/>
      </c>
    </row>
    <row r="52">
      <c r="A52" s="6" t="inlineStr">
        <is>
          <t>Terminal debt weight</t>
        </is>
      </c>
      <c r="C52" s="23">
        <f>Assumptions!$C$39</f>
        <v/>
      </c>
    </row>
    <row r="53">
      <c r="A53" s="13" t="inlineStr">
        <is>
          <t>Terminal cost of capital</t>
        </is>
      </c>
      <c r="B53" s="13" t="n"/>
      <c r="C53" s="41">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Assumptions!$B$35</f>
        <v/>
      </c>
      <c r="C56" s="23">
        <f>Assumptions!$C$35</f>
        <v/>
      </c>
      <c r="D56" s="23">
        <f>Assumptions!$D$35</f>
        <v/>
      </c>
      <c r="E56" s="23">
        <f>Assumptions!$E$35</f>
        <v/>
      </c>
      <c r="F56" s="23">
        <f>Assumptions!$F$35</f>
        <v/>
      </c>
    </row>
    <row r="57">
      <c r="A57" s="6" t="inlineStr">
        <is>
          <t>Glide fraction — cumulative progress of the easing</t>
        </is>
      </c>
      <c r="B57" s="38">
        <f>($B$56-B56)/($B$56-$F$56)</f>
        <v/>
      </c>
      <c r="C57" s="38">
        <f>($B$56-C56)/($B$56-$F$56)</f>
        <v/>
      </c>
      <c r="D57" s="38">
        <f>($B$56-D56)/($B$56-$F$56)</f>
        <v/>
      </c>
      <c r="E57" s="38">
        <f>($B$56-E56)/($B$56-$F$56)</f>
        <v/>
      </c>
      <c r="F57" s="38">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39">
        <f>(1+C39)^(Assumptions!$C$53/365)</f>
        <v/>
      </c>
    </row>
    <row r="62">
      <c r="A62" s="13" t="inlineStr">
        <is>
          <t>Fair value per share at the 3-Sep-2026 anchor (EGP)</t>
        </is>
      </c>
      <c r="B62" s="13" t="n"/>
      <c r="C62" s="33">
        <f>C31*C61-Assumptions!$C$49</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F8*(1+Assumptions!$C$56)^(Assumptions!$C$57/2)</f>
        <v/>
      </c>
    </row>
    <row r="66">
      <c r="A66" s="6" t="inlineStr">
        <is>
          <t>Less capital for real growth — zero, because the stated real growth is zero</t>
        </is>
      </c>
      <c r="C66" s="31">
        <f>0</f>
        <v/>
      </c>
    </row>
    <row r="67">
      <c r="A67" s="6" t="inlineStr">
        <is>
          <t>Less inflation on the terminal working-capital base</t>
        </is>
      </c>
      <c r="C67" s="19">
        <f>-Assumptions!$C$58*Assumptions!$C$56</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2" t="n">
        <v>152186.247545</v>
      </c>
      <c r="C5" s="32" t="n">
        <v>231981.835577</v>
      </c>
      <c r="D5" s="32" t="n">
        <v>281049.081719</v>
      </c>
      <c r="E5" s="32">
        <f>DCF!B5</f>
        <v/>
      </c>
      <c r="F5" s="32">
        <f>DCF!C5</f>
        <v/>
      </c>
      <c r="G5" s="32">
        <f>DCF!D5</f>
        <v/>
      </c>
      <c r="H5" s="32">
        <f>DCF!E5</f>
        <v/>
      </c>
      <c r="I5" s="32">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2" t="n">
        <v>20035.105205</v>
      </c>
      <c r="C7" s="32" t="n">
        <v>31601.46495</v>
      </c>
      <c r="D7" s="32" t="n">
        <v>28363.203246</v>
      </c>
      <c r="E7" s="32">
        <f>DCF!B6</f>
        <v/>
      </c>
      <c r="F7" s="32">
        <f>DCF!C6</f>
        <v/>
      </c>
      <c r="G7" s="32">
        <f>DCF!D6</f>
        <v/>
      </c>
      <c r="H7" s="32">
        <f>DCF!E6</f>
        <v/>
      </c>
      <c r="I7" s="32">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2">
        <f>B7+B9</f>
        <v/>
      </c>
      <c r="C10" s="32">
        <f>C7+C9</f>
        <v/>
      </c>
      <c r="D10" s="32">
        <f>D7+D9</f>
        <v/>
      </c>
      <c r="E10" s="32">
        <f>E7+E9</f>
        <v/>
      </c>
      <c r="F10" s="32">
        <f>F7+F9</f>
        <v/>
      </c>
      <c r="G10" s="32">
        <f>G7+G9</f>
        <v/>
      </c>
      <c r="H10" s="32">
        <f>H7+H9</f>
        <v/>
      </c>
      <c r="I10" s="32">
        <f>I7+I9</f>
        <v/>
      </c>
    </row>
    <row r="11">
      <c r="A11" s="6" t="inlineStr">
        <is>
          <t>Net finance costs</t>
        </is>
      </c>
      <c r="B11" s="24" t="n">
        <v>-2124.362277</v>
      </c>
      <c r="C11" s="24" t="n">
        <v>-3515.365946</v>
      </c>
      <c r="D11" s="24" t="n">
        <v>-2145.438755</v>
      </c>
      <c r="E11" s="31">
        <f>-(Assumptions!$B$35*'Balance Sheet'!$D$11-Assumptions!$C$52*MAX('Balance Sheet'!$D$11-'Balance Sheet'!D17,0))</f>
        <v/>
      </c>
      <c r="F11" s="31">
        <f>-(Assumptions!$C$35*'Balance Sheet'!$D$11-Assumptions!$C$52*MAX('Balance Sheet'!$D$11-'Balance Sheet'!E17,0))</f>
        <v/>
      </c>
      <c r="G11" s="31">
        <f>-(Assumptions!$D$35*'Balance Sheet'!$D$11-Assumptions!$C$52*MAX('Balance Sheet'!$D$11-'Balance Sheet'!F17,0))</f>
        <v/>
      </c>
      <c r="H11" s="31">
        <f>-(Assumptions!$E$35*'Balance Sheet'!$D$11-Assumptions!$C$52*MAX('Balance Sheet'!$D$11-'Balance Sheet'!G17,0))</f>
        <v/>
      </c>
      <c r="I11" s="31">
        <f>-(Assumptions!$F$35*'Balance Sheet'!$D$11-Assumptions!$C$52*MAX('Balance Sheet'!$D$11-'Balance Sheet'!H17,0))</f>
        <v/>
      </c>
    </row>
    <row r="12">
      <c r="A12" s="6" t="inlineStr">
        <is>
          <t>Share of equity-accounted investees</t>
        </is>
      </c>
      <c r="B12" s="24" t="n">
        <v>603.624972</v>
      </c>
      <c r="C12" s="24" t="n">
        <v>1132.366257</v>
      </c>
      <c r="D12" s="24" t="n">
        <v>1568.902975</v>
      </c>
      <c r="E12" s="31">
        <f>D12*(1+Assumptions!$C$51)</f>
        <v/>
      </c>
      <c r="F12" s="31">
        <f>E12*(1+Assumptions!$C$51)</f>
        <v/>
      </c>
      <c r="G12" s="31">
        <f>F12*(1+Assumptions!$C$51)</f>
        <v/>
      </c>
      <c r="H12" s="31">
        <f>G12*(1+Assumptions!$C$51)</f>
        <v/>
      </c>
      <c r="I12" s="31">
        <f>H12*(1+Assumptions!$C$51)</f>
        <v/>
      </c>
    </row>
    <row r="13">
      <c r="A13" s="6" t="inlineStr">
        <is>
          <t>Profit before tax</t>
        </is>
      </c>
      <c r="B13" s="31">
        <f>B10+B11+B12</f>
        <v/>
      </c>
      <c r="C13" s="31">
        <f>C10+C11+C12</f>
        <v/>
      </c>
      <c r="D13" s="31">
        <f>D10+D11+D12</f>
        <v/>
      </c>
      <c r="E13" s="31">
        <f>E10+E11+E12</f>
        <v/>
      </c>
      <c r="F13" s="31">
        <f>F10+F11+F12</f>
        <v/>
      </c>
      <c r="G13" s="31">
        <f>G10+G11+G12</f>
        <v/>
      </c>
      <c r="H13" s="31">
        <f>H10+H11+H12</f>
        <v/>
      </c>
      <c r="I13" s="31">
        <f>I10+I11+I12</f>
        <v/>
      </c>
    </row>
    <row r="14">
      <c r="A14" s="6" t="inlineStr">
        <is>
          <t>Income tax</t>
        </is>
      </c>
      <c r="B14" s="24" t="n">
        <v>-5080.406688</v>
      </c>
      <c r="C14" s="24" t="n">
        <v>-8121.510082</v>
      </c>
      <c r="D14" s="24" t="n">
        <v>-5591.139782</v>
      </c>
      <c r="E14" s="31">
        <f>-E13*Assumptions!$C$7</f>
        <v/>
      </c>
      <c r="F14" s="31">
        <f>-F13*Assumptions!$C$7</f>
        <v/>
      </c>
      <c r="G14" s="31">
        <f>-G13*Assumptions!$C$7</f>
        <v/>
      </c>
      <c r="H14" s="31">
        <f>-H13*Assumptions!$C$7</f>
        <v/>
      </c>
      <c r="I14" s="31">
        <f>-I13*Assumptions!$C$7</f>
        <v/>
      </c>
    </row>
    <row r="15">
      <c r="A15" s="6" t="inlineStr">
        <is>
          <t>Profit for the year</t>
        </is>
      </c>
      <c r="B15" s="24" t="n">
        <v>11137.974256</v>
      </c>
      <c r="C15" s="24" t="n">
        <v>18837.209373</v>
      </c>
      <c r="D15" s="24" t="n">
        <v>19186.550057</v>
      </c>
      <c r="E15" s="31">
        <f>E13+E14</f>
        <v/>
      </c>
      <c r="F15" s="31">
        <f>F13+F14</f>
        <v/>
      </c>
      <c r="G15" s="31">
        <f>G13+G14</f>
        <v/>
      </c>
      <c r="H15" s="31">
        <f>H13+H14</f>
        <v/>
      </c>
      <c r="I15" s="31">
        <f>I13+I14</f>
        <v/>
      </c>
    </row>
    <row r="16">
      <c r="A16" s="6" t="inlineStr">
        <is>
          <t>Non-controlling interests</t>
        </is>
      </c>
      <c r="B16" s="24" t="n">
        <v>-1022.272478999999</v>
      </c>
      <c r="C16" s="24" t="n">
        <v>-1375.850659</v>
      </c>
      <c r="D16" s="24" t="n">
        <v>-1856.305067000001</v>
      </c>
      <c r="E16" s="31">
        <f>-E15*'SOTP Bridge'!$C$17</f>
        <v/>
      </c>
      <c r="F16" s="31">
        <f>-F15*'SOTP Bridge'!$C$17</f>
        <v/>
      </c>
      <c r="G16" s="31">
        <f>-G15*'SOTP Bridge'!$C$17</f>
        <v/>
      </c>
      <c r="H16" s="31">
        <f>-H15*'SOTP Bridge'!$C$17</f>
        <v/>
      </c>
      <c r="I16" s="31">
        <f>-I15*'SOTP Bridge'!$C$17</f>
        <v/>
      </c>
    </row>
    <row r="17">
      <c r="A17" s="13" t="inlineStr">
        <is>
          <t>Profit attributable to shareholders</t>
        </is>
      </c>
      <c r="B17" s="32" t="n">
        <v>10115.701777</v>
      </c>
      <c r="C17" s="32" t="n">
        <v>17461.358714</v>
      </c>
      <c r="D17" s="32" t="n">
        <v>17330.24499</v>
      </c>
      <c r="E17" s="32">
        <f>E15+E16</f>
        <v/>
      </c>
      <c r="F17" s="32">
        <f>F15+F16</f>
        <v/>
      </c>
      <c r="G17" s="32">
        <f>G15+G16</f>
        <v/>
      </c>
      <c r="H17" s="32">
        <f>H15+H16</f>
        <v/>
      </c>
      <c r="I17" s="32">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1">
        <f>D5-DCF!B12+DCF!B8</f>
        <v/>
      </c>
      <c r="F5" s="31">
        <f>E5-DCF!C12+DCF!C8</f>
        <v/>
      </c>
      <c r="G5" s="31">
        <f>F5-DCF!D12+DCF!D8</f>
        <v/>
      </c>
      <c r="H5" s="31">
        <f>G5-DCF!E12+DCF!E8</f>
        <v/>
      </c>
      <c r="I5" s="31">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1">
        <f>D11-D17</f>
        <v/>
      </c>
    </row>
    <row r="10">
      <c r="A10" s="13" t="inlineStr">
        <is>
          <t>Total assets</t>
        </is>
      </c>
      <c r="B10" s="32" t="n">
        <v>151448.654828</v>
      </c>
      <c r="C10" s="32" t="n">
        <v>249527.138687</v>
      </c>
      <c r="D10" s="32"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2" t="n">
        <v>35724.466132</v>
      </c>
      <c r="C14" s="32" t="n">
        <v>55274.913356</v>
      </c>
      <c r="D14" s="32" t="n">
        <v>66870.86655000001</v>
      </c>
      <c r="E14" s="32">
        <f>D14+'Income Statement'!E17*(1-Assumptions!$C$50)</f>
        <v/>
      </c>
      <c r="F14" s="32">
        <f>E14+'Income Statement'!F17*(1-Assumptions!$C$50)</f>
        <v/>
      </c>
      <c r="G14" s="32">
        <f>F14+'Income Statement'!G17*(1-Assumptions!$C$50)</f>
        <v/>
      </c>
      <c r="H14" s="32">
        <f>G14+'Income Statement'!H17*(1-Assumptions!$C$50)</f>
        <v/>
      </c>
      <c r="I14" s="32">
        <f>H14+'Income Statement'!I17*(1-Assumptions!$C$50)</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1">
        <f>'Income Statement'!E5*Assumptions!$C$25</f>
        <v/>
      </c>
      <c r="F16" s="31">
        <f>'Income Statement'!F5*Assumptions!$C$25</f>
        <v/>
      </c>
      <c r="G16" s="31">
        <f>'Income Statement'!G5*Assumptions!$C$25</f>
        <v/>
      </c>
      <c r="H16" s="31">
        <f>'Income Statement'!H5*Assumptions!$C$25</f>
        <v/>
      </c>
      <c r="I16" s="31">
        <f>'Income Statement'!I5*Assumptions!$C$25</f>
        <v/>
      </c>
    </row>
    <row r="17">
      <c r="A17" s="13" t="inlineStr">
        <is>
          <t>Net bank debt</t>
        </is>
      </c>
      <c r="B17" s="32" t="n">
        <v>16214.447271</v>
      </c>
      <c r="C17" s="32" t="n">
        <v>20902.939485</v>
      </c>
      <c r="D17" s="32">
        <f>Assumptions!$C$43</f>
        <v/>
      </c>
      <c r="E17" s="32">
        <f>D17-DCF!B14-'Income Statement'!E11*(1-Assumptions!$C$7)+Assumptions!$C$50*'Income Statement'!E17</f>
        <v/>
      </c>
      <c r="F17" s="32">
        <f>E17-DCF!C14-'Income Statement'!F11*(1-Assumptions!$C$7)+Assumptions!$C$50*'Income Statement'!F17</f>
        <v/>
      </c>
      <c r="G17" s="32">
        <f>F17-DCF!D14-'Income Statement'!G11*(1-Assumptions!$C$7)+Assumptions!$C$50*'Income Statement'!G17</f>
        <v/>
      </c>
      <c r="H17" s="32">
        <f>G17-DCF!E14-'Income Statement'!H11*(1-Assumptions!$C$7)+Assumptions!$C$50*'Income Statement'!H17</f>
        <v/>
      </c>
      <c r="I17" s="32">
        <f>H17-DCF!F14-'Income Statement'!I11*(1-Assumptions!$C$7)+Assumptions!$C$50*'Income Statement'!I17</f>
        <v/>
      </c>
    </row>
    <row r="18">
      <c r="A18" s="6" t="inlineStr">
        <is>
          <t>Net debt / EBITDA</t>
        </is>
      </c>
      <c r="B18" s="37">
        <f>B17/'Income Statement'!B7</f>
        <v/>
      </c>
      <c r="C18" s="37">
        <f>C17/'Income Statement'!C7</f>
        <v/>
      </c>
      <c r="D18" s="37">
        <f>D17/'Income Statement'!D7</f>
        <v/>
      </c>
      <c r="E18" s="37">
        <f>E17/'Income Statement'!E7</f>
        <v/>
      </c>
      <c r="F18" s="37">
        <f>F17/'Income Statement'!F7</f>
        <v/>
      </c>
      <c r="G18" s="37">
        <f>G17/'Income Statement'!G7</f>
        <v/>
      </c>
      <c r="H18" s="37">
        <f>H17/'Income Statement'!H7</f>
        <v/>
      </c>
      <c r="I18" s="37">
        <f>I17/'Income Statement'!I7</f>
        <v/>
      </c>
    </row>
    <row r="19">
      <c r="A19" s="6" t="inlineStr">
        <is>
          <t>Residual: other liabilities, provisions and deferred tax not shown separately (total assets less the lines above)</t>
        </is>
      </c>
      <c r="B19" s="31">
        <f>B10-(B11+B12+B13+B14+B15)</f>
        <v/>
      </c>
      <c r="C19" s="31">
        <f>C10-(C11+C12+C13+C14+C15)</f>
        <v/>
      </c>
      <c r="D19" s="31">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1" t="inlineStr">
        <is>
          <t>-</t>
        </is>
      </c>
      <c r="C6" s="24" t="n">
        <v>-5740.31242</v>
      </c>
    </row>
    <row r="7">
      <c r="A7" s="6" t="inlineStr">
        <is>
          <t>Income tax paid</t>
        </is>
      </c>
      <c r="B7" s="31" t="inlineStr">
        <is>
          <t>-</t>
        </is>
      </c>
      <c r="C7" s="24" t="n">
        <v>-8298.752112</v>
      </c>
    </row>
    <row r="8">
      <c r="A8" s="6" t="inlineStr">
        <is>
          <t>Operating cash flow after interest and tax</t>
        </is>
      </c>
      <c r="B8" s="31" t="inlineStr">
        <is>
          <t>-</t>
        </is>
      </c>
      <c r="C8" s="24" t="n">
        <v>12765.922545</v>
      </c>
    </row>
    <row r="9">
      <c r="A9" s="6" t="inlineStr">
        <is>
          <t>NOPAT</t>
        </is>
      </c>
      <c r="B9" s="31" t="inlineStr">
        <is>
          <t>-</t>
        </is>
      </c>
      <c r="C9" s="31" t="inlineStr">
        <is>
          <t>-</t>
        </is>
      </c>
      <c r="D9" s="19">
        <f>DCF!B10</f>
        <v/>
      </c>
      <c r="E9" s="19">
        <f>DCF!C10</f>
        <v/>
      </c>
      <c r="F9" s="19">
        <f>DCF!D10</f>
        <v/>
      </c>
      <c r="G9" s="19">
        <f>DCF!E10</f>
        <v/>
      </c>
      <c r="H9" s="19">
        <f>DCF!F10</f>
        <v/>
      </c>
    </row>
    <row r="10">
      <c r="A10" s="6" t="inlineStr">
        <is>
          <t>Add back depreciation and amortisation</t>
        </is>
      </c>
      <c r="B10" s="31" t="inlineStr">
        <is>
          <t>-</t>
        </is>
      </c>
      <c r="C10" s="31"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1" t="inlineStr">
        <is>
          <t>-</t>
        </is>
      </c>
      <c r="C12" s="31">
        <f>-('Balance Sheet'!D16-'Balance Sheet'!C16)</f>
        <v/>
      </c>
      <c r="D12" s="19">
        <f>DCF!B13</f>
        <v/>
      </c>
      <c r="E12" s="19">
        <f>DCF!C13</f>
        <v/>
      </c>
      <c r="F12" s="19">
        <f>DCF!D13</f>
        <v/>
      </c>
      <c r="G12" s="19">
        <f>DCF!E13</f>
        <v/>
      </c>
      <c r="H12" s="19">
        <f>DCF!F13</f>
        <v/>
      </c>
    </row>
    <row r="13">
      <c r="A13" s="13" t="inlineStr">
        <is>
          <t>Free cash flow to the firm</t>
        </is>
      </c>
      <c r="B13" s="32" t="inlineStr">
        <is>
          <t>-</t>
        </is>
      </c>
      <c r="C13" s="32" t="inlineStr">
        <is>
          <t>-</t>
        </is>
      </c>
      <c r="D13" s="32">
        <f>D9+D10+D11+D12</f>
        <v/>
      </c>
      <c r="E13" s="32">
        <f>E9+E10+E11+E12</f>
        <v/>
      </c>
      <c r="F13" s="32">
        <f>F9+F10+F11+F12</f>
        <v/>
      </c>
      <c r="G13" s="32">
        <f>G9+G10+G11+G12</f>
        <v/>
      </c>
      <c r="H13" s="32">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1" t="inlineStr">
        <is>
          <t>-</t>
        </is>
      </c>
      <c r="C11" s="31" t="inlineStr">
        <is>
          <t>-</t>
        </is>
      </c>
      <c r="D11" s="31"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1" t="inlineStr">
        <is>
          <t>-</t>
        </is>
      </c>
      <c r="C13" s="31" t="inlineStr">
        <is>
          <t>-</t>
        </is>
      </c>
      <c r="D13" s="19">
        <f>'Balance Sheet'!D16+'Balance Sheet'!D5+Assumptions!$C$45</f>
        <v/>
      </c>
      <c r="E13" s="19">
        <f>'Balance Sheet'!E16+'Balance Sheet'!E5+Assumptions!$C$45</f>
        <v/>
      </c>
      <c r="F13" s="19">
        <f>'Balance Sheet'!F16+'Balance Sheet'!F5+Assumptions!$C$45</f>
        <v/>
      </c>
      <c r="G13" s="19">
        <f>'Balance Sheet'!G16+'Balance Sheet'!G5+Assumptions!$C$45</f>
        <v/>
      </c>
      <c r="H13" s="19">
        <f>'Balance Sheet'!H16+'Balance Sheet'!H5+Assumptions!$C$45</f>
        <v/>
      </c>
      <c r="I13" s="19">
        <f>'Balance Sheet'!I16+'Balance Sheet'!I5+Assumptions!$C$45</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2026-09-06</t>
        </is>
      </c>
      <c r="B5" s="7" t="n">
        <v>87.47283768142248</v>
      </c>
      <c r="C5" s="7" t="n">
        <v>99.10709529417855</v>
      </c>
      <c r="D5" s="7" t="n">
        <v>106.6824907823649</v>
      </c>
      <c r="E5" s="7" t="n">
        <v>114.8982326066757</v>
      </c>
      <c r="F5" s="7" t="n">
        <v>130.1682181904347</v>
      </c>
      <c r="G5" s="21" t="n">
        <v>0.55144</v>
      </c>
    </row>
    <row r="6">
      <c r="A6" s="6" t="inlineStr">
        <is>
          <t>Three months — to 2026-11-05</t>
        </is>
      </c>
      <c r="B6" s="7" t="n">
        <v>78.29508034182929</v>
      </c>
      <c r="C6" s="7" t="n">
        <v>96.93670208976819</v>
      </c>
      <c r="D6" s="7" t="n">
        <v>109.9075824742194</v>
      </c>
      <c r="E6" s="7" t="n">
        <v>124.4581193266816</v>
      </c>
      <c r="F6" s="7" t="n">
        <v>154.1934203763022</v>
      </c>
      <c r="G6" s="21" t="n">
        <v>0.59456</v>
      </c>
    </row>
    <row r="8">
      <c r="A8" s="5" t="inlineStr">
        <is>
          <t>Level event</t>
        </is>
      </c>
      <c r="B8" s="5" t="inlineStr">
        <is>
          <t>One month</t>
        </is>
      </c>
      <c r="C8" s="5" t="inlineStr">
        <is>
          <t>Three months</t>
        </is>
      </c>
    </row>
    <row r="9">
      <c r="A9" s="6" t="inlineStr">
        <is>
          <t>Finishes 10% or more above spot</t>
        </is>
      </c>
      <c r="B9" s="21" t="n">
        <v>0.23044</v>
      </c>
      <c r="C9" s="21" t="n">
        <v>0.3878</v>
      </c>
    </row>
    <row r="10">
      <c r="A10" s="6" t="inlineStr">
        <is>
          <t>Finishes 10% or more below spot</t>
        </is>
      </c>
      <c r="B10" s="21" t="n">
        <v>0.14414</v>
      </c>
      <c r="C10" s="21" t="n">
        <v>0.21232</v>
      </c>
    </row>
    <row r="11">
      <c r="A11" s="6" t="inlineStr">
        <is>
          <t>Touches 10% above spot at any point</t>
        </is>
      </c>
      <c r="B11" s="21" t="n">
        <v>0.36882</v>
      </c>
      <c r="C11" s="21" t="n">
        <v>0.6306</v>
      </c>
    </row>
    <row r="12">
      <c r="A12" s="6" t="inlineStr">
        <is>
          <t>Touches 10% below spot at any point</t>
        </is>
      </c>
      <c r="B12" s="21" t="n">
        <v>0.2549</v>
      </c>
      <c r="C12" s="21" t="n">
        <v>0.446</v>
      </c>
    </row>
    <row r="14">
      <c r="A14" s="5" t="inlineStr">
        <is>
          <t>Engine setting</t>
        </is>
      </c>
      <c r="B14" s="5" t="inlineStr">
        <is>
          <t>Value</t>
        </is>
      </c>
    </row>
    <row r="15">
      <c r="A15" s="6" t="inlineStr">
        <is>
          <t>Simulated paths</t>
        </is>
      </c>
      <c r="C15" s="24" t="n">
        <v>50000</v>
      </c>
    </row>
    <row r="16">
      <c r="A16" s="6" t="inlineStr">
        <is>
          <t>Annualised volatility (3-month anchor)</t>
        </is>
      </c>
      <c r="C16" s="21" t="n">
        <v>0.4838094309558744</v>
      </c>
    </row>
    <row r="17">
      <c r="A17" s="6" t="inlineStr">
        <is>
          <t>Spot price (EGP)</t>
        </is>
      </c>
      <c r="C17" s="8">
        <f>Summary!C16</f>
        <v/>
      </c>
    </row>
    <row r="18">
      <c r="A18" s="6" t="inlineStr">
        <is>
          <t>Anchor date</t>
        </is>
      </c>
      <c r="C18" s="22" t="inlineStr">
        <is>
          <t>2026-08-05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3%</t>
        </is>
      </c>
      <c r="C5" s="5" t="inlineStr">
        <is>
          <t>4%</t>
        </is>
      </c>
      <c r="D5" s="5" t="inlineStr">
        <is>
          <t>5%</t>
        </is>
      </c>
      <c r="E5" s="5" t="inlineStr">
        <is>
          <t>6%</t>
        </is>
      </c>
      <c r="F5" s="5" t="inlineStr">
        <is>
          <t>7%</t>
        </is>
      </c>
    </row>
    <row r="6">
      <c r="A6" s="6" t="inlineStr">
        <is>
          <t>13.9%</t>
        </is>
      </c>
      <c r="B6" s="7" t="n">
        <v>64.92380553045649</v>
      </c>
      <c r="C6" s="7" t="n">
        <v>67.81454330477681</v>
      </c>
      <c r="D6" s="7" t="n">
        <v>71.2657550153391</v>
      </c>
      <c r="E6" s="7" t="n">
        <v>75.48936116950645</v>
      </c>
      <c r="F6" s="7" t="n">
        <v>80.81952864869957</v>
      </c>
    </row>
    <row r="7">
      <c r="A7" s="6" t="inlineStr">
        <is>
          <t>14.9%</t>
        </is>
      </c>
      <c r="B7" s="7" t="n">
        <v>58.18280778459938</v>
      </c>
      <c r="C7" s="7" t="n">
        <v>60.28097444263505</v>
      </c>
      <c r="D7" s="7" t="n">
        <v>62.7254596302354</v>
      </c>
      <c r="E7" s="7" t="n">
        <v>65.6325529341344</v>
      </c>
      <c r="F7" s="7" t="n">
        <v>69.17717086762013</v>
      </c>
    </row>
    <row r="8">
      <c r="A8" s="6" t="inlineStr">
        <is>
          <t>15.9%</t>
        </is>
      </c>
      <c r="B8" s="7" t="n">
        <v>52.49799810153853</v>
      </c>
      <c r="C8" s="7" t="n">
        <v>54.02258879276857</v>
      </c>
      <c r="D8" s="7" t="n">
        <v>55.75852138598012</v>
      </c>
      <c r="E8" s="7" t="n">
        <v>57.76961833972243</v>
      </c>
      <c r="F8" s="7" t="n">
        <v>60.14827652865958</v>
      </c>
    </row>
    <row r="9">
      <c r="A9" s="6" t="inlineStr">
        <is>
          <t>16.9%</t>
        </is>
      </c>
      <c r="B9" s="7" t="n">
        <v>47.64148809789273</v>
      </c>
      <c r="C9" s="7" t="n">
        <v>48.74316174823518</v>
      </c>
      <c r="D9" s="7" t="n">
        <v>49.96902514555856</v>
      </c>
      <c r="E9" s="7" t="n">
        <v>51.3531520126963</v>
      </c>
      <c r="F9" s="7" t="n">
        <v>52.94333582385958</v>
      </c>
    </row>
    <row r="10">
      <c r="A10" s="6" t="inlineStr">
        <is>
          <t>17.9%</t>
        </is>
      </c>
      <c r="B10" s="7" t="n">
        <v>43.44644775731468</v>
      </c>
      <c r="C10" s="7" t="n">
        <v>44.23152271678764</v>
      </c>
      <c r="D10" s="7" t="n">
        <v>45.08351233414617</v>
      </c>
      <c r="E10" s="7" t="n">
        <v>46.01923749436355</v>
      </c>
      <c r="F10" s="7" t="n">
        <v>47.06167257131559</v>
      </c>
    </row>
    <row r="12">
      <c r="A12" s="15" t="inlineStr">
        <is>
          <t>Explicit-window cost of capital (columns) x terminal cost of capital (rows)</t>
        </is>
      </c>
    </row>
    <row r="13">
      <c r="A13" s="5" t="inlineStr"/>
      <c r="B13" s="5" t="inlineStr">
        <is>
          <t>23.9%</t>
        </is>
      </c>
      <c r="C13" s="5" t="inlineStr">
        <is>
          <t>25.4%</t>
        </is>
      </c>
      <c r="D13" s="5" t="inlineStr">
        <is>
          <t>26.9%</t>
        </is>
      </c>
      <c r="E13" s="5" t="inlineStr">
        <is>
          <t>28.4%</t>
        </is>
      </c>
      <c r="F13" s="5" t="inlineStr">
        <is>
          <t>29.9%</t>
        </is>
      </c>
    </row>
    <row r="14">
      <c r="A14" s="6" t="inlineStr">
        <is>
          <t>terminal 13.9%</t>
        </is>
      </c>
      <c r="B14" s="7" t="n">
        <v>85.84545509208399</v>
      </c>
      <c r="C14" s="7" t="n">
        <v>83.28726331486288</v>
      </c>
      <c r="D14" s="7" t="n">
        <v>80.81952864869957</v>
      </c>
      <c r="E14" s="7" t="n">
        <v>78.43825692508688</v>
      </c>
      <c r="F14" s="7" t="n">
        <v>76.13966662860086</v>
      </c>
    </row>
    <row r="15">
      <c r="A15" s="6" t="inlineStr">
        <is>
          <t>terminal 14.9%</t>
        </is>
      </c>
      <c r="B15" s="7" t="n">
        <v>73.5404678355972</v>
      </c>
      <c r="C15" s="7" t="n">
        <v>71.31963462621358</v>
      </c>
      <c r="D15" s="7" t="n">
        <v>69.17717086762013</v>
      </c>
      <c r="E15" s="7" t="n">
        <v>67.10962173729665</v>
      </c>
      <c r="F15" s="7" t="n">
        <v>65.11371611583073</v>
      </c>
    </row>
    <row r="16">
      <c r="A16" s="6" t="inlineStr">
        <is>
          <t>terminal 15.9%</t>
        </is>
      </c>
      <c r="B16" s="7" t="n">
        <v>63.99790976465807</v>
      </c>
      <c r="C16" s="7" t="n">
        <v>62.03859171613212</v>
      </c>
      <c r="D16" s="7" t="n">
        <v>60.14827652865958</v>
      </c>
      <c r="E16" s="7" t="n">
        <v>58.32392716970243</v>
      </c>
      <c r="F16" s="7" t="n">
        <v>56.56266789121253</v>
      </c>
    </row>
    <row r="17">
      <c r="A17" s="6" t="inlineStr">
        <is>
          <t>terminal 16.9%</t>
        </is>
      </c>
      <c r="B17" s="7" t="n">
        <v>56.3832632823887</v>
      </c>
      <c r="C17" s="7" t="n">
        <v>54.63253200536953</v>
      </c>
      <c r="D17" s="7" t="n">
        <v>52.94333582385958</v>
      </c>
      <c r="E17" s="7" t="n">
        <v>51.31297067571722</v>
      </c>
      <c r="F17" s="7" t="n">
        <v>49.73887592188827</v>
      </c>
    </row>
    <row r="18">
      <c r="A18" s="6" t="inlineStr">
        <is>
          <t>terminal 17.9%</t>
        </is>
      </c>
      <c r="B18" s="7" t="n">
        <v>50.16731028865568</v>
      </c>
      <c r="C18" s="7" t="n">
        <v>48.58676906627794</v>
      </c>
      <c r="D18" s="7" t="n">
        <v>47.06167257131559</v>
      </c>
      <c r="E18" s="7" t="n">
        <v>45.58958818858307</v>
      </c>
      <c r="F18" s="7" t="n">
        <v>44.16821216991782</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1.01 / 1.15 / 1.30)</t>
        </is>
      </c>
      <c r="B22" s="7" t="n">
        <v>93.45277355246162</v>
      </c>
      <c r="C22" s="7" t="n">
        <v>74.44674244752112</v>
      </c>
      <c r="D22" s="7" t="n">
        <v>60.14827652865958</v>
      </c>
      <c r="E22" s="7" t="n">
        <v>52.63301422037497</v>
      </c>
      <c r="F22" s="7" t="n">
        <v>45.99373037705359</v>
      </c>
      <c r="H22" s="16">
        <f>MAX(B22:F22)-MIN(B22:F22)</f>
        <v/>
      </c>
    </row>
    <row r="23">
      <c r="A23" s="6" t="inlineStr">
        <is>
          <t>Exchange-rate path multiplier  (0.90x / 1.00x / 1.20x / 1.45x / 1.70x)</t>
        </is>
      </c>
      <c r="B23" s="7" t="n">
        <v>50.79365382947766</v>
      </c>
      <c r="C23" s="7" t="n">
        <v>52.69688996099238</v>
      </c>
      <c r="D23" s="7" t="n">
        <v>56.50336222402186</v>
      </c>
      <c r="E23" s="7" t="n">
        <v>61.26145255280872</v>
      </c>
      <c r="F23" s="7" t="n">
        <v>66.01954288159557</v>
      </c>
      <c r="H23" s="16">
        <f>MAX(B23:F23)-MIN(B23:F23)</f>
        <v/>
      </c>
    </row>
    <row r="24">
      <c r="A24" s="6" t="inlineStr">
        <is>
          <t>Segment margins, multiplicative  (0.850x / 0.925x / 1.000x / 1.075x / 1.150x)</t>
        </is>
      </c>
      <c r="B24" s="7" t="n">
        <v>29.48174706762489</v>
      </c>
      <c r="C24" s="7" t="n">
        <v>41.08931851430866</v>
      </c>
      <c r="D24" s="7" t="n">
        <v>52.69688996099238</v>
      </c>
      <c r="E24" s="7" t="n">
        <v>64.30446140767616</v>
      </c>
      <c r="F24" s="7" t="n">
        <v>75.91203285435989</v>
      </c>
      <c r="H24" s="16">
        <f>MAX(B24:F24)-MIN(B24:F24)</f>
        <v/>
      </c>
    </row>
    <row r="25">
      <c r="A25" s="6" t="inlineStr">
        <is>
          <t>Copper price multiplier  (0.850x / 0.925x / 1.000x / 1.075x / 1.150x)</t>
        </is>
      </c>
      <c r="B25" s="7" t="n">
        <v>49.8420357637203</v>
      </c>
      <c r="C25" s="7" t="n">
        <v>51.26946286235632</v>
      </c>
      <c r="D25" s="7" t="n">
        <v>52.69688996099238</v>
      </c>
      <c r="E25" s="7" t="n">
        <v>54.12431705962842</v>
      </c>
      <c r="F25" s="7" t="n">
        <v>55.55174415826449</v>
      </c>
      <c r="H25" s="16">
        <f>MAX(B25:F25)-MIN(B25:F25)</f>
        <v/>
      </c>
    </row>
    <row r="26">
      <c r="A26" s="6" t="inlineStr">
        <is>
          <t>Working capital / revenue  (17.0% / 18.5% / 19.9% / 21.5% / 23.0%)</t>
        </is>
      </c>
      <c r="B26" s="7" t="n">
        <v>59.90563209825564</v>
      </c>
      <c r="C26" s="7" t="n">
        <v>56.17697237208499</v>
      </c>
      <c r="D26" s="7" t="n">
        <v>52.69688996099238</v>
      </c>
      <c r="E26" s="7" t="n">
        <v>48.71965291974369</v>
      </c>
      <c r="F26" s="7" t="n">
        <v>44.99099319357304</v>
      </c>
      <c r="H26" s="16">
        <f>MAX(B26:F26)-MIN(B26:F26)</f>
        <v/>
      </c>
    </row>
    <row r="27">
      <c r="A27" s="6" t="inlineStr">
        <is>
          <t>Terminal return on invested capital  (15.0% / 18.0% / 20.1% / 26.0% / 30.0%)</t>
        </is>
      </c>
      <c r="B27" s="7" t="n">
        <v>49.62272921986233</v>
      </c>
      <c r="C27" s="7" t="n">
        <v>56.53511112692783</v>
      </c>
      <c r="D27" s="7" t="n">
        <v>60.14827652865958</v>
      </c>
      <c r="E27" s="7" t="n">
        <v>67.16954483010554</v>
      </c>
      <c r="F27" s="7" t="n">
        <v>70.35987494105883</v>
      </c>
      <c r="H27" s="16">
        <f>MAX(B27:F27)-MIN(B27:F27)</f>
        <v/>
      </c>
    </row>
    <row r="28">
      <c r="A28" s="6" t="inlineStr">
        <is>
          <t>Terminal growth (at base cost of capital)  (3% / 4% / 5% / 6% / 7%)</t>
        </is>
      </c>
      <c r="B28" s="7" t="n">
        <v>52.49799810153853</v>
      </c>
      <c r="C28" s="7" t="n">
        <v>54.02258879276857</v>
      </c>
      <c r="D28" s="7" t="n">
        <v>55.75852138598012</v>
      </c>
      <c r="E28" s="7" t="n">
        <v>57.76961833972243</v>
      </c>
      <c r="F28" s="7" t="n">
        <v>60.14827652865958</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7">
        <f>'Balance Sheet'!B18</f>
        <v/>
      </c>
      <c r="C14" s="37">
        <f>'Balance Sheet'!C18</f>
        <v/>
      </c>
      <c r="D14" s="37">
        <f>'Balance Sheet'!D18</f>
        <v/>
      </c>
      <c r="E14" s="37">
        <f>'Balance Sheet'!E18</f>
        <v/>
      </c>
      <c r="F14" s="37">
        <f>'Balance Sheet'!F18</f>
        <v/>
      </c>
      <c r="G14" s="37">
        <f>'Balance Sheet'!G18</f>
        <v/>
      </c>
      <c r="H14" s="37">
        <f>'Balance Sheet'!H18</f>
        <v/>
      </c>
      <c r="I14" s="37">
        <f>'Balance Sheet'!I18</f>
        <v/>
      </c>
    </row>
    <row r="15">
      <c r="A15" s="6" t="inlineStr">
        <is>
          <t>Interest cover (EBIT / net interest)</t>
        </is>
      </c>
      <c r="B15" s="37" t="inlineStr">
        <is>
          <t>-</t>
        </is>
      </c>
      <c r="C15" s="37">
        <f>-'Income Statement'!C10/'Income Statement'!C11</f>
        <v/>
      </c>
      <c r="D15" s="37">
        <f>-'Income Statement'!D10/'Income Statement'!D11</f>
        <v/>
      </c>
      <c r="E15" s="37">
        <f>-'Income Statement'!E10/'Income Statement'!E11</f>
        <v/>
      </c>
      <c r="F15" s="37">
        <f>-'Income Statement'!F10/'Income Statement'!F11</f>
        <v/>
      </c>
      <c r="G15" s="37">
        <f>-'Income Statement'!G10/'Income Statement'!G11</f>
        <v/>
      </c>
      <c r="H15" s="37">
        <f>-'Income Statement'!H10/'Income Statement'!H11</f>
        <v/>
      </c>
      <c r="I15" s="37">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7.0%, below the blended nominal ceiling of 11.1%.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2" t="inlineStr">
        <is>
          <t>nearest listed regional cable manufacturer</t>
        </is>
      </c>
      <c r="D5" s="42" t="inlineStr">
        <is>
          <t>far smaller, no contracting arm, lighter balance sheet, pegged currency</t>
        </is>
      </c>
    </row>
    <row r="6" ht="30" customHeight="1">
      <c r="A6" s="6" t="inlineStr">
        <is>
          <t>Electro Cable Egypt</t>
        </is>
      </c>
      <c r="B6" s="6" t="inlineStr">
        <is>
          <t>Egypt</t>
        </is>
      </c>
      <c r="C6" s="42" t="inlineStr">
        <is>
          <t>the only other listed Egyptian cable manufacturer</t>
        </is>
      </c>
      <c r="D6" s="42" t="inlineStr">
        <is>
          <t>much smaller, domestic, heavily levered, currently loss-making</t>
        </is>
      </c>
    </row>
    <row r="7" ht="30" customHeight="1">
      <c r="A7" s="6" t="inlineStr">
        <is>
          <t>European cable majors</t>
        </is>
      </c>
      <c r="B7" s="6" t="inlineStr">
        <is>
          <t>Europe</t>
        </is>
      </c>
      <c r="C7" s="42" t="inlineStr">
        <is>
          <t>closest match on business model — cables plus projects</t>
        </is>
      </c>
      <c r="D7" s="42" t="inlineStr">
        <is>
          <t>developed-market cost of capital; no convertibility risk</t>
        </is>
      </c>
    </row>
    <row r="8" ht="30" customHeight="1">
      <c r="A8" s="6" t="inlineStr">
        <is>
          <t>Regional engineering and construction contractors</t>
        </is>
      </c>
      <c r="B8" s="6" t="inlineStr">
        <is>
          <t>Gulf and North Africa</t>
        </is>
      </c>
      <c r="C8" s="42" t="inlineStr">
        <is>
          <t>the right frame for the roughly 32% that is the Constructions and infrastructure segment</t>
        </is>
      </c>
      <c r="D8" s="42" t="inlineStr">
        <is>
          <t>project accounting and backlog quality are not comparable</t>
        </is>
      </c>
    </row>
    <row r="10">
      <c r="A10" s="5" t="inlineStr">
        <is>
          <t>Own multiples</t>
        </is>
      </c>
      <c r="B10" s="5" t="inlineStr">
        <is>
          <t>Value</t>
        </is>
      </c>
    </row>
    <row r="11">
      <c r="A11" s="6" t="inlineStr">
        <is>
          <t>Trailing enterprise value / EBITDA</t>
        </is>
      </c>
      <c r="B11" s="35">
        <f>'Relative &amp; Normalized'!C13</f>
        <v/>
      </c>
    </row>
    <row r="12">
      <c r="A12" s="6" t="inlineStr">
        <is>
          <t>Trailing price / earnings</t>
        </is>
      </c>
      <c r="B12" s="35">
        <f>'Relative &amp; Normalized'!C14</f>
        <v/>
      </c>
    </row>
    <row r="13">
      <c r="A13" s="6" t="inlineStr">
        <is>
          <t>Trailing price / book</t>
        </is>
      </c>
      <c r="B13" s="35">
        <f>'Relative &amp; Normalized'!C15</f>
        <v/>
      </c>
    </row>
    <row r="14">
      <c r="A14" s="6" t="inlineStr">
        <is>
          <t>Justified enterprise value / EBITDA applied</t>
        </is>
      </c>
      <c r="B14" s="35">
        <f>'Relative &amp; Normalized'!C6</f>
        <v/>
      </c>
    </row>
    <row r="15">
      <c r="A15" s="6" t="inlineStr">
        <is>
          <t>Justified price / earnings applied</t>
        </is>
      </c>
      <c r="B15" s="35">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2026-09-07T18:58:04Z</dcterms:created>
  <dcterms:modified xmlns:dcterms="http://purl.org/dc/terms/" xmlns:xsi="http://www.w3.org/2001/XMLSchema-instance" xsi:type="dcterms:W3CDTF">2026-09-07T18:58:04Z</dcterms:modified>
</cp:coreProperties>
</file>