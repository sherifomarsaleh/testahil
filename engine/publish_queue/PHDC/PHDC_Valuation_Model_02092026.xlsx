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00"/>
    <numFmt numFmtId="167" formatCode="#,##0.000"/>
    <numFmt numFmtId="168" formatCode="0.0000"/>
  </numFmts>
  <fonts count="7">
    <font>
      <name val="Calibri"/>
      <family val="2"/>
      <color theme="1"/>
      <sz val="11"/>
      <scheme val="minor"/>
    </font>
    <font>
      <b val="1"/>
      <color rgb="001D6FA3"/>
      <sz val="13"/>
    </font>
    <font>
      <i val="1"/>
      <color rgb="005B6570"/>
      <sz val="9"/>
    </font>
    <font>
      <b val="1"/>
      <color rgb="001A1D21"/>
    </font>
    <font>
      <b val="1"/>
      <color rgb="00FFFFFF"/>
      <sz val="10"/>
    </font>
    <font>
      <color rgb="001A1D21"/>
    </font>
    <font>
      <b val="1"/>
      <color rgb="001D6FA3"/>
    </font>
  </fonts>
  <fills count="3">
    <fill>
      <patternFill/>
    </fill>
    <fill>
      <patternFill patternType="gray125"/>
    </fill>
    <fill>
      <patternFill patternType="solid">
        <fgColor rgb="001D6FA3"/>
      </patternFill>
    </fill>
  </fills>
  <borders count="1">
    <border>
      <left/>
      <right/>
      <top/>
      <bottom/>
      <diagonal/>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2" borderId="0" pivotButton="0" quotePrefix="0" xfId="0"/>
    <xf numFmtId="0" fontId="5" fillId="0" borderId="0" pivotButton="0" quotePrefix="0" xfId="0"/>
    <xf numFmtId="4" fontId="5" fillId="0" borderId="0" pivotButton="0" quotePrefix="0" xfId="0"/>
    <xf numFmtId="4" fontId="6" fillId="0" borderId="0" pivotButton="0" quotePrefix="0" xfId="0"/>
    <xf numFmtId="10" fontId="5" fillId="0" borderId="0" pivotButton="0" quotePrefix="0" xfId="0"/>
    <xf numFmtId="164" fontId="5" fillId="0" borderId="0" pivotButton="0" quotePrefix="0" xfId="0"/>
    <xf numFmtId="9" fontId="5" fillId="0" borderId="0" pivotButton="0" quotePrefix="0" xfId="0"/>
    <xf numFmtId="10" fontId="6" fillId="0" borderId="0" pivotButton="0" quotePrefix="0" xfId="0"/>
    <xf numFmtId="164" fontId="6" fillId="0" borderId="0" pivotButton="0" quotePrefix="0" xfId="0"/>
    <xf numFmtId="3" fontId="6" fillId="0" borderId="0" pivotButton="0" quotePrefix="0" xfId="0"/>
    <xf numFmtId="0" fontId="2" fillId="0" borderId="0" applyAlignment="1" pivotButton="0" quotePrefix="0" xfId="0">
      <alignment vertical="top" wrapText="1"/>
    </xf>
    <xf numFmtId="0" fontId="4" fillId="0" borderId="0" pivotButton="0" quotePrefix="0" xfId="0"/>
    <xf numFmtId="165" fontId="5" fillId="0" borderId="0" pivotButton="0" quotePrefix="0" xfId="0"/>
    <xf numFmtId="2" fontId="5" fillId="0" borderId="0" pivotButton="0" quotePrefix="0" xfId="0"/>
    <xf numFmtId="0" fontId="4" fillId="2" borderId="0" applyAlignment="1" pivotButton="0" quotePrefix="0" xfId="0">
      <alignment horizontal="center"/>
    </xf>
    <xf numFmtId="3" fontId="5" fillId="0" borderId="0" pivotButton="0" quotePrefix="0" xfId="0"/>
    <xf numFmtId="3" fontId="3" fillId="0" borderId="0" pivotButton="0" quotePrefix="0" xfId="0"/>
    <xf numFmtId="166" fontId="5" fillId="0" borderId="0" pivotButton="0" quotePrefix="0" xfId="0"/>
    <xf numFmtId="3" fontId="0" fillId="0" borderId="0" pivotButton="0" quotePrefix="0" xfId="0"/>
    <xf numFmtId="4" fontId="0" fillId="0" borderId="0" pivotButton="0" quotePrefix="0" xfId="0"/>
    <xf numFmtId="165" fontId="0" fillId="0" borderId="0" pivotButton="0" quotePrefix="0" xfId="0"/>
    <xf numFmtId="167" fontId="3" fillId="0" borderId="0" pivotButton="0" quotePrefix="0" xfId="0"/>
    <xf numFmtId="10" fontId="0" fillId="0" borderId="0" pivotButton="0" quotePrefix="0" xfId="0"/>
    <xf numFmtId="10" fontId="4" fillId="2" borderId="0" pivotButton="0" quotePrefix="0" xfId="0"/>
    <xf numFmtId="165" fontId="6" fillId="0" borderId="0" pivotButton="0" quotePrefix="0" xfId="0"/>
    <xf numFmtId="0" fontId="3" fillId="2" borderId="0" pivotButton="0" quotePrefix="0" xfId="0"/>
    <xf numFmtId="168" fontId="0" fillId="0" borderId="0" pivotButton="0" quotePrefix="0" xfId="0"/>
    <xf numFmtId="166" fontId="0" fillId="0" borderId="0" pivotButton="0" quotePrefix="0" xfId="0"/>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s>
  <sheetData>
    <row r="1">
      <c r="A1" s="1" t="inlineStr">
        <is>
          <t>Palm Hills Developments — valuation workbook</t>
        </is>
      </c>
    </row>
    <row r="2">
      <c r="A2" s="2" t="inlineStr">
        <is>
          <t>Edition of 2 September 2026. Supersedes 30 August 2026.</t>
        </is>
      </c>
    </row>
    <row r="4" ht="30" customHeight="1">
      <c r="A4" s="3" t="inlineStr">
        <is>
          <t>This workbook is for information and education. It is not investment advice and carries no rating and no price target.</t>
        </is>
      </c>
    </row>
    <row r="5" ht="8" customHeight="1">
      <c r="A5" s="3" t="inlineStr"/>
    </row>
    <row r="6" ht="30" customHeight="1">
      <c r="A6" s="3" t="inlineStr">
        <is>
          <t>BLUE cells are inputs and live on the Assumptions sheet. BLACK cells are formulas. Change a blue cell and the statements, the discounted cash flow and the value per share all recompute.</t>
        </is>
      </c>
    </row>
    <row r="7" ht="8" customHeight="1">
      <c r="A7" s="3" t="inlineStr"/>
    </row>
    <row r="8" ht="30" customHeight="1">
      <c r="A8" s="3" t="inlineStr">
        <is>
          <t>Reported history comes only from the company's own audited statements and its own results releases. Where a figure the valuation needs is not disclosed, it is absent and named on the Assumptions sheet rather than estimated.</t>
        </is>
      </c>
    </row>
    <row r="9" ht="8" customHeight="1">
      <c r="A9" s="3" t="inlineStr"/>
    </row>
    <row r="10" ht="30" customHeight="1">
      <c r="A10" s="3" t="inlineStr">
        <is>
          <t>The single most important number in this workbook is cash conversion — the share of revenue that reaches operating cash flow. The company does not disclose its collection terms, so it is measured from the three published cash-flow statements and it spans 3.9% to 17.9%. The Sensitivity sheet shows what that does to the answer.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6" customWidth="1" min="2" max="2"/>
    <col width="16" customWidth="1" min="3" max="3"/>
    <col width="16" customWidth="1" min="4" max="4"/>
    <col width="16" customWidth="1" min="5" max="5"/>
  </cols>
  <sheetData>
    <row r="1">
      <c r="A1" s="1" t="inlineStr">
        <is>
          <t>Summary</t>
        </is>
      </c>
    </row>
    <row r="2">
      <c r="A2" s="2" t="inlineStr">
        <is>
          <t>Every figure recomputes from Assumptions.</t>
        </is>
      </c>
    </row>
    <row r="4">
      <c r="A4" s="4" t="inlineStr">
        <is>
          <t>Lens</t>
        </is>
      </c>
      <c r="B4" s="5" t="inlineStr">
        <is>
          <t>Bear</t>
        </is>
      </c>
      <c r="C4" s="5" t="inlineStr">
        <is>
          <t>Base</t>
        </is>
      </c>
      <c r="D4" s="5" t="inlineStr">
        <is>
          <t>Full value</t>
        </is>
      </c>
      <c r="E4" s="5" t="inlineStr">
        <is>
          <t>Weight</t>
        </is>
      </c>
    </row>
    <row r="5">
      <c r="A5" s="6" t="inlineStr">
        <is>
          <t>Discounted cash flow</t>
        </is>
      </c>
      <c r="B5" s="7" t="n">
        <v>3.08</v>
      </c>
      <c r="C5" s="7" t="n">
        <v>14.54</v>
      </c>
      <c r="D5" s="7" t="n">
        <v>37.3</v>
      </c>
      <c r="E5" s="7" t="n">
        <v>0.45</v>
      </c>
    </row>
    <row r="6">
      <c r="A6" s="6" t="inlineStr">
        <is>
          <t>Book value of equity</t>
        </is>
      </c>
      <c r="B6" s="7" t="n">
        <v>5.97</v>
      </c>
      <c r="C6" s="7" t="n">
        <v>6.63</v>
      </c>
      <c r="D6" s="7" t="n">
        <v>8.619999999999999</v>
      </c>
      <c r="E6" s="7" t="n">
        <v>0.15</v>
      </c>
    </row>
    <row r="7">
      <c r="A7" s="6" t="inlineStr">
        <is>
          <t>Earnings multiple on own history</t>
        </is>
      </c>
      <c r="B7" s="7" t="n">
        <v>7.45</v>
      </c>
      <c r="C7" s="7" t="n">
        <v>11.17</v>
      </c>
      <c r="D7" s="7" t="n">
        <v>17.37</v>
      </c>
      <c r="E7" s="7" t="n">
        <v>0.2</v>
      </c>
    </row>
    <row r="8">
      <c r="A8" s="6" t="inlineStr">
        <is>
          <t>Normalised earnings power</t>
        </is>
      </c>
      <c r="B8" s="7" t="n">
        <v>7.26</v>
      </c>
      <c r="C8" s="7" t="n">
        <v>8.390000000000001</v>
      </c>
      <c r="D8" s="7" t="n">
        <v>9.94</v>
      </c>
      <c r="E8" s="7" t="n">
        <v>0.2</v>
      </c>
    </row>
    <row r="9">
      <c r="A9" s="4" t="inlineStr">
        <is>
          <t>Weighted central</t>
        </is>
      </c>
      <c r="B9" s="7" t="n">
        <v>5.22</v>
      </c>
      <c r="C9" s="7" t="n">
        <v>11.45</v>
      </c>
      <c r="D9" s="7" t="n">
        <v>23.54</v>
      </c>
      <c r="E9" s="7" t="n">
        <v>1</v>
      </c>
    </row>
    <row r="11">
      <c r="A11" s="4" t="inlineStr">
        <is>
          <t>Valuation</t>
        </is>
      </c>
      <c r="B11" s="5" t="inlineStr">
        <is>
          <t>Per share (EGP)</t>
        </is>
      </c>
      <c r="C11" s="5" t="inlineStr">
        <is>
          <t>Equity (EGP mn)</t>
        </is>
      </c>
      <c r="D11" s="5" t="inlineStr">
        <is>
          <t>Enterprise value</t>
        </is>
      </c>
    </row>
    <row r="12">
      <c r="A12" s="6" t="inlineStr">
        <is>
          <t>Weak cash conversion (3.9%)</t>
        </is>
      </c>
      <c r="B12" s="7" t="n">
        <v>4.46</v>
      </c>
      <c r="C12" s="7" t="n">
        <v>12747</v>
      </c>
      <c r="D12" s="7" t="n">
        <v>31759</v>
      </c>
    </row>
    <row r="13">
      <c r="A13" s="6" t="inlineStr">
        <is>
          <t>Average cash conversion (8.7%)</t>
        </is>
      </c>
      <c r="B13" s="7" t="n">
        <v>14.54</v>
      </c>
      <c r="C13" s="7" t="n">
        <v>41571</v>
      </c>
      <c r="D13" s="7" t="n">
        <v>61999</v>
      </c>
    </row>
    <row r="14">
      <c r="A14" s="6" t="inlineStr">
        <is>
          <t>Strong cash conversion (17.9%)</t>
        </is>
      </c>
      <c r="B14" s="7" t="n">
        <v>33.86</v>
      </c>
      <c r="C14" s="7" t="n">
        <v>96831</v>
      </c>
      <c r="D14" s="7" t="n">
        <v>119975</v>
      </c>
    </row>
    <row r="15">
      <c r="A15" s="6" t="inlineStr">
        <is>
          <t>Average, alternative country-risk basis</t>
        </is>
      </c>
      <c r="B15" s="7" t="n">
        <v>16.29</v>
      </c>
      <c r="C15" s="7" t="n">
        <v>46600</v>
      </c>
      <c r="D15" s="7" t="n">
        <v>67276</v>
      </c>
    </row>
    <row r="17">
      <c r="A17" s="6" t="inlineStr">
        <is>
          <t>Market price, 23 Aug 2026</t>
        </is>
      </c>
      <c r="B17" s="8" t="n">
        <v>15.2</v>
      </c>
    </row>
    <row r="18">
      <c r="A18" s="6" t="inlineStr">
        <is>
          <t>Book value of equity per share</t>
        </is>
      </c>
      <c r="B18" s="7" t="n">
        <v>6.63</v>
      </c>
    </row>
    <row r="19">
      <c r="A19" s="6" t="inlineStr">
        <is>
          <t>Cash conversion implied by the market price</t>
        </is>
      </c>
      <c r="B19" s="9" t="n">
        <v>0.09030000000000001</v>
      </c>
    </row>
    <row r="21">
      <c r="A21" s="4" t="inlineStr">
        <is>
          <t>Cost of capital</t>
        </is>
      </c>
    </row>
    <row r="22">
      <c r="A22" s="6" t="inlineStr">
        <is>
          <t>Weighted average, rating basis</t>
        </is>
      </c>
      <c r="B22" s="9" t="n">
        <v>0.2625000851091698</v>
      </c>
    </row>
    <row r="23">
      <c r="A23" s="6" t="inlineStr">
        <is>
          <t>Weighted average, swap basis</t>
        </is>
      </c>
      <c r="B23" s="9" t="n">
        <v>0.2523786184712106</v>
      </c>
    </row>
    <row r="24">
      <c r="A24" s="6" t="inlineStr">
        <is>
          <t>11 June 2026 edition used</t>
        </is>
      </c>
      <c r="B24" s="9" t="n">
        <v>0.18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8" customWidth="1" min="2" max="2"/>
  </cols>
  <sheetData>
    <row r="1">
      <c r="A1" s="1" t="inlineStr">
        <is>
          <t>Fundamental valuation — bridge to equity</t>
        </is>
      </c>
    </row>
    <row r="2">
      <c r="A2" s="2" t="inlineStr">
        <is>
          <t>All formulas; drivers live on Assumptions.</t>
        </is>
      </c>
    </row>
    <row r="4">
      <c r="A4" s="6" t="inlineStr">
        <is>
          <t>Present value of the explicit five years</t>
        </is>
      </c>
      <c r="B4" s="10" t="n">
        <v>23030.2</v>
      </c>
    </row>
    <row r="5">
      <c r="A5" s="6" t="inlineStr">
        <is>
          <t>Present value of the terminal value</t>
        </is>
      </c>
      <c r="B5" s="10" t="n">
        <v>38969.3</v>
      </c>
    </row>
    <row r="6">
      <c r="A6" s="4" t="inlineStr">
        <is>
          <t>Enterprise value</t>
        </is>
      </c>
      <c r="B6" s="10">
        <f>B4+B5</f>
        <v/>
      </c>
    </row>
    <row r="7">
      <c r="A7" s="6" t="inlineStr">
        <is>
          <t>less net debt, 31 March 2026</t>
        </is>
      </c>
      <c r="B7" s="10">
        <f>-Assumptions!B13</f>
        <v/>
      </c>
    </row>
    <row r="8">
      <c r="A8" s="6" t="inlineStr">
        <is>
          <t>plus investments in associates</t>
        </is>
      </c>
      <c r="B8" s="10">
        <f>Assumptions!B14</f>
        <v/>
      </c>
    </row>
    <row r="9">
      <c r="A9" s="6" t="inlineStr">
        <is>
          <t>plus investment property</t>
        </is>
      </c>
      <c r="B9" s="10">
        <f>Assumptions!B15</f>
        <v/>
      </c>
    </row>
    <row r="10">
      <c r="A10" s="4" t="inlineStr">
        <is>
          <t>Equity value before minority interests</t>
        </is>
      </c>
      <c r="B10" s="10">
        <f>B6+B7+B8+B9</f>
        <v/>
      </c>
    </row>
    <row r="11">
      <c r="A11" s="6" t="inlineStr">
        <is>
          <t>less minority interests at their share of value</t>
        </is>
      </c>
      <c r="B11" s="10">
        <f>-B10*Assumptions!B16</f>
        <v/>
      </c>
    </row>
    <row r="12">
      <c r="A12" s="4" t="inlineStr">
        <is>
          <t>Equity value attributable to shareholders</t>
        </is>
      </c>
      <c r="B12" s="10">
        <f>B10+B11</f>
        <v/>
      </c>
    </row>
    <row r="13">
      <c r="A13" s="6" t="inlineStr">
        <is>
          <t>Shares outstanding (mn)</t>
        </is>
      </c>
      <c r="B13" s="10">
        <f>Assumptions!B17</f>
        <v/>
      </c>
    </row>
    <row r="14">
      <c r="A14" s="4" t="inlineStr">
        <is>
          <t>Value per share (EGP)</t>
        </is>
      </c>
      <c r="B14" s="7">
        <f>B12/B13</f>
        <v/>
      </c>
    </row>
    <row r="16">
      <c r="A16" s="6" t="inlineStr">
        <is>
          <t>Terminal value as a share of enterprise value</t>
        </is>
      </c>
      <c r="B16" s="11">
        <f>B5/B6</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6" customWidth="1" min="2" max="2"/>
    <col width="62" customWidth="1" min="3" max="3"/>
  </cols>
  <sheetData>
    <row r="1">
      <c r="A1" s="1" t="inlineStr">
        <is>
          <t>Assumptions — every blue cell is an input</t>
        </is>
      </c>
    </row>
    <row r="2">
      <c r="A2" s="2" t="inlineStr">
        <is>
          <t>Change one and the whole workbook recomputes.</t>
        </is>
      </c>
    </row>
    <row r="4">
      <c r="A4" s="5" t="inlineStr">
        <is>
          <t>Driver</t>
        </is>
      </c>
      <c r="B4" s="5" t="inlineStr">
        <is>
          <t>Value</t>
        </is>
      </c>
      <c r="C4" s="5" t="inlineStr">
        <is>
          <t>Source</t>
        </is>
      </c>
    </row>
    <row r="5">
      <c r="A5" s="6" t="inlineStr">
        <is>
          <t>Cash conversion — central</t>
        </is>
      </c>
      <c r="B5" s="12" t="n">
        <v>0.08713663734609707</v>
      </c>
      <c r="C5" s="2" t="inlineStr">
        <is>
          <t>mean of the three published cash-flow statements</t>
        </is>
      </c>
    </row>
    <row r="6">
      <c r="A6" s="6" t="inlineStr">
        <is>
          <t>Cash conversion — weak</t>
        </is>
      </c>
      <c r="B6" s="12" t="n">
        <v>0.03937593483976742</v>
      </c>
      <c r="C6" s="2" t="inlineStr">
        <is>
          <t>2023 and 2025 outcome</t>
        </is>
      </c>
    </row>
    <row r="7">
      <c r="A7" s="6" t="inlineStr">
        <is>
          <t>Cash conversion — strong</t>
        </is>
      </c>
      <c r="B7" s="12" t="n">
        <v>0.1787001284632628</v>
      </c>
      <c r="C7" s="2" t="inlineStr">
        <is>
          <t>2024 outcome</t>
        </is>
      </c>
    </row>
    <row r="8">
      <c r="A8" s="6" t="inlineStr">
        <is>
          <t>Gross margin</t>
        </is>
      </c>
      <c r="B8" s="12" t="n">
        <v>0.3832237248431056</v>
      </c>
      <c r="C8" s="2" t="inlineStr">
        <is>
          <t>average of FY2025 and 1Q2026 as reported</t>
        </is>
      </c>
    </row>
    <row r="9">
      <c r="A9" s="6" t="inlineStr">
        <is>
          <t>Overheads as a share of revenue</t>
        </is>
      </c>
      <c r="B9" s="12" t="n">
        <v>0.1759945589215163</v>
      </c>
      <c r="C9" s="2" t="inlineStr">
        <is>
          <t>FY2025 as reported</t>
        </is>
      </c>
    </row>
    <row r="10">
      <c r="A10" s="6" t="inlineStr">
        <is>
          <t>Price escalation</t>
        </is>
      </c>
      <c r="B10" s="12" t="n">
        <v>0.252</v>
      </c>
      <c r="C10" s="2" t="inlineStr">
        <is>
          <t>Egyptian consumer price inflation, three-year mean</t>
        </is>
      </c>
    </row>
    <row r="11">
      <c r="A11" s="6" t="inlineStr">
        <is>
          <t>Terminal growth</t>
        </is>
      </c>
      <c r="B11" s="12" t="n">
        <v>0.12</v>
      </c>
      <c r="C11" s="2" t="inlineStr">
        <is>
          <t>below nominal growth, stated</t>
        </is>
      </c>
    </row>
    <row r="12">
      <c r="A12" s="6" t="inlineStr">
        <is>
          <t>Cost of capital</t>
        </is>
      </c>
      <c r="B12" s="12" t="n">
        <v>0.2625000851091698</v>
      </c>
      <c r="C12" s="2" t="inlineStr">
        <is>
          <t>built on the Fundamental Valuation and Peer sheets</t>
        </is>
      </c>
    </row>
    <row r="13">
      <c r="A13" s="6" t="inlineStr">
        <is>
          <t>Net debt (EGP mn)</t>
        </is>
      </c>
      <c r="B13" s="13" t="n">
        <v>23244.718678</v>
      </c>
      <c r="C13" s="2" t="inlineStr">
        <is>
          <t>gross borrowings less cash, 31 March 2026 reviewed balance sheet</t>
        </is>
      </c>
    </row>
    <row r="14">
      <c r="A14" s="6" t="inlineStr">
        <is>
          <t>Investments in associates (EGP mn)</t>
        </is>
      </c>
      <c r="B14" s="13" t="n">
        <v>3838.697211</v>
      </c>
      <c r="C14" s="2" t="inlineStr">
        <is>
          <t>31 March 2026 reviewed balance sheet</t>
        </is>
      </c>
    </row>
    <row r="15">
      <c r="A15" s="6" t="inlineStr">
        <is>
          <t>Investment property (EGP mn)</t>
        </is>
      </c>
      <c r="B15" s="13" t="n">
        <v>1020.474869</v>
      </c>
      <c r="C15" s="2" t="inlineStr">
        <is>
          <t>31 March 2026 reviewed balance sheet</t>
        </is>
      </c>
    </row>
    <row r="16">
      <c r="A16" s="6" t="inlineStr">
        <is>
          <t>Minority interests, share of equity value</t>
        </is>
      </c>
      <c r="B16" s="12" t="n">
        <v>0.0468375604683756</v>
      </c>
      <c r="C16" s="2" t="inlineStr">
        <is>
          <t>the minority's filed share of FY2025 profit after tax, as its share of value</t>
        </is>
      </c>
    </row>
    <row r="17">
      <c r="A17" s="6" t="inlineStr">
        <is>
          <t>Shares outstanding (mn)</t>
        </is>
      </c>
      <c r="B17" s="13" t="n">
        <v>2859.92</v>
      </c>
      <c r="C17" s="2" t="inlineStr">
        <is>
          <t>FY2025</t>
        </is>
      </c>
    </row>
    <row r="18">
      <c r="A18" s="6" t="inlineStr">
        <is>
          <t>Opening revenue (EGP mn)</t>
        </is>
      </c>
      <c r="B18" s="13" t="n">
        <v>36169.3</v>
      </c>
      <c r="C18" s="2" t="inlineStr">
        <is>
          <t>FY2025 audited</t>
        </is>
      </c>
    </row>
    <row r="19">
      <c r="A19" s="6" t="inlineStr">
        <is>
          <t>Opening order book (EGP mn)</t>
        </is>
      </c>
      <c r="B19" s="13" t="n">
        <v>263000</v>
      </c>
      <c r="C19" s="2" t="inlineStr">
        <is>
          <t>as at 31 March 2026</t>
        </is>
      </c>
    </row>
    <row r="20">
      <c r="A20" s="6" t="inlineStr">
        <is>
          <t>Units delivered, 2026</t>
        </is>
      </c>
      <c r="B20" s="14" t="n">
        <v>1885.549516413187</v>
      </c>
      <c r="C20" s="2" t="inlineStr">
        <is>
          <t>implied by the reported first quarter of 2026</t>
        </is>
      </c>
    </row>
    <row r="21">
      <c r="A21" s="6" t="inlineStr">
        <is>
          <t>Units delivered, annual growth</t>
        </is>
      </c>
      <c r="B21" s="12" t="n">
        <v>0.15</v>
      </c>
      <c r="C21" s="2" t="inlineStr">
        <is>
          <t>the disclosed run of handovers, 1,308 / 1,281 / 1,500 / 2,000</t>
        </is>
      </c>
    </row>
    <row r="22">
      <c r="A22" s="6" t="inlineStr">
        <is>
          <t>Revenue per delivered unit, 2026 (EGP mn)</t>
        </is>
      </c>
      <c r="B22" s="8" t="n">
        <v>21.2924257096</v>
      </c>
      <c r="C22" s="2" t="inlineStr">
        <is>
          <t>FY2024 revenue over c. 2,000 units delivered, escalated</t>
        </is>
      </c>
    </row>
    <row r="23">
      <c r="A23" s="6" t="inlineStr">
        <is>
          <t>Maintenance capital expenditure, share of revenue</t>
        </is>
      </c>
      <c r="B23" s="12" t="n">
        <v>0.01</v>
      </c>
      <c r="C23" s="2" t="inlineStr">
        <is>
          <t>the building itself is inventory and sits in operating cash</t>
        </is>
      </c>
    </row>
    <row r="25">
      <c r="A25" s="4" t="inlineStr">
        <is>
          <t>NOT DISCLOSED — absent by design, never estimated</t>
        </is>
      </c>
    </row>
    <row r="26">
      <c r="A26" s="6" t="inlineStr">
        <is>
          <t>cash flow statement detail</t>
        </is>
      </c>
      <c r="C26" s="2" t="inlineStr">
        <is>
          <t>The FY2025 cash-flow statement is published in its three totals only (operating EGP 1,424.2mn, investing EGP -4,031.7mn, financing EGP 5,628.8mn); no line-by-line statement is post</t>
        </is>
      </c>
    </row>
    <row r="27">
      <c r="A27" s="6" t="inlineStr">
        <is>
          <t>fy2025 results release</t>
        </is>
      </c>
      <c r="C27" s="2" t="inlineStr">
        <is>
          <t>PHD has published FY2025 consolidated statements but NO FY2025 full-year results release. The release is where units sold, new sales, deliveries and construction spend are disclose</t>
        </is>
      </c>
    </row>
    <row r="28">
      <c r="A28" s="6" t="inlineStr">
        <is>
          <t>h1 2026 results</t>
        </is>
      </c>
      <c r="C28" s="2" t="inlineStr">
        <is>
          <t>As at this build date (30-Aug-2026) no 2Q/H1-2026 statements or release are posted to the result centre; the newest disclosure of any kind is 1Q2026 (posted 25-Jun-2026). The study</t>
        </is>
      </c>
    </row>
    <row r="29">
      <c r="A29" s="6" t="inlineStr">
        <is>
          <t>securitisation pricing</t>
        </is>
      </c>
      <c r="C29" s="2" t="inlineStr">
        <is>
          <t>The EGP 2.015bn securitisation of 4-Feb-2026 discloses tranche sizes, tenors and national-scale ratings but NO coupon on any tranche, so the company's own marginal cost of debt can</t>
        </is>
      </c>
    </row>
    <row r="30">
      <c r="A30" s="6" t="inlineStr">
        <is>
          <t>per project pricing</t>
        </is>
      </c>
      <c r="C30" s="2" t="inlineStr">
        <is>
          <t>The company does not disclose per-project unit mix, average unit area, price per square metre or construction cost per square metre. The 11-Jun-2026 edition carried a full per-proj</t>
        </is>
      </c>
    </row>
    <row r="31">
      <c r="A31" s="6" t="inlineStr">
        <is>
          <t>backlog cost to complete</t>
        </is>
      </c>
      <c r="C31" s="2" t="inlineStr">
        <is>
          <t>Remaining construction cost against the EGP 263bn backlog is not disclosed as a single figure. It is inferred in the model from the realised gross margin and flagged where used.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8" customWidth="1" min="2" max="2"/>
  </cols>
  <sheetData>
    <row r="1">
      <c r="A1" s="1" t="inlineStr">
        <is>
          <t>Bridge from enterprise value to equity</t>
        </is>
      </c>
    </row>
    <row r="2">
      <c r="A2" s="2" t="inlineStr">
        <is>
          <t>A developer is one business; the bridge is the parts that sit outside the operating cash flows.</t>
        </is>
      </c>
    </row>
    <row r="4">
      <c r="A4" s="6" t="inlineStr">
        <is>
          <t>Operating business, discounted cash flow</t>
        </is>
      </c>
      <c r="B4" s="10" t="n">
        <v>61999.5</v>
      </c>
    </row>
    <row r="5">
      <c r="A5" s="6" t="inlineStr">
        <is>
          <t>Investments in associates, 31 March 2026</t>
        </is>
      </c>
      <c r="B5" s="10" t="n">
        <v>3838.7</v>
      </c>
    </row>
    <row r="6">
      <c r="A6" s="6" t="inlineStr">
        <is>
          <t>Investment property, 31 March 2026</t>
        </is>
      </c>
      <c r="B6" s="10" t="n">
        <v>1020.5</v>
      </c>
    </row>
    <row r="7">
      <c r="A7" s="6" t="inlineStr">
        <is>
          <t>Cash, 31 March 2026</t>
        </is>
      </c>
      <c r="B7" s="10" t="n">
        <v>9125.1</v>
      </c>
    </row>
    <row r="8">
      <c r="A8" s="6" t="inlineStr">
        <is>
          <t>Gross borrowings, 31 March 2026</t>
        </is>
      </c>
      <c r="B8" s="10" t="n">
        <v>-32369.8</v>
      </c>
    </row>
    <row r="9">
      <c r="A9" s="6" t="inlineStr">
        <is>
          <t>Minority interests at their share of value</t>
        </is>
      </c>
      <c r="B9" s="10">
        <f>-(B4+B5+B6+B7+B8)*Assumptions!B16</f>
        <v/>
      </c>
    </row>
    <row r="10">
      <c r="A10" s="4" t="inlineStr">
        <is>
          <t>Equity value attributable to shareholders</t>
        </is>
      </c>
      <c r="B10" s="10">
        <f>B4+B5+B6+B7+B8+B9</f>
        <v/>
      </c>
    </row>
    <row r="11">
      <c r="A11" s="4" t="inlineStr">
        <is>
          <t>Per share (EGP)</t>
        </is>
      </c>
      <c r="B11" s="7">
        <f>B10/Assumptions!B17</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c r="A1" s="1" t="inlineStr">
        <is>
          <t>Units and prices by region — the forecast's drivers</t>
        </is>
      </c>
    </row>
    <row r="2">
      <c r="A2" s="2" t="inlineStr">
        <is>
          <t>New sales value and unit counts are both disclosed per region; the price per unit is one divided by the other.</t>
        </is>
      </c>
    </row>
    <row r="4">
      <c r="A4" s="4" t="inlineStr">
        <is>
          <t>North Coast &amp; Alexandria</t>
        </is>
      </c>
    </row>
    <row r="5">
      <c r="A5" s="5" t="inlineStr">
        <is>
          <t>Year</t>
        </is>
      </c>
      <c r="B5" s="5" t="n">
        <v>2020</v>
      </c>
      <c r="C5" s="5" t="n">
        <v>2021</v>
      </c>
      <c r="D5" s="5" t="n">
        <v>2022</v>
      </c>
      <c r="E5" s="5" t="n">
        <v>2023</v>
      </c>
      <c r="F5" s="5" t="n">
        <v>2024</v>
      </c>
    </row>
    <row r="6">
      <c r="A6" s="6" t="inlineStr">
        <is>
          <t>New sales (EGP mn)</t>
        </is>
      </c>
      <c r="B6" s="14" t="n">
        <v>4205</v>
      </c>
      <c r="C6" s="14" t="n">
        <v>7139</v>
      </c>
      <c r="D6" s="14" t="n">
        <v>5627</v>
      </c>
      <c r="E6" s="14" t="n">
        <v>13900</v>
      </c>
      <c r="F6" s="14" t="n">
        <v>95082</v>
      </c>
    </row>
    <row r="7">
      <c r="A7" s="6" t="inlineStr">
        <is>
          <t>Units sold</t>
        </is>
      </c>
      <c r="B7" s="14" t="n">
        <v>726</v>
      </c>
      <c r="C7" s="14" t="n">
        <v>1552</v>
      </c>
      <c r="D7" s="14" t="n">
        <v>800</v>
      </c>
      <c r="E7" s="14" t="n">
        <v>1231</v>
      </c>
      <c r="F7" s="14" t="n">
        <v>4192</v>
      </c>
    </row>
    <row r="8">
      <c r="A8" s="6" t="inlineStr">
        <is>
          <t>Price per unit (EGP mn)</t>
        </is>
      </c>
      <c r="B8" s="8" t="n">
        <v>5.792011019283747</v>
      </c>
      <c r="C8" s="8" t="n">
        <v>4.599871134020619</v>
      </c>
      <c r="D8" s="8" t="n">
        <v>7.03375</v>
      </c>
      <c r="E8" s="8" t="n">
        <v>11.29163281884647</v>
      </c>
      <c r="F8" s="8" t="n">
        <v>22.68177480916031</v>
      </c>
    </row>
    <row r="9">
      <c r="A9" s="2" t="inlineStr">
        <is>
          <t>carried forward at 2074 units, price 22.68, escalated</t>
        </is>
      </c>
    </row>
    <row r="11">
      <c r="A11" s="4" t="inlineStr">
        <is>
          <t>West Cairo &amp; Badya</t>
        </is>
      </c>
    </row>
    <row r="12">
      <c r="A12" s="5" t="inlineStr">
        <is>
          <t>Year</t>
        </is>
      </c>
      <c r="B12" s="5" t="n">
        <v>2020</v>
      </c>
      <c r="C12" s="5" t="n">
        <v>2021</v>
      </c>
      <c r="D12" s="5" t="n">
        <v>2022</v>
      </c>
      <c r="E12" s="5" t="n">
        <v>2023</v>
      </c>
      <c r="F12" s="5" t="n">
        <v>2024</v>
      </c>
    </row>
    <row r="13">
      <c r="A13" s="6" t="inlineStr">
        <is>
          <t>New sales (EGP mn)</t>
        </is>
      </c>
      <c r="B13" s="14" t="n">
        <v>6627</v>
      </c>
      <c r="C13" s="14" t="n">
        <v>7258</v>
      </c>
      <c r="D13" s="14" t="n">
        <v>13118</v>
      </c>
      <c r="E13" s="14" t="n">
        <v>32332</v>
      </c>
      <c r="F13" s="14" t="n">
        <v>44570</v>
      </c>
    </row>
    <row r="14">
      <c r="A14" s="6" t="inlineStr">
        <is>
          <t>Units sold</t>
        </is>
      </c>
      <c r="B14" s="14" t="n">
        <v>858</v>
      </c>
      <c r="C14" s="14" t="n">
        <v>1416</v>
      </c>
      <c r="D14" s="14" t="n">
        <v>2039</v>
      </c>
      <c r="E14" s="14" t="n">
        <v>2950</v>
      </c>
      <c r="F14" s="14" t="n">
        <v>2839</v>
      </c>
    </row>
    <row r="15">
      <c r="A15" s="6" t="inlineStr">
        <is>
          <t>Price per unit (EGP mn)</t>
        </is>
      </c>
      <c r="B15" s="8" t="n">
        <v>7.723776223776224</v>
      </c>
      <c r="C15" s="8" t="n">
        <v>5.125706214689266</v>
      </c>
      <c r="D15" s="8" t="n">
        <v>6.433545855811673</v>
      </c>
      <c r="E15" s="8" t="n">
        <v>10.96</v>
      </c>
      <c r="F15" s="8" t="n">
        <v>15.69918985558295</v>
      </c>
    </row>
    <row r="16">
      <c r="A16" s="2" t="inlineStr">
        <is>
          <t>carried forward at 2609 units, price 15.70, escalated</t>
        </is>
      </c>
    </row>
    <row r="18">
      <c r="A18" s="4" t="inlineStr">
        <is>
          <t>East Cairo</t>
        </is>
      </c>
    </row>
    <row r="19">
      <c r="A19" s="5" t="inlineStr">
        <is>
          <t>Year</t>
        </is>
      </c>
      <c r="B19" s="5" t="n">
        <v>2020</v>
      </c>
      <c r="C19" s="5" t="n">
        <v>2021</v>
      </c>
      <c r="D19" s="5" t="n">
        <v>2022</v>
      </c>
      <c r="E19" s="5" t="n">
        <v>2023</v>
      </c>
      <c r="F19" s="5" t="n">
        <v>2024</v>
      </c>
    </row>
    <row r="20">
      <c r="A20" s="6" t="inlineStr">
        <is>
          <t>New sales (EGP mn)</t>
        </is>
      </c>
      <c r="B20" s="14" t="n">
        <v>1947</v>
      </c>
      <c r="C20" s="14" t="n">
        <v>2892</v>
      </c>
      <c r="D20" s="14" t="n">
        <v>7265</v>
      </c>
      <c r="E20" s="14" t="n">
        <v>13270</v>
      </c>
      <c r="F20" s="14" t="n">
        <v>11364</v>
      </c>
    </row>
    <row r="21">
      <c r="A21" s="6" t="inlineStr">
        <is>
          <t>Units sold</t>
        </is>
      </c>
      <c r="B21" s="14" t="n">
        <v>256</v>
      </c>
      <c r="C21" s="14" t="n">
        <v>382</v>
      </c>
      <c r="D21" s="14" t="n">
        <v>1194</v>
      </c>
      <c r="E21" s="14" t="n">
        <v>1200</v>
      </c>
      <c r="F21" s="14" t="n">
        <v>453</v>
      </c>
    </row>
    <row r="22">
      <c r="A22" s="6" t="inlineStr">
        <is>
          <t>Price per unit (EGP mn)</t>
        </is>
      </c>
      <c r="B22" s="8" t="n">
        <v>7.60546875</v>
      </c>
      <c r="C22" s="8" t="n">
        <v>7.570680628272251</v>
      </c>
      <c r="D22" s="8" t="n">
        <v>6.084589614740368</v>
      </c>
      <c r="E22" s="8" t="n">
        <v>11.05833333333333</v>
      </c>
      <c r="F22" s="8" t="n">
        <v>25.08609271523179</v>
      </c>
    </row>
    <row r="23">
      <c r="A23" s="2" t="inlineStr">
        <is>
          <t>carried forward at 949 units, price 25.09, escalated</t>
        </is>
      </c>
    </row>
    <row r="25">
      <c r="A25" s="4" t="inlineStr">
        <is>
          <t>Disclosed group drivers</t>
        </is>
      </c>
    </row>
    <row r="26">
      <c r="A26" s="5" t="inlineStr">
        <is>
          <t>Disclosed driver</t>
        </is>
      </c>
      <c r="B26" s="5" t="inlineStr">
        <is>
          <t>Value</t>
        </is>
      </c>
      <c r="C26" s="5" t="inlineStr">
        <is>
          <t>Note</t>
        </is>
      </c>
    </row>
    <row r="27">
      <c r="A27" s="6" t="inlineStr">
        <is>
          <t>New sales, 1Q2026 (EGP mn)</t>
        </is>
      </c>
      <c r="B27" s="14" t="n">
        <v>52000</v>
      </c>
      <c r="C27" s="2" t="inlineStr">
        <is>
          <t>includes EGP 24,000mn from one land-plot launch</t>
        </is>
      </c>
    </row>
    <row r="28">
      <c r="A28" s="6" t="inlineStr">
        <is>
          <t>New sales, FY2024 (EGP mn)</t>
        </is>
      </c>
      <c r="B28" s="14" t="n">
        <v>151016</v>
      </c>
      <c r="C28" s="2" t="inlineStr">
        <is>
          <t>chart series</t>
        </is>
      </c>
    </row>
    <row r="29">
      <c r="A29" s="6" t="inlineStr">
        <is>
          <t>Order book, 31 Mar 2026 (EGP mn)</t>
        </is>
      </c>
      <c r="B29" s="14" t="n">
        <v>263000</v>
      </c>
      <c r="C29" s="2" t="inlineStr">
        <is>
          <t>units sold and not yet delivered</t>
        </is>
      </c>
    </row>
    <row r="30">
      <c r="A30" s="6" t="inlineStr">
        <is>
          <t>Order book, FY2024 (EGP mn)</t>
        </is>
      </c>
      <c r="B30" s="14" t="n">
        <v>147000</v>
      </c>
      <c r="C30" s="2" t="inlineStr"/>
    </row>
    <row r="31">
      <c r="A31" s="6" t="inlineStr">
        <is>
          <t>Units sold, FY2023</t>
        </is>
      </c>
      <c r="B31" s="14" t="n">
        <v>5300</v>
      </c>
      <c r="C31" s="2" t="inlineStr">
        <is>
          <t>the last year the company disclosed a unit count</t>
        </is>
      </c>
    </row>
    <row r="32">
      <c r="A32" s="6" t="inlineStr">
        <is>
          <t>Units delivered, FY2023</t>
        </is>
      </c>
      <c r="B32" s="14" t="n">
        <v>1500</v>
      </c>
      <c r="C32" s="2" t="inlineStr"/>
    </row>
    <row r="33">
      <c r="A33" s="6" t="inlineStr">
        <is>
          <t>Construction spend, FY2024 (EGP mn)</t>
        </is>
      </c>
      <c r="B33" s="14" t="n">
        <v>8500</v>
      </c>
      <c r="C33" s="2" t="inlineStr"/>
    </row>
    <row r="34">
      <c r="A34" s="6" t="inlineStr">
        <is>
          <t>Cash collections, FY2024 (EGP mn)</t>
        </is>
      </c>
      <c r="B34" s="14" t="n">
        <v>25400</v>
      </c>
      <c r="C34" s="2" t="inlineStr"/>
    </row>
    <row r="35">
      <c r="A35" s="6" t="inlineStr">
        <is>
          <t>Land bank (mn sqm)</t>
        </is>
      </c>
      <c r="B35" s="13" t="n">
        <v>33</v>
      </c>
      <c r="C35" s="2" t="inlineStr"/>
    </row>
    <row r="37">
      <c r="A37" s="4" t="inlineStr">
        <is>
          <t>Build level: SEGMENT, not unit.</t>
        </is>
      </c>
    </row>
    <row r="38" ht="44" customHeight="1">
      <c r="A38" s="15" t="inlineStr">
        <is>
          <t>The company discloses no per-project unit mix, unit area, price per square metre or construction cost per square metre. The forecast is built at the finest level the disclosure supports and the limit is stated rather than filled.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6" customWidth="1" min="2" max="2"/>
    <col width="16" customWidth="1" min="3" max="3"/>
    <col width="16" customWidth="1" min="4" max="4"/>
  </cols>
  <sheetData>
    <row r="1">
      <c r="A1" s="1" t="inlineStr">
        <is>
          <t>Relative and normalised measures</t>
        </is>
      </c>
    </row>
    <row r="4">
      <c r="A4" s="4" t="inlineStr"/>
      <c r="B4" s="16" t="inlineStr">
        <is>
          <t>2023</t>
        </is>
      </c>
      <c r="C4" s="16" t="inlineStr">
        <is>
          <t>2024</t>
        </is>
      </c>
      <c r="D4" s="16" t="inlineStr">
        <is>
          <t>2025</t>
        </is>
      </c>
    </row>
    <row r="5">
      <c r="A5" s="6" t="inlineStr">
        <is>
          <t>Revenue</t>
        </is>
      </c>
      <c r="B5" s="10" t="n">
        <v>17462.1</v>
      </c>
      <c r="C5" s="10" t="n">
        <v>27167.3</v>
      </c>
      <c r="D5" s="10" t="n">
        <v>36169.3</v>
      </c>
    </row>
    <row r="6">
      <c r="A6" s="6" t="inlineStr">
        <is>
          <t>Cash from operations</t>
        </is>
      </c>
      <c r="B6" s="10" t="n">
        <v>756.7</v>
      </c>
      <c r="C6" s="10" t="n">
        <v>4854.8</v>
      </c>
      <c r="D6" s="10" t="n">
        <v>1424.2</v>
      </c>
    </row>
    <row r="7">
      <c r="A7" s="6" t="inlineStr">
        <is>
          <t>Cash conversion</t>
        </is>
      </c>
      <c r="B7" s="17">
        <f>B6/B5</f>
        <v/>
      </c>
      <c r="C7" s="17">
        <f>C6/C5</f>
        <v/>
      </c>
      <c r="D7" s="17">
        <f>D6/D5</f>
        <v/>
      </c>
    </row>
    <row r="9">
      <c r="A9" s="6" t="inlineStr">
        <is>
          <t>Price to book (market)</t>
        </is>
      </c>
      <c r="B9" s="18">
        <f>15.2000/6.6281</f>
        <v/>
      </c>
    </row>
    <row r="10">
      <c r="A10" s="6" t="inlineStr">
        <is>
          <t>Book value per share (EGP)</t>
        </is>
      </c>
      <c r="B10" s="7" t="n">
        <v>6.63</v>
      </c>
    </row>
    <row r="11">
      <c r="A11" s="6" t="inlineStr">
        <is>
          <t>Return on equity, 2025</t>
        </is>
      </c>
      <c r="B11" s="17">
        <f>4216.7/((18765.8+14624.7)/2)</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s>
  <sheetData>
    <row r="1">
      <c r="A1" s="1" t="inlineStr">
        <is>
          <t>Discounted cash flow — central case</t>
        </is>
      </c>
    </row>
    <row r="2">
      <c r="A2" s="2" t="inlineStr">
        <is>
          <t>Units delivered times revenue per delivered unit, then every row a formula. Change a blue cell on Assumptions and this recomputes.</t>
        </is>
      </c>
    </row>
    <row r="4">
      <c r="A4" s="5" t="inlineStr">
        <is>
          <t>EGP million</t>
        </is>
      </c>
      <c r="B4" s="19" t="n">
        <v>2026</v>
      </c>
      <c r="C4" s="19" t="n">
        <v>2027</v>
      </c>
      <c r="D4" s="19" t="n">
        <v>2028</v>
      </c>
      <c r="E4" s="19" t="n">
        <v>2029</v>
      </c>
      <c r="F4" s="19" t="n">
        <v>2030</v>
      </c>
    </row>
    <row r="5">
      <c r="A5" s="6" t="inlineStr">
        <is>
          <t>Units delivered</t>
        </is>
      </c>
      <c r="B5" s="20">
        <f>Assumptions!$B$20</f>
        <v/>
      </c>
      <c r="C5" s="20">
        <f>B5*(1+Assumptions!$B$21)</f>
        <v/>
      </c>
      <c r="D5" s="20">
        <f>C5*(1+Assumptions!$B$21)</f>
        <v/>
      </c>
      <c r="E5" s="20">
        <f>D5*(1+Assumptions!$B$21)</f>
        <v/>
      </c>
      <c r="F5" s="20">
        <f>E5*(1+Assumptions!$B$21)</f>
        <v/>
      </c>
    </row>
    <row r="6">
      <c r="A6" s="6" t="inlineStr">
        <is>
          <t>Revenue per delivered unit</t>
        </is>
      </c>
      <c r="B6" s="7">
        <f>Assumptions!$B$22</f>
        <v/>
      </c>
      <c r="C6" s="7">
        <f>B6*(1+Assumptions!$B$10)</f>
        <v/>
      </c>
      <c r="D6" s="7">
        <f>C6*(1+Assumptions!$B$10)</f>
        <v/>
      </c>
      <c r="E6" s="7">
        <f>D6*(1+Assumptions!$B$10)</f>
        <v/>
      </c>
      <c r="F6" s="7">
        <f>E6*(1+Assumptions!$B$10)</f>
        <v/>
      </c>
    </row>
    <row r="7">
      <c r="A7" s="4" t="inlineStr">
        <is>
          <t>Revenue</t>
        </is>
      </c>
      <c r="B7" s="21">
        <f>B5*B6</f>
        <v/>
      </c>
      <c r="C7" s="21">
        <f>C5*C6</f>
        <v/>
      </c>
      <c r="D7" s="21">
        <f>D5*D6</f>
        <v/>
      </c>
      <c r="E7" s="21">
        <f>E5*E6</f>
        <v/>
      </c>
      <c r="F7" s="21">
        <f>F5*F6</f>
        <v/>
      </c>
    </row>
    <row r="8">
      <c r="A8" s="6" t="inlineStr">
        <is>
          <t>Gross profit</t>
        </is>
      </c>
      <c r="B8" s="20">
        <f>B7*Assumptions!$B$8</f>
        <v/>
      </c>
      <c r="C8" s="20">
        <f>C7*Assumptions!$B$8</f>
        <v/>
      </c>
      <c r="D8" s="20">
        <f>D7*Assumptions!$B$8</f>
        <v/>
      </c>
      <c r="E8" s="20">
        <f>E7*Assumptions!$B$8</f>
        <v/>
      </c>
      <c r="F8" s="20">
        <f>F7*Assumptions!$B$8</f>
        <v/>
      </c>
    </row>
    <row r="9">
      <c r="A9" s="6" t="inlineStr">
        <is>
          <t>Overheads</t>
        </is>
      </c>
      <c r="B9" s="20">
        <f>-B7*Assumptions!$B$9</f>
        <v/>
      </c>
      <c r="C9" s="20">
        <f>-C7*Assumptions!$B$9</f>
        <v/>
      </c>
      <c r="D9" s="20">
        <f>-D7*Assumptions!$B$9</f>
        <v/>
      </c>
      <c r="E9" s="20">
        <f>-E7*Assumptions!$B$9</f>
        <v/>
      </c>
      <c r="F9" s="20">
        <f>-F7*Assumptions!$B$9</f>
        <v/>
      </c>
    </row>
    <row r="10">
      <c r="A10" s="6" t="inlineStr">
        <is>
          <t>Operating cash flow</t>
        </is>
      </c>
      <c r="B10" s="20">
        <f>B7*Assumptions!$B$5</f>
        <v/>
      </c>
      <c r="C10" s="20">
        <f>C7*Assumptions!$B$5</f>
        <v/>
      </c>
      <c r="D10" s="20">
        <f>D7*Assumptions!$B$5</f>
        <v/>
      </c>
      <c r="E10" s="20">
        <f>E7*Assumptions!$B$5</f>
        <v/>
      </c>
      <c r="F10" s="20">
        <f>F7*Assumptions!$B$5</f>
        <v/>
      </c>
    </row>
    <row r="11">
      <c r="A11" s="6" t="inlineStr">
        <is>
          <t>Maintenance capital expenditure</t>
        </is>
      </c>
      <c r="B11" s="20">
        <f>-B7*Assumptions!$B$23</f>
        <v/>
      </c>
      <c r="C11" s="20">
        <f>-C7*Assumptions!$B$23</f>
        <v/>
      </c>
      <c r="D11" s="20">
        <f>-D7*Assumptions!$B$23</f>
        <v/>
      </c>
      <c r="E11" s="20">
        <f>-E7*Assumptions!$B$23</f>
        <v/>
      </c>
      <c r="F11" s="20">
        <f>-F7*Assumptions!$B$23</f>
        <v/>
      </c>
    </row>
    <row r="12">
      <c r="A12" s="6" t="inlineStr">
        <is>
          <t>plus finance cost, after tax</t>
        </is>
      </c>
      <c r="B12" s="20" t="n">
        <v>2594.3</v>
      </c>
      <c r="C12" s="20" t="n">
        <v>2594.3</v>
      </c>
      <c r="D12" s="20" t="n">
        <v>2594.3</v>
      </c>
      <c r="E12" s="20" t="n">
        <v>2594.3</v>
      </c>
      <c r="F12" s="20" t="n">
        <v>2594.3</v>
      </c>
    </row>
    <row r="13">
      <c r="A13" s="4" t="inlineStr">
        <is>
          <t>Free cash flow to the firm</t>
        </is>
      </c>
      <c r="B13" s="21">
        <f>B10+B12+B11</f>
        <v/>
      </c>
      <c r="C13" s="21">
        <f>C10+C12+C11</f>
        <v/>
      </c>
      <c r="D13" s="21">
        <f>D10+D12+D11</f>
        <v/>
      </c>
      <c r="E13" s="21">
        <f>E10+E12+E11</f>
        <v/>
      </c>
      <c r="F13" s="21">
        <f>F10+F12+F11</f>
        <v/>
      </c>
    </row>
    <row r="14">
      <c r="A14" s="6" t="inlineStr">
        <is>
          <t>Discount factor</t>
        </is>
      </c>
      <c r="B14" s="22">
        <f>1/(1+Assumptions!$B$12)^1</f>
        <v/>
      </c>
      <c r="C14" s="22">
        <f>1/(1+Assumptions!$B$12)^2</f>
        <v/>
      </c>
      <c r="D14" s="22">
        <f>1/(1+Assumptions!$B$12)^3</f>
        <v/>
      </c>
      <c r="E14" s="22">
        <f>1/(1+Assumptions!$B$12)^4</f>
        <v/>
      </c>
      <c r="F14" s="22">
        <f>1/(1+Assumptions!$B$12)^5</f>
        <v/>
      </c>
    </row>
    <row r="15">
      <c r="A15" s="4" t="inlineStr">
        <is>
          <t>Present value</t>
        </is>
      </c>
      <c r="B15" s="20">
        <f>B13*B14</f>
        <v/>
      </c>
      <c r="C15" s="20">
        <f>C13*C14</f>
        <v/>
      </c>
      <c r="D15" s="20">
        <f>D13*D14</f>
        <v/>
      </c>
      <c r="E15" s="20">
        <f>E13*E14</f>
        <v/>
      </c>
      <c r="F15" s="20">
        <f>F13*F14</f>
        <v/>
      </c>
    </row>
    <row r="17">
      <c r="A17" s="4" t="inlineStr">
        <is>
          <t>Sum of the explicit years</t>
        </is>
      </c>
      <c r="B17" s="23">
        <f>SUM(B15:F15)</f>
        <v/>
      </c>
    </row>
    <row r="18">
      <c r="A18" s="4" t="inlineStr">
        <is>
          <t>Terminal value, discounted</t>
        </is>
      </c>
      <c r="B18" s="23" t="n">
        <v>38969.3</v>
      </c>
    </row>
    <row r="19">
      <c r="A19" s="4" t="inlineStr">
        <is>
          <t>Enterprise value</t>
        </is>
      </c>
      <c r="B19" s="23">
        <f>B17+B18</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c r="A1" s="1" t="inlineStr">
        <is>
          <t>Income statement — built from units and prices</t>
        </is>
      </c>
    </row>
    <row r="2">
      <c r="A2" s="2" t="inlineStr">
        <is>
          <t>Gross margin is an OUTPUT of price per unit against cost per unit.</t>
        </is>
      </c>
    </row>
    <row r="4">
      <c r="A4" s="5" t="inlineStr">
        <is>
          <t>EGP mn unless stated</t>
        </is>
      </c>
      <c r="B4" s="5" t="n">
        <v>2026</v>
      </c>
      <c r="C4" s="5" t="n">
        <v>2027</v>
      </c>
      <c r="D4" s="5" t="n">
        <v>2028</v>
      </c>
      <c r="E4" s="5" t="n">
        <v>2029</v>
      </c>
      <c r="F4" s="5" t="n">
        <v>2030</v>
      </c>
    </row>
    <row r="5">
      <c r="A5" s="6" t="inlineStr">
        <is>
          <t>Units sold</t>
        </is>
      </c>
      <c r="B5" s="23" t="n">
        <v>5632.6667</v>
      </c>
      <c r="C5" s="23" t="n">
        <v>5632.6667</v>
      </c>
      <c r="D5" s="23" t="n">
        <v>5632.6667</v>
      </c>
      <c r="E5" s="23" t="n">
        <v>5632.6667</v>
      </c>
      <c r="F5" s="23" t="n">
        <v>5632.6667</v>
      </c>
    </row>
    <row r="6">
      <c r="A6" s="6" t="inlineStr">
        <is>
          <t>New sales</t>
        </is>
      </c>
      <c r="B6" s="23" t="n">
        <v>139999.495</v>
      </c>
      <c r="C6" s="23" t="n">
        <v>175279.3678</v>
      </c>
      <c r="D6" s="23" t="n">
        <v>219449.7685</v>
      </c>
      <c r="E6" s="23" t="n">
        <v>274751.1101</v>
      </c>
      <c r="F6" s="23" t="n">
        <v>343988.3898</v>
      </c>
    </row>
    <row r="7">
      <c r="A7" s="6" t="inlineStr">
        <is>
          <t>Units delivered</t>
        </is>
      </c>
      <c r="B7" s="23" t="n">
        <v>1885.5495</v>
      </c>
      <c r="C7" s="23" t="n">
        <v>2168.3819</v>
      </c>
      <c r="D7" s="23" t="n">
        <v>2493.6392</v>
      </c>
      <c r="E7" s="23" t="n">
        <v>2867.6851</v>
      </c>
      <c r="F7" s="23" t="n">
        <v>3297.8379</v>
      </c>
    </row>
    <row r="8">
      <c r="A8" s="6" t="inlineStr">
        <is>
          <t>Revenue per delivered unit</t>
        </is>
      </c>
      <c r="B8" s="24" t="n">
        <v>21.2924</v>
      </c>
      <c r="C8" s="24" t="n">
        <v>26.6581</v>
      </c>
      <c r="D8" s="24" t="n">
        <v>33.376</v>
      </c>
      <c r="E8" s="24" t="n">
        <v>41.7867</v>
      </c>
      <c r="F8" s="24" t="n">
        <v>52.317</v>
      </c>
    </row>
    <row r="9">
      <c r="A9" s="4" t="inlineStr">
        <is>
          <t>Revenue</t>
        </is>
      </c>
      <c r="B9" s="23" t="n">
        <v>40147.923</v>
      </c>
      <c r="C9" s="23" t="n">
        <v>57804.9795</v>
      </c>
      <c r="D9" s="23" t="n">
        <v>83227.60950000001</v>
      </c>
      <c r="E9" s="23" t="n">
        <v>119831.1122</v>
      </c>
      <c r="F9" s="23" t="n">
        <v>172532.8354</v>
      </c>
    </row>
    <row r="10">
      <c r="A10" s="6" t="inlineStr">
        <is>
          <t>Cost per delivered unit</t>
        </is>
      </c>
      <c r="B10" s="24" t="n">
        <v>13.1327</v>
      </c>
      <c r="C10" s="24" t="n">
        <v>16.4421</v>
      </c>
      <c r="D10" s="24" t="n">
        <v>20.5855</v>
      </c>
      <c r="E10" s="24" t="n">
        <v>25.773</v>
      </c>
      <c r="F10" s="24" t="n">
        <v>32.2679</v>
      </c>
    </row>
    <row r="11">
      <c r="A11" s="6" t="inlineStr">
        <is>
          <t>Cost of revenue</t>
        </is>
      </c>
      <c r="B11" s="23" t="n">
        <v>24762.2864</v>
      </c>
      <c r="C11" s="23" t="n">
        <v>35652.74</v>
      </c>
      <c r="D11" s="23" t="n">
        <v>51332.815</v>
      </c>
      <c r="E11" s="23" t="n">
        <v>73908.98699999999</v>
      </c>
      <c r="F11" s="23" t="n">
        <v>106414.1595</v>
      </c>
    </row>
    <row r="12">
      <c r="A12" s="4" t="inlineStr">
        <is>
          <t>Gross profit</t>
        </is>
      </c>
      <c r="B12" s="23" t="n">
        <v>15385.6366</v>
      </c>
      <c r="C12" s="23" t="n">
        <v>22152.2396</v>
      </c>
      <c r="D12" s="23" t="n">
        <v>31894.7945</v>
      </c>
      <c r="E12" s="23" t="n">
        <v>45922.1252</v>
      </c>
      <c r="F12" s="23" t="n">
        <v>66118.6758</v>
      </c>
    </row>
    <row r="13">
      <c r="A13" s="6" t="inlineStr">
        <is>
          <t>Gross margin</t>
        </is>
      </c>
      <c r="B13" s="25" t="n">
        <v>0.3832</v>
      </c>
      <c r="C13" s="25" t="n">
        <v>0.3832</v>
      </c>
      <c r="D13" s="25" t="n">
        <v>0.3832</v>
      </c>
      <c r="E13" s="25" t="n">
        <v>0.3832</v>
      </c>
      <c r="F13" s="25" t="n">
        <v>0.3832</v>
      </c>
    </row>
    <row r="14">
      <c r="A14" s="6" t="inlineStr">
        <is>
          <t>Overheads</t>
        </is>
      </c>
      <c r="B14" s="23" t="n">
        <v>7065.816</v>
      </c>
      <c r="C14" s="23" t="n">
        <v>10173.3619</v>
      </c>
      <c r="D14" s="23" t="n">
        <v>14647.6064</v>
      </c>
      <c r="E14" s="23" t="n">
        <v>21089.6237</v>
      </c>
      <c r="F14" s="23" t="n">
        <v>30364.8403</v>
      </c>
    </row>
    <row r="15">
      <c r="A15" s="6" t="inlineStr">
        <is>
          <t>Operating profit</t>
        </is>
      </c>
      <c r="B15" s="23" t="n">
        <v>7927.2136</v>
      </c>
      <c r="C15" s="23" t="n">
        <v>11413.6021</v>
      </c>
      <c r="D15" s="23" t="n">
        <v>16433.3044</v>
      </c>
      <c r="E15" s="23" t="n">
        <v>23660.6716</v>
      </c>
      <c r="F15" s="23" t="n">
        <v>34066.635</v>
      </c>
    </row>
    <row r="16">
      <c r="A16" s="6" t="inlineStr">
        <is>
          <t>Finance cost</t>
        </is>
      </c>
      <c r="B16" s="23" t="n">
        <v>3347.5</v>
      </c>
      <c r="C16" s="23" t="n">
        <v>3347.5</v>
      </c>
      <c r="D16" s="23" t="n">
        <v>3347.5</v>
      </c>
      <c r="E16" s="23" t="n">
        <v>3347.5</v>
      </c>
      <c r="F16" s="23" t="n">
        <v>3347.5</v>
      </c>
    </row>
    <row r="17">
      <c r="A17" s="6" t="inlineStr">
        <is>
          <t>Profit before tax</t>
        </is>
      </c>
      <c r="B17" s="23" t="n">
        <v>4579.7136</v>
      </c>
      <c r="C17" s="23" t="n">
        <v>8066.1021</v>
      </c>
      <c r="D17" s="23" t="n">
        <v>13085.8044</v>
      </c>
      <c r="E17" s="23" t="n">
        <v>20313.1716</v>
      </c>
      <c r="F17" s="23" t="n">
        <v>30719.135</v>
      </c>
    </row>
    <row r="18">
      <c r="A18" s="4" t="inlineStr">
        <is>
          <t>Net profit</t>
        </is>
      </c>
      <c r="B18" s="23" t="n">
        <v>3549.278</v>
      </c>
      <c r="C18" s="23" t="n">
        <v>6251.2292</v>
      </c>
      <c r="D18" s="23" t="n">
        <v>10141.4984</v>
      </c>
      <c r="E18" s="23" t="n">
        <v>15742.708</v>
      </c>
      <c r="F18" s="23" t="n">
        <v>23807.3296</v>
      </c>
    </row>
    <row r="19">
      <c r="A19" s="6" t="inlineStr">
        <is>
          <t>Earnings per share (EGP)</t>
        </is>
      </c>
      <c r="B19" s="24" t="n">
        <v>1.241</v>
      </c>
      <c r="C19" s="24" t="n">
        <v>2.1858</v>
      </c>
      <c r="D19" s="24" t="n">
        <v>3.5461</v>
      </c>
      <c r="E19" s="24" t="n">
        <v>5.5046</v>
      </c>
      <c r="F19" s="24" t="n">
        <v>8.3245</v>
      </c>
    </row>
    <row r="20">
      <c r="A20" s="6" t="inlineStr">
        <is>
          <t>Order book, closing</t>
        </is>
      </c>
      <c r="B20" s="23" t="n">
        <v>362851.572</v>
      </c>
      <c r="C20" s="23" t="n">
        <v>480325.9603</v>
      </c>
      <c r="D20" s="23" t="n">
        <v>616548.1192</v>
      </c>
      <c r="E20" s="23" t="n">
        <v>771468.1171</v>
      </c>
      <c r="F20" s="23" t="n">
        <v>942923.6716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s>
  <sheetData>
    <row r="1">
      <c r="A1" s="1" t="inlineStr">
        <is>
          <t>Balance sheet — as reported, then forecast both ways</t>
        </is>
      </c>
    </row>
    <row r="2">
      <c r="A2" s="2" t="inlineStr">
        <is>
          <t>EGP million. Assets equal liabilities plus shareholders' funds in every reported and every forecast year.</t>
        </is>
      </c>
    </row>
    <row r="4">
      <c r="A4" s="4" t="inlineStr">
        <is>
          <t>AS REPORTED</t>
        </is>
      </c>
      <c r="B4" s="16" t="inlineStr">
        <is>
          <t>2025</t>
        </is>
      </c>
      <c r="C4" s="16" t="inlineStr">
        <is>
          <t>2024</t>
        </is>
      </c>
    </row>
    <row r="5">
      <c r="A5" s="6" t="inlineStr">
        <is>
          <t>Non-current assets</t>
        </is>
      </c>
      <c r="B5" s="10" t="n">
        <v>65900.2</v>
      </c>
      <c r="C5" s="10" t="n">
        <v>54166.4</v>
      </c>
    </row>
    <row r="6">
      <c r="A6" s="6" t="inlineStr">
        <is>
          <t>Current assets</t>
        </is>
      </c>
      <c r="B6" s="10" t="n">
        <v>106229.6</v>
      </c>
      <c r="C6" s="10" t="n">
        <v>69270.89999999999</v>
      </c>
    </row>
    <row r="7">
      <c r="A7" s="6" t="inlineStr">
        <is>
          <t>Total assets</t>
        </is>
      </c>
      <c r="B7" s="10" t="n">
        <v>172129.8</v>
      </c>
      <c r="C7" s="10" t="n">
        <v>123437.3</v>
      </c>
    </row>
    <row r="8">
      <c r="A8" s="6" t="inlineStr">
        <is>
          <t>Current liabilities</t>
        </is>
      </c>
      <c r="B8" s="10" t="n">
        <v>105099</v>
      </c>
      <c r="C8" s="10" t="n">
        <v>74496.89999999999</v>
      </c>
    </row>
    <row r="9">
      <c r="A9" s="6" t="inlineStr">
        <is>
          <t>Non-current liabilities</t>
        </is>
      </c>
      <c r="B9" s="10" t="n">
        <v>48265.1</v>
      </c>
      <c r="C9" s="10" t="n">
        <v>34315.7</v>
      </c>
    </row>
    <row r="10">
      <c r="A10" s="6" t="inlineStr">
        <is>
          <t>Total liabilities</t>
        </is>
      </c>
      <c r="B10" s="10" t="n">
        <v>153364.1</v>
      </c>
      <c r="C10" s="10" t="n">
        <v>108812.6</v>
      </c>
    </row>
    <row r="11">
      <c r="A11" s="6" t="inlineStr">
        <is>
          <t>Shareholders' funds</t>
        </is>
      </c>
      <c r="B11" s="10" t="n">
        <v>18765.8</v>
      </c>
      <c r="C11" s="10" t="n">
        <v>14624.7</v>
      </c>
    </row>
    <row r="12">
      <c r="A12" s="4" t="inlineStr">
        <is>
          <t>Check: assets less liabilities and equity</t>
        </is>
      </c>
      <c r="B12" s="7">
        <f>B7-B10-B11</f>
        <v/>
      </c>
      <c r="C12" s="7">
        <f>C7-C10-C11</f>
        <v/>
      </c>
    </row>
    <row r="14">
      <c r="A14" s="4" t="inlineStr">
        <is>
          <t>FORECAST — IF CASH CONVERSION HOLDS</t>
        </is>
      </c>
    </row>
    <row r="15">
      <c r="A15" s="5" t="inlineStr">
        <is>
          <t>EGP mn unless stated</t>
        </is>
      </c>
      <c r="B15" s="19" t="n">
        <v>2026</v>
      </c>
      <c r="C15" s="19" t="n">
        <v>2027</v>
      </c>
      <c r="D15" s="19" t="n">
        <v>2028</v>
      </c>
      <c r="E15" s="19" t="n">
        <v>2029</v>
      </c>
      <c r="F15" s="19" t="n">
        <v>2030</v>
      </c>
    </row>
    <row r="16">
      <c r="A16" s="6" t="inlineStr">
        <is>
          <t>Trade and notes receivable</t>
        </is>
      </c>
      <c r="B16" s="20" t="n">
        <v>104247.5434</v>
      </c>
      <c r="C16" s="20" t="n">
        <v>107203.1736</v>
      </c>
      <c r="D16" s="20" t="n">
        <v>113353.7011</v>
      </c>
      <c r="E16" s="20" t="n">
        <v>124104.2418</v>
      </c>
      <c r="F16" s="20" t="n">
        <v>141477.8814</v>
      </c>
    </row>
    <row r="17">
      <c r="A17" s="6" t="inlineStr">
        <is>
          <t>Work in progress</t>
        </is>
      </c>
      <c r="B17" s="20" t="n">
        <v>17695.9447</v>
      </c>
      <c r="C17" s="20" t="n">
        <v>18197.6608</v>
      </c>
      <c r="D17" s="20" t="n">
        <v>19241.7083</v>
      </c>
      <c r="E17" s="20" t="n">
        <v>21066.6048</v>
      </c>
      <c r="F17" s="20" t="n">
        <v>24015.7675</v>
      </c>
    </row>
    <row r="18">
      <c r="A18" s="6" t="inlineStr">
        <is>
          <t>Other receivables and prepayments</t>
        </is>
      </c>
      <c r="B18" s="20" t="n">
        <v>13013.9604</v>
      </c>
      <c r="C18" s="20" t="n">
        <v>13382.9327</v>
      </c>
      <c r="D18" s="20" t="n">
        <v>14150.7467</v>
      </c>
      <c r="E18" s="20" t="n">
        <v>15492.813</v>
      </c>
      <c r="F18" s="20" t="n">
        <v>17661.6876</v>
      </c>
    </row>
    <row r="19">
      <c r="A19" s="6" t="inlineStr">
        <is>
          <t>Advances to suppliers</t>
        </is>
      </c>
      <c r="B19" s="20" t="n">
        <v>9120.6492</v>
      </c>
      <c r="C19" s="20" t="n">
        <v>9379.2381</v>
      </c>
      <c r="D19" s="20" t="n">
        <v>9917.349700000001</v>
      </c>
      <c r="E19" s="20" t="n">
        <v>10857.9177</v>
      </c>
      <c r="F19" s="20" t="n">
        <v>12377.9427</v>
      </c>
    </row>
    <row r="20">
      <c r="A20" s="6" t="inlineStr">
        <is>
          <t>Cash and equivalents</t>
        </is>
      </c>
      <c r="B20" s="20" t="n">
        <v>12516.3758</v>
      </c>
      <c r="C20" s="20" t="n">
        <v>16975.2575</v>
      </c>
      <c r="D20" s="20" t="n">
        <v>23395.1555</v>
      </c>
      <c r="E20" s="20" t="n">
        <v>32638.5245</v>
      </c>
      <c r="F20" s="20" t="n">
        <v>45947.1273</v>
      </c>
    </row>
    <row r="21">
      <c r="A21" s="6" t="inlineStr">
        <is>
          <t>Property and equipment</t>
        </is>
      </c>
      <c r="B21" s="20" t="n">
        <v>4530.8722</v>
      </c>
      <c r="C21" s="20" t="n">
        <v>4543.6465</v>
      </c>
      <c r="D21" s="20" t="n">
        <v>4562.0388</v>
      </c>
      <c r="E21" s="20" t="n">
        <v>4588.5201</v>
      </c>
      <c r="F21" s="20" t="n">
        <v>4626.6479</v>
      </c>
    </row>
    <row r="22">
      <c r="A22" s="6" t="inlineStr">
        <is>
          <t>Other assets, held at the 2025 level</t>
        </is>
      </c>
      <c r="B22" s="20" t="n">
        <v>15128.3</v>
      </c>
      <c r="C22" s="20" t="n">
        <v>15128.3</v>
      </c>
      <c r="D22" s="20" t="n">
        <v>15128.3</v>
      </c>
      <c r="E22" s="20" t="n">
        <v>15128.3</v>
      </c>
      <c r="F22" s="20" t="n">
        <v>15128.3</v>
      </c>
    </row>
    <row r="23">
      <c r="A23" s="4" t="inlineStr">
        <is>
          <t>TOTAL ASSETS</t>
        </is>
      </c>
      <c r="B23" s="21" t="n">
        <v>176253.6456</v>
      </c>
      <c r="C23" s="21" t="n">
        <v>184810.2092</v>
      </c>
      <c r="D23" s="21" t="n">
        <v>199749.0001</v>
      </c>
      <c r="E23" s="21" t="n">
        <v>223876.9219</v>
      </c>
      <c r="F23" s="21" t="n">
        <v>261235.3543</v>
      </c>
    </row>
    <row r="24">
      <c r="A24" s="6" t="inlineStr">
        <is>
          <t>Customer advances</t>
        </is>
      </c>
      <c r="B24" s="20" t="n">
        <v>69847.66379999999</v>
      </c>
      <c r="C24" s="20" t="n">
        <v>71827.9874</v>
      </c>
      <c r="D24" s="20" t="n">
        <v>75948.9476</v>
      </c>
      <c r="E24" s="20" t="n">
        <v>83151.99649999999</v>
      </c>
      <c r="F24" s="20" t="n">
        <v>94792.6367</v>
      </c>
    </row>
    <row r="25">
      <c r="A25" s="6" t="inlineStr">
        <is>
          <t>Suppliers</t>
        </is>
      </c>
      <c r="B25" s="20" t="n">
        <v>3834.0928</v>
      </c>
      <c r="C25" s="20" t="n">
        <v>3942.7972</v>
      </c>
      <c r="D25" s="20" t="n">
        <v>4169.0058</v>
      </c>
      <c r="E25" s="20" t="n">
        <v>4564.3971</v>
      </c>
      <c r="F25" s="20" t="n">
        <v>5203.3776</v>
      </c>
    </row>
    <row r="26">
      <c r="A26" s="6" t="inlineStr">
        <is>
          <t>Other creditors</t>
        </is>
      </c>
      <c r="B26" s="20" t="n">
        <v>5158.149</v>
      </c>
      <c r="C26" s="20" t="n">
        <v>5304.393</v>
      </c>
      <c r="D26" s="20" t="n">
        <v>5608.72</v>
      </c>
      <c r="E26" s="20" t="n">
        <v>6140.6547</v>
      </c>
      <c r="F26" s="20" t="n">
        <v>7000.2991</v>
      </c>
    </row>
    <row r="27">
      <c r="A27" s="6" t="inlineStr">
        <is>
          <t>Cheques under collection</t>
        </is>
      </c>
      <c r="B27" s="20" t="n">
        <v>2471.1619</v>
      </c>
      <c r="C27" s="20" t="n">
        <v>2541.2244</v>
      </c>
      <c r="D27" s="20" t="n">
        <v>2687.0211</v>
      </c>
      <c r="E27" s="20" t="n">
        <v>2941.86</v>
      </c>
      <c r="F27" s="20" t="n">
        <v>3353.6978</v>
      </c>
    </row>
    <row r="28">
      <c r="A28" s="6" t="inlineStr">
        <is>
          <t>Borrowings</t>
        </is>
      </c>
      <c r="B28" s="20" t="n">
        <v>33552.7</v>
      </c>
      <c r="C28" s="20" t="n">
        <v>33552.7</v>
      </c>
      <c r="D28" s="20" t="n">
        <v>33552.7</v>
      </c>
      <c r="E28" s="20" t="n">
        <v>33552.7</v>
      </c>
      <c r="F28" s="20" t="n">
        <v>33552.7</v>
      </c>
    </row>
    <row r="29">
      <c r="A29" s="6" t="inlineStr">
        <is>
          <t>Other liabilities, held at the 2025 level</t>
        </is>
      </c>
      <c r="B29" s="20" t="n">
        <v>39074.8</v>
      </c>
      <c r="C29" s="20" t="n">
        <v>39074.8</v>
      </c>
      <c r="D29" s="20" t="n">
        <v>39074.8</v>
      </c>
      <c r="E29" s="20" t="n">
        <v>39074.8</v>
      </c>
      <c r="F29" s="20" t="n">
        <v>39074.8</v>
      </c>
    </row>
    <row r="30">
      <c r="A30" s="4" t="inlineStr">
        <is>
          <t>TOTAL LIABILITIES</t>
        </is>
      </c>
      <c r="B30" s="21" t="n">
        <v>153938.5676</v>
      </c>
      <c r="C30" s="21" t="n">
        <v>156243.902</v>
      </c>
      <c r="D30" s="21" t="n">
        <v>161041.1945</v>
      </c>
      <c r="E30" s="21" t="n">
        <v>169426.4083</v>
      </c>
      <c r="F30" s="21" t="n">
        <v>182977.5112</v>
      </c>
    </row>
    <row r="31">
      <c r="A31" s="6" t="inlineStr">
        <is>
          <t>Shareholders' funds</t>
        </is>
      </c>
      <c r="B31" s="20" t="n">
        <v>22315.078</v>
      </c>
      <c r="C31" s="20" t="n">
        <v>28566.3072</v>
      </c>
      <c r="D31" s="20" t="n">
        <v>38707.8056</v>
      </c>
      <c r="E31" s="20" t="n">
        <v>54450.5136</v>
      </c>
      <c r="F31" s="20" t="n">
        <v>78257.8432</v>
      </c>
    </row>
    <row r="32">
      <c r="A32" s="4" t="inlineStr">
        <is>
          <t>TOTAL LIABILITIES AND EQUITY</t>
        </is>
      </c>
      <c r="B32" s="21" t="n">
        <v>176253.6456</v>
      </c>
      <c r="C32" s="21" t="n">
        <v>184810.2092</v>
      </c>
      <c r="D32" s="21" t="n">
        <v>199749.0001</v>
      </c>
      <c r="E32" s="21" t="n">
        <v>223876.9219</v>
      </c>
      <c r="F32" s="21" t="n">
        <v>261235.3543</v>
      </c>
    </row>
    <row r="33">
      <c r="A33" s="4" t="inlineStr">
        <is>
          <t>Check: assets less liabilities and equity</t>
        </is>
      </c>
      <c r="B33" s="26" t="n">
        <v>0</v>
      </c>
      <c r="C33" s="26" t="n">
        <v>-0</v>
      </c>
      <c r="D33" s="26" t="n">
        <v>-0</v>
      </c>
      <c r="E33" s="26" t="n">
        <v>-0</v>
      </c>
      <c r="F33" s="26" t="n">
        <v>0</v>
      </c>
    </row>
    <row r="34">
      <c r="A34" s="6" t="inlineStr">
        <is>
          <t>Collection period, days</t>
        </is>
      </c>
      <c r="B34" s="20" t="n">
        <v>947.754</v>
      </c>
      <c r="C34" s="20" t="n">
        <v>676.9167</v>
      </c>
      <c r="D34" s="20" t="n">
        <v>497.1199</v>
      </c>
      <c r="E34" s="20" t="n">
        <v>378.0158</v>
      </c>
      <c r="F34" s="20" t="n">
        <v>299.302</v>
      </c>
    </row>
    <row r="35">
      <c r="A35" s="6" t="inlineStr">
        <is>
          <t>Work in progress, days of cost</t>
        </is>
      </c>
      <c r="B35" s="20" t="n">
        <v>260.841</v>
      </c>
      <c r="C35" s="20" t="n">
        <v>186.3011</v>
      </c>
      <c r="D35" s="20" t="n">
        <v>136.8174</v>
      </c>
      <c r="E35" s="20" t="n">
        <v>104.0376</v>
      </c>
      <c r="F35" s="20" t="n">
        <v>82.374</v>
      </c>
    </row>
    <row r="36">
      <c r="A36" s="6" t="inlineStr">
        <is>
          <t>Suppliers, days of cost</t>
        </is>
      </c>
      <c r="B36" s="20" t="n">
        <v>56.5151</v>
      </c>
      <c r="C36" s="20" t="n">
        <v>40.3649</v>
      </c>
      <c r="D36" s="20" t="n">
        <v>29.6436</v>
      </c>
      <c r="E36" s="20" t="n">
        <v>22.5413</v>
      </c>
      <c r="F36" s="20" t="n">
        <v>17.8476</v>
      </c>
    </row>
    <row r="37">
      <c r="A37" s="6" t="inlineStr">
        <is>
          <t>Customer advances, share of the order book</t>
        </is>
      </c>
      <c r="B37" s="17" t="n">
        <v>0.1925</v>
      </c>
      <c r="C37" s="17" t="n">
        <v>0.1495</v>
      </c>
      <c r="D37" s="17" t="n">
        <v>0.1232</v>
      </c>
      <c r="E37" s="17" t="n">
        <v>0.1078</v>
      </c>
      <c r="F37" s="17" t="n">
        <v>0.1005</v>
      </c>
    </row>
    <row r="38">
      <c r="A38" s="6" t="inlineStr">
        <is>
          <t>Net working capital</t>
        </is>
      </c>
      <c r="B38" s="20" t="n">
        <v>62767.03</v>
      </c>
      <c r="C38" s="20" t="n">
        <v>64546.6032</v>
      </c>
      <c r="D38" s="20" t="n">
        <v>68249.8113</v>
      </c>
      <c r="E38" s="20" t="n">
        <v>74722.66899999999</v>
      </c>
      <c r="F38" s="20" t="n">
        <v>85183.268</v>
      </c>
    </row>
    <row r="39">
      <c r="A39" s="6" t="inlineStr">
        <is>
          <t xml:space="preserve">  as a multiple of revenue</t>
        </is>
      </c>
      <c r="B39" s="7" t="n">
        <v>1.5634</v>
      </c>
      <c r="C39" s="7" t="n">
        <v>1.1166</v>
      </c>
      <c r="D39" s="7" t="n">
        <v>0.82</v>
      </c>
      <c r="E39" s="7" t="n">
        <v>0.6236</v>
      </c>
      <c r="F39" s="7" t="n">
        <v>0.4937</v>
      </c>
    </row>
    <row r="41">
      <c r="A41" s="4" t="inlineStr">
        <is>
          <t>FORECAST — IF THE COLLECTION CYCLE HOLDS</t>
        </is>
      </c>
    </row>
    <row r="42">
      <c r="A42" s="5" t="inlineStr">
        <is>
          <t>EGP mn unless stated</t>
        </is>
      </c>
      <c r="B42" s="19" t="n">
        <v>2026</v>
      </c>
      <c r="C42" s="19" t="n">
        <v>2027</v>
      </c>
      <c r="D42" s="19" t="n">
        <v>2028</v>
      </c>
      <c r="E42" s="19" t="n">
        <v>2029</v>
      </c>
      <c r="F42" s="19" t="n">
        <v>2030</v>
      </c>
    </row>
    <row r="43">
      <c r="A43" s="6" t="inlineStr">
        <is>
          <t>Trade and notes receivable</t>
        </is>
      </c>
      <c r="B43" s="20" t="n">
        <v>114897.099</v>
      </c>
      <c r="C43" s="20" t="n">
        <v>165428.8431</v>
      </c>
      <c r="D43" s="20" t="n">
        <v>238184.4484</v>
      </c>
      <c r="E43" s="20" t="n">
        <v>342937.9687</v>
      </c>
      <c r="F43" s="20" t="n">
        <v>493762.0874</v>
      </c>
    </row>
    <row r="44">
      <c r="A44" s="6" t="inlineStr">
        <is>
          <t>Work in progress</t>
        </is>
      </c>
      <c r="B44" s="20" t="n">
        <v>19503.699</v>
      </c>
      <c r="C44" s="20" t="n">
        <v>28081.4258</v>
      </c>
      <c r="D44" s="20" t="n">
        <v>40431.6369</v>
      </c>
      <c r="E44" s="20" t="n">
        <v>58213.4708</v>
      </c>
      <c r="F44" s="20" t="n">
        <v>83815.7553</v>
      </c>
    </row>
    <row r="45">
      <c r="A45" s="6" t="inlineStr">
        <is>
          <t>Other receivables and prepayments</t>
        </is>
      </c>
      <c r="B45" s="20" t="n">
        <v>14343.42</v>
      </c>
      <c r="C45" s="20" t="n">
        <v>20651.6561</v>
      </c>
      <c r="D45" s="20" t="n">
        <v>29734.2545</v>
      </c>
      <c r="E45" s="20" t="n">
        <v>42811.3796</v>
      </c>
      <c r="F45" s="20" t="n">
        <v>61639.8243</v>
      </c>
    </row>
    <row r="46">
      <c r="A46" s="6" t="inlineStr">
        <is>
          <t>Advances to suppliers</t>
        </is>
      </c>
      <c r="B46" s="20" t="n">
        <v>10052.382</v>
      </c>
      <c r="C46" s="20" t="n">
        <v>14473.4196</v>
      </c>
      <c r="D46" s="20" t="n">
        <v>20838.8295</v>
      </c>
      <c r="E46" s="20" t="n">
        <v>30003.7468</v>
      </c>
      <c r="F46" s="20" t="n">
        <v>43199.3946</v>
      </c>
    </row>
    <row r="47">
      <c r="A47" s="6" t="inlineStr">
        <is>
          <t>Cash and equivalents</t>
        </is>
      </c>
      <c r="B47" s="20" t="n">
        <v>6104.3208</v>
      </c>
      <c r="C47" s="20" t="n">
        <v>2354.875</v>
      </c>
      <c r="D47" s="20" t="n">
        <v>2354.875</v>
      </c>
      <c r="E47" s="20" t="n">
        <v>2354.875</v>
      </c>
      <c r="F47" s="20" t="n">
        <v>2354.875</v>
      </c>
    </row>
    <row r="48">
      <c r="A48" s="6" t="inlineStr">
        <is>
          <t>Property and equipment</t>
        </is>
      </c>
      <c r="B48" s="20" t="n">
        <v>4530.8722</v>
      </c>
      <c r="C48" s="20" t="n">
        <v>4543.6465</v>
      </c>
      <c r="D48" s="20" t="n">
        <v>4562.0388</v>
      </c>
      <c r="E48" s="20" t="n">
        <v>4588.5201</v>
      </c>
      <c r="F48" s="20" t="n">
        <v>4626.6479</v>
      </c>
    </row>
    <row r="49">
      <c r="A49" s="6" t="inlineStr">
        <is>
          <t>Other assets, held at the 2025 level</t>
        </is>
      </c>
      <c r="B49" s="20" t="n">
        <v>15128.3</v>
      </c>
      <c r="C49" s="20" t="n">
        <v>15128.3</v>
      </c>
      <c r="D49" s="20" t="n">
        <v>15128.3</v>
      </c>
      <c r="E49" s="20" t="n">
        <v>15128.3</v>
      </c>
      <c r="F49" s="20" t="n">
        <v>15128.3</v>
      </c>
    </row>
    <row r="50">
      <c r="A50" s="4" t="inlineStr">
        <is>
          <t>TOTAL ASSETS</t>
        </is>
      </c>
      <c r="B50" s="21" t="n">
        <v>184560.093</v>
      </c>
      <c r="C50" s="21" t="n">
        <v>250662.1661</v>
      </c>
      <c r="D50" s="21" t="n">
        <v>351234.3831</v>
      </c>
      <c r="E50" s="21" t="n">
        <v>496038.261</v>
      </c>
      <c r="F50" s="21" t="n">
        <v>704526.8845</v>
      </c>
    </row>
    <row r="51">
      <c r="A51" s="6" t="inlineStr">
        <is>
          <t>Customer advances</t>
        </is>
      </c>
      <c r="B51" s="20" t="n">
        <v>76983.05100000001</v>
      </c>
      <c r="C51" s="20" t="n">
        <v>110840.1968</v>
      </c>
      <c r="D51" s="20" t="n">
        <v>159587.7154</v>
      </c>
      <c r="E51" s="20" t="n">
        <v>229774.3926</v>
      </c>
      <c r="F51" s="20" t="n">
        <v>330829.1705</v>
      </c>
    </row>
    <row r="52">
      <c r="A52" s="6" t="inlineStr">
        <is>
          <t>Suppliers</t>
        </is>
      </c>
      <c r="B52" s="20" t="n">
        <v>4225.77</v>
      </c>
      <c r="C52" s="20" t="n">
        <v>6084.2636</v>
      </c>
      <c r="D52" s="20" t="n">
        <v>8760.122799999999</v>
      </c>
      <c r="E52" s="20" t="n">
        <v>12612.8248</v>
      </c>
      <c r="F52" s="20" t="n">
        <v>18159.9452</v>
      </c>
    </row>
    <row r="53">
      <c r="A53" s="6" t="inlineStr">
        <is>
          <t>Other creditors</t>
        </is>
      </c>
      <c r="B53" s="20" t="n">
        <v>5685.087</v>
      </c>
      <c r="C53" s="20" t="n">
        <v>8185.3883</v>
      </c>
      <c r="D53" s="20" t="n">
        <v>11785.322</v>
      </c>
      <c r="E53" s="20" t="n">
        <v>16968.5066</v>
      </c>
      <c r="F53" s="20" t="n">
        <v>24431.2559</v>
      </c>
    </row>
    <row r="54">
      <c r="A54" s="6" t="inlineStr">
        <is>
          <t>Cheques under collection</t>
        </is>
      </c>
      <c r="B54" s="20" t="n">
        <v>2723.607</v>
      </c>
      <c r="C54" s="20" t="n">
        <v>3921.4494</v>
      </c>
      <c r="D54" s="20" t="n">
        <v>5646.1028</v>
      </c>
      <c r="E54" s="20" t="n">
        <v>8129.2588</v>
      </c>
      <c r="F54" s="20" t="n">
        <v>11704.5068</v>
      </c>
    </row>
    <row r="55">
      <c r="A55" s="6" t="inlineStr">
        <is>
          <t>Borrowings</t>
        </is>
      </c>
      <c r="B55" s="20" t="n">
        <v>33552.7</v>
      </c>
      <c r="C55" s="20" t="n">
        <v>53989.7609</v>
      </c>
      <c r="D55" s="20" t="n">
        <v>87672.5145</v>
      </c>
      <c r="E55" s="20" t="n">
        <v>135027.9646</v>
      </c>
      <c r="F55" s="20" t="n">
        <v>202069.363</v>
      </c>
    </row>
    <row r="56">
      <c r="A56" s="6" t="inlineStr">
        <is>
          <t>Other liabilities, held at the 2025 level</t>
        </is>
      </c>
      <c r="B56" s="20" t="n">
        <v>39074.8</v>
      </c>
      <c r="C56" s="20" t="n">
        <v>39074.8</v>
      </c>
      <c r="D56" s="20" t="n">
        <v>39074.8</v>
      </c>
      <c r="E56" s="20" t="n">
        <v>39074.8</v>
      </c>
      <c r="F56" s="20" t="n">
        <v>39074.8</v>
      </c>
    </row>
    <row r="57">
      <c r="A57" s="4" t="inlineStr">
        <is>
          <t>TOTAL LIABILITIES</t>
        </is>
      </c>
      <c r="B57" s="21" t="n">
        <v>162245.015</v>
      </c>
      <c r="C57" s="21" t="n">
        <v>222095.859</v>
      </c>
      <c r="D57" s="21" t="n">
        <v>312526.5775</v>
      </c>
      <c r="E57" s="21" t="n">
        <v>441587.7475</v>
      </c>
      <c r="F57" s="21" t="n">
        <v>626269.0413</v>
      </c>
    </row>
    <row r="58">
      <c r="A58" s="6" t="inlineStr">
        <is>
          <t>Shareholders' funds</t>
        </is>
      </c>
      <c r="B58" s="20" t="n">
        <v>22315.078</v>
      </c>
      <c r="C58" s="20" t="n">
        <v>28566.3072</v>
      </c>
      <c r="D58" s="20" t="n">
        <v>38707.8056</v>
      </c>
      <c r="E58" s="20" t="n">
        <v>54450.5136</v>
      </c>
      <c r="F58" s="20" t="n">
        <v>78257.8432</v>
      </c>
    </row>
    <row r="59">
      <c r="A59" s="4" t="inlineStr">
        <is>
          <t>TOTAL LIABILITIES AND EQUITY</t>
        </is>
      </c>
      <c r="B59" s="21" t="n">
        <v>184560.093</v>
      </c>
      <c r="C59" s="21" t="n">
        <v>250662.1661</v>
      </c>
      <c r="D59" s="21" t="n">
        <v>351234.3831</v>
      </c>
      <c r="E59" s="21" t="n">
        <v>496038.261</v>
      </c>
      <c r="F59" s="21" t="n">
        <v>704526.8845</v>
      </c>
    </row>
    <row r="60">
      <c r="A60" s="4" t="inlineStr">
        <is>
          <t>Check: assets less liabilities and equity</t>
        </is>
      </c>
      <c r="B60" s="26" t="n">
        <v>0</v>
      </c>
      <c r="C60" s="26" t="n">
        <v>-0</v>
      </c>
      <c r="D60" s="26" t="n">
        <v>0</v>
      </c>
      <c r="E60" s="26" t="n">
        <v>0</v>
      </c>
      <c r="F60" s="26" t="n">
        <v>-0</v>
      </c>
    </row>
    <row r="61">
      <c r="A61" s="6" t="inlineStr">
        <is>
          <t>Collection period, days</t>
        </is>
      </c>
      <c r="B61" s="20" t="n">
        <v>1044.5731</v>
      </c>
      <c r="C61" s="20" t="n">
        <v>1044.5731</v>
      </c>
      <c r="D61" s="20" t="n">
        <v>1044.5731</v>
      </c>
      <c r="E61" s="20" t="n">
        <v>1044.5731</v>
      </c>
      <c r="F61" s="20" t="n">
        <v>1044.5731</v>
      </c>
    </row>
    <row r="62">
      <c r="A62" s="6" t="inlineStr">
        <is>
          <t>Work in progress, days of cost</t>
        </is>
      </c>
      <c r="B62" s="20" t="n">
        <v>287.4876</v>
      </c>
      <c r="C62" s="20" t="n">
        <v>287.4876</v>
      </c>
      <c r="D62" s="20" t="n">
        <v>287.4876</v>
      </c>
      <c r="E62" s="20" t="n">
        <v>287.4876</v>
      </c>
      <c r="F62" s="20" t="n">
        <v>287.4876</v>
      </c>
    </row>
    <row r="63">
      <c r="A63" s="6" t="inlineStr">
        <is>
          <t>Suppliers, days of cost</t>
        </is>
      </c>
      <c r="B63" s="20" t="n">
        <v>62.2885</v>
      </c>
      <c r="C63" s="20" t="n">
        <v>62.2885</v>
      </c>
      <c r="D63" s="20" t="n">
        <v>62.2885</v>
      </c>
      <c r="E63" s="20" t="n">
        <v>62.2885</v>
      </c>
      <c r="F63" s="20" t="n">
        <v>62.2885</v>
      </c>
    </row>
    <row r="64">
      <c r="A64" s="6" t="inlineStr">
        <is>
          <t>Customer advances, share of the order book</t>
        </is>
      </c>
      <c r="B64" s="17" t="n">
        <v>0.2122</v>
      </c>
      <c r="C64" s="17" t="n">
        <v>0.2308</v>
      </c>
      <c r="D64" s="17" t="n">
        <v>0.2588</v>
      </c>
      <c r="E64" s="17" t="n">
        <v>0.2978</v>
      </c>
      <c r="F64" s="17" t="n">
        <v>0.3509</v>
      </c>
    </row>
    <row r="65">
      <c r="A65" s="6" t="inlineStr">
        <is>
          <t>Net working capital</t>
        </is>
      </c>
      <c r="B65" s="20" t="n">
        <v>69179.08500000001</v>
      </c>
      <c r="C65" s="20" t="n">
        <v>99604.0466</v>
      </c>
      <c r="D65" s="20" t="n">
        <v>143409.9063</v>
      </c>
      <c r="E65" s="20" t="n">
        <v>206481.583</v>
      </c>
      <c r="F65" s="20" t="n">
        <v>297292.1833</v>
      </c>
    </row>
    <row r="66">
      <c r="A66" s="6" t="inlineStr">
        <is>
          <t xml:space="preserve">  as a multiple of revenue</t>
        </is>
      </c>
      <c r="B66" s="7" t="n">
        <v>1.7231</v>
      </c>
      <c r="C66" s="7" t="n">
        <v>1.7231</v>
      </c>
      <c r="D66" s="7" t="n">
        <v>1.7231</v>
      </c>
      <c r="E66" s="7" t="n">
        <v>1.7231</v>
      </c>
      <c r="F66" s="7" t="n">
        <v>1.7231</v>
      </c>
    </row>
    <row r="68">
      <c r="A68" s="4" t="inlineStr">
        <is>
          <t>The cycle as reported, both audited years</t>
        </is>
      </c>
    </row>
    <row r="69">
      <c r="A69" s="4" t="inlineStr"/>
      <c r="B69" s="16" t="inlineStr">
        <is>
          <t>2025</t>
        </is>
      </c>
      <c r="C69" s="16" t="inlineStr">
        <is>
          <t>2024</t>
        </is>
      </c>
    </row>
    <row r="70">
      <c r="A70" s="6" t="inlineStr">
        <is>
          <t>Collection period, days</t>
        </is>
      </c>
      <c r="B70" s="20" t="n">
        <v>1044.5731</v>
      </c>
      <c r="C70" s="20" t="n">
        <v>1034.7657</v>
      </c>
    </row>
    <row r="71">
      <c r="A71" s="6" t="inlineStr">
        <is>
          <t>Work in progress, days of cost</t>
        </is>
      </c>
      <c r="B71" s="20" t="n">
        <v>303.6796</v>
      </c>
      <c r="C71" s="20" t="n">
        <v>270.3102</v>
      </c>
    </row>
    <row r="72">
      <c r="A72" s="6" t="inlineStr">
        <is>
          <t>Suppliers, days of cost</t>
        </is>
      </c>
      <c r="B72" s="20" t="n">
        <v>65.7968</v>
      </c>
      <c r="C72" s="20" t="n">
        <v>70.12009999999999</v>
      </c>
    </row>
    <row r="73">
      <c r="A73" s="6" t="inlineStr">
        <is>
          <t>Customer advances, share of the order book</t>
        </is>
      </c>
      <c r="B73" s="17" t="n">
        <v>0.2637</v>
      </c>
      <c r="C73" s="17" t="n">
        <v>0.3225</v>
      </c>
    </row>
    <row r="74">
      <c r="A74" s="6" t="inlineStr">
        <is>
          <t>Net working capital</t>
        </is>
      </c>
      <c r="B74" s="20" t="n">
        <v>62323.5</v>
      </c>
      <c r="C74" s="20" t="n">
        <v>42238.8</v>
      </c>
    </row>
    <row r="75">
      <c r="A75" s="6" t="inlineStr">
        <is>
          <t xml:space="preserve">  as a multiple of revenue</t>
        </is>
      </c>
      <c r="B75" s="7" t="n">
        <v>1.7231</v>
      </c>
      <c r="C75" s="7" t="n">
        <v>1.5548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s>
  <sheetData>
    <row r="1">
      <c r="A1" s="1" t="inlineStr">
        <is>
          <t>Cash flow — forecast, both readings</t>
        </is>
      </c>
    </row>
    <row r="2">
      <c r="A2" s="2" t="inlineStr">
        <is>
          <t>The audited balance sheet and the audited cash-flow statement disagree about 2025 by EGP 16,938 million, and that difference cannot be split from what is disclosed. So the forecast is published two ways and neither is averaged into the other.</t>
        </is>
      </c>
    </row>
    <row r="4">
      <c r="A4" s="4" t="inlineStr">
        <is>
          <t>IF CASH CONVERSION HOLDS — the basis of the valuation</t>
        </is>
      </c>
    </row>
    <row r="5">
      <c r="A5" s="5" t="inlineStr">
        <is>
          <t>EGP mn unless stated</t>
        </is>
      </c>
      <c r="B5" s="19" t="n">
        <v>2026</v>
      </c>
      <c r="C5" s="19" t="n">
        <v>2027</v>
      </c>
      <c r="D5" s="19" t="n">
        <v>2028</v>
      </c>
      <c r="E5" s="19" t="n">
        <v>2029</v>
      </c>
      <c r="F5" s="19" t="n">
        <v>2030</v>
      </c>
    </row>
    <row r="6">
      <c r="A6" s="6" t="inlineStr">
        <is>
          <t>Net profit</t>
        </is>
      </c>
      <c r="B6" s="20" t="n">
        <v>3549.278</v>
      </c>
      <c r="C6" s="20" t="n">
        <v>6251.2292</v>
      </c>
      <c r="D6" s="20" t="n">
        <v>10141.4984</v>
      </c>
      <c r="E6" s="20" t="n">
        <v>15742.708</v>
      </c>
      <c r="F6" s="20" t="n">
        <v>23807.3296</v>
      </c>
    </row>
    <row r="7">
      <c r="A7" s="6" t="inlineStr">
        <is>
          <t>Depreciation and amortisation</t>
        </is>
      </c>
      <c r="B7" s="20" t="n">
        <v>392.607</v>
      </c>
      <c r="C7" s="20" t="n">
        <v>565.2756000000001</v>
      </c>
      <c r="D7" s="20" t="n">
        <v>813.8837</v>
      </c>
      <c r="E7" s="20" t="n">
        <v>1171.8298</v>
      </c>
      <c r="F7" s="20" t="n">
        <v>1687.2006</v>
      </c>
    </row>
    <row r="8">
      <c r="A8" s="6" t="inlineStr">
        <is>
          <t>Change in working capital, cash effect</t>
        </is>
      </c>
      <c r="B8" s="20" t="n">
        <v>-443.53</v>
      </c>
      <c r="C8" s="20" t="n">
        <v>-1779.5732</v>
      </c>
      <c r="D8" s="20" t="n">
        <v>-3703.2081</v>
      </c>
      <c r="E8" s="20" t="n">
        <v>-6472.8577</v>
      </c>
      <c r="F8" s="20" t="n">
        <v>-10460.5991</v>
      </c>
    </row>
    <row r="9">
      <c r="A9" s="4" t="inlineStr">
        <is>
          <t>Cash from operations</t>
        </is>
      </c>
      <c r="B9" s="21" t="n">
        <v>3498.355</v>
      </c>
      <c r="C9" s="21" t="n">
        <v>5036.9315</v>
      </c>
      <c r="D9" s="21" t="n">
        <v>7252.174</v>
      </c>
      <c r="E9" s="21" t="n">
        <v>10441.6802</v>
      </c>
      <c r="F9" s="21" t="n">
        <v>15033.9311</v>
      </c>
    </row>
    <row r="10">
      <c r="A10" s="6" t="inlineStr">
        <is>
          <t xml:space="preserve">  as a share of revenue</t>
        </is>
      </c>
      <c r="B10" s="17" t="n">
        <v>0.0871</v>
      </c>
      <c r="C10" s="17" t="n">
        <v>0.0871</v>
      </c>
      <c r="D10" s="17" t="n">
        <v>0.0871</v>
      </c>
      <c r="E10" s="17" t="n">
        <v>0.0871</v>
      </c>
      <c r="F10" s="17" t="n">
        <v>0.0871</v>
      </c>
    </row>
    <row r="11">
      <c r="A11" s="6" t="inlineStr">
        <is>
          <t>Capital expenditure</t>
        </is>
      </c>
      <c r="B11" s="20" t="n">
        <v>-401.4792</v>
      </c>
      <c r="C11" s="20" t="n">
        <v>-578.0498</v>
      </c>
      <c r="D11" s="20" t="n">
        <v>-832.2761</v>
      </c>
      <c r="E11" s="20" t="n">
        <v>-1198.3111</v>
      </c>
      <c r="F11" s="20" t="n">
        <v>-1725.3284</v>
      </c>
    </row>
    <row r="12">
      <c r="A12" s="6" t="inlineStr">
        <is>
          <t>New borrowing drawn</t>
        </is>
      </c>
      <c r="B12" s="20" t="n">
        <v>0</v>
      </c>
      <c r="C12" s="20" t="n">
        <v>0</v>
      </c>
      <c r="D12" s="20" t="n">
        <v>0</v>
      </c>
      <c r="E12" s="20" t="n">
        <v>0</v>
      </c>
      <c r="F12" s="20" t="n">
        <v>0</v>
      </c>
    </row>
    <row r="13">
      <c r="A13" s="6" t="inlineStr">
        <is>
          <t>Cash from financing</t>
        </is>
      </c>
      <c r="B13" s="20" t="n">
        <v>0</v>
      </c>
      <c r="C13" s="20" t="n">
        <v>0</v>
      </c>
      <c r="D13" s="20" t="n">
        <v>0</v>
      </c>
      <c r="E13" s="20" t="n">
        <v>0</v>
      </c>
      <c r="F13" s="20" t="n">
        <v>0</v>
      </c>
    </row>
    <row r="14">
      <c r="A14" s="4" t="inlineStr">
        <is>
          <t>Closing cash</t>
        </is>
      </c>
      <c r="B14" s="21" t="n">
        <v>12516.3758</v>
      </c>
      <c r="C14" s="21" t="n">
        <v>16975.2575</v>
      </c>
      <c r="D14" s="21" t="n">
        <v>23395.1555</v>
      </c>
      <c r="E14" s="21" t="n">
        <v>32638.5245</v>
      </c>
      <c r="F14" s="21" t="n">
        <v>45947.1273</v>
      </c>
    </row>
    <row r="15">
      <c r="A15" s="6" t="inlineStr">
        <is>
          <t>Cumulative new borrowing</t>
        </is>
      </c>
      <c r="B15" s="20" t="n">
        <v>0</v>
      </c>
      <c r="C15" s="20" t="n">
        <v>0</v>
      </c>
      <c r="D15" s="20" t="n">
        <v>0</v>
      </c>
      <c r="E15" s="20" t="n">
        <v>0</v>
      </c>
      <c r="F15" s="20" t="n">
        <v>0</v>
      </c>
    </row>
    <row r="17">
      <c r="A17" s="4" t="inlineStr">
        <is>
          <t>IF THE COLLECTION CYCLE HOLDS</t>
        </is>
      </c>
    </row>
    <row r="18">
      <c r="A18" s="5" t="inlineStr">
        <is>
          <t>EGP mn unless stated</t>
        </is>
      </c>
      <c r="B18" s="19" t="n">
        <v>2026</v>
      </c>
      <c r="C18" s="19" t="n">
        <v>2027</v>
      </c>
      <c r="D18" s="19" t="n">
        <v>2028</v>
      </c>
      <c r="E18" s="19" t="n">
        <v>2029</v>
      </c>
      <c r="F18" s="19" t="n">
        <v>2030</v>
      </c>
    </row>
    <row r="19">
      <c r="A19" s="6" t="inlineStr">
        <is>
          <t>Net profit</t>
        </is>
      </c>
      <c r="B19" s="20" t="n">
        <v>3549.278</v>
      </c>
      <c r="C19" s="20" t="n">
        <v>6251.2292</v>
      </c>
      <c r="D19" s="20" t="n">
        <v>10141.4984</v>
      </c>
      <c r="E19" s="20" t="n">
        <v>15742.708</v>
      </c>
      <c r="F19" s="20" t="n">
        <v>23807.3296</v>
      </c>
    </row>
    <row r="20">
      <c r="A20" s="6" t="inlineStr">
        <is>
          <t>Depreciation and amortisation</t>
        </is>
      </c>
      <c r="B20" s="20" t="n">
        <v>392.607</v>
      </c>
      <c r="C20" s="20" t="n">
        <v>565.2756000000001</v>
      </c>
      <c r="D20" s="20" t="n">
        <v>813.8837</v>
      </c>
      <c r="E20" s="20" t="n">
        <v>1171.8298</v>
      </c>
      <c r="F20" s="20" t="n">
        <v>1687.2006</v>
      </c>
    </row>
    <row r="21">
      <c r="A21" s="6" t="inlineStr">
        <is>
          <t>Change in working capital, cash effect</t>
        </is>
      </c>
      <c r="B21" s="20" t="n">
        <v>-6855.585</v>
      </c>
      <c r="C21" s="20" t="n">
        <v>-30424.9616</v>
      </c>
      <c r="D21" s="20" t="n">
        <v>-43805.8597</v>
      </c>
      <c r="E21" s="20" t="n">
        <v>-63071.6768</v>
      </c>
      <c r="F21" s="20" t="n">
        <v>-90810.6002</v>
      </c>
    </row>
    <row r="22">
      <c r="A22" s="4" t="inlineStr">
        <is>
          <t>Cash from operations</t>
        </is>
      </c>
      <c r="B22" s="21" t="n">
        <v>-2913.7</v>
      </c>
      <c r="C22" s="21" t="n">
        <v>-23608.4569</v>
      </c>
      <c r="D22" s="21" t="n">
        <v>-32850.4776</v>
      </c>
      <c r="E22" s="21" t="n">
        <v>-46157.139</v>
      </c>
      <c r="F22" s="21" t="n">
        <v>-65316.07</v>
      </c>
    </row>
    <row r="23">
      <c r="A23" s="6" t="inlineStr">
        <is>
          <t xml:space="preserve">  as a share of revenue</t>
        </is>
      </c>
      <c r="B23" s="17" t="n">
        <v>-0.0726</v>
      </c>
      <c r="C23" s="17" t="n">
        <v>-0.4084</v>
      </c>
      <c r="D23" s="17" t="n">
        <v>-0.3947</v>
      </c>
      <c r="E23" s="17" t="n">
        <v>-0.3852</v>
      </c>
      <c r="F23" s="17" t="n">
        <v>-0.3786</v>
      </c>
    </row>
    <row r="24">
      <c r="A24" s="6" t="inlineStr">
        <is>
          <t>Capital expenditure</t>
        </is>
      </c>
      <c r="B24" s="20" t="n">
        <v>-401.4792</v>
      </c>
      <c r="C24" s="20" t="n">
        <v>-578.0498</v>
      </c>
      <c r="D24" s="20" t="n">
        <v>-832.2761</v>
      </c>
      <c r="E24" s="20" t="n">
        <v>-1198.3111</v>
      </c>
      <c r="F24" s="20" t="n">
        <v>-1725.3284</v>
      </c>
    </row>
    <row r="25">
      <c r="A25" s="6" t="inlineStr">
        <is>
          <t>New borrowing drawn</t>
        </is>
      </c>
      <c r="B25" s="20" t="n">
        <v>0</v>
      </c>
      <c r="C25" s="20" t="n">
        <v>20437.0609</v>
      </c>
      <c r="D25" s="20" t="n">
        <v>33682.7537</v>
      </c>
      <c r="E25" s="20" t="n">
        <v>47355.4501</v>
      </c>
      <c r="F25" s="20" t="n">
        <v>67041.39840000001</v>
      </c>
    </row>
    <row r="26">
      <c r="A26" s="6" t="inlineStr">
        <is>
          <t>Cash from financing</t>
        </is>
      </c>
      <c r="B26" s="20" t="n">
        <v>0</v>
      </c>
      <c r="C26" s="20" t="n">
        <v>20437.0609</v>
      </c>
      <c r="D26" s="20" t="n">
        <v>33682.7537</v>
      </c>
      <c r="E26" s="20" t="n">
        <v>47355.4501</v>
      </c>
      <c r="F26" s="20" t="n">
        <v>67041.39840000001</v>
      </c>
    </row>
    <row r="27">
      <c r="A27" s="4" t="inlineStr">
        <is>
          <t>Closing cash</t>
        </is>
      </c>
      <c r="B27" s="21" t="n">
        <v>6104.3208</v>
      </c>
      <c r="C27" s="21" t="n">
        <v>2354.875</v>
      </c>
      <c r="D27" s="21" t="n">
        <v>2354.875</v>
      </c>
      <c r="E27" s="21" t="n">
        <v>2354.875</v>
      </c>
      <c r="F27" s="21" t="n">
        <v>2354.875</v>
      </c>
    </row>
    <row r="28">
      <c r="A28" s="6" t="inlineStr">
        <is>
          <t>Cumulative new borrowing</t>
        </is>
      </c>
      <c r="B28" s="20" t="n">
        <v>0</v>
      </c>
      <c r="C28" s="20" t="n">
        <v>20437.0609</v>
      </c>
      <c r="D28" s="20" t="n">
        <v>54119.8145</v>
      </c>
      <c r="E28" s="20" t="n">
        <v>101475.2646</v>
      </c>
      <c r="F28" s="20" t="n">
        <v>168516.663</v>
      </c>
    </row>
    <row r="30">
      <c r="A30" s="4" t="inlineStr">
        <is>
          <t>Cash conversion, the three published years</t>
        </is>
      </c>
    </row>
    <row r="31">
      <c r="A31" s="6" t="inlineStr">
        <is>
          <t>FY2023</t>
        </is>
      </c>
      <c r="B31" s="27" t="n">
        <v>0.043334</v>
      </c>
    </row>
    <row r="32">
      <c r="A32" s="6" t="inlineStr">
        <is>
          <t>FY2024</t>
        </is>
      </c>
      <c r="B32" s="27" t="n">
        <v>0.1787</v>
      </c>
    </row>
    <row r="33">
      <c r="A33" s="6" t="inlineStr">
        <is>
          <t>FY2025</t>
        </is>
      </c>
      <c r="B33" s="27" t="n">
        <v>0.039376</v>
      </c>
    </row>
    <row r="34">
      <c r="A34" s="6" t="inlineStr">
        <is>
          <t xml:space="preserve">  mean, carried above</t>
        </is>
      </c>
      <c r="B34" s="27" t="n">
        <v>0.08713700000000001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s>
  <sheetData>
    <row r="1">
      <c r="A1" s="1" t="inlineStr">
        <is>
          <t>Summary financials, as reported</t>
        </is>
      </c>
    </row>
    <row r="4">
      <c r="A4" s="4" t="inlineStr">
        <is>
          <t>EGP million</t>
        </is>
      </c>
      <c r="B4" s="16" t="inlineStr">
        <is>
          <t>2023</t>
        </is>
      </c>
      <c r="C4" s="16" t="inlineStr">
        <is>
          <t>2024</t>
        </is>
      </c>
      <c r="D4" s="16" t="inlineStr">
        <is>
          <t>2025</t>
        </is>
      </c>
    </row>
    <row r="5">
      <c r="A5" s="6" t="inlineStr">
        <is>
          <t>Revenue</t>
        </is>
      </c>
      <c r="B5" s="10" t="n">
        <v>17462.1</v>
      </c>
      <c r="C5" s="10" t="n">
        <v>27167.3</v>
      </c>
      <c r="D5" s="10" t="n">
        <v>36169.3</v>
      </c>
    </row>
    <row r="6">
      <c r="A6" s="6" t="inlineStr">
        <is>
          <t>Cost of revenue</t>
        </is>
      </c>
      <c r="B6" s="10" t="n">
        <v>-11907.2</v>
      </c>
      <c r="C6" s="10" t="n">
        <v>-17739.9</v>
      </c>
      <c r="D6" s="10" t="n">
        <v>-21118.9</v>
      </c>
    </row>
    <row r="7">
      <c r="A7" s="6" t="inlineStr">
        <is>
          <t>Gross profit</t>
        </is>
      </c>
      <c r="B7" s="10" t="n">
        <v>5507.6</v>
      </c>
      <c r="C7" s="10" t="n">
        <v>9330.1</v>
      </c>
      <c r="D7" s="10" t="n">
        <v>14887.6</v>
      </c>
    </row>
    <row r="8">
      <c r="A8" s="6" t="inlineStr">
        <is>
          <t>Overheads</t>
        </is>
      </c>
      <c r="B8" s="10" t="n">
        <v>-2060.5</v>
      </c>
      <c r="C8" s="10" t="n">
        <v>-3435.8</v>
      </c>
      <c r="D8" s="10" t="n">
        <v>-6365.6</v>
      </c>
    </row>
    <row r="9">
      <c r="A9" s="6" t="inlineStr">
        <is>
          <t>Finance cost</t>
        </is>
      </c>
      <c r="B9" s="10" t="inlineStr"/>
      <c r="C9" s="10" t="n">
        <v>-2311.4</v>
      </c>
      <c r="D9" s="10" t="n">
        <v>-3347.5</v>
      </c>
    </row>
    <row r="10">
      <c r="A10" s="6" t="inlineStr">
        <is>
          <t>Pre-tax profit</t>
        </is>
      </c>
      <c r="B10" s="10" t="n">
        <v>2300.7</v>
      </c>
      <c r="C10" s="10" t="n">
        <v>4320.6</v>
      </c>
      <c r="D10" s="10" t="n">
        <v>6251.1</v>
      </c>
    </row>
    <row r="11">
      <c r="A11" s="6" t="inlineStr">
        <is>
          <t>Tax</t>
        </is>
      </c>
      <c r="B11" s="10" t="n">
        <v>-567.3</v>
      </c>
      <c r="C11" s="10" t="n">
        <v>-917.1</v>
      </c>
      <c r="D11" s="10" t="n">
        <v>-1827.2</v>
      </c>
    </row>
    <row r="12">
      <c r="A12" s="6" t="inlineStr">
        <is>
          <t>Profit after tax and minority</t>
        </is>
      </c>
      <c r="B12" s="10" t="n">
        <v>1581.5</v>
      </c>
      <c r="C12" s="10" t="n">
        <v>3254.9</v>
      </c>
      <c r="D12" s="10" t="n">
        <v>4216.7</v>
      </c>
    </row>
    <row r="13">
      <c r="A13" s="6" t="inlineStr">
        <is>
          <t>Cash from operations</t>
        </is>
      </c>
      <c r="B13" s="10" t="n">
        <v>756.7</v>
      </c>
      <c r="C13" s="10" t="n">
        <v>4854.8</v>
      </c>
      <c r="D13" s="10" t="n">
        <v>1424.2</v>
      </c>
    </row>
    <row r="14">
      <c r="A14" s="4" t="inlineStr">
        <is>
          <t>Cash from operations, share of revenue</t>
        </is>
      </c>
      <c r="B14" s="17">
        <f>B14/B5</f>
        <v/>
      </c>
      <c r="C14" s="17">
        <f>C14/C5</f>
        <v/>
      </c>
      <c r="D14" s="17">
        <f>D14/D5</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16" customWidth="1" min="2" max="2"/>
    <col width="16" customWidth="1" min="3" max="3"/>
  </cols>
  <sheetData>
    <row r="1">
      <c r="A1" s="1" t="inlineStr">
        <is>
          <t>Price distribution — published output, reproduced not re-derived</t>
        </is>
      </c>
    </row>
    <row r="2">
      <c r="A2" s="2" t="inlineStr">
        <is>
          <t>This is the price engine's distribution, independent of the valuation.</t>
        </is>
      </c>
    </row>
    <row r="4">
      <c r="A4" s="4" t="inlineStr">
        <is>
          <t>Percentile</t>
        </is>
      </c>
      <c r="B4" s="16" t="inlineStr">
        <is>
          <t>One month</t>
        </is>
      </c>
      <c r="C4" s="16" t="inlineStr">
        <is>
          <t>Three months</t>
        </is>
      </c>
    </row>
    <row r="5">
      <c r="A5" s="6" t="inlineStr">
        <is>
          <t>5th</t>
        </is>
      </c>
      <c r="B5" s="7" t="n">
        <v>13.08</v>
      </c>
      <c r="C5" s="7" t="n">
        <v>11.98</v>
      </c>
    </row>
    <row r="6">
      <c r="A6" s="6" t="inlineStr">
        <is>
          <t>25th</t>
        </is>
      </c>
      <c r="B6" s="7" t="n">
        <v>14.67</v>
      </c>
      <c r="C6" s="7" t="n">
        <v>14.61</v>
      </c>
    </row>
    <row r="7">
      <c r="A7" s="6" t="inlineStr">
        <is>
          <t>50th</t>
        </is>
      </c>
      <c r="B7" s="7" t="n">
        <v>15.64</v>
      </c>
      <c r="C7" s="7" t="n">
        <v>16.34</v>
      </c>
    </row>
    <row r="8">
      <c r="A8" s="6" t="inlineStr">
        <is>
          <t>75th</t>
        </is>
      </c>
      <c r="B8" s="7" t="n">
        <v>16.68</v>
      </c>
      <c r="C8" s="7" t="n">
        <v>18.27</v>
      </c>
    </row>
    <row r="9">
      <c r="A9" s="6" t="inlineStr">
        <is>
          <t>95th</t>
        </is>
      </c>
      <c r="B9" s="7" t="n">
        <v>18.71</v>
      </c>
      <c r="C9" s="7" t="n">
        <v>22.26</v>
      </c>
    </row>
    <row r="11">
      <c r="A11" s="6" t="inlineStr">
        <is>
          <t>Resolved three-month tests</t>
        </is>
      </c>
      <c r="B11" s="6" t="n">
        <v>57</v>
      </c>
    </row>
    <row r="12">
      <c r="A12" s="6" t="inlineStr">
        <is>
          <t>Inside the 90% band</t>
        </is>
      </c>
      <c r="B12" s="17" t="n">
        <v>0.9123</v>
      </c>
    </row>
    <row r="13">
      <c r="A13" s="6" t="inlineStr">
        <is>
          <t>Inside the middle band</t>
        </is>
      </c>
      <c r="B13" s="17" t="n">
        <v>0.5088</v>
      </c>
    </row>
    <row r="14">
      <c r="A14" s="6" t="inlineStr">
        <is>
          <t>Band width vs a random walk</t>
        </is>
      </c>
      <c r="B14" s="18" t="n">
        <v>1.469</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13" customWidth="1" min="3" max="3"/>
    <col width="13" customWidth="1" min="4" max="4"/>
    <col width="13" customWidth="1" min="5" max="5"/>
    <col width="13" customWidth="1" min="6" max="6"/>
  </cols>
  <sheetData>
    <row r="1">
      <c r="A1" s="1" t="inlineStr">
        <is>
          <t>Value per share against the two things that move it</t>
        </is>
      </c>
    </row>
    <row r="2">
      <c r="A2" s="2" t="inlineStr">
        <is>
          <t>Read down a column: cash conversion moves value more than the discount rate does.</t>
        </is>
      </c>
    </row>
    <row r="4">
      <c r="A4" s="5" t="inlineStr">
        <is>
          <t>Cash conversion</t>
        </is>
      </c>
      <c r="B4" s="28" t="n">
        <v>0.2225000851091698</v>
      </c>
      <c r="C4" s="28" t="n">
        <v>0.2425000851091698</v>
      </c>
      <c r="D4" s="28" t="n">
        <v>0.2625000851091698</v>
      </c>
      <c r="E4" s="28" t="n">
        <v>0.2825000851091698</v>
      </c>
      <c r="F4" s="28" t="n">
        <v>0.3025000851091698</v>
      </c>
    </row>
    <row r="5">
      <c r="A5" s="29" t="n">
        <v>0.03937593483976742</v>
      </c>
      <c r="B5" s="7" t="n">
        <v>8.85</v>
      </c>
      <c r="C5" s="7" t="n">
        <v>6.29</v>
      </c>
      <c r="D5" s="7" t="n">
        <v>4.46</v>
      </c>
      <c r="E5" s="7" t="n">
        <v>3.08</v>
      </c>
      <c r="F5" s="7" t="n">
        <v>2.01</v>
      </c>
    </row>
    <row r="6">
      <c r="A6" s="29" t="n">
        <v>0.06</v>
      </c>
      <c r="B6" s="7" t="n">
        <v>15.2</v>
      </c>
      <c r="C6" s="7" t="n">
        <v>11.47</v>
      </c>
      <c r="D6" s="7" t="n">
        <v>8.81</v>
      </c>
      <c r="E6" s="7" t="n">
        <v>6.81</v>
      </c>
      <c r="F6" s="7" t="n">
        <v>5.26</v>
      </c>
    </row>
    <row r="7">
      <c r="A7" s="29" t="n">
        <v>0.08713663734609707</v>
      </c>
      <c r="B7" s="7" t="n">
        <v>23.56</v>
      </c>
      <c r="C7" s="7" t="n">
        <v>18.3</v>
      </c>
      <c r="D7" s="7" t="n">
        <v>14.54</v>
      </c>
      <c r="E7" s="7" t="n">
        <v>11.72</v>
      </c>
      <c r="F7" s="7" t="n">
        <v>9.539999999999999</v>
      </c>
    </row>
    <row r="8">
      <c r="A8" s="29" t="n">
        <v>0.12</v>
      </c>
      <c r="B8" s="7" t="n">
        <v>33.68</v>
      </c>
      <c r="C8" s="7" t="n">
        <v>26.56</v>
      </c>
      <c r="D8" s="7" t="n">
        <v>21.47</v>
      </c>
      <c r="E8" s="7" t="n">
        <v>17.66</v>
      </c>
      <c r="F8" s="7" t="n">
        <v>14.71</v>
      </c>
    </row>
    <row r="9">
      <c r="A9" s="29" t="n">
        <v>0.1787001284632628</v>
      </c>
      <c r="B9" s="7" t="n">
        <v>51.77</v>
      </c>
      <c r="C9" s="7" t="n">
        <v>41.32</v>
      </c>
      <c r="D9" s="7" t="n">
        <v>33.86</v>
      </c>
      <c r="E9" s="7" t="n">
        <v>28.28</v>
      </c>
      <c r="F9" s="7" t="n">
        <v>23.96</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6" customWidth="1" min="2" max="2"/>
  </cols>
  <sheetData>
    <row r="1">
      <c r="A1" s="1" t="inlineStr">
        <is>
          <t>Per share and ratios</t>
        </is>
      </c>
    </row>
    <row r="4">
      <c r="A4" s="6" t="inlineStr">
        <is>
          <t>Shares outstanding (mn)</t>
        </is>
      </c>
      <c r="B4" s="10" t="n">
        <v>2859.92</v>
      </c>
    </row>
    <row r="5">
      <c r="A5" s="6" t="inlineStr">
        <is>
          <t>Market price (EGP)</t>
        </is>
      </c>
      <c r="B5" s="7" t="n">
        <v>15.2</v>
      </c>
    </row>
    <row r="6">
      <c r="A6" s="6" t="inlineStr">
        <is>
          <t>Book value per share (EGP)</t>
        </is>
      </c>
      <c r="B6" s="7" t="n">
        <v>6.6281</v>
      </c>
    </row>
    <row r="7">
      <c r="A7" s="6" t="inlineStr">
        <is>
          <t>Price to book</t>
        </is>
      </c>
      <c r="B7" s="18" t="n">
        <v>2.2933</v>
      </c>
    </row>
    <row r="8">
      <c r="A8" s="6" t="inlineStr">
        <is>
          <t>Earnings per share, 2025 (EGP)</t>
        </is>
      </c>
      <c r="B8" s="7" t="n">
        <v>1.4744</v>
      </c>
    </row>
    <row r="9">
      <c r="A9" s="6" t="inlineStr">
        <is>
          <t>Net debt per share, 31 March 2026 (EGP)</t>
        </is>
      </c>
      <c r="B9" s="7" t="n">
        <v>8.127800000000001</v>
      </c>
    </row>
    <row r="10">
      <c r="A10" s="6" t="inlineStr">
        <is>
          <t>Order book per share (EGP)</t>
        </is>
      </c>
      <c r="B10" s="7" t="n">
        <v>91.9606</v>
      </c>
    </row>
    <row r="11">
      <c r="A11" s="6" t="inlineStr">
        <is>
          <t>Gross margin, 2025</t>
        </is>
      </c>
      <c r="B11" s="17" t="n">
        <v>0.4116</v>
      </c>
    </row>
    <row r="12">
      <c r="A12" s="6" t="inlineStr">
        <is>
          <t>Cash conversion, 2025</t>
        </is>
      </c>
      <c r="B12" s="17" t="n">
        <v>0.0394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12" customWidth="1" min="3" max="3"/>
    <col width="12" customWidth="1" min="4" max="4"/>
    <col width="12" customWidth="1" min="5" max="5"/>
    <col width="14" customWidth="1" min="6" max="6"/>
    <col width="14" customWidth="1" min="7" max="7"/>
  </cols>
  <sheetData>
    <row r="1">
      <c r="A1" s="1" t="inlineStr">
        <is>
          <t>Egyptian listed developers</t>
        </is>
      </c>
    </row>
    <row r="2">
      <c r="A2" s="2" t="inlineStr">
        <is>
          <t>Every measure on the same window, the same cleaning and the same index.</t>
        </is>
      </c>
    </row>
    <row r="4">
      <c r="A4" s="30" t="inlineStr">
        <is>
          <t>Code</t>
        </is>
      </c>
      <c r="B4" s="5" t="inlineStr">
        <is>
          <t>Company</t>
        </is>
      </c>
      <c r="C4" s="5" t="inlineStr">
        <is>
          <t>Beta</t>
        </is>
      </c>
      <c r="D4" s="5" t="inlineStr">
        <is>
          <t>R-squared</t>
        </is>
      </c>
      <c r="E4" s="5" t="inlineStr">
        <is>
          <t>Std error</t>
        </is>
      </c>
      <c r="F4" s="5" t="inlineStr">
        <is>
          <t>Volatility</t>
        </is>
      </c>
      <c r="G4" s="5" t="inlineStr">
        <is>
          <t>Worst fall</t>
        </is>
      </c>
    </row>
    <row r="5">
      <c r="A5" s="6" t="inlineStr">
        <is>
          <t>TMGH</t>
        </is>
      </c>
      <c r="B5" s="6" t="inlineStr">
        <is>
          <t>Talaat Moustafa Group Holding</t>
        </is>
      </c>
      <c r="C5" s="31" t="n">
        <v>1.4718</v>
      </c>
      <c r="D5" s="25" t="n">
        <v>0.3261</v>
      </c>
      <c r="E5" s="32" t="n">
        <v>0.1848</v>
      </c>
      <c r="F5" s="25" t="n">
        <v>0.4394</v>
      </c>
      <c r="G5" s="25" t="n">
        <v>-0.4419</v>
      </c>
    </row>
    <row r="6">
      <c r="A6" s="4" t="inlineStr">
        <is>
          <t>PHDC</t>
        </is>
      </c>
      <c r="B6" s="6" t="inlineStr">
        <is>
          <t>Palm Hills Developments</t>
        </is>
      </c>
      <c r="C6" s="31" t="n">
        <v>1.0493</v>
      </c>
      <c r="D6" s="25" t="n">
        <v>0.2988</v>
      </c>
      <c r="E6" s="32" t="n">
        <v>0.1823</v>
      </c>
      <c r="F6" s="25" t="n">
        <v>0.4391</v>
      </c>
      <c r="G6" s="25" t="n">
        <v>-0.4866</v>
      </c>
    </row>
    <row r="7">
      <c r="A7" s="6" t="inlineStr">
        <is>
          <t>ORHD</t>
        </is>
      </c>
      <c r="B7" s="6" t="inlineStr">
        <is>
          <t>Orascom Development Egypt</t>
        </is>
      </c>
      <c r="C7" s="31" t="n">
        <v>0.8837</v>
      </c>
      <c r="D7" s="25" t="n">
        <v>0.321</v>
      </c>
      <c r="E7" s="32" t="n">
        <v>0.173</v>
      </c>
      <c r="F7" s="25" t="n">
        <v>0.4636</v>
      </c>
      <c r="G7" s="25" t="n">
        <v>-0.4293</v>
      </c>
    </row>
    <row r="8">
      <c r="A8" s="6" t="inlineStr">
        <is>
          <t>HELI</t>
        </is>
      </c>
      <c r="B8" s="6" t="inlineStr">
        <is>
          <t>Heliopolis Housing and Development</t>
        </is>
      </c>
      <c r="C8" s="31" t="n">
        <v>0.7653</v>
      </c>
      <c r="D8" s="25" t="n">
        <v>0.2884</v>
      </c>
      <c r="E8" s="32" t="n">
        <v>0.1815</v>
      </c>
      <c r="F8" s="25" t="n">
        <v>0.444</v>
      </c>
      <c r="G8" s="25" t="n">
        <v>-0.3958</v>
      </c>
    </row>
    <row r="9">
      <c r="A9" s="6" t="inlineStr">
        <is>
          <t>EMFD</t>
        </is>
      </c>
      <c r="B9" s="6" t="inlineStr">
        <is>
          <t>Emaar Misr for Development</t>
        </is>
      </c>
      <c r="C9" s="31" t="n">
        <v>0.7388</v>
      </c>
      <c r="D9" s="25" t="n">
        <v>0.2441</v>
      </c>
      <c r="E9" s="32" t="n">
        <v>0.1692</v>
      </c>
      <c r="F9" s="25" t="n">
        <v>0.4106</v>
      </c>
      <c r="G9" s="25" t="n">
        <v>-0.4712</v>
      </c>
    </row>
    <row r="10">
      <c r="A10" s="6" t="inlineStr">
        <is>
          <t>PRDC</t>
        </is>
      </c>
      <c r="B10" s="6" t="inlineStr">
        <is>
          <t>Pioneers Properties for Urban Development</t>
        </is>
      </c>
      <c r="C10" s="31" t="n">
        <v>0.7067</v>
      </c>
      <c r="D10" s="25" t="n">
        <v>0.2576</v>
      </c>
      <c r="E10" s="32" t="n">
        <v>0.1864</v>
      </c>
      <c r="F10" s="25" t="n">
        <v>0.4217</v>
      </c>
      <c r="G10" s="25" t="n">
        <v>-0.5199</v>
      </c>
    </row>
    <row r="11">
      <c r="A11" s="6" t="inlineStr">
        <is>
          <t>OCDI</t>
        </is>
      </c>
      <c r="B11" s="6" t="inlineStr">
        <is>
          <t>Sixth of October Development &amp; Investment (SODIC)</t>
        </is>
      </c>
      <c r="C11" s="31" t="n">
        <v>0.4938</v>
      </c>
      <c r="D11" s="25" t="n">
        <v>0.1033</v>
      </c>
      <c r="E11" s="32" t="n">
        <v>0.2237</v>
      </c>
      <c r="F11" s="25" t="n">
        <v>0.4713</v>
      </c>
      <c r="G11" s="25" t="n">
        <v>-0.4658</v>
      </c>
    </row>
    <row r="13" ht="30" customHeight="1">
      <c r="A13" s="33" t="inlineStr">
        <is>
          <t>Earnings and book multiples are not published for the peer group: no peer discloses statements this study can obtain on a consistent basis, and an inconsistent multiple would mislead.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2026-09-02T19:32:03Z</dcterms:created>
  <dcterms:modified xmlns:dcterms="http://purl.org/dc/terms/" xmlns:xsi="http://www.w3.org/2001/XMLSchema-instance" xsi:type="dcterms:W3CDTF">2026-09-02T19:32:03Z</dcterms:modified>
</cp:coreProperties>
</file>