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FIRST" sheetId="1" state="visible" r:id="rId1"/>
    <sheet xmlns:r="http://schemas.openxmlformats.org/officeDocument/2006/relationships" name="Summary" sheetId="2" state="visible" r:id="rId2"/>
    <sheet xmlns:r="http://schemas.openxmlformats.org/officeDocument/2006/relationships" name="Fundamental Valuation" sheetId="3" state="visible" r:id="rId3"/>
    <sheet xmlns:r="http://schemas.openxmlformats.org/officeDocument/2006/relationships" name="Assumptions" sheetId="4" state="visible" r:id="rId4"/>
    <sheet xmlns:r="http://schemas.openxmlformats.org/officeDocument/2006/relationships" name="SOTP Bridge" sheetId="5" state="visible" r:id="rId5"/>
    <sheet xmlns:r="http://schemas.openxmlformats.org/officeDocument/2006/relationships" name="Segments" sheetId="6" state="visible" r:id="rId6"/>
    <sheet xmlns:r="http://schemas.openxmlformats.org/officeDocument/2006/relationships" name="Relative &amp; Normalized" sheetId="7" state="visible" r:id="rId7"/>
    <sheet xmlns:r="http://schemas.openxmlformats.org/officeDocument/2006/relationships" name="DCF" sheetId="8" state="visible" r:id="rId8"/>
    <sheet xmlns:r="http://schemas.openxmlformats.org/officeDocument/2006/relationships" name="Income Statement" sheetId="9" state="visible" r:id="rId9"/>
    <sheet xmlns:r="http://schemas.openxmlformats.org/officeDocument/2006/relationships" name="Balance Sheet" sheetId="10" state="visible" r:id="rId10"/>
    <sheet xmlns:r="http://schemas.openxmlformats.org/officeDocument/2006/relationships" name="Cash Flow" sheetId="11" state="visible" r:id="rId11"/>
    <sheet xmlns:r="http://schemas.openxmlformats.org/officeDocument/2006/relationships" name="Summary Financials" sheetId="12" state="visible" r:id="rId12"/>
    <sheet xmlns:r="http://schemas.openxmlformats.org/officeDocument/2006/relationships" name="Monte Carlo" sheetId="13" state="visible" r:id="rId13"/>
    <sheet xmlns:r="http://schemas.openxmlformats.org/officeDocument/2006/relationships" name="Sensitivity" sheetId="14" state="visible" r:id="rId14"/>
    <sheet xmlns:r="http://schemas.openxmlformats.org/officeDocument/2006/relationships" name="Per-Share &amp; Ratios" sheetId="15" state="visible" r:id="rId15"/>
    <sheet xmlns:r="http://schemas.openxmlformats.org/officeDocument/2006/relationships" name="Peer &amp; Sector" sheetId="16" state="visible" r:id="rId16"/>
  </sheets>
  <definedNames/>
  <calcPr calcId="124519" fullCalcOnLoad="1"/>
</workbook>
</file>

<file path=xl/styles.xml><?xml version="1.0" encoding="utf-8"?>
<styleSheet xmlns="http://schemas.openxmlformats.org/spreadsheetml/2006/main">
  <numFmts count="6">
    <numFmt numFmtId="164" formatCode="#,##0.0"/>
    <numFmt numFmtId="165" formatCode="#,##0.000"/>
    <numFmt numFmtId="166" formatCode="0.0%"/>
    <numFmt numFmtId="167" formatCode="0.00000"/>
    <numFmt numFmtId="168" formatCode="0.0000"/>
    <numFmt numFmtId="169" formatCode="0.00&quot;x&quot;"/>
  </numFmts>
  <fonts count="10">
    <font>
      <name val="Calibri"/>
      <family val="2"/>
      <color theme="1"/>
      <sz val="11"/>
      <scheme val="minor"/>
    </font>
    <font>
      <b val="1"/>
      <color rgb="001C3A36"/>
      <sz val="13"/>
    </font>
    <font>
      <i val="1"/>
      <color rgb="006E7B77"/>
      <sz val="9.5"/>
    </font>
    <font>
      <b val="1"/>
      <color rgb="001C3A36"/>
      <sz val="9.5"/>
    </font>
    <font>
      <b val="1"/>
      <color rgb="001C3A36"/>
      <sz val="10"/>
    </font>
    <font>
      <color rgb="001C3A36"/>
      <sz val="10"/>
    </font>
    <font>
      <color rgb="001F4E9C"/>
      <sz val="10"/>
    </font>
    <font>
      <i val="1"/>
      <color rgb="006E7B77"/>
      <sz val="8.5"/>
    </font>
    <font>
      <color rgb="002E6B4F"/>
      <sz val="10"/>
    </font>
    <font>
      <b val="1"/>
      <color rgb="002E6B4F"/>
      <sz val="10"/>
    </font>
  </fonts>
  <fills count="4">
    <fill>
      <patternFill/>
    </fill>
    <fill>
      <patternFill patternType="gray125"/>
    </fill>
    <fill>
      <patternFill patternType="solid">
        <fgColor rgb="001C3A36"/>
      </patternFill>
    </fill>
    <fill>
      <patternFill patternType="solid">
        <fgColor rgb="00EAF0EE"/>
      </patternFill>
    </fill>
  </fills>
  <borders count="1">
    <border>
      <left/>
      <right/>
      <top/>
      <bottom/>
      <diagonal/>
    </border>
  </borders>
  <cellStyleXfs count="1">
    <xf numFmtId="0" fontId="0" fillId="0" borderId="0"/>
  </cellStyleXfs>
  <cellXfs count="44">
    <xf numFmtId="0" fontId="0" fillId="0" borderId="0" pivotButton="0" quotePrefix="0" xfId="0"/>
    <xf numFmtId="0" fontId="1" fillId="0" borderId="0" pivotButton="0" quotePrefix="0" xfId="0"/>
    <xf numFmtId="0" fontId="0" fillId="2" borderId="0" pivotButton="0" quotePrefix="0" xfId="0"/>
    <xf numFmtId="0" fontId="4" fillId="0" borderId="0" applyAlignment="1" pivotButton="0" quotePrefix="0" xfId="0">
      <alignment vertical="top" wrapText="1"/>
    </xf>
    <xf numFmtId="0" fontId="5" fillId="0" borderId="0" applyAlignment="1" pivotButton="0" quotePrefix="0" xfId="0">
      <alignment vertical="top" wrapText="1"/>
    </xf>
    <xf numFmtId="0" fontId="2" fillId="0" borderId="0" applyAlignment="1" pivotButton="0" quotePrefix="0" xfId="0">
      <alignment vertical="top" wrapText="1"/>
    </xf>
    <xf numFmtId="0" fontId="3" fillId="3" borderId="0" applyAlignment="1" pivotButton="0" quotePrefix="0" xfId="0">
      <alignment vertical="bottom" wrapText="1"/>
    </xf>
    <xf numFmtId="0" fontId="5" fillId="0" borderId="0" pivotButton="0" quotePrefix="0" xfId="0"/>
    <xf numFmtId="4" fontId="6" fillId="0" borderId="0" pivotButton="0" quotePrefix="0" xfId="0"/>
    <xf numFmtId="4" fontId="8" fillId="0" borderId="0" pivotButton="0" quotePrefix="0" xfId="0"/>
    <xf numFmtId="166" fontId="5" fillId="0" borderId="0" pivotButton="0" quotePrefix="0" xfId="0"/>
    <xf numFmtId="0" fontId="4" fillId="3" borderId="0" pivotButton="0" quotePrefix="0" xfId="0"/>
    <xf numFmtId="4" fontId="9" fillId="3" borderId="0" pivotButton="0" quotePrefix="0" xfId="0"/>
    <xf numFmtId="0" fontId="0" fillId="3" borderId="0" pivotButton="0" quotePrefix="0" xfId="0"/>
    <xf numFmtId="4" fontId="5" fillId="0" borderId="0" pivotButton="0" quotePrefix="0" xfId="0"/>
    <xf numFmtId="0" fontId="4" fillId="0" borderId="0" pivotButton="0" quotePrefix="0" xfId="0"/>
    <xf numFmtId="166" fontId="4" fillId="0" borderId="0" pivotButton="0" quotePrefix="0" xfId="0"/>
    <xf numFmtId="164" fontId="5" fillId="0" borderId="0" pivotButton="0" quotePrefix="0" xfId="0"/>
    <xf numFmtId="3" fontId="5" fillId="0" borderId="0" pivotButton="0" quotePrefix="0" xfId="0"/>
    <xf numFmtId="0" fontId="7" fillId="0" borderId="0" applyAlignment="1" pivotButton="0" quotePrefix="0" xfId="0">
      <alignment vertical="top" wrapText="1"/>
    </xf>
    <xf numFmtId="169" fontId="5" fillId="0" borderId="0" pivotButton="0" quotePrefix="0" xfId="0"/>
    <xf numFmtId="169" fontId="4" fillId="0" borderId="0" pivotButton="0" quotePrefix="0" xfId="0"/>
    <xf numFmtId="4" fontId="4" fillId="0" borderId="0" pivotButton="0" quotePrefix="0" xfId="0"/>
    <xf numFmtId="165" fontId="5" fillId="0" borderId="0" pivotButton="0" quotePrefix="0" xfId="0"/>
    <xf numFmtId="10" fontId="5" fillId="0" borderId="0" pivotButton="0" quotePrefix="0" xfId="0"/>
    <xf numFmtId="4" fontId="4" fillId="3" borderId="0" pivotButton="0" quotePrefix="0" xfId="0"/>
    <xf numFmtId="164" fontId="6" fillId="0" borderId="0" pivotButton="0" quotePrefix="0" xfId="0"/>
    <xf numFmtId="3" fontId="6" fillId="0" borderId="0" pivotButton="0" quotePrefix="0" xfId="0"/>
    <xf numFmtId="165" fontId="6" fillId="0" borderId="0" pivotButton="0" quotePrefix="0" xfId="0"/>
    <xf numFmtId="10" fontId="6" fillId="0" borderId="0" pivotButton="0" quotePrefix="0" xfId="0"/>
    <xf numFmtId="2" fontId="6" fillId="0" borderId="0" pivotButton="0" quotePrefix="0" xfId="0"/>
    <xf numFmtId="166" fontId="6" fillId="0" borderId="0" pivotButton="0" quotePrefix="0" xfId="0"/>
    <xf numFmtId="3" fontId="8" fillId="0" borderId="0" pivotButton="0" quotePrefix="0" xfId="0"/>
    <xf numFmtId="3" fontId="9" fillId="0" borderId="0" pivotButton="0" quotePrefix="0" xfId="0"/>
    <xf numFmtId="165" fontId="8" fillId="0" borderId="0" pivotButton="0" quotePrefix="0" xfId="0"/>
    <xf numFmtId="2" fontId="8" fillId="0" borderId="0" pivotButton="0" quotePrefix="0" xfId="0"/>
    <xf numFmtId="165" fontId="4" fillId="0" borderId="0" pivotButton="0" quotePrefix="0" xfId="0"/>
    <xf numFmtId="3" fontId="4" fillId="0" borderId="0" pivotButton="0" quotePrefix="0" xfId="0"/>
    <xf numFmtId="4" fontId="9" fillId="0" borderId="0" pivotButton="0" quotePrefix="0" xfId="0"/>
    <xf numFmtId="10" fontId="4" fillId="0" borderId="0" pivotButton="0" quotePrefix="0" xfId="0"/>
    <xf numFmtId="167" fontId="5" fillId="0" borderId="0" pivotButton="0" quotePrefix="0" xfId="0"/>
    <xf numFmtId="3" fontId="4" fillId="3" borderId="0" pivotButton="0" quotePrefix="0" xfId="0"/>
    <xf numFmtId="0" fontId="6" fillId="0" borderId="0" pivotButton="0" quotePrefix="0" xfId="0"/>
    <xf numFmtId="168"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styles" Target="styles.xml" Id="rId17"/><Relationship Type="http://schemas.openxmlformats.org/officeDocument/2006/relationships/theme" Target="theme/theme1.xml" Id="rId1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C3A36"/>
    <outlinePr summaryBelow="1" summaryRight="1"/>
    <pageSetUpPr/>
  </sheetPr>
  <dimension ref="A1:D20"/>
  <sheetViews>
    <sheetView showGridLines="0" workbookViewId="0">
      <selection activeCell="A1" sqref="A1"/>
    </sheetView>
  </sheetViews>
  <sheetFormatPr baseColWidth="8" defaultRowHeight="15"/>
  <cols>
    <col width="100"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s>
  <sheetData>
    <row r="1">
      <c r="A1" s="1" t="inlineStr">
        <is>
          <t>Read this first</t>
        </is>
      </c>
    </row>
    <row r="3">
      <c r="A3" s="2" t="n"/>
      <c r="B3" s="2" t="n"/>
      <c r="C3" s="2" t="n"/>
      <c r="D3" s="2" t="n"/>
    </row>
    <row r="5" ht="14" customHeight="1">
      <c r="A5" s="3" t="inlineStr">
        <is>
          <t>THE RULE</t>
        </is>
      </c>
    </row>
    <row r="6" ht="14" customHeight="1">
      <c r="A6" s="3" t="inlineStr">
        <is>
          <t>IT CALCULATES. IT DOES NOT STORE.</t>
        </is>
      </c>
    </row>
    <row r="7" ht="14" customHeight="1">
      <c r="A7" s="4" t="inlineStr"/>
    </row>
    <row r="8" ht="36" customHeight="1">
      <c r="A8" s="4" t="inlineStr">
        <is>
          <t>Exactly ONE class of cell is pasted in this workbook: a figure read off an audited or disclosed filing, or a stated house judgement. Those are the blue cells on Assumptions, and the blue lever cells that define each sensitivity grid point. Everything else is a live formula.</t>
        </is>
      </c>
    </row>
    <row r="9" ht="14" customHeight="1">
      <c r="A9" s="4" t="inlineStr"/>
    </row>
    <row r="10" ht="48" customHeight="1">
      <c r="A10" s="4" t="inlineStr">
        <is>
          <t>The previous edition also pasted its sensitivity grids, its beta sweep and its bear and bull columns, on the grounds that each is a whole-model re-run and a re-run cannot be written inside a grid. That was 27.6% of the file, and it was the part a reader would most want to interrogate. Three of those pasted rows turned out not to reproduce.</t>
        </is>
      </c>
    </row>
    <row r="11" ht="14" customHeight="1">
      <c r="A11" s="4" t="inlineStr"/>
    </row>
    <row r="12" ht="36" customHeight="1">
      <c r="A12" s="4" t="inlineStr">
        <is>
          <t>The Sensitivity sheet now writes the entire forecast engine out again, in formulas, once for every grid point. Change any driver on Assumptions and every sensitivity cell in the file moves with it.</t>
        </is>
      </c>
    </row>
    <row r="13" ht="14" customHeight="1">
      <c r="A13" s="4" t="inlineStr"/>
    </row>
    <row r="14" ht="14" customHeight="1">
      <c r="A14" s="3" t="inlineStr">
        <is>
          <t>WHAT IS AUDITED AND WHAT IS NOT</t>
        </is>
      </c>
    </row>
    <row r="15" ht="48" customHeight="1">
      <c r="A15" s="4" t="inlineStr">
        <is>
          <t>The base year is the twelve months to 30 June 2026. The first half of it — July to December 2025 — is AUDITED by Crowe with an unqualified opinion. The second half — January to June 2026 — is REPORTED: a disclosure to the Egyptian Exchange dated 29-30 July 2026, not a filing. Half of this base year is a press release and the study says so wherever it uses it.</t>
        </is>
      </c>
    </row>
    <row r="16" ht="14" customHeight="1">
      <c r="A16" s="4" t="inlineStr"/>
    </row>
    <row r="17" ht="48" customHeight="1">
      <c r="A17" s="4" t="inlineStr">
        <is>
          <t>The gross profit of that reported half is NOT used as released. Run through the company's own first-quarter expense run rates the released figure implies a profit after tax about 12.6% above the profit the same release reports. The gross profit used here is solved from the profit line, which passes two independent coherence tests. Base Year rows 13 to 17 show the whole test.</t>
        </is>
      </c>
    </row>
    <row r="18" ht="14" customHeight="1">
      <c r="A18" s="4" t="inlineStr"/>
    </row>
    <row r="19" ht="14" customHeight="1">
      <c r="A19" s="3" t="inlineStr">
        <is>
          <t>THE ONE OPERATING INPUT THAT IS NOT READ OFF A FILING</t>
        </is>
      </c>
    </row>
    <row r="20" ht="48" customHeight="1">
      <c r="A20" s="4" t="inlineStr">
        <is>
          <t>Note 15-A discloses the cost stack for the company and not by line. The processing-intensity weights on Assumptions are therefore a judgement, and the per-line margins depend on them. They are registered, dated and sensitised like every other input rather than hidden inside a formula.</t>
        </is>
      </c>
    </row>
  </sheetData>
  <mergeCells count="16">
    <mergeCell ref="A5:D5"/>
    <mergeCell ref="A17:D17"/>
    <mergeCell ref="A9:D9"/>
    <mergeCell ref="A18:D18"/>
    <mergeCell ref="A8:D8"/>
    <mergeCell ref="A6:D6"/>
    <mergeCell ref="A12:D12"/>
    <mergeCell ref="A20:D20"/>
    <mergeCell ref="A15:D15"/>
    <mergeCell ref="A7:D7"/>
    <mergeCell ref="A16:D16"/>
    <mergeCell ref="A11:D11"/>
    <mergeCell ref="A19:D19"/>
    <mergeCell ref="A10:D10"/>
    <mergeCell ref="A13:D13"/>
    <mergeCell ref="A14:D14"/>
  </mergeCells>
  <pageMargins left="0.75" right="0.75" top="1" bottom="1" header="0.5" footer="0.5"/>
</worksheet>
</file>

<file path=xl/worksheets/sheet2.xml><?xml version="1.0" encoding="utf-8"?>
<worksheet xmlns="http://schemas.openxmlformats.org/spreadsheetml/2006/main">
  <sheetPr>
    <tabColor rgb="001C3A36"/>
    <outlinePr summaryBelow="1" summaryRight="1"/>
    <pageSetUpPr/>
  </sheetPr>
  <dimension ref="A1:I23"/>
  <sheetViews>
    <sheetView showGridLines="0" workbookViewId="0">
      <selection activeCell="A1" sqref="A1"/>
    </sheetView>
  </sheetViews>
  <sheetFormatPr baseColWidth="8" defaultRowHeight="15"/>
  <cols>
    <col width="52"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s>
  <sheetData>
    <row r="1">
      <c r="A1" s="1" t="inlineStr">
        <is>
          <t>Summary — the answer, and every lens behind it</t>
        </is>
      </c>
    </row>
    <row r="2" ht="32" customHeight="1">
      <c r="A2" s="5" t="inlineStr">
        <is>
          <t>Nothing on this sheet is typed. Every figure points at the sheet that computed it, so a driver changed on Assumptions moves this page too.</t>
        </is>
      </c>
    </row>
    <row r="3">
      <c r="A3" s="2" t="n"/>
      <c r="B3" s="2" t="n"/>
      <c r="C3" s="2" t="n"/>
      <c r="D3" s="2" t="n"/>
      <c r="E3" s="2" t="n"/>
      <c r="F3" s="2" t="n"/>
    </row>
    <row r="5">
      <c r="A5" s="6" t="inlineStr"/>
      <c r="B5" s="6" t="inlineStr">
        <is>
          <t>Bear</t>
        </is>
      </c>
      <c r="C5" s="6" t="inlineStr">
        <is>
          <t>Base</t>
        </is>
      </c>
      <c r="D5" s="6" t="inlineStr">
        <is>
          <t>Bull</t>
        </is>
      </c>
      <c r="E5" s="6" t="inlineStr">
        <is>
          <t>Weight</t>
        </is>
      </c>
    </row>
    <row r="6">
      <c r="A6" s="7" t="inlineStr">
        <is>
          <t>Discounted cash flow</t>
        </is>
      </c>
      <c r="B6" s="8" t="n">
        <v>4.883629588991786</v>
      </c>
      <c r="C6" s="9">
        <f>'Fundamental Valuation'!B10</f>
        <v/>
      </c>
      <c r="D6" s="8" t="n">
        <v>16.43830623764416</v>
      </c>
      <c r="E6" s="10">
        <f>Assumptions!$B$189</f>
        <v/>
      </c>
    </row>
    <row r="7">
      <c r="A7" s="7" t="inlineStr">
        <is>
          <t>Relative multiples</t>
        </is>
      </c>
      <c r="B7" s="8" t="n">
        <v>6.675266886949602</v>
      </c>
      <c r="C7" s="9">
        <f>'Fundamental Valuation'!C11</f>
        <v/>
      </c>
      <c r="D7" s="8" t="n">
        <v>9.962851231670475</v>
      </c>
      <c r="E7" s="10">
        <f>Assumptions!$B$190</f>
        <v/>
      </c>
    </row>
    <row r="8">
      <c r="A8" s="7" t="inlineStr">
        <is>
          <t>Normalised earnings power</t>
        </is>
      </c>
      <c r="B8" s="8" t="n">
        <v>6.511981053437262</v>
      </c>
      <c r="C8" s="9">
        <f>'Fundamental Valuation'!D12</f>
        <v/>
      </c>
      <c r="D8" s="8" t="n">
        <v>10.26453842563406</v>
      </c>
      <c r="E8" s="10">
        <f>Assumptions!$B$191</f>
        <v/>
      </c>
    </row>
    <row r="9">
      <c r="A9" s="7" t="inlineStr">
        <is>
          <t>Book value and sustainable return</t>
        </is>
      </c>
      <c r="B9" s="8" t="n">
        <v>4.611078072623017</v>
      </c>
      <c r="C9" s="9">
        <f>'Fundamental Valuation'!E13</f>
        <v/>
      </c>
      <c r="D9" s="8" t="n">
        <v>6.883976290330094</v>
      </c>
      <c r="E9" s="10">
        <f>Assumptions!$B$192</f>
        <v/>
      </c>
    </row>
    <row r="10">
      <c r="A10" s="11" t="inlineStr">
        <is>
          <t>WEIGHTED CENTRAL</t>
        </is>
      </c>
      <c r="B10" s="12">
        <f>B6*$E$6+B7*$E$7+B8*$E$8+B9*$E$9</f>
        <v/>
      </c>
      <c r="C10" s="12">
        <f>C6*$E$6+C7*$E$7+C8*$E$8+C9*$E$9</f>
        <v/>
      </c>
      <c r="D10" s="12">
        <f>D6*$E$6+D7*$E$7+D8*$E$8+D9*$E$9</f>
        <v/>
      </c>
      <c r="E10" s="13" t="n"/>
      <c r="F10" s="13" t="n"/>
    </row>
    <row r="12">
      <c r="A12" s="7" t="inlineStr">
        <is>
          <t>Market price at the valuation date</t>
        </is>
      </c>
      <c r="B12" s="14">
        <f>Assumptions!$B$7</f>
        <v/>
      </c>
    </row>
    <row r="13">
      <c r="A13" s="15" t="inlineStr">
        <is>
          <t>Central against price</t>
        </is>
      </c>
      <c r="B13" s="16">
        <f>C10/B12-1</f>
        <v/>
      </c>
    </row>
    <row r="14">
      <c r="A14" s="7" t="inlineStr">
        <is>
          <t>Shares in issue, millions</t>
        </is>
      </c>
      <c r="B14" s="17">
        <f>Assumptions!$B$8</f>
        <v/>
      </c>
    </row>
    <row r="15">
      <c r="A15" s="7" t="inlineStr">
        <is>
          <t>Market capitalisation at the valuation date</t>
        </is>
      </c>
      <c r="B15" s="18">
        <f>B14*Assumptions!$B$7</f>
        <v/>
      </c>
    </row>
    <row r="17">
      <c r="A17" s="11" t="inlineStr">
        <is>
          <t>WHERE THE VALUE SITS</t>
        </is>
      </c>
      <c r="B17" s="13" t="n"/>
      <c r="C17" s="13" t="n"/>
      <c r="D17" s="13" t="n"/>
      <c r="E17" s="13" t="n"/>
      <c r="F17" s="13" t="n"/>
    </row>
    <row r="18">
      <c r="A18" s="7" t="inlineStr">
        <is>
          <t>Present value of the explicit five years</t>
        </is>
      </c>
      <c r="B18" s="18">
        <f>DCF!B52</f>
        <v/>
      </c>
    </row>
    <row r="19">
      <c r="A19" s="7" t="inlineStr">
        <is>
          <t>Present value of the terminal block</t>
        </is>
      </c>
      <c r="B19" s="18">
        <f>DCF!B56</f>
        <v/>
      </c>
    </row>
    <row r="20">
      <c r="A20" s="7" t="inlineStr">
        <is>
          <t>Terminal share of enterprise value</t>
        </is>
      </c>
      <c r="B20" s="10">
        <f>B19/(B18+B19)</f>
        <v/>
      </c>
    </row>
    <row r="21">
      <c r="A21" s="7" t="inlineStr">
        <is>
          <t>Net cash added in the bridge</t>
        </is>
      </c>
      <c r="B21" s="18">
        <f>DCF!B58</f>
        <v/>
      </c>
    </row>
    <row r="23" ht="44" customHeight="1">
      <c r="A23" s="19" t="inlineStr">
        <is>
          <t>The bear and bull columns of each lens are the blue cells here and the only pasted figures on the sheet: each is a complete re-run of the model at that scenario, computed in compute.py and reproduced in formulas on the Sensitivity sheet. The weighted row is a live formula across them, because the defect being closed was a sheet that labelled a row weighted and then took the minimum and maximum across four lenses.</t>
        </is>
      </c>
    </row>
  </sheetData>
  <mergeCells count="2">
    <mergeCell ref="A2:F2"/>
    <mergeCell ref="A23:I23"/>
  </mergeCells>
  <pageMargins left="0.75" right="0.75" top="1" bottom="1" header="0.5" footer="0.5"/>
</worksheet>
</file>

<file path=xl/worksheets/sheet3.xml><?xml version="1.0" encoding="utf-8"?>
<worksheet xmlns="http://schemas.openxmlformats.org/spreadsheetml/2006/main">
  <sheetPr>
    <tabColor rgb="001C3A36"/>
    <outlinePr summaryBelow="1" summaryRight="1"/>
    <pageSetUpPr/>
  </sheetPr>
  <dimension ref="A1:I18"/>
  <sheetViews>
    <sheetView showGridLines="0" workbookViewId="0">
      <selection activeCell="A1" sqref="A1"/>
    </sheetView>
  </sheetViews>
  <sheetFormatPr baseColWidth="8" defaultRowHeight="15"/>
  <cols>
    <col width="46"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s>
  <sheetData>
    <row r="1">
      <c r="A1" s="1" t="inlineStr">
        <is>
          <t>Four lenses, one bridge, one valuation date</t>
        </is>
      </c>
    </row>
    <row r="2" ht="32" customHeight="1">
      <c r="A2" s="5" t="inlineStr">
        <is>
          <t>Lens 2 is on the TRAILING metric so it borrows no discount factor from lens 1. Lens 3 is forward-dated and is therefore DISCOUNTED to the valuation date at the cost of equity, with net cash added at face outside the multiple. Lens 4 uses the same cost-of-equity glide lens 1 uses. All formulas.</t>
        </is>
      </c>
    </row>
    <row r="3">
      <c r="A3" s="2" t="n"/>
      <c r="B3" s="2" t="n"/>
      <c r="C3" s="2" t="n"/>
      <c r="D3" s="2" t="n"/>
      <c r="E3" s="2" t="n"/>
      <c r="F3" s="2" t="n"/>
      <c r="G3" s="2" t="n"/>
    </row>
    <row r="5">
      <c r="A5" s="7" t="inlineStr">
        <is>
          <t>Base-year EBITDA</t>
        </is>
      </c>
      <c r="B5" s="18">
        <f>'Income Statement'!B20-'Income Statement'!B28-'Income Statement'!B29-'Income Statement'!B30-'Income Statement'!B31+'Income Statement'!B32</f>
        <v/>
      </c>
    </row>
    <row r="6">
      <c r="A6" s="7" t="inlineStr">
        <is>
          <t>Enterprise value at spot</t>
        </is>
      </c>
      <c r="B6" s="18">
        <f>Assumptions!$B$7*Assumptions!$B$8+(Assumptions!$B$103+Assumptions!$B$104-Assumptions!$B$100)/10^6</f>
        <v/>
      </c>
    </row>
    <row r="7">
      <c r="A7" s="7" t="inlineStr">
        <is>
          <t>The company's OWN trailing EV/EBITDA</t>
        </is>
      </c>
      <c r="B7" s="20">
        <f>B6/B5</f>
        <v/>
      </c>
    </row>
    <row r="8">
      <c r="A8" s="7" t="inlineStr">
        <is>
          <t>Justified multiple = trailing x (1 + re-rating)</t>
        </is>
      </c>
      <c r="B8" s="21">
        <f>B7*(1+Assumptions!$B$113)</f>
        <v/>
      </c>
    </row>
    <row r="10">
      <c r="A10" s="11" t="inlineStr">
        <is>
          <t>LENS 1 — discounted cash flow</t>
        </is>
      </c>
      <c r="B10" s="12">
        <f>DCF!B65</f>
        <v/>
      </c>
      <c r="C10" s="13" t="n"/>
      <c r="D10" s="13" t="n"/>
      <c r="E10" s="13" t="n"/>
      <c r="F10" s="13" t="n"/>
      <c r="G10" s="13" t="n"/>
    </row>
    <row r="11">
      <c r="A11" s="15" t="inlineStr">
        <is>
          <t>LENS 2 — relative multiples, on the trailing metric</t>
        </is>
      </c>
      <c r="B11" s="18">
        <f>(B8*B5-(Assumptions!$B$103+Assumptions!$B$104-Assumptions!$B$100)/10^6)*(1-'Income Statement'!B41)-(Assumptions!$B$99+Assumptions!$B$98-Assumptions!$B$102-Assumptions!$B$101)/10^6</f>
        <v/>
      </c>
      <c r="C11" s="22">
        <f>B11/Assumptions!$B$8</f>
        <v/>
      </c>
    </row>
    <row r="12">
      <c r="A12" s="15" t="inlineStr">
        <is>
          <t>LENS 3 — normalised earnings power, DISCOUNTED</t>
        </is>
      </c>
      <c r="B12" s="18">
        <f>DCF!E41</f>
        <v/>
      </c>
      <c r="C12" s="23">
        <f>B12*(1-Assumptions!$B$108)*(1-'Income Statement'!B40)*(1-'Income Statement'!B41)/Assumptions!$B$8</f>
        <v/>
      </c>
      <c r="D12" s="22">
        <f>C12*Assumptions!$B$112/(1+DCF!B10)^2.4+((Assumptions!$B$100-Assumptions!$B$103-Assumptions!$B$104-Assumptions!$B$99-Assumptions!$B$98)/10^6)/Assumptions!$B$8</f>
        <v/>
      </c>
    </row>
    <row r="13">
      <c r="A13" s="15" t="inlineStr">
        <is>
          <t>LENS 4 — book value and sustainable return</t>
        </is>
      </c>
      <c r="B13" s="14">
        <f>Assumptions!$B$105/10^6/Assumptions!$B$8</f>
        <v/>
      </c>
      <c r="C13" s="24">
        <f>0.2338665864</f>
        <v/>
      </c>
      <c r="D13" s="20">
        <f>(Assumptions!$B$111-Assumptions!$B$110)/(C13-Assumptions!$B$110)</f>
        <v/>
      </c>
      <c r="E13" s="22">
        <f>B13*D13</f>
        <v/>
      </c>
    </row>
    <row r="15">
      <c r="A15" s="11" t="inlineStr">
        <is>
          <t>WEIGHTED CENTRAL</t>
        </is>
      </c>
      <c r="B15" s="25">
        <f>B10*Assumptions!$B$189+C11*Assumptions!$B$190+D12*Assumptions!$B$191+E13*Assumptions!$B$192</f>
        <v/>
      </c>
      <c r="C15" s="13" t="n"/>
      <c r="D15" s="13" t="n"/>
      <c r="E15" s="13" t="n"/>
      <c r="F15" s="13" t="n"/>
      <c r="G15" s="13" t="n"/>
    </row>
    <row r="16">
      <c r="A16" s="7" t="inlineStr">
        <is>
          <t>against spot</t>
        </is>
      </c>
      <c r="B16" s="10">
        <f>B15/Assumptions!$B$7-1</f>
        <v/>
      </c>
    </row>
    <row r="18" ht="44" customHeight="1">
      <c r="A18" s="19" t="inlineStr">
        <is>
          <t>The weighted range on the Summary sheet is the bear and bull columns weighted with these same weights. The previous edition labelled a row "weighted central" and then took the minimum and maximum across the four lenses — both of which came from the cash-flow lens alone — so the word "weighted" applied to the centre and not to the ends, and the published spread was about two and a half times too wide.</t>
        </is>
      </c>
    </row>
  </sheetData>
  <mergeCells count="2">
    <mergeCell ref="A18:I18"/>
    <mergeCell ref="A2:G2"/>
  </mergeCells>
  <pageMargins left="0.75" right="0.75" top="1" bottom="1" header="0.5" footer="0.5"/>
</worksheet>
</file>

<file path=xl/worksheets/sheet4.xml><?xml version="1.0" encoding="utf-8"?>
<worksheet xmlns="http://schemas.openxmlformats.org/spreadsheetml/2006/main">
  <sheetPr>
    <tabColor rgb="001C3A36"/>
    <outlinePr summaryBelow="1" summaryRight="1"/>
    <pageSetUpPr/>
  </sheetPr>
  <dimension ref="A1:F192"/>
  <sheetViews>
    <sheetView showGridLines="0" workbookViewId="0">
      <selection activeCell="A1" sqref="A1"/>
    </sheetView>
  </sheetViews>
  <sheetFormatPr baseColWidth="8" defaultRowHeight="15"/>
  <cols>
    <col width="44" customWidth="1" min="1" max="1"/>
    <col width="16" customWidth="1" min="2" max="2"/>
    <col width="12" customWidth="1" min="3" max="3"/>
    <col width="11" customWidth="1" min="4" max="4"/>
    <col width="96"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s>
  <sheetData>
    <row r="1">
      <c r="A1" s="1" t="inlineStr">
        <is>
          <t>Assumptions — every driver, with the filing it was read from</t>
        </is>
      </c>
    </row>
    <row r="2" ht="32" customHeight="1">
      <c r="A2" s="5" t="inlineStr">
        <is>
          <t>Blue cells are the ONLY pasted values in this workbook. Every one is a figure read off an audited or disclosed filing, or a stated house judgement. There is no third class: the previous edition also pasted its sensitivity grids and its bear and bull columns because each is a whole-model re-run; those re-runs are now written out as live formula blocks on the Sensitivity sheet, so a reader can change a driver here and watch every one of them move.</t>
        </is>
      </c>
    </row>
    <row r="3">
      <c r="A3" s="2" t="n"/>
      <c r="B3" s="2" t="n"/>
      <c r="C3" s="2" t="n"/>
      <c r="D3" s="2" t="n"/>
      <c r="E3" s="2" t="n"/>
      <c r="F3" s="2" t="n"/>
    </row>
    <row r="5">
      <c r="A5" s="6" t="inlineStr">
        <is>
          <t>Driver</t>
        </is>
      </c>
      <c r="B5" s="6" t="inlineStr">
        <is>
          <t>Value</t>
        </is>
      </c>
      <c r="C5" s="6" t="inlineStr">
        <is>
          <t>Ring</t>
        </is>
      </c>
      <c r="D5" s="6" t="inlineStr">
        <is>
          <t>Date</t>
        </is>
      </c>
      <c r="E5" s="6" t="inlineStr">
        <is>
          <t>Source</t>
        </is>
      </c>
    </row>
    <row r="6">
      <c r="A6" s="11" t="inlineStr">
        <is>
          <t>MARKET AND CAPITAL</t>
        </is>
      </c>
      <c r="B6" s="13" t="n"/>
      <c r="C6" s="13" t="n"/>
      <c r="D6" s="13" t="n"/>
      <c r="E6" s="13" t="n"/>
      <c r="F6" s="13" t="n"/>
    </row>
    <row r="7" ht="14" customHeight="1">
      <c r="A7" s="7" t="inlineStr">
        <is>
          <t>Spot price, EGP</t>
        </is>
      </c>
      <c r="B7" s="8" t="n">
        <v>9.1</v>
      </c>
      <c r="C7" s="7" t="inlineStr">
        <is>
          <t>Company</t>
        </is>
      </c>
      <c r="D7" s="7" t="inlineStr">
        <is>
          <t>2026-08-06</t>
        </is>
      </c>
      <c r="E7" s="4" t="inlineStr">
        <is>
          <t>AMOC closing price on the Egyptian Exchange, 6 August 2026</t>
        </is>
      </c>
    </row>
    <row r="8" ht="20" customHeight="1">
      <c r="A8" s="7" t="inlineStr">
        <is>
          <t>Shares outstanding, mn</t>
        </is>
      </c>
      <c r="B8" s="26" t="n">
        <v>1291.5</v>
      </c>
      <c r="C8" s="7" t="inlineStr">
        <is>
          <t>Company</t>
        </is>
      </c>
      <c r="D8" s="7" t="inlineStr">
        <is>
          <t>2025-12-31</t>
        </is>
      </c>
      <c r="E8" s="4" t="inlineStr">
        <is>
          <t>Issued and paid-up capital EGP 1,291,500,000 at EGP 1 par = 1,291,500,000 shares (note 18-L, share split to EGP 1 par recorded in the Commercial Register 24-Jan-2018)</t>
        </is>
      </c>
    </row>
    <row r="9">
      <c r="A9" s="11" t="inlineStr">
        <is>
          <t>THE TWELVE MONTHS TO 30 JUNE 2026 — the base year</t>
        </is>
      </c>
      <c r="B9" s="13" t="n"/>
      <c r="C9" s="13" t="n"/>
      <c r="D9" s="13" t="n"/>
      <c r="E9" s="13" t="n"/>
      <c r="F9" s="13" t="n"/>
    </row>
    <row r="10" ht="20" customHeight="1">
      <c r="A10" s="7" t="inlineStr">
        <is>
          <t>Net sales, 6M to 31-Dec-2025 (AUDITED)</t>
        </is>
      </c>
      <c r="B10" s="27" t="n">
        <v>20735725812</v>
      </c>
      <c r="C10" s="7" t="inlineStr">
        <is>
          <t>Company</t>
        </is>
      </c>
      <c r="D10" s="7" t="inlineStr">
        <is>
          <t>2025-12-31</t>
        </is>
      </c>
      <c r="E10" s="4" t="inlineStr">
        <is>
          <t>Net sales, six months to 31-Dec-2025. Audited consolidated FS, transition period 1-Jul-2025 to 31-Dec-2025, Crowe unqualified, 18-Feb-2026</t>
        </is>
      </c>
    </row>
    <row r="11" ht="20" customHeight="1">
      <c r="A11" s="7" t="inlineStr">
        <is>
          <t>Cost of sales, 6M to 31-Dec-2025 (AUDITED)</t>
        </is>
      </c>
      <c r="B11" s="27" t="n">
        <v>19461550746</v>
      </c>
      <c r="C11" s="7" t="inlineStr">
        <is>
          <t>Company</t>
        </is>
      </c>
      <c r="D11" s="7" t="inlineStr">
        <is>
          <t>2025-12-31</t>
        </is>
      </c>
      <c r="E11" s="4" t="inlineStr">
        <is>
          <t>Cost of sales, six months to 31-Dec-2025. Audited consolidated FS, transition period 1-Jul-2025 to 31-Dec-2025, Crowe unqualified, 18-Feb-2026</t>
        </is>
      </c>
    </row>
    <row r="12" ht="20" customHeight="1">
      <c r="A12" s="7" t="inlineStr">
        <is>
          <t>Net sales, 6M to 30-Jun-2026 (FILED)</t>
        </is>
      </c>
      <c r="B12" s="27" t="n">
        <v>26223032454</v>
      </c>
      <c r="C12" s="7" t="inlineStr">
        <is>
          <t>Company</t>
        </is>
      </c>
      <c r="D12" s="7" t="inlineStr">
        <is>
          <t>2026-06-30</t>
        </is>
      </c>
      <c r="E12" s="4" t="inlineStr">
        <is>
          <t>Net sales, six months to 30-Jun-2026. Reviewed consolidated financial statements, six months to 30-Jun-2026, limited review report attached (note 14-A / 15-A)</t>
        </is>
      </c>
    </row>
    <row r="13" ht="20" customHeight="1">
      <c r="A13" s="7" t="inlineStr">
        <is>
          <t>Cost of sales, 6M to 30-Jun-2026 (FILED)</t>
        </is>
      </c>
      <c r="B13" s="27" t="n">
        <v>22964084821</v>
      </c>
      <c r="C13" s="7" t="inlineStr">
        <is>
          <t>Company</t>
        </is>
      </c>
      <c r="D13" s="7" t="inlineStr">
        <is>
          <t>2026-06-30</t>
        </is>
      </c>
      <c r="E13" s="4" t="inlineStr">
        <is>
          <t>Cost of sales, six months to 30-Jun-2026. Reviewed consolidated financial statements, six months to 30-Jun-2026, limited review report attached (note 14-A / 15-A)</t>
        </is>
      </c>
    </row>
    <row r="14" ht="20" customHeight="1">
      <c r="A14" s="7" t="inlineStr">
        <is>
          <t>Gross profit, 6M to 30-Jun-2026 (FILED)</t>
        </is>
      </c>
      <c r="B14" s="27" t="n">
        <v>3258947633</v>
      </c>
      <c r="C14" s="7" t="inlineStr">
        <is>
          <t>Company</t>
        </is>
      </c>
      <c r="D14" s="7" t="inlineStr">
        <is>
          <t>2026-06-30</t>
        </is>
      </c>
      <c r="E14" s="4" t="inlineStr">
        <is>
          <t>Gross profit, six months to 30-Jun-2026 — 12.43% of net sales. Reviewed consolidated financial statements, six months to 30-Jun-2026, limited review report attached (note 14-A / 15-A)</t>
        </is>
      </c>
    </row>
    <row r="15" ht="20" customHeight="1">
      <c r="A15" s="7" t="inlineStr">
        <is>
          <t>General and administrative, 6M to 30-Jun-2026 (FILED)</t>
        </is>
      </c>
      <c r="B15" s="27" t="n">
        <v>675083735</v>
      </c>
      <c r="C15" s="7" t="inlineStr">
        <is>
          <t>Company</t>
        </is>
      </c>
      <c r="D15" s="7" t="inlineStr">
        <is>
          <t>2026-06-30</t>
        </is>
      </c>
      <c r="E15" s="4" t="inlineStr">
        <is>
          <t>General and administrative expenses, six months to 30-Jun-2026. Reviewed consolidated financial statements, six months to 30-Jun-2026, limited review report attached (note 14-A / 15-A)</t>
        </is>
      </c>
    </row>
    <row r="16" ht="20" customHeight="1">
      <c r="A16" s="7" t="inlineStr">
        <is>
          <t>Marketing and selling, 6M to 30-Jun-2026 (FILED)</t>
        </is>
      </c>
      <c r="B16" s="27" t="n">
        <v>125019700</v>
      </c>
      <c r="C16" s="7" t="inlineStr">
        <is>
          <t>Company</t>
        </is>
      </c>
      <c r="D16" s="7" t="inlineStr">
        <is>
          <t>2026-06-30</t>
        </is>
      </c>
      <c r="E16" s="4" t="inlineStr">
        <is>
          <t>Marketing and selling expenses, six months to 30-Jun-2026. Reviewed consolidated financial statements, six months to 30-Jun-2026, limited review report attached (note 14-A / 15-A)</t>
        </is>
      </c>
    </row>
    <row r="17" ht="20" customHeight="1">
      <c r="A17" s="7" t="inlineStr">
        <is>
          <t>Other expenses, 6M to 30-Jun-2026 (FILED)</t>
        </is>
      </c>
      <c r="B17" s="27" t="n">
        <v>2599294</v>
      </c>
      <c r="C17" s="7" t="inlineStr">
        <is>
          <t>Company</t>
        </is>
      </c>
      <c r="D17" s="7" t="inlineStr">
        <is>
          <t>2026-06-30</t>
        </is>
      </c>
      <c r="E17" s="4" t="inlineStr">
        <is>
          <t>Other expenses, six months to 30-Jun-2026. Reviewed consolidated financial statements, six months to 30-Jun-2026, limited review report attached (note 14-A / 15-A)</t>
        </is>
      </c>
    </row>
    <row r="18" ht="20" customHeight="1">
      <c r="A18" s="7" t="inlineStr">
        <is>
          <t>Formed provisions, 6M to 30-Jun-2026 (FILED)</t>
        </is>
      </c>
      <c r="B18" s="27" t="n">
        <v>96672167</v>
      </c>
      <c r="C18" s="7" t="inlineStr">
        <is>
          <t>Company</t>
        </is>
      </c>
      <c r="D18" s="7" t="inlineStr">
        <is>
          <t>2026-06-30</t>
        </is>
      </c>
      <c r="E18" s="4" t="inlineStr">
        <is>
          <t>Formed provisions, six months to 30-Jun-2026. Reviewed consolidated financial statements, six months to 30-Jun-2026, limited review report attached (note 14-A / 15-A)</t>
        </is>
      </c>
    </row>
    <row r="19" ht="20" customHeight="1">
      <c r="A19" s="7" t="inlineStr">
        <is>
          <t>Expected credit losses, 6M to 30-Jun-2026 (FILED)</t>
        </is>
      </c>
      <c r="B19" s="27" t="n">
        <v>48692230</v>
      </c>
      <c r="C19" s="7" t="inlineStr">
        <is>
          <t>Company</t>
        </is>
      </c>
      <c r="D19" s="7" t="inlineStr">
        <is>
          <t>2026-06-30</t>
        </is>
      </c>
      <c r="E19" s="4" t="inlineStr">
        <is>
          <t>Expected credit losses formed, six months to 30-Jun-2026. Reviewed consolidated financial statements, six months to 30-Jun-2026, limited review report attached (note 14-A / 15-A)</t>
        </is>
      </c>
    </row>
    <row r="20" ht="20" customHeight="1">
      <c r="A20" s="7" t="inlineStr">
        <is>
          <t>Finance expenses, 6M to 30-Jun-2026 (FILED)</t>
        </is>
      </c>
      <c r="B20" s="27" t="n">
        <v>1938539</v>
      </c>
      <c r="C20" s="7" t="inlineStr">
        <is>
          <t>Company</t>
        </is>
      </c>
      <c r="D20" s="7" t="inlineStr">
        <is>
          <t>2026-06-30</t>
        </is>
      </c>
      <c r="E20" s="4" t="inlineStr">
        <is>
          <t>Finance expenses, six months to 30-Jun-2026. Reviewed consolidated financial statements, six months to 30-Jun-2026, limited review report attached (note 14-A / 15-A)</t>
        </is>
      </c>
    </row>
    <row r="21" ht="20" customHeight="1">
      <c r="A21" s="7" t="inlineStr">
        <is>
          <t>Other income, 6M to 30-Jun-2026 (FILED)</t>
        </is>
      </c>
      <c r="B21" s="27" t="n">
        <v>196526615</v>
      </c>
      <c r="C21" s="7" t="inlineStr">
        <is>
          <t>Company</t>
        </is>
      </c>
      <c r="D21" s="7" t="inlineStr">
        <is>
          <t>2026-06-30</t>
        </is>
      </c>
      <c r="E21" s="4" t="inlineStr">
        <is>
          <t>Other operating income, six months to 30-Jun-2026, of which credit interest 134,944,385. Reviewed consolidated financial statements, six months to 30-Jun-2026, limited review report attached (note 14-A / 15-A)</t>
        </is>
      </c>
    </row>
    <row r="22" ht="20" customHeight="1">
      <c r="A22" s="7" t="inlineStr">
        <is>
          <t>Profit after tax, 6M to 30-Jun-2026 (FILED)</t>
        </is>
      </c>
      <c r="B22" s="27" t="n">
        <v>1920706543</v>
      </c>
      <c r="C22" s="7" t="inlineStr">
        <is>
          <t>Company</t>
        </is>
      </c>
      <c r="D22" s="7" t="inlineStr">
        <is>
          <t>2026-06-30</t>
        </is>
      </c>
      <c r="E22" s="4" t="inlineStr">
        <is>
          <t>Net profit after tax, six months to 30-Jun-2026. Reviewed consolidated financial statements, six months to 30-Jun-2026, limited review report attached (note 14-A / 15-A)</t>
        </is>
      </c>
    </row>
    <row r="23" ht="20" customHeight="1">
      <c r="A23" s="7" t="inlineStr">
        <is>
          <t>Non-controlling interest, 6M to 30-Jun-2026 (FILED)</t>
        </is>
      </c>
      <c r="B23" s="27" t="n">
        <v>38756277</v>
      </c>
      <c r="C23" s="7" t="inlineStr">
        <is>
          <t>Company</t>
        </is>
      </c>
      <c r="D23" s="7" t="inlineStr">
        <is>
          <t>2026-06-30</t>
        </is>
      </c>
      <c r="E23" s="4" t="inlineStr">
        <is>
          <t>Non-controlling interest, six months to 30-Jun-2026. Reviewed consolidated financial statements, six months to 30-Jun-2026, limited review report attached (note 14-A / 15-A)</t>
        </is>
      </c>
    </row>
    <row r="24" ht="30" customHeight="1">
      <c r="A24" s="7" t="inlineStr">
        <is>
          <t>Majority's share, 6M to 30-Jun-2026 (FILED)</t>
        </is>
      </c>
      <c r="B24" s="27" t="n">
        <v>1881950266</v>
      </c>
      <c r="C24" s="7" t="inlineStr">
        <is>
          <t>Company</t>
        </is>
      </c>
      <c r="D24" s="7" t="inlineStr">
        <is>
          <t>2026-06-30</t>
        </is>
      </c>
      <c r="E24" s="4" t="inlineStr">
        <is>
          <t>Majority's share, six months to 30-Jun-2026 — EPS 1.46, and MORE than the whole preceding fiscal year's 1,488,520,098. Reviewed consolidated financial statements, six months to 30-Jun-2026, limited review report attached (note 14-A / 15-A)</t>
        </is>
      </c>
    </row>
    <row r="25" ht="30" customHeight="1">
      <c r="A25" s="7" t="inlineStr">
        <is>
          <t>Salaries in cost of sales, twelve months (note 15-A)</t>
        </is>
      </c>
      <c r="B25" s="27" t="n">
        <v>1869534265</v>
      </c>
      <c r="C25" s="7" t="inlineStr">
        <is>
          <t>Company</t>
        </is>
      </c>
      <c r="D25" s="7" t="inlineStr">
        <is>
          <t>2026-06-30</t>
        </is>
      </c>
      <c r="E25" s="4" t="inlineStr">
        <is>
          <t>Salaries inside cost of sales, TWELVE months to 30-Jun-2026 (note 15-A, both filed halves added). Reviewed consolidated financial statements, six months to 30-Jun-2026, limited review report attached (note 14-A / 15-A)</t>
        </is>
      </c>
    </row>
    <row r="26" ht="30" customHeight="1">
      <c r="A26" s="7" t="inlineStr">
        <is>
          <t>Raw materials, twelve months (note 15-A)</t>
        </is>
      </c>
      <c r="B26" s="27" t="n">
        <v>38674000341</v>
      </c>
      <c r="C26" s="7" t="inlineStr">
        <is>
          <t>Company</t>
        </is>
      </c>
      <c r="D26" s="7" t="inlineStr">
        <is>
          <t>2026-06-30</t>
        </is>
      </c>
      <c r="E26" s="4" t="inlineStr">
        <is>
          <t>Raw materials inside cost of sales, TWELVE months to 30-Jun-2026 (note 15-A, both filed halves added). Reviewed consolidated financial statements, six months to 30-Jun-2026, limited review report attached (note 14-A / 15-A)</t>
        </is>
      </c>
    </row>
    <row r="27" ht="30" customHeight="1">
      <c r="A27" s="7" t="inlineStr">
        <is>
          <t>Supporting materials, twelve months (note 15-A)</t>
        </is>
      </c>
      <c r="B27" s="27" t="n">
        <v>124155321</v>
      </c>
      <c r="C27" s="7" t="inlineStr">
        <is>
          <t>Company</t>
        </is>
      </c>
      <c r="D27" s="7" t="inlineStr">
        <is>
          <t>2026-06-30</t>
        </is>
      </c>
      <c r="E27" s="4" t="inlineStr">
        <is>
          <t>Supporting materials inside cost of sales, TWELVE months to 30-Jun-2026 (note 15-A, both filed halves added). Reviewed consolidated financial statements, six months to 30-Jun-2026, limited review report attached (note 14-A / 15-A)</t>
        </is>
      </c>
    </row>
    <row r="28" ht="30" customHeight="1">
      <c r="A28" s="7" t="inlineStr">
        <is>
          <t>Depreciation in cost of sales, twelve months (note 15-A)</t>
        </is>
      </c>
      <c r="B28" s="27" t="n">
        <v>123206229</v>
      </c>
      <c r="C28" s="7" t="inlineStr">
        <is>
          <t>Company</t>
        </is>
      </c>
      <c r="D28" s="7" t="inlineStr">
        <is>
          <t>2026-06-30</t>
        </is>
      </c>
      <c r="E28" s="4" t="inlineStr">
        <is>
          <t>Depreciation inside cost of sales, TWELVE months to 30-Jun-2026 (note 15-A, both filed halves added). Reviewed consolidated financial statements, six months to 30-Jun-2026, limited review report attached (note 14-A / 15-A)</t>
        </is>
      </c>
    </row>
    <row r="29" ht="30" customHeight="1">
      <c r="A29" s="7" t="inlineStr">
        <is>
          <t>Other cost of sales, twelve months (note 15-A)</t>
        </is>
      </c>
      <c r="B29" s="27" t="n">
        <v>1634739411</v>
      </c>
      <c r="C29" s="7" t="inlineStr">
        <is>
          <t>Company</t>
        </is>
      </c>
      <c r="D29" s="7" t="inlineStr">
        <is>
          <t>2026-06-30</t>
        </is>
      </c>
      <c r="E29" s="4" t="inlineStr">
        <is>
          <t>Other cost of sales inside cost of sales, TWELVE months to 30-Jun-2026 (note 15-A, both filed halves added). Reviewed consolidated financial statements, six months to 30-Jun-2026, limited review report attached (note 14-A / 15-A)</t>
        </is>
      </c>
    </row>
    <row r="30" ht="30" customHeight="1">
      <c r="A30" s="7" t="inlineStr">
        <is>
          <t>Depreciation and RoU, twelve months (both cash-flow statements)</t>
        </is>
      </c>
      <c r="B30" s="27" t="n">
        <v>156621007</v>
      </c>
      <c r="C30" s="7" t="inlineStr">
        <is>
          <t>Company</t>
        </is>
      </c>
      <c r="D30" s="7" t="inlineStr">
        <is>
          <t>2026-06-30</t>
        </is>
      </c>
      <c r="E30" s="4" t="inlineStr">
        <is>
          <t>Depreciation and right-of-use amortisation, TWELVE months to 30-Jun-2026 — the audited transition half's cash-flow statement plus the reviewed half's. Reviewed consolidated financial statements, six months to 30-Jun-2026, limited review report attached (note 14-A / 15-A)</t>
        </is>
      </c>
    </row>
    <row r="31" ht="30" customHeight="1">
      <c r="A31" s="7" t="inlineStr">
        <is>
          <t>Cash capital expenditure, twelve months (both cash-flow statements)</t>
        </is>
      </c>
      <c r="B31" s="27" t="n">
        <v>169466717</v>
      </c>
      <c r="C31" s="7" t="inlineStr">
        <is>
          <t>Company</t>
        </is>
      </c>
      <c r="D31" s="7" t="inlineStr">
        <is>
          <t>2026-06-30</t>
        </is>
      </c>
      <c r="E31" s="4" t="inlineStr">
        <is>
          <t>Payments for projects under construction and fixed assets, TWELVE months to 30-Jun-2026 — both cash-flow statements. Reviewed consolidated financial statements, six months to 30-Jun-2026, limited review report attached (note 14-A / 15-A)</t>
        </is>
      </c>
    </row>
    <row r="32" ht="20" customHeight="1">
      <c r="A32" s="7" t="inlineStr">
        <is>
          <t>Credit interest, 6M to 30-Jun-2026 (note 14-B)</t>
        </is>
      </c>
      <c r="B32" s="27" t="n">
        <v>134944385</v>
      </c>
      <c r="C32" s="7" t="inlineStr">
        <is>
          <t>Company</t>
        </is>
      </c>
      <c r="D32" s="7" t="inlineStr">
        <is>
          <t>2026-06-30</t>
        </is>
      </c>
      <c r="E32" s="4" t="inlineStr">
        <is>
          <t>Credit interest earned, six months to 30-Jun-2026 (note 14-B). Reviewed consolidated financial statements, six months to 30-Jun-2026, limited review report attached (note 14-A / 15-A)</t>
        </is>
      </c>
    </row>
    <row r="33" ht="20" customHeight="1">
      <c r="A33" s="7" t="inlineStr">
        <is>
          <t>Net sales, 6M to 30-Jun-2026 (press release, cross-check)</t>
        </is>
      </c>
      <c r="B33" s="27" t="n">
        <v>26223000000</v>
      </c>
      <c r="C33" s="7" t="inlineStr">
        <is>
          <t>Company</t>
        </is>
      </c>
      <c r="D33" s="7" t="inlineStr">
        <is>
          <t>2026-06-30</t>
        </is>
      </c>
      <c r="E33" s="4" t="inlineStr">
        <is>
          <t>Net sales, six months to 30-Jun-2026. Half-year results for 1-Jan to 30-Jun-2026, disclosed to the Egyptian Exchange 29-30 July 2026. REPORTED, NOT AUDITED — a press release, not a filing</t>
        </is>
      </c>
    </row>
    <row r="34" ht="20" customHeight="1">
      <c r="A34" s="7" t="inlineStr">
        <is>
          <t>Profit after tax, 6M to 30-Jun-2026 (press release, cross-check)</t>
        </is>
      </c>
      <c r="B34" s="27" t="n">
        <v>1903000000</v>
      </c>
      <c r="C34" s="7" t="inlineStr">
        <is>
          <t>Company</t>
        </is>
      </c>
      <c r="D34" s="7" t="inlineStr">
        <is>
          <t>2026-06-30</t>
        </is>
      </c>
      <c r="E34" s="4" t="inlineStr">
        <is>
          <t>Net profit after tax, six months to 30-Jun-2026. Half-year results for 1-Jan to 30-Jun-2026, disclosed to the Egyptian Exchange 29-30 July 2026. REPORTED, NOT AUDITED — a press release, not a filing</t>
        </is>
      </c>
    </row>
    <row r="35" ht="50" customHeight="1">
      <c r="A35" s="7" t="inlineStr">
        <is>
          <t>Gross profit (press release) — the filing confirms it</t>
        </is>
      </c>
      <c r="B35" s="27" t="n">
        <v>3258000000</v>
      </c>
      <c r="C35" s="7" t="inlineStr">
        <is>
          <t>Company</t>
        </is>
      </c>
      <c r="D35" s="7" t="inlineStr">
        <is>
          <t>2026-06-30</t>
        </is>
      </c>
      <c r="E35" s="4" t="inlineStr">
        <is>
          <t>Gross profit, six months to 30-Jun-2026, AS RELEASED. This study does NOT use this figure: run through the company's own Q1-2026 expense run rates it implies a profit after tax about 12.6% above the profit the same release reports. The gross profit actually used is SOLVED from the release's own profit line, which two independent coherence tests confirm. Half-year results for 1-Jan to 30-Jun-2026, disclosed to the Egyptian Exchange 29-30 July 2026. REPORTED, NOT AUDITED — a press release, not a filing</t>
        </is>
      </c>
    </row>
    <row r="36" ht="14" customHeight="1">
      <c r="A36" s="7" t="inlineStr">
        <is>
          <t>Net sales, 3M to 31-Mar-2026 (reviewed)</t>
        </is>
      </c>
      <c r="B36" s="27" t="n">
        <v>10510779160</v>
      </c>
      <c r="C36" s="7" t="inlineStr">
        <is>
          <t>Company</t>
        </is>
      </c>
      <c r="D36" s="7" t="inlineStr">
        <is>
          <t>2026-03-31</t>
        </is>
      </c>
      <c r="E36" s="4" t="inlineStr">
        <is>
          <t>Net sales, three months to 31-Mar-2026. Reviewed consolidated FS, three months to 31-Mar-2026</t>
        </is>
      </c>
    </row>
    <row r="37" ht="14" customHeight="1">
      <c r="A37" s="7" t="inlineStr">
        <is>
          <t>Cost of sales, 3M to 31-Mar-2026 (reviewed)</t>
        </is>
      </c>
      <c r="B37" s="27" t="n">
        <v>9439744195</v>
      </c>
      <c r="C37" s="7" t="inlineStr">
        <is>
          <t>Company</t>
        </is>
      </c>
      <c r="D37" s="7" t="inlineStr">
        <is>
          <t>2026-03-31</t>
        </is>
      </c>
      <c r="E37" s="4" t="inlineStr">
        <is>
          <t>Cost of sales, three months to 31-Mar-2026. Reviewed consolidated FS, three months to 31-Mar-2026</t>
        </is>
      </c>
    </row>
    <row r="38" ht="20" customHeight="1">
      <c r="A38" s="7" t="inlineStr">
        <is>
          <t>Administrative expense, 3M to 31-Mar-2026</t>
        </is>
      </c>
      <c r="B38" s="27" t="n">
        <v>365952237</v>
      </c>
      <c r="C38" s="7" t="inlineStr">
        <is>
          <t>Company</t>
        </is>
      </c>
      <c r="D38" s="7" t="inlineStr">
        <is>
          <t>2026-03-31</t>
        </is>
      </c>
      <c r="E38" s="4" t="inlineStr">
        <is>
          <t>General and administrative expenses, three months to 31-Mar-2026. Reviewed consolidated FS, three months to 31-Mar-2026</t>
        </is>
      </c>
    </row>
    <row r="39" ht="20" customHeight="1">
      <c r="A39" s="7" t="inlineStr">
        <is>
          <t>Selling expense, 3M to 31-Mar-2026</t>
        </is>
      </c>
      <c r="B39" s="27" t="n">
        <v>60830975</v>
      </c>
      <c r="C39" s="7" t="inlineStr">
        <is>
          <t>Company</t>
        </is>
      </c>
      <c r="D39" s="7" t="inlineStr">
        <is>
          <t>2026-03-31</t>
        </is>
      </c>
      <c r="E39" s="4" t="inlineStr">
        <is>
          <t>Marketing and selling expenses, three months to 31-Mar-2026. Reviewed consolidated FS, three months to 31-Mar-2026</t>
        </is>
      </c>
    </row>
    <row r="40" ht="20" customHeight="1">
      <c r="A40" s="7" t="inlineStr">
        <is>
          <t>Other operating expense, 3M to 31-Mar-2026</t>
        </is>
      </c>
      <c r="B40" s="27" t="n">
        <v>1080000</v>
      </c>
      <c r="C40" s="7" t="inlineStr">
        <is>
          <t>Company</t>
        </is>
      </c>
      <c r="D40" s="7" t="inlineStr">
        <is>
          <t>2026-03-31</t>
        </is>
      </c>
      <c r="E40" s="4" t="inlineStr">
        <is>
          <t>Other operating expenses, three months to 31-Mar-2026. Reviewed consolidated FS, three months to 31-Mar-2026</t>
        </is>
      </c>
    </row>
    <row r="41" ht="14" customHeight="1">
      <c r="A41" s="7" t="inlineStr">
        <is>
          <t>Other revenue, 3M to 31-Mar-2026</t>
        </is>
      </c>
      <c r="B41" s="27" t="n">
        <v>225556509</v>
      </c>
      <c r="C41" s="7" t="inlineStr">
        <is>
          <t>Company</t>
        </is>
      </c>
      <c r="D41" s="7" t="inlineStr">
        <is>
          <t>2026-03-31</t>
        </is>
      </c>
      <c r="E41" s="4" t="inlineStr">
        <is>
          <t>Other revenue, three months to 31-Mar-2026. Reviewed consolidated FS, three months to 31-Mar-2026</t>
        </is>
      </c>
    </row>
    <row r="42" ht="14" customHeight="1">
      <c r="A42" s="7" t="inlineStr">
        <is>
          <t>Formed provisions, 3M to 31-Mar-2026</t>
        </is>
      </c>
      <c r="B42" s="27" t="n">
        <v>30000000</v>
      </c>
      <c r="C42" s="7" t="inlineStr">
        <is>
          <t>Company</t>
        </is>
      </c>
      <c r="D42" s="7" t="inlineStr">
        <is>
          <t>2026-03-31</t>
        </is>
      </c>
      <c r="E42" s="4" t="inlineStr">
        <is>
          <t>Formed provisions, three months to 31-Mar-2026. Reviewed consolidated FS, three months to 31-Mar-2026</t>
        </is>
      </c>
    </row>
    <row r="43" ht="20" customHeight="1">
      <c r="A43" s="7" t="inlineStr">
        <is>
          <t>Expected credit losses, 3M to 31-Mar-2026</t>
        </is>
      </c>
      <c r="B43" s="27" t="n">
        <v>20323123</v>
      </c>
      <c r="C43" s="7" t="inlineStr">
        <is>
          <t>Company</t>
        </is>
      </c>
      <c r="D43" s="7" t="inlineStr">
        <is>
          <t>2026-03-31</t>
        </is>
      </c>
      <c r="E43" s="4" t="inlineStr">
        <is>
          <t>Expected credit losses formed, three months to 31-Mar-2026. Reviewed consolidated FS, three months to 31-Mar-2026</t>
        </is>
      </c>
    </row>
    <row r="44" ht="14" customHeight="1">
      <c r="A44" s="7" t="inlineStr">
        <is>
          <t>Finance cost, 3M to 31-Mar-2026</t>
        </is>
      </c>
      <c r="B44" s="27" t="n">
        <v>982219</v>
      </c>
      <c r="C44" s="7" t="inlineStr">
        <is>
          <t>Company</t>
        </is>
      </c>
      <c r="D44" s="7" t="inlineStr">
        <is>
          <t>2026-03-31</t>
        </is>
      </c>
      <c r="E44" s="4" t="inlineStr">
        <is>
          <t>Finance cost, three months to 31-Mar-2026. Reviewed consolidated FS, three months to 31-Mar-2026</t>
        </is>
      </c>
    </row>
    <row r="45" ht="20" customHeight="1">
      <c r="A45" s="7" t="inlineStr">
        <is>
          <t>Administrative expense, 6M to 31-Dec-2025</t>
        </is>
      </c>
      <c r="B45" s="27" t="n">
        <v>585636101</v>
      </c>
      <c r="C45" s="7" t="inlineStr">
        <is>
          <t>Company</t>
        </is>
      </c>
      <c r="D45" s="7" t="inlineStr">
        <is>
          <t>2025-12-31</t>
        </is>
      </c>
      <c r="E45" s="4" t="inlineStr">
        <is>
          <t>General and administrative expenses, six months to 31-Dec-2025 (note 15-B). Audited consolidated FS, transition period 1-Jul-2025 to 31-Dec-2025, Crowe unqualified, 18-Feb-2026</t>
        </is>
      </c>
    </row>
    <row r="46" ht="20" customHeight="1">
      <c r="A46" s="7" t="inlineStr">
        <is>
          <t>Selling expense, 6M to 31-Dec-2025</t>
        </is>
      </c>
      <c r="B46" s="27" t="n">
        <v>93729199</v>
      </c>
      <c r="C46" s="7" t="inlineStr">
        <is>
          <t>Company</t>
        </is>
      </c>
      <c r="D46" s="7" t="inlineStr">
        <is>
          <t>2025-12-31</t>
        </is>
      </c>
      <c r="E46" s="4" t="inlineStr">
        <is>
          <t>Marketing and selling expenses, six months to 31-Dec-2025 (note 15-C). Audited consolidated FS, transition period 1-Jul-2025 to 31-Dec-2025, Crowe unqualified, 18-Feb-2026</t>
        </is>
      </c>
    </row>
    <row r="47" ht="30" customHeight="1">
      <c r="A47" s="7" t="inlineStr">
        <is>
          <t>Other operating expense, 6M to 31-Dec-2025</t>
        </is>
      </c>
      <c r="B47" s="27" t="n">
        <v>108781309</v>
      </c>
      <c r="C47" s="7" t="inlineStr">
        <is>
          <t>Company</t>
        </is>
      </c>
      <c r="D47" s="7" t="inlineStr">
        <is>
          <t>2025-12-25</t>
        </is>
      </c>
      <c r="E47" s="4" t="inlineStr">
        <is>
          <t>Other operating expenses, six months to 31-Dec-2025 (note 15-D): compensation and fines 101,393,395, donations 5,162,500, board transport and attendance 2,225,414. Audited consolidated FS, transition period 1-Jul-2025 to 31-Dec-2025, Crowe unqualified, 18-Feb-2026</t>
        </is>
      </c>
    </row>
    <row r="48" ht="20" customHeight="1">
      <c r="A48" s="7" t="inlineStr">
        <is>
          <t>Formed provisions, 6M to 31-Dec-2025</t>
        </is>
      </c>
      <c r="B48" s="27" t="n">
        <v>2467769</v>
      </c>
      <c r="C48" s="7" t="inlineStr">
        <is>
          <t>Company</t>
        </is>
      </c>
      <c r="D48" s="7" t="inlineStr">
        <is>
          <t>2025-12-31</t>
        </is>
      </c>
      <c r="E48" s="4" t="inlineStr">
        <is>
          <t>Formed provisions charged in the six months to 31-Dec-2025. Audited consolidated FS, transition period 1-Jul-2025 to 31-Dec-2025, Crowe unqualified, 18-Feb-2026</t>
        </is>
      </c>
    </row>
    <row r="49" ht="40" customHeight="1">
      <c r="A49" s="7" t="inlineStr">
        <is>
          <t>Depreciation, 6M to 31-Dec-2025</t>
        </is>
      </c>
      <c r="B49" s="27" t="n">
        <v>70125269</v>
      </c>
      <c r="C49" s="7" t="inlineStr">
        <is>
          <t>Company</t>
        </is>
      </c>
      <c r="D49" s="7" t="inlineStr">
        <is>
          <t>2025-12-31</t>
        </is>
      </c>
      <c r="E49" s="4" t="inlineStr">
        <is>
          <t>Fixed-asset depreciation and right-of-use amortisation charged in the six months to 31-Dec-2025, per the cash-flow statement. The previous edition modelled depreciation at 1.1% of revenue, about 440mn a year against an actual near 150mn. Audited consolidated FS, transition period 1-Jul-2025 to 31-Dec-2025, Crowe unqualified, 18-Feb-2026</t>
        </is>
      </c>
    </row>
    <row r="50" ht="20" customHeight="1">
      <c r="A50" s="7" t="inlineStr">
        <is>
          <t>Depreciation, 3M to 31-Mar-2026</t>
        </is>
      </c>
      <c r="B50" s="27" t="n">
        <v>40597611</v>
      </c>
      <c r="C50" s="7" t="inlineStr">
        <is>
          <t>Company</t>
        </is>
      </c>
      <c r="D50" s="7" t="inlineStr">
        <is>
          <t>2026-03-31</t>
        </is>
      </c>
      <c r="E50" s="4" t="inlineStr">
        <is>
          <t>Fixed-asset depreciation and right-of-use amortisation, Q1-2026. Reviewed consolidated FS, three months to 31-Mar-2026</t>
        </is>
      </c>
    </row>
    <row r="51" ht="40" customHeight="1">
      <c r="A51" s="7" t="inlineStr">
        <is>
          <t>Cash capital expenditure, 6M to 31-Dec-2025</t>
        </is>
      </c>
      <c r="B51" s="27" t="n">
        <v>30357299</v>
      </c>
      <c r="C51" s="7" t="inlineStr">
        <is>
          <t>Company</t>
        </is>
      </c>
      <c r="D51" s="7" t="inlineStr">
        <is>
          <t>2025-12-31</t>
        </is>
      </c>
      <c r="E51" s="4" t="inlineStr">
        <is>
          <t>CASH PAID for projects under construction and fixed assets in the six months to 31-Dec-2025. The previous edition modelled capital expenditure at 1.45% of revenue — about 649mn in the first forecast year — against an actual of roughly a tenth of that. Audited consolidated FS, transition period 1-Jul-2025 to 31-Dec-2025, Crowe unqualified, 18-Feb-2026</t>
        </is>
      </c>
    </row>
    <row r="52" ht="20" customHeight="1">
      <c r="A52" s="7" t="inlineStr">
        <is>
          <t>Cash capital expenditure, 3M to 31-Mar-2026</t>
        </is>
      </c>
      <c r="B52" s="27" t="n">
        <v>64984482</v>
      </c>
      <c r="C52" s="7" t="inlineStr">
        <is>
          <t>Company</t>
        </is>
      </c>
      <c r="D52" s="7" t="inlineStr">
        <is>
          <t>2026-03-31</t>
        </is>
      </c>
      <c r="E52" s="4" t="inlineStr">
        <is>
          <t>Cash paid for projects under construction and fixed assets, Q1-2026. Reviewed consolidated FS, three months to 31-Mar-2026</t>
        </is>
      </c>
    </row>
    <row r="53" ht="20" customHeight="1">
      <c r="A53" s="7" t="inlineStr">
        <is>
          <t>Credit interest, 6M to 31-Dec-2025</t>
        </is>
      </c>
      <c r="B53" s="27" t="n">
        <v>173216413</v>
      </c>
      <c r="C53" s="7" t="inlineStr">
        <is>
          <t>Company</t>
        </is>
      </c>
      <c r="D53" s="7" t="inlineStr">
        <is>
          <t>2025-12-31</t>
        </is>
      </c>
      <c r="E53" s="4" t="inlineStr">
        <is>
          <t>Credit interest earned in the six months to 31-Dec-2025, per note 14-B and the cash-flow statement. Audited consolidated FS, transition period 1-Jul-2025 to 31-Dec-2025, Crowe unqualified, 18-Feb-2026</t>
        </is>
      </c>
    </row>
    <row r="54" ht="14" customHeight="1">
      <c r="A54" s="7" t="inlineStr">
        <is>
          <t>Credit interest, 3M to 31-Mar-2026</t>
        </is>
      </c>
      <c r="B54" s="27" t="n">
        <v>64104178</v>
      </c>
      <c r="C54" s="7" t="inlineStr">
        <is>
          <t>Company</t>
        </is>
      </c>
      <c r="D54" s="7" t="inlineStr">
        <is>
          <t>2026-03-31</t>
        </is>
      </c>
      <c r="E54" s="4" t="inlineStr">
        <is>
          <t>Credit interest earned in Q1-2026. Reviewed consolidated FS, three months to 31-Mar-2026</t>
        </is>
      </c>
    </row>
    <row r="55" ht="30" customHeight="1">
      <c r="A55" s="7" t="inlineStr">
        <is>
          <t>Employees' profit share and board bonuses, 6M</t>
        </is>
      </c>
      <c r="B55" s="27" t="n">
        <v>67467871</v>
      </c>
      <c r="C55" s="7" t="inlineStr">
        <is>
          <t>Company</t>
        </is>
      </c>
      <c r="D55" s="7" t="inlineStr">
        <is>
          <t>2025-12-31</t>
        </is>
      </c>
      <c r="E55" s="4" t="inlineStr">
        <is>
          <t>Employees' profit share and board bonuses deducted in arriving at earnings per share (note 16). A real distribution out of profit that the previous edition of this study did not model at all. Audited consolidated FS, transition period 1-Jul-2025 to 31-Dec-2025, Crowe unqualified, 18-Feb-2026</t>
        </is>
      </c>
    </row>
    <row r="56" ht="20" customHeight="1">
      <c r="A56" s="7" t="inlineStr">
        <is>
          <t>Profit after tax, 6M to 31-Dec-2025 (AUDITED)</t>
        </is>
      </c>
      <c r="B56" s="27" t="n">
        <v>656428711</v>
      </c>
      <c r="C56" s="7" t="inlineStr">
        <is>
          <t>Company</t>
        </is>
      </c>
      <c r="D56" s="7" t="inlineStr">
        <is>
          <t>2025-12-31</t>
        </is>
      </c>
      <c r="E56" s="4" t="inlineStr">
        <is>
          <t>Net profit after tax, six months to 31-Dec-2025. Audited consolidated FS, transition period 1-Jul-2025 to 31-Dec-2025, Crowe unqualified, 18-Feb-2026</t>
        </is>
      </c>
    </row>
    <row r="57" ht="20" customHeight="1">
      <c r="A57" s="7" t="inlineStr">
        <is>
          <t>Minority share of profit, 6M to 31-Dec-2025</t>
        </is>
      </c>
      <c r="B57" s="27" t="n">
        <v>30488250</v>
      </c>
      <c r="C57" s="7" t="inlineStr">
        <is>
          <t>Company</t>
        </is>
      </c>
      <c r="D57" s="7" t="inlineStr">
        <is>
          <t>2025-12-31</t>
        </is>
      </c>
      <c r="E57" s="4" t="inlineStr">
        <is>
          <t>Non-controlling interest share of profit, six months to 31-Dec-2025. Audited consolidated FS, transition period 1-Jul-2025 to 31-Dec-2025, Crowe unqualified, 18-Feb-2026</t>
        </is>
      </c>
    </row>
    <row r="58" ht="20" customHeight="1">
      <c r="A58" s="7" t="inlineStr">
        <is>
          <t>Minority share of profit, 3M to 31-Mar-2026</t>
        </is>
      </c>
      <c r="B58" s="27" t="n">
        <v>22627676</v>
      </c>
      <c r="C58" s="7" t="inlineStr">
        <is>
          <t>Company</t>
        </is>
      </c>
      <c r="D58" s="7" t="inlineStr">
        <is>
          <t>2026-03-31</t>
        </is>
      </c>
      <c r="E58" s="4" t="inlineStr">
        <is>
          <t>Non-controlling interest share of profit, three months to 31-Mar-2026. Reviewed consolidated FS, three months to 31-Mar-2026</t>
        </is>
      </c>
    </row>
    <row r="59" ht="20" customHeight="1">
      <c r="A59" s="7" t="inlineStr">
        <is>
          <t>Current tax, 6M to 31-Dec-2025</t>
        </is>
      </c>
      <c r="B59" s="27" t="n">
        <v>203945433</v>
      </c>
      <c r="C59" s="7" t="inlineStr">
        <is>
          <t>Company</t>
        </is>
      </c>
      <c r="D59" s="7" t="inlineStr">
        <is>
          <t>2025-12-31</t>
        </is>
      </c>
      <c r="E59" s="4" t="inlineStr">
        <is>
          <t>Current income tax, six months to 31-Dec-2025. Audited consolidated FS, transition period 1-Jul-2025 to 31-Dec-2025, Crowe unqualified, 18-Feb-2026</t>
        </is>
      </c>
    </row>
    <row r="60" ht="20" customHeight="1">
      <c r="A60" s="7" t="inlineStr">
        <is>
          <t>Deferred tax CREDIT, 6M to 31-Dec-2025</t>
        </is>
      </c>
      <c r="B60" s="27" t="n">
        <v>19441512</v>
      </c>
      <c r="C60" s="7" t="inlineStr">
        <is>
          <t>Company</t>
        </is>
      </c>
      <c r="D60" s="7" t="inlineStr">
        <is>
          <t>2025-12-31</t>
        </is>
      </c>
      <c r="E60" s="4" t="inlineStr">
        <is>
          <t>Deferred tax CREDIT, six months to 31-Dec-2025. Audited consolidated FS, transition period 1-Jul-2025 to 31-Dec-2025, Crowe unqualified, 18-Feb-2026</t>
        </is>
      </c>
    </row>
    <row r="61" ht="14" customHeight="1">
      <c r="A61" s="7" t="inlineStr">
        <is>
          <t>Current tax, 3M to 31-Mar-2026</t>
        </is>
      </c>
      <c r="B61" s="27" t="n">
        <v>175094101</v>
      </c>
      <c r="C61" s="7" t="inlineStr">
        <is>
          <t>Company</t>
        </is>
      </c>
      <c r="D61" s="7" t="inlineStr">
        <is>
          <t>2026-03-31</t>
        </is>
      </c>
      <c r="E61" s="4" t="inlineStr">
        <is>
          <t>Current income tax, three months to 31-Mar-2026. Reviewed consolidated FS, three months to 31-Mar-2026</t>
        </is>
      </c>
    </row>
    <row r="62" ht="20" customHeight="1">
      <c r="A62" s="7" t="inlineStr">
        <is>
          <t>Deferred tax, 3M to 31-Mar-2026</t>
        </is>
      </c>
      <c r="B62" s="27" t="n">
        <v>-7209684</v>
      </c>
      <c r="C62" s="7" t="inlineStr">
        <is>
          <t>Company</t>
        </is>
      </c>
      <c r="D62" s="7" t="inlineStr">
        <is>
          <t>2026-03-31</t>
        </is>
      </c>
      <c r="E62" s="4" t="inlineStr">
        <is>
          <t>Deferred tax EXPENSE (negative = charge), three months to 31-Mar-2026. Reviewed consolidated FS, three months to 31-Mar-2026</t>
        </is>
      </c>
    </row>
    <row r="63" ht="20" customHeight="1">
      <c r="A63" s="7" t="inlineStr">
        <is>
          <t>Investment income, 6M to 31-Dec-2025</t>
        </is>
      </c>
      <c r="B63" s="27" t="n">
        <v>13520000</v>
      </c>
      <c r="C63" s="7" t="inlineStr">
        <is>
          <t>Company</t>
        </is>
      </c>
      <c r="D63" s="7" t="inlineStr">
        <is>
          <t>2025-12-31</t>
        </is>
      </c>
      <c r="E63" s="4" t="inlineStr">
        <is>
          <t>Revenue from investments — dividend from Alexandria Specialized Petroleum Products Co (note 14-C). Audited consolidated FS, transition period 1-Jul-2025 to 31-Dec-2025, Crowe unqualified, 18-Feb-2026</t>
        </is>
      </c>
    </row>
    <row r="64" ht="50" customHeight="1">
      <c r="A64" s="7" t="inlineStr">
        <is>
          <t>Other revenue, 6M to 31-Dec-2025</t>
        </is>
      </c>
      <c r="B64" s="27" t="n">
        <v>345744052</v>
      </c>
      <c r="C64" s="7" t="inlineStr">
        <is>
          <t>Company</t>
        </is>
      </c>
      <c r="D64" s="7" t="inlineStr">
        <is>
          <t>2025-12-31</t>
        </is>
      </c>
      <c r="E64" s="4" t="inlineStr">
        <is>
          <t>Other revenue, six months to 31-Dec-2025 (note 14-B): credit interest 173,216,413, provision no longer required 154,301,640, reversed expected credit loss 1,870,481, compensations and fines 1,241,123, capital gains 326,000, miscellaneous 14,788,395. NOTE the foreign-exchange gain line is ZERO in this period, against 104,572,235 in the comparative half. Audited consolidated FS, transition period 1-Jul-2025 to 31-Dec-2025, Crowe unqualified, 18-Feb-2026</t>
        </is>
      </c>
    </row>
    <row r="65" ht="30" customHeight="1">
      <c r="A65" s="7" t="inlineStr">
        <is>
          <t>Finance cost, 6M to 31-Dec-2025</t>
        </is>
      </c>
      <c r="B65" s="27" t="n">
        <v>1892108</v>
      </c>
      <c r="C65" s="7" t="inlineStr">
        <is>
          <t>Company</t>
        </is>
      </c>
      <c r="D65" s="7" t="inlineStr">
        <is>
          <t>2025-12-31</t>
        </is>
      </c>
      <c r="E65" s="4" t="inlineStr">
        <is>
          <t>Finance expenses, six months to 31-Dec-2025 (note 15-E): loan interest and charges 1,130,556, lease interest 761,552. Audited consolidated FS, transition period 1-Jul-2025 to 31-Dec-2025, Crowe unqualified, 18-Feb-2026</t>
        </is>
      </c>
    </row>
    <row r="66">
      <c r="A66" s="11" t="inlineStr">
        <is>
          <t>NOTE 14-A — the audited product table, 6M to 31-Dec-2025</t>
        </is>
      </c>
      <c r="B66" s="13" t="n"/>
      <c r="C66" s="13" t="n"/>
      <c r="D66" s="13" t="n"/>
      <c r="E66" s="13" t="n"/>
      <c r="F66" s="13" t="n"/>
    </row>
    <row r="67" ht="40" customHeight="1">
      <c r="A67" s="7" t="inlineStr">
        <is>
          <t>Base and special oils — tonnes sold</t>
        </is>
      </c>
      <c r="B67" s="28" t="n">
        <v>118475.64</v>
      </c>
      <c r="C67" s="7" t="inlineStr">
        <is>
          <t>Company</t>
        </is>
      </c>
      <c r="D67" s="7" t="inlineStr">
        <is>
          <t>2026-06-30</t>
        </is>
      </c>
      <c r="E67" s="4" t="inlineStr">
        <is>
          <t>Tonnes sold by product line, TWELVE months to 30-Jun-2026 — the audited transition half (note 14-A, Audited consolidated FS, transition period 1-Jul-2025 to 31-Dec-2025, Crowe unqualified, 18-Feb-2026) plus the reviewed half (Reviewed consolidated financial statements, six months to 30-Jun-2026, limited review report attached (note 14-A / 15-A)). Both halves are filed; nothing is annualised.</t>
        </is>
      </c>
    </row>
    <row r="68" ht="40" customHeight="1">
      <c r="A68" s="7" t="inlineStr">
        <is>
          <t>Paraffin wax — tonnes sold</t>
        </is>
      </c>
      <c r="B68" s="28" t="n">
        <v>82805.73999999999</v>
      </c>
      <c r="C68" s="7" t="inlineStr">
        <is>
          <t>Company</t>
        </is>
      </c>
      <c r="D68" s="7" t="inlineStr">
        <is>
          <t>2026-06-30</t>
        </is>
      </c>
      <c r="E68" s="4" t="inlineStr">
        <is>
          <t>Tonnes sold by product line, TWELVE months to 30-Jun-2026 — the audited transition half (note 14-A, Audited consolidated FS, transition period 1-Jul-2025 to 31-Dec-2025, Crowe unqualified, 18-Feb-2026) plus the reviewed half (Reviewed consolidated financial statements, six months to 30-Jun-2026, limited review report attached (note 14-A / 15-A)). Both halves are filed; nothing is annualised.</t>
        </is>
      </c>
    </row>
    <row r="69" ht="40" customHeight="1">
      <c r="A69" s="7" t="inlineStr">
        <is>
          <t>Gas oil — tonnes sold</t>
        </is>
      </c>
      <c r="B69" s="28" t="n">
        <v>346720.793</v>
      </c>
      <c r="C69" s="7" t="inlineStr">
        <is>
          <t>Company</t>
        </is>
      </c>
      <c r="D69" s="7" t="inlineStr">
        <is>
          <t>2026-06-30</t>
        </is>
      </c>
      <c r="E69" s="4" t="inlineStr">
        <is>
          <t>Tonnes sold by product line, TWELVE months to 30-Jun-2026 — the audited transition half (note 14-A, Audited consolidated FS, transition period 1-Jul-2025 to 31-Dec-2025, Crowe unqualified, 18-Feb-2026) plus the reviewed half (Reviewed consolidated financial statements, six months to 30-Jun-2026, limited review report attached (note 14-A / 15-A)). Both halves are filed; nothing is annualised.</t>
        </is>
      </c>
    </row>
    <row r="70" ht="40" customHeight="1">
      <c r="A70" s="7" t="inlineStr">
        <is>
          <t>Naphtha — tonnes sold</t>
        </is>
      </c>
      <c r="B70" s="28" t="n">
        <v>80543.106</v>
      </c>
      <c r="C70" s="7" t="inlineStr">
        <is>
          <t>Company</t>
        </is>
      </c>
      <c r="D70" s="7" t="inlineStr">
        <is>
          <t>2026-06-30</t>
        </is>
      </c>
      <c r="E70" s="4" t="inlineStr">
        <is>
          <t>Tonnes sold by product line, TWELVE months to 30-Jun-2026 — the audited transition half (note 14-A, Audited consolidated FS, transition period 1-Jul-2025 to 31-Dec-2025, Crowe unqualified, 18-Feb-2026) plus the reviewed half (Reviewed consolidated financial statements, six months to 30-Jun-2026, limited review report attached (note 14-A / 15-A)). Both halves are filed; nothing is annualised.</t>
        </is>
      </c>
    </row>
    <row r="71" ht="40" customHeight="1">
      <c r="A71" s="7" t="inlineStr">
        <is>
          <t>Liquefied petroleum gas — tonnes sold</t>
        </is>
      </c>
      <c r="B71" s="28" t="n">
        <v>47938.789</v>
      </c>
      <c r="C71" s="7" t="inlineStr">
        <is>
          <t>Company</t>
        </is>
      </c>
      <c r="D71" s="7" t="inlineStr">
        <is>
          <t>2026-06-30</t>
        </is>
      </c>
      <c r="E71" s="4" t="inlineStr">
        <is>
          <t>Tonnes sold by product line, TWELVE months to 30-Jun-2026 — the audited transition half (note 14-A, Audited consolidated FS, transition period 1-Jul-2025 to 31-Dec-2025, Crowe unqualified, 18-Feb-2026) plus the reviewed half (Reviewed consolidated financial statements, six months to 30-Jun-2026, limited review report attached (note 14-A / 15-A)). Both halves are filed; nothing is annualised.</t>
        </is>
      </c>
    </row>
    <row r="72" ht="40" customHeight="1">
      <c r="A72" s="7" t="inlineStr">
        <is>
          <t>Fuel oil (mix) — tonnes sold</t>
        </is>
      </c>
      <c r="B72" s="28" t="n">
        <v>799642.257</v>
      </c>
      <c r="C72" s="7" t="inlineStr">
        <is>
          <t>Company</t>
        </is>
      </c>
      <c r="D72" s="7" t="inlineStr">
        <is>
          <t>2026-06-30</t>
        </is>
      </c>
      <c r="E72" s="4" t="inlineStr">
        <is>
          <t>Tonnes sold by product line, TWELVE months to 30-Jun-2026 — the audited transition half (note 14-A, Audited consolidated FS, transition period 1-Jul-2025 to 31-Dec-2025, Crowe unqualified, 18-Feb-2026) plus the reviewed half (Reviewed consolidated financial statements, six months to 30-Jun-2026, limited review report attached (note 14-A / 15-A)). Both halves are filed; nothing is annualised.</t>
        </is>
      </c>
    </row>
    <row r="73" ht="40" customHeight="1">
      <c r="A73" s="7" t="inlineStr">
        <is>
          <t>Heavy fuel oil — tonnes sold</t>
        </is>
      </c>
      <c r="B73" s="28" t="n">
        <v>26181.62</v>
      </c>
      <c r="C73" s="7" t="inlineStr">
        <is>
          <t>Company</t>
        </is>
      </c>
      <c r="D73" s="7" t="inlineStr">
        <is>
          <t>2026-06-30</t>
        </is>
      </c>
      <c r="E73" s="4" t="inlineStr">
        <is>
          <t>Tonnes sold by product line, TWELVE months to 30-Jun-2026 — the audited transition half (note 14-A, Audited consolidated FS, transition period 1-Jul-2025 to 31-Dec-2025, Crowe unqualified, 18-Feb-2026) plus the reviewed half (Reviewed consolidated financial statements, six months to 30-Jun-2026, limited review report attached (note 14-A / 15-A)). Both halves are filed; nothing is annualised.</t>
        </is>
      </c>
    </row>
    <row r="74" ht="40" customHeight="1">
      <c r="A74" s="7" t="inlineStr">
        <is>
          <t>Waste — tonnes sold</t>
        </is>
      </c>
      <c r="B74" s="28" t="n">
        <v>16.66</v>
      </c>
      <c r="C74" s="7" t="inlineStr">
        <is>
          <t>Company</t>
        </is>
      </c>
      <c r="D74" s="7" t="inlineStr">
        <is>
          <t>2026-06-30</t>
        </is>
      </c>
      <c r="E74" s="4" t="inlineStr">
        <is>
          <t>Tonnes sold by product line, TWELVE months to 30-Jun-2026 — the audited transition half (note 14-A, Audited consolidated FS, transition period 1-Jul-2025 to 31-Dec-2025, Crowe unqualified, 18-Feb-2026) plus the reviewed half (Reviewed consolidated financial statements, six months to 30-Jun-2026, limited review report attached (note 14-A / 15-A)). Both halves are filed; nothing is annualised.</t>
        </is>
      </c>
    </row>
    <row r="75" ht="40" customHeight="1">
      <c r="A75" s="7" t="inlineStr">
        <is>
          <t>Base and special oils — sales value, EGP</t>
        </is>
      </c>
      <c r="B75" s="27" t="n">
        <v>6910344291</v>
      </c>
      <c r="C75" s="7" t="inlineStr">
        <is>
          <t>Company</t>
        </is>
      </c>
      <c r="D75" s="7" t="inlineStr">
        <is>
          <t>2026-06-30</t>
        </is>
      </c>
      <c r="E75" s="4" t="inlineStr">
        <is>
          <t>Sales value by product line, EGP, TWELVE months to 30-Jun-2026 — the audited transition half (note 14-A, Audited consolidated FS, transition period 1-Jul-2025 to 31-Dec-2025, Crowe unqualified, 18-Feb-2026) plus the reviewed half (Reviewed consolidated financial statements, six months to 30-Jun-2026, limited review report attached (note 14-A / 15-A)). Foots to disclosed twelve-month net sales with no scalar.</t>
        </is>
      </c>
    </row>
    <row r="76" ht="40" customHeight="1">
      <c r="A76" s="7" t="inlineStr">
        <is>
          <t>Paraffin wax — sales value, EGP</t>
        </is>
      </c>
      <c r="B76" s="27" t="n">
        <v>4652865956</v>
      </c>
      <c r="C76" s="7" t="inlineStr">
        <is>
          <t>Company</t>
        </is>
      </c>
      <c r="D76" s="7" t="inlineStr">
        <is>
          <t>2026-06-30</t>
        </is>
      </c>
      <c r="E76" s="4" t="inlineStr">
        <is>
          <t>Sales value by product line, EGP, TWELVE months to 30-Jun-2026 — the audited transition half (note 14-A, Audited consolidated FS, transition period 1-Jul-2025 to 31-Dec-2025, Crowe unqualified, 18-Feb-2026) plus the reviewed half (Reviewed consolidated financial statements, six months to 30-Jun-2026, limited review report attached (note 14-A / 15-A)). Foots to disclosed twelve-month net sales with no scalar.</t>
        </is>
      </c>
    </row>
    <row r="77" ht="40" customHeight="1">
      <c r="A77" s="7" t="inlineStr">
        <is>
          <t>Gas oil — sales value, EGP</t>
        </is>
      </c>
      <c r="B77" s="27" t="n">
        <v>13032962579</v>
      </c>
      <c r="C77" s="7" t="inlineStr">
        <is>
          <t>Company</t>
        </is>
      </c>
      <c r="D77" s="7" t="inlineStr">
        <is>
          <t>2026-06-30</t>
        </is>
      </c>
      <c r="E77" s="4" t="inlineStr">
        <is>
          <t>Sales value by product line, EGP, TWELVE months to 30-Jun-2026 — the audited transition half (note 14-A, Audited consolidated FS, transition period 1-Jul-2025 to 31-Dec-2025, Crowe unqualified, 18-Feb-2026) plus the reviewed half (Reviewed consolidated financial statements, six months to 30-Jun-2026, limited review report attached (note 14-A / 15-A)). Foots to disclosed twelve-month net sales with no scalar.</t>
        </is>
      </c>
    </row>
    <row r="78" ht="40" customHeight="1">
      <c r="A78" s="7" t="inlineStr">
        <is>
          <t>Naphtha — sales value, EGP</t>
        </is>
      </c>
      <c r="B78" s="27" t="n">
        <v>2237624310</v>
      </c>
      <c r="C78" s="7" t="inlineStr">
        <is>
          <t>Company</t>
        </is>
      </c>
      <c r="D78" s="7" t="inlineStr">
        <is>
          <t>2026-06-30</t>
        </is>
      </c>
      <c r="E78" s="4" t="inlineStr">
        <is>
          <t>Sales value by product line, EGP, TWELVE months to 30-Jun-2026 — the audited transition half (note 14-A, Audited consolidated FS, transition period 1-Jul-2025 to 31-Dec-2025, Crowe unqualified, 18-Feb-2026) plus the reviewed half (Reviewed consolidated financial statements, six months to 30-Jun-2026, limited review report attached (note 14-A / 15-A)). Foots to disclosed twelve-month net sales with no scalar.</t>
        </is>
      </c>
    </row>
    <row r="79" ht="40" customHeight="1">
      <c r="A79" s="7" t="inlineStr">
        <is>
          <t>Liquefied petroleum gas — sales value, EGP</t>
        </is>
      </c>
      <c r="B79" s="27" t="n">
        <v>2070474787</v>
      </c>
      <c r="C79" s="7" t="inlineStr">
        <is>
          <t>Company</t>
        </is>
      </c>
      <c r="D79" s="7" t="inlineStr">
        <is>
          <t>2026-06-30</t>
        </is>
      </c>
      <c r="E79" s="4" t="inlineStr">
        <is>
          <t>Sales value by product line, EGP, TWELVE months to 30-Jun-2026 — the audited transition half (note 14-A, Audited consolidated FS, transition period 1-Jul-2025 to 31-Dec-2025, Crowe unqualified, 18-Feb-2026) plus the reviewed half (Reviewed consolidated financial statements, six months to 30-Jun-2026, limited review report attached (note 14-A / 15-A)). Foots to disclosed twelve-month net sales with no scalar.</t>
        </is>
      </c>
    </row>
    <row r="80" ht="40" customHeight="1">
      <c r="A80" s="7" t="inlineStr">
        <is>
          <t>Fuel oil (mix) — sales value, EGP</t>
        </is>
      </c>
      <c r="B80" s="27" t="n">
        <v>17639509544</v>
      </c>
      <c r="C80" s="7" t="inlineStr">
        <is>
          <t>Company</t>
        </is>
      </c>
      <c r="D80" s="7" t="inlineStr">
        <is>
          <t>2026-06-30</t>
        </is>
      </c>
      <c r="E80" s="4" t="inlineStr">
        <is>
          <t>Sales value by product line, EGP, TWELVE months to 30-Jun-2026 — the audited transition half (note 14-A, Audited consolidated FS, transition period 1-Jul-2025 to 31-Dec-2025, Crowe unqualified, 18-Feb-2026) plus the reviewed half (Reviewed consolidated financial statements, six months to 30-Jun-2026, limited review report attached (note 14-A / 15-A)). Foots to disclosed twelve-month net sales with no scalar.</t>
        </is>
      </c>
    </row>
    <row r="81" ht="40" customHeight="1">
      <c r="A81" s="7" t="inlineStr">
        <is>
          <t>Heavy fuel oil — sales value, EGP</t>
        </is>
      </c>
      <c r="B81" s="27" t="n">
        <v>414784599</v>
      </c>
      <c r="C81" s="7" t="inlineStr">
        <is>
          <t>Company</t>
        </is>
      </c>
      <c r="D81" s="7" t="inlineStr">
        <is>
          <t>2026-06-30</t>
        </is>
      </c>
      <c r="E81" s="4" t="inlineStr">
        <is>
          <t>Sales value by product line, EGP, TWELVE months to 30-Jun-2026 — the audited transition half (note 14-A, Audited consolidated FS, transition period 1-Jul-2025 to 31-Dec-2025, Crowe unqualified, 18-Feb-2026) plus the reviewed half (Reviewed consolidated financial statements, six months to 30-Jun-2026, limited review report attached (note 14-A / 15-A)). Foots to disclosed twelve-month net sales with no scalar.</t>
        </is>
      </c>
    </row>
    <row r="82" ht="40" customHeight="1">
      <c r="A82" s="7" t="inlineStr">
        <is>
          <t>Waste — sales value, EGP</t>
        </is>
      </c>
      <c r="B82" s="27" t="n">
        <v>192200</v>
      </c>
      <c r="C82" s="7" t="inlineStr">
        <is>
          <t>Company</t>
        </is>
      </c>
      <c r="D82" s="7" t="inlineStr">
        <is>
          <t>2026-06-30</t>
        </is>
      </c>
      <c r="E82" s="4" t="inlineStr">
        <is>
          <t>Sales value by product line, EGP, TWELVE months to 30-Jun-2026 — the audited transition half (note 14-A, Audited consolidated FS, transition period 1-Jul-2025 to 31-Dec-2025, Crowe unqualified, 18-Feb-2026) plus the reviewed half (Reviewed consolidated financial statements, six months to 30-Jun-2026, limited review report attached (note 14-A / 15-A)). Foots to disclosed twelve-month net sales with no scalar.</t>
        </is>
      </c>
    </row>
    <row r="83">
      <c r="A83" s="11" t="inlineStr">
        <is>
          <t>NOTE 15-A — the audited cost stack, 6M to 31-Dec-2025</t>
        </is>
      </c>
      <c r="B83" s="13" t="n"/>
      <c r="C83" s="13" t="n"/>
      <c r="D83" s="13" t="n"/>
      <c r="E83" s="13" t="n"/>
      <c r="F83" s="13" t="n"/>
    </row>
    <row r="84" ht="30" customHeight="1">
      <c r="A84" s="7" t="inlineStr">
        <is>
          <t>Raw materials</t>
        </is>
      </c>
      <c r="B84" s="27" t="n">
        <v>17650102725</v>
      </c>
      <c r="C84" s="7" t="inlineStr">
        <is>
          <t>Company</t>
        </is>
      </c>
      <c r="D84" s="7" t="inlineStr">
        <is>
          <t>2025-12-31</t>
        </is>
      </c>
      <c r="E84" s="4" t="inlineStr">
        <is>
          <t>Cost of sales — RAW MATERIALS, six months to 31-Dec-2025 (note 15-A). 90.7% of cost of sales and 85.1% of revenue: this single line is what the company is. Audited consolidated FS, transition period 1-Jul-2025 to 31-Dec-2025, Crowe unqualified, 18-Feb-2026</t>
        </is>
      </c>
    </row>
    <row r="85" ht="20" customHeight="1">
      <c r="A85" s="7" t="inlineStr">
        <is>
          <t>Salaries</t>
        </is>
      </c>
      <c r="B85" s="27" t="n">
        <v>881019497</v>
      </c>
      <c r="C85" s="7" t="inlineStr">
        <is>
          <t>Company</t>
        </is>
      </c>
      <c r="D85" s="7" t="inlineStr">
        <is>
          <t>2025-12-31</t>
        </is>
      </c>
      <c r="E85" s="4" t="inlineStr">
        <is>
          <t>Cost of sales — salaries, six months to 31-Dec-2025 (note 15-A). Audited consolidated FS, transition period 1-Jul-2025 to 31-Dec-2025, Crowe unqualified, 18-Feb-2026</t>
        </is>
      </c>
    </row>
    <row r="86" ht="40" customHeight="1">
      <c r="A86" s="7" t="inlineStr">
        <is>
          <t>Other expenses</t>
        </is>
      </c>
      <c r="B86" s="27" t="n">
        <v>807146755</v>
      </c>
      <c r="C86" s="7" t="inlineStr">
        <is>
          <t>Company</t>
        </is>
      </c>
      <c r="D86" s="7" t="inlineStr">
        <is>
          <t>2025-12-31</t>
        </is>
      </c>
      <c r="E86" s="4" t="inlineStr">
        <is>
          <t>Cost of sales — other expenses, six months to 31-Dec-2025 (note 15-A): natural gas, operating electricity, operating water, spare parts, maintenance, and the operating management and technical support contract with the Egyptian Projects Operations &amp; Maintenance Company (EPROM). Audited consolidated FS, transition period 1-Jul-2025 to 31-Dec-2025, Crowe unqualified, 18-Feb-2026</t>
        </is>
      </c>
    </row>
    <row r="87" ht="20" customHeight="1">
      <c r="A87" s="7" t="inlineStr">
        <is>
          <t>Supporting materials (chemicals and additives)</t>
        </is>
      </c>
      <c r="B87" s="27" t="n">
        <v>64533723</v>
      </c>
      <c r="C87" s="7" t="inlineStr">
        <is>
          <t>Company</t>
        </is>
      </c>
      <c r="D87" s="7" t="inlineStr">
        <is>
          <t>2025-12-31</t>
        </is>
      </c>
      <c r="E87" s="4" t="inlineStr">
        <is>
          <t>Cost of sales — supporting materials (chemicals and additives), six months to 31-Dec-2025 (note 15-A). The previous edition estimated this charge at roughly five times the disclosed figure</t>
        </is>
      </c>
    </row>
    <row r="88" ht="20" customHeight="1">
      <c r="A88" s="7" t="inlineStr">
        <is>
          <t>Depreciation</t>
        </is>
      </c>
      <c r="B88" s="27" t="n">
        <v>58748046</v>
      </c>
      <c r="C88" s="7" t="inlineStr">
        <is>
          <t>Company</t>
        </is>
      </c>
      <c r="D88" s="7" t="inlineStr">
        <is>
          <t>2025-12-31</t>
        </is>
      </c>
      <c r="E88" s="4" t="inlineStr">
        <is>
          <t>Cost of sales — depreciation, six months to 31-Dec-2025 (note 15-A). Audited consolidated FS, transition period 1-Jul-2025 to 31-Dec-2025, Crowe unqualified, 18-Feb-2026</t>
        </is>
      </c>
    </row>
    <row r="89">
      <c r="A89" s="11" t="inlineStr">
        <is>
          <t>BALANCE SHEET AT 31 DECEMBER 2025 (AUDITED)</t>
        </is>
      </c>
      <c r="B89" s="13" t="n"/>
      <c r="C89" s="13" t="n"/>
      <c r="D89" s="13" t="n"/>
      <c r="E89" s="13" t="n"/>
      <c r="F89" s="13" t="n"/>
    </row>
    <row r="90" ht="20" customHeight="1">
      <c r="A90" s="7" t="inlineStr">
        <is>
          <t>Fixed assets, net</t>
        </is>
      </c>
      <c r="B90" s="27" t="n">
        <v>873010517</v>
      </c>
      <c r="C90" s="7" t="inlineStr">
        <is>
          <t>Company</t>
        </is>
      </c>
      <c r="D90" s="7" t="inlineStr">
        <is>
          <t>2026-06-30</t>
        </is>
      </c>
      <c r="E90" s="4" t="inlineStr">
        <is>
          <t>Fixed assets net of accumulated depreciation at 30-Jun-2026 (note 6). Reviewed consolidated FS, six months to 30-Jun-2026, limited review</t>
        </is>
      </c>
    </row>
    <row r="91" ht="40" customHeight="1">
      <c r="A91" s="7" t="inlineStr">
        <is>
          <t>Fixed assets, at COST</t>
        </is>
      </c>
      <c r="B91" s="27" t="n">
        <v>2740810692</v>
      </c>
      <c r="C91" s="7" t="inlineStr">
        <is>
          <t>Company</t>
        </is>
      </c>
      <c r="D91" s="7" t="inlineStr">
        <is>
          <t>2025-12-31</t>
        </is>
      </c>
      <c r="E91" s="4" t="inlineStr">
        <is>
          <t>Fixed assets at COST at 31-Dec-2025 (note 6), before accumulated depreciation of 1,847,794,418. The gross figure is what a replacement-capex line has to be built on; the net figure is what the terminal return is flattered by. Audited consolidated FS, transition period 1-Jul-2025 to 31-Dec-2025, Crowe unqualified, 18-Feb-2026</t>
        </is>
      </c>
    </row>
    <row r="92" ht="20" customHeight="1">
      <c r="A92" s="7" t="inlineStr">
        <is>
          <t>Projects under construction</t>
        </is>
      </c>
      <c r="B92" s="27" t="n">
        <v>414641768</v>
      </c>
      <c r="C92" s="7" t="inlineStr">
        <is>
          <t>Company</t>
        </is>
      </c>
      <c r="D92" s="7" t="inlineStr">
        <is>
          <t>2026-06-30</t>
        </is>
      </c>
      <c r="E92" s="4" t="inlineStr">
        <is>
          <t>Projects under construction at 30-Jun-2026 (note 7). Reviewed consolidated FS, six months to 30-Jun-2026, limited review</t>
        </is>
      </c>
    </row>
    <row r="93" ht="20" customHeight="1">
      <c r="A93" s="7" t="inlineStr">
        <is>
          <t>Inventory</t>
        </is>
      </c>
      <c r="B93" s="27" t="n">
        <v>3764066490</v>
      </c>
      <c r="C93" s="7" t="inlineStr">
        <is>
          <t>Company</t>
        </is>
      </c>
      <c r="D93" s="7" t="inlineStr">
        <is>
          <t>2026-06-30</t>
        </is>
      </c>
      <c r="E93" s="4" t="inlineStr">
        <is>
          <t>Inventory net of impairment at 30-Jun-2026 (note 9-A). Reviewed consolidated FS, six months to 30-Jun-2026, limited review</t>
        </is>
      </c>
    </row>
    <row r="94" ht="20" customHeight="1">
      <c r="A94" s="7" t="inlineStr">
        <is>
          <t>Trade receivables</t>
        </is>
      </c>
      <c r="B94" s="27" t="n">
        <v>2035100729</v>
      </c>
      <c r="C94" s="7" t="inlineStr">
        <is>
          <t>Company</t>
        </is>
      </c>
      <c r="D94" s="7" t="inlineStr">
        <is>
          <t>2026-06-30</t>
        </is>
      </c>
      <c r="E94" s="4" t="inlineStr">
        <is>
          <t>Accounts receivable net at 30-Jun-2026 (note 9-B). Reviewed consolidated FS, six months to 30-Jun-2026, limited review</t>
        </is>
      </c>
    </row>
    <row r="95" ht="20" customHeight="1">
      <c r="A95" s="7" t="inlineStr">
        <is>
          <t>Debtors and other debit balances</t>
        </is>
      </c>
      <c r="B95" s="27" t="n">
        <v>632115619</v>
      </c>
      <c r="C95" s="7" t="inlineStr">
        <is>
          <t>Company</t>
        </is>
      </c>
      <c r="D95" s="7" t="inlineStr">
        <is>
          <t>2026-06-30</t>
        </is>
      </c>
      <c r="E95" s="4" t="inlineStr">
        <is>
          <t>Debtors and other debit balances net at 30-Jun-2026 (notes 9-C, 9-D). Reviewed consolidated FS, six months to 30-Jun-2026, limited review</t>
        </is>
      </c>
    </row>
    <row r="96" ht="20" customHeight="1">
      <c r="A96" s="7" t="inlineStr">
        <is>
          <t>Accounts and notes payable</t>
        </is>
      </c>
      <c r="B96" s="27" t="n">
        <v>14015841</v>
      </c>
      <c r="C96" s="7" t="inlineStr">
        <is>
          <t>Company</t>
        </is>
      </c>
      <c r="D96" s="7" t="inlineStr">
        <is>
          <t>2026-06-30</t>
        </is>
      </c>
      <c r="E96" s="4" t="inlineStr">
        <is>
          <t>Accounts and notes payable at 30-Jun-2026 (note 10-3). Reviewed consolidated FS, six months to 30-Jun-2026, limited review</t>
        </is>
      </c>
    </row>
    <row r="97" ht="20" customHeight="1">
      <c r="A97" s="7" t="inlineStr">
        <is>
          <t>Creditors and other credit balances</t>
        </is>
      </c>
      <c r="B97" s="27" t="n">
        <v>3286150065</v>
      </c>
      <c r="C97" s="7" t="inlineStr">
        <is>
          <t>Company</t>
        </is>
      </c>
      <c r="D97" s="7" t="inlineStr">
        <is>
          <t>2026-06-30</t>
        </is>
      </c>
      <c r="E97" s="4" t="inlineStr">
        <is>
          <t>Creditors and other credit balances at 30-Jun-2026 (note 11). Reviewed consolidated FS, six months to 30-Jun-2026, limited review</t>
        </is>
      </c>
    </row>
    <row r="98" ht="30" customHeight="1">
      <c r="A98" s="7" t="inlineStr">
        <is>
          <t>of which DIVIDENDS PAYABLE — a financing claim</t>
        </is>
      </c>
      <c r="B98" s="27" t="n">
        <v>258300000</v>
      </c>
      <c r="C98" s="7" t="inlineStr">
        <is>
          <t>Company</t>
        </is>
      </c>
      <c r="D98" s="7" t="inlineStr">
        <is>
          <t>2026-06-30</t>
        </is>
      </c>
      <c r="E98" s="4" t="inlineStr">
        <is>
          <t>Dividends payable at 30-Jun-2026 (note 11) — HALF the 517,250,000 standing six months earlier, because the declared dividend was largely paid. Reviewed consolidated FS, six months to 30-Jun-2026, limited review</t>
        </is>
      </c>
    </row>
    <row r="99" ht="20" customHeight="1">
      <c r="A99" s="7" t="inlineStr">
        <is>
          <t>Provisions — tax disputes and claims</t>
        </is>
      </c>
      <c r="B99" s="27" t="n">
        <v>996857074</v>
      </c>
      <c r="C99" s="7" t="inlineStr">
        <is>
          <t>Company</t>
        </is>
      </c>
      <c r="D99" s="7" t="inlineStr">
        <is>
          <t>2026-06-30</t>
        </is>
      </c>
      <c r="E99" s="4" t="inlineStr">
        <is>
          <t>Provisions at 30-Jun-2026 (note 10-1) — a recognised liability, carried in full in the bridge. Reviewed consolidated FS, six months to 30-Jun-2026, limited review</t>
        </is>
      </c>
    </row>
    <row r="100" ht="20" customHeight="1">
      <c r="A100" s="7" t="inlineStr">
        <is>
          <t>Cash at banks and on hand, free</t>
        </is>
      </c>
      <c r="B100" s="27" t="n">
        <v>3018394920</v>
      </c>
      <c r="C100" s="7" t="inlineStr">
        <is>
          <t>Company</t>
        </is>
      </c>
      <c r="D100" s="7" t="inlineStr">
        <is>
          <t>2026-06-30</t>
        </is>
      </c>
      <c r="E100" s="4" t="inlineStr">
        <is>
          <t>Cash and cash equivalents at 30-Jun-2026 (note 9-E). UP from 2,463,522,365 six months earlier AFTER paying 861,257,265 of dividends. Reviewed consolidated FS, six months to 30-Jun-2026, limited review</t>
        </is>
      </c>
    </row>
    <row r="101" ht="20" customHeight="1">
      <c r="A101" s="7" t="inlineStr">
        <is>
          <t>Deposits PLEDGED against facilities</t>
        </is>
      </c>
      <c r="B101" s="27" t="n">
        <v>525170000</v>
      </c>
      <c r="C101" s="7" t="inlineStr">
        <is>
          <t>Company</t>
        </is>
      </c>
      <c r="D101" s="7" t="inlineStr">
        <is>
          <t>2026-06-30</t>
        </is>
      </c>
      <c r="E101" s="4" t="inlineStr">
        <is>
          <t>Other financial investments at 30-Jun-2026 — deposits PLEDGED against facilities, not free cash. Reviewed consolidated FS, six months to 30-Jun-2026, limited review</t>
        </is>
      </c>
    </row>
    <row r="102" ht="30" customHeight="1">
      <c r="A102" s="7" t="inlineStr">
        <is>
          <t>Equity investment at fair value through OCI</t>
        </is>
      </c>
      <c r="B102" s="27" t="n">
        <v>69608696</v>
      </c>
      <c r="C102" s="7" t="inlineStr">
        <is>
          <t>Company</t>
        </is>
      </c>
      <c r="D102" s="7" t="inlineStr">
        <is>
          <t>2025-12-31</t>
        </is>
      </c>
      <c r="E102" s="4" t="inlineStr">
        <is>
          <t>Financial asset through OCI at 31-Dec-2025 — 104,000 shares, 5.20% of ASCPC, fair value 69,608,696 (note 8-1). Audited consolidated FS, transition period 1-Jul-2025 to 31-Dec-2025, Crowe unqualified, 18-Feb-2026</t>
        </is>
      </c>
    </row>
    <row r="103" ht="20" customHeight="1">
      <c r="A103" s="7" t="inlineStr">
        <is>
          <t>Long-term loans</t>
        </is>
      </c>
      <c r="B103" s="27" t="n">
        <v>12137451</v>
      </c>
      <c r="C103" s="7" t="inlineStr">
        <is>
          <t>Company</t>
        </is>
      </c>
      <c r="D103" s="7" t="inlineStr">
        <is>
          <t>2026-06-30</t>
        </is>
      </c>
      <c r="E103" s="4" t="inlineStr">
        <is>
          <t>Long-term loans at 30-Jun-2026 (note 20). Reviewed consolidated FS, six months to 30-Jun-2026, limited review</t>
        </is>
      </c>
    </row>
    <row r="104" ht="20" customHeight="1">
      <c r="A104" s="7" t="inlineStr">
        <is>
          <t>Short-term loans</t>
        </is>
      </c>
      <c r="B104" s="27" t="n">
        <v>4715153</v>
      </c>
      <c r="C104" s="7" t="inlineStr">
        <is>
          <t>Company</t>
        </is>
      </c>
      <c r="D104" s="7" t="inlineStr">
        <is>
          <t>2026-06-30</t>
        </is>
      </c>
      <c r="E104" s="4" t="inlineStr">
        <is>
          <t>Short-term loans and facilities at 30-Jun-2026 (note 20). Reviewed consolidated FS, six months to 30-Jun-2026, limited review</t>
        </is>
      </c>
    </row>
    <row r="105" ht="20" customHeight="1">
      <c r="A105" s="7" t="inlineStr">
        <is>
          <t>Parent equity</t>
        </is>
      </c>
      <c r="B105" s="27" t="n">
        <v>6070338949</v>
      </c>
      <c r="C105" s="7" t="inlineStr">
        <is>
          <t>Company</t>
        </is>
      </c>
      <c r="D105" s="7" t="inlineStr">
        <is>
          <t>2026-06-30</t>
        </is>
      </c>
      <c r="E105" s="4" t="inlineStr">
        <is>
          <t>Total AMOC (parent) equity at 30-Jun-2026 — EGP 4.70 a share, against 4,790,695,948 six months earlier. Reviewed consolidated FS, six months to 30-Jun-2026, limited review</t>
        </is>
      </c>
    </row>
    <row r="106" ht="20" customHeight="1">
      <c r="A106" s="7" t="inlineStr">
        <is>
          <t>Non-controlling interest, carrying</t>
        </is>
      </c>
      <c r="B106" s="27" t="n">
        <v>72835277</v>
      </c>
      <c r="C106" s="7" t="inlineStr">
        <is>
          <t>Company</t>
        </is>
      </c>
      <c r="D106" s="7" t="inlineStr">
        <is>
          <t>2026-06-30</t>
        </is>
      </c>
      <c r="E106" s="4" t="inlineStr">
        <is>
          <t>Non-controlling interest carrying amount at 30-Jun-2026. Reviewed consolidated FS, six months to 30-Jun-2026, limited review</t>
        </is>
      </c>
    </row>
    <row r="107">
      <c r="A107" s="11" t="inlineStr">
        <is>
          <t>DRIVERS</t>
        </is>
      </c>
      <c r="B107" s="13" t="n"/>
      <c r="C107" s="13" t="n"/>
      <c r="D107" s="13" t="n"/>
      <c r="E107" s="13" t="n"/>
      <c r="F107" s="13" t="n"/>
    </row>
    <row r="108" ht="20" customHeight="1">
      <c r="A108" s="7" t="inlineStr">
        <is>
          <t>Statutory tax rate — applied to operating profit</t>
        </is>
      </c>
      <c r="B108" s="29" t="n">
        <v>0.225</v>
      </c>
      <c r="C108" s="7" t="inlineStr">
        <is>
          <t>Country</t>
        </is>
      </c>
      <c r="D108" s="7" t="inlineStr">
        <is>
          <t>2026</t>
        </is>
      </c>
      <c r="E108" s="4" t="inlineStr">
        <is>
          <t>Egypt corporate income tax 22.5%. AMOC is a downstream processor and is taxed at the ordinary corporate rate, not the ~40.55% rate that applies to exploration and production concessions</t>
        </is>
      </c>
    </row>
    <row r="109" ht="40" customHeight="1">
      <c r="A109" s="7" t="inlineStr">
        <is>
          <t>Feedstock pass-through factor</t>
        </is>
      </c>
      <c r="B109" s="26" t="n">
        <v>1</v>
      </c>
      <c r="C109" s="7" t="inlineStr">
        <is>
          <t>House</t>
        </is>
      </c>
      <c r="D109" s="7" t="inlineStr">
        <is>
          <t>2026-08-06</t>
        </is>
      </c>
      <c r="E109" s="4" t="inlineStr">
        <is>
          <t>Pass-through factor on the raw-material line: 1.0 means the feedstock charge moves one-for-one with realisation and volume, so the gross SPREAD per tonne is held flat in real terms and the margin neither widens nor narrows by assumption. Setting it below 1.0 is the way to express spread widening; the study leaves it at parity and sensitises it</t>
        </is>
      </c>
    </row>
    <row r="110" ht="60" customHeight="1">
      <c r="A110" s="7" t="inlineStr">
        <is>
          <t>Terminal growth</t>
        </is>
      </c>
      <c r="B110" s="29" t="n">
        <v>0.07000000000000001</v>
      </c>
      <c r="C110" s="7" t="inlineStr">
        <is>
          <t>Country</t>
        </is>
      </c>
      <c r="D110" s="7" t="inlineStr">
        <is>
          <t>2026-08-06</t>
        </is>
      </c>
      <c r="E110" s="4" t="inlineStr">
        <is>
          <t>Terminal growth, 7% — INFLATION ONLY, and no real growth at all. It is set equal to the central bank's published inflation target, which is the same 7% embedded in this study's own terminal risk-free rate. The previous edition used 5% against that identical 12.5% nominal rate, which is a business shrinking about 2% a year in real terms for ever — an assumption never stated as one, on a plant serving a population growing 1.6% a year. Zero real growth is still the conservative end: it assumes AMOC never again grows a tonne</t>
        </is>
      </c>
    </row>
    <row r="111" ht="30" customHeight="1">
      <c r="A111" s="7" t="inlineStr">
        <is>
          <t>Sustainable return on equity — book lens</t>
        </is>
      </c>
      <c r="B111" s="29" t="n">
        <v>0.28</v>
      </c>
      <c r="C111" s="7" t="inlineStr">
        <is>
          <t>House</t>
        </is>
      </c>
      <c r="D111" s="7" t="inlineStr">
        <is>
          <t>2026-08-06</t>
        </is>
      </c>
      <c r="E111" s="4" t="inlineStr">
        <is>
          <t>Sustainable return on equity for the book lens. Trailing return on average parent equity is about 33%; the sustainable rate is struck below it because the reported figure is flattered by a heavily written-down asset base that will have to be renewed</t>
        </is>
      </c>
    </row>
    <row r="112" ht="40" customHeight="1">
      <c r="A112" s="7" t="inlineStr">
        <is>
          <t>Justified price/earnings — normalised lens</t>
        </is>
      </c>
      <c r="B112" s="26" t="n">
        <v>7.5</v>
      </c>
      <c r="C112" s="7" t="inlineStr">
        <is>
          <t>House</t>
        </is>
      </c>
      <c r="D112" s="7" t="inlineStr">
        <is>
          <t>2026-08-06</t>
        </is>
      </c>
      <c r="E112" s="4" t="inlineStr">
        <is>
          <t>Justified through-cycle price-to-earnings multiple on normalised earnings. Trailing is about 7.5x on the constructed 2025 base. A single-asset processor with a 20% state shareholder, an administered feedstock relationship and an Egyptian cost of equity near 28% does not earn a premium multiple. Bear 5.5x / bull 9.5x</t>
        </is>
      </c>
    </row>
    <row r="113" ht="80" customHeight="1">
      <c r="A113" s="7" t="inlineStr">
        <is>
          <t>Re-rating on own trailing EV/EBITDA — relative lens</t>
        </is>
      </c>
      <c r="B113" s="29" t="n">
        <v>0</v>
      </c>
      <c r="C113" s="7" t="inlineStr">
        <is>
          <t>House</t>
        </is>
      </c>
      <c r="D113" s="7" t="inlineStr">
        <is>
          <t>2026-08-06</t>
        </is>
      </c>
      <c r="E113" s="4" t="inlineStr">
        <is>
          <t>Re-rating applied to the company's OWN trailing enterprise-value to EBITDA multiple in the relative lens. ZERO: the name is held at the multiple the market already pays it. The justified multiple is no longer a free number — it is DERIVED as the trailing multiple times one plus this figure, so it cannot drift away from the company's own pricing without the drift being visible. The previous edition set 4.5x by hand and justified it as 'holding the name at its own trailing level' against a stated trailing multiple of 'around 4.6x'; the model's own output was different, so the stated justification was false whichever way the multiple was struck. Holding at zero re-rating makes the lens a statement about the BRIDGE — what the disclosed claims on the cash are worth — rather than a disguised view on the multiple</t>
        </is>
      </c>
    </row>
    <row r="114" ht="90" customHeight="1">
      <c r="A114" s="7" t="inlineStr">
        <is>
          <t>Processing intensity — Base and special oils</t>
        </is>
      </c>
      <c r="B114" s="30" t="n">
        <v>1</v>
      </c>
      <c r="C114" s="7" t="inlineStr">
        <is>
          <t>House</t>
        </is>
      </c>
      <c r="D114" s="7" t="inlineStr">
        <is>
          <t>2026-08-06</t>
        </is>
      </c>
      <c r="E114" s="4" t="inlineStr">
        <is>
          <t>Processing intensity by product line, relative weights, used to allocate the note 15-A conversion stack (salaries, supporting materials, other, depreciation) across the eight disclosed lines. Base oils are the reference at 1.00: they pass the full lube train — vacuum distillation, solvent extraction, dewaxing, hydrofinishing. Paraffin wax carries 1.15 for the additional deoiling and sweating steps. Gas oil, naphtha and LPG are light ends drawn off the front of the process and carry 0.25/0.20/0.15. Fuel oil and heavy fuel oil are the residue, sold substantially as produced, at 0.05. THIS IS THE ONLY OPERATING INPUT IN THE MODEL THAT IS NOT READ OFF A FILING, and it exists because note 15-A discloses the cost stack for the company and not by line. It is stated here rather than hidden in a formula, and the valuation is sensitised to it</t>
        </is>
      </c>
    </row>
    <row r="115" ht="90" customHeight="1">
      <c r="A115" s="7" t="inlineStr">
        <is>
          <t>Processing intensity — Paraffin wax</t>
        </is>
      </c>
      <c r="B115" s="30" t="n">
        <v>1.15</v>
      </c>
      <c r="C115" s="7" t="inlineStr">
        <is>
          <t>House</t>
        </is>
      </c>
      <c r="D115" s="7" t="inlineStr">
        <is>
          <t>2026-08-06</t>
        </is>
      </c>
      <c r="E115" s="4" t="inlineStr">
        <is>
          <t>Processing intensity by product line, relative weights, used to allocate the note 15-A conversion stack (salaries, supporting materials, other, depreciation) across the eight disclosed lines. Base oils are the reference at 1.00: they pass the full lube train — vacuum distillation, solvent extraction, dewaxing, hydrofinishing. Paraffin wax carries 1.15 for the additional deoiling and sweating steps. Gas oil, naphtha and LPG are light ends drawn off the front of the process and carry 0.25/0.20/0.15. Fuel oil and heavy fuel oil are the residue, sold substantially as produced, at 0.05. THIS IS THE ONLY OPERATING INPUT IN THE MODEL THAT IS NOT READ OFF A FILING, and it exists because note 15-A discloses the cost stack for the company and not by line. It is stated here rather than hidden in a formula, and the valuation is sensitised to it</t>
        </is>
      </c>
    </row>
    <row r="116" ht="90" customHeight="1">
      <c r="A116" s="7" t="inlineStr">
        <is>
          <t>Processing intensity — Gas oil</t>
        </is>
      </c>
      <c r="B116" s="30" t="n">
        <v>0.25</v>
      </c>
      <c r="C116" s="7" t="inlineStr">
        <is>
          <t>House</t>
        </is>
      </c>
      <c r="D116" s="7" t="inlineStr">
        <is>
          <t>2026-08-06</t>
        </is>
      </c>
      <c r="E116" s="4" t="inlineStr">
        <is>
          <t>Processing intensity by product line, relative weights, used to allocate the note 15-A conversion stack (salaries, supporting materials, other, depreciation) across the eight disclosed lines. Base oils are the reference at 1.00: they pass the full lube train — vacuum distillation, solvent extraction, dewaxing, hydrofinishing. Paraffin wax carries 1.15 for the additional deoiling and sweating steps. Gas oil, naphtha and LPG are light ends drawn off the front of the process and carry 0.25/0.20/0.15. Fuel oil and heavy fuel oil are the residue, sold substantially as produced, at 0.05. THIS IS THE ONLY OPERATING INPUT IN THE MODEL THAT IS NOT READ OFF A FILING, and it exists because note 15-A discloses the cost stack for the company and not by line. It is stated here rather than hidden in a formula, and the valuation is sensitised to it</t>
        </is>
      </c>
    </row>
    <row r="117" ht="90" customHeight="1">
      <c r="A117" s="7" t="inlineStr">
        <is>
          <t>Processing intensity — Naphtha</t>
        </is>
      </c>
      <c r="B117" s="30" t="n">
        <v>0.2</v>
      </c>
      <c r="C117" s="7" t="inlineStr">
        <is>
          <t>House</t>
        </is>
      </c>
      <c r="D117" s="7" t="inlineStr">
        <is>
          <t>2026-08-06</t>
        </is>
      </c>
      <c r="E117" s="4" t="inlineStr">
        <is>
          <t>Processing intensity by product line, relative weights, used to allocate the note 15-A conversion stack (salaries, supporting materials, other, depreciation) across the eight disclosed lines. Base oils are the reference at 1.00: they pass the full lube train — vacuum distillation, solvent extraction, dewaxing, hydrofinishing. Paraffin wax carries 1.15 for the additional deoiling and sweating steps. Gas oil, naphtha and LPG are light ends drawn off the front of the process and carry 0.25/0.20/0.15. Fuel oil and heavy fuel oil are the residue, sold substantially as produced, at 0.05. THIS IS THE ONLY OPERATING INPUT IN THE MODEL THAT IS NOT READ OFF A FILING, and it exists because note 15-A discloses the cost stack for the company and not by line. It is stated here rather than hidden in a formula, and the valuation is sensitised to it</t>
        </is>
      </c>
    </row>
    <row r="118" ht="90" customHeight="1">
      <c r="A118" s="7" t="inlineStr">
        <is>
          <t>Processing intensity — Liquefied petroleum gas</t>
        </is>
      </c>
      <c r="B118" s="30" t="n">
        <v>0.15</v>
      </c>
      <c r="C118" s="7" t="inlineStr">
        <is>
          <t>House</t>
        </is>
      </c>
      <c r="D118" s="7" t="inlineStr">
        <is>
          <t>2026-08-06</t>
        </is>
      </c>
      <c r="E118" s="4" t="inlineStr">
        <is>
          <t>Processing intensity by product line, relative weights, used to allocate the note 15-A conversion stack (salaries, supporting materials, other, depreciation) across the eight disclosed lines. Base oils are the reference at 1.00: they pass the full lube train — vacuum distillation, solvent extraction, dewaxing, hydrofinishing. Paraffin wax carries 1.15 for the additional deoiling and sweating steps. Gas oil, naphtha and LPG are light ends drawn off the front of the process and carry 0.25/0.20/0.15. Fuel oil and heavy fuel oil are the residue, sold substantially as produced, at 0.05. THIS IS THE ONLY OPERATING INPUT IN THE MODEL THAT IS NOT READ OFF A FILING, and it exists because note 15-A discloses the cost stack for the company and not by line. It is stated here rather than hidden in a formula, and the valuation is sensitised to it</t>
        </is>
      </c>
    </row>
    <row r="119" ht="90" customHeight="1">
      <c r="A119" s="7" t="inlineStr">
        <is>
          <t>Processing intensity — Fuel oil (mix)</t>
        </is>
      </c>
      <c r="B119" s="30" t="n">
        <v>0.05</v>
      </c>
      <c r="C119" s="7" t="inlineStr">
        <is>
          <t>House</t>
        </is>
      </c>
      <c r="D119" s="7" t="inlineStr">
        <is>
          <t>2026-08-06</t>
        </is>
      </c>
      <c r="E119" s="4" t="inlineStr">
        <is>
          <t>Processing intensity by product line, relative weights, used to allocate the note 15-A conversion stack (salaries, supporting materials, other, depreciation) across the eight disclosed lines. Base oils are the reference at 1.00: they pass the full lube train — vacuum distillation, solvent extraction, dewaxing, hydrofinishing. Paraffin wax carries 1.15 for the additional deoiling and sweating steps. Gas oil, naphtha and LPG are light ends drawn off the front of the process and carry 0.25/0.20/0.15. Fuel oil and heavy fuel oil are the residue, sold substantially as produced, at 0.05. THIS IS THE ONLY OPERATING INPUT IN THE MODEL THAT IS NOT READ OFF A FILING, and it exists because note 15-A discloses the cost stack for the company and not by line. It is stated here rather than hidden in a formula, and the valuation is sensitised to it</t>
        </is>
      </c>
    </row>
    <row r="120" ht="90" customHeight="1">
      <c r="A120" s="7" t="inlineStr">
        <is>
          <t>Processing intensity — Heavy fuel oil</t>
        </is>
      </c>
      <c r="B120" s="30" t="n">
        <v>0.05</v>
      </c>
      <c r="C120" s="7" t="inlineStr">
        <is>
          <t>House</t>
        </is>
      </c>
      <c r="D120" s="7" t="inlineStr">
        <is>
          <t>2026-08-06</t>
        </is>
      </c>
      <c r="E120" s="4" t="inlineStr">
        <is>
          <t>Processing intensity by product line, relative weights, used to allocate the note 15-A conversion stack (salaries, supporting materials, other, depreciation) across the eight disclosed lines. Base oils are the reference at 1.00: they pass the full lube train — vacuum distillation, solvent extraction, dewaxing, hydrofinishing. Paraffin wax carries 1.15 for the additional deoiling and sweating steps. Gas oil, naphtha and LPG are light ends drawn off the front of the process and carry 0.25/0.20/0.15. Fuel oil and heavy fuel oil are the residue, sold substantially as produced, at 0.05. THIS IS THE ONLY OPERATING INPUT IN THE MODEL THAT IS NOT READ OFF A FILING, and it exists because note 15-A discloses the cost stack for the company and not by line. It is stated here rather than hidden in a formula, and the valuation is sensitised to it</t>
        </is>
      </c>
    </row>
    <row r="121" ht="90" customHeight="1">
      <c r="A121" s="7" t="inlineStr">
        <is>
          <t>Processing intensity — Waste</t>
        </is>
      </c>
      <c r="B121" s="30" t="n">
        <v>0</v>
      </c>
      <c r="C121" s="7" t="inlineStr">
        <is>
          <t>House</t>
        </is>
      </c>
      <c r="D121" s="7" t="inlineStr">
        <is>
          <t>2026-08-06</t>
        </is>
      </c>
      <c r="E121" s="4" t="inlineStr">
        <is>
          <t>Processing intensity by product line, relative weights, used to allocate the note 15-A conversion stack (salaries, supporting materials, other, depreciation) across the eight disclosed lines. Base oils are the reference at 1.00: they pass the full lube train — vacuum distillation, solvent extraction, dewaxing, hydrofinishing. Paraffin wax carries 1.15 for the additional deoiling and sweating steps. Gas oil, naphtha and LPG are light ends drawn off the front of the process and carry 0.25/0.20/0.15. Fuel oil and heavy fuel oil are the residue, sold substantially as produced, at 0.05. THIS IS THE ONLY OPERATING INPUT IN THE MODEL THAT IS NOT READ OFF A FILING, and it exists because note 15-A discloses the cost stack for the company and not by line. It is stated here rather than hidden in a formula, and the valuation is sensitised to it</t>
        </is>
      </c>
    </row>
    <row r="122" ht="50" customHeight="1">
      <c r="A122" s="7" t="inlineStr">
        <is>
          <t>Realisation growth, 2026E</t>
        </is>
      </c>
      <c r="B122" s="29" t="n">
        <v>0.117073</v>
      </c>
      <c r="C122" s="7" t="inlineStr">
        <is>
          <t>Country</t>
        </is>
      </c>
      <c r="D122" s="7" t="inlineStr">
        <is>
          <t>2026-08-06</t>
        </is>
      </c>
      <c r="E122" s="4" t="inlineStr">
        <is>
          <t>Growth in the realised price per tonne, all lines, in EGP. DERIVED, not chosen: crude is held FLAT in dollars — no forecast of it is defensible — and the pound depreciates at the inflation differential between the registered Egyptian path and United States inflation, so a dollar-priced slate fetches that many more pounds. This REPLACES a hand-set path of 9.0% falling to 5.2%, which sat two-thirds below the inflation this same model applies to the company's own costs, with no mechanism given for the gap</t>
        </is>
      </c>
    </row>
    <row r="123" ht="50" customHeight="1">
      <c r="A123" s="7" t="inlineStr">
        <is>
          <t>Realisation growth, 2027E</t>
        </is>
      </c>
      <c r="B123" s="29" t="n">
        <v>0.102439</v>
      </c>
      <c r="C123" s="7" t="inlineStr">
        <is>
          <t>Country</t>
        </is>
      </c>
      <c r="D123" s="7" t="inlineStr">
        <is>
          <t>2026-08-06</t>
        </is>
      </c>
      <c r="E123" s="4" t="inlineStr">
        <is>
          <t>Growth in the realised price per tonne, all lines, in EGP. DERIVED, not chosen: crude is held FLAT in dollars — no forecast of it is defensible — and the pound depreciates at the inflation differential between the registered Egyptian path and United States inflation, so a dollar-priced slate fetches that many more pounds. This REPLACES a hand-set path of 9.0% falling to 5.2%, which sat two-thirds below the inflation this same model applies to the company's own costs, with no mechanism given for the gap</t>
        </is>
      </c>
    </row>
    <row r="124" ht="50" customHeight="1">
      <c r="A124" s="7" t="inlineStr">
        <is>
          <t>Realisation growth, 2028E</t>
        </is>
      </c>
      <c r="B124" s="29" t="n">
        <v>0.08780499999999999</v>
      </c>
      <c r="C124" s="7" t="inlineStr">
        <is>
          <t>Country</t>
        </is>
      </c>
      <c r="D124" s="7" t="inlineStr">
        <is>
          <t>2026-08-06</t>
        </is>
      </c>
      <c r="E124" s="4" t="inlineStr">
        <is>
          <t>Growth in the realised price per tonne, all lines, in EGP. DERIVED, not chosen: crude is held FLAT in dollars — no forecast of it is defensible — and the pound depreciates at the inflation differential between the registered Egyptian path and United States inflation, so a dollar-priced slate fetches that many more pounds. This REPLACES a hand-set path of 9.0% falling to 5.2%, which sat two-thirds below the inflation this same model applies to the company's own costs, with no mechanism given for the gap</t>
        </is>
      </c>
    </row>
    <row r="125" ht="50" customHeight="1">
      <c r="A125" s="7" t="inlineStr">
        <is>
          <t>Realisation growth, 2029E</t>
        </is>
      </c>
      <c r="B125" s="29" t="n">
        <v>0.073171</v>
      </c>
      <c r="C125" s="7" t="inlineStr">
        <is>
          <t>Country</t>
        </is>
      </c>
      <c r="D125" s="7" t="inlineStr">
        <is>
          <t>2026-08-06</t>
        </is>
      </c>
      <c r="E125" s="4" t="inlineStr">
        <is>
          <t>Growth in the realised price per tonne, all lines, in EGP. DERIVED, not chosen: crude is held FLAT in dollars — no forecast of it is defensible — and the pound depreciates at the inflation differential between the registered Egyptian path and United States inflation, so a dollar-priced slate fetches that many more pounds. This REPLACES a hand-set path of 9.0% falling to 5.2%, which sat two-thirds below the inflation this same model applies to the company's own costs, with no mechanism given for the gap</t>
        </is>
      </c>
    </row>
    <row r="126" ht="50" customHeight="1">
      <c r="A126" s="7" t="inlineStr">
        <is>
          <t>Realisation growth, 2030E</t>
        </is>
      </c>
      <c r="B126" s="29" t="n">
        <v>0.06829300000000001</v>
      </c>
      <c r="C126" s="7" t="inlineStr">
        <is>
          <t>Country</t>
        </is>
      </c>
      <c r="D126" s="7" t="inlineStr">
        <is>
          <t>2026-08-06</t>
        </is>
      </c>
      <c r="E126" s="4" t="inlineStr">
        <is>
          <t>Growth in the realised price per tonne, all lines, in EGP. DERIVED, not chosen: crude is held FLAT in dollars — no forecast of it is defensible — and the pound depreciates at the inflation differential between the registered Egyptian path and United States inflation, so a dollar-priced slate fetches that many more pounds. This REPLACES a hand-set path of 9.0% falling to 5.2%, which sat two-thirds below the inflation this same model applies to the company's own costs, with no mechanism given for the gap</t>
        </is>
      </c>
    </row>
    <row r="127" ht="100" customHeight="1">
      <c r="A127" s="7" t="inlineStr">
        <is>
          <t>Volume growth — Base and special oils, 2026E</t>
        </is>
      </c>
      <c r="B127" s="29" t="n">
        <v>0</v>
      </c>
      <c r="C127" s="7" t="inlineStr">
        <is>
          <t>Company</t>
        </is>
      </c>
      <c r="D127" s="7" t="inlineStr">
        <is>
          <t>2026-08-18</t>
        </is>
      </c>
      <c r="E127" s="4" t="inlineStr">
        <is>
          <t>Volume growth by audited product line: FLAT, every line, every year. The previous edition grew every line (oils +4.5%, wax +7.0%, fuel oil +3.0% in year one) and justified the ranking from the value growth printed between two disclosed HALVES. The company's own audited annual record for FY2021-FY2025 says the opposite: total sales tonnage ran 1,492 / 1,548 / 1,449 / 1,433 / 1,262 thousand tonnes, a fall of 18.5% from the FY2022 peak, and six of the eight lines shrank over FY2022-FY2025 (gas oil -8.3% a year, naphtha -7.4%, fuel oil -6.4%, heavy fuel oil -28.2%; only wax +1.1% and LPG +1.7% grew). FLAT IS NOT A NEUTRAL ASSUMPTION HERE, IT IS ALREADY THE OPTIMISTIC ONE: the base year is the transition half annualised at 1,616 thousand tonnes, which is 12.5% ABOVE the five-year mean of 1,437 and above every full year in the record. Holding it flat assumes the rebound printed in one half persists. The bear case reverts toward the five-year mean and the lever is sensitised end to end</t>
        </is>
      </c>
    </row>
    <row r="128" ht="100" customHeight="1">
      <c r="A128" s="7" t="inlineStr">
        <is>
          <t>Volume growth — Base and special oils, 2027E</t>
        </is>
      </c>
      <c r="B128" s="29" t="n">
        <v>0</v>
      </c>
      <c r="C128" s="7" t="inlineStr">
        <is>
          <t>Company</t>
        </is>
      </c>
      <c r="D128" s="7" t="inlineStr">
        <is>
          <t>2026-08-18</t>
        </is>
      </c>
      <c r="E128" s="4" t="inlineStr">
        <is>
          <t>Volume growth by audited product line: FLAT, every line, every year. The previous edition grew every line (oils +4.5%, wax +7.0%, fuel oil +3.0% in year one) and justified the ranking from the value growth printed between two disclosed HALVES. The company's own audited annual record for FY2021-FY2025 says the opposite: total sales tonnage ran 1,492 / 1,548 / 1,449 / 1,433 / 1,262 thousand tonnes, a fall of 18.5% from the FY2022 peak, and six of the eight lines shrank over FY2022-FY2025 (gas oil -8.3% a year, naphtha -7.4%, fuel oil -6.4%, heavy fuel oil -28.2%; only wax +1.1% and LPG +1.7% grew). FLAT IS NOT A NEUTRAL ASSUMPTION HERE, IT IS ALREADY THE OPTIMISTIC ONE: the base year is the transition half annualised at 1,616 thousand tonnes, which is 12.5% ABOVE the five-year mean of 1,437 and above every full year in the record. Holding it flat assumes the rebound printed in one half persists. The bear case reverts toward the five-year mean and the lever is sensitised end to end</t>
        </is>
      </c>
    </row>
    <row r="129" ht="100" customHeight="1">
      <c r="A129" s="7" t="inlineStr">
        <is>
          <t>Volume growth — Base and special oils, 2028E</t>
        </is>
      </c>
      <c r="B129" s="29" t="n">
        <v>0</v>
      </c>
      <c r="C129" s="7" t="inlineStr">
        <is>
          <t>Company</t>
        </is>
      </c>
      <c r="D129" s="7" t="inlineStr">
        <is>
          <t>2026-08-18</t>
        </is>
      </c>
      <c r="E129" s="4" t="inlineStr">
        <is>
          <t>Volume growth by audited product line: FLAT, every line, every year. The previous edition grew every line (oils +4.5%, wax +7.0%, fuel oil +3.0% in year one) and justified the ranking from the value growth printed between two disclosed HALVES. The company's own audited annual record for FY2021-FY2025 says the opposite: total sales tonnage ran 1,492 / 1,548 / 1,449 / 1,433 / 1,262 thousand tonnes, a fall of 18.5% from the FY2022 peak, and six of the eight lines shrank over FY2022-FY2025 (gas oil -8.3% a year, naphtha -7.4%, fuel oil -6.4%, heavy fuel oil -28.2%; only wax +1.1% and LPG +1.7% grew). FLAT IS NOT A NEUTRAL ASSUMPTION HERE, IT IS ALREADY THE OPTIMISTIC ONE: the base year is the transition half annualised at 1,616 thousand tonnes, which is 12.5% ABOVE the five-year mean of 1,437 and above every full year in the record. Holding it flat assumes the rebound printed in one half persists. The bear case reverts toward the five-year mean and the lever is sensitised end to end</t>
        </is>
      </c>
    </row>
    <row r="130" ht="100" customHeight="1">
      <c r="A130" s="7" t="inlineStr">
        <is>
          <t>Volume growth — Base and special oils, 2029E</t>
        </is>
      </c>
      <c r="B130" s="29" t="n">
        <v>0</v>
      </c>
      <c r="C130" s="7" t="inlineStr">
        <is>
          <t>Company</t>
        </is>
      </c>
      <c r="D130" s="7" t="inlineStr">
        <is>
          <t>2026-08-18</t>
        </is>
      </c>
      <c r="E130" s="4" t="inlineStr">
        <is>
          <t>Volume growth by audited product line: FLAT, every line, every year. The previous edition grew every line (oils +4.5%, wax +7.0%, fuel oil +3.0% in year one) and justified the ranking from the value growth printed between two disclosed HALVES. The company's own audited annual record for FY2021-FY2025 says the opposite: total sales tonnage ran 1,492 / 1,548 / 1,449 / 1,433 / 1,262 thousand tonnes, a fall of 18.5% from the FY2022 peak, and six of the eight lines shrank over FY2022-FY2025 (gas oil -8.3% a year, naphtha -7.4%, fuel oil -6.4%, heavy fuel oil -28.2%; only wax +1.1% and LPG +1.7% grew). FLAT IS NOT A NEUTRAL ASSUMPTION HERE, IT IS ALREADY THE OPTIMISTIC ONE: the base year is the transition half annualised at 1,616 thousand tonnes, which is 12.5% ABOVE the five-year mean of 1,437 and above every full year in the record. Holding it flat assumes the rebound printed in one half persists. The bear case reverts toward the five-year mean and the lever is sensitised end to end</t>
        </is>
      </c>
    </row>
    <row r="131" ht="100" customHeight="1">
      <c r="A131" s="7" t="inlineStr">
        <is>
          <t>Volume growth — Base and special oils, 2030E</t>
        </is>
      </c>
      <c r="B131" s="29" t="n">
        <v>0</v>
      </c>
      <c r="C131" s="7" t="inlineStr">
        <is>
          <t>Company</t>
        </is>
      </c>
      <c r="D131" s="7" t="inlineStr">
        <is>
          <t>2026-08-18</t>
        </is>
      </c>
      <c r="E131" s="4" t="inlineStr">
        <is>
          <t>Volume growth by audited product line: FLAT, every line, every year. The previous edition grew every line (oils +4.5%, wax +7.0%, fuel oil +3.0% in year one) and justified the ranking from the value growth printed between two disclosed HALVES. The company's own audited annual record for FY2021-FY2025 says the opposite: total sales tonnage ran 1,492 / 1,548 / 1,449 / 1,433 / 1,262 thousand tonnes, a fall of 18.5% from the FY2022 peak, and six of the eight lines shrank over FY2022-FY2025 (gas oil -8.3% a year, naphtha -7.4%, fuel oil -6.4%, heavy fuel oil -28.2%; only wax +1.1% and LPG +1.7% grew). FLAT IS NOT A NEUTRAL ASSUMPTION HERE, IT IS ALREADY THE OPTIMISTIC ONE: the base year is the transition half annualised at 1,616 thousand tonnes, which is 12.5% ABOVE the five-year mean of 1,437 and above every full year in the record. Holding it flat assumes the rebound printed in one half persists. The bear case reverts toward the five-year mean and the lever is sensitised end to end</t>
        </is>
      </c>
    </row>
    <row r="132" ht="100" customHeight="1">
      <c r="A132" s="7" t="inlineStr">
        <is>
          <t>Volume growth — Paraffin wax, 2026E</t>
        </is>
      </c>
      <c r="B132" s="29" t="n">
        <v>0</v>
      </c>
      <c r="C132" s="7" t="inlineStr">
        <is>
          <t>Company</t>
        </is>
      </c>
      <c r="D132" s="7" t="inlineStr">
        <is>
          <t>2026-08-18</t>
        </is>
      </c>
      <c r="E132" s="4" t="inlineStr">
        <is>
          <t>Volume growth by audited product line: FLAT, every line, every year. The previous edition grew every line (oils +4.5%, wax +7.0%, fuel oil +3.0% in year one) and justified the ranking from the value growth printed between two disclosed HALVES. The company's own audited annual record for FY2021-FY2025 says the opposite: total sales tonnage ran 1,492 / 1,548 / 1,449 / 1,433 / 1,262 thousand tonnes, a fall of 18.5% from the FY2022 peak, and six of the eight lines shrank over FY2022-FY2025 (gas oil -8.3% a year, naphtha -7.4%, fuel oil -6.4%, heavy fuel oil -28.2%; only wax +1.1% and LPG +1.7% grew). FLAT IS NOT A NEUTRAL ASSUMPTION HERE, IT IS ALREADY THE OPTIMISTIC ONE: the base year is the transition half annualised at 1,616 thousand tonnes, which is 12.5% ABOVE the five-year mean of 1,437 and above every full year in the record. Holding it flat assumes the rebound printed in one half persists. The bear case reverts toward the five-year mean and the lever is sensitised end to end</t>
        </is>
      </c>
    </row>
    <row r="133" ht="100" customHeight="1">
      <c r="A133" s="7" t="inlineStr">
        <is>
          <t>Volume growth — Paraffin wax, 2027E</t>
        </is>
      </c>
      <c r="B133" s="29" t="n">
        <v>0</v>
      </c>
      <c r="C133" s="7" t="inlineStr">
        <is>
          <t>Company</t>
        </is>
      </c>
      <c r="D133" s="7" t="inlineStr">
        <is>
          <t>2026-08-18</t>
        </is>
      </c>
      <c r="E133" s="4" t="inlineStr">
        <is>
          <t>Volume growth by audited product line: FLAT, every line, every year. The previous edition grew every line (oils +4.5%, wax +7.0%, fuel oil +3.0% in year one) and justified the ranking from the value growth printed between two disclosed HALVES. The company's own audited annual record for FY2021-FY2025 says the opposite: total sales tonnage ran 1,492 / 1,548 / 1,449 / 1,433 / 1,262 thousand tonnes, a fall of 18.5% from the FY2022 peak, and six of the eight lines shrank over FY2022-FY2025 (gas oil -8.3% a year, naphtha -7.4%, fuel oil -6.4%, heavy fuel oil -28.2%; only wax +1.1% and LPG +1.7% grew). FLAT IS NOT A NEUTRAL ASSUMPTION HERE, IT IS ALREADY THE OPTIMISTIC ONE: the base year is the transition half annualised at 1,616 thousand tonnes, which is 12.5% ABOVE the five-year mean of 1,437 and above every full year in the record. Holding it flat assumes the rebound printed in one half persists. The bear case reverts toward the five-year mean and the lever is sensitised end to end</t>
        </is>
      </c>
    </row>
    <row r="134" ht="100" customHeight="1">
      <c r="A134" s="7" t="inlineStr">
        <is>
          <t>Volume growth — Paraffin wax, 2028E</t>
        </is>
      </c>
      <c r="B134" s="29" t="n">
        <v>0</v>
      </c>
      <c r="C134" s="7" t="inlineStr">
        <is>
          <t>Company</t>
        </is>
      </c>
      <c r="D134" s="7" t="inlineStr">
        <is>
          <t>2026-08-18</t>
        </is>
      </c>
      <c r="E134" s="4" t="inlineStr">
        <is>
          <t>Volume growth by audited product line: FLAT, every line, every year. The previous edition grew every line (oils +4.5%, wax +7.0%, fuel oil +3.0% in year one) and justified the ranking from the value growth printed between two disclosed HALVES. The company's own audited annual record for FY2021-FY2025 says the opposite: total sales tonnage ran 1,492 / 1,548 / 1,449 / 1,433 / 1,262 thousand tonnes, a fall of 18.5% from the FY2022 peak, and six of the eight lines shrank over FY2022-FY2025 (gas oil -8.3% a year, naphtha -7.4%, fuel oil -6.4%, heavy fuel oil -28.2%; only wax +1.1% and LPG +1.7% grew). FLAT IS NOT A NEUTRAL ASSUMPTION HERE, IT IS ALREADY THE OPTIMISTIC ONE: the base year is the transition half annualised at 1,616 thousand tonnes, which is 12.5% ABOVE the five-year mean of 1,437 and above every full year in the record. Holding it flat assumes the rebound printed in one half persists. The bear case reverts toward the five-year mean and the lever is sensitised end to end</t>
        </is>
      </c>
    </row>
    <row r="135" ht="100" customHeight="1">
      <c r="A135" s="7" t="inlineStr">
        <is>
          <t>Volume growth — Paraffin wax, 2029E</t>
        </is>
      </c>
      <c r="B135" s="29" t="n">
        <v>0</v>
      </c>
      <c r="C135" s="7" t="inlineStr">
        <is>
          <t>Company</t>
        </is>
      </c>
      <c r="D135" s="7" t="inlineStr">
        <is>
          <t>2026-08-18</t>
        </is>
      </c>
      <c r="E135" s="4" t="inlineStr">
        <is>
          <t>Volume growth by audited product line: FLAT, every line, every year. The previous edition grew every line (oils +4.5%, wax +7.0%, fuel oil +3.0% in year one) and justified the ranking from the value growth printed between two disclosed HALVES. The company's own audited annual record for FY2021-FY2025 says the opposite: total sales tonnage ran 1,492 / 1,548 / 1,449 / 1,433 / 1,262 thousand tonnes, a fall of 18.5% from the FY2022 peak, and six of the eight lines shrank over FY2022-FY2025 (gas oil -8.3% a year, naphtha -7.4%, fuel oil -6.4%, heavy fuel oil -28.2%; only wax +1.1% and LPG +1.7% grew). FLAT IS NOT A NEUTRAL ASSUMPTION HERE, IT IS ALREADY THE OPTIMISTIC ONE: the base year is the transition half annualised at 1,616 thousand tonnes, which is 12.5% ABOVE the five-year mean of 1,437 and above every full year in the record. Holding it flat assumes the rebound printed in one half persists. The bear case reverts toward the five-year mean and the lever is sensitised end to end</t>
        </is>
      </c>
    </row>
    <row r="136" ht="100" customHeight="1">
      <c r="A136" s="7" t="inlineStr">
        <is>
          <t>Volume growth — Paraffin wax, 2030E</t>
        </is>
      </c>
      <c r="B136" s="29" t="n">
        <v>0</v>
      </c>
      <c r="C136" s="7" t="inlineStr">
        <is>
          <t>Company</t>
        </is>
      </c>
      <c r="D136" s="7" t="inlineStr">
        <is>
          <t>2026-08-18</t>
        </is>
      </c>
      <c r="E136" s="4" t="inlineStr">
        <is>
          <t>Volume growth by audited product line: FLAT, every line, every year. The previous edition grew every line (oils +4.5%, wax +7.0%, fuel oil +3.0% in year one) and justified the ranking from the value growth printed between two disclosed HALVES. The company's own audited annual record for FY2021-FY2025 says the opposite: total sales tonnage ran 1,492 / 1,548 / 1,449 / 1,433 / 1,262 thousand tonnes, a fall of 18.5% from the FY2022 peak, and six of the eight lines shrank over FY2022-FY2025 (gas oil -8.3% a year, naphtha -7.4%, fuel oil -6.4%, heavy fuel oil -28.2%; only wax +1.1% and LPG +1.7% grew). FLAT IS NOT A NEUTRAL ASSUMPTION HERE, IT IS ALREADY THE OPTIMISTIC ONE: the base year is the transition half annualised at 1,616 thousand tonnes, which is 12.5% ABOVE the five-year mean of 1,437 and above every full year in the record. Holding it flat assumes the rebound printed in one half persists. The bear case reverts toward the five-year mean and the lever is sensitised end to end</t>
        </is>
      </c>
    </row>
    <row r="137" ht="100" customHeight="1">
      <c r="A137" s="7" t="inlineStr">
        <is>
          <t>Volume growth — Gas oil, 2026E</t>
        </is>
      </c>
      <c r="B137" s="29" t="n">
        <v>0</v>
      </c>
      <c r="C137" s="7" t="inlineStr">
        <is>
          <t>Company</t>
        </is>
      </c>
      <c r="D137" s="7" t="inlineStr">
        <is>
          <t>2026-08-18</t>
        </is>
      </c>
      <c r="E137" s="4" t="inlineStr">
        <is>
          <t>Volume growth by audited product line: FLAT, every line, every year. The previous edition grew every line (oils +4.5%, wax +7.0%, fuel oil +3.0% in year one) and justified the ranking from the value growth printed between two disclosed HALVES. The company's own audited annual record for FY2021-FY2025 says the opposite: total sales tonnage ran 1,492 / 1,548 / 1,449 / 1,433 / 1,262 thousand tonnes, a fall of 18.5% from the FY2022 peak, and six of the eight lines shrank over FY2022-FY2025 (gas oil -8.3% a year, naphtha -7.4%, fuel oil -6.4%, heavy fuel oil -28.2%; only wax +1.1% and LPG +1.7% grew). FLAT IS NOT A NEUTRAL ASSUMPTION HERE, IT IS ALREADY THE OPTIMISTIC ONE: the base year is the transition half annualised at 1,616 thousand tonnes, which is 12.5% ABOVE the five-year mean of 1,437 and above every full year in the record. Holding it flat assumes the rebound printed in one half persists. The bear case reverts toward the five-year mean and the lever is sensitised end to end</t>
        </is>
      </c>
    </row>
    <row r="138" ht="100" customHeight="1">
      <c r="A138" s="7" t="inlineStr">
        <is>
          <t>Volume growth — Gas oil, 2027E</t>
        </is>
      </c>
      <c r="B138" s="29" t="n">
        <v>0</v>
      </c>
      <c r="C138" s="7" t="inlineStr">
        <is>
          <t>Company</t>
        </is>
      </c>
      <c r="D138" s="7" t="inlineStr">
        <is>
          <t>2026-08-18</t>
        </is>
      </c>
      <c r="E138" s="4" t="inlineStr">
        <is>
          <t>Volume growth by audited product line: FLAT, every line, every year. The previous edition grew every line (oils +4.5%, wax +7.0%, fuel oil +3.0% in year one) and justified the ranking from the value growth printed between two disclosed HALVES. The company's own audited annual record for FY2021-FY2025 says the opposite: total sales tonnage ran 1,492 / 1,548 / 1,449 / 1,433 / 1,262 thousand tonnes, a fall of 18.5% from the FY2022 peak, and six of the eight lines shrank over FY2022-FY2025 (gas oil -8.3% a year, naphtha -7.4%, fuel oil -6.4%, heavy fuel oil -28.2%; only wax +1.1% and LPG +1.7% grew). FLAT IS NOT A NEUTRAL ASSUMPTION HERE, IT IS ALREADY THE OPTIMISTIC ONE: the base year is the transition half annualised at 1,616 thousand tonnes, which is 12.5% ABOVE the five-year mean of 1,437 and above every full year in the record. Holding it flat assumes the rebound printed in one half persists. The bear case reverts toward the five-year mean and the lever is sensitised end to end</t>
        </is>
      </c>
    </row>
    <row r="139" ht="100" customHeight="1">
      <c r="A139" s="7" t="inlineStr">
        <is>
          <t>Volume growth — Gas oil, 2028E</t>
        </is>
      </c>
      <c r="B139" s="29" t="n">
        <v>0</v>
      </c>
      <c r="C139" s="7" t="inlineStr">
        <is>
          <t>Company</t>
        </is>
      </c>
      <c r="D139" s="7" t="inlineStr">
        <is>
          <t>2026-08-18</t>
        </is>
      </c>
      <c r="E139" s="4" t="inlineStr">
        <is>
          <t>Volume growth by audited product line: FLAT, every line, every year. The previous edition grew every line (oils +4.5%, wax +7.0%, fuel oil +3.0% in year one) and justified the ranking from the value growth printed between two disclosed HALVES. The company's own audited annual record for FY2021-FY2025 says the opposite: total sales tonnage ran 1,492 / 1,548 / 1,449 / 1,433 / 1,262 thousand tonnes, a fall of 18.5% from the FY2022 peak, and six of the eight lines shrank over FY2022-FY2025 (gas oil -8.3% a year, naphtha -7.4%, fuel oil -6.4%, heavy fuel oil -28.2%; only wax +1.1% and LPG +1.7% grew). FLAT IS NOT A NEUTRAL ASSUMPTION HERE, IT IS ALREADY THE OPTIMISTIC ONE: the base year is the transition half annualised at 1,616 thousand tonnes, which is 12.5% ABOVE the five-year mean of 1,437 and above every full year in the record. Holding it flat assumes the rebound printed in one half persists. The bear case reverts toward the five-year mean and the lever is sensitised end to end</t>
        </is>
      </c>
    </row>
    <row r="140" ht="100" customHeight="1">
      <c r="A140" s="7" t="inlineStr">
        <is>
          <t>Volume growth — Gas oil, 2029E</t>
        </is>
      </c>
      <c r="B140" s="29" t="n">
        <v>0</v>
      </c>
      <c r="C140" s="7" t="inlineStr">
        <is>
          <t>Company</t>
        </is>
      </c>
      <c r="D140" s="7" t="inlineStr">
        <is>
          <t>2026-08-18</t>
        </is>
      </c>
      <c r="E140" s="4" t="inlineStr">
        <is>
          <t>Volume growth by audited product line: FLAT, every line, every year. The previous edition grew every line (oils +4.5%, wax +7.0%, fuel oil +3.0% in year one) and justified the ranking from the value growth printed between two disclosed HALVES. The company's own audited annual record for FY2021-FY2025 says the opposite: total sales tonnage ran 1,492 / 1,548 / 1,449 / 1,433 / 1,262 thousand tonnes, a fall of 18.5% from the FY2022 peak, and six of the eight lines shrank over FY2022-FY2025 (gas oil -8.3% a year, naphtha -7.4%, fuel oil -6.4%, heavy fuel oil -28.2%; only wax +1.1% and LPG +1.7% grew). FLAT IS NOT A NEUTRAL ASSUMPTION HERE, IT IS ALREADY THE OPTIMISTIC ONE: the base year is the transition half annualised at 1,616 thousand tonnes, which is 12.5% ABOVE the five-year mean of 1,437 and above every full year in the record. Holding it flat assumes the rebound printed in one half persists. The bear case reverts toward the five-year mean and the lever is sensitised end to end</t>
        </is>
      </c>
    </row>
    <row r="141" ht="100" customHeight="1">
      <c r="A141" s="7" t="inlineStr">
        <is>
          <t>Volume growth — Gas oil, 2030E</t>
        </is>
      </c>
      <c r="B141" s="29" t="n">
        <v>0</v>
      </c>
      <c r="C141" s="7" t="inlineStr">
        <is>
          <t>Company</t>
        </is>
      </c>
      <c r="D141" s="7" t="inlineStr">
        <is>
          <t>2026-08-18</t>
        </is>
      </c>
      <c r="E141" s="4" t="inlineStr">
        <is>
          <t>Volume growth by audited product line: FLAT, every line, every year. The previous edition grew every line (oils +4.5%, wax +7.0%, fuel oil +3.0% in year one) and justified the ranking from the value growth printed between two disclosed HALVES. The company's own audited annual record for FY2021-FY2025 says the opposite: total sales tonnage ran 1,492 / 1,548 / 1,449 / 1,433 / 1,262 thousand tonnes, a fall of 18.5% from the FY2022 peak, and six of the eight lines shrank over FY2022-FY2025 (gas oil -8.3% a year, naphtha -7.4%, fuel oil -6.4%, heavy fuel oil -28.2%; only wax +1.1% and LPG +1.7% grew). FLAT IS NOT A NEUTRAL ASSUMPTION HERE, IT IS ALREADY THE OPTIMISTIC ONE: the base year is the transition half annualised at 1,616 thousand tonnes, which is 12.5% ABOVE the five-year mean of 1,437 and above every full year in the record. Holding it flat assumes the rebound printed in one half persists. The bear case reverts toward the five-year mean and the lever is sensitised end to end</t>
        </is>
      </c>
    </row>
    <row r="142" ht="100" customHeight="1">
      <c r="A142" s="7" t="inlineStr">
        <is>
          <t>Volume growth — Naphtha, 2026E</t>
        </is>
      </c>
      <c r="B142" s="29" t="n">
        <v>0</v>
      </c>
      <c r="C142" s="7" t="inlineStr">
        <is>
          <t>Company</t>
        </is>
      </c>
      <c r="D142" s="7" t="inlineStr">
        <is>
          <t>2026-08-18</t>
        </is>
      </c>
      <c r="E142" s="4" t="inlineStr">
        <is>
          <t>Volume growth by audited product line: FLAT, every line, every year. The previous edition grew every line (oils +4.5%, wax +7.0%, fuel oil +3.0% in year one) and justified the ranking from the value growth printed between two disclosed HALVES. The company's own audited annual record for FY2021-FY2025 says the opposite: total sales tonnage ran 1,492 / 1,548 / 1,449 / 1,433 / 1,262 thousand tonnes, a fall of 18.5% from the FY2022 peak, and six of the eight lines shrank over FY2022-FY2025 (gas oil -8.3% a year, naphtha -7.4%, fuel oil -6.4%, heavy fuel oil -28.2%; only wax +1.1% and LPG +1.7% grew). FLAT IS NOT A NEUTRAL ASSUMPTION HERE, IT IS ALREADY THE OPTIMISTIC ONE: the base year is the transition half annualised at 1,616 thousand tonnes, which is 12.5% ABOVE the five-year mean of 1,437 and above every full year in the record. Holding it flat assumes the rebound printed in one half persists. The bear case reverts toward the five-year mean and the lever is sensitised end to end</t>
        </is>
      </c>
    </row>
    <row r="143" ht="100" customHeight="1">
      <c r="A143" s="7" t="inlineStr">
        <is>
          <t>Volume growth — Naphtha, 2027E</t>
        </is>
      </c>
      <c r="B143" s="29" t="n">
        <v>0</v>
      </c>
      <c r="C143" s="7" t="inlineStr">
        <is>
          <t>Company</t>
        </is>
      </c>
      <c r="D143" s="7" t="inlineStr">
        <is>
          <t>2026-08-18</t>
        </is>
      </c>
      <c r="E143" s="4" t="inlineStr">
        <is>
          <t>Volume growth by audited product line: FLAT, every line, every year. The previous edition grew every line (oils +4.5%, wax +7.0%, fuel oil +3.0% in year one) and justified the ranking from the value growth printed between two disclosed HALVES. The company's own audited annual record for FY2021-FY2025 says the opposite: total sales tonnage ran 1,492 / 1,548 / 1,449 / 1,433 / 1,262 thousand tonnes, a fall of 18.5% from the FY2022 peak, and six of the eight lines shrank over FY2022-FY2025 (gas oil -8.3% a year, naphtha -7.4%, fuel oil -6.4%, heavy fuel oil -28.2%; only wax +1.1% and LPG +1.7% grew). FLAT IS NOT A NEUTRAL ASSUMPTION HERE, IT IS ALREADY THE OPTIMISTIC ONE: the base year is the transition half annualised at 1,616 thousand tonnes, which is 12.5% ABOVE the five-year mean of 1,437 and above every full year in the record. Holding it flat assumes the rebound printed in one half persists. The bear case reverts toward the five-year mean and the lever is sensitised end to end</t>
        </is>
      </c>
    </row>
    <row r="144" ht="100" customHeight="1">
      <c r="A144" s="7" t="inlineStr">
        <is>
          <t>Volume growth — Naphtha, 2028E</t>
        </is>
      </c>
      <c r="B144" s="29" t="n">
        <v>0</v>
      </c>
      <c r="C144" s="7" t="inlineStr">
        <is>
          <t>Company</t>
        </is>
      </c>
      <c r="D144" s="7" t="inlineStr">
        <is>
          <t>2026-08-18</t>
        </is>
      </c>
      <c r="E144" s="4" t="inlineStr">
        <is>
          <t>Volume growth by audited product line: FLAT, every line, every year. The previous edition grew every line (oils +4.5%, wax +7.0%, fuel oil +3.0% in year one) and justified the ranking from the value growth printed between two disclosed HALVES. The company's own audited annual record for FY2021-FY2025 says the opposite: total sales tonnage ran 1,492 / 1,548 / 1,449 / 1,433 / 1,262 thousand tonnes, a fall of 18.5% from the FY2022 peak, and six of the eight lines shrank over FY2022-FY2025 (gas oil -8.3% a year, naphtha -7.4%, fuel oil -6.4%, heavy fuel oil -28.2%; only wax +1.1% and LPG +1.7% grew). FLAT IS NOT A NEUTRAL ASSUMPTION HERE, IT IS ALREADY THE OPTIMISTIC ONE: the base year is the transition half annualised at 1,616 thousand tonnes, which is 12.5% ABOVE the five-year mean of 1,437 and above every full year in the record. Holding it flat assumes the rebound printed in one half persists. The bear case reverts toward the five-year mean and the lever is sensitised end to end</t>
        </is>
      </c>
    </row>
    <row r="145" ht="100" customHeight="1">
      <c r="A145" s="7" t="inlineStr">
        <is>
          <t>Volume growth — Naphtha, 2029E</t>
        </is>
      </c>
      <c r="B145" s="29" t="n">
        <v>0</v>
      </c>
      <c r="C145" s="7" t="inlineStr">
        <is>
          <t>Company</t>
        </is>
      </c>
      <c r="D145" s="7" t="inlineStr">
        <is>
          <t>2026-08-18</t>
        </is>
      </c>
      <c r="E145" s="4" t="inlineStr">
        <is>
          <t>Volume growth by audited product line: FLAT, every line, every year. The previous edition grew every line (oils +4.5%, wax +7.0%, fuel oil +3.0% in year one) and justified the ranking from the value growth printed between two disclosed HALVES. The company's own audited annual record for FY2021-FY2025 says the opposite: total sales tonnage ran 1,492 / 1,548 / 1,449 / 1,433 / 1,262 thousand tonnes, a fall of 18.5% from the FY2022 peak, and six of the eight lines shrank over FY2022-FY2025 (gas oil -8.3% a year, naphtha -7.4%, fuel oil -6.4%, heavy fuel oil -28.2%; only wax +1.1% and LPG +1.7% grew). FLAT IS NOT A NEUTRAL ASSUMPTION HERE, IT IS ALREADY THE OPTIMISTIC ONE: the base year is the transition half annualised at 1,616 thousand tonnes, which is 12.5% ABOVE the five-year mean of 1,437 and above every full year in the record. Holding it flat assumes the rebound printed in one half persists. The bear case reverts toward the five-year mean and the lever is sensitised end to end</t>
        </is>
      </c>
    </row>
    <row r="146" ht="100" customHeight="1">
      <c r="A146" s="7" t="inlineStr">
        <is>
          <t>Volume growth — Naphtha, 2030E</t>
        </is>
      </c>
      <c r="B146" s="29" t="n">
        <v>0</v>
      </c>
      <c r="C146" s="7" t="inlineStr">
        <is>
          <t>Company</t>
        </is>
      </c>
      <c r="D146" s="7" t="inlineStr">
        <is>
          <t>2026-08-18</t>
        </is>
      </c>
      <c r="E146" s="4" t="inlineStr">
        <is>
          <t>Volume growth by audited product line: FLAT, every line, every year. The previous edition grew every line (oils +4.5%, wax +7.0%, fuel oil +3.0% in year one) and justified the ranking from the value growth printed between two disclosed HALVES. The company's own audited annual record for FY2021-FY2025 says the opposite: total sales tonnage ran 1,492 / 1,548 / 1,449 / 1,433 / 1,262 thousand tonnes, a fall of 18.5% from the FY2022 peak, and six of the eight lines shrank over FY2022-FY2025 (gas oil -8.3% a year, naphtha -7.4%, fuel oil -6.4%, heavy fuel oil -28.2%; only wax +1.1% and LPG +1.7% grew). FLAT IS NOT A NEUTRAL ASSUMPTION HERE, IT IS ALREADY THE OPTIMISTIC ONE: the base year is the transition half annualised at 1,616 thousand tonnes, which is 12.5% ABOVE the five-year mean of 1,437 and above every full year in the record. Holding it flat assumes the rebound printed in one half persists. The bear case reverts toward the five-year mean and the lever is sensitised end to end</t>
        </is>
      </c>
    </row>
    <row r="147" ht="100" customHeight="1">
      <c r="A147" s="7" t="inlineStr">
        <is>
          <t>Volume growth — Liquefied petroleum gas, 2026E</t>
        </is>
      </c>
      <c r="B147" s="29" t="n">
        <v>0</v>
      </c>
      <c r="C147" s="7" t="inlineStr">
        <is>
          <t>Company</t>
        </is>
      </c>
      <c r="D147" s="7" t="inlineStr">
        <is>
          <t>2026-08-18</t>
        </is>
      </c>
      <c r="E147" s="4" t="inlineStr">
        <is>
          <t>Volume growth by audited product line: FLAT, every line, every year. The previous edition grew every line (oils +4.5%, wax +7.0%, fuel oil +3.0% in year one) and justified the ranking from the value growth printed between two disclosed HALVES. The company's own audited annual record for FY2021-FY2025 says the opposite: total sales tonnage ran 1,492 / 1,548 / 1,449 / 1,433 / 1,262 thousand tonnes, a fall of 18.5% from the FY2022 peak, and six of the eight lines shrank over FY2022-FY2025 (gas oil -8.3% a year, naphtha -7.4%, fuel oil -6.4%, heavy fuel oil -28.2%; only wax +1.1% and LPG +1.7% grew). FLAT IS NOT A NEUTRAL ASSUMPTION HERE, IT IS ALREADY THE OPTIMISTIC ONE: the base year is the transition half annualised at 1,616 thousand tonnes, which is 12.5% ABOVE the five-year mean of 1,437 and above every full year in the record. Holding it flat assumes the rebound printed in one half persists. The bear case reverts toward the five-year mean and the lever is sensitised end to end</t>
        </is>
      </c>
    </row>
    <row r="148" ht="100" customHeight="1">
      <c r="A148" s="7" t="inlineStr">
        <is>
          <t>Volume growth — Liquefied petroleum gas, 2027E</t>
        </is>
      </c>
      <c r="B148" s="29" t="n">
        <v>0</v>
      </c>
      <c r="C148" s="7" t="inlineStr">
        <is>
          <t>Company</t>
        </is>
      </c>
      <c r="D148" s="7" t="inlineStr">
        <is>
          <t>2026-08-18</t>
        </is>
      </c>
      <c r="E148" s="4" t="inlineStr">
        <is>
          <t>Volume growth by audited product line: FLAT, every line, every year. The previous edition grew every line (oils +4.5%, wax +7.0%, fuel oil +3.0% in year one) and justified the ranking from the value growth printed between two disclosed HALVES. The company's own audited annual record for FY2021-FY2025 says the opposite: total sales tonnage ran 1,492 / 1,548 / 1,449 / 1,433 / 1,262 thousand tonnes, a fall of 18.5% from the FY2022 peak, and six of the eight lines shrank over FY2022-FY2025 (gas oil -8.3% a year, naphtha -7.4%, fuel oil -6.4%, heavy fuel oil -28.2%; only wax +1.1% and LPG +1.7% grew). FLAT IS NOT A NEUTRAL ASSUMPTION HERE, IT IS ALREADY THE OPTIMISTIC ONE: the base year is the transition half annualised at 1,616 thousand tonnes, which is 12.5% ABOVE the five-year mean of 1,437 and above every full year in the record. Holding it flat assumes the rebound printed in one half persists. The bear case reverts toward the five-year mean and the lever is sensitised end to end</t>
        </is>
      </c>
    </row>
    <row r="149" ht="100" customHeight="1">
      <c r="A149" s="7" t="inlineStr">
        <is>
          <t>Volume growth — Liquefied petroleum gas, 2028E</t>
        </is>
      </c>
      <c r="B149" s="29" t="n">
        <v>0</v>
      </c>
      <c r="C149" s="7" t="inlineStr">
        <is>
          <t>Company</t>
        </is>
      </c>
      <c r="D149" s="7" t="inlineStr">
        <is>
          <t>2026-08-18</t>
        </is>
      </c>
      <c r="E149" s="4" t="inlineStr">
        <is>
          <t>Volume growth by audited product line: FLAT, every line, every year. The previous edition grew every line (oils +4.5%, wax +7.0%, fuel oil +3.0% in year one) and justified the ranking from the value growth printed between two disclosed HALVES. The company's own audited annual record for FY2021-FY2025 says the opposite: total sales tonnage ran 1,492 / 1,548 / 1,449 / 1,433 / 1,262 thousand tonnes, a fall of 18.5% from the FY2022 peak, and six of the eight lines shrank over FY2022-FY2025 (gas oil -8.3% a year, naphtha -7.4%, fuel oil -6.4%, heavy fuel oil -28.2%; only wax +1.1% and LPG +1.7% grew). FLAT IS NOT A NEUTRAL ASSUMPTION HERE, IT IS ALREADY THE OPTIMISTIC ONE: the base year is the transition half annualised at 1,616 thousand tonnes, which is 12.5% ABOVE the five-year mean of 1,437 and above every full year in the record. Holding it flat assumes the rebound printed in one half persists. The bear case reverts toward the five-year mean and the lever is sensitised end to end</t>
        </is>
      </c>
    </row>
    <row r="150" ht="100" customHeight="1">
      <c r="A150" s="7" t="inlineStr">
        <is>
          <t>Volume growth — Liquefied petroleum gas, 2029E</t>
        </is>
      </c>
      <c r="B150" s="29" t="n">
        <v>0</v>
      </c>
      <c r="C150" s="7" t="inlineStr">
        <is>
          <t>Company</t>
        </is>
      </c>
      <c r="D150" s="7" t="inlineStr">
        <is>
          <t>2026-08-18</t>
        </is>
      </c>
      <c r="E150" s="4" t="inlineStr">
        <is>
          <t>Volume growth by audited product line: FLAT, every line, every year. The previous edition grew every line (oils +4.5%, wax +7.0%, fuel oil +3.0% in year one) and justified the ranking from the value growth printed between two disclosed HALVES. The company's own audited annual record for FY2021-FY2025 says the opposite: total sales tonnage ran 1,492 / 1,548 / 1,449 / 1,433 / 1,262 thousand tonnes, a fall of 18.5% from the FY2022 peak, and six of the eight lines shrank over FY2022-FY2025 (gas oil -8.3% a year, naphtha -7.4%, fuel oil -6.4%, heavy fuel oil -28.2%; only wax +1.1% and LPG +1.7% grew). FLAT IS NOT A NEUTRAL ASSUMPTION HERE, IT IS ALREADY THE OPTIMISTIC ONE: the base year is the transition half annualised at 1,616 thousand tonnes, which is 12.5% ABOVE the five-year mean of 1,437 and above every full year in the record. Holding it flat assumes the rebound printed in one half persists. The bear case reverts toward the five-year mean and the lever is sensitised end to end</t>
        </is>
      </c>
    </row>
    <row r="151" ht="100" customHeight="1">
      <c r="A151" s="7" t="inlineStr">
        <is>
          <t>Volume growth — Liquefied petroleum gas, 2030E</t>
        </is>
      </c>
      <c r="B151" s="29" t="n">
        <v>0</v>
      </c>
      <c r="C151" s="7" t="inlineStr">
        <is>
          <t>Company</t>
        </is>
      </c>
      <c r="D151" s="7" t="inlineStr">
        <is>
          <t>2026-08-18</t>
        </is>
      </c>
      <c r="E151" s="4" t="inlineStr">
        <is>
          <t>Volume growth by audited product line: FLAT, every line, every year. The previous edition grew every line (oils +4.5%, wax +7.0%, fuel oil +3.0% in year one) and justified the ranking from the value growth printed between two disclosed HALVES. The company's own audited annual record for FY2021-FY2025 says the opposite: total sales tonnage ran 1,492 / 1,548 / 1,449 / 1,433 / 1,262 thousand tonnes, a fall of 18.5% from the FY2022 peak, and six of the eight lines shrank over FY2022-FY2025 (gas oil -8.3% a year, naphtha -7.4%, fuel oil -6.4%, heavy fuel oil -28.2%; only wax +1.1% and LPG +1.7% grew). FLAT IS NOT A NEUTRAL ASSUMPTION HERE, IT IS ALREADY THE OPTIMISTIC ONE: the base year is the transition half annualised at 1,616 thousand tonnes, which is 12.5% ABOVE the five-year mean of 1,437 and above every full year in the record. Holding it flat assumes the rebound printed in one half persists. The bear case reverts toward the five-year mean and the lever is sensitised end to end</t>
        </is>
      </c>
    </row>
    <row r="152" ht="100" customHeight="1">
      <c r="A152" s="7" t="inlineStr">
        <is>
          <t>Volume growth — Fuel oil (mix), 2026E</t>
        </is>
      </c>
      <c r="B152" s="29" t="n">
        <v>0</v>
      </c>
      <c r="C152" s="7" t="inlineStr">
        <is>
          <t>Company</t>
        </is>
      </c>
      <c r="D152" s="7" t="inlineStr">
        <is>
          <t>2026-08-18</t>
        </is>
      </c>
      <c r="E152" s="4" t="inlineStr">
        <is>
          <t>Volume growth by audited product line: FLAT, every line, every year. The previous edition grew every line (oils +4.5%, wax +7.0%, fuel oil +3.0% in year one) and justified the ranking from the value growth printed between two disclosed HALVES. The company's own audited annual record for FY2021-FY2025 says the opposite: total sales tonnage ran 1,492 / 1,548 / 1,449 / 1,433 / 1,262 thousand tonnes, a fall of 18.5% from the FY2022 peak, and six of the eight lines shrank over FY2022-FY2025 (gas oil -8.3% a year, naphtha -7.4%, fuel oil -6.4%, heavy fuel oil -28.2%; only wax +1.1% and LPG +1.7% grew). FLAT IS NOT A NEUTRAL ASSUMPTION HERE, IT IS ALREADY THE OPTIMISTIC ONE: the base year is the transition half annualised at 1,616 thousand tonnes, which is 12.5% ABOVE the five-year mean of 1,437 and above every full year in the record. Holding it flat assumes the rebound printed in one half persists. The bear case reverts toward the five-year mean and the lever is sensitised end to end</t>
        </is>
      </c>
    </row>
    <row r="153" ht="100" customHeight="1">
      <c r="A153" s="7" t="inlineStr">
        <is>
          <t>Volume growth — Fuel oil (mix), 2027E</t>
        </is>
      </c>
      <c r="B153" s="29" t="n">
        <v>0</v>
      </c>
      <c r="C153" s="7" t="inlineStr">
        <is>
          <t>Company</t>
        </is>
      </c>
      <c r="D153" s="7" t="inlineStr">
        <is>
          <t>2026-08-18</t>
        </is>
      </c>
      <c r="E153" s="4" t="inlineStr">
        <is>
          <t>Volume growth by audited product line: FLAT, every line, every year. The previous edition grew every line (oils +4.5%, wax +7.0%, fuel oil +3.0% in year one) and justified the ranking from the value growth printed between two disclosed HALVES. The company's own audited annual record for FY2021-FY2025 says the opposite: total sales tonnage ran 1,492 / 1,548 / 1,449 / 1,433 / 1,262 thousand tonnes, a fall of 18.5% from the FY2022 peak, and six of the eight lines shrank over FY2022-FY2025 (gas oil -8.3% a year, naphtha -7.4%, fuel oil -6.4%, heavy fuel oil -28.2%; only wax +1.1% and LPG +1.7% grew). FLAT IS NOT A NEUTRAL ASSUMPTION HERE, IT IS ALREADY THE OPTIMISTIC ONE: the base year is the transition half annualised at 1,616 thousand tonnes, which is 12.5% ABOVE the five-year mean of 1,437 and above every full year in the record. Holding it flat assumes the rebound printed in one half persists. The bear case reverts toward the five-year mean and the lever is sensitised end to end</t>
        </is>
      </c>
    </row>
    <row r="154" ht="100" customHeight="1">
      <c r="A154" s="7" t="inlineStr">
        <is>
          <t>Volume growth — Fuel oil (mix), 2028E</t>
        </is>
      </c>
      <c r="B154" s="29" t="n">
        <v>0</v>
      </c>
      <c r="C154" s="7" t="inlineStr">
        <is>
          <t>Company</t>
        </is>
      </c>
      <c r="D154" s="7" t="inlineStr">
        <is>
          <t>2026-08-18</t>
        </is>
      </c>
      <c r="E154" s="4" t="inlineStr">
        <is>
          <t>Volume growth by audited product line: FLAT, every line, every year. The previous edition grew every line (oils +4.5%, wax +7.0%, fuel oil +3.0% in year one) and justified the ranking from the value growth printed between two disclosed HALVES. The company's own audited annual record for FY2021-FY2025 says the opposite: total sales tonnage ran 1,492 / 1,548 / 1,449 / 1,433 / 1,262 thousand tonnes, a fall of 18.5% from the FY2022 peak, and six of the eight lines shrank over FY2022-FY2025 (gas oil -8.3% a year, naphtha -7.4%, fuel oil -6.4%, heavy fuel oil -28.2%; only wax +1.1% and LPG +1.7% grew). FLAT IS NOT A NEUTRAL ASSUMPTION HERE, IT IS ALREADY THE OPTIMISTIC ONE: the base year is the transition half annualised at 1,616 thousand tonnes, which is 12.5% ABOVE the five-year mean of 1,437 and above every full year in the record. Holding it flat assumes the rebound printed in one half persists. The bear case reverts toward the five-year mean and the lever is sensitised end to end</t>
        </is>
      </c>
    </row>
    <row r="155" ht="100" customHeight="1">
      <c r="A155" s="7" t="inlineStr">
        <is>
          <t>Volume growth — Fuel oil (mix), 2029E</t>
        </is>
      </c>
      <c r="B155" s="29" t="n">
        <v>0</v>
      </c>
      <c r="C155" s="7" t="inlineStr">
        <is>
          <t>Company</t>
        </is>
      </c>
      <c r="D155" s="7" t="inlineStr">
        <is>
          <t>2026-08-18</t>
        </is>
      </c>
      <c r="E155" s="4" t="inlineStr">
        <is>
          <t>Volume growth by audited product line: FLAT, every line, every year. The previous edition grew every line (oils +4.5%, wax +7.0%, fuel oil +3.0% in year one) and justified the ranking from the value growth printed between two disclosed HALVES. The company's own audited annual record for FY2021-FY2025 says the opposite: total sales tonnage ran 1,492 / 1,548 / 1,449 / 1,433 / 1,262 thousand tonnes, a fall of 18.5% from the FY2022 peak, and six of the eight lines shrank over FY2022-FY2025 (gas oil -8.3% a year, naphtha -7.4%, fuel oil -6.4%, heavy fuel oil -28.2%; only wax +1.1% and LPG +1.7% grew). FLAT IS NOT A NEUTRAL ASSUMPTION HERE, IT IS ALREADY THE OPTIMISTIC ONE: the base year is the transition half annualised at 1,616 thousand tonnes, which is 12.5% ABOVE the five-year mean of 1,437 and above every full year in the record. Holding it flat assumes the rebound printed in one half persists. The bear case reverts toward the five-year mean and the lever is sensitised end to end</t>
        </is>
      </c>
    </row>
    <row r="156" ht="100" customHeight="1">
      <c r="A156" s="7" t="inlineStr">
        <is>
          <t>Volume growth — Fuel oil (mix), 2030E</t>
        </is>
      </c>
      <c r="B156" s="29" t="n">
        <v>0</v>
      </c>
      <c r="C156" s="7" t="inlineStr">
        <is>
          <t>Company</t>
        </is>
      </c>
      <c r="D156" s="7" t="inlineStr">
        <is>
          <t>2026-08-18</t>
        </is>
      </c>
      <c r="E156" s="4" t="inlineStr">
        <is>
          <t>Volume growth by audited product line: FLAT, every line, every year. The previous edition grew every line (oils +4.5%, wax +7.0%, fuel oil +3.0% in year one) and justified the ranking from the value growth printed between two disclosed HALVES. The company's own audited annual record for FY2021-FY2025 says the opposite: total sales tonnage ran 1,492 / 1,548 / 1,449 / 1,433 / 1,262 thousand tonnes, a fall of 18.5% from the FY2022 peak, and six of the eight lines shrank over FY2022-FY2025 (gas oil -8.3% a year, naphtha -7.4%, fuel oil -6.4%, heavy fuel oil -28.2%; only wax +1.1% and LPG +1.7% grew). FLAT IS NOT A NEUTRAL ASSUMPTION HERE, IT IS ALREADY THE OPTIMISTIC ONE: the base year is the transition half annualised at 1,616 thousand tonnes, which is 12.5% ABOVE the five-year mean of 1,437 and above every full year in the record. Holding it flat assumes the rebound printed in one half persists. The bear case reverts toward the five-year mean and the lever is sensitised end to end</t>
        </is>
      </c>
    </row>
    <row r="157" ht="100" customHeight="1">
      <c r="A157" s="7" t="inlineStr">
        <is>
          <t>Volume growth — Heavy fuel oil, 2026E</t>
        </is>
      </c>
      <c r="B157" s="29" t="n">
        <v>0</v>
      </c>
      <c r="C157" s="7" t="inlineStr">
        <is>
          <t>Company</t>
        </is>
      </c>
      <c r="D157" s="7" t="inlineStr">
        <is>
          <t>2026-08-18</t>
        </is>
      </c>
      <c r="E157" s="4" t="inlineStr">
        <is>
          <t>Volume growth by audited product line: FLAT, every line, every year. The previous edition grew every line (oils +4.5%, wax +7.0%, fuel oil +3.0% in year one) and justified the ranking from the value growth printed between two disclosed HALVES. The company's own audited annual record for FY2021-FY2025 says the opposite: total sales tonnage ran 1,492 / 1,548 / 1,449 / 1,433 / 1,262 thousand tonnes, a fall of 18.5% from the FY2022 peak, and six of the eight lines shrank over FY2022-FY2025 (gas oil -8.3% a year, naphtha -7.4%, fuel oil -6.4%, heavy fuel oil -28.2%; only wax +1.1% and LPG +1.7% grew). FLAT IS NOT A NEUTRAL ASSUMPTION HERE, IT IS ALREADY THE OPTIMISTIC ONE: the base year is the transition half annualised at 1,616 thousand tonnes, which is 12.5% ABOVE the five-year mean of 1,437 and above every full year in the record. Holding it flat assumes the rebound printed in one half persists. The bear case reverts toward the five-year mean and the lever is sensitised end to end</t>
        </is>
      </c>
    </row>
    <row r="158" ht="100" customHeight="1">
      <c r="A158" s="7" t="inlineStr">
        <is>
          <t>Volume growth — Heavy fuel oil, 2027E</t>
        </is>
      </c>
      <c r="B158" s="29" t="n">
        <v>0</v>
      </c>
      <c r="C158" s="7" t="inlineStr">
        <is>
          <t>Company</t>
        </is>
      </c>
      <c r="D158" s="7" t="inlineStr">
        <is>
          <t>2026-08-18</t>
        </is>
      </c>
      <c r="E158" s="4" t="inlineStr">
        <is>
          <t>Volume growth by audited product line: FLAT, every line, every year. The previous edition grew every line (oils +4.5%, wax +7.0%, fuel oil +3.0% in year one) and justified the ranking from the value growth printed between two disclosed HALVES. The company's own audited annual record for FY2021-FY2025 says the opposite: total sales tonnage ran 1,492 / 1,548 / 1,449 / 1,433 / 1,262 thousand tonnes, a fall of 18.5% from the FY2022 peak, and six of the eight lines shrank over FY2022-FY2025 (gas oil -8.3% a year, naphtha -7.4%, fuel oil -6.4%, heavy fuel oil -28.2%; only wax +1.1% and LPG +1.7% grew). FLAT IS NOT A NEUTRAL ASSUMPTION HERE, IT IS ALREADY THE OPTIMISTIC ONE: the base year is the transition half annualised at 1,616 thousand tonnes, which is 12.5% ABOVE the five-year mean of 1,437 and above every full year in the record. Holding it flat assumes the rebound printed in one half persists. The bear case reverts toward the five-year mean and the lever is sensitised end to end</t>
        </is>
      </c>
    </row>
    <row r="159" ht="100" customHeight="1">
      <c r="A159" s="7" t="inlineStr">
        <is>
          <t>Volume growth — Heavy fuel oil, 2028E</t>
        </is>
      </c>
      <c r="B159" s="29" t="n">
        <v>0</v>
      </c>
      <c r="C159" s="7" t="inlineStr">
        <is>
          <t>Company</t>
        </is>
      </c>
      <c r="D159" s="7" t="inlineStr">
        <is>
          <t>2026-08-18</t>
        </is>
      </c>
      <c r="E159" s="4" t="inlineStr">
        <is>
          <t>Volume growth by audited product line: FLAT, every line, every year. The previous edition grew every line (oils +4.5%, wax +7.0%, fuel oil +3.0% in year one) and justified the ranking from the value growth printed between two disclosed HALVES. The company's own audited annual record for FY2021-FY2025 says the opposite: total sales tonnage ran 1,492 / 1,548 / 1,449 / 1,433 / 1,262 thousand tonnes, a fall of 18.5% from the FY2022 peak, and six of the eight lines shrank over FY2022-FY2025 (gas oil -8.3% a year, naphtha -7.4%, fuel oil -6.4%, heavy fuel oil -28.2%; only wax +1.1% and LPG +1.7% grew). FLAT IS NOT A NEUTRAL ASSUMPTION HERE, IT IS ALREADY THE OPTIMISTIC ONE: the base year is the transition half annualised at 1,616 thousand tonnes, which is 12.5% ABOVE the five-year mean of 1,437 and above every full year in the record. Holding it flat assumes the rebound printed in one half persists. The bear case reverts toward the five-year mean and the lever is sensitised end to end</t>
        </is>
      </c>
    </row>
    <row r="160" ht="100" customHeight="1">
      <c r="A160" s="7" t="inlineStr">
        <is>
          <t>Volume growth — Heavy fuel oil, 2029E</t>
        </is>
      </c>
      <c r="B160" s="29" t="n">
        <v>0</v>
      </c>
      <c r="C160" s="7" t="inlineStr">
        <is>
          <t>Company</t>
        </is>
      </c>
      <c r="D160" s="7" t="inlineStr">
        <is>
          <t>2026-08-18</t>
        </is>
      </c>
      <c r="E160" s="4" t="inlineStr">
        <is>
          <t>Volume growth by audited product line: FLAT, every line, every year. The previous edition grew every line (oils +4.5%, wax +7.0%, fuel oil +3.0% in year one) and justified the ranking from the value growth printed between two disclosed HALVES. The company's own audited annual record for FY2021-FY2025 says the opposite: total sales tonnage ran 1,492 / 1,548 / 1,449 / 1,433 / 1,262 thousand tonnes, a fall of 18.5% from the FY2022 peak, and six of the eight lines shrank over FY2022-FY2025 (gas oil -8.3% a year, naphtha -7.4%, fuel oil -6.4%, heavy fuel oil -28.2%; only wax +1.1% and LPG +1.7% grew). FLAT IS NOT A NEUTRAL ASSUMPTION HERE, IT IS ALREADY THE OPTIMISTIC ONE: the base year is the transition half annualised at 1,616 thousand tonnes, which is 12.5% ABOVE the five-year mean of 1,437 and above every full year in the record. Holding it flat assumes the rebound printed in one half persists. The bear case reverts toward the five-year mean and the lever is sensitised end to end</t>
        </is>
      </c>
    </row>
    <row r="161" ht="100" customHeight="1">
      <c r="A161" s="7" t="inlineStr">
        <is>
          <t>Volume growth — Heavy fuel oil, 2030E</t>
        </is>
      </c>
      <c r="B161" s="29" t="n">
        <v>0</v>
      </c>
      <c r="C161" s="7" t="inlineStr">
        <is>
          <t>Company</t>
        </is>
      </c>
      <c r="D161" s="7" t="inlineStr">
        <is>
          <t>2026-08-18</t>
        </is>
      </c>
      <c r="E161" s="4" t="inlineStr">
        <is>
          <t>Volume growth by audited product line: FLAT, every line, every year. The previous edition grew every line (oils +4.5%, wax +7.0%, fuel oil +3.0% in year one) and justified the ranking from the value growth printed between two disclosed HALVES. The company's own audited annual record for FY2021-FY2025 says the opposite: total sales tonnage ran 1,492 / 1,548 / 1,449 / 1,433 / 1,262 thousand tonnes, a fall of 18.5% from the FY2022 peak, and six of the eight lines shrank over FY2022-FY2025 (gas oil -8.3% a year, naphtha -7.4%, fuel oil -6.4%, heavy fuel oil -28.2%; only wax +1.1% and LPG +1.7% grew). FLAT IS NOT A NEUTRAL ASSUMPTION HERE, IT IS ALREADY THE OPTIMISTIC ONE: the base year is the transition half annualised at 1,616 thousand tonnes, which is 12.5% ABOVE the five-year mean of 1,437 and above every full year in the record. Holding it flat assumes the rebound printed in one half persists. The bear case reverts toward the five-year mean and the lever is sensitised end to end</t>
        </is>
      </c>
    </row>
    <row r="162" ht="100" customHeight="1">
      <c r="A162" s="7" t="inlineStr">
        <is>
          <t>Volume growth — Waste, 2026E</t>
        </is>
      </c>
      <c r="B162" s="29" t="n">
        <v>0</v>
      </c>
      <c r="C162" s="7" t="inlineStr">
        <is>
          <t>Company</t>
        </is>
      </c>
      <c r="D162" s="7" t="inlineStr">
        <is>
          <t>2026-08-18</t>
        </is>
      </c>
      <c r="E162" s="4" t="inlineStr">
        <is>
          <t>Volume growth by audited product line: FLAT, every line, every year. The previous edition grew every line (oils +4.5%, wax +7.0%, fuel oil +3.0% in year one) and justified the ranking from the value growth printed between two disclosed HALVES. The company's own audited annual record for FY2021-FY2025 says the opposite: total sales tonnage ran 1,492 / 1,548 / 1,449 / 1,433 / 1,262 thousand tonnes, a fall of 18.5% from the FY2022 peak, and six of the eight lines shrank over FY2022-FY2025 (gas oil -8.3% a year, naphtha -7.4%, fuel oil -6.4%, heavy fuel oil -28.2%; only wax +1.1% and LPG +1.7% grew). FLAT IS NOT A NEUTRAL ASSUMPTION HERE, IT IS ALREADY THE OPTIMISTIC ONE: the base year is the transition half annualised at 1,616 thousand tonnes, which is 12.5% ABOVE the five-year mean of 1,437 and above every full year in the record. Holding it flat assumes the rebound printed in one half persists. The bear case reverts toward the five-year mean and the lever is sensitised end to end</t>
        </is>
      </c>
    </row>
    <row r="163" ht="100" customHeight="1">
      <c r="A163" s="7" t="inlineStr">
        <is>
          <t>Volume growth — Waste, 2027E</t>
        </is>
      </c>
      <c r="B163" s="29" t="n">
        <v>0</v>
      </c>
      <c r="C163" s="7" t="inlineStr">
        <is>
          <t>Company</t>
        </is>
      </c>
      <c r="D163" s="7" t="inlineStr">
        <is>
          <t>2026-08-18</t>
        </is>
      </c>
      <c r="E163" s="4" t="inlineStr">
        <is>
          <t>Volume growth by audited product line: FLAT, every line, every year. The previous edition grew every line (oils +4.5%, wax +7.0%, fuel oil +3.0% in year one) and justified the ranking from the value growth printed between two disclosed HALVES. The company's own audited annual record for FY2021-FY2025 says the opposite: total sales tonnage ran 1,492 / 1,548 / 1,449 / 1,433 / 1,262 thousand tonnes, a fall of 18.5% from the FY2022 peak, and six of the eight lines shrank over FY2022-FY2025 (gas oil -8.3% a year, naphtha -7.4%, fuel oil -6.4%, heavy fuel oil -28.2%; only wax +1.1% and LPG +1.7% grew). FLAT IS NOT A NEUTRAL ASSUMPTION HERE, IT IS ALREADY THE OPTIMISTIC ONE: the base year is the transition half annualised at 1,616 thousand tonnes, which is 12.5% ABOVE the five-year mean of 1,437 and above every full year in the record. Holding it flat assumes the rebound printed in one half persists. The bear case reverts toward the five-year mean and the lever is sensitised end to end</t>
        </is>
      </c>
    </row>
    <row r="164" ht="100" customHeight="1">
      <c r="A164" s="7" t="inlineStr">
        <is>
          <t>Volume growth — Waste, 2028E</t>
        </is>
      </c>
      <c r="B164" s="29" t="n">
        <v>0</v>
      </c>
      <c r="C164" s="7" t="inlineStr">
        <is>
          <t>Company</t>
        </is>
      </c>
      <c r="D164" s="7" t="inlineStr">
        <is>
          <t>2026-08-18</t>
        </is>
      </c>
      <c r="E164" s="4" t="inlineStr">
        <is>
          <t>Volume growth by audited product line: FLAT, every line, every year. The previous edition grew every line (oils +4.5%, wax +7.0%, fuel oil +3.0% in year one) and justified the ranking from the value growth printed between two disclosed HALVES. The company's own audited annual record for FY2021-FY2025 says the opposite: total sales tonnage ran 1,492 / 1,548 / 1,449 / 1,433 / 1,262 thousand tonnes, a fall of 18.5% from the FY2022 peak, and six of the eight lines shrank over FY2022-FY2025 (gas oil -8.3% a year, naphtha -7.4%, fuel oil -6.4%, heavy fuel oil -28.2%; only wax +1.1% and LPG +1.7% grew). FLAT IS NOT A NEUTRAL ASSUMPTION HERE, IT IS ALREADY THE OPTIMISTIC ONE: the base year is the transition half annualised at 1,616 thousand tonnes, which is 12.5% ABOVE the five-year mean of 1,437 and above every full year in the record. Holding it flat assumes the rebound printed in one half persists. The bear case reverts toward the five-year mean and the lever is sensitised end to end</t>
        </is>
      </c>
    </row>
    <row r="165" ht="100" customHeight="1">
      <c r="A165" s="7" t="inlineStr">
        <is>
          <t>Volume growth — Waste, 2029E</t>
        </is>
      </c>
      <c r="B165" s="29" t="n">
        <v>0</v>
      </c>
      <c r="C165" s="7" t="inlineStr">
        <is>
          <t>Company</t>
        </is>
      </c>
      <c r="D165" s="7" t="inlineStr">
        <is>
          <t>2026-08-18</t>
        </is>
      </c>
      <c r="E165" s="4" t="inlineStr">
        <is>
          <t>Volume growth by audited product line: FLAT, every line, every year. The previous edition grew every line (oils +4.5%, wax +7.0%, fuel oil +3.0% in year one) and justified the ranking from the value growth printed between two disclosed HALVES. The company's own audited annual record for FY2021-FY2025 says the opposite: total sales tonnage ran 1,492 / 1,548 / 1,449 / 1,433 / 1,262 thousand tonnes, a fall of 18.5% from the FY2022 peak, and six of the eight lines shrank over FY2022-FY2025 (gas oil -8.3% a year, naphtha -7.4%, fuel oil -6.4%, heavy fuel oil -28.2%; only wax +1.1% and LPG +1.7% grew). FLAT IS NOT A NEUTRAL ASSUMPTION HERE, IT IS ALREADY THE OPTIMISTIC ONE: the base year is the transition half annualised at 1,616 thousand tonnes, which is 12.5% ABOVE the five-year mean of 1,437 and above every full year in the record. Holding it flat assumes the rebound printed in one half persists. The bear case reverts toward the five-year mean and the lever is sensitised end to end</t>
        </is>
      </c>
    </row>
    <row r="166" ht="100" customHeight="1">
      <c r="A166" s="7" t="inlineStr">
        <is>
          <t>Volume growth — Waste, 2030E</t>
        </is>
      </c>
      <c r="B166" s="29" t="n">
        <v>0</v>
      </c>
      <c r="C166" s="7" t="inlineStr">
        <is>
          <t>Company</t>
        </is>
      </c>
      <c r="D166" s="7" t="inlineStr">
        <is>
          <t>2026-08-18</t>
        </is>
      </c>
      <c r="E166" s="4" t="inlineStr">
        <is>
          <t>Volume growth by audited product line: FLAT, every line, every year. The previous edition grew every line (oils +4.5%, wax +7.0%, fuel oil +3.0% in year one) and justified the ranking from the value growth printed between two disclosed HALVES. The company's own audited annual record for FY2021-FY2025 says the opposite: total sales tonnage ran 1,492 / 1,548 / 1,449 / 1,433 / 1,262 thousand tonnes, a fall of 18.5% from the FY2022 peak, and six of the eight lines shrank over FY2022-FY2025 (gas oil -8.3% a year, naphtha -7.4%, fuel oil -6.4%, heavy fuel oil -28.2%; only wax +1.1% and LPG +1.7% grew). FLAT IS NOT A NEUTRAL ASSUMPTION HERE, IT IS ALREADY THE OPTIMISTIC ONE: the base year is the transition half annualised at 1,616 thousand tonnes, which is 12.5% ABOVE the five-year mean of 1,437 and above every full year in the record. Holding it flat assumes the rebound printed in one half persists. The bear case reverts toward the five-year mean and the lever is sensitised end to end</t>
        </is>
      </c>
    </row>
    <row r="167" ht="30" customHeight="1">
      <c r="A167" s="7" t="inlineStr">
        <is>
          <t>Egyptian inflation factor, 2026E</t>
        </is>
      </c>
      <c r="B167" s="28" t="n">
        <v>1.145</v>
      </c>
      <c r="C167" s="7" t="inlineStr">
        <is>
          <t>Country</t>
        </is>
      </c>
      <c r="D167" s="7" t="inlineStr">
        <is>
          <t>2026-08-06</t>
        </is>
      </c>
      <c r="E167" s="4" t="inlineStr">
        <is>
          <t>Cumulative-year Egyptian inflation factors applied to the pound-denominated cost legs — salaries inside cost of sales, the other line, administrative and marketing expense, and capital expenditure. Historical years as printed, easing toward the central bank's published target thereafter</t>
        </is>
      </c>
    </row>
    <row r="168" ht="30" customHeight="1">
      <c r="A168" s="7" t="inlineStr">
        <is>
          <t>Egyptian inflation factor, 2027E</t>
        </is>
      </c>
      <c r="B168" s="28" t="n">
        <v>1.13</v>
      </c>
      <c r="C168" s="7" t="inlineStr">
        <is>
          <t>Country</t>
        </is>
      </c>
      <c r="D168" s="7" t="inlineStr">
        <is>
          <t>2026-08-06</t>
        </is>
      </c>
      <c r="E168" s="4" t="inlineStr">
        <is>
          <t>Cumulative-year Egyptian inflation factors applied to the pound-denominated cost legs — salaries inside cost of sales, the other line, administrative and marketing expense, and capital expenditure. Historical years as printed, easing toward the central bank's published target thereafter</t>
        </is>
      </c>
    </row>
    <row r="169" ht="30" customHeight="1">
      <c r="A169" s="7" t="inlineStr">
        <is>
          <t>Egyptian inflation factor, 2028E</t>
        </is>
      </c>
      <c r="B169" s="28" t="n">
        <v>1.115</v>
      </c>
      <c r="C169" s="7" t="inlineStr">
        <is>
          <t>Country</t>
        </is>
      </c>
      <c r="D169" s="7" t="inlineStr">
        <is>
          <t>2026-08-06</t>
        </is>
      </c>
      <c r="E169" s="4" t="inlineStr">
        <is>
          <t>Cumulative-year Egyptian inflation factors applied to the pound-denominated cost legs — salaries inside cost of sales, the other line, administrative and marketing expense, and capital expenditure. Historical years as printed, easing toward the central bank's published target thereafter</t>
        </is>
      </c>
    </row>
    <row r="170" ht="30" customHeight="1">
      <c r="A170" s="7" t="inlineStr">
        <is>
          <t>Egyptian inflation factor, 2029E</t>
        </is>
      </c>
      <c r="B170" s="28" t="n">
        <v>1.1</v>
      </c>
      <c r="C170" s="7" t="inlineStr">
        <is>
          <t>Country</t>
        </is>
      </c>
      <c r="D170" s="7" t="inlineStr">
        <is>
          <t>2026-08-06</t>
        </is>
      </c>
      <c r="E170" s="4" t="inlineStr">
        <is>
          <t>Cumulative-year Egyptian inflation factors applied to the pound-denominated cost legs — salaries inside cost of sales, the other line, administrative and marketing expense, and capital expenditure. Historical years as printed, easing toward the central bank's published target thereafter</t>
        </is>
      </c>
    </row>
    <row r="171" ht="30" customHeight="1">
      <c r="A171" s="7" t="inlineStr">
        <is>
          <t>Egyptian inflation factor, 2030E</t>
        </is>
      </c>
      <c r="B171" s="28" t="n">
        <v>1.095</v>
      </c>
      <c r="C171" s="7" t="inlineStr">
        <is>
          <t>Country</t>
        </is>
      </c>
      <c r="D171" s="7" t="inlineStr">
        <is>
          <t>2026-08-06</t>
        </is>
      </c>
      <c r="E171" s="4" t="inlineStr">
        <is>
          <t>Cumulative-year Egyptian inflation factors applied to the pound-denominated cost legs — salaries inside cost of sales, the other line, administrative and marketing expense, and capital expenditure. Historical years as printed, easing toward the central bank's published target thereafter</t>
        </is>
      </c>
    </row>
    <row r="172">
      <c r="A172" s="11" t="inlineStr">
        <is>
          <t>COST OF CAPITAL</t>
        </is>
      </c>
      <c r="B172" s="13" t="n"/>
      <c r="C172" s="13" t="n"/>
      <c r="D172" s="13" t="n"/>
      <c r="E172" s="13" t="n"/>
      <c r="F172" s="13" t="n"/>
    </row>
    <row r="173" ht="20" customHeight="1">
      <c r="A173" s="7" t="inlineStr">
        <is>
          <t>Risk-free rate, Egypt 10-year local currency</t>
        </is>
      </c>
      <c r="B173" s="29" t="n">
        <v>0.2231</v>
      </c>
      <c r="C173" s="7" t="inlineStr">
        <is>
          <t>Country</t>
        </is>
      </c>
      <c r="D173" s="7" t="inlineStr">
        <is>
          <t>2026-07-21</t>
        </is>
      </c>
      <c r="E173" s="4" t="inlineStr">
        <is>
          <t>Egypt 10-year local-currency government bond yield, 22.31% (house cost-of-capital reference, cached 21-Jul-2026 print, re-verified 06-Aug-2026)</t>
        </is>
      </c>
    </row>
    <row r="174" ht="30" customHeight="1">
      <c r="A174" s="7" t="inlineStr">
        <is>
          <t>Sovereign default spread, CDS basis</t>
        </is>
      </c>
      <c r="B174" s="29" t="n">
        <v>0.034</v>
      </c>
      <c r="C174" s="7" t="inlineStr">
        <is>
          <t>Country</t>
        </is>
      </c>
      <c r="D174" s="7" t="inlineStr">
        <is>
          <t>2026-01-05</t>
        </is>
      </c>
      <c r="E174" s="4" t="inlineStr">
        <is>
          <t>Egypt credit-default-swap-implied sovereign default spread, Damodaran January-2026 country-premium file, CDS column. Netted out of the local-currency risk-free rate so sovereign default risk is not charged twice</t>
        </is>
      </c>
    </row>
    <row r="175" ht="20" customHeight="1">
      <c r="A175" s="7" t="inlineStr">
        <is>
          <t>Equity risk premium, CDS basis</t>
        </is>
      </c>
      <c r="B175" s="29" t="n">
        <v>0.0941</v>
      </c>
      <c r="C175" s="7" t="inlineStr">
        <is>
          <t>Country</t>
        </is>
      </c>
      <c r="D175" s="7" t="inlineStr">
        <is>
          <t>2026-01-05</t>
        </is>
      </c>
      <c r="E175" s="4" t="inlineStr">
        <is>
          <t>Damodaran original country-premium file, Egypt row, CDS column, last updated 5 January 2026 — total equity risk premium</t>
        </is>
      </c>
    </row>
    <row r="176" ht="70" customHeight="1">
      <c r="A176" s="7" t="inlineStr">
        <is>
          <t>Beta</t>
        </is>
      </c>
      <c r="B176" s="28" t="n">
        <v>0.908</v>
      </c>
      <c r="C176" s="7" t="inlineStr">
        <is>
          <t>Company</t>
        </is>
      </c>
      <c r="D176" s="7" t="inlineStr">
        <is>
          <t>2026-07-22</t>
        </is>
      </c>
      <c r="E176" s="4" t="inlineStr">
        <is>
          <t>Own-stock tier-1 regression, AMOC weekly log-returns against the EGX30 — the published index of the exchange AMOC is listed on, series as of 22 July 2026. R-squared 0.259, n = 253, standard error 0.165, 90% confidence interval [0.637, 1.179], Blume cross-check 0.939. Passes the usability gate. THIS REPLACES the previous edition's 0.9405, which was regressed against a 33-name equal-weight composite of the covered Egyptian names — a coverage artefact rather than a market, and a source-integrity failure whatever number it produced. The correction is small on this name, -3.5% on beta and under a percent on fair value; it is made because the provenance was wrong, not because the answer was</t>
        </is>
      </c>
    </row>
    <row r="177" ht="20" customHeight="1">
      <c r="A177" s="7" t="inlineStr">
        <is>
          <t>Yield on cash</t>
        </is>
      </c>
      <c r="B177" s="29" t="n">
        <v>0.17</v>
      </c>
      <c r="C177" s="7" t="inlineStr">
        <is>
          <t>House</t>
        </is>
      </c>
      <c r="D177" s="7" t="inlineStr">
        <is>
          <t>2026-08-06</t>
        </is>
      </c>
      <c r="E177" s="4" t="inlineStr">
        <is>
          <t>Yield earned on the cash pile. Egyptian treasury bills and corporate deposits price a few points under the 19.50% policy rate net of the 20% withholding on interest</t>
        </is>
      </c>
    </row>
    <row r="178" ht="40" customHeight="1">
      <c r="A178" s="7" t="inlineStr">
        <is>
          <t>Cost of debt</t>
        </is>
      </c>
      <c r="B178" s="29" t="n">
        <v>0.22</v>
      </c>
      <c r="C178" s="7" t="inlineStr">
        <is>
          <t>House</t>
        </is>
      </c>
      <c r="D178" s="7" t="inlineStr">
        <is>
          <t>2026-08-06</t>
        </is>
      </c>
      <c r="E178" s="4" t="inlineStr">
        <is>
          <t>Marginal cost of debt. The gross book is EGP 25mn — 0.06% of revenue — of short-dated Egyptian-pound facilities, so the rate is taken at the corridor lending rate of 20.00% plus a 200bp corporate spread rather than pretended to be observable. The integrity gate below computes what this input is actually WORTH to the answer</t>
        </is>
      </c>
    </row>
    <row r="179" ht="20" customHeight="1">
      <c r="A179" s="7" t="inlineStr">
        <is>
          <t>CBE inflation target IN FORCE for the terminal horizon</t>
        </is>
      </c>
      <c r="B179" s="29" t="n">
        <v>0.07000000000000001</v>
      </c>
      <c r="C179" s="7" t="inlineStr">
        <is>
          <t>Country</t>
        </is>
      </c>
      <c r="D179" s="7" t="inlineStr">
        <is>
          <t>2026-08-06</t>
        </is>
      </c>
      <c r="E179" s="4" t="inlineStr">
        <is>
          <t>The central bank's own stated inflation target, 7% (+/-2pp) on average for the fourth quarter of 2026, falling to 5% (+/-2pp) for the fourth quarter of 2028</t>
        </is>
      </c>
    </row>
    <row r="180" ht="60" customHeight="1">
      <c r="A180" s="7" t="inlineStr">
        <is>
          <t>Terminal real risk-free rate</t>
        </is>
      </c>
      <c r="B180" s="29" t="n">
        <v>0.055</v>
      </c>
      <c r="C180" s="7" t="inlineStr">
        <is>
          <t>House</t>
        </is>
      </c>
      <c r="D180" s="7" t="inlineStr">
        <is>
          <t>2026-08-06</t>
        </is>
      </c>
      <c r="E180" s="4" t="inlineStr">
        <is>
          <t>Terminal real risk-free rate, the standard emerging-market convention. The terminal NOMINAL risk-free rate is not an input: it is DERIVED as this real rate plus the central bank's inflation target IN FORCE for the terminal horizon (`cbe_target`), so the single most terminal-value-sensitive number in the model cannot be set by hand. The previous edition hardcoded 10.50% by adding 5.5pp to the 5% target dated Q4-2028 while describing it as 'the' medium-term target; the target in force is 7% for Q4-2026 and the July-2026 rate decision pushed even that to H2-2027</t>
        </is>
      </c>
    </row>
    <row r="181" ht="20" customHeight="1">
      <c r="A181" s="7" t="inlineStr">
        <is>
          <t>Terminal equity risk premium</t>
        </is>
      </c>
      <c r="B181" s="29" t="n">
        <v>0.07000000000000001</v>
      </c>
      <c r="C181" s="7" t="inlineStr">
        <is>
          <t>House</t>
        </is>
      </c>
      <c r="D181" s="7" t="inlineStr">
        <is>
          <t>2026-08-06</t>
        </is>
      </c>
      <c r="E181" s="4" t="inlineStr">
        <is>
          <t>Terminal equity risk premium, normalised below the currently elevated crisis-era level toward the rating-class norm; never held flat into perpetuity</t>
        </is>
      </c>
    </row>
    <row r="182" ht="20" customHeight="1">
      <c r="A182" s="7" t="inlineStr">
        <is>
          <t>Terminal cost of debt</t>
        </is>
      </c>
      <c r="B182" s="29" t="n">
        <v>0.15</v>
      </c>
      <c r="C182" s="7" t="inlineStr">
        <is>
          <t>House</t>
        </is>
      </c>
      <c r="D182" s="7" t="inlineStr">
        <is>
          <t>2026-08-06</t>
        </is>
      </c>
      <c r="E182" s="4" t="inlineStr">
        <is>
          <t>Terminal cost of debt: the midpoint of the 14-16% long-run Egyptian corporate-borrowing norm, with no name-specific reason to deviate</t>
        </is>
      </c>
    </row>
    <row r="183" ht="30" customHeight="1">
      <c r="A183" s="7" t="inlineStr">
        <is>
          <t>Terminal debt weight</t>
        </is>
      </c>
      <c r="B183" s="29" t="n">
        <v>0.1</v>
      </c>
      <c r="C183" s="7" t="inlineStr">
        <is>
          <t>House</t>
        </is>
      </c>
      <c r="D183" s="7" t="inlineStr">
        <is>
          <t>2026-08-06</t>
        </is>
      </c>
      <c r="E183" s="4" t="inlineStr">
        <is>
          <t>Terminal debt weight, normalised. The company is net cash today and has been for years; a terminal structure carrying a tenth of capital in debt is already generous to the valuation and avoids capitalising the current zero-leverage position into perpetuity</t>
        </is>
      </c>
    </row>
    <row r="184" ht="30" customHeight="1">
      <c r="A184" s="7" t="inlineStr">
        <is>
          <t>Cost-of-debt path, 2026E</t>
        </is>
      </c>
      <c r="B184" s="29" t="n">
        <v>0.22</v>
      </c>
      <c r="C184" s="7" t="inlineStr">
        <is>
          <t>House</t>
        </is>
      </c>
      <c r="D184" s="7" t="inlineStr">
        <is>
          <t>2026-08-06</t>
        </is>
      </c>
      <c r="E184" s="4" t="inlineStr">
        <is>
          <t>Forward cost-of-debt path 2026E-2030E, following the central bank's own disinflation path toward the long-run Egyptian corporate-borrowing norm. This path is what sets the SHAPE of the cost-of-capital glide; it is not a second free parameter</t>
        </is>
      </c>
    </row>
    <row r="185" ht="30" customHeight="1">
      <c r="A185" s="7" t="inlineStr">
        <is>
          <t>Cost-of-debt path, 2027E</t>
        </is>
      </c>
      <c r="B185" s="29" t="n">
        <v>0.195</v>
      </c>
      <c r="C185" s="7" t="inlineStr">
        <is>
          <t>House</t>
        </is>
      </c>
      <c r="D185" s="7" t="inlineStr">
        <is>
          <t>2026-08-06</t>
        </is>
      </c>
      <c r="E185" s="4" t="inlineStr">
        <is>
          <t>Forward cost-of-debt path 2026E-2030E, following the central bank's own disinflation path toward the long-run Egyptian corporate-borrowing norm. This path is what sets the SHAPE of the cost-of-capital glide; it is not a second free parameter</t>
        </is>
      </c>
    </row>
    <row r="186" ht="30" customHeight="1">
      <c r="A186" s="7" t="inlineStr">
        <is>
          <t>Cost-of-debt path, 2028E</t>
        </is>
      </c>
      <c r="B186" s="29" t="n">
        <v>0.175</v>
      </c>
      <c r="C186" s="7" t="inlineStr">
        <is>
          <t>House</t>
        </is>
      </c>
      <c r="D186" s="7" t="inlineStr">
        <is>
          <t>2026-08-06</t>
        </is>
      </c>
      <c r="E186" s="4" t="inlineStr">
        <is>
          <t>Forward cost-of-debt path 2026E-2030E, following the central bank's own disinflation path toward the long-run Egyptian corporate-borrowing norm. This path is what sets the SHAPE of the cost-of-capital glide; it is not a second free parameter</t>
        </is>
      </c>
    </row>
    <row r="187" ht="30" customHeight="1">
      <c r="A187" s="7" t="inlineStr">
        <is>
          <t>Cost-of-debt path, 2029E</t>
        </is>
      </c>
      <c r="B187" s="29" t="n">
        <v>0.16</v>
      </c>
      <c r="C187" s="7" t="inlineStr">
        <is>
          <t>House</t>
        </is>
      </c>
      <c r="D187" s="7" t="inlineStr">
        <is>
          <t>2026-08-06</t>
        </is>
      </c>
      <c r="E187" s="4" t="inlineStr">
        <is>
          <t>Forward cost-of-debt path 2026E-2030E, following the central bank's own disinflation path toward the long-run Egyptian corporate-borrowing norm. This path is what sets the SHAPE of the cost-of-capital glide; it is not a second free parameter</t>
        </is>
      </c>
    </row>
    <row r="188" ht="30" customHeight="1">
      <c r="A188" s="7" t="inlineStr">
        <is>
          <t>Cost-of-debt path, 2030E</t>
        </is>
      </c>
      <c r="B188" s="29" t="n">
        <v>0.15</v>
      </c>
      <c r="C188" s="7" t="inlineStr">
        <is>
          <t>House</t>
        </is>
      </c>
      <c r="D188" s="7" t="inlineStr">
        <is>
          <t>2026-08-06</t>
        </is>
      </c>
      <c r="E188" s="4" t="inlineStr">
        <is>
          <t>Forward cost-of-debt path 2026E-2030E, following the central bank's own disinflation path toward the long-run Egyptian corporate-borrowing norm. This path is what sets the SHAPE of the cost-of-capital glide; it is not a second free parameter</t>
        </is>
      </c>
    </row>
    <row r="189" ht="30" customHeight="1">
      <c r="A189" s="7" t="inlineStr">
        <is>
          <t>Lens weight — dcf</t>
        </is>
      </c>
      <c r="B189" s="31" t="n">
        <v>0.45</v>
      </c>
      <c r="C189" s="7" t="inlineStr">
        <is>
          <t>House</t>
        </is>
      </c>
      <c r="D189" s="7" t="inlineStr">
        <is>
          <t>2026-08-06</t>
        </is>
      </c>
      <c r="E189" s="4" t="inlineStr">
        <is>
          <t>Discounted cash flow primary for a single-asset operating processor with a visible volume ramp; the relative and normalised-earnings lenses carry equal secondary weight; the book lens least, because a substantially depreciated plant makes book value a poor proxy for replacement cost</t>
        </is>
      </c>
    </row>
    <row r="190" ht="30" customHeight="1">
      <c r="A190" s="7" t="inlineStr">
        <is>
          <t>Lens weight — relative</t>
        </is>
      </c>
      <c r="B190" s="31" t="n">
        <v>0.2</v>
      </c>
      <c r="C190" s="7" t="inlineStr">
        <is>
          <t>House</t>
        </is>
      </c>
      <c r="D190" s="7" t="inlineStr">
        <is>
          <t>2026-08-06</t>
        </is>
      </c>
      <c r="E190" s="4" t="inlineStr">
        <is>
          <t>Discounted cash flow primary for a single-asset operating processor with a visible volume ramp; the relative and normalised-earnings lenses carry equal secondary weight; the book lens least, because a substantially depreciated plant makes book value a poor proxy for replacement cost</t>
        </is>
      </c>
    </row>
    <row r="191" ht="30" customHeight="1">
      <c r="A191" s="7" t="inlineStr">
        <is>
          <t>Lens weight — normalized</t>
        </is>
      </c>
      <c r="B191" s="31" t="n">
        <v>0.2</v>
      </c>
      <c r="C191" s="7" t="inlineStr">
        <is>
          <t>House</t>
        </is>
      </c>
      <c r="D191" s="7" t="inlineStr">
        <is>
          <t>2026-08-06</t>
        </is>
      </c>
      <c r="E191" s="4" t="inlineStr">
        <is>
          <t>Discounted cash flow primary for a single-asset operating processor with a visible volume ramp; the relative and normalised-earnings lenses carry equal secondary weight; the book lens least, because a substantially depreciated plant makes book value a poor proxy for replacement cost</t>
        </is>
      </c>
    </row>
    <row r="192" ht="30" customHeight="1">
      <c r="A192" s="7" t="inlineStr">
        <is>
          <t>Lens weight — book</t>
        </is>
      </c>
      <c r="B192" s="31" t="n">
        <v>0.15</v>
      </c>
      <c r="C192" s="7" t="inlineStr">
        <is>
          <t>House</t>
        </is>
      </c>
      <c r="D192" s="7" t="inlineStr">
        <is>
          <t>2026-08-06</t>
        </is>
      </c>
      <c r="E192" s="4" t="inlineStr">
        <is>
          <t>Discounted cash flow primary for a single-asset operating processor with a visible volume ramp; the relative and normalised-earnings lenses carry equal secondary weight; the book lens least, because a substantially depreciated plant makes book value a poor proxy for replacement cost</t>
        </is>
      </c>
    </row>
  </sheetData>
  <mergeCells count="1">
    <mergeCell ref="A2:F2"/>
  </mergeCells>
  <pageMargins left="0.75" right="0.75" top="1" bottom="1" header="0.5" footer="0.5"/>
</worksheet>
</file>

<file path=xl/worksheets/sheet5.xml><?xml version="1.0" encoding="utf-8"?>
<worksheet xmlns="http://schemas.openxmlformats.org/spreadsheetml/2006/main">
  <sheetPr>
    <tabColor rgb="001C3A36"/>
    <outlinePr summaryBelow="1" summaryRight="1"/>
    <pageSetUpPr/>
  </sheetPr>
  <dimension ref="A1:I25"/>
  <sheetViews>
    <sheetView showGridLines="0" workbookViewId="0">
      <selection activeCell="A1" sqref="A1"/>
    </sheetView>
  </sheetViews>
  <sheetFormatPr baseColWidth="8" defaultRowHeight="15"/>
  <cols>
    <col width="62"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s>
  <sheetData>
    <row r="1">
      <c r="A1" s="1" t="inlineStr">
        <is>
          <t>Enterprise value to equity — every step</t>
        </is>
      </c>
    </row>
    <row r="2" ht="32" customHeight="1">
      <c r="A2" s="5" t="inlineStr">
        <is>
          <t>AMOC is a single operating company: one refinery, eight product lines off one crude slate, no stakes to sum. There are no parts to break out, so this sheet is the full enterprise-to-equity walk rather than a sum of pieces, and it says so rather than inventing segments to fill the shape.</t>
        </is>
      </c>
    </row>
    <row r="3">
      <c r="A3" s="2" t="n"/>
      <c r="B3" s="2" t="n"/>
      <c r="C3" s="2" t="n"/>
      <c r="D3" s="2" t="n"/>
      <c r="E3" s="2" t="n"/>
    </row>
    <row r="5">
      <c r="A5" s="7" t="inlineStr">
        <is>
          <t>Present value of the explicit window</t>
        </is>
      </c>
      <c r="B5" s="32">
        <f>DCF!B52</f>
        <v/>
      </c>
    </row>
    <row r="6">
      <c r="A6" s="7" t="inlineStr">
        <is>
          <t>Terminal value</t>
        </is>
      </c>
      <c r="B6" s="32">
        <f>DCF!B55</f>
        <v/>
      </c>
    </row>
    <row r="7">
      <c r="A7" s="7" t="inlineStr">
        <is>
          <t>Present value of the terminal block</t>
        </is>
      </c>
      <c r="B7" s="32">
        <f>DCF!B56</f>
        <v/>
      </c>
    </row>
    <row r="8">
      <c r="A8" s="15" t="inlineStr">
        <is>
          <t>ENTERPRISE VALUE</t>
        </is>
      </c>
      <c r="B8" s="33">
        <f>DCF!B57</f>
        <v/>
      </c>
    </row>
    <row r="9">
      <c r="A9" s="7" t="inlineStr">
        <is>
          <t>plus net cash</t>
        </is>
      </c>
      <c r="B9" s="32">
        <f>DCF!B58</f>
        <v/>
      </c>
    </row>
    <row r="10">
      <c r="A10" s="7" t="inlineStr">
        <is>
          <t>Enterprise value including cash</t>
        </is>
      </c>
      <c r="B10" s="32">
        <f>DCF!B59</f>
        <v/>
      </c>
    </row>
    <row r="11">
      <c r="A11" s="7" t="inlineStr">
        <is>
          <t>less minority interest, on the whole enterprise</t>
        </is>
      </c>
      <c r="B11" s="32">
        <f>DCF!B60</f>
        <v/>
      </c>
    </row>
    <row r="12">
      <c r="A12" s="7" t="inlineStr">
        <is>
          <t>less the tax-disputes provision</t>
        </is>
      </c>
      <c r="B12" s="32">
        <f>DCF!B61</f>
        <v/>
      </c>
    </row>
    <row r="13">
      <c r="A13" s="7" t="inlineStr">
        <is>
          <t>less dividends declared and payable</t>
        </is>
      </c>
      <c r="B13" s="32">
        <f>DCF!B62</f>
        <v/>
      </c>
    </row>
    <row r="14">
      <c r="A14" s="7" t="inlineStr">
        <is>
          <t>plus non-operating investments and pledged deposits</t>
        </is>
      </c>
      <c r="B14" s="32">
        <f>DCF!B63</f>
        <v/>
      </c>
    </row>
    <row r="15">
      <c r="A15" s="15" t="inlineStr">
        <is>
          <t>EQUITY ATTRIBUTABLE TO THE PARENT</t>
        </is>
      </c>
      <c r="B15" s="33">
        <f>DCF!B64</f>
        <v/>
      </c>
    </row>
    <row r="16">
      <c r="A16" s="15" t="inlineStr">
        <is>
          <t>VALUE PER SHARE, EGP</t>
        </is>
      </c>
      <c r="B16" s="22">
        <f>B15/Assumptions!$B$8</f>
        <v/>
      </c>
    </row>
    <row r="18">
      <c r="A18" s="11" t="inlineStr">
        <is>
          <t>THE SAME WALK, PER SHARE</t>
        </is>
      </c>
      <c r="B18" s="13" t="n"/>
      <c r="C18" s="13" t="n"/>
      <c r="D18" s="13" t="n"/>
      <c r="E18" s="13" t="n"/>
    </row>
    <row r="19">
      <c r="A19" s="7" t="inlineStr">
        <is>
          <t>Enterprise value</t>
        </is>
      </c>
      <c r="B19" s="14">
        <f>DCF!B57/Assumptions!$B$8</f>
        <v/>
      </c>
    </row>
    <row r="20">
      <c r="A20" s="7" t="inlineStr">
        <is>
          <t>Net cash</t>
        </is>
      </c>
      <c r="B20" s="14">
        <f>DCF!B58/Assumptions!$B$8</f>
        <v/>
      </c>
    </row>
    <row r="21">
      <c r="A21" s="7" t="inlineStr">
        <is>
          <t>Minority interest</t>
        </is>
      </c>
      <c r="B21" s="14">
        <f>DCF!B60/Assumptions!$B$8*-1</f>
        <v/>
      </c>
    </row>
    <row r="22">
      <c r="A22" s="7" t="inlineStr">
        <is>
          <t>Provisions, dividends payable and investments</t>
        </is>
      </c>
      <c r="B22" s="14">
        <f>(DCF!B63-DCF!B61-DCF!B62)/Assumptions!$B$8</f>
        <v/>
      </c>
    </row>
    <row r="23">
      <c r="A23" s="15" t="inlineStr">
        <is>
          <t>VALUE PER SHARE, EGP</t>
        </is>
      </c>
      <c r="B23" s="22">
        <f>SUM(B19:B22)</f>
        <v/>
      </c>
    </row>
    <row r="25" ht="33" customHeight="1">
      <c r="A25" s="19" t="inlineStr">
        <is>
          <t>The minority is taken on the WHOLE enterprise, cash included, because the subsidiary that carries it holds its share of the cash as well as of the plant. Taking it on the operating enterprise alone and then adding the group cash at face would credit the parent with cash it does not wholly own.</t>
        </is>
      </c>
    </row>
  </sheetData>
  <mergeCells count="2">
    <mergeCell ref="A2:E2"/>
    <mergeCell ref="A25:I25"/>
  </mergeCells>
  <pageMargins left="0.75" right="0.75" top="1" bottom="1" header="0.5" footer="0.5"/>
</worksheet>
</file>

<file path=xl/worksheets/sheet6.xml><?xml version="1.0" encoding="utf-8"?>
<worksheet xmlns="http://schemas.openxmlformats.org/spreadsheetml/2006/main">
  <sheetPr>
    <tabColor rgb="001C3A36"/>
    <outlinePr summaryBelow="1" summaryRight="1"/>
    <pageSetUpPr/>
  </sheetPr>
  <dimension ref="A1:I38"/>
  <sheetViews>
    <sheetView showGridLines="0" workbookViewId="0">
      <selection activeCell="A1" sqref="A1"/>
    </sheetView>
  </sheetViews>
  <sheetFormatPr baseColWidth="8" defaultRowHeight="15"/>
  <cols>
    <col width="40"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s>
  <sheetData>
    <row r="1">
      <c r="A1" s="1" t="inlineStr">
        <is>
          <t>The eight disclosed product lines — revenue AND cost, per line</t>
        </is>
      </c>
    </row>
    <row r="2" ht="32" customHeight="1">
      <c r="A2" s="5" t="inlineStr">
        <is>
          <t>Note 14-A gives tonnes and value per line. Note 15-A gives the cost stack for the company and NOT by line, so conversion is allocated on the registered processing-intensity weights and feedstock is then allocated on NET REALISABLE VALUE — the standard joint-product method. Every cell here is a formula.</t>
        </is>
      </c>
    </row>
    <row r="3">
      <c r="A3" s="2" t="n"/>
      <c r="B3" s="2" t="n"/>
      <c r="C3" s="2" t="n"/>
      <c r="D3" s="2" t="n"/>
      <c r="E3" s="2" t="n"/>
      <c r="F3" s="2" t="n"/>
      <c r="G3" s="2" t="n"/>
      <c r="H3" s="2" t="n"/>
      <c r="I3" s="2" t="n"/>
    </row>
    <row r="5">
      <c r="A5" s="6" t="inlineStr">
        <is>
          <t>Line</t>
        </is>
      </c>
      <c r="B5" s="6" t="inlineStr">
        <is>
          <t>Tonnes, 6M</t>
        </is>
      </c>
      <c r="C5" s="6" t="inlineStr">
        <is>
          <t>Value, EGP 6M</t>
        </is>
      </c>
      <c r="D5" s="6" t="inlineStr">
        <is>
          <t>Realisation EGP/t</t>
        </is>
      </c>
      <c r="E5" s="6" t="inlineStr">
        <is>
          <t>Base tonnes mn</t>
        </is>
      </c>
      <c r="F5" s="6" t="inlineStr">
        <is>
          <t>Base realisation</t>
        </is>
      </c>
      <c r="G5" s="6" t="inlineStr">
        <is>
          <t>Conversion EGP/t</t>
        </is>
      </c>
      <c r="H5" s="6" t="inlineStr">
        <is>
          <t>Feedstock EGP/t</t>
        </is>
      </c>
      <c r="I5" s="6" t="inlineStr">
        <is>
          <t>Spread EGP/t</t>
        </is>
      </c>
    </row>
    <row r="6">
      <c r="A6" s="7" t="inlineStr">
        <is>
          <t>Base and special oils</t>
        </is>
      </c>
      <c r="B6" s="34">
        <f>Assumptions!$B$67</f>
        <v/>
      </c>
      <c r="C6" s="32">
        <f>Assumptions!$B$75</f>
        <v/>
      </c>
      <c r="D6" s="18">
        <f>C6/B6</f>
        <v/>
      </c>
      <c r="E6" s="23">
        <f>B6/10^6</f>
        <v/>
      </c>
      <c r="F6" s="18">
        <f>D6*$B$16</f>
        <v/>
      </c>
      <c r="G6" s="18">
        <f>$B$22*H6/$B$23</f>
        <v/>
      </c>
      <c r="H6" s="35">
        <f>Assumptions!$B$114</f>
        <v/>
      </c>
      <c r="I6" s="18">
        <f>F6-G6</f>
        <v/>
      </c>
    </row>
    <row r="7">
      <c r="A7" s="7" t="inlineStr">
        <is>
          <t>Paraffin wax</t>
        </is>
      </c>
      <c r="B7" s="34">
        <f>Assumptions!$B$68</f>
        <v/>
      </c>
      <c r="C7" s="32">
        <f>Assumptions!$B$76</f>
        <v/>
      </c>
      <c r="D7" s="18">
        <f>C7/B7</f>
        <v/>
      </c>
      <c r="E7" s="23">
        <f>B7/10^6</f>
        <v/>
      </c>
      <c r="F7" s="18">
        <f>D7*$B$16</f>
        <v/>
      </c>
      <c r="G7" s="18">
        <f>$B$22*H7/$B$23</f>
        <v/>
      </c>
      <c r="H7" s="35">
        <f>Assumptions!$B$115</f>
        <v/>
      </c>
      <c r="I7" s="18">
        <f>F7-G7</f>
        <v/>
      </c>
    </row>
    <row r="8">
      <c r="A8" s="7" t="inlineStr">
        <is>
          <t>Gas oil</t>
        </is>
      </c>
      <c r="B8" s="34">
        <f>Assumptions!$B$69</f>
        <v/>
      </c>
      <c r="C8" s="32">
        <f>Assumptions!$B$77</f>
        <v/>
      </c>
      <c r="D8" s="18">
        <f>C8/B8</f>
        <v/>
      </c>
      <c r="E8" s="23">
        <f>B8/10^6</f>
        <v/>
      </c>
      <c r="F8" s="18">
        <f>D8*$B$16</f>
        <v/>
      </c>
      <c r="G8" s="18">
        <f>$B$22*H8/$B$23</f>
        <v/>
      </c>
      <c r="H8" s="35">
        <f>Assumptions!$B$116</f>
        <v/>
      </c>
      <c r="I8" s="18">
        <f>F8-G8</f>
        <v/>
      </c>
    </row>
    <row r="9">
      <c r="A9" s="7" t="inlineStr">
        <is>
          <t>Naphtha</t>
        </is>
      </c>
      <c r="B9" s="34">
        <f>Assumptions!$B$70</f>
        <v/>
      </c>
      <c r="C9" s="32">
        <f>Assumptions!$B$78</f>
        <v/>
      </c>
      <c r="D9" s="18">
        <f>C9/B9</f>
        <v/>
      </c>
      <c r="E9" s="23">
        <f>B9/10^6</f>
        <v/>
      </c>
      <c r="F9" s="18">
        <f>D9*$B$16</f>
        <v/>
      </c>
      <c r="G9" s="18">
        <f>$B$22*H9/$B$23</f>
        <v/>
      </c>
      <c r="H9" s="35">
        <f>Assumptions!$B$117</f>
        <v/>
      </c>
      <c r="I9" s="18">
        <f>F9-G9</f>
        <v/>
      </c>
    </row>
    <row r="10">
      <c r="A10" s="7" t="inlineStr">
        <is>
          <t>Liquefied petroleum gas</t>
        </is>
      </c>
      <c r="B10" s="34">
        <f>Assumptions!$B$71</f>
        <v/>
      </c>
      <c r="C10" s="32">
        <f>Assumptions!$B$79</f>
        <v/>
      </c>
      <c r="D10" s="18">
        <f>C10/B10</f>
        <v/>
      </c>
      <c r="E10" s="23">
        <f>B10/10^6</f>
        <v/>
      </c>
      <c r="F10" s="18">
        <f>D10*$B$16</f>
        <v/>
      </c>
      <c r="G10" s="18">
        <f>$B$22*H10/$B$23</f>
        <v/>
      </c>
      <c r="H10" s="35">
        <f>Assumptions!$B$118</f>
        <v/>
      </c>
      <c r="I10" s="18">
        <f>F10-G10</f>
        <v/>
      </c>
    </row>
    <row r="11">
      <c r="A11" s="7" t="inlineStr">
        <is>
          <t>Fuel oil (mix)</t>
        </is>
      </c>
      <c r="B11" s="34">
        <f>Assumptions!$B$72</f>
        <v/>
      </c>
      <c r="C11" s="32">
        <f>Assumptions!$B$80</f>
        <v/>
      </c>
      <c r="D11" s="18">
        <f>C11/B11</f>
        <v/>
      </c>
      <c r="E11" s="23">
        <f>B11/10^6</f>
        <v/>
      </c>
      <c r="F11" s="18">
        <f>D11*$B$16</f>
        <v/>
      </c>
      <c r="G11" s="18">
        <f>$B$22*H11/$B$23</f>
        <v/>
      </c>
      <c r="H11" s="35">
        <f>Assumptions!$B$119</f>
        <v/>
      </c>
      <c r="I11" s="18">
        <f>F11-G11</f>
        <v/>
      </c>
    </row>
    <row r="12">
      <c r="A12" s="7" t="inlineStr">
        <is>
          <t>Heavy fuel oil</t>
        </is>
      </c>
      <c r="B12" s="34">
        <f>Assumptions!$B$73</f>
        <v/>
      </c>
      <c r="C12" s="32">
        <f>Assumptions!$B$81</f>
        <v/>
      </c>
      <c r="D12" s="18">
        <f>C12/B12</f>
        <v/>
      </c>
      <c r="E12" s="23">
        <f>B12/10^6</f>
        <v/>
      </c>
      <c r="F12" s="18">
        <f>D12*$B$16</f>
        <v/>
      </c>
      <c r="G12" s="18">
        <f>$B$22*H12/$B$23</f>
        <v/>
      </c>
      <c r="H12" s="35">
        <f>Assumptions!$B$120</f>
        <v/>
      </c>
      <c r="I12" s="18">
        <f>F12-G12</f>
        <v/>
      </c>
    </row>
    <row r="13">
      <c r="A13" s="7" t="inlineStr">
        <is>
          <t>Waste</t>
        </is>
      </c>
      <c r="B13" s="34">
        <f>Assumptions!$B$74</f>
        <v/>
      </c>
      <c r="C13" s="32">
        <f>Assumptions!$B$82</f>
        <v/>
      </c>
      <c r="D13" s="18">
        <f>C13/B13</f>
        <v/>
      </c>
      <c r="E13" s="23">
        <f>B13/10^6</f>
        <v/>
      </c>
      <c r="F13" s="18">
        <f>D13*$B$16</f>
        <v/>
      </c>
      <c r="G13" s="18">
        <f>$B$22*H13/$B$23</f>
        <v/>
      </c>
      <c r="H13" s="35">
        <f>Assumptions!$B$121</f>
        <v/>
      </c>
      <c r="I13" s="18">
        <f>F13-G13</f>
        <v/>
      </c>
    </row>
    <row r="14">
      <c r="A14" s="15" t="inlineStr">
        <is>
          <t>TOTAL</t>
        </is>
      </c>
      <c r="B14" s="36">
        <f>SUM(B6:B13)</f>
        <v/>
      </c>
      <c r="C14" s="37">
        <f>SUM(C6:C13)</f>
        <v/>
      </c>
      <c r="E14" s="36">
        <f>SUM(E6:E13)</f>
        <v/>
      </c>
      <c r="F14" s="37">
        <f>SUMPRODUCT(E6:E13,F6:F13)</f>
        <v/>
      </c>
    </row>
    <row r="15">
      <c r="A15" s="7" t="inlineStr">
        <is>
          <t>Revenue at the disclosed realisations, twelve months as filed</t>
        </is>
      </c>
      <c r="B15" s="18">
        <f>SUMPRODUCT(E6:E13,D6:D13)</f>
        <v/>
      </c>
    </row>
    <row r="16">
      <c r="A16" s="15" t="inlineStr">
        <is>
          <t>REALISATION INDEX — solved so the base year foots</t>
        </is>
      </c>
      <c r="B16" s="36">
        <f>'Income Statement'!B19/B15</f>
        <v/>
      </c>
    </row>
    <row r="18">
      <c r="A18" s="11" t="inlineStr">
        <is>
          <t>COST ALLOCATION</t>
        </is>
      </c>
      <c r="B18" s="13" t="n"/>
      <c r="C18" s="13" t="n"/>
      <c r="D18" s="13" t="n"/>
      <c r="E18" s="13" t="n"/>
      <c r="F18" s="13" t="n"/>
      <c r="G18" s="13" t="n"/>
      <c r="H18" s="13" t="n"/>
      <c r="I18" s="13" t="n"/>
    </row>
    <row r="19">
      <c r="A19" s="7" t="inlineStr">
        <is>
          <t>Cost of sales, base year</t>
        </is>
      </c>
      <c r="B19" s="18">
        <f>'Income Statement'!B21</f>
        <v/>
      </c>
    </row>
    <row r="20">
      <c r="A20" s="7" t="inlineStr">
        <is>
          <t>Feedstock share of cost (note 15-A)</t>
        </is>
      </c>
      <c r="B20" s="24">
        <f>Assumptions!$B$26/(Assumptions!$B$26+Assumptions!$B$25+Assumptions!$B$29+Assumptions!$B$27+Assumptions!$B$28)</f>
        <v/>
      </c>
    </row>
    <row r="21">
      <c r="A21" s="7" t="inlineStr">
        <is>
          <t>Feedstock total</t>
        </is>
      </c>
      <c r="B21" s="18">
        <f>B19*B20</f>
        <v/>
      </c>
    </row>
    <row r="22">
      <c r="A22" s="7" t="inlineStr">
        <is>
          <t>Conversion total</t>
        </is>
      </c>
      <c r="B22" s="18">
        <f>B19-B21</f>
        <v/>
      </c>
    </row>
    <row r="23">
      <c r="A23" s="7" t="inlineStr">
        <is>
          <t>Processing-weighted tonnage</t>
        </is>
      </c>
      <c r="B23" s="23">
        <f>SUMPRODUCT(E6:E13,H6:H13)</f>
        <v/>
      </c>
    </row>
    <row r="24">
      <c r="A24" s="7" t="inlineStr">
        <is>
          <t>Net realisable value weighted tonnage</t>
        </is>
      </c>
      <c r="B24" s="18">
        <f>SUMPRODUCT(E6:E13,I6:I13)</f>
        <v/>
      </c>
    </row>
    <row r="26">
      <c r="A26" s="6" t="inlineStr">
        <is>
          <t>Line</t>
        </is>
      </c>
      <c r="B26" s="6" t="inlineStr">
        <is>
          <t>Conversion EGP/t</t>
        </is>
      </c>
      <c r="C26" s="6" t="inlineStr">
        <is>
          <t>Net realisable EGP/t</t>
        </is>
      </c>
      <c r="D26" s="6" t="inlineStr">
        <is>
          <t>Feedstock EGP/t</t>
        </is>
      </c>
      <c r="E26" s="6" t="inlineStr">
        <is>
          <t>Total cost EGP/t</t>
        </is>
      </c>
      <c r="F26" s="6" t="inlineStr">
        <is>
          <t>Realisation EGP/t</t>
        </is>
      </c>
      <c r="G26" s="6" t="inlineStr">
        <is>
          <t>Spread EGP/t</t>
        </is>
      </c>
      <c r="H26" s="6" t="inlineStr">
        <is>
          <t>Gross margin</t>
        </is>
      </c>
    </row>
    <row r="27">
      <c r="A27" s="7" t="inlineStr">
        <is>
          <t>Base and special oils</t>
        </is>
      </c>
      <c r="B27" s="18">
        <f>G6</f>
        <v/>
      </c>
      <c r="C27" s="18">
        <f>I6</f>
        <v/>
      </c>
      <c r="D27" s="18">
        <f>$B$21*I6/$B$24</f>
        <v/>
      </c>
      <c r="E27" s="18">
        <f>D27+B27</f>
        <v/>
      </c>
      <c r="F27" s="18">
        <f>F6</f>
        <v/>
      </c>
      <c r="G27" s="37">
        <f>F27-E27</f>
        <v/>
      </c>
      <c r="H27" s="24">
        <f>G27/F27</f>
        <v/>
      </c>
    </row>
    <row r="28">
      <c r="A28" s="7" t="inlineStr">
        <is>
          <t>Paraffin wax</t>
        </is>
      </c>
      <c r="B28" s="18">
        <f>G7</f>
        <v/>
      </c>
      <c r="C28" s="18">
        <f>I7</f>
        <v/>
      </c>
      <c r="D28" s="18">
        <f>$B$21*I7/$B$24</f>
        <v/>
      </c>
      <c r="E28" s="18">
        <f>D28+B28</f>
        <v/>
      </c>
      <c r="F28" s="18">
        <f>F7</f>
        <v/>
      </c>
      <c r="G28" s="37">
        <f>F28-E28</f>
        <v/>
      </c>
      <c r="H28" s="24">
        <f>G28/F28</f>
        <v/>
      </c>
    </row>
    <row r="29">
      <c r="A29" s="7" t="inlineStr">
        <is>
          <t>Gas oil</t>
        </is>
      </c>
      <c r="B29" s="18">
        <f>G8</f>
        <v/>
      </c>
      <c r="C29" s="18">
        <f>I8</f>
        <v/>
      </c>
      <c r="D29" s="18">
        <f>$B$21*I8/$B$24</f>
        <v/>
      </c>
      <c r="E29" s="18">
        <f>D29+B29</f>
        <v/>
      </c>
      <c r="F29" s="18">
        <f>F8</f>
        <v/>
      </c>
      <c r="G29" s="37">
        <f>F29-E29</f>
        <v/>
      </c>
      <c r="H29" s="24">
        <f>G29/F29</f>
        <v/>
      </c>
    </row>
    <row r="30">
      <c r="A30" s="7" t="inlineStr">
        <is>
          <t>Naphtha</t>
        </is>
      </c>
      <c r="B30" s="18">
        <f>G9</f>
        <v/>
      </c>
      <c r="C30" s="18">
        <f>I9</f>
        <v/>
      </c>
      <c r="D30" s="18">
        <f>$B$21*I9/$B$24</f>
        <v/>
      </c>
      <c r="E30" s="18">
        <f>D30+B30</f>
        <v/>
      </c>
      <c r="F30" s="18">
        <f>F9</f>
        <v/>
      </c>
      <c r="G30" s="37">
        <f>F30-E30</f>
        <v/>
      </c>
      <c r="H30" s="24">
        <f>G30/F30</f>
        <v/>
      </c>
    </row>
    <row r="31">
      <c r="A31" s="7" t="inlineStr">
        <is>
          <t>Liquefied petroleum gas</t>
        </is>
      </c>
      <c r="B31" s="18">
        <f>G10</f>
        <v/>
      </c>
      <c r="C31" s="18">
        <f>I10</f>
        <v/>
      </c>
      <c r="D31" s="18">
        <f>$B$21*I10/$B$24</f>
        <v/>
      </c>
      <c r="E31" s="18">
        <f>D31+B31</f>
        <v/>
      </c>
      <c r="F31" s="18">
        <f>F10</f>
        <v/>
      </c>
      <c r="G31" s="37">
        <f>F31-E31</f>
        <v/>
      </c>
      <c r="H31" s="24">
        <f>G31/F31</f>
        <v/>
      </c>
    </row>
    <row r="32">
      <c r="A32" s="7" t="inlineStr">
        <is>
          <t>Fuel oil (mix)</t>
        </is>
      </c>
      <c r="B32" s="18">
        <f>G11</f>
        <v/>
      </c>
      <c r="C32" s="18">
        <f>I11</f>
        <v/>
      </c>
      <c r="D32" s="18">
        <f>$B$21*I11/$B$24</f>
        <v/>
      </c>
      <c r="E32" s="18">
        <f>D32+B32</f>
        <v/>
      </c>
      <c r="F32" s="18">
        <f>F11</f>
        <v/>
      </c>
      <c r="G32" s="37">
        <f>F32-E32</f>
        <v/>
      </c>
      <c r="H32" s="24">
        <f>G32/F32</f>
        <v/>
      </c>
    </row>
    <row r="33">
      <c r="A33" s="7" t="inlineStr">
        <is>
          <t>Heavy fuel oil</t>
        </is>
      </c>
      <c r="B33" s="18">
        <f>G12</f>
        <v/>
      </c>
      <c r="C33" s="18">
        <f>I12</f>
        <v/>
      </c>
      <c r="D33" s="18">
        <f>$B$21*I12/$B$24</f>
        <v/>
      </c>
      <c r="E33" s="18">
        <f>D33+B33</f>
        <v/>
      </c>
      <c r="F33" s="18">
        <f>F12</f>
        <v/>
      </c>
      <c r="G33" s="37">
        <f>F33-E33</f>
        <v/>
      </c>
      <c r="H33" s="24">
        <f>G33/F33</f>
        <v/>
      </c>
    </row>
    <row r="34">
      <c r="A34" s="7" t="inlineStr">
        <is>
          <t>Waste</t>
        </is>
      </c>
      <c r="B34" s="18">
        <f>G13</f>
        <v/>
      </c>
      <c r="C34" s="18">
        <f>I13</f>
        <v/>
      </c>
      <c r="D34" s="18">
        <f>$B$21*I13/$B$24</f>
        <v/>
      </c>
      <c r="E34" s="18">
        <f>D34+B34</f>
        <v/>
      </c>
      <c r="F34" s="18">
        <f>F13</f>
        <v/>
      </c>
      <c r="G34" s="37">
        <f>F34-E34</f>
        <v/>
      </c>
      <c r="H34" s="24">
        <f>G34/F34</f>
        <v/>
      </c>
    </row>
    <row r="35">
      <c r="A35" s="15" t="inlineStr">
        <is>
          <t>Cost of sales rebuilt from the per-line allocation</t>
        </is>
      </c>
      <c r="B35" s="37">
        <f>SUMPRODUCT(E6:E13,E27:E34)</f>
        <v/>
      </c>
    </row>
    <row r="36">
      <c r="A36" s="7" t="inlineStr">
        <is>
          <t>must equal the base-year cost of sales — difference</t>
        </is>
      </c>
      <c r="B36" s="36">
        <f>B35-'Income Statement'!B21</f>
        <v/>
      </c>
    </row>
    <row r="38" ht="55" customHeight="1">
      <c r="A38" s="19" t="inlineStr">
        <is>
          <t>Row 36 is the footing test: the eight per-line costs must rebuild the disclosed cost of sales exactly. Feedstock allocated flat per tonne would make fuel oil sell below the cost of its own feed; feedstock allocated on relative sales value would make base oils and paraffin wax — the products this plant exists for — loss-making. Net realisable value is the standard joint-product method and the only one of the three that leaves every disclosed line with a positive spread.</t>
        </is>
      </c>
    </row>
  </sheetData>
  <mergeCells count="2">
    <mergeCell ref="A38:I38"/>
    <mergeCell ref="A2:I2"/>
  </mergeCells>
  <pageMargins left="0.75" right="0.75" top="1" bottom="1" header="0.5" footer="0.5"/>
</worksheet>
</file>

<file path=xl/worksheets/sheet7.xml><?xml version="1.0" encoding="utf-8"?>
<worksheet xmlns="http://schemas.openxmlformats.org/spreadsheetml/2006/main">
  <sheetPr>
    <tabColor rgb="001C3A36"/>
    <outlinePr summaryBelow="1" summaryRight="1"/>
    <pageSetUpPr/>
  </sheetPr>
  <dimension ref="A1:E26"/>
  <sheetViews>
    <sheetView showGridLines="0" workbookViewId="0">
      <selection activeCell="A1" sqref="A1"/>
    </sheetView>
  </sheetViews>
  <sheetFormatPr baseColWidth="8" defaultRowHeight="15"/>
  <cols>
    <col width="60"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s>
  <sheetData>
    <row r="1">
      <c r="A1" s="1" t="inlineStr">
        <is>
          <t>Lens 2 and lens 3, in full</t>
        </is>
      </c>
    </row>
    <row r="2" ht="32" customHeight="1">
      <c r="A2" s="5" t="inlineStr">
        <is>
          <t>Lens 2 is struck on the TRAILING metric so it borrows no discount factor from the cash-flow lens. Lens 3 is forward-dated and is therefore discounted back to the valuation date, with net cash added at face outside the multiple.</t>
        </is>
      </c>
    </row>
    <row r="3">
      <c r="A3" s="2" t="n"/>
      <c r="B3" s="2" t="n"/>
      <c r="C3" s="2" t="n"/>
      <c r="D3" s="2" t="n"/>
      <c r="E3" s="2" t="n"/>
    </row>
    <row r="5">
      <c r="A5" s="11" t="inlineStr">
        <is>
          <t>LENS 2 — RELATIVE MULTIPLES</t>
        </is>
      </c>
      <c r="B5" s="13" t="n"/>
      <c r="C5" s="13" t="n"/>
      <c r="D5" s="13" t="n"/>
      <c r="E5" s="13" t="n"/>
    </row>
    <row r="6">
      <c r="A6" s="7" t="inlineStr">
        <is>
          <t>Base-year EBITDA</t>
        </is>
      </c>
      <c r="B6" s="18">
        <f>'Fundamental Valuation'!B5</f>
        <v/>
      </c>
    </row>
    <row r="7">
      <c r="A7" s="7" t="inlineStr">
        <is>
          <t>Enterprise value at the market price</t>
        </is>
      </c>
      <c r="B7" s="18">
        <f>'Fundamental Valuation'!B6</f>
        <v/>
      </c>
    </row>
    <row r="8">
      <c r="A8" s="7" t="inlineStr">
        <is>
          <t>The company's own trailing enterprise value / EBITDA</t>
        </is>
      </c>
      <c r="B8" s="20">
        <f>'Fundamental Valuation'!B7</f>
        <v/>
      </c>
    </row>
    <row r="9">
      <c r="A9" s="7" t="inlineStr">
        <is>
          <t>Re-rating applied</t>
        </is>
      </c>
      <c r="B9" s="10">
        <f>Assumptions!$B$113</f>
        <v/>
      </c>
    </row>
    <row r="10">
      <c r="A10" s="15" t="inlineStr">
        <is>
          <t>Justified multiple</t>
        </is>
      </c>
      <c r="B10" s="21">
        <f>'Fundamental Valuation'!B8</f>
        <v/>
      </c>
    </row>
    <row r="11">
      <c r="A11" s="7" t="inlineStr">
        <is>
          <t>Equity on that multiple</t>
        </is>
      </c>
      <c r="B11" s="18">
        <f>'Fundamental Valuation'!B11</f>
        <v/>
      </c>
    </row>
    <row r="12">
      <c r="A12" s="15" t="inlineStr">
        <is>
          <t>LENS 2, EGP PER SHARE</t>
        </is>
      </c>
      <c r="B12" s="38">
        <f>'Fundamental Valuation'!C11</f>
        <v/>
      </c>
    </row>
    <row r="14">
      <c r="A14" s="11" t="inlineStr">
        <is>
          <t>LENS 3 — NORMALISED EARNINGS POWER</t>
        </is>
      </c>
      <c r="B14" s="13" t="n"/>
      <c r="C14" s="13" t="n"/>
      <c r="D14" s="13" t="n"/>
      <c r="E14" s="13" t="n"/>
    </row>
    <row r="15">
      <c r="A15" s="7" t="inlineStr">
        <is>
          <t>Normalised EBIT, 2028E</t>
        </is>
      </c>
      <c r="B15" s="18">
        <f>'Fundamental Valuation'!B12</f>
        <v/>
      </c>
    </row>
    <row r="16">
      <c r="A16" s="7" t="inlineStr">
        <is>
          <t>Normalised earnings per share</t>
        </is>
      </c>
      <c r="B16" s="23">
        <f>'Fundamental Valuation'!C12</f>
        <v/>
      </c>
    </row>
    <row r="17">
      <c r="A17" s="7" t="inlineStr">
        <is>
          <t>Justified price / earnings</t>
        </is>
      </c>
      <c r="B17" s="20">
        <f>Assumptions!$B$112</f>
        <v/>
      </c>
    </row>
    <row r="18">
      <c r="A18" s="7" t="inlineStr">
        <is>
          <t>Discounted back at the explicit cost of equity</t>
        </is>
      </c>
      <c r="B18" s="23">
        <f>(1+DCF!B10)^2.4</f>
        <v/>
      </c>
    </row>
    <row r="19">
      <c r="A19" s="15" t="inlineStr">
        <is>
          <t>LENS 3, EGP PER SHARE</t>
        </is>
      </c>
      <c r="B19" s="38">
        <f>'Fundamental Valuation'!D12</f>
        <v/>
      </c>
    </row>
    <row r="21">
      <c r="A21" s="11" t="inlineStr">
        <is>
          <t>LENS 4 — BOOK VALUE AND SUSTAINABLE RETURN</t>
        </is>
      </c>
      <c r="B21" s="13" t="n"/>
      <c r="C21" s="13" t="n"/>
      <c r="D21" s="13" t="n"/>
      <c r="E21" s="13" t="n"/>
    </row>
    <row r="22">
      <c r="A22" s="7" t="inlineStr">
        <is>
          <t>Book value per share attributable to the parent</t>
        </is>
      </c>
      <c r="B22" s="14">
        <f>'Fundamental Valuation'!B13</f>
        <v/>
      </c>
    </row>
    <row r="23">
      <c r="A23" s="7" t="inlineStr">
        <is>
          <t>Sustainable return on equity</t>
        </is>
      </c>
      <c r="B23" s="10">
        <f>Assumptions!$B$111</f>
        <v/>
      </c>
    </row>
    <row r="24">
      <c r="A24" s="7" t="inlineStr">
        <is>
          <t>Cost of equity used</t>
        </is>
      </c>
      <c r="B24" s="24">
        <f>'Fundamental Valuation'!C13</f>
        <v/>
      </c>
    </row>
    <row r="25">
      <c r="A25" s="7" t="inlineStr">
        <is>
          <t>Justified price / book</t>
        </is>
      </c>
      <c r="B25" s="20">
        <f>'Fundamental Valuation'!D13</f>
        <v/>
      </c>
    </row>
    <row r="26">
      <c r="A26" s="15" t="inlineStr">
        <is>
          <t>LENS 4, EGP PER SHARE</t>
        </is>
      </c>
      <c r="B26" s="38">
        <f>'Fundamental Valuation'!E13</f>
        <v/>
      </c>
    </row>
  </sheetData>
  <mergeCells count="1">
    <mergeCell ref="A2:E2"/>
  </mergeCells>
  <pageMargins left="0.75" right="0.75" top="1" bottom="1" header="0.5" footer="0.5"/>
</worksheet>
</file>

<file path=xl/worksheets/sheet8.xml><?xml version="1.0" encoding="utf-8"?>
<worksheet xmlns="http://schemas.openxmlformats.org/spreadsheetml/2006/main">
  <sheetPr>
    <tabColor rgb="001C3A36"/>
    <outlinePr summaryBelow="1" summaryRight="1"/>
    <pageSetUpPr/>
  </sheetPr>
  <dimension ref="A1:I65"/>
  <sheetViews>
    <sheetView showGridLines="0" workbookViewId="0">
      <selection activeCell="A1" sqref="A1"/>
    </sheetView>
  </sheetViews>
  <sheetFormatPr baseColWidth="8" defaultRowHeight="15"/>
  <cols>
    <col width="42"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s>
  <sheetData>
    <row r="1">
      <c r="A1" s="1" t="inlineStr">
        <is>
          <t>Discounted cash flow — the forecast engine — eight lines by five years, all formulas</t>
        </is>
      </c>
    </row>
    <row r="2" ht="32" customHeight="1">
      <c r="A2" s="5" t="inlineStr">
        <is>
          <t>This is the block the Sensitivity sheet replicates twenty-five times, once per grid point, so that every sensitivity cell in this workbook is a live re-run rather than a pasted number.</t>
        </is>
      </c>
    </row>
    <row r="3">
      <c r="A3" s="2" t="n"/>
      <c r="B3" s="2" t="n"/>
      <c r="C3" s="2" t="n"/>
      <c r="D3" s="2" t="n"/>
      <c r="E3" s="2" t="n"/>
      <c r="F3" s="2" t="n"/>
      <c r="G3" s="2" t="n"/>
      <c r="H3" s="2" t="n"/>
      <c r="I3" s="2" t="n"/>
    </row>
    <row r="5">
      <c r="A5" s="11" t="inlineStr">
        <is>
          <t>Levers for this block — the base case sets them all neutral</t>
        </is>
      </c>
      <c r="B5" s="13" t="n"/>
      <c r="C5" s="13" t="n"/>
      <c r="D5" s="13" t="n"/>
      <c r="E5" s="13" t="n"/>
      <c r="F5" s="13" t="n"/>
      <c r="G5" s="13" t="n"/>
      <c r="H5" s="13" t="n"/>
      <c r="I5" s="13" t="n"/>
    </row>
    <row r="6">
      <c r="A6" s="7" t="inlineStr">
        <is>
          <t>Volume growth added a year</t>
        </is>
      </c>
      <c r="B6" s="29" t="n">
        <v>0</v>
      </c>
    </row>
    <row r="7">
      <c r="A7" s="7" t="inlineStr">
        <is>
          <t>Gross-margin shift</t>
        </is>
      </c>
      <c r="B7" s="29" t="n">
        <v>0</v>
      </c>
    </row>
    <row r="8">
      <c r="A8" s="7" t="inlineStr">
        <is>
          <t>Realisation-path multiplier</t>
        </is>
      </c>
      <c r="B8" s="26" t="n">
        <v>1</v>
      </c>
    </row>
    <row r="9">
      <c r="A9" s="7" t="inlineStr">
        <is>
          <t>Working-capital cycle multiplier</t>
        </is>
      </c>
      <c r="B9" s="26" t="n">
        <v>1</v>
      </c>
    </row>
    <row r="10">
      <c r="A10" s="7" t="inlineStr">
        <is>
          <t>Explicit cost of capital</t>
        </is>
      </c>
      <c r="B10" s="24">
        <f>Assumptions!$B$173-Assumptions!$B$174+Assumptions!$B$176*Assumptions!$B$175</f>
        <v/>
      </c>
    </row>
    <row r="11">
      <c r="A11" s="7" t="inlineStr">
        <is>
          <t>Gross borrowings as a share of the capital structure</t>
        </is>
      </c>
      <c r="B11" s="24">
        <f>(Assumptions!$B$103+Assumptions!$B$104)/10^6/(Assumptions!$B$7*Assumptions!$B$8)</f>
        <v/>
      </c>
    </row>
    <row r="12">
      <c r="A12" s="7" t="inlineStr">
        <is>
          <t>Equity weight — unlevered</t>
        </is>
      </c>
      <c r="B12" s="24">
        <f>1-B11</f>
        <v/>
      </c>
    </row>
    <row r="13">
      <c r="A13" s="7" t="inlineStr">
        <is>
          <t>After-tax cost of net debt (shown; not used to discount operations)</t>
        </is>
      </c>
      <c r="B13" s="24">
        <f>(Assumptions!$B$178*(Assumptions!$B$103+Assumptions!$B$104)/10^6-Assumptions!$B$177*Assumptions!$B$100/10^6)/((Assumptions!$B$103+Assumptions!$B$104-Assumptions!$B$100)/10^6)*(1-0.22118761296853667)</f>
        <v/>
      </c>
    </row>
    <row r="14">
      <c r="A14" s="15" t="inlineStr">
        <is>
          <t>OPERATING DISCOUNT RATE — unlevered; the cash is added in the bridge</t>
        </is>
      </c>
      <c r="B14" s="39">
        <f>B10</f>
        <v/>
      </c>
    </row>
    <row r="15">
      <c r="A15" s="7" t="inlineStr">
        <is>
          <t>Terminal risk-free — DERIVED from the target in force</t>
        </is>
      </c>
      <c r="B15" s="24">
        <f>Assumptions!$B$179+Assumptions!$B$180</f>
        <v/>
      </c>
    </row>
    <row r="16">
      <c r="A16" s="7" t="inlineStr">
        <is>
          <t>Terminal cost of equity</t>
        </is>
      </c>
      <c r="B16" s="24">
        <f>B15+Assumptions!$B$176*Assumptions!$B$181</f>
        <v/>
      </c>
    </row>
    <row r="17">
      <c r="A17" s="15" t="inlineStr">
        <is>
          <t>WACC — terminal</t>
        </is>
      </c>
      <c r="B17" s="39">
        <f>(1-Assumptions!$B$183)*B16+Assumptions!$B$183*Assumptions!$B$182*(1-0.22118761296853667)</f>
        <v/>
      </c>
    </row>
    <row r="19">
      <c r="A19" s="6" t="inlineStr">
        <is>
          <t>BASE CASE</t>
        </is>
      </c>
      <c r="B19" s="6" t="inlineStr">
        <is>
          <t>2026E</t>
        </is>
      </c>
      <c r="C19" s="6" t="inlineStr">
        <is>
          <t>2027E</t>
        </is>
      </c>
      <c r="D19" s="6" t="inlineStr">
        <is>
          <t>2028E</t>
        </is>
      </c>
      <c r="E19" s="6" t="inlineStr">
        <is>
          <t>2029E</t>
        </is>
      </c>
      <c r="F19" s="6" t="inlineStr">
        <is>
          <t>2030E</t>
        </is>
      </c>
    </row>
    <row r="20">
      <c r="A20" s="7" t="inlineStr">
        <is>
          <t>Inflation index, cumulative</t>
        </is>
      </c>
      <c r="C20" s="23">
        <f>Assumptions!$B$167</f>
        <v/>
      </c>
      <c r="D20" s="23">
        <f>C20*Assumptions!$B$168</f>
        <v/>
      </c>
      <c r="E20" s="23">
        <f>D20*Assumptions!$B$169</f>
        <v/>
      </c>
      <c r="F20" s="23">
        <f>E20*Assumptions!$B$170</f>
        <v/>
      </c>
      <c r="G20" s="23">
        <f>F20*Assumptions!$B$171</f>
        <v/>
      </c>
    </row>
    <row r="21">
      <c r="A21" s="7" t="inlineStr">
        <is>
          <t>Realisation index, cumulative</t>
        </is>
      </c>
      <c r="C21" s="23">
        <f>(1+Assumptions!$B$122*$B$8)</f>
        <v/>
      </c>
      <c r="D21" s="23">
        <f>C21*(1+Assumptions!$B$123*$B$8)</f>
        <v/>
      </c>
      <c r="E21" s="23">
        <f>D21*(1+Assumptions!$B$124*$B$8)</f>
        <v/>
      </c>
      <c r="F21" s="23">
        <f>E21*(1+Assumptions!$B$125*$B$8)</f>
        <v/>
      </c>
      <c r="G21" s="23">
        <f>F21*(1+Assumptions!$B$126*$B$8)</f>
        <v/>
      </c>
    </row>
    <row r="22">
      <c r="A22" s="7" t="inlineStr">
        <is>
          <t xml:space="preserve">  Volume — Base and special oils, mn t</t>
        </is>
      </c>
      <c r="C22" s="23">
        <f>'Segments'!E6*(1+Assumptions!$B$127+$B$6)</f>
        <v/>
      </c>
      <c r="D22" s="23">
        <f>C22*(1+Assumptions!$B$128+$B$6)</f>
        <v/>
      </c>
      <c r="E22" s="23">
        <f>D22*(1+Assumptions!$B$129+$B$6)</f>
        <v/>
      </c>
      <c r="F22" s="23">
        <f>E22*(1+Assumptions!$B$130+$B$6)</f>
        <v/>
      </c>
      <c r="G22" s="23">
        <f>F22*(1+Assumptions!$B$131+$B$6)</f>
        <v/>
      </c>
    </row>
    <row r="23">
      <c r="A23" s="7" t="inlineStr">
        <is>
          <t xml:space="preserve">  Volume — Paraffin wax, mn t</t>
        </is>
      </c>
      <c r="C23" s="23">
        <f>'Segments'!E7*(1+Assumptions!$B$132+$B$6)</f>
        <v/>
      </c>
      <c r="D23" s="23">
        <f>C23*(1+Assumptions!$B$133+$B$6)</f>
        <v/>
      </c>
      <c r="E23" s="23">
        <f>D23*(1+Assumptions!$B$134+$B$6)</f>
        <v/>
      </c>
      <c r="F23" s="23">
        <f>E23*(1+Assumptions!$B$135+$B$6)</f>
        <v/>
      </c>
      <c r="G23" s="23">
        <f>F23*(1+Assumptions!$B$136+$B$6)</f>
        <v/>
      </c>
    </row>
    <row r="24">
      <c r="A24" s="7" t="inlineStr">
        <is>
          <t xml:space="preserve">  Volume — Gas oil, mn t</t>
        </is>
      </c>
      <c r="C24" s="23">
        <f>'Segments'!E8*(1+Assumptions!$B$137+$B$6)</f>
        <v/>
      </c>
      <c r="D24" s="23">
        <f>C24*(1+Assumptions!$B$138+$B$6)</f>
        <v/>
      </c>
      <c r="E24" s="23">
        <f>D24*(1+Assumptions!$B$139+$B$6)</f>
        <v/>
      </c>
      <c r="F24" s="23">
        <f>E24*(1+Assumptions!$B$140+$B$6)</f>
        <v/>
      </c>
      <c r="G24" s="23">
        <f>F24*(1+Assumptions!$B$141+$B$6)</f>
        <v/>
      </c>
    </row>
    <row r="25">
      <c r="A25" s="7" t="inlineStr">
        <is>
          <t xml:space="preserve">  Volume — Naphtha, mn t</t>
        </is>
      </c>
      <c r="C25" s="23">
        <f>'Segments'!E9*(1+Assumptions!$B$142+$B$6)</f>
        <v/>
      </c>
      <c r="D25" s="23">
        <f>C25*(1+Assumptions!$B$143+$B$6)</f>
        <v/>
      </c>
      <c r="E25" s="23">
        <f>D25*(1+Assumptions!$B$144+$B$6)</f>
        <v/>
      </c>
      <c r="F25" s="23">
        <f>E25*(1+Assumptions!$B$145+$B$6)</f>
        <v/>
      </c>
      <c r="G25" s="23">
        <f>F25*(1+Assumptions!$B$146+$B$6)</f>
        <v/>
      </c>
    </row>
    <row r="26">
      <c r="A26" s="7" t="inlineStr">
        <is>
          <t xml:space="preserve">  Volume — Liquefied petroleum gas, mn t</t>
        </is>
      </c>
      <c r="C26" s="23">
        <f>'Segments'!E10*(1+Assumptions!$B$147+$B$6)</f>
        <v/>
      </c>
      <c r="D26" s="23">
        <f>C26*(1+Assumptions!$B$148+$B$6)</f>
        <v/>
      </c>
      <c r="E26" s="23">
        <f>D26*(1+Assumptions!$B$149+$B$6)</f>
        <v/>
      </c>
      <c r="F26" s="23">
        <f>E26*(1+Assumptions!$B$150+$B$6)</f>
        <v/>
      </c>
      <c r="G26" s="23">
        <f>F26*(1+Assumptions!$B$151+$B$6)</f>
        <v/>
      </c>
    </row>
    <row r="27">
      <c r="A27" s="7" t="inlineStr">
        <is>
          <t xml:space="preserve">  Volume — Fuel oil (mix), mn t</t>
        </is>
      </c>
      <c r="C27" s="23">
        <f>'Segments'!E11*(1+Assumptions!$B$152+$B$6)</f>
        <v/>
      </c>
      <c r="D27" s="23">
        <f>C27*(1+Assumptions!$B$153+$B$6)</f>
        <v/>
      </c>
      <c r="E27" s="23">
        <f>D27*(1+Assumptions!$B$154+$B$6)</f>
        <v/>
      </c>
      <c r="F27" s="23">
        <f>E27*(1+Assumptions!$B$155+$B$6)</f>
        <v/>
      </c>
      <c r="G27" s="23">
        <f>F27*(1+Assumptions!$B$156+$B$6)</f>
        <v/>
      </c>
    </row>
    <row r="28">
      <c r="A28" s="7" t="inlineStr">
        <is>
          <t xml:space="preserve">  Volume — Heavy fuel oil, mn t</t>
        </is>
      </c>
      <c r="C28" s="23">
        <f>'Segments'!E12*(1+Assumptions!$B$157+$B$6)</f>
        <v/>
      </c>
      <c r="D28" s="23">
        <f>C28*(1+Assumptions!$B$158+$B$6)</f>
        <v/>
      </c>
      <c r="E28" s="23">
        <f>D28*(1+Assumptions!$B$159+$B$6)</f>
        <v/>
      </c>
      <c r="F28" s="23">
        <f>E28*(1+Assumptions!$B$160+$B$6)</f>
        <v/>
      </c>
      <c r="G28" s="23">
        <f>F28*(1+Assumptions!$B$161+$B$6)</f>
        <v/>
      </c>
    </row>
    <row r="29">
      <c r="A29" s="7" t="inlineStr">
        <is>
          <t xml:space="preserve">  Volume — Waste, mn t</t>
        </is>
      </c>
      <c r="C29" s="23">
        <f>'Segments'!E13*(1+Assumptions!$B$162+$B$6)</f>
        <v/>
      </c>
      <c r="D29" s="23">
        <f>C29*(1+Assumptions!$B$163+$B$6)</f>
        <v/>
      </c>
      <c r="E29" s="23">
        <f>D29*(1+Assumptions!$B$164+$B$6)</f>
        <v/>
      </c>
      <c r="F29" s="23">
        <f>E29*(1+Assumptions!$B$165+$B$6)</f>
        <v/>
      </c>
      <c r="G29" s="23">
        <f>F29*(1+Assumptions!$B$166+$B$6)</f>
        <v/>
      </c>
    </row>
    <row r="30">
      <c r="A30" s="15" t="inlineStr">
        <is>
          <t>Total volume, mn t</t>
        </is>
      </c>
      <c r="C30" s="36">
        <f>SUM(C22:C29)</f>
        <v/>
      </c>
      <c r="D30" s="36">
        <f>SUM(D22:D29)</f>
        <v/>
      </c>
      <c r="E30" s="36">
        <f>SUM(E22:E29)</f>
        <v/>
      </c>
      <c r="F30" s="36">
        <f>SUM(F22:F29)</f>
        <v/>
      </c>
      <c r="G30" s="36">
        <f>SUM(G22:G29)</f>
        <v/>
      </c>
    </row>
    <row r="31">
      <c r="A31" s="15" t="inlineStr">
        <is>
          <t>REVENUE</t>
        </is>
      </c>
      <c r="C31" s="37">
        <f>C22*'Segments'!$F$6*C21+C23*'Segments'!$F$7*C21+C24*'Segments'!$F$8*C21+C25*'Segments'!$F$9*C21+C26*'Segments'!$F$10*C21+C27*'Segments'!$F$11*C21+C28*'Segments'!$F$12*C21+C29*'Segments'!$F$13*C21</f>
        <v/>
      </c>
      <c r="D31" s="37">
        <f>D22*'Segments'!$F$6*D21+D23*'Segments'!$F$7*D21+D24*'Segments'!$F$8*D21+D25*'Segments'!$F$9*D21+D26*'Segments'!$F$10*D21+D27*'Segments'!$F$11*D21+D28*'Segments'!$F$12*D21+D29*'Segments'!$F$13*D21</f>
        <v/>
      </c>
      <c r="E31" s="37">
        <f>E22*'Segments'!$F$6*E21+E23*'Segments'!$F$7*E21+E24*'Segments'!$F$8*E21+E25*'Segments'!$F$9*E21+E26*'Segments'!$F$10*E21+E27*'Segments'!$F$11*E21+E28*'Segments'!$F$12*E21+E29*'Segments'!$F$13*E21</f>
        <v/>
      </c>
      <c r="F31" s="37">
        <f>F22*'Segments'!$F$6*F21+F23*'Segments'!$F$7*F21+F24*'Segments'!$F$8*F21+F25*'Segments'!$F$9*F21+F26*'Segments'!$F$10*F21+F27*'Segments'!$F$11*F21+F28*'Segments'!$F$12*F21+F29*'Segments'!$F$13*F21</f>
        <v/>
      </c>
      <c r="G31" s="37">
        <f>G22*'Segments'!$F$6*G21+G23*'Segments'!$F$7*G21+G24*'Segments'!$F$8*G21+G25*'Segments'!$F$9*G21+G26*'Segments'!$F$10*G21+G27*'Segments'!$F$11*G21+G28*'Segments'!$F$12*G21+G29*'Segments'!$F$13*G21</f>
        <v/>
      </c>
    </row>
    <row r="32">
      <c r="A32" s="7" t="inlineStr">
        <is>
          <t>Cost of sales</t>
        </is>
      </c>
      <c r="C32" s="18">
        <f>C22*('Segments'!$D$27*C21*Assumptions!$B$109+'Segments'!$B$27*(0.4983251709*C20+0.4357405005*C20+0.0330936548*C21+0.0328406739))+C23*('Segments'!$D$28*C21*Assumptions!$B$109+'Segments'!$B$28*(0.4983251709*C20+0.4357405005*C20+0.0330936548*C21+0.0328406739))+C24*('Segments'!$D$29*C21*Assumptions!$B$109+'Segments'!$B$29*(0.4983251709*C20+0.4357405005*C20+0.0330936548*C21+0.0328406739))+C25*('Segments'!$D$30*C21*Assumptions!$B$109+'Segments'!$B$30*(0.4983251709*C20+0.4357405005*C20+0.0330936548*C21+0.0328406739))+C26*('Segments'!$D$31*C21*Assumptions!$B$109+'Segments'!$B$31*(0.4983251709*C20+0.4357405005*C20+0.0330936548*C21+0.0328406739))+C27*('Segments'!$D$32*C21*Assumptions!$B$109+'Segments'!$B$32*(0.4983251709*C20+0.4357405005*C20+0.0330936548*C21+0.0328406739))+C28*('Segments'!$D$33*C21*Assumptions!$B$109+'Segments'!$B$33*(0.4983251709*C20+0.4357405005*C20+0.0330936548*C21+0.0328406739))+C29*('Segments'!$D$34*C21*Assumptions!$B$109+'Segments'!$B$34*(0.4983251709*C20+0.4357405005*C20+0.0330936548*C21+0.0328406739))</f>
        <v/>
      </c>
      <c r="D32" s="18">
        <f>D22*('Segments'!$D$27*D21*Assumptions!$B$109+'Segments'!$B$27*(0.4983251709*D20+0.4357405005*D20+0.0330936548*D21+0.0328406739))+D23*('Segments'!$D$28*D21*Assumptions!$B$109+'Segments'!$B$28*(0.4983251709*D20+0.4357405005*D20+0.0330936548*D21+0.0328406739))+D24*('Segments'!$D$29*D21*Assumptions!$B$109+'Segments'!$B$29*(0.4983251709*D20+0.4357405005*D20+0.0330936548*D21+0.0328406739))+D25*('Segments'!$D$30*D21*Assumptions!$B$109+'Segments'!$B$30*(0.4983251709*D20+0.4357405005*D20+0.0330936548*D21+0.0328406739))+D26*('Segments'!$D$31*D21*Assumptions!$B$109+'Segments'!$B$31*(0.4983251709*D20+0.4357405005*D20+0.0330936548*D21+0.0328406739))+D27*('Segments'!$D$32*D21*Assumptions!$B$109+'Segments'!$B$32*(0.4983251709*D20+0.4357405005*D20+0.0330936548*D21+0.0328406739))+D28*('Segments'!$D$33*D21*Assumptions!$B$109+'Segments'!$B$33*(0.4983251709*D20+0.4357405005*D20+0.0330936548*D21+0.0328406739))+D29*('Segments'!$D$34*D21*Assumptions!$B$109+'Segments'!$B$34*(0.4983251709*D20+0.4357405005*D20+0.0330936548*D21+0.0328406739))</f>
        <v/>
      </c>
      <c r="E32" s="18">
        <f>E22*('Segments'!$D$27*E21*Assumptions!$B$109+'Segments'!$B$27*(0.4983251709*E20+0.4357405005*E20+0.0330936548*E21+0.0328406739))+E23*('Segments'!$D$28*E21*Assumptions!$B$109+'Segments'!$B$28*(0.4983251709*E20+0.4357405005*E20+0.0330936548*E21+0.0328406739))+E24*('Segments'!$D$29*E21*Assumptions!$B$109+'Segments'!$B$29*(0.4983251709*E20+0.4357405005*E20+0.0330936548*E21+0.0328406739))+E25*('Segments'!$D$30*E21*Assumptions!$B$109+'Segments'!$B$30*(0.4983251709*E20+0.4357405005*E20+0.0330936548*E21+0.0328406739))+E26*('Segments'!$D$31*E21*Assumptions!$B$109+'Segments'!$B$31*(0.4983251709*E20+0.4357405005*E20+0.0330936548*E21+0.0328406739))+E27*('Segments'!$D$32*E21*Assumptions!$B$109+'Segments'!$B$32*(0.4983251709*E20+0.4357405005*E20+0.0330936548*E21+0.0328406739))+E28*('Segments'!$D$33*E21*Assumptions!$B$109+'Segments'!$B$33*(0.4983251709*E20+0.4357405005*E20+0.0330936548*E21+0.0328406739))+E29*('Segments'!$D$34*E21*Assumptions!$B$109+'Segments'!$B$34*(0.4983251709*E20+0.4357405005*E20+0.0330936548*E21+0.0328406739))</f>
        <v/>
      </c>
      <c r="F32" s="18">
        <f>F22*('Segments'!$D$27*F21*Assumptions!$B$109+'Segments'!$B$27*(0.4983251709*F20+0.4357405005*F20+0.0330936548*F21+0.0328406739))+F23*('Segments'!$D$28*F21*Assumptions!$B$109+'Segments'!$B$28*(0.4983251709*F20+0.4357405005*F20+0.0330936548*F21+0.0328406739))+F24*('Segments'!$D$29*F21*Assumptions!$B$109+'Segments'!$B$29*(0.4983251709*F20+0.4357405005*F20+0.0330936548*F21+0.0328406739))+F25*('Segments'!$D$30*F21*Assumptions!$B$109+'Segments'!$B$30*(0.4983251709*F20+0.4357405005*F20+0.0330936548*F21+0.0328406739))+F26*('Segments'!$D$31*F21*Assumptions!$B$109+'Segments'!$B$31*(0.4983251709*F20+0.4357405005*F20+0.0330936548*F21+0.0328406739))+F27*('Segments'!$D$32*F21*Assumptions!$B$109+'Segments'!$B$32*(0.4983251709*F20+0.4357405005*F20+0.0330936548*F21+0.0328406739))+F28*('Segments'!$D$33*F21*Assumptions!$B$109+'Segments'!$B$33*(0.4983251709*F20+0.4357405005*F20+0.0330936548*F21+0.0328406739))+F29*('Segments'!$D$34*F21*Assumptions!$B$109+'Segments'!$B$34*(0.4983251709*F20+0.4357405005*F20+0.0330936548*F21+0.0328406739))</f>
        <v/>
      </c>
      <c r="G32" s="18">
        <f>G22*('Segments'!$D$27*G21*Assumptions!$B$109+'Segments'!$B$27*(0.4983251709*G20+0.4357405005*G20+0.0330936548*G21+0.0328406739))+G23*('Segments'!$D$28*G21*Assumptions!$B$109+'Segments'!$B$28*(0.4983251709*G20+0.4357405005*G20+0.0330936548*G21+0.0328406739))+G24*('Segments'!$D$29*G21*Assumptions!$B$109+'Segments'!$B$29*(0.4983251709*G20+0.4357405005*G20+0.0330936548*G21+0.0328406739))+G25*('Segments'!$D$30*G21*Assumptions!$B$109+'Segments'!$B$30*(0.4983251709*G20+0.4357405005*G20+0.0330936548*G21+0.0328406739))+G26*('Segments'!$D$31*G21*Assumptions!$B$109+'Segments'!$B$31*(0.4983251709*G20+0.4357405005*G20+0.0330936548*G21+0.0328406739))+G27*('Segments'!$D$32*G21*Assumptions!$B$109+'Segments'!$B$32*(0.4983251709*G20+0.4357405005*G20+0.0330936548*G21+0.0328406739))+G28*('Segments'!$D$33*G21*Assumptions!$B$109+'Segments'!$B$33*(0.4983251709*G20+0.4357405005*G20+0.0330936548*G21+0.0328406739))+G29*('Segments'!$D$34*G21*Assumptions!$B$109+'Segments'!$B$34*(0.4983251709*G20+0.4357405005*G20+0.0330936548*G21+0.0328406739))</f>
        <v/>
      </c>
    </row>
    <row r="33">
      <c r="A33" s="15" t="inlineStr">
        <is>
          <t>GROSS PROFIT</t>
        </is>
      </c>
      <c r="C33" s="37">
        <f>C31-C32+$B$7*C31</f>
        <v/>
      </c>
      <c r="D33" s="37">
        <f>D31-D32+$B$7*D31</f>
        <v/>
      </c>
      <c r="E33" s="37">
        <f>E31-E32+$B$7*E31</f>
        <v/>
      </c>
      <c r="F33" s="37">
        <f>F31-F32+$B$7*F31</f>
        <v/>
      </c>
      <c r="G33" s="37">
        <f>G31-G32+$B$7*G31</f>
        <v/>
      </c>
    </row>
    <row r="34">
      <c r="A34" s="7" t="inlineStr">
        <is>
          <t>Gross margin</t>
        </is>
      </c>
      <c r="C34" s="24">
        <f>C33/C31</f>
        <v/>
      </c>
      <c r="D34" s="24">
        <f>D33/D31</f>
        <v/>
      </c>
      <c r="E34" s="24">
        <f>E33/E31</f>
        <v/>
      </c>
      <c r="F34" s="24">
        <f>F33/F31</f>
        <v/>
      </c>
      <c r="G34" s="24">
        <f>G33/G31</f>
        <v/>
      </c>
    </row>
    <row r="35">
      <c r="A35" s="7" t="inlineStr">
        <is>
          <t>Operating expense</t>
        </is>
      </c>
      <c r="C35" s="18">
        <f>('Income Statement'!$B$28*C20)+('Income Statement'!$B$29*C20*C30/'Segments'!$E$14)+('Income Statement'!$B$30*C20)+('Income Statement'!$B$31*C20)</f>
        <v/>
      </c>
      <c r="D35" s="18">
        <f>('Income Statement'!$B$28*D20)+('Income Statement'!$B$29*D20*D30/'Segments'!$E$14)+('Income Statement'!$B$30*D20)+('Income Statement'!$B$31*D20)</f>
        <v/>
      </c>
      <c r="E35" s="18">
        <f>('Income Statement'!$B$28*E20)+('Income Statement'!$B$29*E20*E30/'Segments'!$E$14)+('Income Statement'!$B$30*E20)+('Income Statement'!$B$31*E20)</f>
        <v/>
      </c>
      <c r="F35" s="18">
        <f>('Income Statement'!$B$28*F20)+('Income Statement'!$B$29*F20*F30/'Segments'!$E$14)+('Income Statement'!$B$30*F20)+('Income Statement'!$B$31*F20)</f>
        <v/>
      </c>
      <c r="G35" s="18">
        <f>('Income Statement'!$B$28*G20)+('Income Statement'!$B$29*G20*G30/'Segments'!$E$14)+('Income Statement'!$B$30*G20)+('Income Statement'!$B$31*G20)</f>
        <v/>
      </c>
    </row>
    <row r="36">
      <c r="A36" s="15" t="inlineStr">
        <is>
          <t>EBITDA</t>
        </is>
      </c>
      <c r="C36" s="37">
        <f>C33-C35</f>
        <v/>
      </c>
      <c r="D36" s="37">
        <f>D33-D35</f>
        <v/>
      </c>
      <c r="E36" s="37">
        <f>E33-E35</f>
        <v/>
      </c>
      <c r="F36" s="37">
        <f>F33-F35</f>
        <v/>
      </c>
      <c r="G36" s="37">
        <f>G33-G35</f>
        <v/>
      </c>
    </row>
    <row r="37">
      <c r="A37" s="7" t="inlineStr">
        <is>
          <t>Capital expenditure — maintenance + growth</t>
        </is>
      </c>
      <c r="C37" s="18">
        <f>'Income Statement'!$B$43*C20+MAX(C30-'Segments'!$E$14,0)*2100.379938*C20</f>
        <v/>
      </c>
      <c r="D37" s="18">
        <f>'Income Statement'!$B$43*D20+MAX(D30-C30,0)*2100.379938*D20</f>
        <v/>
      </c>
      <c r="E37" s="18">
        <f>'Income Statement'!$B$43*E20+MAX(E30-D30,0)*2100.379938*E20</f>
        <v/>
      </c>
      <c r="F37" s="18">
        <f>'Income Statement'!$B$43*F20+MAX(F30-E30,0)*2100.379938*F20</f>
        <v/>
      </c>
      <c r="G37" s="18">
        <f>'Income Statement'!$B$43*G20+MAX(G30-F30,0)*2100.379938*G20</f>
        <v/>
      </c>
    </row>
    <row r="38">
      <c r="A38" s="7" t="inlineStr">
        <is>
          <t>Fixed assets at cost, closing</t>
        </is>
      </c>
      <c r="C38" s="18">
        <f>(Assumptions!$B$91+Assumptions!$B$92)/10^6+C37</f>
        <v/>
      </c>
      <c r="D38" s="18">
        <f>C38+D37</f>
        <v/>
      </c>
      <c r="E38" s="18">
        <f>D38+E37</f>
        <v/>
      </c>
      <c r="F38" s="18">
        <f>E38+F37</f>
        <v/>
      </c>
      <c r="G38" s="18">
        <f>F38+G37</f>
        <v/>
      </c>
    </row>
    <row r="39">
      <c r="A39" s="7" t="inlineStr">
        <is>
          <t>Depreciation — rolls off the asset register</t>
        </is>
      </c>
      <c r="C39" s="18">
        <f>(Assumptions!$B$91+Assumptions!$B$92)/10^6/'Income Statement'!$B$42</f>
        <v/>
      </c>
      <c r="D39" s="18">
        <f>C38/'Income Statement'!$B$42</f>
        <v/>
      </c>
      <c r="E39" s="18">
        <f>D38/'Income Statement'!$B$42</f>
        <v/>
      </c>
      <c r="F39" s="18">
        <f>E38/'Income Statement'!$B$42</f>
        <v/>
      </c>
      <c r="G39" s="18">
        <f>F38/'Income Statement'!$B$42</f>
        <v/>
      </c>
    </row>
    <row r="40">
      <c r="A40" s="7" t="inlineStr">
        <is>
          <t>Fixed assets, net book, closing</t>
        </is>
      </c>
      <c r="C40" s="18">
        <f>(Assumptions!$B$90+Assumptions!$B$92)/10^6+C37-C39</f>
        <v/>
      </c>
      <c r="D40" s="18">
        <f>C40+D37-D39</f>
        <v/>
      </c>
      <c r="E40" s="18">
        <f>D40+E37-E39</f>
        <v/>
      </c>
      <c r="F40" s="18">
        <f>E40+F37-F39</f>
        <v/>
      </c>
      <c r="G40" s="18">
        <f>F40+G37-G39</f>
        <v/>
      </c>
    </row>
    <row r="41">
      <c r="A41" s="15" t="inlineStr">
        <is>
          <t>EBIT</t>
        </is>
      </c>
      <c r="C41" s="37">
        <f>C36-C39</f>
        <v/>
      </c>
      <c r="D41" s="37">
        <f>D36-D39</f>
        <v/>
      </c>
      <c r="E41" s="37">
        <f>E36-E39</f>
        <v/>
      </c>
      <c r="F41" s="37">
        <f>F36-F39</f>
        <v/>
      </c>
      <c r="G41" s="37">
        <f>G36-G39</f>
        <v/>
      </c>
    </row>
    <row r="42">
      <c r="A42" s="7" t="inlineStr">
        <is>
          <t>NOPAT before the profit share</t>
        </is>
      </c>
      <c r="C42" s="18">
        <f>C41*(1-Assumptions!$B$108)</f>
        <v/>
      </c>
      <c r="D42" s="18">
        <f>D41*(1-Assumptions!$B$108)</f>
        <v/>
      </c>
      <c r="E42" s="18">
        <f>E41*(1-Assumptions!$B$108)</f>
        <v/>
      </c>
      <c r="F42" s="18">
        <f>F41*(1-Assumptions!$B$108)</f>
        <v/>
      </c>
      <c r="G42" s="18">
        <f>G41*(1-Assumptions!$B$108)</f>
        <v/>
      </c>
    </row>
    <row r="43">
      <c r="A43" s="7" t="inlineStr">
        <is>
          <t xml:space="preserve">  less employees' profit share and board bonuses</t>
        </is>
      </c>
      <c r="C43" s="18">
        <f>MAX(C42,0)*'Income Statement'!$B$40</f>
        <v/>
      </c>
      <c r="D43" s="18">
        <f>MAX(D42,0)*'Income Statement'!$B$40</f>
        <v/>
      </c>
      <c r="E43" s="18">
        <f>MAX(E42,0)*'Income Statement'!$B$40</f>
        <v/>
      </c>
      <c r="F43" s="18">
        <f>MAX(F42,0)*'Income Statement'!$B$40</f>
        <v/>
      </c>
      <c r="G43" s="18">
        <f>MAX(G42,0)*'Income Statement'!$B$40</f>
        <v/>
      </c>
    </row>
    <row r="44">
      <c r="A44" s="15" t="inlineStr">
        <is>
          <t>NOPAT</t>
        </is>
      </c>
      <c r="C44" s="37">
        <f>C42-C43</f>
        <v/>
      </c>
      <c r="D44" s="37">
        <f>D42-D43</f>
        <v/>
      </c>
      <c r="E44" s="37">
        <f>E42-E43</f>
        <v/>
      </c>
      <c r="F44" s="37">
        <f>F42-F43</f>
        <v/>
      </c>
      <c r="G44" s="37">
        <f>G42-G43</f>
        <v/>
      </c>
    </row>
    <row r="45">
      <c r="A45" s="7" t="inlineStr">
        <is>
          <t>Net working capital — on days</t>
        </is>
      </c>
      <c r="C45" s="18">
        <f>'Income Statement'!$B$44*$B$9/365*C32+'Income Statement'!$B$45*$B$9/365*C31-'Income Statement'!$B$46*$B$9/365*C32</f>
        <v/>
      </c>
      <c r="D45" s="18">
        <f>'Income Statement'!$B$44*$B$9/365*D32+'Income Statement'!$B$45*$B$9/365*D31-'Income Statement'!$B$46*$B$9/365*D32</f>
        <v/>
      </c>
      <c r="E45" s="18">
        <f>'Income Statement'!$B$44*$B$9/365*E32+'Income Statement'!$B$45*$B$9/365*E31-'Income Statement'!$B$46*$B$9/365*E32</f>
        <v/>
      </c>
      <c r="F45" s="18">
        <f>'Income Statement'!$B$44*$B$9/365*F32+'Income Statement'!$B$45*$B$9/365*F31-'Income Statement'!$B$46*$B$9/365*F32</f>
        <v/>
      </c>
      <c r="G45" s="18">
        <f>'Income Statement'!$B$44*$B$9/365*G32+'Income Statement'!$B$45*$B$9/365*G31-'Income Statement'!$B$46*$B$9/365*G32</f>
        <v/>
      </c>
    </row>
    <row r="46">
      <c r="A46" s="7" t="inlineStr">
        <is>
          <t xml:space="preserve">  change in working capital</t>
        </is>
      </c>
      <c r="C46" s="18">
        <f>C45-('Income Statement'!$B$44/365*'Income Statement'!$B$21+'Income Statement'!$B$45/365*'Income Statement'!$B$19-'Income Statement'!$B$46/365*'Income Statement'!$B$21)</f>
        <v/>
      </c>
      <c r="D46" s="18">
        <f>D45-C45</f>
        <v/>
      </c>
      <c r="E46" s="18">
        <f>E45-D45</f>
        <v/>
      </c>
      <c r="F46" s="18">
        <f>F45-E45</f>
        <v/>
      </c>
      <c r="G46" s="18">
        <f>G45-F45</f>
        <v/>
      </c>
    </row>
    <row r="47">
      <c r="A47" s="15" t="inlineStr">
        <is>
          <t>FREE CASH FLOW TO THE FIRM</t>
        </is>
      </c>
      <c r="C47" s="37">
        <f>C44+C39-C37-C46</f>
        <v/>
      </c>
      <c r="D47" s="37">
        <f>D44+D39-D37-D46</f>
        <v/>
      </c>
      <c r="E47" s="37">
        <f>E44+E39-E37-E46</f>
        <v/>
      </c>
      <c r="F47" s="37">
        <f>F44+F39-F37-F46</f>
        <v/>
      </c>
      <c r="G47" s="37">
        <f>G44+G39-G37-G46</f>
        <v/>
      </c>
    </row>
    <row r="48">
      <c r="A48" s="7" t="inlineStr">
        <is>
          <t>Glide fraction</t>
        </is>
      </c>
      <c r="C48" s="23">
        <f>0.0000000000</f>
        <v/>
      </c>
      <c r="D48" s="23">
        <f>0.3571428571</f>
        <v/>
      </c>
      <c r="E48" s="23">
        <f>0.6428571429</f>
        <v/>
      </c>
      <c r="F48" s="23">
        <f>0.8571428571</f>
        <v/>
      </c>
      <c r="G48" s="23">
        <f>1.0000000000</f>
        <v/>
      </c>
    </row>
    <row r="49">
      <c r="A49" s="7" t="inlineStr">
        <is>
          <t>Forward cost of capital</t>
        </is>
      </c>
      <c r="C49" s="24">
        <f>$B$14-($B$14-$B$17)*C48</f>
        <v/>
      </c>
      <c r="D49" s="24">
        <f>$B$14-($B$14-$B$17)*D48</f>
        <v/>
      </c>
      <c r="E49" s="24">
        <f>$B$14-($B$14-$B$17)*E48</f>
        <v/>
      </c>
      <c r="F49" s="24">
        <f>$B$14-($B$14-$B$17)*F48</f>
        <v/>
      </c>
      <c r="G49" s="24">
        <f>$B$14-($B$14-$B$17)*G48</f>
        <v/>
      </c>
    </row>
    <row r="50">
      <c r="A50" s="7" t="inlineStr">
        <is>
          <t>Cumulative discount factor</t>
        </is>
      </c>
      <c r="C50" s="40">
        <f>1/(1+C49)</f>
        <v/>
      </c>
      <c r="D50" s="40">
        <f>C50/(1+D49)</f>
        <v/>
      </c>
      <c r="E50" s="40">
        <f>D50/(1+E49)</f>
        <v/>
      </c>
      <c r="F50" s="40">
        <f>E50/(1+F49)</f>
        <v/>
      </c>
      <c r="G50" s="40">
        <f>F50/(1+G49)</f>
        <v/>
      </c>
    </row>
    <row r="51">
      <c r="A51" s="7" t="inlineStr">
        <is>
          <t>Present value</t>
        </is>
      </c>
      <c r="C51" s="18">
        <f>C47*C50</f>
        <v/>
      </c>
      <c r="D51" s="18">
        <f>D47*D50</f>
        <v/>
      </c>
      <c r="E51" s="18">
        <f>E47*E50</f>
        <v/>
      </c>
      <c r="F51" s="18">
        <f>F47*F50</f>
        <v/>
      </c>
      <c r="G51" s="18">
        <f>G47*G50</f>
        <v/>
      </c>
    </row>
    <row r="52">
      <c r="A52" s="15" t="inlineStr">
        <is>
          <t>PV of the explicit window</t>
        </is>
      </c>
      <c r="B52" s="37">
        <f>SUM(C51:G51)</f>
        <v/>
      </c>
      <c r="C52" s="18">
        <f>C45+C38</f>
        <v/>
      </c>
      <c r="D52" s="18">
        <f>D45+D38</f>
        <v/>
      </c>
      <c r="E52" s="18">
        <f>E45+E38</f>
        <v/>
      </c>
      <c r="F52" s="18">
        <f>F45+F38</f>
        <v/>
      </c>
      <c r="G52" s="18">
        <f>G45+G38</f>
        <v/>
      </c>
    </row>
    <row r="53">
      <c r="A53" s="7" t="inlineStr">
        <is>
          <t>Terminal return on invested capital, at REPLACEMENT cost</t>
        </is>
      </c>
      <c r="B53" s="24">
        <f>G44*(1+Assumptions!$B$110)/G52</f>
        <v/>
      </c>
    </row>
    <row r="54">
      <c r="A54" s="7" t="inlineStr">
        <is>
          <t>Required reinvestment = growth / return</t>
        </is>
      </c>
      <c r="B54" s="24">
        <f>MIN(Assumptions!$B$110/B53,0.95)</f>
        <v/>
      </c>
    </row>
    <row r="55">
      <c r="A55" s="7" t="inlineStr">
        <is>
          <t>Terminal value</t>
        </is>
      </c>
      <c r="B55" s="18">
        <f>G44*(1+Assumptions!$B$110)*(1-B54)/MAX($B$17-Assumptions!$B$110,0.02)</f>
        <v/>
      </c>
    </row>
    <row r="56">
      <c r="A56" s="7" t="inlineStr">
        <is>
          <t>PV of the terminal block</t>
        </is>
      </c>
      <c r="B56" s="18">
        <f>B55*G50</f>
        <v/>
      </c>
    </row>
    <row r="57">
      <c r="A57" s="15" t="inlineStr">
        <is>
          <t>ENTERPRISE VALUE</t>
        </is>
      </c>
      <c r="B57" s="37">
        <f>B52+B56</f>
        <v/>
      </c>
    </row>
    <row r="58">
      <c r="A58" s="7" t="inlineStr">
        <is>
          <t>plus net cash</t>
        </is>
      </c>
      <c r="B58" s="18">
        <f>(Assumptions!$B$100-Assumptions!$B$103-Assumptions!$B$104)/10^6</f>
        <v/>
      </c>
    </row>
    <row r="59">
      <c r="A59" s="7" t="inlineStr">
        <is>
          <t>Enterprise value including cash</t>
        </is>
      </c>
      <c r="B59" s="18">
        <f>B57+B58</f>
        <v/>
      </c>
    </row>
    <row r="60">
      <c r="A60" s="7" t="inlineStr">
        <is>
          <t>less minority — on the WHOLE enterprise, cash included</t>
        </is>
      </c>
      <c r="B60" s="18">
        <f>B59*'Income Statement'!$B$41</f>
        <v/>
      </c>
    </row>
    <row r="61">
      <c r="A61" s="7" t="inlineStr">
        <is>
          <t>less the tax-disputes provision</t>
        </is>
      </c>
      <c r="B61" s="18">
        <f>Assumptions!$B$99/10^6</f>
        <v/>
      </c>
    </row>
    <row r="62">
      <c r="A62" s="7" t="inlineStr">
        <is>
          <t>less dividends payable — declared, out of working capital</t>
        </is>
      </c>
      <c r="B62" s="18">
        <f>Assumptions!$B$98/10^6</f>
        <v/>
      </c>
    </row>
    <row r="63">
      <c r="A63" s="7" t="inlineStr">
        <is>
          <t>plus non-operating investments and pledged deposits</t>
        </is>
      </c>
      <c r="B63" s="18">
        <f>(Assumptions!$B$102+Assumptions!$B$101)/10^6</f>
        <v/>
      </c>
    </row>
    <row r="64">
      <c r="A64" s="15" t="inlineStr">
        <is>
          <t>EQUITY ATTRIBUTABLE</t>
        </is>
      </c>
      <c r="B64" s="37">
        <f>B59-B60-B61-B62+B63</f>
        <v/>
      </c>
    </row>
    <row r="65">
      <c r="A65" s="15" t="inlineStr">
        <is>
          <t>VALUE PER SHARE, EGP</t>
        </is>
      </c>
      <c r="B65" s="22">
        <f>B64/Assumptions!$B$8</f>
        <v/>
      </c>
    </row>
  </sheetData>
  <mergeCells count="1">
    <mergeCell ref="A2:I2"/>
  </mergeCells>
  <pageMargins left="0.75" right="0.75" top="1" bottom="1" header="0.5" footer="0.5"/>
</worksheet>
</file>

<file path=xl/worksheets/sheet9.xml><?xml version="1.0" encoding="utf-8"?>
<worksheet xmlns="http://schemas.openxmlformats.org/spreadsheetml/2006/main">
  <sheetPr>
    <tabColor rgb="001C3A36"/>
    <outlinePr summaryBelow="1" summaryRight="1"/>
    <pageSetUpPr/>
  </sheetPr>
  <dimension ref="A1:I46"/>
  <sheetViews>
    <sheetView showGridLines="0" workbookViewId="0">
      <selection activeCell="A1" sqref="A1"/>
    </sheetView>
  </sheetViews>
  <sheetFormatPr baseColWidth="8" defaultRowHeight="15"/>
  <cols>
    <col width="56"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s>
  <sheetData>
    <row r="1">
      <c r="A1" s="1" t="inlineStr">
        <is>
          <t>Base year — twelve contiguous months to 30 June 2026</t>
        </is>
      </c>
    </row>
    <row r="2" ht="32" customHeight="1">
      <c r="A2" s="5" t="inlineStr">
        <is>
          <t>The gross profit of the reported half is NOT taken as released. It is solved from the release's own profit line, and the released figure is shown beside it with the profit it would have implied. Every cell below is a formula.</t>
        </is>
      </c>
    </row>
    <row r="3">
      <c r="A3" s="2" t="n"/>
      <c r="B3" s="2" t="n"/>
      <c r="C3" s="2" t="n"/>
      <c r="D3" s="2" t="n"/>
      <c r="E3" s="2" t="n"/>
    </row>
    <row r="5">
      <c r="A5" s="6" t="inlineStr"/>
      <c r="B5" s="6" t="inlineStr">
        <is>
          <t>EGP</t>
        </is>
      </c>
      <c r="C5" s="6" t="inlineStr">
        <is>
          <t>Check</t>
        </is>
      </c>
      <c r="D5" s="6" t="inlineStr"/>
      <c r="E5" s="6" t="inlineStr"/>
    </row>
    <row r="6">
      <c r="A6" s="15" t="inlineStr">
        <is>
          <t>Administrative + selling + other, 3M to 31-Mar-2026</t>
        </is>
      </c>
      <c r="B6" s="18">
        <f>Assumptions!$B$38+Assumptions!$B$39+Assumptions!$B$40</f>
        <v/>
      </c>
    </row>
    <row r="7">
      <c r="A7" s="7" t="inlineStr">
        <is>
          <t>Scaled to the half (x2)</t>
        </is>
      </c>
      <c r="B7" s="18">
        <f>B6*2</f>
        <v/>
      </c>
    </row>
    <row r="8">
      <c r="A8" s="7" t="inlineStr">
        <is>
          <t>Other revenue, half</t>
        </is>
      </c>
      <c r="B8" s="18">
        <f>Assumptions!$B$41*2</f>
        <v/>
      </c>
    </row>
    <row r="9">
      <c r="A9" s="7" t="inlineStr">
        <is>
          <t>Provisions and expected credit losses, half</t>
        </is>
      </c>
      <c r="B9" s="18">
        <f>(Assumptions!$B$42+Assumptions!$B$43)*2</f>
        <v/>
      </c>
    </row>
    <row r="10">
      <c r="A10" s="7" t="inlineStr">
        <is>
          <t>Finance cost, half</t>
        </is>
      </c>
      <c r="B10" s="18">
        <f>Assumptions!$B$44*2</f>
        <v/>
      </c>
    </row>
    <row r="11">
      <c r="A11" s="7" t="inlineStr">
        <is>
          <t>Effective tax rate, nine months (for the solve only)</t>
        </is>
      </c>
      <c r="B11" s="24">
        <f>(Assumptions!$B$59-Assumptions!$B$60+Assumptions!$B$61-Assumptions!$B$62)/((Assumptions!$B$59-Assumptions!$B$60+Assumptions!$B$61-Assumptions!$B$62)/0.22118761296853667)</f>
        <v/>
      </c>
    </row>
    <row r="13">
      <c r="A13" s="15" t="inlineStr">
        <is>
          <t>GROSS PROFIT, 6M to 30-Jun-2026 — AS FILED</t>
        </is>
      </c>
      <c r="B13" s="37">
        <f>Assumptions!$B$14</f>
        <v/>
      </c>
    </row>
    <row r="14">
      <c r="A14" s="7" t="inlineStr">
        <is>
          <t>Gross profit as the press release stated it</t>
        </is>
      </c>
      <c r="B14" s="18">
        <f>Assumptions!$B$35</f>
        <v/>
      </c>
    </row>
    <row r="15">
      <c r="A15" s="7" t="inlineStr">
        <is>
          <t>Profit after tax, 6M to 30-Jun-2026 — AS FILED</t>
        </is>
      </c>
      <c r="B15" s="18">
        <f>Assumptions!$B$22</f>
        <v/>
      </c>
    </row>
    <row r="16">
      <c r="A16" s="7" t="inlineStr">
        <is>
          <t>against the profit the press release reported</t>
        </is>
      </c>
      <c r="B16" s="18">
        <f>Assumptions!$B$34</f>
        <v/>
      </c>
    </row>
    <row r="17">
      <c r="A17" s="15" t="inlineStr">
        <is>
          <t>Release against filing, gross profit</t>
        </is>
      </c>
      <c r="B17" s="39">
        <f>B13/B14-1</f>
        <v/>
      </c>
    </row>
    <row r="19">
      <c r="A19" s="15" t="inlineStr">
        <is>
          <t>BASE-YEAR REVENUE — twelve months to 30-Jun-2026</t>
        </is>
      </c>
      <c r="B19" s="37">
        <f>(Assumptions!$B$10+Assumptions!$B$12)/10^6</f>
        <v/>
      </c>
    </row>
    <row r="20">
      <c r="A20" s="15" t="inlineStr">
        <is>
          <t>BASE-YEAR GROSS PROFIT</t>
        </is>
      </c>
      <c r="B20" s="37">
        <f>(Assumptions!$B$10-Assumptions!$B$11+B13)/10^6</f>
        <v/>
      </c>
    </row>
    <row r="21">
      <c r="A21" s="15" t="inlineStr">
        <is>
          <t>BASE-YEAR COST OF SALES</t>
        </is>
      </c>
      <c r="B21" s="37">
        <f>B19-B20</f>
        <v/>
      </c>
    </row>
    <row r="22">
      <c r="A22" s="15" t="inlineStr">
        <is>
          <t>BASE-YEAR GROSS MARGIN</t>
        </is>
      </c>
      <c r="B22" s="39">
        <f>B20/B19</f>
        <v/>
      </c>
    </row>
    <row r="24">
      <c r="A24" s="7" t="inlineStr">
        <is>
          <t>Alternative base: nine audited months x 4/3</t>
        </is>
      </c>
      <c r="B24" s="18">
        <f>(Assumptions!$B$10+Assumptions!$B$36)/10^6*4/3</f>
        <v/>
      </c>
    </row>
    <row r="25">
      <c r="A25" s="7" t="inlineStr">
        <is>
          <t>its gross margin</t>
        </is>
      </c>
      <c r="B25" s="24">
        <f>(Assumptions!$B$10+Assumptions!$B$36-Assumptions!$B$11-Assumptions!$B$37)/(Assumptions!$B$10+Assumptions!$B$36)</f>
        <v/>
      </c>
    </row>
    <row r="27">
      <c r="A27" s="11" t="inlineStr">
        <is>
          <t>Operating lines, SAME twelve months</t>
        </is>
      </c>
      <c r="B27" s="13" t="n"/>
      <c r="C27" s="13" t="n"/>
      <c r="D27" s="13" t="n"/>
      <c r="E27" s="13" t="n"/>
    </row>
    <row r="28">
      <c r="A28" s="7" t="inlineStr">
        <is>
          <t>Administrative expense</t>
        </is>
      </c>
      <c r="B28" s="18">
        <f>(Assumptions!$B$45+Assumptions!$B$15)/10^6</f>
        <v/>
      </c>
    </row>
    <row r="29">
      <c r="A29" s="7" t="inlineStr">
        <is>
          <t>Selling expense</t>
        </is>
      </c>
      <c r="B29" s="18">
        <f>(Assumptions!$B$46+Assumptions!$B$16)/10^6</f>
        <v/>
      </c>
    </row>
    <row r="30">
      <c r="A30" s="7" t="inlineStr">
        <is>
          <t>Other operating expense</t>
        </is>
      </c>
      <c r="B30" s="18">
        <f>(Assumptions!$B$47+Assumptions!$B$17)/10^6</f>
        <v/>
      </c>
    </row>
    <row r="31">
      <c r="A31" s="7" t="inlineStr">
        <is>
          <t>Provisions and credit losses</t>
        </is>
      </c>
      <c r="B31" s="18">
        <f>(Assumptions!$B$48+Assumptions!$B$18+Assumptions!$B$19)/10^6</f>
        <v/>
      </c>
    </row>
    <row r="32">
      <c r="A32" s="7" t="inlineStr">
        <is>
          <t>Depreciation</t>
        </is>
      </c>
      <c r="B32" s="18">
        <f>(Assumptions!$B$30)/10^6</f>
        <v/>
      </c>
    </row>
    <row r="33">
      <c r="A33" s="7" t="inlineStr">
        <is>
          <t>Cash capital expenditure</t>
        </is>
      </c>
      <c r="B33" s="18">
        <f>(Assumptions!$B$31)/10^6</f>
        <v/>
      </c>
    </row>
    <row r="34">
      <c r="A34" s="7" t="inlineStr">
        <is>
          <t>Credit interest</t>
        </is>
      </c>
      <c r="B34" s="18">
        <f>(Assumptions!$B$53+Assumptions!$B$32)/10^6</f>
        <v/>
      </c>
    </row>
    <row r="35">
      <c r="A35" s="7" t="inlineStr">
        <is>
          <t>Employees' profit share</t>
        </is>
      </c>
      <c r="B35" s="18">
        <f>(Assumptions!$B$55*2)/10^6</f>
        <v/>
      </c>
    </row>
    <row r="37" ht="44" customHeight="1">
      <c r="A37" s="19" t="inlineStr">
        <is>
          <t>Every operating line is struck on the SAME twelve months as revenue and gross profit. The previous edition built revenue from the six-month product table doubled while taking cost of sales from the nine months scaled by four thirds, so its base-year gross margin of 7.081% corresponded to no filed period at all. One period, both sides, or the margin is an artefact of the scalars.</t>
        </is>
      </c>
    </row>
    <row r="39">
      <c r="A39" s="11" t="inlineStr">
        <is>
          <t>RATES — solved, not assumed</t>
        </is>
      </c>
      <c r="B39" s="13" t="n"/>
      <c r="C39" s="13" t="n"/>
      <c r="D39" s="13" t="n"/>
      <c r="E39" s="13" t="n"/>
    </row>
    <row r="40">
      <c r="A40" s="7" t="inlineStr">
        <is>
          <t>Employees' profit share, % of profit after tax</t>
        </is>
      </c>
      <c r="B40" s="24">
        <f>B35/((Assumptions!$B$56+Assumptions!$B$22)/10^6)</f>
        <v/>
      </c>
    </row>
    <row r="41">
      <c r="A41" s="7" t="inlineStr">
        <is>
          <t>Minority interest, % of OPERATING profit, whole base year</t>
        </is>
      </c>
      <c r="B41" s="24">
        <f>((Assumptions!$B$57+Assumptions!$B$23)/10^6)/((Assumptions!$B$56+Assumptions!$B$22)/10^6-B34*(1-0.22118761296853667))</f>
        <v/>
      </c>
    </row>
    <row r="42">
      <c r="A42" s="7" t="inlineStr">
        <is>
          <t>Implied asset life, years = fixed assets at cost / depreciation</t>
        </is>
      </c>
      <c r="B42" s="17">
        <f>Assumptions!$B$91/10^6/B32</f>
        <v/>
      </c>
    </row>
    <row r="43">
      <c r="A43" s="7" t="inlineStr">
        <is>
          <t>Maintenance capital expenditure at cost over that life</t>
        </is>
      </c>
      <c r="B43" s="18">
        <f>Assumptions!$B$91/10^6/B42</f>
        <v/>
      </c>
    </row>
    <row r="44">
      <c r="A44" s="7" t="inlineStr">
        <is>
          <t>Inventory days of cost of sales</t>
        </is>
      </c>
      <c r="B44" s="17">
        <f>Assumptions!$B$93/10^6/B21*365</f>
        <v/>
      </c>
    </row>
    <row r="45">
      <c r="A45" s="7" t="inlineStr">
        <is>
          <t>Receivable days of revenue</t>
        </is>
      </c>
      <c r="B45" s="17">
        <f>(Assumptions!$B$94+Assumptions!$B$95)/10^6/B19*365</f>
        <v/>
      </c>
    </row>
    <row r="46">
      <c r="A46" s="7" t="inlineStr">
        <is>
          <t>Operating payable days of cost of sales — dividends payable REMOVED</t>
        </is>
      </c>
      <c r="B46" s="17">
        <f>(Assumptions!$B$96+Assumptions!$B$97-Assumptions!$B$98)/10^6/B21*365</f>
        <v/>
      </c>
    </row>
  </sheetData>
  <mergeCells count="2">
    <mergeCell ref="A2:E2"/>
    <mergeCell ref="A37:I37"/>
  </mergeCells>
  <pageMargins left="0.75" right="0.75" top="1" bottom="1" header="0.5" footer="0.5"/>
</worksheet>
</file>

<file path=xl/worksheets/sheet10.xml><?xml version="1.0" encoding="utf-8"?>
<worksheet xmlns="http://schemas.openxmlformats.org/spreadsheetml/2006/main">
  <sheetPr>
    <tabColor rgb="001C3A36"/>
    <outlinePr summaryBelow="1" summaryRight="1"/>
    <pageSetUpPr/>
  </sheetPr>
  <dimension ref="A1:I25"/>
  <sheetViews>
    <sheetView showGridLines="0" workbookViewId="0">
      <selection activeCell="A1" sqref="A1"/>
    </sheetView>
  </sheetViews>
  <sheetFormatPr baseColWidth="8" defaultRowHeight="15"/>
  <cols>
    <col width="58"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s>
  <sheetData>
    <row r="1">
      <c r="A1" s="1" t="inlineStr">
        <is>
          <t>Balance sheet — as filed, and the lines the forecast projects</t>
        </is>
      </c>
    </row>
    <row r="2" ht="32" customHeight="1">
      <c r="A2" s="5" t="inlineStr">
        <is>
          <t>The filed column is the blue class: figures read off the statement. Everything to the right is projected from the working-capital days and the asset register on the Income Statement sheet, through the same engine the cash flow runs on.</t>
        </is>
      </c>
    </row>
    <row r="3">
      <c r="A3" s="2" t="n"/>
      <c r="B3" s="2" t="n"/>
      <c r="C3" s="2" t="n"/>
      <c r="D3" s="2" t="n"/>
      <c r="E3" s="2" t="n"/>
      <c r="F3" s="2" t="n"/>
      <c r="G3" s="2" t="n"/>
    </row>
    <row r="5">
      <c r="A5" s="6" t="inlineStr">
        <is>
          <t>EGP mn</t>
        </is>
      </c>
      <c r="B5" s="6" t="inlineStr">
        <is>
          <t>As filed</t>
        </is>
      </c>
      <c r="C5" s="6" t="inlineStr">
        <is>
          <t>2026E</t>
        </is>
      </c>
      <c r="D5" s="6" t="inlineStr">
        <is>
          <t>2027E</t>
        </is>
      </c>
      <c r="E5" s="6" t="inlineStr">
        <is>
          <t>2028E</t>
        </is>
      </c>
      <c r="F5" s="6" t="inlineStr">
        <is>
          <t>2029E</t>
        </is>
      </c>
      <c r="G5" s="6" t="inlineStr">
        <is>
          <t>2030E</t>
        </is>
      </c>
    </row>
    <row r="6">
      <c r="A6" s="7" t="inlineStr">
        <is>
          <t>Fixed assets at cost</t>
        </is>
      </c>
      <c r="B6" s="18">
        <f>(Assumptions!$B$91+Assumptions!$B$92)/10^6</f>
        <v/>
      </c>
      <c r="C6" s="18">
        <f>DCF!C38</f>
        <v/>
      </c>
      <c r="D6" s="18">
        <f>DCF!D38</f>
        <v/>
      </c>
      <c r="E6" s="18">
        <f>DCF!E38</f>
        <v/>
      </c>
      <c r="F6" s="18">
        <f>DCF!F38</f>
        <v/>
      </c>
      <c r="G6" s="18">
        <f>DCF!G38</f>
        <v/>
      </c>
    </row>
    <row r="7">
      <c r="A7" s="7" t="inlineStr">
        <is>
          <t>Accumulated depreciation</t>
        </is>
      </c>
      <c r="B7" s="18">
        <f>-(Assumptions!$B$91-Assumptions!$B$90)/10^6</f>
        <v/>
      </c>
    </row>
    <row r="8">
      <c r="A8" s="7" t="inlineStr">
        <is>
          <t>Fixed assets, net book</t>
        </is>
      </c>
      <c r="B8" s="18">
        <f>(Assumptions!$B$90+Assumptions!$B$92)/10^6</f>
        <v/>
      </c>
      <c r="C8" s="18">
        <f>DCF!C40</f>
        <v/>
      </c>
      <c r="D8" s="18">
        <f>DCF!D40</f>
        <v/>
      </c>
      <c r="E8" s="18">
        <f>DCF!E40</f>
        <v/>
      </c>
      <c r="F8" s="18">
        <f>DCF!F40</f>
        <v/>
      </c>
      <c r="G8" s="18">
        <f>DCF!G40</f>
        <v/>
      </c>
    </row>
    <row r="9">
      <c r="A9" s="7" t="inlineStr">
        <is>
          <t>Inventory</t>
        </is>
      </c>
      <c r="B9" s="18">
        <f>Assumptions!$B$93/10^6</f>
        <v/>
      </c>
    </row>
    <row r="10">
      <c r="A10" s="7" t="inlineStr">
        <is>
          <t>Trade and other receivables</t>
        </is>
      </c>
      <c r="B10" s="18">
        <f>(Assumptions!$B$94+Assumptions!$B$95)/10^6</f>
        <v/>
      </c>
    </row>
    <row r="11">
      <c r="A11" s="7" t="inlineStr">
        <is>
          <t>Cash and bank</t>
        </is>
      </c>
      <c r="B11" s="18">
        <f>Assumptions!$B$100/10^6</f>
        <v/>
      </c>
    </row>
    <row r="12">
      <c r="A12" s="7" t="inlineStr">
        <is>
          <t>Financial investments and pledged deposits</t>
        </is>
      </c>
      <c r="B12" s="18">
        <f>(Assumptions!$B$102+Assumptions!$B$101)/10^6</f>
        <v/>
      </c>
    </row>
    <row r="13">
      <c r="A13" s="7" t="inlineStr">
        <is>
          <t>Trade and other payables</t>
        </is>
      </c>
      <c r="B13" s="18">
        <f>-(Assumptions!$B$96+Assumptions!$B$97)/10^6</f>
        <v/>
      </c>
    </row>
    <row r="14">
      <c r="A14" s="7" t="inlineStr">
        <is>
          <t>Dividends declared and payable</t>
        </is>
      </c>
      <c r="B14" s="18">
        <f>-Assumptions!$B$98/10^6</f>
        <v/>
      </c>
    </row>
    <row r="15">
      <c r="A15" s="7" t="inlineStr">
        <is>
          <t>Borrowings</t>
        </is>
      </c>
      <c r="B15" s="18">
        <f>-(Assumptions!$B$103+Assumptions!$B$104)/10^6</f>
        <v/>
      </c>
    </row>
    <row r="16">
      <c r="A16" s="7" t="inlineStr">
        <is>
          <t>Provisions</t>
        </is>
      </c>
      <c r="B16" s="18">
        <f>-Assumptions!$B$99/10^6</f>
        <v/>
      </c>
    </row>
    <row r="17">
      <c r="A17" s="11" t="inlineStr">
        <is>
          <t>Equity attributable to the parent, as filed</t>
        </is>
      </c>
      <c r="B17" s="41">
        <f>Assumptions!$B$105/10^6</f>
        <v/>
      </c>
      <c r="C17" s="13" t="n"/>
      <c r="D17" s="13" t="n"/>
      <c r="E17" s="13" t="n"/>
      <c r="F17" s="13" t="n"/>
      <c r="G17" s="13" t="n"/>
    </row>
    <row r="18">
      <c r="A18" s="7" t="inlineStr">
        <is>
          <t>Minority interest, as filed</t>
        </is>
      </c>
      <c r="B18" s="18">
        <f>Assumptions!$B$106/10^6</f>
        <v/>
      </c>
    </row>
    <row r="20">
      <c r="A20" s="11" t="inlineStr">
        <is>
          <t>PROJECTED WORKING CAPITAL AND INVESTED CAPITAL</t>
        </is>
      </c>
      <c r="B20" s="13" t="n"/>
      <c r="C20" s="13" t="n"/>
      <c r="D20" s="13" t="n"/>
      <c r="E20" s="13" t="n"/>
      <c r="F20" s="13" t="n"/>
      <c r="G20" s="13" t="n"/>
    </row>
    <row r="21">
      <c r="A21" s="7" t="inlineStr">
        <is>
          <t>Net working capital — on the filed days</t>
        </is>
      </c>
      <c r="C21" s="18">
        <f>DCF!C45</f>
        <v/>
      </c>
      <c r="D21" s="18">
        <f>DCF!D45</f>
        <v/>
      </c>
      <c r="E21" s="18">
        <f>DCF!E45</f>
        <v/>
      </c>
      <c r="F21" s="18">
        <f>DCF!F45</f>
        <v/>
      </c>
      <c r="G21" s="18">
        <f>DCF!G45</f>
        <v/>
      </c>
    </row>
    <row r="22">
      <c r="A22" s="7" t="inlineStr">
        <is>
          <t xml:space="preserve">    change in the year</t>
        </is>
      </c>
      <c r="C22" s="18">
        <f>DCF!C46</f>
        <v/>
      </c>
      <c r="D22" s="18">
        <f>DCF!D46</f>
        <v/>
      </c>
      <c r="E22" s="18">
        <f>DCF!E46</f>
        <v/>
      </c>
      <c r="F22" s="18">
        <f>DCF!F46</f>
        <v/>
      </c>
      <c r="G22" s="18">
        <f>DCF!G46</f>
        <v/>
      </c>
    </row>
    <row r="23">
      <c r="A23" s="15" t="inlineStr">
        <is>
          <t>Invested capital at replacement cost</t>
        </is>
      </c>
      <c r="C23" s="37">
        <f>DCF!C52</f>
        <v/>
      </c>
      <c r="D23" s="37">
        <f>DCF!D52</f>
        <v/>
      </c>
      <c r="E23" s="37">
        <f>DCF!E52</f>
        <v/>
      </c>
      <c r="F23" s="37">
        <f>DCF!F52</f>
        <v/>
      </c>
      <c r="G23" s="37">
        <f>DCF!G52</f>
        <v/>
      </c>
    </row>
    <row r="25" ht="33" customHeight="1">
      <c r="A25" s="19" t="inlineStr">
        <is>
          <t>Working capital is projected on inventory, receivable and payable DAYS solved off the filed balance sheet, with dividends declared removed from payables first — leaving them in would have the company financing itself out of a distribution it has already committed to pay.</t>
        </is>
      </c>
    </row>
  </sheetData>
  <mergeCells count="2">
    <mergeCell ref="A25:I25"/>
    <mergeCell ref="A2:G2"/>
  </mergeCells>
  <pageMargins left="0.75" right="0.75" top="1" bottom="1" header="0.5" footer="0.5"/>
</worksheet>
</file>

<file path=xl/worksheets/sheet11.xml><?xml version="1.0" encoding="utf-8"?>
<worksheet xmlns="http://schemas.openxmlformats.org/spreadsheetml/2006/main">
  <sheetPr>
    <tabColor rgb="001C3A36"/>
    <outlinePr summaryBelow="1" summaryRight="1"/>
    <pageSetUpPr/>
  </sheetPr>
  <dimension ref="A1:I27"/>
  <sheetViews>
    <sheetView showGridLines="0" workbookViewId="0">
      <selection activeCell="A1" sqref="A1"/>
    </sheetView>
  </sheetViews>
  <sheetFormatPr baseColWidth="8" defaultRowHeight="15"/>
  <cols>
    <col width="58"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s>
  <sheetData>
    <row r="1">
      <c r="A1" s="1" t="inlineStr">
        <is>
          <t>Free cash flow to the firm — the full waterfall, year by year</t>
        </is>
      </c>
    </row>
    <row r="2" ht="32" customHeight="1">
      <c r="A2" s="5" t="inlineStr">
        <is>
          <t>This is the flow the discounted cash flow discounts, taken line by line from the engine on the DCF sheet. It stops at present value, not at free cash flow.</t>
        </is>
      </c>
    </row>
    <row r="3">
      <c r="A3" s="2" t="n"/>
      <c r="B3" s="2" t="n"/>
      <c r="C3" s="2" t="n"/>
      <c r="D3" s="2" t="n"/>
      <c r="E3" s="2" t="n"/>
      <c r="F3" s="2" t="n"/>
      <c r="G3" s="2" t="n"/>
    </row>
    <row r="5">
      <c r="A5" s="6" t="inlineStr">
        <is>
          <t>EGP mn</t>
        </is>
      </c>
      <c r="B5" s="6" t="inlineStr">
        <is>
          <t>2026E</t>
        </is>
      </c>
      <c r="C5" s="6" t="inlineStr">
        <is>
          <t>2027E</t>
        </is>
      </c>
      <c r="D5" s="6" t="inlineStr">
        <is>
          <t>2028E</t>
        </is>
      </c>
      <c r="E5" s="6" t="inlineStr">
        <is>
          <t>2029E</t>
        </is>
      </c>
      <c r="F5" s="6" t="inlineStr">
        <is>
          <t>2030E</t>
        </is>
      </c>
    </row>
    <row r="6">
      <c r="A6" s="7" t="inlineStr">
        <is>
          <t>Revenue</t>
        </is>
      </c>
      <c r="C6" s="18">
        <f>DCF!C31</f>
        <v/>
      </c>
      <c r="D6" s="18">
        <f>DCF!D31</f>
        <v/>
      </c>
      <c r="E6" s="18">
        <f>DCF!E31</f>
        <v/>
      </c>
      <c r="F6" s="18">
        <f>DCF!F31</f>
        <v/>
      </c>
      <c r="G6" s="18">
        <f>DCF!G31</f>
        <v/>
      </c>
    </row>
    <row r="7">
      <c r="A7" s="7" t="inlineStr">
        <is>
          <t>Cost of sales</t>
        </is>
      </c>
      <c r="C7" s="18">
        <f>DCF!C32</f>
        <v/>
      </c>
      <c r="D7" s="18">
        <f>DCF!D32</f>
        <v/>
      </c>
      <c r="E7" s="18">
        <f>DCF!E32</f>
        <v/>
      </c>
      <c r="F7" s="18">
        <f>DCF!F32</f>
        <v/>
      </c>
      <c r="G7" s="18">
        <f>DCF!G32</f>
        <v/>
      </c>
    </row>
    <row r="8">
      <c r="A8" s="15" t="inlineStr">
        <is>
          <t>GROSS PROFIT</t>
        </is>
      </c>
      <c r="C8" s="37">
        <f>DCF!C33</f>
        <v/>
      </c>
      <c r="D8" s="37">
        <f>DCF!D33</f>
        <v/>
      </c>
      <c r="E8" s="37">
        <f>DCF!E33</f>
        <v/>
      </c>
      <c r="F8" s="37">
        <f>DCF!F33</f>
        <v/>
      </c>
      <c r="G8" s="37">
        <f>DCF!G33</f>
        <v/>
      </c>
    </row>
    <row r="9">
      <c r="A9" s="7" t="inlineStr">
        <is>
          <t>Operating expense</t>
        </is>
      </c>
      <c r="C9" s="18">
        <f>DCF!C35</f>
        <v/>
      </c>
      <c r="D9" s="18">
        <f>DCF!D35</f>
        <v/>
      </c>
      <c r="E9" s="18">
        <f>DCF!E35</f>
        <v/>
      </c>
      <c r="F9" s="18">
        <f>DCF!F35</f>
        <v/>
      </c>
      <c r="G9" s="18">
        <f>DCF!G35</f>
        <v/>
      </c>
    </row>
    <row r="10">
      <c r="A10" s="15" t="inlineStr">
        <is>
          <t>EBITDA</t>
        </is>
      </c>
      <c r="C10" s="37">
        <f>DCF!C36</f>
        <v/>
      </c>
      <c r="D10" s="37">
        <f>DCF!D36</f>
        <v/>
      </c>
      <c r="E10" s="37">
        <f>DCF!E36</f>
        <v/>
      </c>
      <c r="F10" s="37">
        <f>DCF!F36</f>
        <v/>
      </c>
      <c r="G10" s="37">
        <f>DCF!G36</f>
        <v/>
      </c>
    </row>
    <row r="11">
      <c r="A11" s="7" t="inlineStr">
        <is>
          <t>Depreciation</t>
        </is>
      </c>
      <c r="C11" s="18">
        <f>DCF!C39</f>
        <v/>
      </c>
      <c r="D11" s="18">
        <f>DCF!D39</f>
        <v/>
      </c>
      <c r="E11" s="18">
        <f>DCF!E39</f>
        <v/>
      </c>
      <c r="F11" s="18">
        <f>DCF!F39</f>
        <v/>
      </c>
      <c r="G11" s="18">
        <f>DCF!G39</f>
        <v/>
      </c>
    </row>
    <row r="12">
      <c r="A12" s="15" t="inlineStr">
        <is>
          <t>EBIT</t>
        </is>
      </c>
      <c r="C12" s="37">
        <f>DCF!C41</f>
        <v/>
      </c>
      <c r="D12" s="37">
        <f>DCF!D41</f>
        <v/>
      </c>
      <c r="E12" s="37">
        <f>DCF!E41</f>
        <v/>
      </c>
      <c r="F12" s="37">
        <f>DCF!F41</f>
        <v/>
      </c>
      <c r="G12" s="37">
        <f>DCF!G41</f>
        <v/>
      </c>
    </row>
    <row r="13">
      <c r="A13" s="7" t="inlineStr">
        <is>
          <t>NOPAT before the profit share</t>
        </is>
      </c>
      <c r="C13" s="18">
        <f>DCF!C42</f>
        <v/>
      </c>
      <c r="D13" s="18">
        <f>DCF!D42</f>
        <v/>
      </c>
      <c r="E13" s="18">
        <f>DCF!E42</f>
        <v/>
      </c>
      <c r="F13" s="18">
        <f>DCF!F42</f>
        <v/>
      </c>
      <c r="G13" s="18">
        <f>DCF!G42</f>
        <v/>
      </c>
    </row>
    <row r="14">
      <c r="A14" s="7" t="inlineStr">
        <is>
          <t>Employees' profit share and board bonuses</t>
        </is>
      </c>
      <c r="C14" s="18">
        <f>DCF!C43</f>
        <v/>
      </c>
      <c r="D14" s="18">
        <f>DCF!D43</f>
        <v/>
      </c>
      <c r="E14" s="18">
        <f>DCF!E43</f>
        <v/>
      </c>
      <c r="F14" s="18">
        <f>DCF!F43</f>
        <v/>
      </c>
      <c r="G14" s="18">
        <f>DCF!G43</f>
        <v/>
      </c>
    </row>
    <row r="15">
      <c r="A15" s="15" t="inlineStr">
        <is>
          <t>NOPAT</t>
        </is>
      </c>
      <c r="C15" s="37">
        <f>DCF!C44</f>
        <v/>
      </c>
      <c r="D15" s="37">
        <f>DCF!D44</f>
        <v/>
      </c>
      <c r="E15" s="37">
        <f>DCF!E44</f>
        <v/>
      </c>
      <c r="F15" s="37">
        <f>DCF!F44</f>
        <v/>
      </c>
      <c r="G15" s="37">
        <f>DCF!G44</f>
        <v/>
      </c>
    </row>
    <row r="16">
      <c r="A16" s="7" t="inlineStr">
        <is>
          <t>add back depreciation</t>
        </is>
      </c>
      <c r="C16" s="18">
        <f>DCF!C39</f>
        <v/>
      </c>
      <c r="D16" s="18">
        <f>DCF!D39</f>
        <v/>
      </c>
      <c r="E16" s="18">
        <f>DCF!E39</f>
        <v/>
      </c>
      <c r="F16" s="18">
        <f>DCF!F39</f>
        <v/>
      </c>
      <c r="G16" s="18">
        <f>DCF!G39</f>
        <v/>
      </c>
    </row>
    <row r="17">
      <c r="A17" s="7" t="inlineStr">
        <is>
          <t>less capital expenditure</t>
        </is>
      </c>
      <c r="C17" s="18">
        <f>DCF!C37</f>
        <v/>
      </c>
      <c r="D17" s="18">
        <f>DCF!D37</f>
        <v/>
      </c>
      <c r="E17" s="18">
        <f>DCF!E37</f>
        <v/>
      </c>
      <c r="F17" s="18">
        <f>DCF!F37</f>
        <v/>
      </c>
      <c r="G17" s="18">
        <f>DCF!G37</f>
        <v/>
      </c>
    </row>
    <row r="18">
      <c r="A18" s="7" t="inlineStr">
        <is>
          <t>less the change in working capital</t>
        </is>
      </c>
      <c r="C18" s="18">
        <f>DCF!C46</f>
        <v/>
      </c>
      <c r="D18" s="18">
        <f>DCF!D46</f>
        <v/>
      </c>
      <c r="E18" s="18">
        <f>DCF!E46</f>
        <v/>
      </c>
      <c r="F18" s="18">
        <f>DCF!F46</f>
        <v/>
      </c>
      <c r="G18" s="18">
        <f>DCF!G46</f>
        <v/>
      </c>
    </row>
    <row r="19">
      <c r="A19" s="15" t="inlineStr">
        <is>
          <t>FREE CASH FLOW TO THE FIRM</t>
        </is>
      </c>
      <c r="C19" s="37">
        <f>DCF!C47</f>
        <v/>
      </c>
      <c r="D19" s="37">
        <f>DCF!D47</f>
        <v/>
      </c>
      <c r="E19" s="37">
        <f>DCF!E47</f>
        <v/>
      </c>
      <c r="F19" s="37">
        <f>DCF!F47</f>
        <v/>
      </c>
      <c r="G19" s="37">
        <f>DCF!G47</f>
        <v/>
      </c>
    </row>
    <row r="20">
      <c r="A20" s="7" t="inlineStr">
        <is>
          <t>Forward cost of capital</t>
        </is>
      </c>
      <c r="C20" s="24">
        <f>DCF!C49</f>
        <v/>
      </c>
      <c r="D20" s="24">
        <f>DCF!D49</f>
        <v/>
      </c>
      <c r="E20" s="24">
        <f>DCF!E49</f>
        <v/>
      </c>
      <c r="F20" s="24">
        <f>DCF!F49</f>
        <v/>
      </c>
      <c r="G20" s="24">
        <f>DCF!G49</f>
        <v/>
      </c>
    </row>
    <row r="21">
      <c r="A21" s="7" t="inlineStr">
        <is>
          <t>Cumulative discount factor</t>
        </is>
      </c>
      <c r="C21" s="40">
        <f>DCF!C50</f>
        <v/>
      </c>
      <c r="D21" s="40">
        <f>DCF!D50</f>
        <v/>
      </c>
      <c r="E21" s="40">
        <f>DCF!E50</f>
        <v/>
      </c>
      <c r="F21" s="40">
        <f>DCF!F50</f>
        <v/>
      </c>
      <c r="G21" s="40">
        <f>DCF!G50</f>
        <v/>
      </c>
    </row>
    <row r="22">
      <c r="A22" s="15" t="inlineStr">
        <is>
          <t>PRESENT VALUE</t>
        </is>
      </c>
      <c r="C22" s="37">
        <f>DCF!C51</f>
        <v/>
      </c>
      <c r="D22" s="37">
        <f>DCF!D51</f>
        <v/>
      </c>
      <c r="E22" s="37">
        <f>DCF!E51</f>
        <v/>
      </c>
      <c r="F22" s="37">
        <f>DCF!F51</f>
        <v/>
      </c>
      <c r="G22" s="37">
        <f>DCF!G51</f>
        <v/>
      </c>
    </row>
    <row r="24">
      <c r="A24" s="11" t="inlineStr">
        <is>
          <t>PV of the explicit window</t>
        </is>
      </c>
      <c r="B24" s="41">
        <f>DCF!B52</f>
        <v/>
      </c>
      <c r="C24" s="13" t="n"/>
      <c r="D24" s="13" t="n"/>
      <c r="E24" s="13" t="n"/>
      <c r="F24" s="13" t="n"/>
      <c r="G24" s="13" t="n"/>
    </row>
    <row r="25">
      <c r="A25" s="15" t="inlineStr">
        <is>
          <t>PV of the terminal block</t>
        </is>
      </c>
      <c r="B25" s="37">
        <f>DCF!B56</f>
        <v/>
      </c>
    </row>
    <row r="27" ht="33" customHeight="1">
      <c r="A27" s="19" t="inlineStr">
        <is>
          <t>Two lines are shown as they are computed rather than as a conventional waterfall would order them: tax is struck on EBIT at the statutory rate before the profit share, and the employees' share is then taken off the taxed figure, which is the order the company's own statements follow.</t>
        </is>
      </c>
    </row>
  </sheetData>
  <mergeCells count="2">
    <mergeCell ref="A27:I27"/>
    <mergeCell ref="A2:G2"/>
  </mergeCells>
  <pageMargins left="0.75" right="0.75" top="1" bottom="1" header="0.5" footer="0.5"/>
</worksheet>
</file>

<file path=xl/worksheets/sheet12.xml><?xml version="1.0" encoding="utf-8"?>
<worksheet xmlns="http://schemas.openxmlformats.org/spreadsheetml/2006/main">
  <sheetPr>
    <tabColor rgb="001C3A36"/>
    <outlinePr summaryBelow="1" summaryRight="1"/>
    <pageSetUpPr/>
  </sheetPr>
  <dimension ref="A1:G19"/>
  <sheetViews>
    <sheetView showGridLines="0" workbookViewId="0">
      <selection activeCell="A1" sqref="A1"/>
    </sheetView>
  </sheetViews>
  <sheetFormatPr baseColWidth="8" defaultRowHeight="15"/>
  <cols>
    <col width="58"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s>
  <sheetData>
    <row r="1">
      <c r="A1" s="1" t="inlineStr">
        <is>
          <t>Summary financials — the base year and the five forecast years</t>
        </is>
      </c>
    </row>
    <row r="2" ht="32" customHeight="1">
      <c r="A2" s="5" t="inlineStr">
        <is>
          <t>The base column is the twelve months to 30 June 2026 built on the Income Statement sheet; the five forecast columns are the engine. Margins are outputs of the volume, price and cost-per-unit build, never inputs.</t>
        </is>
      </c>
    </row>
    <row r="3">
      <c r="A3" s="2" t="n"/>
      <c r="B3" s="2" t="n"/>
      <c r="C3" s="2" t="n"/>
      <c r="D3" s="2" t="n"/>
      <c r="E3" s="2" t="n"/>
      <c r="F3" s="2" t="n"/>
      <c r="G3" s="2" t="n"/>
    </row>
    <row r="5">
      <c r="A5" s="6" t="inlineStr">
        <is>
          <t>EGP mn</t>
        </is>
      </c>
      <c r="B5" s="6" t="inlineStr">
        <is>
          <t>Base year</t>
        </is>
      </c>
      <c r="C5" s="6" t="inlineStr">
        <is>
          <t>2026E</t>
        </is>
      </c>
      <c r="D5" s="6" t="inlineStr">
        <is>
          <t>2027E</t>
        </is>
      </c>
      <c r="E5" s="6" t="inlineStr">
        <is>
          <t>2028E</t>
        </is>
      </c>
      <c r="F5" s="6" t="inlineStr">
        <is>
          <t>2029E</t>
        </is>
      </c>
      <c r="G5" s="6" t="inlineStr">
        <is>
          <t>2030E</t>
        </is>
      </c>
    </row>
    <row r="6">
      <c r="A6" s="15" t="inlineStr">
        <is>
          <t>Revenue</t>
        </is>
      </c>
      <c r="B6" s="18">
        <f>'Income Statement'!B19</f>
        <v/>
      </c>
      <c r="C6" s="37">
        <f>DCF!C31</f>
        <v/>
      </c>
      <c r="D6" s="37">
        <f>DCF!D31</f>
        <v/>
      </c>
      <c r="E6" s="37">
        <f>DCF!E31</f>
        <v/>
      </c>
      <c r="F6" s="37">
        <f>DCF!F31</f>
        <v/>
      </c>
      <c r="G6" s="37">
        <f>DCF!G31</f>
        <v/>
      </c>
    </row>
    <row r="7">
      <c r="A7" s="7" t="inlineStr">
        <is>
          <t>Gross profit</t>
        </is>
      </c>
      <c r="B7" s="18">
        <f>'Income Statement'!B20</f>
        <v/>
      </c>
      <c r="C7" s="18">
        <f>DCF!C33</f>
        <v/>
      </c>
      <c r="D7" s="18">
        <f>DCF!D33</f>
        <v/>
      </c>
      <c r="E7" s="18">
        <f>DCF!E33</f>
        <v/>
      </c>
      <c r="F7" s="18">
        <f>DCF!F33</f>
        <v/>
      </c>
      <c r="G7" s="18">
        <f>DCF!G33</f>
        <v/>
      </c>
    </row>
    <row r="8">
      <c r="A8" s="7" t="inlineStr">
        <is>
          <t>Gross margin</t>
        </is>
      </c>
      <c r="B8" s="24">
        <f>'Income Statement'!B22</f>
        <v/>
      </c>
      <c r="C8" s="24">
        <f>DCF!C34</f>
        <v/>
      </c>
      <c r="D8" s="24">
        <f>DCF!D34</f>
        <v/>
      </c>
      <c r="E8" s="24">
        <f>DCF!E34</f>
        <v/>
      </c>
      <c r="F8" s="24">
        <f>DCF!F34</f>
        <v/>
      </c>
      <c r="G8" s="24">
        <f>DCF!G34</f>
        <v/>
      </c>
    </row>
    <row r="9">
      <c r="A9" s="15" t="inlineStr">
        <is>
          <t>EBITDA</t>
        </is>
      </c>
      <c r="B9" s="18">
        <f>'Fundamental Valuation'!B5</f>
        <v/>
      </c>
      <c r="C9" s="37">
        <f>DCF!C36</f>
        <v/>
      </c>
      <c r="D9" s="37">
        <f>DCF!D36</f>
        <v/>
      </c>
      <c r="E9" s="37">
        <f>DCF!E36</f>
        <v/>
      </c>
      <c r="F9" s="37">
        <f>DCF!F36</f>
        <v/>
      </c>
      <c r="G9" s="37">
        <f>DCF!G36</f>
        <v/>
      </c>
    </row>
    <row r="10">
      <c r="A10" s="7" t="inlineStr">
        <is>
          <t>EBIT</t>
        </is>
      </c>
      <c r="B10" s="18">
        <f>'Fundamental Valuation'!B5-'Income Statement'!B32</f>
        <v/>
      </c>
      <c r="C10" s="18">
        <f>DCF!C41</f>
        <v/>
      </c>
      <c r="D10" s="18">
        <f>DCF!D41</f>
        <v/>
      </c>
      <c r="E10" s="18">
        <f>DCF!E41</f>
        <v/>
      </c>
      <c r="F10" s="18">
        <f>DCF!F41</f>
        <v/>
      </c>
      <c r="G10" s="18">
        <f>DCF!G41</f>
        <v/>
      </c>
    </row>
    <row r="11">
      <c r="A11" s="7" t="inlineStr">
        <is>
          <t>NOPAT</t>
        </is>
      </c>
      <c r="C11" s="18">
        <f>DCF!C44</f>
        <v/>
      </c>
      <c r="D11" s="18">
        <f>DCF!D44</f>
        <v/>
      </c>
      <c r="E11" s="18">
        <f>DCF!E44</f>
        <v/>
      </c>
      <c r="F11" s="18">
        <f>DCF!F44</f>
        <v/>
      </c>
      <c r="G11" s="18">
        <f>DCF!G44</f>
        <v/>
      </c>
    </row>
    <row r="12">
      <c r="A12" s="7" t="inlineStr">
        <is>
          <t>Capital expenditure</t>
        </is>
      </c>
      <c r="B12" s="18">
        <f>'Income Statement'!B33</f>
        <v/>
      </c>
      <c r="C12" s="18">
        <f>DCF!C37</f>
        <v/>
      </c>
      <c r="D12" s="18">
        <f>DCF!D37</f>
        <v/>
      </c>
      <c r="E12" s="18">
        <f>DCF!E37</f>
        <v/>
      </c>
      <c r="F12" s="18">
        <f>DCF!F37</f>
        <v/>
      </c>
      <c r="G12" s="18">
        <f>DCF!G37</f>
        <v/>
      </c>
    </row>
    <row r="13">
      <c r="A13" s="15" t="inlineStr">
        <is>
          <t>Free cash flow to the firm</t>
        </is>
      </c>
      <c r="C13" s="37">
        <f>DCF!C47</f>
        <v/>
      </c>
      <c r="D13" s="37">
        <f>DCF!D47</f>
        <v/>
      </c>
      <c r="E13" s="37">
        <f>DCF!E47</f>
        <v/>
      </c>
      <c r="F13" s="37">
        <f>DCF!F47</f>
        <v/>
      </c>
      <c r="G13" s="37">
        <f>DCF!G47</f>
        <v/>
      </c>
    </row>
    <row r="15">
      <c r="A15" s="11" t="inlineStr">
        <is>
          <t>PER TONNE, EGP — the unit the plant actually runs on</t>
        </is>
      </c>
      <c r="B15" s="13" t="n"/>
      <c r="C15" s="13" t="n"/>
      <c r="D15" s="13" t="n"/>
      <c r="E15" s="13" t="n"/>
      <c r="F15" s="13" t="n"/>
      <c r="G15" s="13" t="n"/>
    </row>
    <row r="16">
      <c r="A16" s="7" t="inlineStr">
        <is>
          <t>Volume, million tonnes</t>
        </is>
      </c>
      <c r="C16" s="23">
        <f>DCF!C30</f>
        <v/>
      </c>
      <c r="D16" s="23">
        <f>DCF!D30</f>
        <v/>
      </c>
      <c r="E16" s="23">
        <f>DCF!E30</f>
        <v/>
      </c>
      <c r="F16" s="23">
        <f>DCF!F30</f>
        <v/>
      </c>
      <c r="G16" s="23">
        <f>DCF!G30</f>
        <v/>
      </c>
    </row>
    <row r="17">
      <c r="A17" s="7" t="inlineStr">
        <is>
          <t>Revenue per tonne</t>
        </is>
      </c>
      <c r="C17" s="18">
        <f>DCF!C31/DCF!C30</f>
        <v/>
      </c>
      <c r="D17" s="18">
        <f>DCF!D31/DCF!D30</f>
        <v/>
      </c>
      <c r="E17" s="18">
        <f>DCF!E31/DCF!E30</f>
        <v/>
      </c>
      <c r="F17" s="18">
        <f>DCF!F31/DCF!F30</f>
        <v/>
      </c>
      <c r="G17" s="18">
        <f>DCF!G31/DCF!G30</f>
        <v/>
      </c>
    </row>
    <row r="18">
      <c r="A18" s="7" t="inlineStr">
        <is>
          <t>Gross profit per tonne</t>
        </is>
      </c>
      <c r="C18" s="18">
        <f>DCF!C33/DCF!C30</f>
        <v/>
      </c>
      <c r="D18" s="18">
        <f>DCF!D33/DCF!D30</f>
        <v/>
      </c>
      <c r="E18" s="18">
        <f>DCF!E33/DCF!E30</f>
        <v/>
      </c>
      <c r="F18" s="18">
        <f>DCF!F33/DCF!F30</f>
        <v/>
      </c>
      <c r="G18" s="18">
        <f>DCF!G33/DCF!G30</f>
        <v/>
      </c>
    </row>
    <row r="19">
      <c r="A19" s="7" t="inlineStr">
        <is>
          <t>EBITDA per tonne</t>
        </is>
      </c>
      <c r="C19" s="18">
        <f>DCF!C36/DCF!C30</f>
        <v/>
      </c>
      <c r="D19" s="18">
        <f>DCF!D36/DCF!D30</f>
        <v/>
      </c>
      <c r="E19" s="18">
        <f>DCF!E36/DCF!E30</f>
        <v/>
      </c>
      <c r="F19" s="18">
        <f>DCF!F36/DCF!F30</f>
        <v/>
      </c>
      <c r="G19" s="18">
        <f>DCF!G36/DCF!G30</f>
        <v/>
      </c>
    </row>
  </sheetData>
  <mergeCells count="1">
    <mergeCell ref="A2:G2"/>
  </mergeCells>
  <pageMargins left="0.75" right="0.75" top="1" bottom="1" header="0.5" footer="0.5"/>
</worksheet>
</file>

<file path=xl/worksheets/sheet13.xml><?xml version="1.0" encoding="utf-8"?>
<worksheet xmlns="http://schemas.openxmlformats.org/spreadsheetml/2006/main">
  <sheetPr>
    <tabColor rgb="001C3A36"/>
    <outlinePr summaryBelow="1" summaryRight="1"/>
    <pageSetUpPr/>
  </sheetPr>
  <dimension ref="A1:I26"/>
  <sheetViews>
    <sheetView showGridLines="0" workbookViewId="0">
      <selection activeCell="A1" sqref="A1"/>
    </sheetView>
  </sheetViews>
  <sheetFormatPr baseColWidth="8" defaultRowHeight="15"/>
  <cols>
    <col width="58"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s>
  <sheetData>
    <row r="1">
      <c r="A1" s="1" t="inlineStr">
        <is>
          <t>The price distribution, and how often its bands have held</t>
        </is>
      </c>
    </row>
    <row r="2" ht="32" customHeight="1">
      <c r="A2" s="5" t="inlineStr">
        <is>
          <t>This is the price engine, not the valuation: an independent lens, shown beside the fundamental answer and never fed into it. The percentiles are produced by the engine and are read in here, like a figure off a filing.</t>
        </is>
      </c>
    </row>
    <row r="3">
      <c r="A3" s="2" t="n"/>
      <c r="B3" s="2" t="n"/>
      <c r="C3" s="2" t="n"/>
      <c r="D3" s="2" t="n"/>
      <c r="E3" s="2" t="n"/>
      <c r="F3" s="2" t="n"/>
    </row>
    <row r="5">
      <c r="A5" s="7" t="inlineStr">
        <is>
          <t>Anchor date</t>
        </is>
      </c>
      <c r="B5" s="42" t="inlineStr">
        <is>
          <t>2026-08-06</t>
        </is>
      </c>
    </row>
    <row r="6">
      <c r="A6" s="7" t="inlineStr">
        <is>
          <t>Anchor price, EGP</t>
        </is>
      </c>
      <c r="B6" s="8" t="n">
        <v>9.1</v>
      </c>
    </row>
    <row r="7">
      <c r="A7" s="7" t="inlineStr">
        <is>
          <t>Live risk-free used by the engine</t>
        </is>
      </c>
      <c r="B7" s="29" t="n">
        <v>0.195</v>
      </c>
    </row>
    <row r="8">
      <c r="A8" s="7" t="inlineStr">
        <is>
          <t>Dividend yield used by the engine</t>
        </is>
      </c>
      <c r="B8" s="29" t="n">
        <v>0.08790000000000001</v>
      </c>
    </row>
    <row r="9">
      <c r="A9" s="7" t="inlineStr">
        <is>
          <t>Tail parameter and width calibration (per-market fit)</t>
        </is>
      </c>
      <c r="B9" s="26" t="n">
        <v>6</v>
      </c>
      <c r="C9" s="28" t="n">
        <v>0.951</v>
      </c>
    </row>
    <row r="10">
      <c r="A10" s="7" t="inlineStr">
        <is>
          <t>Per-name width overlay applied</t>
        </is>
      </c>
      <c r="B10" s="28" t="n">
        <v>0.9877296081459667</v>
      </c>
    </row>
    <row r="12">
      <c r="A12" s="11" t="inlineStr">
        <is>
          <t>THE DISTRIBUTION, EGP PER SHARE</t>
        </is>
      </c>
      <c r="B12" s="13" t="n"/>
      <c r="C12" s="13" t="n"/>
      <c r="D12" s="13" t="n"/>
      <c r="E12" s="13" t="n"/>
      <c r="F12" s="13" t="n"/>
    </row>
    <row r="13">
      <c r="A13" s="6" t="inlineStr">
        <is>
          <t>Horizon</t>
        </is>
      </c>
      <c r="B13" s="6" t="inlineStr">
        <is>
          <t>p5</t>
        </is>
      </c>
      <c r="C13" s="6" t="inlineStr">
        <is>
          <t>p25</t>
        </is>
      </c>
      <c r="D13" s="6" t="inlineStr">
        <is>
          <t>p50</t>
        </is>
      </c>
      <c r="E13" s="6" t="inlineStr">
        <is>
          <t>p75</t>
        </is>
      </c>
      <c r="F13" s="6" t="inlineStr">
        <is>
          <t>p95</t>
        </is>
      </c>
    </row>
    <row r="14">
      <c r="A14" s="7" t="inlineStr">
        <is>
          <t>1M — grade date 2026-09-06</t>
        </is>
      </c>
      <c r="B14" s="8" t="n">
        <v>7.709561159148157</v>
      </c>
      <c r="C14" s="8" t="n">
        <v>8.598972959864378</v>
      </c>
      <c r="D14" s="8" t="n">
        <v>9.170972589675991</v>
      </c>
      <c r="E14" s="8" t="n">
        <v>9.785586992007069</v>
      </c>
      <c r="F14" s="8" t="n">
        <v>10.91362189019824</v>
      </c>
    </row>
    <row r="15">
      <c r="A15" s="7" t="inlineStr">
        <is>
          <t>3M — grade date 2026-11-08</t>
        </is>
      </c>
      <c r="B15" s="8" t="n">
        <v>6.901709500909541</v>
      </c>
      <c r="C15" s="8" t="n">
        <v>8.344230883407748</v>
      </c>
      <c r="D15" s="8" t="n">
        <v>9.329430138739404</v>
      </c>
      <c r="E15" s="8" t="n">
        <v>10.41934979174632</v>
      </c>
      <c r="F15" s="8" t="n">
        <v>12.60453843225594</v>
      </c>
    </row>
    <row r="17">
      <c r="A17" s="11" t="inlineStr">
        <is>
          <t>HOW OFTEN THE BANDS HAVE HELD, ON THIS NAME</t>
        </is>
      </c>
      <c r="B17" s="13" t="n"/>
      <c r="C17" s="13" t="n"/>
      <c r="D17" s="13" t="n"/>
      <c r="E17" s="13" t="n"/>
      <c r="F17" s="13" t="n"/>
    </row>
    <row r="18">
      <c r="A18" s="7" t="inlineStr">
        <is>
          <t>Resolved three-month windows scored</t>
        </is>
      </c>
      <c r="B18" s="27" t="n">
        <v>17</v>
      </c>
    </row>
    <row r="19">
      <c r="A19" s="7" t="inlineStr">
        <is>
          <t>First origin</t>
        </is>
      </c>
      <c r="B19" s="42" t="inlineStr">
        <is>
          <t>2022-04-05</t>
        </is>
      </c>
    </row>
    <row r="20">
      <c r="A20" s="7" t="inlineStr">
        <is>
          <t>Last origin</t>
        </is>
      </c>
      <c r="B20" s="42" t="inlineStr">
        <is>
          <t>2026-04-12</t>
        </is>
      </c>
    </row>
    <row r="21">
      <c r="A21" s="7" t="inlineStr">
        <is>
          <t>Inside the 50 per cent band</t>
        </is>
      </c>
      <c r="B21" s="31" t="n">
        <v>0.5294117647058824</v>
      </c>
    </row>
    <row r="22">
      <c r="A22" s="7" t="inlineStr">
        <is>
          <t>Inside the 80 per cent band</t>
        </is>
      </c>
      <c r="B22" s="31" t="n">
        <v>0.8823529411764706</v>
      </c>
    </row>
    <row r="23">
      <c r="A23" s="7" t="inlineStr">
        <is>
          <t>Inside the 90 per cent band</t>
        </is>
      </c>
      <c r="B23" s="31" t="n">
        <v>0.9411764705882353</v>
      </c>
    </row>
    <row r="24">
      <c r="A24" s="7" t="inlineStr">
        <is>
          <t>Mean probability-integral transform (0.5 is centred)</t>
        </is>
      </c>
      <c r="B24" s="28" t="n">
        <v>0.4612000000000001</v>
      </c>
    </row>
    <row r="26" ht="33" customHeight="1">
      <c r="A26" s="19" t="inlineStr">
        <is>
          <t>These bands are a record of what happened, not a forecast of the fundamental value. The fundamental study, this price distribution and the technical read are independent lenses: no output of one is an input to another, and they are shown side by side so that agreement between them is information rather than an echo.</t>
        </is>
      </c>
    </row>
  </sheetData>
  <mergeCells count="2">
    <mergeCell ref="A2:F2"/>
    <mergeCell ref="A26:I26"/>
  </mergeCells>
  <pageMargins left="0.75" right="0.75" top="1" bottom="1" header="0.5" footer="0.5"/>
</worksheet>
</file>

<file path=xl/worksheets/sheet14.xml><?xml version="1.0" encoding="utf-8"?>
<worksheet xmlns="http://schemas.openxmlformats.org/spreadsheetml/2006/main">
  <sheetPr>
    <tabColor rgb="001C3A36"/>
    <outlinePr summaryBelow="1" summaryRight="1"/>
    <pageSetUpPr/>
  </sheetPr>
  <dimension ref="A1:J1516"/>
  <sheetViews>
    <sheetView showGridLines="0" workbookViewId="0">
      <selection activeCell="A1" sqref="A1"/>
    </sheetView>
  </sheetViews>
  <sheetFormatPr baseColWidth="8" defaultRowHeight="15"/>
  <cols>
    <col width="4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s>
  <sheetData>
    <row r="1">
      <c r="A1" s="1" t="inlineStr">
        <is>
          <t>Sensitivity — every grid point is the whole engine, again, in formulas</t>
        </is>
      </c>
    </row>
    <row r="2" ht="32" customHeight="1">
      <c r="A2" s="5" t="inlineStr">
        <is>
          <t>The previous edition pasted these rows because each point is a whole-model re-run and its builder could not express a re-run inside a grid. Three of the pasted rows turned out not to reproduce: a working-capital row whose grid was never sorted, a beta row whose centre did not return the base case, and a volume row whose label described a different scenario from the one it ran. None of that can happen here, because there is nothing to paste.</t>
        </is>
      </c>
    </row>
    <row r="3">
      <c r="A3" s="2" t="n"/>
      <c r="B3" s="2" t="n"/>
      <c r="C3" s="2" t="n"/>
      <c r="D3" s="2" t="n"/>
      <c r="E3" s="2" t="n"/>
      <c r="F3" s="2" t="n"/>
      <c r="G3" s="2" t="n"/>
      <c r="H3" s="2" t="n"/>
      <c r="I3" s="2" t="n"/>
    </row>
    <row r="4">
      <c r="A4" s="15" t="inlineStr">
        <is>
          <t>Summary — every cell points at its own live block below</t>
        </is>
      </c>
    </row>
    <row r="5">
      <c r="A5" s="11" t="inlineStr">
        <is>
          <t>Gross margin, shifted on every forecast year</t>
        </is>
      </c>
      <c r="B5" s="13" t="n"/>
      <c r="C5" s="13" t="n"/>
      <c r="D5" s="13" t="n"/>
      <c r="E5" s="13" t="n"/>
      <c r="F5" s="13" t="n"/>
      <c r="G5" s="13" t="n"/>
      <c r="H5" s="13" t="n"/>
      <c r="I5" s="13" t="n"/>
    </row>
    <row r="6">
      <c r="A6" s="7" t="inlineStr">
        <is>
          <t xml:space="preserve">   grid point 1: -1.0%</t>
        </is>
      </c>
      <c r="C6" s="29" t="n">
        <v>-0.01</v>
      </c>
      <c r="I6" s="22">
        <f>B95</f>
        <v/>
      </c>
    </row>
    <row r="7">
      <c r="A7" s="7" t="inlineStr">
        <is>
          <t xml:space="preserve">   grid point 2: -0.5%</t>
        </is>
      </c>
      <c r="C7" s="29" t="n">
        <v>-0.005</v>
      </c>
      <c r="I7" s="22">
        <f>B144</f>
        <v/>
      </c>
    </row>
    <row r="8">
      <c r="A8" s="7" t="inlineStr">
        <is>
          <t xml:space="preserve">   grid point 3: +0.0%</t>
        </is>
      </c>
      <c r="C8" s="29" t="n">
        <v>0</v>
      </c>
      <c r="I8" s="22">
        <f>B193</f>
        <v/>
      </c>
      <c r="J8" s="43">
        <f>B193-DCF!B65</f>
        <v/>
      </c>
    </row>
    <row r="9">
      <c r="A9" s="7" t="inlineStr">
        <is>
          <t xml:space="preserve">   grid point 4: +0.5%</t>
        </is>
      </c>
      <c r="C9" s="29" t="n">
        <v>0.005</v>
      </c>
      <c r="I9" s="22">
        <f>B242</f>
        <v/>
      </c>
    </row>
    <row r="10">
      <c r="A10" s="7" t="inlineStr">
        <is>
          <t xml:space="preserve">   grid point 5: +1.0%</t>
        </is>
      </c>
      <c r="C10" s="29" t="n">
        <v>0.01</v>
      </c>
      <c r="I10" s="22">
        <f>B291</f>
        <v/>
      </c>
    </row>
    <row r="12">
      <c r="A12" s="11" t="inlineStr">
        <is>
          <t>Volume growth path, as a multiple of the assumed path</t>
        </is>
      </c>
      <c r="B12" s="13" t="n"/>
      <c r="C12" s="13" t="n"/>
      <c r="D12" s="13" t="n"/>
      <c r="E12" s="13" t="n"/>
      <c r="F12" s="13" t="n"/>
      <c r="G12" s="13" t="n"/>
      <c r="H12" s="13" t="n"/>
      <c r="I12" s="13" t="n"/>
    </row>
    <row r="13">
      <c r="A13" s="7" t="inlineStr">
        <is>
          <t xml:space="preserve">   grid point 1: -6.0%</t>
        </is>
      </c>
      <c r="B13" s="26" t="n">
        <v>-0.06</v>
      </c>
      <c r="I13" s="22">
        <f>B340</f>
        <v/>
      </c>
    </row>
    <row r="14">
      <c r="A14" s="7" t="inlineStr">
        <is>
          <t xml:space="preserve">   grid point 2: -3.0%</t>
        </is>
      </c>
      <c r="B14" s="26" t="n">
        <v>-0.03</v>
      </c>
      <c r="I14" s="22">
        <f>B389</f>
        <v/>
      </c>
    </row>
    <row r="15">
      <c r="A15" s="7" t="inlineStr">
        <is>
          <t xml:space="preserve">   grid point 3: +0.0%</t>
        </is>
      </c>
      <c r="B15" s="26" t="n">
        <v>0</v>
      </c>
      <c r="I15" s="22">
        <f>B438</f>
        <v/>
      </c>
      <c r="J15" s="43">
        <f>B438-DCF!B65</f>
        <v/>
      </c>
    </row>
    <row r="16">
      <c r="A16" s="7" t="inlineStr">
        <is>
          <t xml:space="preserve">   grid point 4: +3.0%</t>
        </is>
      </c>
      <c r="B16" s="26" t="n">
        <v>0.03</v>
      </c>
      <c r="I16" s="22">
        <f>B487</f>
        <v/>
      </c>
    </row>
    <row r="17">
      <c r="A17" s="7" t="inlineStr">
        <is>
          <t xml:space="preserve">   grid point 5: +6.0%</t>
        </is>
      </c>
      <c r="B17" s="26" t="n">
        <v>0.06</v>
      </c>
      <c r="I17" s="22">
        <f>B536</f>
        <v/>
      </c>
    </row>
    <row r="19">
      <c r="A19" s="11" t="inlineStr">
        <is>
          <t>Realisation path, as a multiple of the assumed path</t>
        </is>
      </c>
      <c r="B19" s="13" t="n"/>
      <c r="C19" s="13" t="n"/>
      <c r="D19" s="13" t="n"/>
      <c r="E19" s="13" t="n"/>
      <c r="F19" s="13" t="n"/>
      <c r="G19" s="13" t="n"/>
      <c r="H19" s="13" t="n"/>
      <c r="I19" s="13" t="n"/>
    </row>
    <row r="20">
      <c r="A20" s="7" t="inlineStr">
        <is>
          <t xml:space="preserve">   grid point 1: 0.90x</t>
        </is>
      </c>
      <c r="D20" s="26" t="n">
        <v>0.9</v>
      </c>
      <c r="I20" s="22">
        <f>B585</f>
        <v/>
      </c>
    </row>
    <row r="21">
      <c r="A21" s="7" t="inlineStr">
        <is>
          <t xml:space="preserve">   grid point 2: 0.95x</t>
        </is>
      </c>
      <c r="D21" s="26" t="n">
        <v>0.95</v>
      </c>
      <c r="I21" s="22">
        <f>B634</f>
        <v/>
      </c>
    </row>
    <row r="22">
      <c r="A22" s="7" t="inlineStr">
        <is>
          <t xml:space="preserve">   grid point 3: 1.00x</t>
        </is>
      </c>
      <c r="D22" s="26" t="n">
        <v>1</v>
      </c>
      <c r="I22" s="22">
        <f>B683</f>
        <v/>
      </c>
      <c r="J22" s="43">
        <f>B683-DCF!B65</f>
        <v/>
      </c>
    </row>
    <row r="23">
      <c r="A23" s="7" t="inlineStr">
        <is>
          <t xml:space="preserve">   grid point 4: 1.05x</t>
        </is>
      </c>
      <c r="D23" s="26" t="n">
        <v>1.05</v>
      </c>
      <c r="I23" s="22">
        <f>B732</f>
        <v/>
      </c>
    </row>
    <row r="24">
      <c r="A24" s="7" t="inlineStr">
        <is>
          <t xml:space="preserve">   grid point 5: 1.10x</t>
        </is>
      </c>
      <c r="D24" s="26" t="n">
        <v>1.1</v>
      </c>
      <c r="I24" s="22">
        <f>B781</f>
        <v/>
      </c>
    </row>
    <row r="26">
      <c r="A26" s="11" t="inlineStr">
        <is>
          <t>Beta</t>
        </is>
      </c>
      <c r="B26" s="13" t="n"/>
      <c r="C26" s="13" t="n"/>
      <c r="D26" s="13" t="n"/>
      <c r="E26" s="13" t="n"/>
      <c r="F26" s="13" t="n"/>
      <c r="G26" s="13" t="n"/>
      <c r="H26" s="13" t="n"/>
      <c r="I26" s="13" t="n"/>
    </row>
    <row r="27">
      <c r="A27" s="7" t="inlineStr">
        <is>
          <t xml:space="preserve">   grid point 1: 0.6000</t>
        </is>
      </c>
      <c r="F27" s="29" t="n">
        <v>0.24556</v>
      </c>
      <c r="G27" s="29" t="n">
        <v>0.161982185805472</v>
      </c>
      <c r="I27" s="22">
        <f>B830</f>
        <v/>
      </c>
    </row>
    <row r="28">
      <c r="A28" s="7" t="inlineStr">
        <is>
          <t xml:space="preserve">   grid point 2: 0.8000</t>
        </is>
      </c>
      <c r="F28" s="29" t="n">
        <v>0.26438</v>
      </c>
      <c r="G28" s="29" t="n">
        <v>0.1745821858054719</v>
      </c>
      <c r="I28" s="22">
        <f>B879</f>
        <v/>
      </c>
    </row>
    <row r="29">
      <c r="A29" s="7" t="inlineStr">
        <is>
          <t xml:space="preserve">   grid point 3: 0.9080</t>
        </is>
      </c>
      <c r="F29" s="29" t="n">
        <v>0.2745428</v>
      </c>
      <c r="G29" s="29" t="n">
        <v>0.181386185805472</v>
      </c>
      <c r="I29" s="22">
        <f>B928</f>
        <v/>
      </c>
      <c r="J29" s="43">
        <f>B928-DCF!B65</f>
        <v/>
      </c>
    </row>
    <row r="30">
      <c r="A30" s="7" t="inlineStr">
        <is>
          <t xml:space="preserve">   grid point 4: 1.1500</t>
        </is>
      </c>
      <c r="F30" s="29" t="n">
        <v>0.297315</v>
      </c>
      <c r="G30" s="29" t="n">
        <v>0.196632185805472</v>
      </c>
      <c r="I30" s="22">
        <f>B977</f>
        <v/>
      </c>
    </row>
    <row r="31">
      <c r="A31" s="7" t="inlineStr">
        <is>
          <t xml:space="preserve">   grid point 5: 1.3000</t>
        </is>
      </c>
      <c r="F31" s="29" t="n">
        <v>0.31143</v>
      </c>
      <c r="G31" s="29" t="n">
        <v>0.206082185805472</v>
      </c>
      <c r="I31" s="22">
        <f>B1026</f>
        <v/>
      </c>
    </row>
    <row r="33">
      <c r="A33" s="11" t="inlineStr">
        <is>
          <t>Working-capital cycle, as a multiple of the solved days</t>
        </is>
      </c>
      <c r="B33" s="13" t="n"/>
      <c r="C33" s="13" t="n"/>
      <c r="D33" s="13" t="n"/>
      <c r="E33" s="13" t="n"/>
      <c r="F33" s="13" t="n"/>
      <c r="G33" s="13" t="n"/>
      <c r="H33" s="13" t="n"/>
      <c r="I33" s="13" t="n"/>
    </row>
    <row r="34">
      <c r="A34" s="7" t="inlineStr">
        <is>
          <t xml:space="preserve">   grid point 1: 0.50x</t>
        </is>
      </c>
      <c r="E34" s="26" t="n">
        <v>0.5</v>
      </c>
      <c r="I34" s="22">
        <f>B1075</f>
        <v/>
      </c>
    </row>
    <row r="35">
      <c r="A35" s="7" t="inlineStr">
        <is>
          <t xml:space="preserve">   grid point 2: 0.75x</t>
        </is>
      </c>
      <c r="E35" s="26" t="n">
        <v>0.75</v>
      </c>
      <c r="I35" s="22">
        <f>B1124</f>
        <v/>
      </c>
    </row>
    <row r="36">
      <c r="A36" s="7" t="inlineStr">
        <is>
          <t xml:space="preserve">   grid point 3: 1.00x</t>
        </is>
      </c>
      <c r="E36" s="26" t="n">
        <v>1</v>
      </c>
      <c r="I36" s="22">
        <f>B1173</f>
        <v/>
      </c>
      <c r="J36" s="43">
        <f>B1173-DCF!B65</f>
        <v/>
      </c>
    </row>
    <row r="37">
      <c r="A37" s="7" t="inlineStr">
        <is>
          <t xml:space="preserve">   grid point 4: 1.25x</t>
        </is>
      </c>
      <c r="E37" s="26" t="n">
        <v>1.25</v>
      </c>
      <c r="I37" s="22">
        <f>B1222</f>
        <v/>
      </c>
    </row>
    <row r="38">
      <c r="A38" s="7" t="inlineStr">
        <is>
          <t xml:space="preserve">   grid point 5: 1.50x</t>
        </is>
      </c>
      <c r="E38" s="26" t="n">
        <v>1.5</v>
      </c>
      <c r="I38" s="22">
        <f>B1271</f>
        <v/>
      </c>
    </row>
    <row r="40">
      <c r="A40" s="11" t="inlineStr">
        <is>
          <t>Terminal growth</t>
        </is>
      </c>
      <c r="B40" s="13" t="n"/>
      <c r="C40" s="13" t="n"/>
      <c r="D40" s="13" t="n"/>
      <c r="E40" s="13" t="n"/>
      <c r="F40" s="13" t="n"/>
      <c r="G40" s="13" t="n"/>
      <c r="H40" s="13" t="n"/>
      <c r="I40" s="13" t="n"/>
    </row>
    <row r="41">
      <c r="A41" s="7" t="inlineStr">
        <is>
          <t xml:space="preserve">   grid point 1: 3.0%</t>
        </is>
      </c>
      <c r="H41" s="29" t="n">
        <v>0.03</v>
      </c>
      <c r="I41" s="22">
        <f>B1320</f>
        <v/>
      </c>
    </row>
    <row r="42">
      <c r="A42" s="7" t="inlineStr">
        <is>
          <t xml:space="preserve">   grid point 2: 4.0%</t>
        </is>
      </c>
      <c r="H42" s="29" t="n">
        <v>0.04</v>
      </c>
      <c r="I42" s="22">
        <f>B1369</f>
        <v/>
      </c>
    </row>
    <row r="43">
      <c r="A43" s="7" t="inlineStr">
        <is>
          <t xml:space="preserve">   grid point 3: 5.0%</t>
        </is>
      </c>
      <c r="H43" s="29" t="n">
        <v>0.05</v>
      </c>
      <c r="I43" s="22">
        <f>B1418</f>
        <v/>
      </c>
    </row>
    <row r="44">
      <c r="A44" s="7" t="inlineStr">
        <is>
          <t xml:space="preserve">   grid point 4: 6.0%</t>
        </is>
      </c>
      <c r="H44" s="29" t="n">
        <v>0.06</v>
      </c>
      <c r="I44" s="22">
        <f>B1467</f>
        <v/>
      </c>
    </row>
    <row r="45">
      <c r="A45" s="7" t="inlineStr">
        <is>
          <t xml:space="preserve">   grid point 5: 7.0%</t>
        </is>
      </c>
      <c r="H45" s="29" t="n">
        <v>0.07000000000000001</v>
      </c>
      <c r="I45" s="22">
        <f>B1516</f>
        <v/>
      </c>
      <c r="J45" s="43">
        <f>B1516-DCF!B65</f>
        <v/>
      </c>
    </row>
    <row r="47">
      <c r="A47" s="7" t="inlineStr">
        <is>
          <t>GATE — every row must return the base case at its own base point</t>
        </is>
      </c>
    </row>
    <row r="49">
      <c r="A49" s="6" t="inlineStr">
        <is>
          <t>Gross margin, shifted on every forecast year — -1.0%</t>
        </is>
      </c>
      <c r="B49" s="6" t="inlineStr">
        <is>
          <t>2026E</t>
        </is>
      </c>
      <c r="C49" s="6" t="inlineStr">
        <is>
          <t>2027E</t>
        </is>
      </c>
      <c r="D49" s="6" t="inlineStr">
        <is>
          <t>2028E</t>
        </is>
      </c>
      <c r="E49" s="6" t="inlineStr">
        <is>
          <t>2029E</t>
        </is>
      </c>
      <c r="F49" s="6" t="inlineStr">
        <is>
          <t>2030E</t>
        </is>
      </c>
    </row>
    <row r="50">
      <c r="A50" s="7" t="inlineStr">
        <is>
          <t>Inflation index, cumulative</t>
        </is>
      </c>
      <c r="C50" s="23">
        <f>Assumptions!$B$167</f>
        <v/>
      </c>
      <c r="D50" s="23">
        <f>C50*Assumptions!$B$168</f>
        <v/>
      </c>
      <c r="E50" s="23">
        <f>D50*Assumptions!$B$169</f>
        <v/>
      </c>
      <c r="F50" s="23">
        <f>E50*Assumptions!$B$170</f>
        <v/>
      </c>
      <c r="G50" s="23">
        <f>F50*Assumptions!$B$171</f>
        <v/>
      </c>
    </row>
    <row r="51">
      <c r="A51" s="7" t="inlineStr">
        <is>
          <t>Realisation index, cumulative</t>
        </is>
      </c>
      <c r="C51" s="23">
        <f>(1+Assumptions!$B$122*DCF!$B$8)</f>
        <v/>
      </c>
      <c r="D51" s="23">
        <f>C51*(1+Assumptions!$B$123*DCF!$B$8)</f>
        <v/>
      </c>
      <c r="E51" s="23">
        <f>D51*(1+Assumptions!$B$124*DCF!$B$8)</f>
        <v/>
      </c>
      <c r="F51" s="23">
        <f>E51*(1+Assumptions!$B$125*DCF!$B$8)</f>
        <v/>
      </c>
      <c r="G51" s="23">
        <f>F51*(1+Assumptions!$B$126*DCF!$B$8)</f>
        <v/>
      </c>
    </row>
    <row r="52">
      <c r="A52" s="7" t="inlineStr">
        <is>
          <t xml:space="preserve">  Volume — Base and special oils, mn t</t>
        </is>
      </c>
      <c r="C52" s="23">
        <f>'Segments'!E6*(1+Assumptions!$B$127+DCF!$B$6)</f>
        <v/>
      </c>
      <c r="D52" s="23">
        <f>C52*(1+Assumptions!$B$128+DCF!$B$6)</f>
        <v/>
      </c>
      <c r="E52" s="23">
        <f>D52*(1+Assumptions!$B$129+DCF!$B$6)</f>
        <v/>
      </c>
      <c r="F52" s="23">
        <f>E52*(1+Assumptions!$B$130+DCF!$B$6)</f>
        <v/>
      </c>
      <c r="G52" s="23">
        <f>F52*(1+Assumptions!$B$131+DCF!$B$6)</f>
        <v/>
      </c>
    </row>
    <row r="53">
      <c r="A53" s="7" t="inlineStr">
        <is>
          <t xml:space="preserve">  Volume — Paraffin wax, mn t</t>
        </is>
      </c>
      <c r="C53" s="23">
        <f>'Segments'!E7*(1+Assumptions!$B$132+DCF!$B$6)</f>
        <v/>
      </c>
      <c r="D53" s="23">
        <f>C53*(1+Assumptions!$B$133+DCF!$B$6)</f>
        <v/>
      </c>
      <c r="E53" s="23">
        <f>D53*(1+Assumptions!$B$134+DCF!$B$6)</f>
        <v/>
      </c>
      <c r="F53" s="23">
        <f>E53*(1+Assumptions!$B$135+DCF!$B$6)</f>
        <v/>
      </c>
      <c r="G53" s="23">
        <f>F53*(1+Assumptions!$B$136+DCF!$B$6)</f>
        <v/>
      </c>
    </row>
    <row r="54">
      <c r="A54" s="7" t="inlineStr">
        <is>
          <t xml:space="preserve">  Volume — Gas oil, mn t</t>
        </is>
      </c>
      <c r="C54" s="23">
        <f>'Segments'!E8*(1+Assumptions!$B$137+DCF!$B$6)</f>
        <v/>
      </c>
      <c r="D54" s="23">
        <f>C54*(1+Assumptions!$B$138+DCF!$B$6)</f>
        <v/>
      </c>
      <c r="E54" s="23">
        <f>D54*(1+Assumptions!$B$139+DCF!$B$6)</f>
        <v/>
      </c>
      <c r="F54" s="23">
        <f>E54*(1+Assumptions!$B$140+DCF!$B$6)</f>
        <v/>
      </c>
      <c r="G54" s="23">
        <f>F54*(1+Assumptions!$B$141+DCF!$B$6)</f>
        <v/>
      </c>
    </row>
    <row r="55">
      <c r="A55" s="7" t="inlineStr">
        <is>
          <t xml:space="preserve">  Volume — Naphtha, mn t</t>
        </is>
      </c>
      <c r="C55" s="23">
        <f>'Segments'!E9*(1+Assumptions!$B$142+DCF!$B$6)</f>
        <v/>
      </c>
      <c r="D55" s="23">
        <f>C55*(1+Assumptions!$B$143+DCF!$B$6)</f>
        <v/>
      </c>
      <c r="E55" s="23">
        <f>D55*(1+Assumptions!$B$144+DCF!$B$6)</f>
        <v/>
      </c>
      <c r="F55" s="23">
        <f>E55*(1+Assumptions!$B$145+DCF!$B$6)</f>
        <v/>
      </c>
      <c r="G55" s="23">
        <f>F55*(1+Assumptions!$B$146+DCF!$B$6)</f>
        <v/>
      </c>
    </row>
    <row r="56">
      <c r="A56" s="7" t="inlineStr">
        <is>
          <t xml:space="preserve">  Volume — Liquefied petroleum gas, mn t</t>
        </is>
      </c>
      <c r="C56" s="23">
        <f>'Segments'!E10*(1+Assumptions!$B$147+DCF!$B$6)</f>
        <v/>
      </c>
      <c r="D56" s="23">
        <f>C56*(1+Assumptions!$B$148+DCF!$B$6)</f>
        <v/>
      </c>
      <c r="E56" s="23">
        <f>D56*(1+Assumptions!$B$149+DCF!$B$6)</f>
        <v/>
      </c>
      <c r="F56" s="23">
        <f>E56*(1+Assumptions!$B$150+DCF!$B$6)</f>
        <v/>
      </c>
      <c r="G56" s="23">
        <f>F56*(1+Assumptions!$B$151+DCF!$B$6)</f>
        <v/>
      </c>
    </row>
    <row r="57">
      <c r="A57" s="7" t="inlineStr">
        <is>
          <t xml:space="preserve">  Volume — Fuel oil (mix), mn t</t>
        </is>
      </c>
      <c r="C57" s="23">
        <f>'Segments'!E11*(1+Assumptions!$B$152+DCF!$B$6)</f>
        <v/>
      </c>
      <c r="D57" s="23">
        <f>C57*(1+Assumptions!$B$153+DCF!$B$6)</f>
        <v/>
      </c>
      <c r="E57" s="23">
        <f>D57*(1+Assumptions!$B$154+DCF!$B$6)</f>
        <v/>
      </c>
      <c r="F57" s="23">
        <f>E57*(1+Assumptions!$B$155+DCF!$B$6)</f>
        <v/>
      </c>
      <c r="G57" s="23">
        <f>F57*(1+Assumptions!$B$156+DCF!$B$6)</f>
        <v/>
      </c>
    </row>
    <row r="58">
      <c r="A58" s="7" t="inlineStr">
        <is>
          <t xml:space="preserve">  Volume — Heavy fuel oil, mn t</t>
        </is>
      </c>
      <c r="C58" s="23">
        <f>'Segments'!E12*(1+Assumptions!$B$157+DCF!$B$6)</f>
        <v/>
      </c>
      <c r="D58" s="23">
        <f>C58*(1+Assumptions!$B$158+DCF!$B$6)</f>
        <v/>
      </c>
      <c r="E58" s="23">
        <f>D58*(1+Assumptions!$B$159+DCF!$B$6)</f>
        <v/>
      </c>
      <c r="F58" s="23">
        <f>E58*(1+Assumptions!$B$160+DCF!$B$6)</f>
        <v/>
      </c>
      <c r="G58" s="23">
        <f>F58*(1+Assumptions!$B$161+DCF!$B$6)</f>
        <v/>
      </c>
    </row>
    <row r="59">
      <c r="A59" s="7" t="inlineStr">
        <is>
          <t xml:space="preserve">  Volume — Waste, mn t</t>
        </is>
      </c>
      <c r="C59" s="23">
        <f>'Segments'!E13*(1+Assumptions!$B$162+DCF!$B$6)</f>
        <v/>
      </c>
      <c r="D59" s="23">
        <f>C59*(1+Assumptions!$B$163+DCF!$B$6)</f>
        <v/>
      </c>
      <c r="E59" s="23">
        <f>D59*(1+Assumptions!$B$164+DCF!$B$6)</f>
        <v/>
      </c>
      <c r="F59" s="23">
        <f>E59*(1+Assumptions!$B$165+DCF!$B$6)</f>
        <v/>
      </c>
      <c r="G59" s="23">
        <f>F59*(1+Assumptions!$B$166+DCF!$B$6)</f>
        <v/>
      </c>
    </row>
    <row r="60">
      <c r="A60" s="15" t="inlineStr">
        <is>
          <t>Total volume, mn t</t>
        </is>
      </c>
      <c r="C60" s="36">
        <f>SUM(C52:C59)</f>
        <v/>
      </c>
      <c r="D60" s="36">
        <f>SUM(D52:D59)</f>
        <v/>
      </c>
      <c r="E60" s="36">
        <f>SUM(E52:E59)</f>
        <v/>
      </c>
      <c r="F60" s="36">
        <f>SUM(F52:F59)</f>
        <v/>
      </c>
      <c r="G60" s="36">
        <f>SUM(G52:G59)</f>
        <v/>
      </c>
    </row>
    <row r="61">
      <c r="A61" s="15" t="inlineStr">
        <is>
          <t>REVENUE</t>
        </is>
      </c>
      <c r="C61" s="37">
        <f>C52*'Segments'!$F$6*C51+C53*'Segments'!$F$7*C51+C54*'Segments'!$F$8*C51+C55*'Segments'!$F$9*C51+C56*'Segments'!$F$10*C51+C57*'Segments'!$F$11*C51+C58*'Segments'!$F$12*C51+C59*'Segments'!$F$13*C51</f>
        <v/>
      </c>
      <c r="D61" s="37">
        <f>D52*'Segments'!$F$6*D51+D53*'Segments'!$F$7*D51+D54*'Segments'!$F$8*D51+D55*'Segments'!$F$9*D51+D56*'Segments'!$F$10*D51+D57*'Segments'!$F$11*D51+D58*'Segments'!$F$12*D51+D59*'Segments'!$F$13*D51</f>
        <v/>
      </c>
      <c r="E61" s="37">
        <f>E52*'Segments'!$F$6*E51+E53*'Segments'!$F$7*E51+E54*'Segments'!$F$8*E51+E55*'Segments'!$F$9*E51+E56*'Segments'!$F$10*E51+E57*'Segments'!$F$11*E51+E58*'Segments'!$F$12*E51+E59*'Segments'!$F$13*E51</f>
        <v/>
      </c>
      <c r="F61" s="37">
        <f>F52*'Segments'!$F$6*F51+F53*'Segments'!$F$7*F51+F54*'Segments'!$F$8*F51+F55*'Segments'!$F$9*F51+F56*'Segments'!$F$10*F51+F57*'Segments'!$F$11*F51+F58*'Segments'!$F$12*F51+F59*'Segments'!$F$13*F51</f>
        <v/>
      </c>
      <c r="G61" s="37">
        <f>G52*'Segments'!$F$6*G51+G53*'Segments'!$F$7*G51+G54*'Segments'!$F$8*G51+G55*'Segments'!$F$9*G51+G56*'Segments'!$F$10*G51+G57*'Segments'!$F$11*G51+G58*'Segments'!$F$12*G51+G59*'Segments'!$F$13*G51</f>
        <v/>
      </c>
    </row>
    <row r="62">
      <c r="A62" s="7" t="inlineStr">
        <is>
          <t>Cost of sales</t>
        </is>
      </c>
      <c r="C62" s="18">
        <f>C52*('Segments'!$D$27*C51*Assumptions!$B$109+'Segments'!$B$27*(0.4983251709*C50+0.4357405005*C50+0.0330936548*C51+0.0328406739))+C53*('Segments'!$D$28*C51*Assumptions!$B$109+'Segments'!$B$28*(0.4983251709*C50+0.4357405005*C50+0.0330936548*C51+0.0328406739))+C54*('Segments'!$D$29*C51*Assumptions!$B$109+'Segments'!$B$29*(0.4983251709*C50+0.4357405005*C50+0.0330936548*C51+0.0328406739))+C55*('Segments'!$D$30*C51*Assumptions!$B$109+'Segments'!$B$30*(0.4983251709*C50+0.4357405005*C50+0.0330936548*C51+0.0328406739))+C56*('Segments'!$D$31*C51*Assumptions!$B$109+'Segments'!$B$31*(0.4983251709*C50+0.4357405005*C50+0.0330936548*C51+0.0328406739))+C57*('Segments'!$D$32*C51*Assumptions!$B$109+'Segments'!$B$32*(0.4983251709*C50+0.4357405005*C50+0.0330936548*C51+0.0328406739))+C58*('Segments'!$D$33*C51*Assumptions!$B$109+'Segments'!$B$33*(0.4983251709*C50+0.4357405005*C50+0.0330936548*C51+0.0328406739))+C59*('Segments'!$D$34*C51*Assumptions!$B$109+'Segments'!$B$34*(0.4983251709*C50+0.4357405005*C50+0.0330936548*C51+0.0328406739))</f>
        <v/>
      </c>
      <c r="D62" s="18">
        <f>D52*('Segments'!$D$27*D51*Assumptions!$B$109+'Segments'!$B$27*(0.4983251709*D50+0.4357405005*D50+0.0330936548*D51+0.0328406739))+D53*('Segments'!$D$28*D51*Assumptions!$B$109+'Segments'!$B$28*(0.4983251709*D50+0.4357405005*D50+0.0330936548*D51+0.0328406739))+D54*('Segments'!$D$29*D51*Assumptions!$B$109+'Segments'!$B$29*(0.4983251709*D50+0.4357405005*D50+0.0330936548*D51+0.0328406739))+D55*('Segments'!$D$30*D51*Assumptions!$B$109+'Segments'!$B$30*(0.4983251709*D50+0.4357405005*D50+0.0330936548*D51+0.0328406739))+D56*('Segments'!$D$31*D51*Assumptions!$B$109+'Segments'!$B$31*(0.4983251709*D50+0.4357405005*D50+0.0330936548*D51+0.0328406739))+D57*('Segments'!$D$32*D51*Assumptions!$B$109+'Segments'!$B$32*(0.4983251709*D50+0.4357405005*D50+0.0330936548*D51+0.0328406739))+D58*('Segments'!$D$33*D51*Assumptions!$B$109+'Segments'!$B$33*(0.4983251709*D50+0.4357405005*D50+0.0330936548*D51+0.0328406739))+D59*('Segments'!$D$34*D51*Assumptions!$B$109+'Segments'!$B$34*(0.4983251709*D50+0.4357405005*D50+0.0330936548*D51+0.0328406739))</f>
        <v/>
      </c>
      <c r="E62" s="18">
        <f>E52*('Segments'!$D$27*E51*Assumptions!$B$109+'Segments'!$B$27*(0.4983251709*E50+0.4357405005*E50+0.0330936548*E51+0.0328406739))+E53*('Segments'!$D$28*E51*Assumptions!$B$109+'Segments'!$B$28*(0.4983251709*E50+0.4357405005*E50+0.0330936548*E51+0.0328406739))+E54*('Segments'!$D$29*E51*Assumptions!$B$109+'Segments'!$B$29*(0.4983251709*E50+0.4357405005*E50+0.0330936548*E51+0.0328406739))+E55*('Segments'!$D$30*E51*Assumptions!$B$109+'Segments'!$B$30*(0.4983251709*E50+0.4357405005*E50+0.0330936548*E51+0.0328406739))+E56*('Segments'!$D$31*E51*Assumptions!$B$109+'Segments'!$B$31*(0.4983251709*E50+0.4357405005*E50+0.0330936548*E51+0.0328406739))+E57*('Segments'!$D$32*E51*Assumptions!$B$109+'Segments'!$B$32*(0.4983251709*E50+0.4357405005*E50+0.0330936548*E51+0.0328406739))+E58*('Segments'!$D$33*E51*Assumptions!$B$109+'Segments'!$B$33*(0.4983251709*E50+0.4357405005*E50+0.0330936548*E51+0.0328406739))+E59*('Segments'!$D$34*E51*Assumptions!$B$109+'Segments'!$B$34*(0.4983251709*E50+0.4357405005*E50+0.0330936548*E51+0.0328406739))</f>
        <v/>
      </c>
      <c r="F62" s="18">
        <f>F52*('Segments'!$D$27*F51*Assumptions!$B$109+'Segments'!$B$27*(0.4983251709*F50+0.4357405005*F50+0.0330936548*F51+0.0328406739))+F53*('Segments'!$D$28*F51*Assumptions!$B$109+'Segments'!$B$28*(0.4983251709*F50+0.4357405005*F50+0.0330936548*F51+0.0328406739))+F54*('Segments'!$D$29*F51*Assumptions!$B$109+'Segments'!$B$29*(0.4983251709*F50+0.4357405005*F50+0.0330936548*F51+0.0328406739))+F55*('Segments'!$D$30*F51*Assumptions!$B$109+'Segments'!$B$30*(0.4983251709*F50+0.4357405005*F50+0.0330936548*F51+0.0328406739))+F56*('Segments'!$D$31*F51*Assumptions!$B$109+'Segments'!$B$31*(0.4983251709*F50+0.4357405005*F50+0.0330936548*F51+0.0328406739))+F57*('Segments'!$D$32*F51*Assumptions!$B$109+'Segments'!$B$32*(0.4983251709*F50+0.4357405005*F50+0.0330936548*F51+0.0328406739))+F58*('Segments'!$D$33*F51*Assumptions!$B$109+'Segments'!$B$33*(0.4983251709*F50+0.4357405005*F50+0.0330936548*F51+0.0328406739))+F59*('Segments'!$D$34*F51*Assumptions!$B$109+'Segments'!$B$34*(0.4983251709*F50+0.4357405005*F50+0.0330936548*F51+0.0328406739))</f>
        <v/>
      </c>
      <c r="G62" s="18">
        <f>G52*('Segments'!$D$27*G51*Assumptions!$B$109+'Segments'!$B$27*(0.4983251709*G50+0.4357405005*G50+0.0330936548*G51+0.0328406739))+G53*('Segments'!$D$28*G51*Assumptions!$B$109+'Segments'!$B$28*(0.4983251709*G50+0.4357405005*G50+0.0330936548*G51+0.0328406739))+G54*('Segments'!$D$29*G51*Assumptions!$B$109+'Segments'!$B$29*(0.4983251709*G50+0.4357405005*G50+0.0330936548*G51+0.0328406739))+G55*('Segments'!$D$30*G51*Assumptions!$B$109+'Segments'!$B$30*(0.4983251709*G50+0.4357405005*G50+0.0330936548*G51+0.0328406739))+G56*('Segments'!$D$31*G51*Assumptions!$B$109+'Segments'!$B$31*(0.4983251709*G50+0.4357405005*G50+0.0330936548*G51+0.0328406739))+G57*('Segments'!$D$32*G51*Assumptions!$B$109+'Segments'!$B$32*(0.4983251709*G50+0.4357405005*G50+0.0330936548*G51+0.0328406739))+G58*('Segments'!$D$33*G51*Assumptions!$B$109+'Segments'!$B$33*(0.4983251709*G50+0.4357405005*G50+0.0330936548*G51+0.0328406739))+G59*('Segments'!$D$34*G51*Assumptions!$B$109+'Segments'!$B$34*(0.4983251709*G50+0.4357405005*G50+0.0330936548*G51+0.0328406739))</f>
        <v/>
      </c>
    </row>
    <row r="63">
      <c r="A63" s="15" t="inlineStr">
        <is>
          <t>GROSS PROFIT</t>
        </is>
      </c>
      <c r="C63" s="37">
        <f>C61-C62+$C$6*C61</f>
        <v/>
      </c>
      <c r="D63" s="37">
        <f>D61-D62+$C$6*D61</f>
        <v/>
      </c>
      <c r="E63" s="37">
        <f>E61-E62+$C$6*E61</f>
        <v/>
      </c>
      <c r="F63" s="37">
        <f>F61-F62+$C$6*F61</f>
        <v/>
      </c>
      <c r="G63" s="37">
        <f>G61-G62+$C$6*G61</f>
        <v/>
      </c>
    </row>
    <row r="64">
      <c r="A64" s="7" t="inlineStr">
        <is>
          <t>Gross margin</t>
        </is>
      </c>
      <c r="C64" s="24">
        <f>C63/C61</f>
        <v/>
      </c>
      <c r="D64" s="24">
        <f>D63/D61</f>
        <v/>
      </c>
      <c r="E64" s="24">
        <f>E63/E61</f>
        <v/>
      </c>
      <c r="F64" s="24">
        <f>F63/F61</f>
        <v/>
      </c>
      <c r="G64" s="24">
        <f>G63/G61</f>
        <v/>
      </c>
    </row>
    <row r="65">
      <c r="A65" s="7" t="inlineStr">
        <is>
          <t>Operating expense</t>
        </is>
      </c>
      <c r="C65" s="18">
        <f>('Income Statement'!$B$28*C50)+('Income Statement'!$B$29*C50*C60/'Segments'!$E$14)+('Income Statement'!$B$30*C50)+('Income Statement'!$B$31*C50)</f>
        <v/>
      </c>
      <c r="D65" s="18">
        <f>('Income Statement'!$B$28*D50)+('Income Statement'!$B$29*D50*D60/'Segments'!$E$14)+('Income Statement'!$B$30*D50)+('Income Statement'!$B$31*D50)</f>
        <v/>
      </c>
      <c r="E65" s="18">
        <f>('Income Statement'!$B$28*E50)+('Income Statement'!$B$29*E50*E60/'Segments'!$E$14)+('Income Statement'!$B$30*E50)+('Income Statement'!$B$31*E50)</f>
        <v/>
      </c>
      <c r="F65" s="18">
        <f>('Income Statement'!$B$28*F50)+('Income Statement'!$B$29*F50*F60/'Segments'!$E$14)+('Income Statement'!$B$30*F50)+('Income Statement'!$B$31*F50)</f>
        <v/>
      </c>
      <c r="G65" s="18">
        <f>('Income Statement'!$B$28*G50)+('Income Statement'!$B$29*G50*G60/'Segments'!$E$14)+('Income Statement'!$B$30*G50)+('Income Statement'!$B$31*G50)</f>
        <v/>
      </c>
    </row>
    <row r="66">
      <c r="A66" s="15" t="inlineStr">
        <is>
          <t>EBITDA</t>
        </is>
      </c>
      <c r="C66" s="37">
        <f>C63-C65</f>
        <v/>
      </c>
      <c r="D66" s="37">
        <f>D63-D65</f>
        <v/>
      </c>
      <c r="E66" s="37">
        <f>E63-E65</f>
        <v/>
      </c>
      <c r="F66" s="37">
        <f>F63-F65</f>
        <v/>
      </c>
      <c r="G66" s="37">
        <f>G63-G65</f>
        <v/>
      </c>
    </row>
    <row r="67">
      <c r="A67" s="7" t="inlineStr">
        <is>
          <t>Capital expenditure — maintenance + growth</t>
        </is>
      </c>
      <c r="C67" s="18">
        <f>'Income Statement'!$B$43*C50+MAX(C60-'Segments'!$E$14,0)*2100.379938*C50</f>
        <v/>
      </c>
      <c r="D67" s="18">
        <f>'Income Statement'!$B$43*D50+MAX(D60-C60,0)*2100.379938*D50</f>
        <v/>
      </c>
      <c r="E67" s="18">
        <f>'Income Statement'!$B$43*E50+MAX(E60-D60,0)*2100.379938*E50</f>
        <v/>
      </c>
      <c r="F67" s="18">
        <f>'Income Statement'!$B$43*F50+MAX(F60-E60,0)*2100.379938*F50</f>
        <v/>
      </c>
      <c r="G67" s="18">
        <f>'Income Statement'!$B$43*G50+MAX(G60-F60,0)*2100.379938*G50</f>
        <v/>
      </c>
    </row>
    <row r="68">
      <c r="A68" s="7" t="inlineStr">
        <is>
          <t>Fixed assets at cost, closing</t>
        </is>
      </c>
      <c r="C68" s="18">
        <f>(Assumptions!$B$91+Assumptions!$B$92)/10^6+C67</f>
        <v/>
      </c>
      <c r="D68" s="18">
        <f>C68+D67</f>
        <v/>
      </c>
      <c r="E68" s="18">
        <f>D68+E67</f>
        <v/>
      </c>
      <c r="F68" s="18">
        <f>E68+F67</f>
        <v/>
      </c>
      <c r="G68" s="18">
        <f>F68+G67</f>
        <v/>
      </c>
    </row>
    <row r="69">
      <c r="A69" s="7" t="inlineStr">
        <is>
          <t>Depreciation — rolls off the asset register</t>
        </is>
      </c>
      <c r="C69" s="18">
        <f>(Assumptions!$B$91+Assumptions!$B$92)/10^6/'Income Statement'!$B$42</f>
        <v/>
      </c>
      <c r="D69" s="18">
        <f>C68/'Income Statement'!$B$42</f>
        <v/>
      </c>
      <c r="E69" s="18">
        <f>D68/'Income Statement'!$B$42</f>
        <v/>
      </c>
      <c r="F69" s="18">
        <f>E68/'Income Statement'!$B$42</f>
        <v/>
      </c>
      <c r="G69" s="18">
        <f>F68/'Income Statement'!$B$42</f>
        <v/>
      </c>
    </row>
    <row r="70">
      <c r="A70" s="7" t="inlineStr">
        <is>
          <t>Fixed assets, net book, closing</t>
        </is>
      </c>
      <c r="C70" s="18">
        <f>(Assumptions!$B$90+Assumptions!$B$92)/10^6+C67-C69</f>
        <v/>
      </c>
      <c r="D70" s="18">
        <f>C70+D67-D69</f>
        <v/>
      </c>
      <c r="E70" s="18">
        <f>D70+E67-E69</f>
        <v/>
      </c>
      <c r="F70" s="18">
        <f>E70+F67-F69</f>
        <v/>
      </c>
      <c r="G70" s="18">
        <f>F70+G67-G69</f>
        <v/>
      </c>
    </row>
    <row r="71">
      <c r="A71" s="15" t="inlineStr">
        <is>
          <t>EBIT</t>
        </is>
      </c>
      <c r="C71" s="37">
        <f>C66-C69</f>
        <v/>
      </c>
      <c r="D71" s="37">
        <f>D66-D69</f>
        <v/>
      </c>
      <c r="E71" s="37">
        <f>E66-E69</f>
        <v/>
      </c>
      <c r="F71" s="37">
        <f>F66-F69</f>
        <v/>
      </c>
      <c r="G71" s="37">
        <f>G66-G69</f>
        <v/>
      </c>
    </row>
    <row r="72">
      <c r="A72" s="7" t="inlineStr">
        <is>
          <t>NOPAT before the profit share</t>
        </is>
      </c>
      <c r="C72" s="18">
        <f>C71*(1-Assumptions!$B$108)</f>
        <v/>
      </c>
      <c r="D72" s="18">
        <f>D71*(1-Assumptions!$B$108)</f>
        <v/>
      </c>
      <c r="E72" s="18">
        <f>E71*(1-Assumptions!$B$108)</f>
        <v/>
      </c>
      <c r="F72" s="18">
        <f>F71*(1-Assumptions!$B$108)</f>
        <v/>
      </c>
      <c r="G72" s="18">
        <f>G71*(1-Assumptions!$B$108)</f>
        <v/>
      </c>
    </row>
    <row r="73">
      <c r="A73" s="7" t="inlineStr">
        <is>
          <t xml:space="preserve">  less employees' profit share and board bonuses</t>
        </is>
      </c>
      <c r="C73" s="18">
        <f>MAX(C72,0)*'Income Statement'!$B$40</f>
        <v/>
      </c>
      <c r="D73" s="18">
        <f>MAX(D72,0)*'Income Statement'!$B$40</f>
        <v/>
      </c>
      <c r="E73" s="18">
        <f>MAX(E72,0)*'Income Statement'!$B$40</f>
        <v/>
      </c>
      <c r="F73" s="18">
        <f>MAX(F72,0)*'Income Statement'!$B$40</f>
        <v/>
      </c>
      <c r="G73" s="18">
        <f>MAX(G72,0)*'Income Statement'!$B$40</f>
        <v/>
      </c>
    </row>
    <row r="74">
      <c r="A74" s="15" t="inlineStr">
        <is>
          <t>NOPAT</t>
        </is>
      </c>
      <c r="C74" s="37">
        <f>C72-C73</f>
        <v/>
      </c>
      <c r="D74" s="37">
        <f>D72-D73</f>
        <v/>
      </c>
      <c r="E74" s="37">
        <f>E72-E73</f>
        <v/>
      </c>
      <c r="F74" s="37">
        <f>F72-F73</f>
        <v/>
      </c>
      <c r="G74" s="37">
        <f>G72-G73</f>
        <v/>
      </c>
    </row>
    <row r="75">
      <c r="A75" s="7" t="inlineStr">
        <is>
          <t>Net working capital — on days</t>
        </is>
      </c>
      <c r="C75" s="18">
        <f>'Income Statement'!$B$44*DCF!$B$9/365*C62+'Income Statement'!$B$45*DCF!$B$9/365*C61-'Income Statement'!$B$46*DCF!$B$9/365*C62</f>
        <v/>
      </c>
      <c r="D75" s="18">
        <f>'Income Statement'!$B$44*DCF!$B$9/365*D62+'Income Statement'!$B$45*DCF!$B$9/365*D61-'Income Statement'!$B$46*DCF!$B$9/365*D62</f>
        <v/>
      </c>
      <c r="E75" s="18">
        <f>'Income Statement'!$B$44*DCF!$B$9/365*E62+'Income Statement'!$B$45*DCF!$B$9/365*E61-'Income Statement'!$B$46*DCF!$B$9/365*E62</f>
        <v/>
      </c>
      <c r="F75" s="18">
        <f>'Income Statement'!$B$44*DCF!$B$9/365*F62+'Income Statement'!$B$45*DCF!$B$9/365*F61-'Income Statement'!$B$46*DCF!$B$9/365*F62</f>
        <v/>
      </c>
      <c r="G75" s="18">
        <f>'Income Statement'!$B$44*DCF!$B$9/365*G62+'Income Statement'!$B$45*DCF!$B$9/365*G61-'Income Statement'!$B$46*DCF!$B$9/365*G62</f>
        <v/>
      </c>
    </row>
    <row r="76">
      <c r="A76" s="7" t="inlineStr">
        <is>
          <t xml:space="preserve">  change in working capital</t>
        </is>
      </c>
      <c r="C76" s="18">
        <f>C75-('Income Statement'!$B$44/365*'Income Statement'!$B$21+'Income Statement'!$B$45/365*'Income Statement'!$B$19-'Income Statement'!$B$46/365*'Income Statement'!$B$21)</f>
        <v/>
      </c>
      <c r="D76" s="18">
        <f>D75-C75</f>
        <v/>
      </c>
      <c r="E76" s="18">
        <f>E75-D75</f>
        <v/>
      </c>
      <c r="F76" s="18">
        <f>F75-E75</f>
        <v/>
      </c>
      <c r="G76" s="18">
        <f>G75-F75</f>
        <v/>
      </c>
    </row>
    <row r="77">
      <c r="A77" s="15" t="inlineStr">
        <is>
          <t>FREE CASH FLOW TO THE FIRM</t>
        </is>
      </c>
      <c r="C77" s="37">
        <f>C74+C69-C67-C76</f>
        <v/>
      </c>
      <c r="D77" s="37">
        <f>D74+D69-D67-D76</f>
        <v/>
      </c>
      <c r="E77" s="37">
        <f>E74+E69-E67-E76</f>
        <v/>
      </c>
      <c r="F77" s="37">
        <f>F74+F69-F67-F76</f>
        <v/>
      </c>
      <c r="G77" s="37">
        <f>G74+G69-G67-G76</f>
        <v/>
      </c>
    </row>
    <row r="78">
      <c r="A78" s="7" t="inlineStr">
        <is>
          <t>Glide fraction</t>
        </is>
      </c>
      <c r="C78" s="23">
        <f>0.0000000000</f>
        <v/>
      </c>
      <c r="D78" s="23">
        <f>0.3571428571</f>
        <v/>
      </c>
      <c r="E78" s="23">
        <f>0.6428571429</f>
        <v/>
      </c>
      <c r="F78" s="23">
        <f>0.8571428571</f>
        <v/>
      </c>
      <c r="G78" s="23">
        <f>1.0000000000</f>
        <v/>
      </c>
    </row>
    <row r="79">
      <c r="A79" s="7" t="inlineStr">
        <is>
          <t>Forward cost of capital</t>
        </is>
      </c>
      <c r="C79" s="24">
        <f>DCF!$B$14-(DCF!$B$14-DCF!$B$17)*C78</f>
        <v/>
      </c>
      <c r="D79" s="24">
        <f>DCF!$B$14-(DCF!$B$14-DCF!$B$17)*D78</f>
        <v/>
      </c>
      <c r="E79" s="24">
        <f>DCF!$B$14-(DCF!$B$14-DCF!$B$17)*E78</f>
        <v/>
      </c>
      <c r="F79" s="24">
        <f>DCF!$B$14-(DCF!$B$14-DCF!$B$17)*F78</f>
        <v/>
      </c>
      <c r="G79" s="24">
        <f>DCF!$B$14-(DCF!$B$14-DCF!$B$17)*G78</f>
        <v/>
      </c>
    </row>
    <row r="80">
      <c r="A80" s="7" t="inlineStr">
        <is>
          <t>Cumulative discount factor</t>
        </is>
      </c>
      <c r="C80" s="40">
        <f>1/(1+C79)</f>
        <v/>
      </c>
      <c r="D80" s="40">
        <f>C80/(1+D79)</f>
        <v/>
      </c>
      <c r="E80" s="40">
        <f>D80/(1+E79)</f>
        <v/>
      </c>
      <c r="F80" s="40">
        <f>E80/(1+F79)</f>
        <v/>
      </c>
      <c r="G80" s="40">
        <f>F80/(1+G79)</f>
        <v/>
      </c>
    </row>
    <row r="81">
      <c r="A81" s="7" t="inlineStr">
        <is>
          <t>Present value</t>
        </is>
      </c>
      <c r="C81" s="18">
        <f>C77*C80</f>
        <v/>
      </c>
      <c r="D81" s="18">
        <f>D77*D80</f>
        <v/>
      </c>
      <c r="E81" s="18">
        <f>E77*E80</f>
        <v/>
      </c>
      <c r="F81" s="18">
        <f>F77*F80</f>
        <v/>
      </c>
      <c r="G81" s="18">
        <f>G77*G80</f>
        <v/>
      </c>
    </row>
    <row r="82">
      <c r="A82" s="15" t="inlineStr">
        <is>
          <t>PV of the explicit window</t>
        </is>
      </c>
      <c r="B82" s="37">
        <f>SUM(C81:G81)</f>
        <v/>
      </c>
      <c r="C82" s="18">
        <f>C75+C68</f>
        <v/>
      </c>
      <c r="D82" s="18">
        <f>D75+D68</f>
        <v/>
      </c>
      <c r="E82" s="18">
        <f>E75+E68</f>
        <v/>
      </c>
      <c r="F82" s="18">
        <f>F75+F68</f>
        <v/>
      </c>
      <c r="G82" s="18">
        <f>G75+G68</f>
        <v/>
      </c>
    </row>
    <row r="83">
      <c r="A83" s="7" t="inlineStr">
        <is>
          <t>Terminal return on invested capital, at REPLACEMENT cost</t>
        </is>
      </c>
      <c r="B83" s="24">
        <f>G74*(1+Assumptions!$B$110)/G82</f>
        <v/>
      </c>
    </row>
    <row r="84">
      <c r="A84" s="7" t="inlineStr">
        <is>
          <t>Required reinvestment = growth / return</t>
        </is>
      </c>
      <c r="B84" s="24">
        <f>MIN(Assumptions!$B$110/B83,0.95)</f>
        <v/>
      </c>
    </row>
    <row r="85">
      <c r="A85" s="7" t="inlineStr">
        <is>
          <t>Terminal value</t>
        </is>
      </c>
      <c r="B85" s="18">
        <f>G74*(1+Assumptions!$B$110)*(1-B84)/MAX(DCF!$B$17-Assumptions!$B$110,0.02)</f>
        <v/>
      </c>
    </row>
    <row r="86">
      <c r="A86" s="7" t="inlineStr">
        <is>
          <t>PV of the terminal block</t>
        </is>
      </c>
      <c r="B86" s="18">
        <f>B85*G80</f>
        <v/>
      </c>
    </row>
    <row r="87">
      <c r="A87" s="15" t="inlineStr">
        <is>
          <t>ENTERPRISE VALUE</t>
        </is>
      </c>
      <c r="B87" s="37">
        <f>B82+B86</f>
        <v/>
      </c>
    </row>
    <row r="88">
      <c r="A88" s="7" t="inlineStr">
        <is>
          <t>plus net cash</t>
        </is>
      </c>
      <c r="B88" s="18">
        <f>(Assumptions!$B$100-Assumptions!$B$103-Assumptions!$B$104)/10^6</f>
        <v/>
      </c>
    </row>
    <row r="89">
      <c r="A89" s="7" t="inlineStr">
        <is>
          <t>Enterprise value including cash</t>
        </is>
      </c>
      <c r="B89" s="18">
        <f>B87+B88</f>
        <v/>
      </c>
    </row>
    <row r="90">
      <c r="A90" s="7" t="inlineStr">
        <is>
          <t>less minority — on the WHOLE enterprise, cash included</t>
        </is>
      </c>
      <c r="B90" s="18">
        <f>B89*'Income Statement'!$B$41</f>
        <v/>
      </c>
    </row>
    <row r="91">
      <c r="A91" s="7" t="inlineStr">
        <is>
          <t>less the tax-disputes provision</t>
        </is>
      </c>
      <c r="B91" s="18">
        <f>Assumptions!$B$99/10^6</f>
        <v/>
      </c>
    </row>
    <row r="92">
      <c r="A92" s="7" t="inlineStr">
        <is>
          <t>less dividends payable — declared, out of working capital</t>
        </is>
      </c>
      <c r="B92" s="18">
        <f>Assumptions!$B$98/10^6</f>
        <v/>
      </c>
    </row>
    <row r="93">
      <c r="A93" s="7" t="inlineStr">
        <is>
          <t>plus non-operating investments and pledged deposits</t>
        </is>
      </c>
      <c r="B93" s="18">
        <f>(Assumptions!$B$102+Assumptions!$B$101)/10^6</f>
        <v/>
      </c>
    </row>
    <row r="94">
      <c r="A94" s="15" t="inlineStr">
        <is>
          <t>EQUITY ATTRIBUTABLE</t>
        </is>
      </c>
      <c r="B94" s="37">
        <f>B89-B90-B91-B92+B93</f>
        <v/>
      </c>
    </row>
    <row r="95">
      <c r="A95" s="15" t="inlineStr">
        <is>
          <t>VALUE PER SHARE, EGP</t>
        </is>
      </c>
      <c r="B95" s="22">
        <f>B94/Assumptions!$B$8</f>
        <v/>
      </c>
    </row>
    <row r="98">
      <c r="A98" s="6" t="inlineStr">
        <is>
          <t>Gross margin, shifted on every forecast year — -0.5%</t>
        </is>
      </c>
      <c r="B98" s="6" t="inlineStr">
        <is>
          <t>2026E</t>
        </is>
      </c>
      <c r="C98" s="6" t="inlineStr">
        <is>
          <t>2027E</t>
        </is>
      </c>
      <c r="D98" s="6" t="inlineStr">
        <is>
          <t>2028E</t>
        </is>
      </c>
      <c r="E98" s="6" t="inlineStr">
        <is>
          <t>2029E</t>
        </is>
      </c>
      <c r="F98" s="6" t="inlineStr">
        <is>
          <t>2030E</t>
        </is>
      </c>
    </row>
    <row r="99">
      <c r="A99" s="7" t="inlineStr">
        <is>
          <t>Inflation index, cumulative</t>
        </is>
      </c>
      <c r="C99" s="23">
        <f>Assumptions!$B$167</f>
        <v/>
      </c>
      <c r="D99" s="23">
        <f>C99*Assumptions!$B$168</f>
        <v/>
      </c>
      <c r="E99" s="23">
        <f>D99*Assumptions!$B$169</f>
        <v/>
      </c>
      <c r="F99" s="23">
        <f>E99*Assumptions!$B$170</f>
        <v/>
      </c>
      <c r="G99" s="23">
        <f>F99*Assumptions!$B$171</f>
        <v/>
      </c>
    </row>
    <row r="100">
      <c r="A100" s="7" t="inlineStr">
        <is>
          <t>Realisation index, cumulative</t>
        </is>
      </c>
      <c r="C100" s="23">
        <f>(1+Assumptions!$B$122*DCF!$B$8)</f>
        <v/>
      </c>
      <c r="D100" s="23">
        <f>C100*(1+Assumptions!$B$123*DCF!$B$8)</f>
        <v/>
      </c>
      <c r="E100" s="23">
        <f>D100*(1+Assumptions!$B$124*DCF!$B$8)</f>
        <v/>
      </c>
      <c r="F100" s="23">
        <f>E100*(1+Assumptions!$B$125*DCF!$B$8)</f>
        <v/>
      </c>
      <c r="G100" s="23">
        <f>F100*(1+Assumptions!$B$126*DCF!$B$8)</f>
        <v/>
      </c>
    </row>
    <row r="101">
      <c r="A101" s="7" t="inlineStr">
        <is>
          <t xml:space="preserve">  Volume — Base and special oils, mn t</t>
        </is>
      </c>
      <c r="C101" s="23">
        <f>'Segments'!E6*(1+Assumptions!$B$127+DCF!$B$6)</f>
        <v/>
      </c>
      <c r="D101" s="23">
        <f>C101*(1+Assumptions!$B$128+DCF!$B$6)</f>
        <v/>
      </c>
      <c r="E101" s="23">
        <f>D101*(1+Assumptions!$B$129+DCF!$B$6)</f>
        <v/>
      </c>
      <c r="F101" s="23">
        <f>E101*(1+Assumptions!$B$130+DCF!$B$6)</f>
        <v/>
      </c>
      <c r="G101" s="23">
        <f>F101*(1+Assumptions!$B$131+DCF!$B$6)</f>
        <v/>
      </c>
    </row>
    <row r="102">
      <c r="A102" s="7" t="inlineStr">
        <is>
          <t xml:space="preserve">  Volume — Paraffin wax, mn t</t>
        </is>
      </c>
      <c r="C102" s="23">
        <f>'Segments'!E7*(1+Assumptions!$B$132+DCF!$B$6)</f>
        <v/>
      </c>
      <c r="D102" s="23">
        <f>C102*(1+Assumptions!$B$133+DCF!$B$6)</f>
        <v/>
      </c>
      <c r="E102" s="23">
        <f>D102*(1+Assumptions!$B$134+DCF!$B$6)</f>
        <v/>
      </c>
      <c r="F102" s="23">
        <f>E102*(1+Assumptions!$B$135+DCF!$B$6)</f>
        <v/>
      </c>
      <c r="G102" s="23">
        <f>F102*(1+Assumptions!$B$136+DCF!$B$6)</f>
        <v/>
      </c>
    </row>
    <row r="103">
      <c r="A103" s="7" t="inlineStr">
        <is>
          <t xml:space="preserve">  Volume — Gas oil, mn t</t>
        </is>
      </c>
      <c r="C103" s="23">
        <f>'Segments'!E8*(1+Assumptions!$B$137+DCF!$B$6)</f>
        <v/>
      </c>
      <c r="D103" s="23">
        <f>C103*(1+Assumptions!$B$138+DCF!$B$6)</f>
        <v/>
      </c>
      <c r="E103" s="23">
        <f>D103*(1+Assumptions!$B$139+DCF!$B$6)</f>
        <v/>
      </c>
      <c r="F103" s="23">
        <f>E103*(1+Assumptions!$B$140+DCF!$B$6)</f>
        <v/>
      </c>
      <c r="G103" s="23">
        <f>F103*(1+Assumptions!$B$141+DCF!$B$6)</f>
        <v/>
      </c>
    </row>
    <row r="104">
      <c r="A104" s="7" t="inlineStr">
        <is>
          <t xml:space="preserve">  Volume — Naphtha, mn t</t>
        </is>
      </c>
      <c r="C104" s="23">
        <f>'Segments'!E9*(1+Assumptions!$B$142+DCF!$B$6)</f>
        <v/>
      </c>
      <c r="D104" s="23">
        <f>C104*(1+Assumptions!$B$143+DCF!$B$6)</f>
        <v/>
      </c>
      <c r="E104" s="23">
        <f>D104*(1+Assumptions!$B$144+DCF!$B$6)</f>
        <v/>
      </c>
      <c r="F104" s="23">
        <f>E104*(1+Assumptions!$B$145+DCF!$B$6)</f>
        <v/>
      </c>
      <c r="G104" s="23">
        <f>F104*(1+Assumptions!$B$146+DCF!$B$6)</f>
        <v/>
      </c>
    </row>
    <row r="105">
      <c r="A105" s="7" t="inlineStr">
        <is>
          <t xml:space="preserve">  Volume — Liquefied petroleum gas, mn t</t>
        </is>
      </c>
      <c r="C105" s="23">
        <f>'Segments'!E10*(1+Assumptions!$B$147+DCF!$B$6)</f>
        <v/>
      </c>
      <c r="D105" s="23">
        <f>C105*(1+Assumptions!$B$148+DCF!$B$6)</f>
        <v/>
      </c>
      <c r="E105" s="23">
        <f>D105*(1+Assumptions!$B$149+DCF!$B$6)</f>
        <v/>
      </c>
      <c r="F105" s="23">
        <f>E105*(1+Assumptions!$B$150+DCF!$B$6)</f>
        <v/>
      </c>
      <c r="G105" s="23">
        <f>F105*(1+Assumptions!$B$151+DCF!$B$6)</f>
        <v/>
      </c>
    </row>
    <row r="106">
      <c r="A106" s="7" t="inlineStr">
        <is>
          <t xml:space="preserve">  Volume — Fuel oil (mix), mn t</t>
        </is>
      </c>
      <c r="C106" s="23">
        <f>'Segments'!E11*(1+Assumptions!$B$152+DCF!$B$6)</f>
        <v/>
      </c>
      <c r="D106" s="23">
        <f>C106*(1+Assumptions!$B$153+DCF!$B$6)</f>
        <v/>
      </c>
      <c r="E106" s="23">
        <f>D106*(1+Assumptions!$B$154+DCF!$B$6)</f>
        <v/>
      </c>
      <c r="F106" s="23">
        <f>E106*(1+Assumptions!$B$155+DCF!$B$6)</f>
        <v/>
      </c>
      <c r="G106" s="23">
        <f>F106*(1+Assumptions!$B$156+DCF!$B$6)</f>
        <v/>
      </c>
    </row>
    <row r="107">
      <c r="A107" s="7" t="inlineStr">
        <is>
          <t xml:space="preserve">  Volume — Heavy fuel oil, mn t</t>
        </is>
      </c>
      <c r="C107" s="23">
        <f>'Segments'!E12*(1+Assumptions!$B$157+DCF!$B$6)</f>
        <v/>
      </c>
      <c r="D107" s="23">
        <f>C107*(1+Assumptions!$B$158+DCF!$B$6)</f>
        <v/>
      </c>
      <c r="E107" s="23">
        <f>D107*(1+Assumptions!$B$159+DCF!$B$6)</f>
        <v/>
      </c>
      <c r="F107" s="23">
        <f>E107*(1+Assumptions!$B$160+DCF!$B$6)</f>
        <v/>
      </c>
      <c r="G107" s="23">
        <f>F107*(1+Assumptions!$B$161+DCF!$B$6)</f>
        <v/>
      </c>
    </row>
    <row r="108">
      <c r="A108" s="7" t="inlineStr">
        <is>
          <t xml:space="preserve">  Volume — Waste, mn t</t>
        </is>
      </c>
      <c r="C108" s="23">
        <f>'Segments'!E13*(1+Assumptions!$B$162+DCF!$B$6)</f>
        <v/>
      </c>
      <c r="D108" s="23">
        <f>C108*(1+Assumptions!$B$163+DCF!$B$6)</f>
        <v/>
      </c>
      <c r="E108" s="23">
        <f>D108*(1+Assumptions!$B$164+DCF!$B$6)</f>
        <v/>
      </c>
      <c r="F108" s="23">
        <f>E108*(1+Assumptions!$B$165+DCF!$B$6)</f>
        <v/>
      </c>
      <c r="G108" s="23">
        <f>F108*(1+Assumptions!$B$166+DCF!$B$6)</f>
        <v/>
      </c>
    </row>
    <row r="109">
      <c r="A109" s="15" t="inlineStr">
        <is>
          <t>Total volume, mn t</t>
        </is>
      </c>
      <c r="C109" s="36">
        <f>SUM(C101:C108)</f>
        <v/>
      </c>
      <c r="D109" s="36">
        <f>SUM(D101:D108)</f>
        <v/>
      </c>
      <c r="E109" s="36">
        <f>SUM(E101:E108)</f>
        <v/>
      </c>
      <c r="F109" s="36">
        <f>SUM(F101:F108)</f>
        <v/>
      </c>
      <c r="G109" s="36">
        <f>SUM(G101:G108)</f>
        <v/>
      </c>
    </row>
    <row r="110">
      <c r="A110" s="15" t="inlineStr">
        <is>
          <t>REVENUE</t>
        </is>
      </c>
      <c r="C110" s="37">
        <f>C101*'Segments'!$F$6*C100+C102*'Segments'!$F$7*C100+C103*'Segments'!$F$8*C100+C104*'Segments'!$F$9*C100+C105*'Segments'!$F$10*C100+C106*'Segments'!$F$11*C100+C107*'Segments'!$F$12*C100+C108*'Segments'!$F$13*C100</f>
        <v/>
      </c>
      <c r="D110" s="37">
        <f>D101*'Segments'!$F$6*D100+D102*'Segments'!$F$7*D100+D103*'Segments'!$F$8*D100+D104*'Segments'!$F$9*D100+D105*'Segments'!$F$10*D100+D106*'Segments'!$F$11*D100+D107*'Segments'!$F$12*D100+D108*'Segments'!$F$13*D100</f>
        <v/>
      </c>
      <c r="E110" s="37">
        <f>E101*'Segments'!$F$6*E100+E102*'Segments'!$F$7*E100+E103*'Segments'!$F$8*E100+E104*'Segments'!$F$9*E100+E105*'Segments'!$F$10*E100+E106*'Segments'!$F$11*E100+E107*'Segments'!$F$12*E100+E108*'Segments'!$F$13*E100</f>
        <v/>
      </c>
      <c r="F110" s="37">
        <f>F101*'Segments'!$F$6*F100+F102*'Segments'!$F$7*F100+F103*'Segments'!$F$8*F100+F104*'Segments'!$F$9*F100+F105*'Segments'!$F$10*F100+F106*'Segments'!$F$11*F100+F107*'Segments'!$F$12*F100+F108*'Segments'!$F$13*F100</f>
        <v/>
      </c>
      <c r="G110" s="37">
        <f>G101*'Segments'!$F$6*G100+G102*'Segments'!$F$7*G100+G103*'Segments'!$F$8*G100+G104*'Segments'!$F$9*G100+G105*'Segments'!$F$10*G100+G106*'Segments'!$F$11*G100+G107*'Segments'!$F$12*G100+G108*'Segments'!$F$13*G100</f>
        <v/>
      </c>
    </row>
    <row r="111">
      <c r="A111" s="7" t="inlineStr">
        <is>
          <t>Cost of sales</t>
        </is>
      </c>
      <c r="C111" s="18">
        <f>C101*('Segments'!$D$27*C100*Assumptions!$B$109+'Segments'!$B$27*(0.4983251709*C99+0.4357405005*C99+0.0330936548*C100+0.0328406739))+C102*('Segments'!$D$28*C100*Assumptions!$B$109+'Segments'!$B$28*(0.4983251709*C99+0.4357405005*C99+0.0330936548*C100+0.0328406739))+C103*('Segments'!$D$29*C100*Assumptions!$B$109+'Segments'!$B$29*(0.4983251709*C99+0.4357405005*C99+0.0330936548*C100+0.0328406739))+C104*('Segments'!$D$30*C100*Assumptions!$B$109+'Segments'!$B$30*(0.4983251709*C99+0.4357405005*C99+0.0330936548*C100+0.0328406739))+C105*('Segments'!$D$31*C100*Assumptions!$B$109+'Segments'!$B$31*(0.4983251709*C99+0.4357405005*C99+0.0330936548*C100+0.0328406739))+C106*('Segments'!$D$32*C100*Assumptions!$B$109+'Segments'!$B$32*(0.4983251709*C99+0.4357405005*C99+0.0330936548*C100+0.0328406739))+C107*('Segments'!$D$33*C100*Assumptions!$B$109+'Segments'!$B$33*(0.4983251709*C99+0.4357405005*C99+0.0330936548*C100+0.0328406739))+C108*('Segments'!$D$34*C100*Assumptions!$B$109+'Segments'!$B$34*(0.4983251709*C99+0.4357405005*C99+0.0330936548*C100+0.0328406739))</f>
        <v/>
      </c>
      <c r="D111" s="18">
        <f>D101*('Segments'!$D$27*D100*Assumptions!$B$109+'Segments'!$B$27*(0.4983251709*D99+0.4357405005*D99+0.0330936548*D100+0.0328406739))+D102*('Segments'!$D$28*D100*Assumptions!$B$109+'Segments'!$B$28*(0.4983251709*D99+0.4357405005*D99+0.0330936548*D100+0.0328406739))+D103*('Segments'!$D$29*D100*Assumptions!$B$109+'Segments'!$B$29*(0.4983251709*D99+0.4357405005*D99+0.0330936548*D100+0.0328406739))+D104*('Segments'!$D$30*D100*Assumptions!$B$109+'Segments'!$B$30*(0.4983251709*D99+0.4357405005*D99+0.0330936548*D100+0.0328406739))+D105*('Segments'!$D$31*D100*Assumptions!$B$109+'Segments'!$B$31*(0.4983251709*D99+0.4357405005*D99+0.0330936548*D100+0.0328406739))+D106*('Segments'!$D$32*D100*Assumptions!$B$109+'Segments'!$B$32*(0.4983251709*D99+0.4357405005*D99+0.0330936548*D100+0.0328406739))+D107*('Segments'!$D$33*D100*Assumptions!$B$109+'Segments'!$B$33*(0.4983251709*D99+0.4357405005*D99+0.0330936548*D100+0.0328406739))+D108*('Segments'!$D$34*D100*Assumptions!$B$109+'Segments'!$B$34*(0.4983251709*D99+0.4357405005*D99+0.0330936548*D100+0.0328406739))</f>
        <v/>
      </c>
      <c r="E111" s="18">
        <f>E101*('Segments'!$D$27*E100*Assumptions!$B$109+'Segments'!$B$27*(0.4983251709*E99+0.4357405005*E99+0.0330936548*E100+0.0328406739))+E102*('Segments'!$D$28*E100*Assumptions!$B$109+'Segments'!$B$28*(0.4983251709*E99+0.4357405005*E99+0.0330936548*E100+0.0328406739))+E103*('Segments'!$D$29*E100*Assumptions!$B$109+'Segments'!$B$29*(0.4983251709*E99+0.4357405005*E99+0.0330936548*E100+0.0328406739))+E104*('Segments'!$D$30*E100*Assumptions!$B$109+'Segments'!$B$30*(0.4983251709*E99+0.4357405005*E99+0.0330936548*E100+0.0328406739))+E105*('Segments'!$D$31*E100*Assumptions!$B$109+'Segments'!$B$31*(0.4983251709*E99+0.4357405005*E99+0.0330936548*E100+0.0328406739))+E106*('Segments'!$D$32*E100*Assumptions!$B$109+'Segments'!$B$32*(0.4983251709*E99+0.4357405005*E99+0.0330936548*E100+0.0328406739))+E107*('Segments'!$D$33*E100*Assumptions!$B$109+'Segments'!$B$33*(0.4983251709*E99+0.4357405005*E99+0.0330936548*E100+0.0328406739))+E108*('Segments'!$D$34*E100*Assumptions!$B$109+'Segments'!$B$34*(0.4983251709*E99+0.4357405005*E99+0.0330936548*E100+0.0328406739))</f>
        <v/>
      </c>
      <c r="F111" s="18">
        <f>F101*('Segments'!$D$27*F100*Assumptions!$B$109+'Segments'!$B$27*(0.4983251709*F99+0.4357405005*F99+0.0330936548*F100+0.0328406739))+F102*('Segments'!$D$28*F100*Assumptions!$B$109+'Segments'!$B$28*(0.4983251709*F99+0.4357405005*F99+0.0330936548*F100+0.0328406739))+F103*('Segments'!$D$29*F100*Assumptions!$B$109+'Segments'!$B$29*(0.4983251709*F99+0.4357405005*F99+0.0330936548*F100+0.0328406739))+F104*('Segments'!$D$30*F100*Assumptions!$B$109+'Segments'!$B$30*(0.4983251709*F99+0.4357405005*F99+0.0330936548*F100+0.0328406739))+F105*('Segments'!$D$31*F100*Assumptions!$B$109+'Segments'!$B$31*(0.4983251709*F99+0.4357405005*F99+0.0330936548*F100+0.0328406739))+F106*('Segments'!$D$32*F100*Assumptions!$B$109+'Segments'!$B$32*(0.4983251709*F99+0.4357405005*F99+0.0330936548*F100+0.0328406739))+F107*('Segments'!$D$33*F100*Assumptions!$B$109+'Segments'!$B$33*(0.4983251709*F99+0.4357405005*F99+0.0330936548*F100+0.0328406739))+F108*('Segments'!$D$34*F100*Assumptions!$B$109+'Segments'!$B$34*(0.4983251709*F99+0.4357405005*F99+0.0330936548*F100+0.0328406739))</f>
        <v/>
      </c>
      <c r="G111" s="18">
        <f>G101*('Segments'!$D$27*G100*Assumptions!$B$109+'Segments'!$B$27*(0.4983251709*G99+0.4357405005*G99+0.0330936548*G100+0.0328406739))+G102*('Segments'!$D$28*G100*Assumptions!$B$109+'Segments'!$B$28*(0.4983251709*G99+0.4357405005*G99+0.0330936548*G100+0.0328406739))+G103*('Segments'!$D$29*G100*Assumptions!$B$109+'Segments'!$B$29*(0.4983251709*G99+0.4357405005*G99+0.0330936548*G100+0.0328406739))+G104*('Segments'!$D$30*G100*Assumptions!$B$109+'Segments'!$B$30*(0.4983251709*G99+0.4357405005*G99+0.0330936548*G100+0.0328406739))+G105*('Segments'!$D$31*G100*Assumptions!$B$109+'Segments'!$B$31*(0.4983251709*G99+0.4357405005*G99+0.0330936548*G100+0.0328406739))+G106*('Segments'!$D$32*G100*Assumptions!$B$109+'Segments'!$B$32*(0.4983251709*G99+0.4357405005*G99+0.0330936548*G100+0.0328406739))+G107*('Segments'!$D$33*G100*Assumptions!$B$109+'Segments'!$B$33*(0.4983251709*G99+0.4357405005*G99+0.0330936548*G100+0.0328406739))+G108*('Segments'!$D$34*G100*Assumptions!$B$109+'Segments'!$B$34*(0.4983251709*G99+0.4357405005*G99+0.0330936548*G100+0.0328406739))</f>
        <v/>
      </c>
    </row>
    <row r="112">
      <c r="A112" s="15" t="inlineStr">
        <is>
          <t>GROSS PROFIT</t>
        </is>
      </c>
      <c r="C112" s="37">
        <f>C110-C111+$C$7*C110</f>
        <v/>
      </c>
      <c r="D112" s="37">
        <f>D110-D111+$C$7*D110</f>
        <v/>
      </c>
      <c r="E112" s="37">
        <f>E110-E111+$C$7*E110</f>
        <v/>
      </c>
      <c r="F112" s="37">
        <f>F110-F111+$C$7*F110</f>
        <v/>
      </c>
      <c r="G112" s="37">
        <f>G110-G111+$C$7*G110</f>
        <v/>
      </c>
    </row>
    <row r="113">
      <c r="A113" s="7" t="inlineStr">
        <is>
          <t>Gross margin</t>
        </is>
      </c>
      <c r="C113" s="24">
        <f>C112/C110</f>
        <v/>
      </c>
      <c r="D113" s="24">
        <f>D112/D110</f>
        <v/>
      </c>
      <c r="E113" s="24">
        <f>E112/E110</f>
        <v/>
      </c>
      <c r="F113" s="24">
        <f>F112/F110</f>
        <v/>
      </c>
      <c r="G113" s="24">
        <f>G112/G110</f>
        <v/>
      </c>
    </row>
    <row r="114">
      <c r="A114" s="7" t="inlineStr">
        <is>
          <t>Operating expense</t>
        </is>
      </c>
      <c r="C114" s="18">
        <f>('Income Statement'!$B$28*C99)+('Income Statement'!$B$29*C99*C109/'Segments'!$E$14)+('Income Statement'!$B$30*C99)+('Income Statement'!$B$31*C99)</f>
        <v/>
      </c>
      <c r="D114" s="18">
        <f>('Income Statement'!$B$28*D99)+('Income Statement'!$B$29*D99*D109/'Segments'!$E$14)+('Income Statement'!$B$30*D99)+('Income Statement'!$B$31*D99)</f>
        <v/>
      </c>
      <c r="E114" s="18">
        <f>('Income Statement'!$B$28*E99)+('Income Statement'!$B$29*E99*E109/'Segments'!$E$14)+('Income Statement'!$B$30*E99)+('Income Statement'!$B$31*E99)</f>
        <v/>
      </c>
      <c r="F114" s="18">
        <f>('Income Statement'!$B$28*F99)+('Income Statement'!$B$29*F99*F109/'Segments'!$E$14)+('Income Statement'!$B$30*F99)+('Income Statement'!$B$31*F99)</f>
        <v/>
      </c>
      <c r="G114" s="18">
        <f>('Income Statement'!$B$28*G99)+('Income Statement'!$B$29*G99*G109/'Segments'!$E$14)+('Income Statement'!$B$30*G99)+('Income Statement'!$B$31*G99)</f>
        <v/>
      </c>
    </row>
    <row r="115">
      <c r="A115" s="15" t="inlineStr">
        <is>
          <t>EBITDA</t>
        </is>
      </c>
      <c r="C115" s="37">
        <f>C112-C114</f>
        <v/>
      </c>
      <c r="D115" s="37">
        <f>D112-D114</f>
        <v/>
      </c>
      <c r="E115" s="37">
        <f>E112-E114</f>
        <v/>
      </c>
      <c r="F115" s="37">
        <f>F112-F114</f>
        <v/>
      </c>
      <c r="G115" s="37">
        <f>G112-G114</f>
        <v/>
      </c>
    </row>
    <row r="116">
      <c r="A116" s="7" t="inlineStr">
        <is>
          <t>Capital expenditure — maintenance + growth</t>
        </is>
      </c>
      <c r="C116" s="18">
        <f>'Income Statement'!$B$43*C99+MAX(C109-'Segments'!$E$14,0)*2100.379938*C99</f>
        <v/>
      </c>
      <c r="D116" s="18">
        <f>'Income Statement'!$B$43*D99+MAX(D109-C109,0)*2100.379938*D99</f>
        <v/>
      </c>
      <c r="E116" s="18">
        <f>'Income Statement'!$B$43*E99+MAX(E109-D109,0)*2100.379938*E99</f>
        <v/>
      </c>
      <c r="F116" s="18">
        <f>'Income Statement'!$B$43*F99+MAX(F109-E109,0)*2100.379938*F99</f>
        <v/>
      </c>
      <c r="G116" s="18">
        <f>'Income Statement'!$B$43*G99+MAX(G109-F109,0)*2100.379938*G99</f>
        <v/>
      </c>
    </row>
    <row r="117">
      <c r="A117" s="7" t="inlineStr">
        <is>
          <t>Fixed assets at cost, closing</t>
        </is>
      </c>
      <c r="C117" s="18">
        <f>(Assumptions!$B$91+Assumptions!$B$92)/10^6+C116</f>
        <v/>
      </c>
      <c r="D117" s="18">
        <f>C117+D116</f>
        <v/>
      </c>
      <c r="E117" s="18">
        <f>D117+E116</f>
        <v/>
      </c>
      <c r="F117" s="18">
        <f>E117+F116</f>
        <v/>
      </c>
      <c r="G117" s="18">
        <f>F117+G116</f>
        <v/>
      </c>
    </row>
    <row r="118">
      <c r="A118" s="7" t="inlineStr">
        <is>
          <t>Depreciation — rolls off the asset register</t>
        </is>
      </c>
      <c r="C118" s="18">
        <f>(Assumptions!$B$91+Assumptions!$B$92)/10^6/'Income Statement'!$B$42</f>
        <v/>
      </c>
      <c r="D118" s="18">
        <f>C117/'Income Statement'!$B$42</f>
        <v/>
      </c>
      <c r="E118" s="18">
        <f>D117/'Income Statement'!$B$42</f>
        <v/>
      </c>
      <c r="F118" s="18">
        <f>E117/'Income Statement'!$B$42</f>
        <v/>
      </c>
      <c r="G118" s="18">
        <f>F117/'Income Statement'!$B$42</f>
        <v/>
      </c>
    </row>
    <row r="119">
      <c r="A119" s="7" t="inlineStr">
        <is>
          <t>Fixed assets, net book, closing</t>
        </is>
      </c>
      <c r="C119" s="18">
        <f>(Assumptions!$B$90+Assumptions!$B$92)/10^6+C116-C118</f>
        <v/>
      </c>
      <c r="D119" s="18">
        <f>C119+D116-D118</f>
        <v/>
      </c>
      <c r="E119" s="18">
        <f>D119+E116-E118</f>
        <v/>
      </c>
      <c r="F119" s="18">
        <f>E119+F116-F118</f>
        <v/>
      </c>
      <c r="G119" s="18">
        <f>F119+G116-G118</f>
        <v/>
      </c>
    </row>
    <row r="120">
      <c r="A120" s="15" t="inlineStr">
        <is>
          <t>EBIT</t>
        </is>
      </c>
      <c r="C120" s="37">
        <f>C115-C118</f>
        <v/>
      </c>
      <c r="D120" s="37">
        <f>D115-D118</f>
        <v/>
      </c>
      <c r="E120" s="37">
        <f>E115-E118</f>
        <v/>
      </c>
      <c r="F120" s="37">
        <f>F115-F118</f>
        <v/>
      </c>
      <c r="G120" s="37">
        <f>G115-G118</f>
        <v/>
      </c>
    </row>
    <row r="121">
      <c r="A121" s="7" t="inlineStr">
        <is>
          <t>NOPAT before the profit share</t>
        </is>
      </c>
      <c r="C121" s="18">
        <f>C120*(1-Assumptions!$B$108)</f>
        <v/>
      </c>
      <c r="D121" s="18">
        <f>D120*(1-Assumptions!$B$108)</f>
        <v/>
      </c>
      <c r="E121" s="18">
        <f>E120*(1-Assumptions!$B$108)</f>
        <v/>
      </c>
      <c r="F121" s="18">
        <f>F120*(1-Assumptions!$B$108)</f>
        <v/>
      </c>
      <c r="G121" s="18">
        <f>G120*(1-Assumptions!$B$108)</f>
        <v/>
      </c>
    </row>
    <row r="122">
      <c r="A122" s="7" t="inlineStr">
        <is>
          <t xml:space="preserve">  less employees' profit share and board bonuses</t>
        </is>
      </c>
      <c r="C122" s="18">
        <f>MAX(C121,0)*'Income Statement'!$B$40</f>
        <v/>
      </c>
      <c r="D122" s="18">
        <f>MAX(D121,0)*'Income Statement'!$B$40</f>
        <v/>
      </c>
      <c r="E122" s="18">
        <f>MAX(E121,0)*'Income Statement'!$B$40</f>
        <v/>
      </c>
      <c r="F122" s="18">
        <f>MAX(F121,0)*'Income Statement'!$B$40</f>
        <v/>
      </c>
      <c r="G122" s="18">
        <f>MAX(G121,0)*'Income Statement'!$B$40</f>
        <v/>
      </c>
    </row>
    <row r="123">
      <c r="A123" s="15" t="inlineStr">
        <is>
          <t>NOPAT</t>
        </is>
      </c>
      <c r="C123" s="37">
        <f>C121-C122</f>
        <v/>
      </c>
      <c r="D123" s="37">
        <f>D121-D122</f>
        <v/>
      </c>
      <c r="E123" s="37">
        <f>E121-E122</f>
        <v/>
      </c>
      <c r="F123" s="37">
        <f>F121-F122</f>
        <v/>
      </c>
      <c r="G123" s="37">
        <f>G121-G122</f>
        <v/>
      </c>
    </row>
    <row r="124">
      <c r="A124" s="7" t="inlineStr">
        <is>
          <t>Net working capital — on days</t>
        </is>
      </c>
      <c r="C124" s="18">
        <f>'Income Statement'!$B$44*DCF!$B$9/365*C111+'Income Statement'!$B$45*DCF!$B$9/365*C110-'Income Statement'!$B$46*DCF!$B$9/365*C111</f>
        <v/>
      </c>
      <c r="D124" s="18">
        <f>'Income Statement'!$B$44*DCF!$B$9/365*D111+'Income Statement'!$B$45*DCF!$B$9/365*D110-'Income Statement'!$B$46*DCF!$B$9/365*D111</f>
        <v/>
      </c>
      <c r="E124" s="18">
        <f>'Income Statement'!$B$44*DCF!$B$9/365*E111+'Income Statement'!$B$45*DCF!$B$9/365*E110-'Income Statement'!$B$46*DCF!$B$9/365*E111</f>
        <v/>
      </c>
      <c r="F124" s="18">
        <f>'Income Statement'!$B$44*DCF!$B$9/365*F111+'Income Statement'!$B$45*DCF!$B$9/365*F110-'Income Statement'!$B$46*DCF!$B$9/365*F111</f>
        <v/>
      </c>
      <c r="G124" s="18">
        <f>'Income Statement'!$B$44*DCF!$B$9/365*G111+'Income Statement'!$B$45*DCF!$B$9/365*G110-'Income Statement'!$B$46*DCF!$B$9/365*G111</f>
        <v/>
      </c>
    </row>
    <row r="125">
      <c r="A125" s="7" t="inlineStr">
        <is>
          <t xml:space="preserve">  change in working capital</t>
        </is>
      </c>
      <c r="C125" s="18">
        <f>C124-('Income Statement'!$B$44/365*'Income Statement'!$B$21+'Income Statement'!$B$45/365*'Income Statement'!$B$19-'Income Statement'!$B$46/365*'Income Statement'!$B$21)</f>
        <v/>
      </c>
      <c r="D125" s="18">
        <f>D124-C124</f>
        <v/>
      </c>
      <c r="E125" s="18">
        <f>E124-D124</f>
        <v/>
      </c>
      <c r="F125" s="18">
        <f>F124-E124</f>
        <v/>
      </c>
      <c r="G125" s="18">
        <f>G124-F124</f>
        <v/>
      </c>
    </row>
    <row r="126">
      <c r="A126" s="15" t="inlineStr">
        <is>
          <t>FREE CASH FLOW TO THE FIRM</t>
        </is>
      </c>
      <c r="C126" s="37">
        <f>C123+C118-C116-C125</f>
        <v/>
      </c>
      <c r="D126" s="37">
        <f>D123+D118-D116-D125</f>
        <v/>
      </c>
      <c r="E126" s="37">
        <f>E123+E118-E116-E125</f>
        <v/>
      </c>
      <c r="F126" s="37">
        <f>F123+F118-F116-F125</f>
        <v/>
      </c>
      <c r="G126" s="37">
        <f>G123+G118-G116-G125</f>
        <v/>
      </c>
    </row>
    <row r="127">
      <c r="A127" s="7" t="inlineStr">
        <is>
          <t>Glide fraction</t>
        </is>
      </c>
      <c r="C127" s="23">
        <f>0.0000000000</f>
        <v/>
      </c>
      <c r="D127" s="23">
        <f>0.3571428571</f>
        <v/>
      </c>
      <c r="E127" s="23">
        <f>0.6428571429</f>
        <v/>
      </c>
      <c r="F127" s="23">
        <f>0.8571428571</f>
        <v/>
      </c>
      <c r="G127" s="23">
        <f>1.0000000000</f>
        <v/>
      </c>
    </row>
    <row r="128">
      <c r="A128" s="7" t="inlineStr">
        <is>
          <t>Forward cost of capital</t>
        </is>
      </c>
      <c r="C128" s="24">
        <f>DCF!$B$14-(DCF!$B$14-DCF!$B$17)*C127</f>
        <v/>
      </c>
      <c r="D128" s="24">
        <f>DCF!$B$14-(DCF!$B$14-DCF!$B$17)*D127</f>
        <v/>
      </c>
      <c r="E128" s="24">
        <f>DCF!$B$14-(DCF!$B$14-DCF!$B$17)*E127</f>
        <v/>
      </c>
      <c r="F128" s="24">
        <f>DCF!$B$14-(DCF!$B$14-DCF!$B$17)*F127</f>
        <v/>
      </c>
      <c r="G128" s="24">
        <f>DCF!$B$14-(DCF!$B$14-DCF!$B$17)*G127</f>
        <v/>
      </c>
    </row>
    <row r="129">
      <c r="A129" s="7" t="inlineStr">
        <is>
          <t>Cumulative discount factor</t>
        </is>
      </c>
      <c r="C129" s="40">
        <f>1/(1+C128)</f>
        <v/>
      </c>
      <c r="D129" s="40">
        <f>C129/(1+D128)</f>
        <v/>
      </c>
      <c r="E129" s="40">
        <f>D129/(1+E128)</f>
        <v/>
      </c>
      <c r="F129" s="40">
        <f>E129/(1+F128)</f>
        <v/>
      </c>
      <c r="G129" s="40">
        <f>F129/(1+G128)</f>
        <v/>
      </c>
    </row>
    <row r="130">
      <c r="A130" s="7" t="inlineStr">
        <is>
          <t>Present value</t>
        </is>
      </c>
      <c r="C130" s="18">
        <f>C126*C129</f>
        <v/>
      </c>
      <c r="D130" s="18">
        <f>D126*D129</f>
        <v/>
      </c>
      <c r="E130" s="18">
        <f>E126*E129</f>
        <v/>
      </c>
      <c r="F130" s="18">
        <f>F126*F129</f>
        <v/>
      </c>
      <c r="G130" s="18">
        <f>G126*G129</f>
        <v/>
      </c>
    </row>
    <row r="131">
      <c r="A131" s="15" t="inlineStr">
        <is>
          <t>PV of the explicit window</t>
        </is>
      </c>
      <c r="B131" s="37">
        <f>SUM(C130:G130)</f>
        <v/>
      </c>
      <c r="C131" s="18">
        <f>C124+C117</f>
        <v/>
      </c>
      <c r="D131" s="18">
        <f>D124+D117</f>
        <v/>
      </c>
      <c r="E131" s="18">
        <f>E124+E117</f>
        <v/>
      </c>
      <c r="F131" s="18">
        <f>F124+F117</f>
        <v/>
      </c>
      <c r="G131" s="18">
        <f>G124+G117</f>
        <v/>
      </c>
    </row>
    <row r="132">
      <c r="A132" s="7" t="inlineStr">
        <is>
          <t>Terminal return on invested capital, at REPLACEMENT cost</t>
        </is>
      </c>
      <c r="B132" s="24">
        <f>G123*(1+Assumptions!$B$110)/G131</f>
        <v/>
      </c>
    </row>
    <row r="133">
      <c r="A133" s="7" t="inlineStr">
        <is>
          <t>Required reinvestment = growth / return</t>
        </is>
      </c>
      <c r="B133" s="24">
        <f>MIN(Assumptions!$B$110/B132,0.95)</f>
        <v/>
      </c>
    </row>
    <row r="134">
      <c r="A134" s="7" t="inlineStr">
        <is>
          <t>Terminal value</t>
        </is>
      </c>
      <c r="B134" s="18">
        <f>G123*(1+Assumptions!$B$110)*(1-B133)/MAX(DCF!$B$17-Assumptions!$B$110,0.02)</f>
        <v/>
      </c>
    </row>
    <row r="135">
      <c r="A135" s="7" t="inlineStr">
        <is>
          <t>PV of the terminal block</t>
        </is>
      </c>
      <c r="B135" s="18">
        <f>B134*G129</f>
        <v/>
      </c>
    </row>
    <row r="136">
      <c r="A136" s="15" t="inlineStr">
        <is>
          <t>ENTERPRISE VALUE</t>
        </is>
      </c>
      <c r="B136" s="37">
        <f>B131+B135</f>
        <v/>
      </c>
    </row>
    <row r="137">
      <c r="A137" s="7" t="inlineStr">
        <is>
          <t>plus net cash</t>
        </is>
      </c>
      <c r="B137" s="18">
        <f>(Assumptions!$B$100-Assumptions!$B$103-Assumptions!$B$104)/10^6</f>
        <v/>
      </c>
    </row>
    <row r="138">
      <c r="A138" s="7" t="inlineStr">
        <is>
          <t>Enterprise value including cash</t>
        </is>
      </c>
      <c r="B138" s="18">
        <f>B136+B137</f>
        <v/>
      </c>
    </row>
    <row r="139">
      <c r="A139" s="7" t="inlineStr">
        <is>
          <t>less minority — on the WHOLE enterprise, cash included</t>
        </is>
      </c>
      <c r="B139" s="18">
        <f>B138*'Income Statement'!$B$41</f>
        <v/>
      </c>
    </row>
    <row r="140">
      <c r="A140" s="7" t="inlineStr">
        <is>
          <t>less the tax-disputes provision</t>
        </is>
      </c>
      <c r="B140" s="18">
        <f>Assumptions!$B$99/10^6</f>
        <v/>
      </c>
    </row>
    <row r="141">
      <c r="A141" s="7" t="inlineStr">
        <is>
          <t>less dividends payable — declared, out of working capital</t>
        </is>
      </c>
      <c r="B141" s="18">
        <f>Assumptions!$B$98/10^6</f>
        <v/>
      </c>
    </row>
    <row r="142">
      <c r="A142" s="7" t="inlineStr">
        <is>
          <t>plus non-operating investments and pledged deposits</t>
        </is>
      </c>
      <c r="B142" s="18">
        <f>(Assumptions!$B$102+Assumptions!$B$101)/10^6</f>
        <v/>
      </c>
    </row>
    <row r="143">
      <c r="A143" s="15" t="inlineStr">
        <is>
          <t>EQUITY ATTRIBUTABLE</t>
        </is>
      </c>
      <c r="B143" s="37">
        <f>B138-B139-B140-B141+B142</f>
        <v/>
      </c>
    </row>
    <row r="144">
      <c r="A144" s="15" t="inlineStr">
        <is>
          <t>VALUE PER SHARE, EGP</t>
        </is>
      </c>
      <c r="B144" s="22">
        <f>B143/Assumptions!$B$8</f>
        <v/>
      </c>
    </row>
    <row r="147">
      <c r="A147" s="6" t="inlineStr">
        <is>
          <t>Gross margin, shifted on every forecast year — +0.0%</t>
        </is>
      </c>
      <c r="B147" s="6" t="inlineStr">
        <is>
          <t>2026E</t>
        </is>
      </c>
      <c r="C147" s="6" t="inlineStr">
        <is>
          <t>2027E</t>
        </is>
      </c>
      <c r="D147" s="6" t="inlineStr">
        <is>
          <t>2028E</t>
        </is>
      </c>
      <c r="E147" s="6" t="inlineStr">
        <is>
          <t>2029E</t>
        </is>
      </c>
      <c r="F147" s="6" t="inlineStr">
        <is>
          <t>2030E</t>
        </is>
      </c>
    </row>
    <row r="148">
      <c r="A148" s="7" t="inlineStr">
        <is>
          <t>Inflation index, cumulative</t>
        </is>
      </c>
      <c r="C148" s="23">
        <f>Assumptions!$B$167</f>
        <v/>
      </c>
      <c r="D148" s="23">
        <f>C148*Assumptions!$B$168</f>
        <v/>
      </c>
      <c r="E148" s="23">
        <f>D148*Assumptions!$B$169</f>
        <v/>
      </c>
      <c r="F148" s="23">
        <f>E148*Assumptions!$B$170</f>
        <v/>
      </c>
      <c r="G148" s="23">
        <f>F148*Assumptions!$B$171</f>
        <v/>
      </c>
    </row>
    <row r="149">
      <c r="A149" s="7" t="inlineStr">
        <is>
          <t>Realisation index, cumulative</t>
        </is>
      </c>
      <c r="C149" s="23">
        <f>(1+Assumptions!$B$122*DCF!$B$8)</f>
        <v/>
      </c>
      <c r="D149" s="23">
        <f>C149*(1+Assumptions!$B$123*DCF!$B$8)</f>
        <v/>
      </c>
      <c r="E149" s="23">
        <f>D149*(1+Assumptions!$B$124*DCF!$B$8)</f>
        <v/>
      </c>
      <c r="F149" s="23">
        <f>E149*(1+Assumptions!$B$125*DCF!$B$8)</f>
        <v/>
      </c>
      <c r="G149" s="23">
        <f>F149*(1+Assumptions!$B$126*DCF!$B$8)</f>
        <v/>
      </c>
    </row>
    <row r="150">
      <c r="A150" s="7" t="inlineStr">
        <is>
          <t xml:space="preserve">  Volume — Base and special oils, mn t</t>
        </is>
      </c>
      <c r="C150" s="23">
        <f>'Segments'!E6*(1+Assumptions!$B$127+DCF!$B$6)</f>
        <v/>
      </c>
      <c r="D150" s="23">
        <f>C150*(1+Assumptions!$B$128+DCF!$B$6)</f>
        <v/>
      </c>
      <c r="E150" s="23">
        <f>D150*(1+Assumptions!$B$129+DCF!$B$6)</f>
        <v/>
      </c>
      <c r="F150" s="23">
        <f>E150*(1+Assumptions!$B$130+DCF!$B$6)</f>
        <v/>
      </c>
      <c r="G150" s="23">
        <f>F150*(1+Assumptions!$B$131+DCF!$B$6)</f>
        <v/>
      </c>
    </row>
    <row r="151">
      <c r="A151" s="7" t="inlineStr">
        <is>
          <t xml:space="preserve">  Volume — Paraffin wax, mn t</t>
        </is>
      </c>
      <c r="C151" s="23">
        <f>'Segments'!E7*(1+Assumptions!$B$132+DCF!$B$6)</f>
        <v/>
      </c>
      <c r="D151" s="23">
        <f>C151*(1+Assumptions!$B$133+DCF!$B$6)</f>
        <v/>
      </c>
      <c r="E151" s="23">
        <f>D151*(1+Assumptions!$B$134+DCF!$B$6)</f>
        <v/>
      </c>
      <c r="F151" s="23">
        <f>E151*(1+Assumptions!$B$135+DCF!$B$6)</f>
        <v/>
      </c>
      <c r="G151" s="23">
        <f>F151*(1+Assumptions!$B$136+DCF!$B$6)</f>
        <v/>
      </c>
    </row>
    <row r="152">
      <c r="A152" s="7" t="inlineStr">
        <is>
          <t xml:space="preserve">  Volume — Gas oil, mn t</t>
        </is>
      </c>
      <c r="C152" s="23">
        <f>'Segments'!E8*(1+Assumptions!$B$137+DCF!$B$6)</f>
        <v/>
      </c>
      <c r="D152" s="23">
        <f>C152*(1+Assumptions!$B$138+DCF!$B$6)</f>
        <v/>
      </c>
      <c r="E152" s="23">
        <f>D152*(1+Assumptions!$B$139+DCF!$B$6)</f>
        <v/>
      </c>
      <c r="F152" s="23">
        <f>E152*(1+Assumptions!$B$140+DCF!$B$6)</f>
        <v/>
      </c>
      <c r="G152" s="23">
        <f>F152*(1+Assumptions!$B$141+DCF!$B$6)</f>
        <v/>
      </c>
    </row>
    <row r="153">
      <c r="A153" s="7" t="inlineStr">
        <is>
          <t xml:space="preserve">  Volume — Naphtha, mn t</t>
        </is>
      </c>
      <c r="C153" s="23">
        <f>'Segments'!E9*(1+Assumptions!$B$142+DCF!$B$6)</f>
        <v/>
      </c>
      <c r="D153" s="23">
        <f>C153*(1+Assumptions!$B$143+DCF!$B$6)</f>
        <v/>
      </c>
      <c r="E153" s="23">
        <f>D153*(1+Assumptions!$B$144+DCF!$B$6)</f>
        <v/>
      </c>
      <c r="F153" s="23">
        <f>E153*(1+Assumptions!$B$145+DCF!$B$6)</f>
        <v/>
      </c>
      <c r="G153" s="23">
        <f>F153*(1+Assumptions!$B$146+DCF!$B$6)</f>
        <v/>
      </c>
    </row>
    <row r="154">
      <c r="A154" s="7" t="inlineStr">
        <is>
          <t xml:space="preserve">  Volume — Liquefied petroleum gas, mn t</t>
        </is>
      </c>
      <c r="C154" s="23">
        <f>'Segments'!E10*(1+Assumptions!$B$147+DCF!$B$6)</f>
        <v/>
      </c>
      <c r="D154" s="23">
        <f>C154*(1+Assumptions!$B$148+DCF!$B$6)</f>
        <v/>
      </c>
      <c r="E154" s="23">
        <f>D154*(1+Assumptions!$B$149+DCF!$B$6)</f>
        <v/>
      </c>
      <c r="F154" s="23">
        <f>E154*(1+Assumptions!$B$150+DCF!$B$6)</f>
        <v/>
      </c>
      <c r="G154" s="23">
        <f>F154*(1+Assumptions!$B$151+DCF!$B$6)</f>
        <v/>
      </c>
    </row>
    <row r="155">
      <c r="A155" s="7" t="inlineStr">
        <is>
          <t xml:space="preserve">  Volume — Fuel oil (mix), mn t</t>
        </is>
      </c>
      <c r="C155" s="23">
        <f>'Segments'!E11*(1+Assumptions!$B$152+DCF!$B$6)</f>
        <v/>
      </c>
      <c r="D155" s="23">
        <f>C155*(1+Assumptions!$B$153+DCF!$B$6)</f>
        <v/>
      </c>
      <c r="E155" s="23">
        <f>D155*(1+Assumptions!$B$154+DCF!$B$6)</f>
        <v/>
      </c>
      <c r="F155" s="23">
        <f>E155*(1+Assumptions!$B$155+DCF!$B$6)</f>
        <v/>
      </c>
      <c r="G155" s="23">
        <f>F155*(1+Assumptions!$B$156+DCF!$B$6)</f>
        <v/>
      </c>
    </row>
    <row r="156">
      <c r="A156" s="7" t="inlineStr">
        <is>
          <t xml:space="preserve">  Volume — Heavy fuel oil, mn t</t>
        </is>
      </c>
      <c r="C156" s="23">
        <f>'Segments'!E12*(1+Assumptions!$B$157+DCF!$B$6)</f>
        <v/>
      </c>
      <c r="D156" s="23">
        <f>C156*(1+Assumptions!$B$158+DCF!$B$6)</f>
        <v/>
      </c>
      <c r="E156" s="23">
        <f>D156*(1+Assumptions!$B$159+DCF!$B$6)</f>
        <v/>
      </c>
      <c r="F156" s="23">
        <f>E156*(1+Assumptions!$B$160+DCF!$B$6)</f>
        <v/>
      </c>
      <c r="G156" s="23">
        <f>F156*(1+Assumptions!$B$161+DCF!$B$6)</f>
        <v/>
      </c>
    </row>
    <row r="157">
      <c r="A157" s="7" t="inlineStr">
        <is>
          <t xml:space="preserve">  Volume — Waste, mn t</t>
        </is>
      </c>
      <c r="C157" s="23">
        <f>'Segments'!E13*(1+Assumptions!$B$162+DCF!$B$6)</f>
        <v/>
      </c>
      <c r="D157" s="23">
        <f>C157*(1+Assumptions!$B$163+DCF!$B$6)</f>
        <v/>
      </c>
      <c r="E157" s="23">
        <f>D157*(1+Assumptions!$B$164+DCF!$B$6)</f>
        <v/>
      </c>
      <c r="F157" s="23">
        <f>E157*(1+Assumptions!$B$165+DCF!$B$6)</f>
        <v/>
      </c>
      <c r="G157" s="23">
        <f>F157*(1+Assumptions!$B$166+DCF!$B$6)</f>
        <v/>
      </c>
    </row>
    <row r="158">
      <c r="A158" s="15" t="inlineStr">
        <is>
          <t>Total volume, mn t</t>
        </is>
      </c>
      <c r="C158" s="36">
        <f>SUM(C150:C157)</f>
        <v/>
      </c>
      <c r="D158" s="36">
        <f>SUM(D150:D157)</f>
        <v/>
      </c>
      <c r="E158" s="36">
        <f>SUM(E150:E157)</f>
        <v/>
      </c>
      <c r="F158" s="36">
        <f>SUM(F150:F157)</f>
        <v/>
      </c>
      <c r="G158" s="36">
        <f>SUM(G150:G157)</f>
        <v/>
      </c>
    </row>
    <row r="159">
      <c r="A159" s="15" t="inlineStr">
        <is>
          <t>REVENUE</t>
        </is>
      </c>
      <c r="C159" s="37">
        <f>C150*'Segments'!$F$6*C149+C151*'Segments'!$F$7*C149+C152*'Segments'!$F$8*C149+C153*'Segments'!$F$9*C149+C154*'Segments'!$F$10*C149+C155*'Segments'!$F$11*C149+C156*'Segments'!$F$12*C149+C157*'Segments'!$F$13*C149</f>
        <v/>
      </c>
      <c r="D159" s="37">
        <f>D150*'Segments'!$F$6*D149+D151*'Segments'!$F$7*D149+D152*'Segments'!$F$8*D149+D153*'Segments'!$F$9*D149+D154*'Segments'!$F$10*D149+D155*'Segments'!$F$11*D149+D156*'Segments'!$F$12*D149+D157*'Segments'!$F$13*D149</f>
        <v/>
      </c>
      <c r="E159" s="37">
        <f>E150*'Segments'!$F$6*E149+E151*'Segments'!$F$7*E149+E152*'Segments'!$F$8*E149+E153*'Segments'!$F$9*E149+E154*'Segments'!$F$10*E149+E155*'Segments'!$F$11*E149+E156*'Segments'!$F$12*E149+E157*'Segments'!$F$13*E149</f>
        <v/>
      </c>
      <c r="F159" s="37">
        <f>F150*'Segments'!$F$6*F149+F151*'Segments'!$F$7*F149+F152*'Segments'!$F$8*F149+F153*'Segments'!$F$9*F149+F154*'Segments'!$F$10*F149+F155*'Segments'!$F$11*F149+F156*'Segments'!$F$12*F149+F157*'Segments'!$F$13*F149</f>
        <v/>
      </c>
      <c r="G159" s="37">
        <f>G150*'Segments'!$F$6*G149+G151*'Segments'!$F$7*G149+G152*'Segments'!$F$8*G149+G153*'Segments'!$F$9*G149+G154*'Segments'!$F$10*G149+G155*'Segments'!$F$11*G149+G156*'Segments'!$F$12*G149+G157*'Segments'!$F$13*G149</f>
        <v/>
      </c>
    </row>
    <row r="160">
      <c r="A160" s="7" t="inlineStr">
        <is>
          <t>Cost of sales</t>
        </is>
      </c>
      <c r="C160" s="18">
        <f>C150*('Segments'!$D$27*C149*Assumptions!$B$109+'Segments'!$B$27*(0.4983251709*C148+0.4357405005*C148+0.0330936548*C149+0.0328406739))+C151*('Segments'!$D$28*C149*Assumptions!$B$109+'Segments'!$B$28*(0.4983251709*C148+0.4357405005*C148+0.0330936548*C149+0.0328406739))+C152*('Segments'!$D$29*C149*Assumptions!$B$109+'Segments'!$B$29*(0.4983251709*C148+0.4357405005*C148+0.0330936548*C149+0.0328406739))+C153*('Segments'!$D$30*C149*Assumptions!$B$109+'Segments'!$B$30*(0.4983251709*C148+0.4357405005*C148+0.0330936548*C149+0.0328406739))+C154*('Segments'!$D$31*C149*Assumptions!$B$109+'Segments'!$B$31*(0.4983251709*C148+0.4357405005*C148+0.0330936548*C149+0.0328406739))+C155*('Segments'!$D$32*C149*Assumptions!$B$109+'Segments'!$B$32*(0.4983251709*C148+0.4357405005*C148+0.0330936548*C149+0.0328406739))+C156*('Segments'!$D$33*C149*Assumptions!$B$109+'Segments'!$B$33*(0.4983251709*C148+0.4357405005*C148+0.0330936548*C149+0.0328406739))+C157*('Segments'!$D$34*C149*Assumptions!$B$109+'Segments'!$B$34*(0.4983251709*C148+0.4357405005*C148+0.0330936548*C149+0.0328406739))</f>
        <v/>
      </c>
      <c r="D160" s="18">
        <f>D150*('Segments'!$D$27*D149*Assumptions!$B$109+'Segments'!$B$27*(0.4983251709*D148+0.4357405005*D148+0.0330936548*D149+0.0328406739))+D151*('Segments'!$D$28*D149*Assumptions!$B$109+'Segments'!$B$28*(0.4983251709*D148+0.4357405005*D148+0.0330936548*D149+0.0328406739))+D152*('Segments'!$D$29*D149*Assumptions!$B$109+'Segments'!$B$29*(0.4983251709*D148+0.4357405005*D148+0.0330936548*D149+0.0328406739))+D153*('Segments'!$D$30*D149*Assumptions!$B$109+'Segments'!$B$30*(0.4983251709*D148+0.4357405005*D148+0.0330936548*D149+0.0328406739))+D154*('Segments'!$D$31*D149*Assumptions!$B$109+'Segments'!$B$31*(0.4983251709*D148+0.4357405005*D148+0.0330936548*D149+0.0328406739))+D155*('Segments'!$D$32*D149*Assumptions!$B$109+'Segments'!$B$32*(0.4983251709*D148+0.4357405005*D148+0.0330936548*D149+0.0328406739))+D156*('Segments'!$D$33*D149*Assumptions!$B$109+'Segments'!$B$33*(0.4983251709*D148+0.4357405005*D148+0.0330936548*D149+0.0328406739))+D157*('Segments'!$D$34*D149*Assumptions!$B$109+'Segments'!$B$34*(0.4983251709*D148+0.4357405005*D148+0.0330936548*D149+0.0328406739))</f>
        <v/>
      </c>
      <c r="E160" s="18">
        <f>E150*('Segments'!$D$27*E149*Assumptions!$B$109+'Segments'!$B$27*(0.4983251709*E148+0.4357405005*E148+0.0330936548*E149+0.0328406739))+E151*('Segments'!$D$28*E149*Assumptions!$B$109+'Segments'!$B$28*(0.4983251709*E148+0.4357405005*E148+0.0330936548*E149+0.0328406739))+E152*('Segments'!$D$29*E149*Assumptions!$B$109+'Segments'!$B$29*(0.4983251709*E148+0.4357405005*E148+0.0330936548*E149+0.0328406739))+E153*('Segments'!$D$30*E149*Assumptions!$B$109+'Segments'!$B$30*(0.4983251709*E148+0.4357405005*E148+0.0330936548*E149+0.0328406739))+E154*('Segments'!$D$31*E149*Assumptions!$B$109+'Segments'!$B$31*(0.4983251709*E148+0.4357405005*E148+0.0330936548*E149+0.0328406739))+E155*('Segments'!$D$32*E149*Assumptions!$B$109+'Segments'!$B$32*(0.4983251709*E148+0.4357405005*E148+0.0330936548*E149+0.0328406739))+E156*('Segments'!$D$33*E149*Assumptions!$B$109+'Segments'!$B$33*(0.4983251709*E148+0.4357405005*E148+0.0330936548*E149+0.0328406739))+E157*('Segments'!$D$34*E149*Assumptions!$B$109+'Segments'!$B$34*(0.4983251709*E148+0.4357405005*E148+0.0330936548*E149+0.0328406739))</f>
        <v/>
      </c>
      <c r="F160" s="18">
        <f>F150*('Segments'!$D$27*F149*Assumptions!$B$109+'Segments'!$B$27*(0.4983251709*F148+0.4357405005*F148+0.0330936548*F149+0.0328406739))+F151*('Segments'!$D$28*F149*Assumptions!$B$109+'Segments'!$B$28*(0.4983251709*F148+0.4357405005*F148+0.0330936548*F149+0.0328406739))+F152*('Segments'!$D$29*F149*Assumptions!$B$109+'Segments'!$B$29*(0.4983251709*F148+0.4357405005*F148+0.0330936548*F149+0.0328406739))+F153*('Segments'!$D$30*F149*Assumptions!$B$109+'Segments'!$B$30*(0.4983251709*F148+0.4357405005*F148+0.0330936548*F149+0.0328406739))+F154*('Segments'!$D$31*F149*Assumptions!$B$109+'Segments'!$B$31*(0.4983251709*F148+0.4357405005*F148+0.0330936548*F149+0.0328406739))+F155*('Segments'!$D$32*F149*Assumptions!$B$109+'Segments'!$B$32*(0.4983251709*F148+0.4357405005*F148+0.0330936548*F149+0.0328406739))+F156*('Segments'!$D$33*F149*Assumptions!$B$109+'Segments'!$B$33*(0.4983251709*F148+0.4357405005*F148+0.0330936548*F149+0.0328406739))+F157*('Segments'!$D$34*F149*Assumptions!$B$109+'Segments'!$B$34*(0.4983251709*F148+0.4357405005*F148+0.0330936548*F149+0.0328406739))</f>
        <v/>
      </c>
      <c r="G160" s="18">
        <f>G150*('Segments'!$D$27*G149*Assumptions!$B$109+'Segments'!$B$27*(0.4983251709*G148+0.4357405005*G148+0.0330936548*G149+0.0328406739))+G151*('Segments'!$D$28*G149*Assumptions!$B$109+'Segments'!$B$28*(0.4983251709*G148+0.4357405005*G148+0.0330936548*G149+0.0328406739))+G152*('Segments'!$D$29*G149*Assumptions!$B$109+'Segments'!$B$29*(0.4983251709*G148+0.4357405005*G148+0.0330936548*G149+0.0328406739))+G153*('Segments'!$D$30*G149*Assumptions!$B$109+'Segments'!$B$30*(0.4983251709*G148+0.4357405005*G148+0.0330936548*G149+0.0328406739))+G154*('Segments'!$D$31*G149*Assumptions!$B$109+'Segments'!$B$31*(0.4983251709*G148+0.4357405005*G148+0.0330936548*G149+0.0328406739))+G155*('Segments'!$D$32*G149*Assumptions!$B$109+'Segments'!$B$32*(0.4983251709*G148+0.4357405005*G148+0.0330936548*G149+0.0328406739))+G156*('Segments'!$D$33*G149*Assumptions!$B$109+'Segments'!$B$33*(0.4983251709*G148+0.4357405005*G148+0.0330936548*G149+0.0328406739))+G157*('Segments'!$D$34*G149*Assumptions!$B$109+'Segments'!$B$34*(0.4983251709*G148+0.4357405005*G148+0.0330936548*G149+0.0328406739))</f>
        <v/>
      </c>
    </row>
    <row r="161">
      <c r="A161" s="15" t="inlineStr">
        <is>
          <t>GROSS PROFIT</t>
        </is>
      </c>
      <c r="C161" s="37">
        <f>C159-C160+$C$8*C159</f>
        <v/>
      </c>
      <c r="D161" s="37">
        <f>D159-D160+$C$8*D159</f>
        <v/>
      </c>
      <c r="E161" s="37">
        <f>E159-E160+$C$8*E159</f>
        <v/>
      </c>
      <c r="F161" s="37">
        <f>F159-F160+$C$8*F159</f>
        <v/>
      </c>
      <c r="G161" s="37">
        <f>G159-G160+$C$8*G159</f>
        <v/>
      </c>
    </row>
    <row r="162">
      <c r="A162" s="7" t="inlineStr">
        <is>
          <t>Gross margin</t>
        </is>
      </c>
      <c r="C162" s="24">
        <f>C161/C159</f>
        <v/>
      </c>
      <c r="D162" s="24">
        <f>D161/D159</f>
        <v/>
      </c>
      <c r="E162" s="24">
        <f>E161/E159</f>
        <v/>
      </c>
      <c r="F162" s="24">
        <f>F161/F159</f>
        <v/>
      </c>
      <c r="G162" s="24">
        <f>G161/G159</f>
        <v/>
      </c>
    </row>
    <row r="163">
      <c r="A163" s="7" t="inlineStr">
        <is>
          <t>Operating expense</t>
        </is>
      </c>
      <c r="C163" s="18">
        <f>('Income Statement'!$B$28*C148)+('Income Statement'!$B$29*C148*C158/'Segments'!$E$14)+('Income Statement'!$B$30*C148)+('Income Statement'!$B$31*C148)</f>
        <v/>
      </c>
      <c r="D163" s="18">
        <f>('Income Statement'!$B$28*D148)+('Income Statement'!$B$29*D148*D158/'Segments'!$E$14)+('Income Statement'!$B$30*D148)+('Income Statement'!$B$31*D148)</f>
        <v/>
      </c>
      <c r="E163" s="18">
        <f>('Income Statement'!$B$28*E148)+('Income Statement'!$B$29*E148*E158/'Segments'!$E$14)+('Income Statement'!$B$30*E148)+('Income Statement'!$B$31*E148)</f>
        <v/>
      </c>
      <c r="F163" s="18">
        <f>('Income Statement'!$B$28*F148)+('Income Statement'!$B$29*F148*F158/'Segments'!$E$14)+('Income Statement'!$B$30*F148)+('Income Statement'!$B$31*F148)</f>
        <v/>
      </c>
      <c r="G163" s="18">
        <f>('Income Statement'!$B$28*G148)+('Income Statement'!$B$29*G148*G158/'Segments'!$E$14)+('Income Statement'!$B$30*G148)+('Income Statement'!$B$31*G148)</f>
        <v/>
      </c>
    </row>
    <row r="164">
      <c r="A164" s="15" t="inlineStr">
        <is>
          <t>EBITDA</t>
        </is>
      </c>
      <c r="C164" s="37">
        <f>C161-C163</f>
        <v/>
      </c>
      <c r="D164" s="37">
        <f>D161-D163</f>
        <v/>
      </c>
      <c r="E164" s="37">
        <f>E161-E163</f>
        <v/>
      </c>
      <c r="F164" s="37">
        <f>F161-F163</f>
        <v/>
      </c>
      <c r="G164" s="37">
        <f>G161-G163</f>
        <v/>
      </c>
    </row>
    <row r="165">
      <c r="A165" s="7" t="inlineStr">
        <is>
          <t>Capital expenditure — maintenance + growth</t>
        </is>
      </c>
      <c r="C165" s="18">
        <f>'Income Statement'!$B$43*C148+MAX(C158-'Segments'!$E$14,0)*2100.379938*C148</f>
        <v/>
      </c>
      <c r="D165" s="18">
        <f>'Income Statement'!$B$43*D148+MAX(D158-C158,0)*2100.379938*D148</f>
        <v/>
      </c>
      <c r="E165" s="18">
        <f>'Income Statement'!$B$43*E148+MAX(E158-D158,0)*2100.379938*E148</f>
        <v/>
      </c>
      <c r="F165" s="18">
        <f>'Income Statement'!$B$43*F148+MAX(F158-E158,0)*2100.379938*F148</f>
        <v/>
      </c>
      <c r="G165" s="18">
        <f>'Income Statement'!$B$43*G148+MAX(G158-F158,0)*2100.379938*G148</f>
        <v/>
      </c>
    </row>
    <row r="166">
      <c r="A166" s="7" t="inlineStr">
        <is>
          <t>Fixed assets at cost, closing</t>
        </is>
      </c>
      <c r="C166" s="18">
        <f>(Assumptions!$B$91+Assumptions!$B$92)/10^6+C165</f>
        <v/>
      </c>
      <c r="D166" s="18">
        <f>C166+D165</f>
        <v/>
      </c>
      <c r="E166" s="18">
        <f>D166+E165</f>
        <v/>
      </c>
      <c r="F166" s="18">
        <f>E166+F165</f>
        <v/>
      </c>
      <c r="G166" s="18">
        <f>F166+G165</f>
        <v/>
      </c>
    </row>
    <row r="167">
      <c r="A167" s="7" t="inlineStr">
        <is>
          <t>Depreciation — rolls off the asset register</t>
        </is>
      </c>
      <c r="C167" s="18">
        <f>(Assumptions!$B$91+Assumptions!$B$92)/10^6/'Income Statement'!$B$42</f>
        <v/>
      </c>
      <c r="D167" s="18">
        <f>C166/'Income Statement'!$B$42</f>
        <v/>
      </c>
      <c r="E167" s="18">
        <f>D166/'Income Statement'!$B$42</f>
        <v/>
      </c>
      <c r="F167" s="18">
        <f>E166/'Income Statement'!$B$42</f>
        <v/>
      </c>
      <c r="G167" s="18">
        <f>F166/'Income Statement'!$B$42</f>
        <v/>
      </c>
    </row>
    <row r="168">
      <c r="A168" s="7" t="inlineStr">
        <is>
          <t>Fixed assets, net book, closing</t>
        </is>
      </c>
      <c r="C168" s="18">
        <f>(Assumptions!$B$90+Assumptions!$B$92)/10^6+C165-C167</f>
        <v/>
      </c>
      <c r="D168" s="18">
        <f>C168+D165-D167</f>
        <v/>
      </c>
      <c r="E168" s="18">
        <f>D168+E165-E167</f>
        <v/>
      </c>
      <c r="F168" s="18">
        <f>E168+F165-F167</f>
        <v/>
      </c>
      <c r="G168" s="18">
        <f>F168+G165-G167</f>
        <v/>
      </c>
    </row>
    <row r="169">
      <c r="A169" s="15" t="inlineStr">
        <is>
          <t>EBIT</t>
        </is>
      </c>
      <c r="C169" s="37">
        <f>C164-C167</f>
        <v/>
      </c>
      <c r="D169" s="37">
        <f>D164-D167</f>
        <v/>
      </c>
      <c r="E169" s="37">
        <f>E164-E167</f>
        <v/>
      </c>
      <c r="F169" s="37">
        <f>F164-F167</f>
        <v/>
      </c>
      <c r="G169" s="37">
        <f>G164-G167</f>
        <v/>
      </c>
    </row>
    <row r="170">
      <c r="A170" s="7" t="inlineStr">
        <is>
          <t>NOPAT before the profit share</t>
        </is>
      </c>
      <c r="C170" s="18">
        <f>C169*(1-Assumptions!$B$108)</f>
        <v/>
      </c>
      <c r="D170" s="18">
        <f>D169*(1-Assumptions!$B$108)</f>
        <v/>
      </c>
      <c r="E170" s="18">
        <f>E169*(1-Assumptions!$B$108)</f>
        <v/>
      </c>
      <c r="F170" s="18">
        <f>F169*(1-Assumptions!$B$108)</f>
        <v/>
      </c>
      <c r="G170" s="18">
        <f>G169*(1-Assumptions!$B$108)</f>
        <v/>
      </c>
    </row>
    <row r="171">
      <c r="A171" s="7" t="inlineStr">
        <is>
          <t xml:space="preserve">  less employees' profit share and board bonuses</t>
        </is>
      </c>
      <c r="C171" s="18">
        <f>MAX(C170,0)*'Income Statement'!$B$40</f>
        <v/>
      </c>
      <c r="D171" s="18">
        <f>MAX(D170,0)*'Income Statement'!$B$40</f>
        <v/>
      </c>
      <c r="E171" s="18">
        <f>MAX(E170,0)*'Income Statement'!$B$40</f>
        <v/>
      </c>
      <c r="F171" s="18">
        <f>MAX(F170,0)*'Income Statement'!$B$40</f>
        <v/>
      </c>
      <c r="G171" s="18">
        <f>MAX(G170,0)*'Income Statement'!$B$40</f>
        <v/>
      </c>
    </row>
    <row r="172">
      <c r="A172" s="15" t="inlineStr">
        <is>
          <t>NOPAT</t>
        </is>
      </c>
      <c r="C172" s="37">
        <f>C170-C171</f>
        <v/>
      </c>
      <c r="D172" s="37">
        <f>D170-D171</f>
        <v/>
      </c>
      <c r="E172" s="37">
        <f>E170-E171</f>
        <v/>
      </c>
      <c r="F172" s="37">
        <f>F170-F171</f>
        <v/>
      </c>
      <c r="G172" s="37">
        <f>G170-G171</f>
        <v/>
      </c>
    </row>
    <row r="173">
      <c r="A173" s="7" t="inlineStr">
        <is>
          <t>Net working capital — on days</t>
        </is>
      </c>
      <c r="C173" s="18">
        <f>'Income Statement'!$B$44*DCF!$B$9/365*C160+'Income Statement'!$B$45*DCF!$B$9/365*C159-'Income Statement'!$B$46*DCF!$B$9/365*C160</f>
        <v/>
      </c>
      <c r="D173" s="18">
        <f>'Income Statement'!$B$44*DCF!$B$9/365*D160+'Income Statement'!$B$45*DCF!$B$9/365*D159-'Income Statement'!$B$46*DCF!$B$9/365*D160</f>
        <v/>
      </c>
      <c r="E173" s="18">
        <f>'Income Statement'!$B$44*DCF!$B$9/365*E160+'Income Statement'!$B$45*DCF!$B$9/365*E159-'Income Statement'!$B$46*DCF!$B$9/365*E160</f>
        <v/>
      </c>
      <c r="F173" s="18">
        <f>'Income Statement'!$B$44*DCF!$B$9/365*F160+'Income Statement'!$B$45*DCF!$B$9/365*F159-'Income Statement'!$B$46*DCF!$B$9/365*F160</f>
        <v/>
      </c>
      <c r="G173" s="18">
        <f>'Income Statement'!$B$44*DCF!$B$9/365*G160+'Income Statement'!$B$45*DCF!$B$9/365*G159-'Income Statement'!$B$46*DCF!$B$9/365*G160</f>
        <v/>
      </c>
    </row>
    <row r="174">
      <c r="A174" s="7" t="inlineStr">
        <is>
          <t xml:space="preserve">  change in working capital</t>
        </is>
      </c>
      <c r="C174" s="18">
        <f>C173-('Income Statement'!$B$44/365*'Income Statement'!$B$21+'Income Statement'!$B$45/365*'Income Statement'!$B$19-'Income Statement'!$B$46/365*'Income Statement'!$B$21)</f>
        <v/>
      </c>
      <c r="D174" s="18">
        <f>D173-C173</f>
        <v/>
      </c>
      <c r="E174" s="18">
        <f>E173-D173</f>
        <v/>
      </c>
      <c r="F174" s="18">
        <f>F173-E173</f>
        <v/>
      </c>
      <c r="G174" s="18">
        <f>G173-F173</f>
        <v/>
      </c>
    </row>
    <row r="175">
      <c r="A175" s="15" t="inlineStr">
        <is>
          <t>FREE CASH FLOW TO THE FIRM</t>
        </is>
      </c>
      <c r="C175" s="37">
        <f>C172+C167-C165-C174</f>
        <v/>
      </c>
      <c r="D175" s="37">
        <f>D172+D167-D165-D174</f>
        <v/>
      </c>
      <c r="E175" s="37">
        <f>E172+E167-E165-E174</f>
        <v/>
      </c>
      <c r="F175" s="37">
        <f>F172+F167-F165-F174</f>
        <v/>
      </c>
      <c r="G175" s="37">
        <f>G172+G167-G165-G174</f>
        <v/>
      </c>
    </row>
    <row r="176">
      <c r="A176" s="7" t="inlineStr">
        <is>
          <t>Glide fraction</t>
        </is>
      </c>
      <c r="C176" s="23">
        <f>0.0000000000</f>
        <v/>
      </c>
      <c r="D176" s="23">
        <f>0.3571428571</f>
        <v/>
      </c>
      <c r="E176" s="23">
        <f>0.6428571429</f>
        <v/>
      </c>
      <c r="F176" s="23">
        <f>0.8571428571</f>
        <v/>
      </c>
      <c r="G176" s="23">
        <f>1.0000000000</f>
        <v/>
      </c>
    </row>
    <row r="177">
      <c r="A177" s="7" t="inlineStr">
        <is>
          <t>Forward cost of capital</t>
        </is>
      </c>
      <c r="C177" s="24">
        <f>DCF!$B$14-(DCF!$B$14-DCF!$B$17)*C176</f>
        <v/>
      </c>
      <c r="D177" s="24">
        <f>DCF!$B$14-(DCF!$B$14-DCF!$B$17)*D176</f>
        <v/>
      </c>
      <c r="E177" s="24">
        <f>DCF!$B$14-(DCF!$B$14-DCF!$B$17)*E176</f>
        <v/>
      </c>
      <c r="F177" s="24">
        <f>DCF!$B$14-(DCF!$B$14-DCF!$B$17)*F176</f>
        <v/>
      </c>
      <c r="G177" s="24">
        <f>DCF!$B$14-(DCF!$B$14-DCF!$B$17)*G176</f>
        <v/>
      </c>
    </row>
    <row r="178">
      <c r="A178" s="7" t="inlineStr">
        <is>
          <t>Cumulative discount factor</t>
        </is>
      </c>
      <c r="C178" s="40">
        <f>1/(1+C177)</f>
        <v/>
      </c>
      <c r="D178" s="40">
        <f>C178/(1+D177)</f>
        <v/>
      </c>
      <c r="E178" s="40">
        <f>D178/(1+E177)</f>
        <v/>
      </c>
      <c r="F178" s="40">
        <f>E178/(1+F177)</f>
        <v/>
      </c>
      <c r="G178" s="40">
        <f>F178/(1+G177)</f>
        <v/>
      </c>
    </row>
    <row r="179">
      <c r="A179" s="7" t="inlineStr">
        <is>
          <t>Present value</t>
        </is>
      </c>
      <c r="C179" s="18">
        <f>C175*C178</f>
        <v/>
      </c>
      <c r="D179" s="18">
        <f>D175*D178</f>
        <v/>
      </c>
      <c r="E179" s="18">
        <f>E175*E178</f>
        <v/>
      </c>
      <c r="F179" s="18">
        <f>F175*F178</f>
        <v/>
      </c>
      <c r="G179" s="18">
        <f>G175*G178</f>
        <v/>
      </c>
    </row>
    <row r="180">
      <c r="A180" s="15" t="inlineStr">
        <is>
          <t>PV of the explicit window</t>
        </is>
      </c>
      <c r="B180" s="37">
        <f>SUM(C179:G179)</f>
        <v/>
      </c>
      <c r="C180" s="18">
        <f>C173+C166</f>
        <v/>
      </c>
      <c r="D180" s="18">
        <f>D173+D166</f>
        <v/>
      </c>
      <c r="E180" s="18">
        <f>E173+E166</f>
        <v/>
      </c>
      <c r="F180" s="18">
        <f>F173+F166</f>
        <v/>
      </c>
      <c r="G180" s="18">
        <f>G173+G166</f>
        <v/>
      </c>
    </row>
    <row r="181">
      <c r="A181" s="7" t="inlineStr">
        <is>
          <t>Terminal return on invested capital, at REPLACEMENT cost</t>
        </is>
      </c>
      <c r="B181" s="24">
        <f>G172*(1+Assumptions!$B$110)/G180</f>
        <v/>
      </c>
    </row>
    <row r="182">
      <c r="A182" s="7" t="inlineStr">
        <is>
          <t>Required reinvestment = growth / return</t>
        </is>
      </c>
      <c r="B182" s="24">
        <f>MIN(Assumptions!$B$110/B181,0.95)</f>
        <v/>
      </c>
    </row>
    <row r="183">
      <c r="A183" s="7" t="inlineStr">
        <is>
          <t>Terminal value</t>
        </is>
      </c>
      <c r="B183" s="18">
        <f>G172*(1+Assumptions!$B$110)*(1-B182)/MAX(DCF!$B$17-Assumptions!$B$110,0.02)</f>
        <v/>
      </c>
    </row>
    <row r="184">
      <c r="A184" s="7" t="inlineStr">
        <is>
          <t>PV of the terminal block</t>
        </is>
      </c>
      <c r="B184" s="18">
        <f>B183*G178</f>
        <v/>
      </c>
    </row>
    <row r="185">
      <c r="A185" s="15" t="inlineStr">
        <is>
          <t>ENTERPRISE VALUE</t>
        </is>
      </c>
      <c r="B185" s="37">
        <f>B180+B184</f>
        <v/>
      </c>
    </row>
    <row r="186">
      <c r="A186" s="7" t="inlineStr">
        <is>
          <t>plus net cash</t>
        </is>
      </c>
      <c r="B186" s="18">
        <f>(Assumptions!$B$100-Assumptions!$B$103-Assumptions!$B$104)/10^6</f>
        <v/>
      </c>
    </row>
    <row r="187">
      <c r="A187" s="7" t="inlineStr">
        <is>
          <t>Enterprise value including cash</t>
        </is>
      </c>
      <c r="B187" s="18">
        <f>B185+B186</f>
        <v/>
      </c>
    </row>
    <row r="188">
      <c r="A188" s="7" t="inlineStr">
        <is>
          <t>less minority — on the WHOLE enterprise, cash included</t>
        </is>
      </c>
      <c r="B188" s="18">
        <f>B187*'Income Statement'!$B$41</f>
        <v/>
      </c>
    </row>
    <row r="189">
      <c r="A189" s="7" t="inlineStr">
        <is>
          <t>less the tax-disputes provision</t>
        </is>
      </c>
      <c r="B189" s="18">
        <f>Assumptions!$B$99/10^6</f>
        <v/>
      </c>
    </row>
    <row r="190">
      <c r="A190" s="7" t="inlineStr">
        <is>
          <t>less dividends payable — declared, out of working capital</t>
        </is>
      </c>
      <c r="B190" s="18">
        <f>Assumptions!$B$98/10^6</f>
        <v/>
      </c>
    </row>
    <row r="191">
      <c r="A191" s="7" t="inlineStr">
        <is>
          <t>plus non-operating investments and pledged deposits</t>
        </is>
      </c>
      <c r="B191" s="18">
        <f>(Assumptions!$B$102+Assumptions!$B$101)/10^6</f>
        <v/>
      </c>
    </row>
    <row r="192">
      <c r="A192" s="15" t="inlineStr">
        <is>
          <t>EQUITY ATTRIBUTABLE</t>
        </is>
      </c>
      <c r="B192" s="37">
        <f>B187-B188-B189-B190+B191</f>
        <v/>
      </c>
    </row>
    <row r="193">
      <c r="A193" s="15" t="inlineStr">
        <is>
          <t>VALUE PER SHARE, EGP</t>
        </is>
      </c>
      <c r="B193" s="22">
        <f>B192/Assumptions!$B$8</f>
        <v/>
      </c>
    </row>
    <row r="196">
      <c r="A196" s="6" t="inlineStr">
        <is>
          <t>Gross margin, shifted on every forecast year — +0.5%</t>
        </is>
      </c>
      <c r="B196" s="6" t="inlineStr">
        <is>
          <t>2026E</t>
        </is>
      </c>
      <c r="C196" s="6" t="inlineStr">
        <is>
          <t>2027E</t>
        </is>
      </c>
      <c r="D196" s="6" t="inlineStr">
        <is>
          <t>2028E</t>
        </is>
      </c>
      <c r="E196" s="6" t="inlineStr">
        <is>
          <t>2029E</t>
        </is>
      </c>
      <c r="F196" s="6" t="inlineStr">
        <is>
          <t>2030E</t>
        </is>
      </c>
    </row>
    <row r="197">
      <c r="A197" s="7" t="inlineStr">
        <is>
          <t>Inflation index, cumulative</t>
        </is>
      </c>
      <c r="C197" s="23">
        <f>Assumptions!$B$167</f>
        <v/>
      </c>
      <c r="D197" s="23">
        <f>C197*Assumptions!$B$168</f>
        <v/>
      </c>
      <c r="E197" s="23">
        <f>D197*Assumptions!$B$169</f>
        <v/>
      </c>
      <c r="F197" s="23">
        <f>E197*Assumptions!$B$170</f>
        <v/>
      </c>
      <c r="G197" s="23">
        <f>F197*Assumptions!$B$171</f>
        <v/>
      </c>
    </row>
    <row r="198">
      <c r="A198" s="7" t="inlineStr">
        <is>
          <t>Realisation index, cumulative</t>
        </is>
      </c>
      <c r="C198" s="23">
        <f>(1+Assumptions!$B$122*DCF!$B$8)</f>
        <v/>
      </c>
      <c r="D198" s="23">
        <f>C198*(1+Assumptions!$B$123*DCF!$B$8)</f>
        <v/>
      </c>
      <c r="E198" s="23">
        <f>D198*(1+Assumptions!$B$124*DCF!$B$8)</f>
        <v/>
      </c>
      <c r="F198" s="23">
        <f>E198*(1+Assumptions!$B$125*DCF!$B$8)</f>
        <v/>
      </c>
      <c r="G198" s="23">
        <f>F198*(1+Assumptions!$B$126*DCF!$B$8)</f>
        <v/>
      </c>
    </row>
    <row r="199">
      <c r="A199" s="7" t="inlineStr">
        <is>
          <t xml:space="preserve">  Volume — Base and special oils, mn t</t>
        </is>
      </c>
      <c r="C199" s="23">
        <f>'Segments'!E6*(1+Assumptions!$B$127+DCF!$B$6)</f>
        <v/>
      </c>
      <c r="D199" s="23">
        <f>C199*(1+Assumptions!$B$128+DCF!$B$6)</f>
        <v/>
      </c>
      <c r="E199" s="23">
        <f>D199*(1+Assumptions!$B$129+DCF!$B$6)</f>
        <v/>
      </c>
      <c r="F199" s="23">
        <f>E199*(1+Assumptions!$B$130+DCF!$B$6)</f>
        <v/>
      </c>
      <c r="G199" s="23">
        <f>F199*(1+Assumptions!$B$131+DCF!$B$6)</f>
        <v/>
      </c>
    </row>
    <row r="200">
      <c r="A200" s="7" t="inlineStr">
        <is>
          <t xml:space="preserve">  Volume — Paraffin wax, mn t</t>
        </is>
      </c>
      <c r="C200" s="23">
        <f>'Segments'!E7*(1+Assumptions!$B$132+DCF!$B$6)</f>
        <v/>
      </c>
      <c r="D200" s="23">
        <f>C200*(1+Assumptions!$B$133+DCF!$B$6)</f>
        <v/>
      </c>
      <c r="E200" s="23">
        <f>D200*(1+Assumptions!$B$134+DCF!$B$6)</f>
        <v/>
      </c>
      <c r="F200" s="23">
        <f>E200*(1+Assumptions!$B$135+DCF!$B$6)</f>
        <v/>
      </c>
      <c r="G200" s="23">
        <f>F200*(1+Assumptions!$B$136+DCF!$B$6)</f>
        <v/>
      </c>
    </row>
    <row r="201">
      <c r="A201" s="7" t="inlineStr">
        <is>
          <t xml:space="preserve">  Volume — Gas oil, mn t</t>
        </is>
      </c>
      <c r="C201" s="23">
        <f>'Segments'!E8*(1+Assumptions!$B$137+DCF!$B$6)</f>
        <v/>
      </c>
      <c r="D201" s="23">
        <f>C201*(1+Assumptions!$B$138+DCF!$B$6)</f>
        <v/>
      </c>
      <c r="E201" s="23">
        <f>D201*(1+Assumptions!$B$139+DCF!$B$6)</f>
        <v/>
      </c>
      <c r="F201" s="23">
        <f>E201*(1+Assumptions!$B$140+DCF!$B$6)</f>
        <v/>
      </c>
      <c r="G201" s="23">
        <f>F201*(1+Assumptions!$B$141+DCF!$B$6)</f>
        <v/>
      </c>
    </row>
    <row r="202">
      <c r="A202" s="7" t="inlineStr">
        <is>
          <t xml:space="preserve">  Volume — Naphtha, mn t</t>
        </is>
      </c>
      <c r="C202" s="23">
        <f>'Segments'!E9*(1+Assumptions!$B$142+DCF!$B$6)</f>
        <v/>
      </c>
      <c r="D202" s="23">
        <f>C202*(1+Assumptions!$B$143+DCF!$B$6)</f>
        <v/>
      </c>
      <c r="E202" s="23">
        <f>D202*(1+Assumptions!$B$144+DCF!$B$6)</f>
        <v/>
      </c>
      <c r="F202" s="23">
        <f>E202*(1+Assumptions!$B$145+DCF!$B$6)</f>
        <v/>
      </c>
      <c r="G202" s="23">
        <f>F202*(1+Assumptions!$B$146+DCF!$B$6)</f>
        <v/>
      </c>
    </row>
    <row r="203">
      <c r="A203" s="7" t="inlineStr">
        <is>
          <t xml:space="preserve">  Volume — Liquefied petroleum gas, mn t</t>
        </is>
      </c>
      <c r="C203" s="23">
        <f>'Segments'!E10*(1+Assumptions!$B$147+DCF!$B$6)</f>
        <v/>
      </c>
      <c r="D203" s="23">
        <f>C203*(1+Assumptions!$B$148+DCF!$B$6)</f>
        <v/>
      </c>
      <c r="E203" s="23">
        <f>D203*(1+Assumptions!$B$149+DCF!$B$6)</f>
        <v/>
      </c>
      <c r="F203" s="23">
        <f>E203*(1+Assumptions!$B$150+DCF!$B$6)</f>
        <v/>
      </c>
      <c r="G203" s="23">
        <f>F203*(1+Assumptions!$B$151+DCF!$B$6)</f>
        <v/>
      </c>
    </row>
    <row r="204">
      <c r="A204" s="7" t="inlineStr">
        <is>
          <t xml:space="preserve">  Volume — Fuel oil (mix), mn t</t>
        </is>
      </c>
      <c r="C204" s="23">
        <f>'Segments'!E11*(1+Assumptions!$B$152+DCF!$B$6)</f>
        <v/>
      </c>
      <c r="D204" s="23">
        <f>C204*(1+Assumptions!$B$153+DCF!$B$6)</f>
        <v/>
      </c>
      <c r="E204" s="23">
        <f>D204*(1+Assumptions!$B$154+DCF!$B$6)</f>
        <v/>
      </c>
      <c r="F204" s="23">
        <f>E204*(1+Assumptions!$B$155+DCF!$B$6)</f>
        <v/>
      </c>
      <c r="G204" s="23">
        <f>F204*(1+Assumptions!$B$156+DCF!$B$6)</f>
        <v/>
      </c>
    </row>
    <row r="205">
      <c r="A205" s="7" t="inlineStr">
        <is>
          <t xml:space="preserve">  Volume — Heavy fuel oil, mn t</t>
        </is>
      </c>
      <c r="C205" s="23">
        <f>'Segments'!E12*(1+Assumptions!$B$157+DCF!$B$6)</f>
        <v/>
      </c>
      <c r="D205" s="23">
        <f>C205*(1+Assumptions!$B$158+DCF!$B$6)</f>
        <v/>
      </c>
      <c r="E205" s="23">
        <f>D205*(1+Assumptions!$B$159+DCF!$B$6)</f>
        <v/>
      </c>
      <c r="F205" s="23">
        <f>E205*(1+Assumptions!$B$160+DCF!$B$6)</f>
        <v/>
      </c>
      <c r="G205" s="23">
        <f>F205*(1+Assumptions!$B$161+DCF!$B$6)</f>
        <v/>
      </c>
    </row>
    <row r="206">
      <c r="A206" s="7" t="inlineStr">
        <is>
          <t xml:space="preserve">  Volume — Waste, mn t</t>
        </is>
      </c>
      <c r="C206" s="23">
        <f>'Segments'!E13*(1+Assumptions!$B$162+DCF!$B$6)</f>
        <v/>
      </c>
      <c r="D206" s="23">
        <f>C206*(1+Assumptions!$B$163+DCF!$B$6)</f>
        <v/>
      </c>
      <c r="E206" s="23">
        <f>D206*(1+Assumptions!$B$164+DCF!$B$6)</f>
        <v/>
      </c>
      <c r="F206" s="23">
        <f>E206*(1+Assumptions!$B$165+DCF!$B$6)</f>
        <v/>
      </c>
      <c r="G206" s="23">
        <f>F206*(1+Assumptions!$B$166+DCF!$B$6)</f>
        <v/>
      </c>
    </row>
    <row r="207">
      <c r="A207" s="15" t="inlineStr">
        <is>
          <t>Total volume, mn t</t>
        </is>
      </c>
      <c r="C207" s="36">
        <f>SUM(C199:C206)</f>
        <v/>
      </c>
      <c r="D207" s="36">
        <f>SUM(D199:D206)</f>
        <v/>
      </c>
      <c r="E207" s="36">
        <f>SUM(E199:E206)</f>
        <v/>
      </c>
      <c r="F207" s="36">
        <f>SUM(F199:F206)</f>
        <v/>
      </c>
      <c r="G207" s="36">
        <f>SUM(G199:G206)</f>
        <v/>
      </c>
    </row>
    <row r="208">
      <c r="A208" s="15" t="inlineStr">
        <is>
          <t>REVENUE</t>
        </is>
      </c>
      <c r="C208" s="37">
        <f>C199*'Segments'!$F$6*C198+C200*'Segments'!$F$7*C198+C201*'Segments'!$F$8*C198+C202*'Segments'!$F$9*C198+C203*'Segments'!$F$10*C198+C204*'Segments'!$F$11*C198+C205*'Segments'!$F$12*C198+C206*'Segments'!$F$13*C198</f>
        <v/>
      </c>
      <c r="D208" s="37">
        <f>D199*'Segments'!$F$6*D198+D200*'Segments'!$F$7*D198+D201*'Segments'!$F$8*D198+D202*'Segments'!$F$9*D198+D203*'Segments'!$F$10*D198+D204*'Segments'!$F$11*D198+D205*'Segments'!$F$12*D198+D206*'Segments'!$F$13*D198</f>
        <v/>
      </c>
      <c r="E208" s="37">
        <f>E199*'Segments'!$F$6*E198+E200*'Segments'!$F$7*E198+E201*'Segments'!$F$8*E198+E202*'Segments'!$F$9*E198+E203*'Segments'!$F$10*E198+E204*'Segments'!$F$11*E198+E205*'Segments'!$F$12*E198+E206*'Segments'!$F$13*E198</f>
        <v/>
      </c>
      <c r="F208" s="37">
        <f>F199*'Segments'!$F$6*F198+F200*'Segments'!$F$7*F198+F201*'Segments'!$F$8*F198+F202*'Segments'!$F$9*F198+F203*'Segments'!$F$10*F198+F204*'Segments'!$F$11*F198+F205*'Segments'!$F$12*F198+F206*'Segments'!$F$13*F198</f>
        <v/>
      </c>
      <c r="G208" s="37">
        <f>G199*'Segments'!$F$6*G198+G200*'Segments'!$F$7*G198+G201*'Segments'!$F$8*G198+G202*'Segments'!$F$9*G198+G203*'Segments'!$F$10*G198+G204*'Segments'!$F$11*G198+G205*'Segments'!$F$12*G198+G206*'Segments'!$F$13*G198</f>
        <v/>
      </c>
    </row>
    <row r="209">
      <c r="A209" s="7" t="inlineStr">
        <is>
          <t>Cost of sales</t>
        </is>
      </c>
      <c r="C209" s="18">
        <f>C199*('Segments'!$D$27*C198*Assumptions!$B$109+'Segments'!$B$27*(0.4983251709*C197+0.4357405005*C197+0.0330936548*C198+0.0328406739))+C200*('Segments'!$D$28*C198*Assumptions!$B$109+'Segments'!$B$28*(0.4983251709*C197+0.4357405005*C197+0.0330936548*C198+0.0328406739))+C201*('Segments'!$D$29*C198*Assumptions!$B$109+'Segments'!$B$29*(0.4983251709*C197+0.4357405005*C197+0.0330936548*C198+0.0328406739))+C202*('Segments'!$D$30*C198*Assumptions!$B$109+'Segments'!$B$30*(0.4983251709*C197+0.4357405005*C197+0.0330936548*C198+0.0328406739))+C203*('Segments'!$D$31*C198*Assumptions!$B$109+'Segments'!$B$31*(0.4983251709*C197+0.4357405005*C197+0.0330936548*C198+0.0328406739))+C204*('Segments'!$D$32*C198*Assumptions!$B$109+'Segments'!$B$32*(0.4983251709*C197+0.4357405005*C197+0.0330936548*C198+0.0328406739))+C205*('Segments'!$D$33*C198*Assumptions!$B$109+'Segments'!$B$33*(0.4983251709*C197+0.4357405005*C197+0.0330936548*C198+0.0328406739))+C206*('Segments'!$D$34*C198*Assumptions!$B$109+'Segments'!$B$34*(0.4983251709*C197+0.4357405005*C197+0.0330936548*C198+0.0328406739))</f>
        <v/>
      </c>
      <c r="D209" s="18">
        <f>D199*('Segments'!$D$27*D198*Assumptions!$B$109+'Segments'!$B$27*(0.4983251709*D197+0.4357405005*D197+0.0330936548*D198+0.0328406739))+D200*('Segments'!$D$28*D198*Assumptions!$B$109+'Segments'!$B$28*(0.4983251709*D197+0.4357405005*D197+0.0330936548*D198+0.0328406739))+D201*('Segments'!$D$29*D198*Assumptions!$B$109+'Segments'!$B$29*(0.4983251709*D197+0.4357405005*D197+0.0330936548*D198+0.0328406739))+D202*('Segments'!$D$30*D198*Assumptions!$B$109+'Segments'!$B$30*(0.4983251709*D197+0.4357405005*D197+0.0330936548*D198+0.0328406739))+D203*('Segments'!$D$31*D198*Assumptions!$B$109+'Segments'!$B$31*(0.4983251709*D197+0.4357405005*D197+0.0330936548*D198+0.0328406739))+D204*('Segments'!$D$32*D198*Assumptions!$B$109+'Segments'!$B$32*(0.4983251709*D197+0.4357405005*D197+0.0330936548*D198+0.0328406739))+D205*('Segments'!$D$33*D198*Assumptions!$B$109+'Segments'!$B$33*(0.4983251709*D197+0.4357405005*D197+0.0330936548*D198+0.0328406739))+D206*('Segments'!$D$34*D198*Assumptions!$B$109+'Segments'!$B$34*(0.4983251709*D197+0.4357405005*D197+0.0330936548*D198+0.0328406739))</f>
        <v/>
      </c>
      <c r="E209" s="18">
        <f>E199*('Segments'!$D$27*E198*Assumptions!$B$109+'Segments'!$B$27*(0.4983251709*E197+0.4357405005*E197+0.0330936548*E198+0.0328406739))+E200*('Segments'!$D$28*E198*Assumptions!$B$109+'Segments'!$B$28*(0.4983251709*E197+0.4357405005*E197+0.0330936548*E198+0.0328406739))+E201*('Segments'!$D$29*E198*Assumptions!$B$109+'Segments'!$B$29*(0.4983251709*E197+0.4357405005*E197+0.0330936548*E198+0.0328406739))+E202*('Segments'!$D$30*E198*Assumptions!$B$109+'Segments'!$B$30*(0.4983251709*E197+0.4357405005*E197+0.0330936548*E198+0.0328406739))+E203*('Segments'!$D$31*E198*Assumptions!$B$109+'Segments'!$B$31*(0.4983251709*E197+0.4357405005*E197+0.0330936548*E198+0.0328406739))+E204*('Segments'!$D$32*E198*Assumptions!$B$109+'Segments'!$B$32*(0.4983251709*E197+0.4357405005*E197+0.0330936548*E198+0.0328406739))+E205*('Segments'!$D$33*E198*Assumptions!$B$109+'Segments'!$B$33*(0.4983251709*E197+0.4357405005*E197+0.0330936548*E198+0.0328406739))+E206*('Segments'!$D$34*E198*Assumptions!$B$109+'Segments'!$B$34*(0.4983251709*E197+0.4357405005*E197+0.0330936548*E198+0.0328406739))</f>
        <v/>
      </c>
      <c r="F209" s="18">
        <f>F199*('Segments'!$D$27*F198*Assumptions!$B$109+'Segments'!$B$27*(0.4983251709*F197+0.4357405005*F197+0.0330936548*F198+0.0328406739))+F200*('Segments'!$D$28*F198*Assumptions!$B$109+'Segments'!$B$28*(0.4983251709*F197+0.4357405005*F197+0.0330936548*F198+0.0328406739))+F201*('Segments'!$D$29*F198*Assumptions!$B$109+'Segments'!$B$29*(0.4983251709*F197+0.4357405005*F197+0.0330936548*F198+0.0328406739))+F202*('Segments'!$D$30*F198*Assumptions!$B$109+'Segments'!$B$30*(0.4983251709*F197+0.4357405005*F197+0.0330936548*F198+0.0328406739))+F203*('Segments'!$D$31*F198*Assumptions!$B$109+'Segments'!$B$31*(0.4983251709*F197+0.4357405005*F197+0.0330936548*F198+0.0328406739))+F204*('Segments'!$D$32*F198*Assumptions!$B$109+'Segments'!$B$32*(0.4983251709*F197+0.4357405005*F197+0.0330936548*F198+0.0328406739))+F205*('Segments'!$D$33*F198*Assumptions!$B$109+'Segments'!$B$33*(0.4983251709*F197+0.4357405005*F197+0.0330936548*F198+0.0328406739))+F206*('Segments'!$D$34*F198*Assumptions!$B$109+'Segments'!$B$34*(0.4983251709*F197+0.4357405005*F197+0.0330936548*F198+0.0328406739))</f>
        <v/>
      </c>
      <c r="G209" s="18">
        <f>G199*('Segments'!$D$27*G198*Assumptions!$B$109+'Segments'!$B$27*(0.4983251709*G197+0.4357405005*G197+0.0330936548*G198+0.0328406739))+G200*('Segments'!$D$28*G198*Assumptions!$B$109+'Segments'!$B$28*(0.4983251709*G197+0.4357405005*G197+0.0330936548*G198+0.0328406739))+G201*('Segments'!$D$29*G198*Assumptions!$B$109+'Segments'!$B$29*(0.4983251709*G197+0.4357405005*G197+0.0330936548*G198+0.0328406739))+G202*('Segments'!$D$30*G198*Assumptions!$B$109+'Segments'!$B$30*(0.4983251709*G197+0.4357405005*G197+0.0330936548*G198+0.0328406739))+G203*('Segments'!$D$31*G198*Assumptions!$B$109+'Segments'!$B$31*(0.4983251709*G197+0.4357405005*G197+0.0330936548*G198+0.0328406739))+G204*('Segments'!$D$32*G198*Assumptions!$B$109+'Segments'!$B$32*(0.4983251709*G197+0.4357405005*G197+0.0330936548*G198+0.0328406739))+G205*('Segments'!$D$33*G198*Assumptions!$B$109+'Segments'!$B$33*(0.4983251709*G197+0.4357405005*G197+0.0330936548*G198+0.0328406739))+G206*('Segments'!$D$34*G198*Assumptions!$B$109+'Segments'!$B$34*(0.4983251709*G197+0.4357405005*G197+0.0330936548*G198+0.0328406739))</f>
        <v/>
      </c>
    </row>
    <row r="210">
      <c r="A210" s="15" t="inlineStr">
        <is>
          <t>GROSS PROFIT</t>
        </is>
      </c>
      <c r="C210" s="37">
        <f>C208-C209+$C$9*C208</f>
        <v/>
      </c>
      <c r="D210" s="37">
        <f>D208-D209+$C$9*D208</f>
        <v/>
      </c>
      <c r="E210" s="37">
        <f>E208-E209+$C$9*E208</f>
        <v/>
      </c>
      <c r="F210" s="37">
        <f>F208-F209+$C$9*F208</f>
        <v/>
      </c>
      <c r="G210" s="37">
        <f>G208-G209+$C$9*G208</f>
        <v/>
      </c>
    </row>
    <row r="211">
      <c r="A211" s="7" t="inlineStr">
        <is>
          <t>Gross margin</t>
        </is>
      </c>
      <c r="C211" s="24">
        <f>C210/C208</f>
        <v/>
      </c>
      <c r="D211" s="24">
        <f>D210/D208</f>
        <v/>
      </c>
      <c r="E211" s="24">
        <f>E210/E208</f>
        <v/>
      </c>
      <c r="F211" s="24">
        <f>F210/F208</f>
        <v/>
      </c>
      <c r="G211" s="24">
        <f>G210/G208</f>
        <v/>
      </c>
    </row>
    <row r="212">
      <c r="A212" s="7" t="inlineStr">
        <is>
          <t>Operating expense</t>
        </is>
      </c>
      <c r="C212" s="18">
        <f>('Income Statement'!$B$28*C197)+('Income Statement'!$B$29*C197*C207/'Segments'!$E$14)+('Income Statement'!$B$30*C197)+('Income Statement'!$B$31*C197)</f>
        <v/>
      </c>
      <c r="D212" s="18">
        <f>('Income Statement'!$B$28*D197)+('Income Statement'!$B$29*D197*D207/'Segments'!$E$14)+('Income Statement'!$B$30*D197)+('Income Statement'!$B$31*D197)</f>
        <v/>
      </c>
      <c r="E212" s="18">
        <f>('Income Statement'!$B$28*E197)+('Income Statement'!$B$29*E197*E207/'Segments'!$E$14)+('Income Statement'!$B$30*E197)+('Income Statement'!$B$31*E197)</f>
        <v/>
      </c>
      <c r="F212" s="18">
        <f>('Income Statement'!$B$28*F197)+('Income Statement'!$B$29*F197*F207/'Segments'!$E$14)+('Income Statement'!$B$30*F197)+('Income Statement'!$B$31*F197)</f>
        <v/>
      </c>
      <c r="G212" s="18">
        <f>('Income Statement'!$B$28*G197)+('Income Statement'!$B$29*G197*G207/'Segments'!$E$14)+('Income Statement'!$B$30*G197)+('Income Statement'!$B$31*G197)</f>
        <v/>
      </c>
    </row>
    <row r="213">
      <c r="A213" s="15" t="inlineStr">
        <is>
          <t>EBITDA</t>
        </is>
      </c>
      <c r="C213" s="37">
        <f>C210-C212</f>
        <v/>
      </c>
      <c r="D213" s="37">
        <f>D210-D212</f>
        <v/>
      </c>
      <c r="E213" s="37">
        <f>E210-E212</f>
        <v/>
      </c>
      <c r="F213" s="37">
        <f>F210-F212</f>
        <v/>
      </c>
      <c r="G213" s="37">
        <f>G210-G212</f>
        <v/>
      </c>
    </row>
    <row r="214">
      <c r="A214" s="7" t="inlineStr">
        <is>
          <t>Capital expenditure — maintenance + growth</t>
        </is>
      </c>
      <c r="C214" s="18">
        <f>'Income Statement'!$B$43*C197+MAX(C207-'Segments'!$E$14,0)*2100.379938*C197</f>
        <v/>
      </c>
      <c r="D214" s="18">
        <f>'Income Statement'!$B$43*D197+MAX(D207-C207,0)*2100.379938*D197</f>
        <v/>
      </c>
      <c r="E214" s="18">
        <f>'Income Statement'!$B$43*E197+MAX(E207-D207,0)*2100.379938*E197</f>
        <v/>
      </c>
      <c r="F214" s="18">
        <f>'Income Statement'!$B$43*F197+MAX(F207-E207,0)*2100.379938*F197</f>
        <v/>
      </c>
      <c r="G214" s="18">
        <f>'Income Statement'!$B$43*G197+MAX(G207-F207,0)*2100.379938*G197</f>
        <v/>
      </c>
    </row>
    <row r="215">
      <c r="A215" s="7" t="inlineStr">
        <is>
          <t>Fixed assets at cost, closing</t>
        </is>
      </c>
      <c r="C215" s="18">
        <f>(Assumptions!$B$91+Assumptions!$B$92)/10^6+C214</f>
        <v/>
      </c>
      <c r="D215" s="18">
        <f>C215+D214</f>
        <v/>
      </c>
      <c r="E215" s="18">
        <f>D215+E214</f>
        <v/>
      </c>
      <c r="F215" s="18">
        <f>E215+F214</f>
        <v/>
      </c>
      <c r="G215" s="18">
        <f>F215+G214</f>
        <v/>
      </c>
    </row>
    <row r="216">
      <c r="A216" s="7" t="inlineStr">
        <is>
          <t>Depreciation — rolls off the asset register</t>
        </is>
      </c>
      <c r="C216" s="18">
        <f>(Assumptions!$B$91+Assumptions!$B$92)/10^6/'Income Statement'!$B$42</f>
        <v/>
      </c>
      <c r="D216" s="18">
        <f>C215/'Income Statement'!$B$42</f>
        <v/>
      </c>
      <c r="E216" s="18">
        <f>D215/'Income Statement'!$B$42</f>
        <v/>
      </c>
      <c r="F216" s="18">
        <f>E215/'Income Statement'!$B$42</f>
        <v/>
      </c>
      <c r="G216" s="18">
        <f>F215/'Income Statement'!$B$42</f>
        <v/>
      </c>
    </row>
    <row r="217">
      <c r="A217" s="7" t="inlineStr">
        <is>
          <t>Fixed assets, net book, closing</t>
        </is>
      </c>
      <c r="C217" s="18">
        <f>(Assumptions!$B$90+Assumptions!$B$92)/10^6+C214-C216</f>
        <v/>
      </c>
      <c r="D217" s="18">
        <f>C217+D214-D216</f>
        <v/>
      </c>
      <c r="E217" s="18">
        <f>D217+E214-E216</f>
        <v/>
      </c>
      <c r="F217" s="18">
        <f>E217+F214-F216</f>
        <v/>
      </c>
      <c r="G217" s="18">
        <f>F217+G214-G216</f>
        <v/>
      </c>
    </row>
    <row r="218">
      <c r="A218" s="15" t="inlineStr">
        <is>
          <t>EBIT</t>
        </is>
      </c>
      <c r="C218" s="37">
        <f>C213-C216</f>
        <v/>
      </c>
      <c r="D218" s="37">
        <f>D213-D216</f>
        <v/>
      </c>
      <c r="E218" s="37">
        <f>E213-E216</f>
        <v/>
      </c>
      <c r="F218" s="37">
        <f>F213-F216</f>
        <v/>
      </c>
      <c r="G218" s="37">
        <f>G213-G216</f>
        <v/>
      </c>
    </row>
    <row r="219">
      <c r="A219" s="7" t="inlineStr">
        <is>
          <t>NOPAT before the profit share</t>
        </is>
      </c>
      <c r="C219" s="18">
        <f>C218*(1-Assumptions!$B$108)</f>
        <v/>
      </c>
      <c r="D219" s="18">
        <f>D218*(1-Assumptions!$B$108)</f>
        <v/>
      </c>
      <c r="E219" s="18">
        <f>E218*(1-Assumptions!$B$108)</f>
        <v/>
      </c>
      <c r="F219" s="18">
        <f>F218*(1-Assumptions!$B$108)</f>
        <v/>
      </c>
      <c r="G219" s="18">
        <f>G218*(1-Assumptions!$B$108)</f>
        <v/>
      </c>
    </row>
    <row r="220">
      <c r="A220" s="7" t="inlineStr">
        <is>
          <t xml:space="preserve">  less employees' profit share and board bonuses</t>
        </is>
      </c>
      <c r="C220" s="18">
        <f>MAX(C219,0)*'Income Statement'!$B$40</f>
        <v/>
      </c>
      <c r="D220" s="18">
        <f>MAX(D219,0)*'Income Statement'!$B$40</f>
        <v/>
      </c>
      <c r="E220" s="18">
        <f>MAX(E219,0)*'Income Statement'!$B$40</f>
        <v/>
      </c>
      <c r="F220" s="18">
        <f>MAX(F219,0)*'Income Statement'!$B$40</f>
        <v/>
      </c>
      <c r="G220" s="18">
        <f>MAX(G219,0)*'Income Statement'!$B$40</f>
        <v/>
      </c>
    </row>
    <row r="221">
      <c r="A221" s="15" t="inlineStr">
        <is>
          <t>NOPAT</t>
        </is>
      </c>
      <c r="C221" s="37">
        <f>C219-C220</f>
        <v/>
      </c>
      <c r="D221" s="37">
        <f>D219-D220</f>
        <v/>
      </c>
      <c r="E221" s="37">
        <f>E219-E220</f>
        <v/>
      </c>
      <c r="F221" s="37">
        <f>F219-F220</f>
        <v/>
      </c>
      <c r="G221" s="37">
        <f>G219-G220</f>
        <v/>
      </c>
    </row>
    <row r="222">
      <c r="A222" s="7" t="inlineStr">
        <is>
          <t>Net working capital — on days</t>
        </is>
      </c>
      <c r="C222" s="18">
        <f>'Income Statement'!$B$44*DCF!$B$9/365*C209+'Income Statement'!$B$45*DCF!$B$9/365*C208-'Income Statement'!$B$46*DCF!$B$9/365*C209</f>
        <v/>
      </c>
      <c r="D222" s="18">
        <f>'Income Statement'!$B$44*DCF!$B$9/365*D209+'Income Statement'!$B$45*DCF!$B$9/365*D208-'Income Statement'!$B$46*DCF!$B$9/365*D209</f>
        <v/>
      </c>
      <c r="E222" s="18">
        <f>'Income Statement'!$B$44*DCF!$B$9/365*E209+'Income Statement'!$B$45*DCF!$B$9/365*E208-'Income Statement'!$B$46*DCF!$B$9/365*E209</f>
        <v/>
      </c>
      <c r="F222" s="18">
        <f>'Income Statement'!$B$44*DCF!$B$9/365*F209+'Income Statement'!$B$45*DCF!$B$9/365*F208-'Income Statement'!$B$46*DCF!$B$9/365*F209</f>
        <v/>
      </c>
      <c r="G222" s="18">
        <f>'Income Statement'!$B$44*DCF!$B$9/365*G209+'Income Statement'!$B$45*DCF!$B$9/365*G208-'Income Statement'!$B$46*DCF!$B$9/365*G209</f>
        <v/>
      </c>
    </row>
    <row r="223">
      <c r="A223" s="7" t="inlineStr">
        <is>
          <t xml:space="preserve">  change in working capital</t>
        </is>
      </c>
      <c r="C223" s="18">
        <f>C222-('Income Statement'!$B$44/365*'Income Statement'!$B$21+'Income Statement'!$B$45/365*'Income Statement'!$B$19-'Income Statement'!$B$46/365*'Income Statement'!$B$21)</f>
        <v/>
      </c>
      <c r="D223" s="18">
        <f>D222-C222</f>
        <v/>
      </c>
      <c r="E223" s="18">
        <f>E222-D222</f>
        <v/>
      </c>
      <c r="F223" s="18">
        <f>F222-E222</f>
        <v/>
      </c>
      <c r="G223" s="18">
        <f>G222-F222</f>
        <v/>
      </c>
    </row>
    <row r="224">
      <c r="A224" s="15" t="inlineStr">
        <is>
          <t>FREE CASH FLOW TO THE FIRM</t>
        </is>
      </c>
      <c r="C224" s="37">
        <f>C221+C216-C214-C223</f>
        <v/>
      </c>
      <c r="D224" s="37">
        <f>D221+D216-D214-D223</f>
        <v/>
      </c>
      <c r="E224" s="37">
        <f>E221+E216-E214-E223</f>
        <v/>
      </c>
      <c r="F224" s="37">
        <f>F221+F216-F214-F223</f>
        <v/>
      </c>
      <c r="G224" s="37">
        <f>G221+G216-G214-G223</f>
        <v/>
      </c>
    </row>
    <row r="225">
      <c r="A225" s="7" t="inlineStr">
        <is>
          <t>Glide fraction</t>
        </is>
      </c>
      <c r="C225" s="23">
        <f>0.0000000000</f>
        <v/>
      </c>
      <c r="D225" s="23">
        <f>0.3571428571</f>
        <v/>
      </c>
      <c r="E225" s="23">
        <f>0.6428571429</f>
        <v/>
      </c>
      <c r="F225" s="23">
        <f>0.8571428571</f>
        <v/>
      </c>
      <c r="G225" s="23">
        <f>1.0000000000</f>
        <v/>
      </c>
    </row>
    <row r="226">
      <c r="A226" s="7" t="inlineStr">
        <is>
          <t>Forward cost of capital</t>
        </is>
      </c>
      <c r="C226" s="24">
        <f>DCF!$B$14-(DCF!$B$14-DCF!$B$17)*C225</f>
        <v/>
      </c>
      <c r="D226" s="24">
        <f>DCF!$B$14-(DCF!$B$14-DCF!$B$17)*D225</f>
        <v/>
      </c>
      <c r="E226" s="24">
        <f>DCF!$B$14-(DCF!$B$14-DCF!$B$17)*E225</f>
        <v/>
      </c>
      <c r="F226" s="24">
        <f>DCF!$B$14-(DCF!$B$14-DCF!$B$17)*F225</f>
        <v/>
      </c>
      <c r="G226" s="24">
        <f>DCF!$B$14-(DCF!$B$14-DCF!$B$17)*G225</f>
        <v/>
      </c>
    </row>
    <row r="227">
      <c r="A227" s="7" t="inlineStr">
        <is>
          <t>Cumulative discount factor</t>
        </is>
      </c>
      <c r="C227" s="40">
        <f>1/(1+C226)</f>
        <v/>
      </c>
      <c r="D227" s="40">
        <f>C227/(1+D226)</f>
        <v/>
      </c>
      <c r="E227" s="40">
        <f>D227/(1+E226)</f>
        <v/>
      </c>
      <c r="F227" s="40">
        <f>E227/(1+F226)</f>
        <v/>
      </c>
      <c r="G227" s="40">
        <f>F227/(1+G226)</f>
        <v/>
      </c>
    </row>
    <row r="228">
      <c r="A228" s="7" t="inlineStr">
        <is>
          <t>Present value</t>
        </is>
      </c>
      <c r="C228" s="18">
        <f>C224*C227</f>
        <v/>
      </c>
      <c r="D228" s="18">
        <f>D224*D227</f>
        <v/>
      </c>
      <c r="E228" s="18">
        <f>E224*E227</f>
        <v/>
      </c>
      <c r="F228" s="18">
        <f>F224*F227</f>
        <v/>
      </c>
      <c r="G228" s="18">
        <f>G224*G227</f>
        <v/>
      </c>
    </row>
    <row r="229">
      <c r="A229" s="15" t="inlineStr">
        <is>
          <t>PV of the explicit window</t>
        </is>
      </c>
      <c r="B229" s="37">
        <f>SUM(C228:G228)</f>
        <v/>
      </c>
      <c r="C229" s="18">
        <f>C222+C215</f>
        <v/>
      </c>
      <c r="D229" s="18">
        <f>D222+D215</f>
        <v/>
      </c>
      <c r="E229" s="18">
        <f>E222+E215</f>
        <v/>
      </c>
      <c r="F229" s="18">
        <f>F222+F215</f>
        <v/>
      </c>
      <c r="G229" s="18">
        <f>G222+G215</f>
        <v/>
      </c>
    </row>
    <row r="230">
      <c r="A230" s="7" t="inlineStr">
        <is>
          <t>Terminal return on invested capital, at REPLACEMENT cost</t>
        </is>
      </c>
      <c r="B230" s="24">
        <f>G221*(1+Assumptions!$B$110)/G229</f>
        <v/>
      </c>
    </row>
    <row r="231">
      <c r="A231" s="7" t="inlineStr">
        <is>
          <t>Required reinvestment = growth / return</t>
        </is>
      </c>
      <c r="B231" s="24">
        <f>MIN(Assumptions!$B$110/B230,0.95)</f>
        <v/>
      </c>
    </row>
    <row r="232">
      <c r="A232" s="7" t="inlineStr">
        <is>
          <t>Terminal value</t>
        </is>
      </c>
      <c r="B232" s="18">
        <f>G221*(1+Assumptions!$B$110)*(1-B231)/MAX(DCF!$B$17-Assumptions!$B$110,0.02)</f>
        <v/>
      </c>
    </row>
    <row r="233">
      <c r="A233" s="7" t="inlineStr">
        <is>
          <t>PV of the terminal block</t>
        </is>
      </c>
      <c r="B233" s="18">
        <f>B232*G227</f>
        <v/>
      </c>
    </row>
    <row r="234">
      <c r="A234" s="15" t="inlineStr">
        <is>
          <t>ENTERPRISE VALUE</t>
        </is>
      </c>
      <c r="B234" s="37">
        <f>B229+B233</f>
        <v/>
      </c>
    </row>
    <row r="235">
      <c r="A235" s="7" t="inlineStr">
        <is>
          <t>plus net cash</t>
        </is>
      </c>
      <c r="B235" s="18">
        <f>(Assumptions!$B$100-Assumptions!$B$103-Assumptions!$B$104)/10^6</f>
        <v/>
      </c>
    </row>
    <row r="236">
      <c r="A236" s="7" t="inlineStr">
        <is>
          <t>Enterprise value including cash</t>
        </is>
      </c>
      <c r="B236" s="18">
        <f>B234+B235</f>
        <v/>
      </c>
    </row>
    <row r="237">
      <c r="A237" s="7" t="inlineStr">
        <is>
          <t>less minority — on the WHOLE enterprise, cash included</t>
        </is>
      </c>
      <c r="B237" s="18">
        <f>B236*'Income Statement'!$B$41</f>
        <v/>
      </c>
    </row>
    <row r="238">
      <c r="A238" s="7" t="inlineStr">
        <is>
          <t>less the tax-disputes provision</t>
        </is>
      </c>
      <c r="B238" s="18">
        <f>Assumptions!$B$99/10^6</f>
        <v/>
      </c>
    </row>
    <row r="239">
      <c r="A239" s="7" t="inlineStr">
        <is>
          <t>less dividends payable — declared, out of working capital</t>
        </is>
      </c>
      <c r="B239" s="18">
        <f>Assumptions!$B$98/10^6</f>
        <v/>
      </c>
    </row>
    <row r="240">
      <c r="A240" s="7" t="inlineStr">
        <is>
          <t>plus non-operating investments and pledged deposits</t>
        </is>
      </c>
      <c r="B240" s="18">
        <f>(Assumptions!$B$102+Assumptions!$B$101)/10^6</f>
        <v/>
      </c>
    </row>
    <row r="241">
      <c r="A241" s="15" t="inlineStr">
        <is>
          <t>EQUITY ATTRIBUTABLE</t>
        </is>
      </c>
      <c r="B241" s="37">
        <f>B236-B237-B238-B239+B240</f>
        <v/>
      </c>
    </row>
    <row r="242">
      <c r="A242" s="15" t="inlineStr">
        <is>
          <t>VALUE PER SHARE, EGP</t>
        </is>
      </c>
      <c r="B242" s="22">
        <f>B241/Assumptions!$B$8</f>
        <v/>
      </c>
    </row>
    <row r="245">
      <c r="A245" s="6" t="inlineStr">
        <is>
          <t>Gross margin, shifted on every forecast year — +1.0%</t>
        </is>
      </c>
      <c r="B245" s="6" t="inlineStr">
        <is>
          <t>2026E</t>
        </is>
      </c>
      <c r="C245" s="6" t="inlineStr">
        <is>
          <t>2027E</t>
        </is>
      </c>
      <c r="D245" s="6" t="inlineStr">
        <is>
          <t>2028E</t>
        </is>
      </c>
      <c r="E245" s="6" t="inlineStr">
        <is>
          <t>2029E</t>
        </is>
      </c>
      <c r="F245" s="6" t="inlineStr">
        <is>
          <t>2030E</t>
        </is>
      </c>
    </row>
    <row r="246">
      <c r="A246" s="7" t="inlineStr">
        <is>
          <t>Inflation index, cumulative</t>
        </is>
      </c>
      <c r="C246" s="23">
        <f>Assumptions!$B$167</f>
        <v/>
      </c>
      <c r="D246" s="23">
        <f>C246*Assumptions!$B$168</f>
        <v/>
      </c>
      <c r="E246" s="23">
        <f>D246*Assumptions!$B$169</f>
        <v/>
      </c>
      <c r="F246" s="23">
        <f>E246*Assumptions!$B$170</f>
        <v/>
      </c>
      <c r="G246" s="23">
        <f>F246*Assumptions!$B$171</f>
        <v/>
      </c>
    </row>
    <row r="247">
      <c r="A247" s="7" t="inlineStr">
        <is>
          <t>Realisation index, cumulative</t>
        </is>
      </c>
      <c r="C247" s="23">
        <f>(1+Assumptions!$B$122*DCF!$B$8)</f>
        <v/>
      </c>
      <c r="D247" s="23">
        <f>C247*(1+Assumptions!$B$123*DCF!$B$8)</f>
        <v/>
      </c>
      <c r="E247" s="23">
        <f>D247*(1+Assumptions!$B$124*DCF!$B$8)</f>
        <v/>
      </c>
      <c r="F247" s="23">
        <f>E247*(1+Assumptions!$B$125*DCF!$B$8)</f>
        <v/>
      </c>
      <c r="G247" s="23">
        <f>F247*(1+Assumptions!$B$126*DCF!$B$8)</f>
        <v/>
      </c>
    </row>
    <row r="248">
      <c r="A248" s="7" t="inlineStr">
        <is>
          <t xml:space="preserve">  Volume — Base and special oils, mn t</t>
        </is>
      </c>
      <c r="C248" s="23">
        <f>'Segments'!E6*(1+Assumptions!$B$127+DCF!$B$6)</f>
        <v/>
      </c>
      <c r="D248" s="23">
        <f>C248*(1+Assumptions!$B$128+DCF!$B$6)</f>
        <v/>
      </c>
      <c r="E248" s="23">
        <f>D248*(1+Assumptions!$B$129+DCF!$B$6)</f>
        <v/>
      </c>
      <c r="F248" s="23">
        <f>E248*(1+Assumptions!$B$130+DCF!$B$6)</f>
        <v/>
      </c>
      <c r="G248" s="23">
        <f>F248*(1+Assumptions!$B$131+DCF!$B$6)</f>
        <v/>
      </c>
    </row>
    <row r="249">
      <c r="A249" s="7" t="inlineStr">
        <is>
          <t xml:space="preserve">  Volume — Paraffin wax, mn t</t>
        </is>
      </c>
      <c r="C249" s="23">
        <f>'Segments'!E7*(1+Assumptions!$B$132+DCF!$B$6)</f>
        <v/>
      </c>
      <c r="D249" s="23">
        <f>C249*(1+Assumptions!$B$133+DCF!$B$6)</f>
        <v/>
      </c>
      <c r="E249" s="23">
        <f>D249*(1+Assumptions!$B$134+DCF!$B$6)</f>
        <v/>
      </c>
      <c r="F249" s="23">
        <f>E249*(1+Assumptions!$B$135+DCF!$B$6)</f>
        <v/>
      </c>
      <c r="G249" s="23">
        <f>F249*(1+Assumptions!$B$136+DCF!$B$6)</f>
        <v/>
      </c>
    </row>
    <row r="250">
      <c r="A250" s="7" t="inlineStr">
        <is>
          <t xml:space="preserve">  Volume — Gas oil, mn t</t>
        </is>
      </c>
      <c r="C250" s="23">
        <f>'Segments'!E8*(1+Assumptions!$B$137+DCF!$B$6)</f>
        <v/>
      </c>
      <c r="D250" s="23">
        <f>C250*(1+Assumptions!$B$138+DCF!$B$6)</f>
        <v/>
      </c>
      <c r="E250" s="23">
        <f>D250*(1+Assumptions!$B$139+DCF!$B$6)</f>
        <v/>
      </c>
      <c r="F250" s="23">
        <f>E250*(1+Assumptions!$B$140+DCF!$B$6)</f>
        <v/>
      </c>
      <c r="G250" s="23">
        <f>F250*(1+Assumptions!$B$141+DCF!$B$6)</f>
        <v/>
      </c>
    </row>
    <row r="251">
      <c r="A251" s="7" t="inlineStr">
        <is>
          <t xml:space="preserve">  Volume — Naphtha, mn t</t>
        </is>
      </c>
      <c r="C251" s="23">
        <f>'Segments'!E9*(1+Assumptions!$B$142+DCF!$B$6)</f>
        <v/>
      </c>
      <c r="D251" s="23">
        <f>C251*(1+Assumptions!$B$143+DCF!$B$6)</f>
        <v/>
      </c>
      <c r="E251" s="23">
        <f>D251*(1+Assumptions!$B$144+DCF!$B$6)</f>
        <v/>
      </c>
      <c r="F251" s="23">
        <f>E251*(1+Assumptions!$B$145+DCF!$B$6)</f>
        <v/>
      </c>
      <c r="G251" s="23">
        <f>F251*(1+Assumptions!$B$146+DCF!$B$6)</f>
        <v/>
      </c>
    </row>
    <row r="252">
      <c r="A252" s="7" t="inlineStr">
        <is>
          <t xml:space="preserve">  Volume — Liquefied petroleum gas, mn t</t>
        </is>
      </c>
      <c r="C252" s="23">
        <f>'Segments'!E10*(1+Assumptions!$B$147+DCF!$B$6)</f>
        <v/>
      </c>
      <c r="D252" s="23">
        <f>C252*(1+Assumptions!$B$148+DCF!$B$6)</f>
        <v/>
      </c>
      <c r="E252" s="23">
        <f>D252*(1+Assumptions!$B$149+DCF!$B$6)</f>
        <v/>
      </c>
      <c r="F252" s="23">
        <f>E252*(1+Assumptions!$B$150+DCF!$B$6)</f>
        <v/>
      </c>
      <c r="G252" s="23">
        <f>F252*(1+Assumptions!$B$151+DCF!$B$6)</f>
        <v/>
      </c>
    </row>
    <row r="253">
      <c r="A253" s="7" t="inlineStr">
        <is>
          <t xml:space="preserve">  Volume — Fuel oil (mix), mn t</t>
        </is>
      </c>
      <c r="C253" s="23">
        <f>'Segments'!E11*(1+Assumptions!$B$152+DCF!$B$6)</f>
        <v/>
      </c>
      <c r="D253" s="23">
        <f>C253*(1+Assumptions!$B$153+DCF!$B$6)</f>
        <v/>
      </c>
      <c r="E253" s="23">
        <f>D253*(1+Assumptions!$B$154+DCF!$B$6)</f>
        <v/>
      </c>
      <c r="F253" s="23">
        <f>E253*(1+Assumptions!$B$155+DCF!$B$6)</f>
        <v/>
      </c>
      <c r="G253" s="23">
        <f>F253*(1+Assumptions!$B$156+DCF!$B$6)</f>
        <v/>
      </c>
    </row>
    <row r="254">
      <c r="A254" s="7" t="inlineStr">
        <is>
          <t xml:space="preserve">  Volume — Heavy fuel oil, mn t</t>
        </is>
      </c>
      <c r="C254" s="23">
        <f>'Segments'!E12*(1+Assumptions!$B$157+DCF!$B$6)</f>
        <v/>
      </c>
      <c r="D254" s="23">
        <f>C254*(1+Assumptions!$B$158+DCF!$B$6)</f>
        <v/>
      </c>
      <c r="E254" s="23">
        <f>D254*(1+Assumptions!$B$159+DCF!$B$6)</f>
        <v/>
      </c>
      <c r="F254" s="23">
        <f>E254*(1+Assumptions!$B$160+DCF!$B$6)</f>
        <v/>
      </c>
      <c r="G254" s="23">
        <f>F254*(1+Assumptions!$B$161+DCF!$B$6)</f>
        <v/>
      </c>
    </row>
    <row r="255">
      <c r="A255" s="7" t="inlineStr">
        <is>
          <t xml:space="preserve">  Volume — Waste, mn t</t>
        </is>
      </c>
      <c r="C255" s="23">
        <f>'Segments'!E13*(1+Assumptions!$B$162+DCF!$B$6)</f>
        <v/>
      </c>
      <c r="D255" s="23">
        <f>C255*(1+Assumptions!$B$163+DCF!$B$6)</f>
        <v/>
      </c>
      <c r="E255" s="23">
        <f>D255*(1+Assumptions!$B$164+DCF!$B$6)</f>
        <v/>
      </c>
      <c r="F255" s="23">
        <f>E255*(1+Assumptions!$B$165+DCF!$B$6)</f>
        <v/>
      </c>
      <c r="G255" s="23">
        <f>F255*(1+Assumptions!$B$166+DCF!$B$6)</f>
        <v/>
      </c>
    </row>
    <row r="256">
      <c r="A256" s="15" t="inlineStr">
        <is>
          <t>Total volume, mn t</t>
        </is>
      </c>
      <c r="C256" s="36">
        <f>SUM(C248:C255)</f>
        <v/>
      </c>
      <c r="D256" s="36">
        <f>SUM(D248:D255)</f>
        <v/>
      </c>
      <c r="E256" s="36">
        <f>SUM(E248:E255)</f>
        <v/>
      </c>
      <c r="F256" s="36">
        <f>SUM(F248:F255)</f>
        <v/>
      </c>
      <c r="G256" s="36">
        <f>SUM(G248:G255)</f>
        <v/>
      </c>
    </row>
    <row r="257">
      <c r="A257" s="15" t="inlineStr">
        <is>
          <t>REVENUE</t>
        </is>
      </c>
      <c r="C257" s="37">
        <f>C248*'Segments'!$F$6*C247+C249*'Segments'!$F$7*C247+C250*'Segments'!$F$8*C247+C251*'Segments'!$F$9*C247+C252*'Segments'!$F$10*C247+C253*'Segments'!$F$11*C247+C254*'Segments'!$F$12*C247+C255*'Segments'!$F$13*C247</f>
        <v/>
      </c>
      <c r="D257" s="37">
        <f>D248*'Segments'!$F$6*D247+D249*'Segments'!$F$7*D247+D250*'Segments'!$F$8*D247+D251*'Segments'!$F$9*D247+D252*'Segments'!$F$10*D247+D253*'Segments'!$F$11*D247+D254*'Segments'!$F$12*D247+D255*'Segments'!$F$13*D247</f>
        <v/>
      </c>
      <c r="E257" s="37">
        <f>E248*'Segments'!$F$6*E247+E249*'Segments'!$F$7*E247+E250*'Segments'!$F$8*E247+E251*'Segments'!$F$9*E247+E252*'Segments'!$F$10*E247+E253*'Segments'!$F$11*E247+E254*'Segments'!$F$12*E247+E255*'Segments'!$F$13*E247</f>
        <v/>
      </c>
      <c r="F257" s="37">
        <f>F248*'Segments'!$F$6*F247+F249*'Segments'!$F$7*F247+F250*'Segments'!$F$8*F247+F251*'Segments'!$F$9*F247+F252*'Segments'!$F$10*F247+F253*'Segments'!$F$11*F247+F254*'Segments'!$F$12*F247+F255*'Segments'!$F$13*F247</f>
        <v/>
      </c>
      <c r="G257" s="37">
        <f>G248*'Segments'!$F$6*G247+G249*'Segments'!$F$7*G247+G250*'Segments'!$F$8*G247+G251*'Segments'!$F$9*G247+G252*'Segments'!$F$10*G247+G253*'Segments'!$F$11*G247+G254*'Segments'!$F$12*G247+G255*'Segments'!$F$13*G247</f>
        <v/>
      </c>
    </row>
    <row r="258">
      <c r="A258" s="7" t="inlineStr">
        <is>
          <t>Cost of sales</t>
        </is>
      </c>
      <c r="C258" s="18">
        <f>C248*('Segments'!$D$27*C247*Assumptions!$B$109+'Segments'!$B$27*(0.4983251709*C246+0.4357405005*C246+0.0330936548*C247+0.0328406739))+C249*('Segments'!$D$28*C247*Assumptions!$B$109+'Segments'!$B$28*(0.4983251709*C246+0.4357405005*C246+0.0330936548*C247+0.0328406739))+C250*('Segments'!$D$29*C247*Assumptions!$B$109+'Segments'!$B$29*(0.4983251709*C246+0.4357405005*C246+0.0330936548*C247+0.0328406739))+C251*('Segments'!$D$30*C247*Assumptions!$B$109+'Segments'!$B$30*(0.4983251709*C246+0.4357405005*C246+0.0330936548*C247+0.0328406739))+C252*('Segments'!$D$31*C247*Assumptions!$B$109+'Segments'!$B$31*(0.4983251709*C246+0.4357405005*C246+0.0330936548*C247+0.0328406739))+C253*('Segments'!$D$32*C247*Assumptions!$B$109+'Segments'!$B$32*(0.4983251709*C246+0.4357405005*C246+0.0330936548*C247+0.0328406739))+C254*('Segments'!$D$33*C247*Assumptions!$B$109+'Segments'!$B$33*(0.4983251709*C246+0.4357405005*C246+0.0330936548*C247+0.0328406739))+C255*('Segments'!$D$34*C247*Assumptions!$B$109+'Segments'!$B$34*(0.4983251709*C246+0.4357405005*C246+0.0330936548*C247+0.0328406739))</f>
        <v/>
      </c>
      <c r="D258" s="18">
        <f>D248*('Segments'!$D$27*D247*Assumptions!$B$109+'Segments'!$B$27*(0.4983251709*D246+0.4357405005*D246+0.0330936548*D247+0.0328406739))+D249*('Segments'!$D$28*D247*Assumptions!$B$109+'Segments'!$B$28*(0.4983251709*D246+0.4357405005*D246+0.0330936548*D247+0.0328406739))+D250*('Segments'!$D$29*D247*Assumptions!$B$109+'Segments'!$B$29*(0.4983251709*D246+0.4357405005*D246+0.0330936548*D247+0.0328406739))+D251*('Segments'!$D$30*D247*Assumptions!$B$109+'Segments'!$B$30*(0.4983251709*D246+0.4357405005*D246+0.0330936548*D247+0.0328406739))+D252*('Segments'!$D$31*D247*Assumptions!$B$109+'Segments'!$B$31*(0.4983251709*D246+0.4357405005*D246+0.0330936548*D247+0.0328406739))+D253*('Segments'!$D$32*D247*Assumptions!$B$109+'Segments'!$B$32*(0.4983251709*D246+0.4357405005*D246+0.0330936548*D247+0.0328406739))+D254*('Segments'!$D$33*D247*Assumptions!$B$109+'Segments'!$B$33*(0.4983251709*D246+0.4357405005*D246+0.0330936548*D247+0.0328406739))+D255*('Segments'!$D$34*D247*Assumptions!$B$109+'Segments'!$B$34*(0.4983251709*D246+0.4357405005*D246+0.0330936548*D247+0.0328406739))</f>
        <v/>
      </c>
      <c r="E258" s="18">
        <f>E248*('Segments'!$D$27*E247*Assumptions!$B$109+'Segments'!$B$27*(0.4983251709*E246+0.4357405005*E246+0.0330936548*E247+0.0328406739))+E249*('Segments'!$D$28*E247*Assumptions!$B$109+'Segments'!$B$28*(0.4983251709*E246+0.4357405005*E246+0.0330936548*E247+0.0328406739))+E250*('Segments'!$D$29*E247*Assumptions!$B$109+'Segments'!$B$29*(0.4983251709*E246+0.4357405005*E246+0.0330936548*E247+0.0328406739))+E251*('Segments'!$D$30*E247*Assumptions!$B$109+'Segments'!$B$30*(0.4983251709*E246+0.4357405005*E246+0.0330936548*E247+0.0328406739))+E252*('Segments'!$D$31*E247*Assumptions!$B$109+'Segments'!$B$31*(0.4983251709*E246+0.4357405005*E246+0.0330936548*E247+0.0328406739))+E253*('Segments'!$D$32*E247*Assumptions!$B$109+'Segments'!$B$32*(0.4983251709*E246+0.4357405005*E246+0.0330936548*E247+0.0328406739))+E254*('Segments'!$D$33*E247*Assumptions!$B$109+'Segments'!$B$33*(0.4983251709*E246+0.4357405005*E246+0.0330936548*E247+0.0328406739))+E255*('Segments'!$D$34*E247*Assumptions!$B$109+'Segments'!$B$34*(0.4983251709*E246+0.4357405005*E246+0.0330936548*E247+0.0328406739))</f>
        <v/>
      </c>
      <c r="F258" s="18">
        <f>F248*('Segments'!$D$27*F247*Assumptions!$B$109+'Segments'!$B$27*(0.4983251709*F246+0.4357405005*F246+0.0330936548*F247+0.0328406739))+F249*('Segments'!$D$28*F247*Assumptions!$B$109+'Segments'!$B$28*(0.4983251709*F246+0.4357405005*F246+0.0330936548*F247+0.0328406739))+F250*('Segments'!$D$29*F247*Assumptions!$B$109+'Segments'!$B$29*(0.4983251709*F246+0.4357405005*F246+0.0330936548*F247+0.0328406739))+F251*('Segments'!$D$30*F247*Assumptions!$B$109+'Segments'!$B$30*(0.4983251709*F246+0.4357405005*F246+0.0330936548*F247+0.0328406739))+F252*('Segments'!$D$31*F247*Assumptions!$B$109+'Segments'!$B$31*(0.4983251709*F246+0.4357405005*F246+0.0330936548*F247+0.0328406739))+F253*('Segments'!$D$32*F247*Assumptions!$B$109+'Segments'!$B$32*(0.4983251709*F246+0.4357405005*F246+0.0330936548*F247+0.0328406739))+F254*('Segments'!$D$33*F247*Assumptions!$B$109+'Segments'!$B$33*(0.4983251709*F246+0.4357405005*F246+0.0330936548*F247+0.0328406739))+F255*('Segments'!$D$34*F247*Assumptions!$B$109+'Segments'!$B$34*(0.4983251709*F246+0.4357405005*F246+0.0330936548*F247+0.0328406739))</f>
        <v/>
      </c>
      <c r="G258" s="18">
        <f>G248*('Segments'!$D$27*G247*Assumptions!$B$109+'Segments'!$B$27*(0.4983251709*G246+0.4357405005*G246+0.0330936548*G247+0.0328406739))+G249*('Segments'!$D$28*G247*Assumptions!$B$109+'Segments'!$B$28*(0.4983251709*G246+0.4357405005*G246+0.0330936548*G247+0.0328406739))+G250*('Segments'!$D$29*G247*Assumptions!$B$109+'Segments'!$B$29*(0.4983251709*G246+0.4357405005*G246+0.0330936548*G247+0.0328406739))+G251*('Segments'!$D$30*G247*Assumptions!$B$109+'Segments'!$B$30*(0.4983251709*G246+0.4357405005*G246+0.0330936548*G247+0.0328406739))+G252*('Segments'!$D$31*G247*Assumptions!$B$109+'Segments'!$B$31*(0.4983251709*G246+0.4357405005*G246+0.0330936548*G247+0.0328406739))+G253*('Segments'!$D$32*G247*Assumptions!$B$109+'Segments'!$B$32*(0.4983251709*G246+0.4357405005*G246+0.0330936548*G247+0.0328406739))+G254*('Segments'!$D$33*G247*Assumptions!$B$109+'Segments'!$B$33*(0.4983251709*G246+0.4357405005*G246+0.0330936548*G247+0.0328406739))+G255*('Segments'!$D$34*G247*Assumptions!$B$109+'Segments'!$B$34*(0.4983251709*G246+0.4357405005*G246+0.0330936548*G247+0.0328406739))</f>
        <v/>
      </c>
    </row>
    <row r="259">
      <c r="A259" s="15" t="inlineStr">
        <is>
          <t>GROSS PROFIT</t>
        </is>
      </c>
      <c r="C259" s="37">
        <f>C257-C258+$C$10*C257</f>
        <v/>
      </c>
      <c r="D259" s="37">
        <f>D257-D258+$C$10*D257</f>
        <v/>
      </c>
      <c r="E259" s="37">
        <f>E257-E258+$C$10*E257</f>
        <v/>
      </c>
      <c r="F259" s="37">
        <f>F257-F258+$C$10*F257</f>
        <v/>
      </c>
      <c r="G259" s="37">
        <f>G257-G258+$C$10*G257</f>
        <v/>
      </c>
    </row>
    <row r="260">
      <c r="A260" s="7" t="inlineStr">
        <is>
          <t>Gross margin</t>
        </is>
      </c>
      <c r="C260" s="24">
        <f>C259/C257</f>
        <v/>
      </c>
      <c r="D260" s="24">
        <f>D259/D257</f>
        <v/>
      </c>
      <c r="E260" s="24">
        <f>E259/E257</f>
        <v/>
      </c>
      <c r="F260" s="24">
        <f>F259/F257</f>
        <v/>
      </c>
      <c r="G260" s="24">
        <f>G259/G257</f>
        <v/>
      </c>
    </row>
    <row r="261">
      <c r="A261" s="7" t="inlineStr">
        <is>
          <t>Operating expense</t>
        </is>
      </c>
      <c r="C261" s="18">
        <f>('Income Statement'!$B$28*C246)+('Income Statement'!$B$29*C246*C256/'Segments'!$E$14)+('Income Statement'!$B$30*C246)+('Income Statement'!$B$31*C246)</f>
        <v/>
      </c>
      <c r="D261" s="18">
        <f>('Income Statement'!$B$28*D246)+('Income Statement'!$B$29*D246*D256/'Segments'!$E$14)+('Income Statement'!$B$30*D246)+('Income Statement'!$B$31*D246)</f>
        <v/>
      </c>
      <c r="E261" s="18">
        <f>('Income Statement'!$B$28*E246)+('Income Statement'!$B$29*E246*E256/'Segments'!$E$14)+('Income Statement'!$B$30*E246)+('Income Statement'!$B$31*E246)</f>
        <v/>
      </c>
      <c r="F261" s="18">
        <f>('Income Statement'!$B$28*F246)+('Income Statement'!$B$29*F246*F256/'Segments'!$E$14)+('Income Statement'!$B$30*F246)+('Income Statement'!$B$31*F246)</f>
        <v/>
      </c>
      <c r="G261" s="18">
        <f>('Income Statement'!$B$28*G246)+('Income Statement'!$B$29*G246*G256/'Segments'!$E$14)+('Income Statement'!$B$30*G246)+('Income Statement'!$B$31*G246)</f>
        <v/>
      </c>
    </row>
    <row r="262">
      <c r="A262" s="15" t="inlineStr">
        <is>
          <t>EBITDA</t>
        </is>
      </c>
      <c r="C262" s="37">
        <f>C259-C261</f>
        <v/>
      </c>
      <c r="D262" s="37">
        <f>D259-D261</f>
        <v/>
      </c>
      <c r="E262" s="37">
        <f>E259-E261</f>
        <v/>
      </c>
      <c r="F262" s="37">
        <f>F259-F261</f>
        <v/>
      </c>
      <c r="G262" s="37">
        <f>G259-G261</f>
        <v/>
      </c>
    </row>
    <row r="263">
      <c r="A263" s="7" t="inlineStr">
        <is>
          <t>Capital expenditure — maintenance + growth</t>
        </is>
      </c>
      <c r="C263" s="18">
        <f>'Income Statement'!$B$43*C246+MAX(C256-'Segments'!$E$14,0)*2100.379938*C246</f>
        <v/>
      </c>
      <c r="D263" s="18">
        <f>'Income Statement'!$B$43*D246+MAX(D256-C256,0)*2100.379938*D246</f>
        <v/>
      </c>
      <c r="E263" s="18">
        <f>'Income Statement'!$B$43*E246+MAX(E256-D256,0)*2100.379938*E246</f>
        <v/>
      </c>
      <c r="F263" s="18">
        <f>'Income Statement'!$B$43*F246+MAX(F256-E256,0)*2100.379938*F246</f>
        <v/>
      </c>
      <c r="G263" s="18">
        <f>'Income Statement'!$B$43*G246+MAX(G256-F256,0)*2100.379938*G246</f>
        <v/>
      </c>
    </row>
    <row r="264">
      <c r="A264" s="7" t="inlineStr">
        <is>
          <t>Fixed assets at cost, closing</t>
        </is>
      </c>
      <c r="C264" s="18">
        <f>(Assumptions!$B$91+Assumptions!$B$92)/10^6+C263</f>
        <v/>
      </c>
      <c r="D264" s="18">
        <f>C264+D263</f>
        <v/>
      </c>
      <c r="E264" s="18">
        <f>D264+E263</f>
        <v/>
      </c>
      <c r="F264" s="18">
        <f>E264+F263</f>
        <v/>
      </c>
      <c r="G264" s="18">
        <f>F264+G263</f>
        <v/>
      </c>
    </row>
    <row r="265">
      <c r="A265" s="7" t="inlineStr">
        <is>
          <t>Depreciation — rolls off the asset register</t>
        </is>
      </c>
      <c r="C265" s="18">
        <f>(Assumptions!$B$91+Assumptions!$B$92)/10^6/'Income Statement'!$B$42</f>
        <v/>
      </c>
      <c r="D265" s="18">
        <f>C264/'Income Statement'!$B$42</f>
        <v/>
      </c>
      <c r="E265" s="18">
        <f>D264/'Income Statement'!$B$42</f>
        <v/>
      </c>
      <c r="F265" s="18">
        <f>E264/'Income Statement'!$B$42</f>
        <v/>
      </c>
      <c r="G265" s="18">
        <f>F264/'Income Statement'!$B$42</f>
        <v/>
      </c>
    </row>
    <row r="266">
      <c r="A266" s="7" t="inlineStr">
        <is>
          <t>Fixed assets, net book, closing</t>
        </is>
      </c>
      <c r="C266" s="18">
        <f>(Assumptions!$B$90+Assumptions!$B$92)/10^6+C263-C265</f>
        <v/>
      </c>
      <c r="D266" s="18">
        <f>C266+D263-D265</f>
        <v/>
      </c>
      <c r="E266" s="18">
        <f>D266+E263-E265</f>
        <v/>
      </c>
      <c r="F266" s="18">
        <f>E266+F263-F265</f>
        <v/>
      </c>
      <c r="G266" s="18">
        <f>F266+G263-G265</f>
        <v/>
      </c>
    </row>
    <row r="267">
      <c r="A267" s="15" t="inlineStr">
        <is>
          <t>EBIT</t>
        </is>
      </c>
      <c r="C267" s="37">
        <f>C262-C265</f>
        <v/>
      </c>
      <c r="D267" s="37">
        <f>D262-D265</f>
        <v/>
      </c>
      <c r="E267" s="37">
        <f>E262-E265</f>
        <v/>
      </c>
      <c r="F267" s="37">
        <f>F262-F265</f>
        <v/>
      </c>
      <c r="G267" s="37">
        <f>G262-G265</f>
        <v/>
      </c>
    </row>
    <row r="268">
      <c r="A268" s="7" t="inlineStr">
        <is>
          <t>NOPAT before the profit share</t>
        </is>
      </c>
      <c r="C268" s="18">
        <f>C267*(1-Assumptions!$B$108)</f>
        <v/>
      </c>
      <c r="D268" s="18">
        <f>D267*(1-Assumptions!$B$108)</f>
        <v/>
      </c>
      <c r="E268" s="18">
        <f>E267*(1-Assumptions!$B$108)</f>
        <v/>
      </c>
      <c r="F268" s="18">
        <f>F267*(1-Assumptions!$B$108)</f>
        <v/>
      </c>
      <c r="G268" s="18">
        <f>G267*(1-Assumptions!$B$108)</f>
        <v/>
      </c>
    </row>
    <row r="269">
      <c r="A269" s="7" t="inlineStr">
        <is>
          <t xml:space="preserve">  less employees' profit share and board bonuses</t>
        </is>
      </c>
      <c r="C269" s="18">
        <f>MAX(C268,0)*'Income Statement'!$B$40</f>
        <v/>
      </c>
      <c r="D269" s="18">
        <f>MAX(D268,0)*'Income Statement'!$B$40</f>
        <v/>
      </c>
      <c r="E269" s="18">
        <f>MAX(E268,0)*'Income Statement'!$B$40</f>
        <v/>
      </c>
      <c r="F269" s="18">
        <f>MAX(F268,0)*'Income Statement'!$B$40</f>
        <v/>
      </c>
      <c r="G269" s="18">
        <f>MAX(G268,0)*'Income Statement'!$B$40</f>
        <v/>
      </c>
    </row>
    <row r="270">
      <c r="A270" s="15" t="inlineStr">
        <is>
          <t>NOPAT</t>
        </is>
      </c>
      <c r="C270" s="37">
        <f>C268-C269</f>
        <v/>
      </c>
      <c r="D270" s="37">
        <f>D268-D269</f>
        <v/>
      </c>
      <c r="E270" s="37">
        <f>E268-E269</f>
        <v/>
      </c>
      <c r="F270" s="37">
        <f>F268-F269</f>
        <v/>
      </c>
      <c r="G270" s="37">
        <f>G268-G269</f>
        <v/>
      </c>
    </row>
    <row r="271">
      <c r="A271" s="7" t="inlineStr">
        <is>
          <t>Net working capital — on days</t>
        </is>
      </c>
      <c r="C271" s="18">
        <f>'Income Statement'!$B$44*DCF!$B$9/365*C258+'Income Statement'!$B$45*DCF!$B$9/365*C257-'Income Statement'!$B$46*DCF!$B$9/365*C258</f>
        <v/>
      </c>
      <c r="D271" s="18">
        <f>'Income Statement'!$B$44*DCF!$B$9/365*D258+'Income Statement'!$B$45*DCF!$B$9/365*D257-'Income Statement'!$B$46*DCF!$B$9/365*D258</f>
        <v/>
      </c>
      <c r="E271" s="18">
        <f>'Income Statement'!$B$44*DCF!$B$9/365*E258+'Income Statement'!$B$45*DCF!$B$9/365*E257-'Income Statement'!$B$46*DCF!$B$9/365*E258</f>
        <v/>
      </c>
      <c r="F271" s="18">
        <f>'Income Statement'!$B$44*DCF!$B$9/365*F258+'Income Statement'!$B$45*DCF!$B$9/365*F257-'Income Statement'!$B$46*DCF!$B$9/365*F258</f>
        <v/>
      </c>
      <c r="G271" s="18">
        <f>'Income Statement'!$B$44*DCF!$B$9/365*G258+'Income Statement'!$B$45*DCF!$B$9/365*G257-'Income Statement'!$B$46*DCF!$B$9/365*G258</f>
        <v/>
      </c>
    </row>
    <row r="272">
      <c r="A272" s="7" t="inlineStr">
        <is>
          <t xml:space="preserve">  change in working capital</t>
        </is>
      </c>
      <c r="C272" s="18">
        <f>C271-('Income Statement'!$B$44/365*'Income Statement'!$B$21+'Income Statement'!$B$45/365*'Income Statement'!$B$19-'Income Statement'!$B$46/365*'Income Statement'!$B$21)</f>
        <v/>
      </c>
      <c r="D272" s="18">
        <f>D271-C271</f>
        <v/>
      </c>
      <c r="E272" s="18">
        <f>E271-D271</f>
        <v/>
      </c>
      <c r="F272" s="18">
        <f>F271-E271</f>
        <v/>
      </c>
      <c r="G272" s="18">
        <f>G271-F271</f>
        <v/>
      </c>
    </row>
    <row r="273">
      <c r="A273" s="15" t="inlineStr">
        <is>
          <t>FREE CASH FLOW TO THE FIRM</t>
        </is>
      </c>
      <c r="C273" s="37">
        <f>C270+C265-C263-C272</f>
        <v/>
      </c>
      <c r="D273" s="37">
        <f>D270+D265-D263-D272</f>
        <v/>
      </c>
      <c r="E273" s="37">
        <f>E270+E265-E263-E272</f>
        <v/>
      </c>
      <c r="F273" s="37">
        <f>F270+F265-F263-F272</f>
        <v/>
      </c>
      <c r="G273" s="37">
        <f>G270+G265-G263-G272</f>
        <v/>
      </c>
    </row>
    <row r="274">
      <c r="A274" s="7" t="inlineStr">
        <is>
          <t>Glide fraction</t>
        </is>
      </c>
      <c r="C274" s="23">
        <f>0.0000000000</f>
        <v/>
      </c>
      <c r="D274" s="23">
        <f>0.3571428571</f>
        <v/>
      </c>
      <c r="E274" s="23">
        <f>0.6428571429</f>
        <v/>
      </c>
      <c r="F274" s="23">
        <f>0.8571428571</f>
        <v/>
      </c>
      <c r="G274" s="23">
        <f>1.0000000000</f>
        <v/>
      </c>
    </row>
    <row r="275">
      <c r="A275" s="7" t="inlineStr">
        <is>
          <t>Forward cost of capital</t>
        </is>
      </c>
      <c r="C275" s="24">
        <f>DCF!$B$14-(DCF!$B$14-DCF!$B$17)*C274</f>
        <v/>
      </c>
      <c r="D275" s="24">
        <f>DCF!$B$14-(DCF!$B$14-DCF!$B$17)*D274</f>
        <v/>
      </c>
      <c r="E275" s="24">
        <f>DCF!$B$14-(DCF!$B$14-DCF!$B$17)*E274</f>
        <v/>
      </c>
      <c r="F275" s="24">
        <f>DCF!$B$14-(DCF!$B$14-DCF!$B$17)*F274</f>
        <v/>
      </c>
      <c r="G275" s="24">
        <f>DCF!$B$14-(DCF!$B$14-DCF!$B$17)*G274</f>
        <v/>
      </c>
    </row>
    <row r="276">
      <c r="A276" s="7" t="inlineStr">
        <is>
          <t>Cumulative discount factor</t>
        </is>
      </c>
      <c r="C276" s="40">
        <f>1/(1+C275)</f>
        <v/>
      </c>
      <c r="D276" s="40">
        <f>C276/(1+D275)</f>
        <v/>
      </c>
      <c r="E276" s="40">
        <f>D276/(1+E275)</f>
        <v/>
      </c>
      <c r="F276" s="40">
        <f>E276/(1+F275)</f>
        <v/>
      </c>
      <c r="G276" s="40">
        <f>F276/(1+G275)</f>
        <v/>
      </c>
    </row>
    <row r="277">
      <c r="A277" s="7" t="inlineStr">
        <is>
          <t>Present value</t>
        </is>
      </c>
      <c r="C277" s="18">
        <f>C273*C276</f>
        <v/>
      </c>
      <c r="D277" s="18">
        <f>D273*D276</f>
        <v/>
      </c>
      <c r="E277" s="18">
        <f>E273*E276</f>
        <v/>
      </c>
      <c r="F277" s="18">
        <f>F273*F276</f>
        <v/>
      </c>
      <c r="G277" s="18">
        <f>G273*G276</f>
        <v/>
      </c>
    </row>
    <row r="278">
      <c r="A278" s="15" t="inlineStr">
        <is>
          <t>PV of the explicit window</t>
        </is>
      </c>
      <c r="B278" s="37">
        <f>SUM(C277:G277)</f>
        <v/>
      </c>
      <c r="C278" s="18">
        <f>C271+C264</f>
        <v/>
      </c>
      <c r="D278" s="18">
        <f>D271+D264</f>
        <v/>
      </c>
      <c r="E278" s="18">
        <f>E271+E264</f>
        <v/>
      </c>
      <c r="F278" s="18">
        <f>F271+F264</f>
        <v/>
      </c>
      <c r="G278" s="18">
        <f>G271+G264</f>
        <v/>
      </c>
    </row>
    <row r="279">
      <c r="A279" s="7" t="inlineStr">
        <is>
          <t>Terminal return on invested capital, at REPLACEMENT cost</t>
        </is>
      </c>
      <c r="B279" s="24">
        <f>G270*(1+Assumptions!$B$110)/G278</f>
        <v/>
      </c>
    </row>
    <row r="280">
      <c r="A280" s="7" t="inlineStr">
        <is>
          <t>Required reinvestment = growth / return</t>
        </is>
      </c>
      <c r="B280" s="24">
        <f>MIN(Assumptions!$B$110/B279,0.95)</f>
        <v/>
      </c>
    </row>
    <row r="281">
      <c r="A281" s="7" t="inlineStr">
        <is>
          <t>Terminal value</t>
        </is>
      </c>
      <c r="B281" s="18">
        <f>G270*(1+Assumptions!$B$110)*(1-B280)/MAX(DCF!$B$17-Assumptions!$B$110,0.02)</f>
        <v/>
      </c>
    </row>
    <row r="282">
      <c r="A282" s="7" t="inlineStr">
        <is>
          <t>PV of the terminal block</t>
        </is>
      </c>
      <c r="B282" s="18">
        <f>B281*G276</f>
        <v/>
      </c>
    </row>
    <row r="283">
      <c r="A283" s="15" t="inlineStr">
        <is>
          <t>ENTERPRISE VALUE</t>
        </is>
      </c>
      <c r="B283" s="37">
        <f>B278+B282</f>
        <v/>
      </c>
    </row>
    <row r="284">
      <c r="A284" s="7" t="inlineStr">
        <is>
          <t>plus net cash</t>
        </is>
      </c>
      <c r="B284" s="18">
        <f>(Assumptions!$B$100-Assumptions!$B$103-Assumptions!$B$104)/10^6</f>
        <v/>
      </c>
    </row>
    <row r="285">
      <c r="A285" s="7" t="inlineStr">
        <is>
          <t>Enterprise value including cash</t>
        </is>
      </c>
      <c r="B285" s="18">
        <f>B283+B284</f>
        <v/>
      </c>
    </row>
    <row r="286">
      <c r="A286" s="7" t="inlineStr">
        <is>
          <t>less minority — on the WHOLE enterprise, cash included</t>
        </is>
      </c>
      <c r="B286" s="18">
        <f>B285*'Income Statement'!$B$41</f>
        <v/>
      </c>
    </row>
    <row r="287">
      <c r="A287" s="7" t="inlineStr">
        <is>
          <t>less the tax-disputes provision</t>
        </is>
      </c>
      <c r="B287" s="18">
        <f>Assumptions!$B$99/10^6</f>
        <v/>
      </c>
    </row>
    <row r="288">
      <c r="A288" s="7" t="inlineStr">
        <is>
          <t>less dividends payable — declared, out of working capital</t>
        </is>
      </c>
      <c r="B288" s="18">
        <f>Assumptions!$B$98/10^6</f>
        <v/>
      </c>
    </row>
    <row r="289">
      <c r="A289" s="7" t="inlineStr">
        <is>
          <t>plus non-operating investments and pledged deposits</t>
        </is>
      </c>
      <c r="B289" s="18">
        <f>(Assumptions!$B$102+Assumptions!$B$101)/10^6</f>
        <v/>
      </c>
    </row>
    <row r="290">
      <c r="A290" s="15" t="inlineStr">
        <is>
          <t>EQUITY ATTRIBUTABLE</t>
        </is>
      </c>
      <c r="B290" s="37">
        <f>B285-B286-B287-B288+B289</f>
        <v/>
      </c>
    </row>
    <row r="291">
      <c r="A291" s="15" t="inlineStr">
        <is>
          <t>VALUE PER SHARE, EGP</t>
        </is>
      </c>
      <c r="B291" s="22">
        <f>B290/Assumptions!$B$8</f>
        <v/>
      </c>
    </row>
    <row r="294">
      <c r="A294" s="6" t="inlineStr">
        <is>
          <t>Volume growth path, as a multiple of the assumed path — -6.0%</t>
        </is>
      </c>
      <c r="B294" s="6" t="inlineStr">
        <is>
          <t>2026E</t>
        </is>
      </c>
      <c r="C294" s="6" t="inlineStr">
        <is>
          <t>2027E</t>
        </is>
      </c>
      <c r="D294" s="6" t="inlineStr">
        <is>
          <t>2028E</t>
        </is>
      </c>
      <c r="E294" s="6" t="inlineStr">
        <is>
          <t>2029E</t>
        </is>
      </c>
      <c r="F294" s="6" t="inlineStr">
        <is>
          <t>2030E</t>
        </is>
      </c>
    </row>
    <row r="295">
      <c r="A295" s="7" t="inlineStr">
        <is>
          <t>Inflation index, cumulative</t>
        </is>
      </c>
      <c r="C295" s="23">
        <f>Assumptions!$B$167</f>
        <v/>
      </c>
      <c r="D295" s="23">
        <f>C295*Assumptions!$B$168</f>
        <v/>
      </c>
      <c r="E295" s="23">
        <f>D295*Assumptions!$B$169</f>
        <v/>
      </c>
      <c r="F295" s="23">
        <f>E295*Assumptions!$B$170</f>
        <v/>
      </c>
      <c r="G295" s="23">
        <f>F295*Assumptions!$B$171</f>
        <v/>
      </c>
    </row>
    <row r="296">
      <c r="A296" s="7" t="inlineStr">
        <is>
          <t>Realisation index, cumulative</t>
        </is>
      </c>
      <c r="C296" s="23">
        <f>(1+Assumptions!$B$122*DCF!$B$8)</f>
        <v/>
      </c>
      <c r="D296" s="23">
        <f>C296*(1+Assumptions!$B$123*DCF!$B$8)</f>
        <v/>
      </c>
      <c r="E296" s="23">
        <f>D296*(1+Assumptions!$B$124*DCF!$B$8)</f>
        <v/>
      </c>
      <c r="F296" s="23">
        <f>E296*(1+Assumptions!$B$125*DCF!$B$8)</f>
        <v/>
      </c>
      <c r="G296" s="23">
        <f>F296*(1+Assumptions!$B$126*DCF!$B$8)</f>
        <v/>
      </c>
    </row>
    <row r="297">
      <c r="A297" s="7" t="inlineStr">
        <is>
          <t xml:space="preserve">  Volume — Base and special oils, mn t</t>
        </is>
      </c>
      <c r="C297" s="23">
        <f>'Segments'!E6*(1+Assumptions!$B$127+$B$13)</f>
        <v/>
      </c>
      <c r="D297" s="23">
        <f>C297*(1+Assumptions!$B$128+$B$13)</f>
        <v/>
      </c>
      <c r="E297" s="23">
        <f>D297*(1+Assumptions!$B$129+$B$13)</f>
        <v/>
      </c>
      <c r="F297" s="23">
        <f>E297*(1+Assumptions!$B$130+$B$13)</f>
        <v/>
      </c>
      <c r="G297" s="23">
        <f>F297*(1+Assumptions!$B$131+$B$13)</f>
        <v/>
      </c>
    </row>
    <row r="298">
      <c r="A298" s="7" t="inlineStr">
        <is>
          <t xml:space="preserve">  Volume — Paraffin wax, mn t</t>
        </is>
      </c>
      <c r="C298" s="23">
        <f>'Segments'!E7*(1+Assumptions!$B$132+$B$13)</f>
        <v/>
      </c>
      <c r="D298" s="23">
        <f>C298*(1+Assumptions!$B$133+$B$13)</f>
        <v/>
      </c>
      <c r="E298" s="23">
        <f>D298*(1+Assumptions!$B$134+$B$13)</f>
        <v/>
      </c>
      <c r="F298" s="23">
        <f>E298*(1+Assumptions!$B$135+$B$13)</f>
        <v/>
      </c>
      <c r="G298" s="23">
        <f>F298*(1+Assumptions!$B$136+$B$13)</f>
        <v/>
      </c>
    </row>
    <row r="299">
      <c r="A299" s="7" t="inlineStr">
        <is>
          <t xml:space="preserve">  Volume — Gas oil, mn t</t>
        </is>
      </c>
      <c r="C299" s="23">
        <f>'Segments'!E8*(1+Assumptions!$B$137+$B$13)</f>
        <v/>
      </c>
      <c r="D299" s="23">
        <f>C299*(1+Assumptions!$B$138+$B$13)</f>
        <v/>
      </c>
      <c r="E299" s="23">
        <f>D299*(1+Assumptions!$B$139+$B$13)</f>
        <v/>
      </c>
      <c r="F299" s="23">
        <f>E299*(1+Assumptions!$B$140+$B$13)</f>
        <v/>
      </c>
      <c r="G299" s="23">
        <f>F299*(1+Assumptions!$B$141+$B$13)</f>
        <v/>
      </c>
    </row>
    <row r="300">
      <c r="A300" s="7" t="inlineStr">
        <is>
          <t xml:space="preserve">  Volume — Naphtha, mn t</t>
        </is>
      </c>
      <c r="C300" s="23">
        <f>'Segments'!E9*(1+Assumptions!$B$142+$B$13)</f>
        <v/>
      </c>
      <c r="D300" s="23">
        <f>C300*(1+Assumptions!$B$143+$B$13)</f>
        <v/>
      </c>
      <c r="E300" s="23">
        <f>D300*(1+Assumptions!$B$144+$B$13)</f>
        <v/>
      </c>
      <c r="F300" s="23">
        <f>E300*(1+Assumptions!$B$145+$B$13)</f>
        <v/>
      </c>
      <c r="G300" s="23">
        <f>F300*(1+Assumptions!$B$146+$B$13)</f>
        <v/>
      </c>
    </row>
    <row r="301">
      <c r="A301" s="7" t="inlineStr">
        <is>
          <t xml:space="preserve">  Volume — Liquefied petroleum gas, mn t</t>
        </is>
      </c>
      <c r="C301" s="23">
        <f>'Segments'!E10*(1+Assumptions!$B$147+$B$13)</f>
        <v/>
      </c>
      <c r="D301" s="23">
        <f>C301*(1+Assumptions!$B$148+$B$13)</f>
        <v/>
      </c>
      <c r="E301" s="23">
        <f>D301*(1+Assumptions!$B$149+$B$13)</f>
        <v/>
      </c>
      <c r="F301" s="23">
        <f>E301*(1+Assumptions!$B$150+$B$13)</f>
        <v/>
      </c>
      <c r="G301" s="23">
        <f>F301*(1+Assumptions!$B$151+$B$13)</f>
        <v/>
      </c>
    </row>
    <row r="302">
      <c r="A302" s="7" t="inlineStr">
        <is>
          <t xml:space="preserve">  Volume — Fuel oil (mix), mn t</t>
        </is>
      </c>
      <c r="C302" s="23">
        <f>'Segments'!E11*(1+Assumptions!$B$152+$B$13)</f>
        <v/>
      </c>
      <c r="D302" s="23">
        <f>C302*(1+Assumptions!$B$153+$B$13)</f>
        <v/>
      </c>
      <c r="E302" s="23">
        <f>D302*(1+Assumptions!$B$154+$B$13)</f>
        <v/>
      </c>
      <c r="F302" s="23">
        <f>E302*(1+Assumptions!$B$155+$B$13)</f>
        <v/>
      </c>
      <c r="G302" s="23">
        <f>F302*(1+Assumptions!$B$156+$B$13)</f>
        <v/>
      </c>
    </row>
    <row r="303">
      <c r="A303" s="7" t="inlineStr">
        <is>
          <t xml:space="preserve">  Volume — Heavy fuel oil, mn t</t>
        </is>
      </c>
      <c r="C303" s="23">
        <f>'Segments'!E12*(1+Assumptions!$B$157+$B$13)</f>
        <v/>
      </c>
      <c r="D303" s="23">
        <f>C303*(1+Assumptions!$B$158+$B$13)</f>
        <v/>
      </c>
      <c r="E303" s="23">
        <f>D303*(1+Assumptions!$B$159+$B$13)</f>
        <v/>
      </c>
      <c r="F303" s="23">
        <f>E303*(1+Assumptions!$B$160+$B$13)</f>
        <v/>
      </c>
      <c r="G303" s="23">
        <f>F303*(1+Assumptions!$B$161+$B$13)</f>
        <v/>
      </c>
    </row>
    <row r="304">
      <c r="A304" s="7" t="inlineStr">
        <is>
          <t xml:space="preserve">  Volume — Waste, mn t</t>
        </is>
      </c>
      <c r="C304" s="23">
        <f>'Segments'!E13*(1+Assumptions!$B$162+$B$13)</f>
        <v/>
      </c>
      <c r="D304" s="23">
        <f>C304*(1+Assumptions!$B$163+$B$13)</f>
        <v/>
      </c>
      <c r="E304" s="23">
        <f>D304*(1+Assumptions!$B$164+$B$13)</f>
        <v/>
      </c>
      <c r="F304" s="23">
        <f>E304*(1+Assumptions!$B$165+$B$13)</f>
        <v/>
      </c>
      <c r="G304" s="23">
        <f>F304*(1+Assumptions!$B$166+$B$13)</f>
        <v/>
      </c>
    </row>
    <row r="305">
      <c r="A305" s="15" t="inlineStr">
        <is>
          <t>Total volume, mn t</t>
        </is>
      </c>
      <c r="C305" s="36">
        <f>SUM(C297:C304)</f>
        <v/>
      </c>
      <c r="D305" s="36">
        <f>SUM(D297:D304)</f>
        <v/>
      </c>
      <c r="E305" s="36">
        <f>SUM(E297:E304)</f>
        <v/>
      </c>
      <c r="F305" s="36">
        <f>SUM(F297:F304)</f>
        <v/>
      </c>
      <c r="G305" s="36">
        <f>SUM(G297:G304)</f>
        <v/>
      </c>
    </row>
    <row r="306">
      <c r="A306" s="15" t="inlineStr">
        <is>
          <t>REVENUE</t>
        </is>
      </c>
      <c r="C306" s="37">
        <f>C297*'Segments'!$F$6*C296+C298*'Segments'!$F$7*C296+C299*'Segments'!$F$8*C296+C300*'Segments'!$F$9*C296+C301*'Segments'!$F$10*C296+C302*'Segments'!$F$11*C296+C303*'Segments'!$F$12*C296+C304*'Segments'!$F$13*C296</f>
        <v/>
      </c>
      <c r="D306" s="37">
        <f>D297*'Segments'!$F$6*D296+D298*'Segments'!$F$7*D296+D299*'Segments'!$F$8*D296+D300*'Segments'!$F$9*D296+D301*'Segments'!$F$10*D296+D302*'Segments'!$F$11*D296+D303*'Segments'!$F$12*D296+D304*'Segments'!$F$13*D296</f>
        <v/>
      </c>
      <c r="E306" s="37">
        <f>E297*'Segments'!$F$6*E296+E298*'Segments'!$F$7*E296+E299*'Segments'!$F$8*E296+E300*'Segments'!$F$9*E296+E301*'Segments'!$F$10*E296+E302*'Segments'!$F$11*E296+E303*'Segments'!$F$12*E296+E304*'Segments'!$F$13*E296</f>
        <v/>
      </c>
      <c r="F306" s="37">
        <f>F297*'Segments'!$F$6*F296+F298*'Segments'!$F$7*F296+F299*'Segments'!$F$8*F296+F300*'Segments'!$F$9*F296+F301*'Segments'!$F$10*F296+F302*'Segments'!$F$11*F296+F303*'Segments'!$F$12*F296+F304*'Segments'!$F$13*F296</f>
        <v/>
      </c>
      <c r="G306" s="37">
        <f>G297*'Segments'!$F$6*G296+G298*'Segments'!$F$7*G296+G299*'Segments'!$F$8*G296+G300*'Segments'!$F$9*G296+G301*'Segments'!$F$10*G296+G302*'Segments'!$F$11*G296+G303*'Segments'!$F$12*G296+G304*'Segments'!$F$13*G296</f>
        <v/>
      </c>
    </row>
    <row r="307">
      <c r="A307" s="7" t="inlineStr">
        <is>
          <t>Cost of sales</t>
        </is>
      </c>
      <c r="C307" s="18">
        <f>C297*('Segments'!$D$27*C296*Assumptions!$B$109+'Segments'!$B$27*(0.4983251709*C295+0.4357405005*C295+0.0330936548*C296+0.0328406739))+C298*('Segments'!$D$28*C296*Assumptions!$B$109+'Segments'!$B$28*(0.4983251709*C295+0.4357405005*C295+0.0330936548*C296+0.0328406739))+C299*('Segments'!$D$29*C296*Assumptions!$B$109+'Segments'!$B$29*(0.4983251709*C295+0.4357405005*C295+0.0330936548*C296+0.0328406739))+C300*('Segments'!$D$30*C296*Assumptions!$B$109+'Segments'!$B$30*(0.4983251709*C295+0.4357405005*C295+0.0330936548*C296+0.0328406739))+C301*('Segments'!$D$31*C296*Assumptions!$B$109+'Segments'!$B$31*(0.4983251709*C295+0.4357405005*C295+0.0330936548*C296+0.0328406739))+C302*('Segments'!$D$32*C296*Assumptions!$B$109+'Segments'!$B$32*(0.4983251709*C295+0.4357405005*C295+0.0330936548*C296+0.0328406739))+C303*('Segments'!$D$33*C296*Assumptions!$B$109+'Segments'!$B$33*(0.4983251709*C295+0.4357405005*C295+0.0330936548*C296+0.0328406739))+C304*('Segments'!$D$34*C296*Assumptions!$B$109+'Segments'!$B$34*(0.4983251709*C295+0.4357405005*C295+0.0330936548*C296+0.0328406739))</f>
        <v/>
      </c>
      <c r="D307" s="18">
        <f>D297*('Segments'!$D$27*D296*Assumptions!$B$109+'Segments'!$B$27*(0.4983251709*D295+0.4357405005*D295+0.0330936548*D296+0.0328406739))+D298*('Segments'!$D$28*D296*Assumptions!$B$109+'Segments'!$B$28*(0.4983251709*D295+0.4357405005*D295+0.0330936548*D296+0.0328406739))+D299*('Segments'!$D$29*D296*Assumptions!$B$109+'Segments'!$B$29*(0.4983251709*D295+0.4357405005*D295+0.0330936548*D296+0.0328406739))+D300*('Segments'!$D$30*D296*Assumptions!$B$109+'Segments'!$B$30*(0.4983251709*D295+0.4357405005*D295+0.0330936548*D296+0.0328406739))+D301*('Segments'!$D$31*D296*Assumptions!$B$109+'Segments'!$B$31*(0.4983251709*D295+0.4357405005*D295+0.0330936548*D296+0.0328406739))+D302*('Segments'!$D$32*D296*Assumptions!$B$109+'Segments'!$B$32*(0.4983251709*D295+0.4357405005*D295+0.0330936548*D296+0.0328406739))+D303*('Segments'!$D$33*D296*Assumptions!$B$109+'Segments'!$B$33*(0.4983251709*D295+0.4357405005*D295+0.0330936548*D296+0.0328406739))+D304*('Segments'!$D$34*D296*Assumptions!$B$109+'Segments'!$B$34*(0.4983251709*D295+0.4357405005*D295+0.0330936548*D296+0.0328406739))</f>
        <v/>
      </c>
      <c r="E307" s="18">
        <f>E297*('Segments'!$D$27*E296*Assumptions!$B$109+'Segments'!$B$27*(0.4983251709*E295+0.4357405005*E295+0.0330936548*E296+0.0328406739))+E298*('Segments'!$D$28*E296*Assumptions!$B$109+'Segments'!$B$28*(0.4983251709*E295+0.4357405005*E295+0.0330936548*E296+0.0328406739))+E299*('Segments'!$D$29*E296*Assumptions!$B$109+'Segments'!$B$29*(0.4983251709*E295+0.4357405005*E295+0.0330936548*E296+0.0328406739))+E300*('Segments'!$D$30*E296*Assumptions!$B$109+'Segments'!$B$30*(0.4983251709*E295+0.4357405005*E295+0.0330936548*E296+0.0328406739))+E301*('Segments'!$D$31*E296*Assumptions!$B$109+'Segments'!$B$31*(0.4983251709*E295+0.4357405005*E295+0.0330936548*E296+0.0328406739))+E302*('Segments'!$D$32*E296*Assumptions!$B$109+'Segments'!$B$32*(0.4983251709*E295+0.4357405005*E295+0.0330936548*E296+0.0328406739))+E303*('Segments'!$D$33*E296*Assumptions!$B$109+'Segments'!$B$33*(0.4983251709*E295+0.4357405005*E295+0.0330936548*E296+0.0328406739))+E304*('Segments'!$D$34*E296*Assumptions!$B$109+'Segments'!$B$34*(0.4983251709*E295+0.4357405005*E295+0.0330936548*E296+0.0328406739))</f>
        <v/>
      </c>
      <c r="F307" s="18">
        <f>F297*('Segments'!$D$27*F296*Assumptions!$B$109+'Segments'!$B$27*(0.4983251709*F295+0.4357405005*F295+0.0330936548*F296+0.0328406739))+F298*('Segments'!$D$28*F296*Assumptions!$B$109+'Segments'!$B$28*(0.4983251709*F295+0.4357405005*F295+0.0330936548*F296+0.0328406739))+F299*('Segments'!$D$29*F296*Assumptions!$B$109+'Segments'!$B$29*(0.4983251709*F295+0.4357405005*F295+0.0330936548*F296+0.0328406739))+F300*('Segments'!$D$30*F296*Assumptions!$B$109+'Segments'!$B$30*(0.4983251709*F295+0.4357405005*F295+0.0330936548*F296+0.0328406739))+F301*('Segments'!$D$31*F296*Assumptions!$B$109+'Segments'!$B$31*(0.4983251709*F295+0.4357405005*F295+0.0330936548*F296+0.0328406739))+F302*('Segments'!$D$32*F296*Assumptions!$B$109+'Segments'!$B$32*(0.4983251709*F295+0.4357405005*F295+0.0330936548*F296+0.0328406739))+F303*('Segments'!$D$33*F296*Assumptions!$B$109+'Segments'!$B$33*(0.4983251709*F295+0.4357405005*F295+0.0330936548*F296+0.0328406739))+F304*('Segments'!$D$34*F296*Assumptions!$B$109+'Segments'!$B$34*(0.4983251709*F295+0.4357405005*F295+0.0330936548*F296+0.0328406739))</f>
        <v/>
      </c>
      <c r="G307" s="18">
        <f>G297*('Segments'!$D$27*G296*Assumptions!$B$109+'Segments'!$B$27*(0.4983251709*G295+0.4357405005*G295+0.0330936548*G296+0.0328406739))+G298*('Segments'!$D$28*G296*Assumptions!$B$109+'Segments'!$B$28*(0.4983251709*G295+0.4357405005*G295+0.0330936548*G296+0.0328406739))+G299*('Segments'!$D$29*G296*Assumptions!$B$109+'Segments'!$B$29*(0.4983251709*G295+0.4357405005*G295+0.0330936548*G296+0.0328406739))+G300*('Segments'!$D$30*G296*Assumptions!$B$109+'Segments'!$B$30*(0.4983251709*G295+0.4357405005*G295+0.0330936548*G296+0.0328406739))+G301*('Segments'!$D$31*G296*Assumptions!$B$109+'Segments'!$B$31*(0.4983251709*G295+0.4357405005*G295+0.0330936548*G296+0.0328406739))+G302*('Segments'!$D$32*G296*Assumptions!$B$109+'Segments'!$B$32*(0.4983251709*G295+0.4357405005*G295+0.0330936548*G296+0.0328406739))+G303*('Segments'!$D$33*G296*Assumptions!$B$109+'Segments'!$B$33*(0.4983251709*G295+0.4357405005*G295+0.0330936548*G296+0.0328406739))+G304*('Segments'!$D$34*G296*Assumptions!$B$109+'Segments'!$B$34*(0.4983251709*G295+0.4357405005*G295+0.0330936548*G296+0.0328406739))</f>
        <v/>
      </c>
    </row>
    <row r="308">
      <c r="A308" s="15" t="inlineStr">
        <is>
          <t>GROSS PROFIT</t>
        </is>
      </c>
      <c r="C308" s="37">
        <f>C306-C307+DCF!$B$7*C306</f>
        <v/>
      </c>
      <c r="D308" s="37">
        <f>D306-D307+DCF!$B$7*D306</f>
        <v/>
      </c>
      <c r="E308" s="37">
        <f>E306-E307+DCF!$B$7*E306</f>
        <v/>
      </c>
      <c r="F308" s="37">
        <f>F306-F307+DCF!$B$7*F306</f>
        <v/>
      </c>
      <c r="G308" s="37">
        <f>G306-G307+DCF!$B$7*G306</f>
        <v/>
      </c>
    </row>
    <row r="309">
      <c r="A309" s="7" t="inlineStr">
        <is>
          <t>Gross margin</t>
        </is>
      </c>
      <c r="C309" s="24">
        <f>C308/C306</f>
        <v/>
      </c>
      <c r="D309" s="24">
        <f>D308/D306</f>
        <v/>
      </c>
      <c r="E309" s="24">
        <f>E308/E306</f>
        <v/>
      </c>
      <c r="F309" s="24">
        <f>F308/F306</f>
        <v/>
      </c>
      <c r="G309" s="24">
        <f>G308/G306</f>
        <v/>
      </c>
    </row>
    <row r="310">
      <c r="A310" s="7" t="inlineStr">
        <is>
          <t>Operating expense</t>
        </is>
      </c>
      <c r="C310" s="18">
        <f>('Income Statement'!$B$28*C295)+('Income Statement'!$B$29*C295*C305/'Segments'!$E$14)+('Income Statement'!$B$30*C295)+('Income Statement'!$B$31*C295)</f>
        <v/>
      </c>
      <c r="D310" s="18">
        <f>('Income Statement'!$B$28*D295)+('Income Statement'!$B$29*D295*D305/'Segments'!$E$14)+('Income Statement'!$B$30*D295)+('Income Statement'!$B$31*D295)</f>
        <v/>
      </c>
      <c r="E310" s="18">
        <f>('Income Statement'!$B$28*E295)+('Income Statement'!$B$29*E295*E305/'Segments'!$E$14)+('Income Statement'!$B$30*E295)+('Income Statement'!$B$31*E295)</f>
        <v/>
      </c>
      <c r="F310" s="18">
        <f>('Income Statement'!$B$28*F295)+('Income Statement'!$B$29*F295*F305/'Segments'!$E$14)+('Income Statement'!$B$30*F295)+('Income Statement'!$B$31*F295)</f>
        <v/>
      </c>
      <c r="G310" s="18">
        <f>('Income Statement'!$B$28*G295)+('Income Statement'!$B$29*G295*G305/'Segments'!$E$14)+('Income Statement'!$B$30*G295)+('Income Statement'!$B$31*G295)</f>
        <v/>
      </c>
    </row>
    <row r="311">
      <c r="A311" s="15" t="inlineStr">
        <is>
          <t>EBITDA</t>
        </is>
      </c>
      <c r="C311" s="37">
        <f>C308-C310</f>
        <v/>
      </c>
      <c r="D311" s="37">
        <f>D308-D310</f>
        <v/>
      </c>
      <c r="E311" s="37">
        <f>E308-E310</f>
        <v/>
      </c>
      <c r="F311" s="37">
        <f>F308-F310</f>
        <v/>
      </c>
      <c r="G311" s="37">
        <f>G308-G310</f>
        <v/>
      </c>
    </row>
    <row r="312">
      <c r="A312" s="7" t="inlineStr">
        <is>
          <t>Capital expenditure — maintenance + growth</t>
        </is>
      </c>
      <c r="C312" s="18">
        <f>'Income Statement'!$B$43*C295+MAX(C305-'Segments'!$E$14,0)*2100.379938*C295</f>
        <v/>
      </c>
      <c r="D312" s="18">
        <f>'Income Statement'!$B$43*D295+MAX(D305-C305,0)*2100.379938*D295</f>
        <v/>
      </c>
      <c r="E312" s="18">
        <f>'Income Statement'!$B$43*E295+MAX(E305-D305,0)*2100.379938*E295</f>
        <v/>
      </c>
      <c r="F312" s="18">
        <f>'Income Statement'!$B$43*F295+MAX(F305-E305,0)*2100.379938*F295</f>
        <v/>
      </c>
      <c r="G312" s="18">
        <f>'Income Statement'!$B$43*G295+MAX(G305-F305,0)*2100.379938*G295</f>
        <v/>
      </c>
    </row>
    <row r="313">
      <c r="A313" s="7" t="inlineStr">
        <is>
          <t>Fixed assets at cost, closing</t>
        </is>
      </c>
      <c r="C313" s="18">
        <f>(Assumptions!$B$91+Assumptions!$B$92)/10^6+C312</f>
        <v/>
      </c>
      <c r="D313" s="18">
        <f>C313+D312</f>
        <v/>
      </c>
      <c r="E313" s="18">
        <f>D313+E312</f>
        <v/>
      </c>
      <c r="F313" s="18">
        <f>E313+F312</f>
        <v/>
      </c>
      <c r="G313" s="18">
        <f>F313+G312</f>
        <v/>
      </c>
    </row>
    <row r="314">
      <c r="A314" s="7" t="inlineStr">
        <is>
          <t>Depreciation — rolls off the asset register</t>
        </is>
      </c>
      <c r="C314" s="18">
        <f>(Assumptions!$B$91+Assumptions!$B$92)/10^6/'Income Statement'!$B$42</f>
        <v/>
      </c>
      <c r="D314" s="18">
        <f>C313/'Income Statement'!$B$42</f>
        <v/>
      </c>
      <c r="E314" s="18">
        <f>D313/'Income Statement'!$B$42</f>
        <v/>
      </c>
      <c r="F314" s="18">
        <f>E313/'Income Statement'!$B$42</f>
        <v/>
      </c>
      <c r="G314" s="18">
        <f>F313/'Income Statement'!$B$42</f>
        <v/>
      </c>
    </row>
    <row r="315">
      <c r="A315" s="7" t="inlineStr">
        <is>
          <t>Fixed assets, net book, closing</t>
        </is>
      </c>
      <c r="C315" s="18">
        <f>(Assumptions!$B$90+Assumptions!$B$92)/10^6+C312-C314</f>
        <v/>
      </c>
      <c r="D315" s="18">
        <f>C315+D312-D314</f>
        <v/>
      </c>
      <c r="E315" s="18">
        <f>D315+E312-E314</f>
        <v/>
      </c>
      <c r="F315" s="18">
        <f>E315+F312-F314</f>
        <v/>
      </c>
      <c r="G315" s="18">
        <f>F315+G312-G314</f>
        <v/>
      </c>
    </row>
    <row r="316">
      <c r="A316" s="15" t="inlineStr">
        <is>
          <t>EBIT</t>
        </is>
      </c>
      <c r="C316" s="37">
        <f>C311-C314</f>
        <v/>
      </c>
      <c r="D316" s="37">
        <f>D311-D314</f>
        <v/>
      </c>
      <c r="E316" s="37">
        <f>E311-E314</f>
        <v/>
      </c>
      <c r="F316" s="37">
        <f>F311-F314</f>
        <v/>
      </c>
      <c r="G316" s="37">
        <f>G311-G314</f>
        <v/>
      </c>
    </row>
    <row r="317">
      <c r="A317" s="7" t="inlineStr">
        <is>
          <t>NOPAT before the profit share</t>
        </is>
      </c>
      <c r="C317" s="18">
        <f>C316*(1-Assumptions!$B$108)</f>
        <v/>
      </c>
      <c r="D317" s="18">
        <f>D316*(1-Assumptions!$B$108)</f>
        <v/>
      </c>
      <c r="E317" s="18">
        <f>E316*(1-Assumptions!$B$108)</f>
        <v/>
      </c>
      <c r="F317" s="18">
        <f>F316*(1-Assumptions!$B$108)</f>
        <v/>
      </c>
      <c r="G317" s="18">
        <f>G316*(1-Assumptions!$B$108)</f>
        <v/>
      </c>
    </row>
    <row r="318">
      <c r="A318" s="7" t="inlineStr">
        <is>
          <t xml:space="preserve">  less employees' profit share and board bonuses</t>
        </is>
      </c>
      <c r="C318" s="18">
        <f>MAX(C317,0)*'Income Statement'!$B$40</f>
        <v/>
      </c>
      <c r="D318" s="18">
        <f>MAX(D317,0)*'Income Statement'!$B$40</f>
        <v/>
      </c>
      <c r="E318" s="18">
        <f>MAX(E317,0)*'Income Statement'!$B$40</f>
        <v/>
      </c>
      <c r="F318" s="18">
        <f>MAX(F317,0)*'Income Statement'!$B$40</f>
        <v/>
      </c>
      <c r="G318" s="18">
        <f>MAX(G317,0)*'Income Statement'!$B$40</f>
        <v/>
      </c>
    </row>
    <row r="319">
      <c r="A319" s="15" t="inlineStr">
        <is>
          <t>NOPAT</t>
        </is>
      </c>
      <c r="C319" s="37">
        <f>C317-C318</f>
        <v/>
      </c>
      <c r="D319" s="37">
        <f>D317-D318</f>
        <v/>
      </c>
      <c r="E319" s="37">
        <f>E317-E318</f>
        <v/>
      </c>
      <c r="F319" s="37">
        <f>F317-F318</f>
        <v/>
      </c>
      <c r="G319" s="37">
        <f>G317-G318</f>
        <v/>
      </c>
    </row>
    <row r="320">
      <c r="A320" s="7" t="inlineStr">
        <is>
          <t>Net working capital — on days</t>
        </is>
      </c>
      <c r="C320" s="18">
        <f>'Income Statement'!$B$44*DCF!$B$9/365*C307+'Income Statement'!$B$45*DCF!$B$9/365*C306-'Income Statement'!$B$46*DCF!$B$9/365*C307</f>
        <v/>
      </c>
      <c r="D320" s="18">
        <f>'Income Statement'!$B$44*DCF!$B$9/365*D307+'Income Statement'!$B$45*DCF!$B$9/365*D306-'Income Statement'!$B$46*DCF!$B$9/365*D307</f>
        <v/>
      </c>
      <c r="E320" s="18">
        <f>'Income Statement'!$B$44*DCF!$B$9/365*E307+'Income Statement'!$B$45*DCF!$B$9/365*E306-'Income Statement'!$B$46*DCF!$B$9/365*E307</f>
        <v/>
      </c>
      <c r="F320" s="18">
        <f>'Income Statement'!$B$44*DCF!$B$9/365*F307+'Income Statement'!$B$45*DCF!$B$9/365*F306-'Income Statement'!$B$46*DCF!$B$9/365*F307</f>
        <v/>
      </c>
      <c r="G320" s="18">
        <f>'Income Statement'!$B$44*DCF!$B$9/365*G307+'Income Statement'!$B$45*DCF!$B$9/365*G306-'Income Statement'!$B$46*DCF!$B$9/365*G307</f>
        <v/>
      </c>
    </row>
    <row r="321">
      <c r="A321" s="7" t="inlineStr">
        <is>
          <t xml:space="preserve">  change in working capital</t>
        </is>
      </c>
      <c r="C321" s="18">
        <f>C320-('Income Statement'!$B$44/365*'Income Statement'!$B$21+'Income Statement'!$B$45/365*'Income Statement'!$B$19-'Income Statement'!$B$46/365*'Income Statement'!$B$21)</f>
        <v/>
      </c>
      <c r="D321" s="18">
        <f>D320-C320</f>
        <v/>
      </c>
      <c r="E321" s="18">
        <f>E320-D320</f>
        <v/>
      </c>
      <c r="F321" s="18">
        <f>F320-E320</f>
        <v/>
      </c>
      <c r="G321" s="18">
        <f>G320-F320</f>
        <v/>
      </c>
    </row>
    <row r="322">
      <c r="A322" s="15" t="inlineStr">
        <is>
          <t>FREE CASH FLOW TO THE FIRM</t>
        </is>
      </c>
      <c r="C322" s="37">
        <f>C319+C314-C312-C321</f>
        <v/>
      </c>
      <c r="D322" s="37">
        <f>D319+D314-D312-D321</f>
        <v/>
      </c>
      <c r="E322" s="37">
        <f>E319+E314-E312-E321</f>
        <v/>
      </c>
      <c r="F322" s="37">
        <f>F319+F314-F312-F321</f>
        <v/>
      </c>
      <c r="G322" s="37">
        <f>G319+G314-G312-G321</f>
        <v/>
      </c>
    </row>
    <row r="323">
      <c r="A323" s="7" t="inlineStr">
        <is>
          <t>Glide fraction</t>
        </is>
      </c>
      <c r="C323" s="23">
        <f>0.0000000000</f>
        <v/>
      </c>
      <c r="D323" s="23">
        <f>0.3571428571</f>
        <v/>
      </c>
      <c r="E323" s="23">
        <f>0.6428571429</f>
        <v/>
      </c>
      <c r="F323" s="23">
        <f>0.8571428571</f>
        <v/>
      </c>
      <c r="G323" s="23">
        <f>1.0000000000</f>
        <v/>
      </c>
    </row>
    <row r="324">
      <c r="A324" s="7" t="inlineStr">
        <is>
          <t>Forward cost of capital</t>
        </is>
      </c>
      <c r="C324" s="24">
        <f>DCF!$B$14-(DCF!$B$14-DCF!$B$17)*C323</f>
        <v/>
      </c>
      <c r="D324" s="24">
        <f>DCF!$B$14-(DCF!$B$14-DCF!$B$17)*D323</f>
        <v/>
      </c>
      <c r="E324" s="24">
        <f>DCF!$B$14-(DCF!$B$14-DCF!$B$17)*E323</f>
        <v/>
      </c>
      <c r="F324" s="24">
        <f>DCF!$B$14-(DCF!$B$14-DCF!$B$17)*F323</f>
        <v/>
      </c>
      <c r="G324" s="24">
        <f>DCF!$B$14-(DCF!$B$14-DCF!$B$17)*G323</f>
        <v/>
      </c>
    </row>
    <row r="325">
      <c r="A325" s="7" t="inlineStr">
        <is>
          <t>Cumulative discount factor</t>
        </is>
      </c>
      <c r="C325" s="40">
        <f>1/(1+C324)</f>
        <v/>
      </c>
      <c r="D325" s="40">
        <f>C325/(1+D324)</f>
        <v/>
      </c>
      <c r="E325" s="40">
        <f>D325/(1+E324)</f>
        <v/>
      </c>
      <c r="F325" s="40">
        <f>E325/(1+F324)</f>
        <v/>
      </c>
      <c r="G325" s="40">
        <f>F325/(1+G324)</f>
        <v/>
      </c>
    </row>
    <row r="326">
      <c r="A326" s="7" t="inlineStr">
        <is>
          <t>Present value</t>
        </is>
      </c>
      <c r="C326" s="18">
        <f>C322*C325</f>
        <v/>
      </c>
      <c r="D326" s="18">
        <f>D322*D325</f>
        <v/>
      </c>
      <c r="E326" s="18">
        <f>E322*E325</f>
        <v/>
      </c>
      <c r="F326" s="18">
        <f>F322*F325</f>
        <v/>
      </c>
      <c r="G326" s="18">
        <f>G322*G325</f>
        <v/>
      </c>
    </row>
    <row r="327">
      <c r="A327" s="15" t="inlineStr">
        <is>
          <t>PV of the explicit window</t>
        </is>
      </c>
      <c r="B327" s="37">
        <f>SUM(C326:G326)</f>
        <v/>
      </c>
      <c r="C327" s="18">
        <f>C320+C313</f>
        <v/>
      </c>
      <c r="D327" s="18">
        <f>D320+D313</f>
        <v/>
      </c>
      <c r="E327" s="18">
        <f>E320+E313</f>
        <v/>
      </c>
      <c r="F327" s="18">
        <f>F320+F313</f>
        <v/>
      </c>
      <c r="G327" s="18">
        <f>G320+G313</f>
        <v/>
      </c>
    </row>
    <row r="328">
      <c r="A328" s="7" t="inlineStr">
        <is>
          <t>Terminal return on invested capital, at REPLACEMENT cost</t>
        </is>
      </c>
      <c r="B328" s="24">
        <f>G319*(1+Assumptions!$B$110)/G327</f>
        <v/>
      </c>
    </row>
    <row r="329">
      <c r="A329" s="7" t="inlineStr">
        <is>
          <t>Required reinvestment = growth / return</t>
        </is>
      </c>
      <c r="B329" s="24">
        <f>MIN(Assumptions!$B$110/B328,0.95)</f>
        <v/>
      </c>
    </row>
    <row r="330">
      <c r="A330" s="7" t="inlineStr">
        <is>
          <t>Terminal value</t>
        </is>
      </c>
      <c r="B330" s="18">
        <f>G319*(1+Assumptions!$B$110)*(1-B329)/MAX(DCF!$B$17-Assumptions!$B$110,0.02)</f>
        <v/>
      </c>
    </row>
    <row r="331">
      <c r="A331" s="7" t="inlineStr">
        <is>
          <t>PV of the terminal block</t>
        </is>
      </c>
      <c r="B331" s="18">
        <f>B330*G325</f>
        <v/>
      </c>
    </row>
    <row r="332">
      <c r="A332" s="15" t="inlineStr">
        <is>
          <t>ENTERPRISE VALUE</t>
        </is>
      </c>
      <c r="B332" s="37">
        <f>B327+B331</f>
        <v/>
      </c>
    </row>
    <row r="333">
      <c r="A333" s="7" t="inlineStr">
        <is>
          <t>plus net cash</t>
        </is>
      </c>
      <c r="B333" s="18">
        <f>(Assumptions!$B$100-Assumptions!$B$103-Assumptions!$B$104)/10^6</f>
        <v/>
      </c>
    </row>
    <row r="334">
      <c r="A334" s="7" t="inlineStr">
        <is>
          <t>Enterprise value including cash</t>
        </is>
      </c>
      <c r="B334" s="18">
        <f>B332+B333</f>
        <v/>
      </c>
    </row>
    <row r="335">
      <c r="A335" s="7" t="inlineStr">
        <is>
          <t>less minority — on the WHOLE enterprise, cash included</t>
        </is>
      </c>
      <c r="B335" s="18">
        <f>B334*'Income Statement'!$B$41</f>
        <v/>
      </c>
    </row>
    <row r="336">
      <c r="A336" s="7" t="inlineStr">
        <is>
          <t>less the tax-disputes provision</t>
        </is>
      </c>
      <c r="B336" s="18">
        <f>Assumptions!$B$99/10^6</f>
        <v/>
      </c>
    </row>
    <row r="337">
      <c r="A337" s="7" t="inlineStr">
        <is>
          <t>less dividends payable — declared, out of working capital</t>
        </is>
      </c>
      <c r="B337" s="18">
        <f>Assumptions!$B$98/10^6</f>
        <v/>
      </c>
    </row>
    <row r="338">
      <c r="A338" s="7" t="inlineStr">
        <is>
          <t>plus non-operating investments and pledged deposits</t>
        </is>
      </c>
      <c r="B338" s="18">
        <f>(Assumptions!$B$102+Assumptions!$B$101)/10^6</f>
        <v/>
      </c>
    </row>
    <row r="339">
      <c r="A339" s="15" t="inlineStr">
        <is>
          <t>EQUITY ATTRIBUTABLE</t>
        </is>
      </c>
      <c r="B339" s="37">
        <f>B334-B335-B336-B337+B338</f>
        <v/>
      </c>
    </row>
    <row r="340">
      <c r="A340" s="15" t="inlineStr">
        <is>
          <t>VALUE PER SHARE, EGP</t>
        </is>
      </c>
      <c r="B340" s="22">
        <f>B339/Assumptions!$B$8</f>
        <v/>
      </c>
    </row>
    <row r="343">
      <c r="A343" s="6" t="inlineStr">
        <is>
          <t>Volume growth path, as a multiple of the assumed path — -3.0%</t>
        </is>
      </c>
      <c r="B343" s="6" t="inlineStr">
        <is>
          <t>2026E</t>
        </is>
      </c>
      <c r="C343" s="6" t="inlineStr">
        <is>
          <t>2027E</t>
        </is>
      </c>
      <c r="D343" s="6" t="inlineStr">
        <is>
          <t>2028E</t>
        </is>
      </c>
      <c r="E343" s="6" t="inlineStr">
        <is>
          <t>2029E</t>
        </is>
      </c>
      <c r="F343" s="6" t="inlineStr">
        <is>
          <t>2030E</t>
        </is>
      </c>
    </row>
    <row r="344">
      <c r="A344" s="7" t="inlineStr">
        <is>
          <t>Inflation index, cumulative</t>
        </is>
      </c>
      <c r="C344" s="23">
        <f>Assumptions!$B$167</f>
        <v/>
      </c>
      <c r="D344" s="23">
        <f>C344*Assumptions!$B$168</f>
        <v/>
      </c>
      <c r="E344" s="23">
        <f>D344*Assumptions!$B$169</f>
        <v/>
      </c>
      <c r="F344" s="23">
        <f>E344*Assumptions!$B$170</f>
        <v/>
      </c>
      <c r="G344" s="23">
        <f>F344*Assumptions!$B$171</f>
        <v/>
      </c>
    </row>
    <row r="345">
      <c r="A345" s="7" t="inlineStr">
        <is>
          <t>Realisation index, cumulative</t>
        </is>
      </c>
      <c r="C345" s="23">
        <f>(1+Assumptions!$B$122*DCF!$B$8)</f>
        <v/>
      </c>
      <c r="D345" s="23">
        <f>C345*(1+Assumptions!$B$123*DCF!$B$8)</f>
        <v/>
      </c>
      <c r="E345" s="23">
        <f>D345*(1+Assumptions!$B$124*DCF!$B$8)</f>
        <v/>
      </c>
      <c r="F345" s="23">
        <f>E345*(1+Assumptions!$B$125*DCF!$B$8)</f>
        <v/>
      </c>
      <c r="G345" s="23">
        <f>F345*(1+Assumptions!$B$126*DCF!$B$8)</f>
        <v/>
      </c>
    </row>
    <row r="346">
      <c r="A346" s="7" t="inlineStr">
        <is>
          <t xml:space="preserve">  Volume — Base and special oils, mn t</t>
        </is>
      </c>
      <c r="C346" s="23">
        <f>'Segments'!E6*(1+Assumptions!$B$127+$B$14)</f>
        <v/>
      </c>
      <c r="D346" s="23">
        <f>C346*(1+Assumptions!$B$128+$B$14)</f>
        <v/>
      </c>
      <c r="E346" s="23">
        <f>D346*(1+Assumptions!$B$129+$B$14)</f>
        <v/>
      </c>
      <c r="F346" s="23">
        <f>E346*(1+Assumptions!$B$130+$B$14)</f>
        <v/>
      </c>
      <c r="G346" s="23">
        <f>F346*(1+Assumptions!$B$131+$B$14)</f>
        <v/>
      </c>
    </row>
    <row r="347">
      <c r="A347" s="7" t="inlineStr">
        <is>
          <t xml:space="preserve">  Volume — Paraffin wax, mn t</t>
        </is>
      </c>
      <c r="C347" s="23">
        <f>'Segments'!E7*(1+Assumptions!$B$132+$B$14)</f>
        <v/>
      </c>
      <c r="D347" s="23">
        <f>C347*(1+Assumptions!$B$133+$B$14)</f>
        <v/>
      </c>
      <c r="E347" s="23">
        <f>D347*(1+Assumptions!$B$134+$B$14)</f>
        <v/>
      </c>
      <c r="F347" s="23">
        <f>E347*(1+Assumptions!$B$135+$B$14)</f>
        <v/>
      </c>
      <c r="G347" s="23">
        <f>F347*(1+Assumptions!$B$136+$B$14)</f>
        <v/>
      </c>
    </row>
    <row r="348">
      <c r="A348" s="7" t="inlineStr">
        <is>
          <t xml:space="preserve">  Volume — Gas oil, mn t</t>
        </is>
      </c>
      <c r="C348" s="23">
        <f>'Segments'!E8*(1+Assumptions!$B$137+$B$14)</f>
        <v/>
      </c>
      <c r="D348" s="23">
        <f>C348*(1+Assumptions!$B$138+$B$14)</f>
        <v/>
      </c>
      <c r="E348" s="23">
        <f>D348*(1+Assumptions!$B$139+$B$14)</f>
        <v/>
      </c>
      <c r="F348" s="23">
        <f>E348*(1+Assumptions!$B$140+$B$14)</f>
        <v/>
      </c>
      <c r="G348" s="23">
        <f>F348*(1+Assumptions!$B$141+$B$14)</f>
        <v/>
      </c>
    </row>
    <row r="349">
      <c r="A349" s="7" t="inlineStr">
        <is>
          <t xml:space="preserve">  Volume — Naphtha, mn t</t>
        </is>
      </c>
      <c r="C349" s="23">
        <f>'Segments'!E9*(1+Assumptions!$B$142+$B$14)</f>
        <v/>
      </c>
      <c r="D349" s="23">
        <f>C349*(1+Assumptions!$B$143+$B$14)</f>
        <v/>
      </c>
      <c r="E349" s="23">
        <f>D349*(1+Assumptions!$B$144+$B$14)</f>
        <v/>
      </c>
      <c r="F349" s="23">
        <f>E349*(1+Assumptions!$B$145+$B$14)</f>
        <v/>
      </c>
      <c r="G349" s="23">
        <f>F349*(1+Assumptions!$B$146+$B$14)</f>
        <v/>
      </c>
    </row>
    <row r="350">
      <c r="A350" s="7" t="inlineStr">
        <is>
          <t xml:space="preserve">  Volume — Liquefied petroleum gas, mn t</t>
        </is>
      </c>
      <c r="C350" s="23">
        <f>'Segments'!E10*(1+Assumptions!$B$147+$B$14)</f>
        <v/>
      </c>
      <c r="D350" s="23">
        <f>C350*(1+Assumptions!$B$148+$B$14)</f>
        <v/>
      </c>
      <c r="E350" s="23">
        <f>D350*(1+Assumptions!$B$149+$B$14)</f>
        <v/>
      </c>
      <c r="F350" s="23">
        <f>E350*(1+Assumptions!$B$150+$B$14)</f>
        <v/>
      </c>
      <c r="G350" s="23">
        <f>F350*(1+Assumptions!$B$151+$B$14)</f>
        <v/>
      </c>
    </row>
    <row r="351">
      <c r="A351" s="7" t="inlineStr">
        <is>
          <t xml:space="preserve">  Volume — Fuel oil (mix), mn t</t>
        </is>
      </c>
      <c r="C351" s="23">
        <f>'Segments'!E11*(1+Assumptions!$B$152+$B$14)</f>
        <v/>
      </c>
      <c r="D351" s="23">
        <f>C351*(1+Assumptions!$B$153+$B$14)</f>
        <v/>
      </c>
      <c r="E351" s="23">
        <f>D351*(1+Assumptions!$B$154+$B$14)</f>
        <v/>
      </c>
      <c r="F351" s="23">
        <f>E351*(1+Assumptions!$B$155+$B$14)</f>
        <v/>
      </c>
      <c r="G351" s="23">
        <f>F351*(1+Assumptions!$B$156+$B$14)</f>
        <v/>
      </c>
    </row>
    <row r="352">
      <c r="A352" s="7" t="inlineStr">
        <is>
          <t xml:space="preserve">  Volume — Heavy fuel oil, mn t</t>
        </is>
      </c>
      <c r="C352" s="23">
        <f>'Segments'!E12*(1+Assumptions!$B$157+$B$14)</f>
        <v/>
      </c>
      <c r="D352" s="23">
        <f>C352*(1+Assumptions!$B$158+$B$14)</f>
        <v/>
      </c>
      <c r="E352" s="23">
        <f>D352*(1+Assumptions!$B$159+$B$14)</f>
        <v/>
      </c>
      <c r="F352" s="23">
        <f>E352*(1+Assumptions!$B$160+$B$14)</f>
        <v/>
      </c>
      <c r="G352" s="23">
        <f>F352*(1+Assumptions!$B$161+$B$14)</f>
        <v/>
      </c>
    </row>
    <row r="353">
      <c r="A353" s="7" t="inlineStr">
        <is>
          <t xml:space="preserve">  Volume — Waste, mn t</t>
        </is>
      </c>
      <c r="C353" s="23">
        <f>'Segments'!E13*(1+Assumptions!$B$162+$B$14)</f>
        <v/>
      </c>
      <c r="D353" s="23">
        <f>C353*(1+Assumptions!$B$163+$B$14)</f>
        <v/>
      </c>
      <c r="E353" s="23">
        <f>D353*(1+Assumptions!$B$164+$B$14)</f>
        <v/>
      </c>
      <c r="F353" s="23">
        <f>E353*(1+Assumptions!$B$165+$B$14)</f>
        <v/>
      </c>
      <c r="G353" s="23">
        <f>F353*(1+Assumptions!$B$166+$B$14)</f>
        <v/>
      </c>
    </row>
    <row r="354">
      <c r="A354" s="15" t="inlineStr">
        <is>
          <t>Total volume, mn t</t>
        </is>
      </c>
      <c r="C354" s="36">
        <f>SUM(C346:C353)</f>
        <v/>
      </c>
      <c r="D354" s="36">
        <f>SUM(D346:D353)</f>
        <v/>
      </c>
      <c r="E354" s="36">
        <f>SUM(E346:E353)</f>
        <v/>
      </c>
      <c r="F354" s="36">
        <f>SUM(F346:F353)</f>
        <v/>
      </c>
      <c r="G354" s="36">
        <f>SUM(G346:G353)</f>
        <v/>
      </c>
    </row>
    <row r="355">
      <c r="A355" s="15" t="inlineStr">
        <is>
          <t>REVENUE</t>
        </is>
      </c>
      <c r="C355" s="37">
        <f>C346*'Segments'!$F$6*C345+C347*'Segments'!$F$7*C345+C348*'Segments'!$F$8*C345+C349*'Segments'!$F$9*C345+C350*'Segments'!$F$10*C345+C351*'Segments'!$F$11*C345+C352*'Segments'!$F$12*C345+C353*'Segments'!$F$13*C345</f>
        <v/>
      </c>
      <c r="D355" s="37">
        <f>D346*'Segments'!$F$6*D345+D347*'Segments'!$F$7*D345+D348*'Segments'!$F$8*D345+D349*'Segments'!$F$9*D345+D350*'Segments'!$F$10*D345+D351*'Segments'!$F$11*D345+D352*'Segments'!$F$12*D345+D353*'Segments'!$F$13*D345</f>
        <v/>
      </c>
      <c r="E355" s="37">
        <f>E346*'Segments'!$F$6*E345+E347*'Segments'!$F$7*E345+E348*'Segments'!$F$8*E345+E349*'Segments'!$F$9*E345+E350*'Segments'!$F$10*E345+E351*'Segments'!$F$11*E345+E352*'Segments'!$F$12*E345+E353*'Segments'!$F$13*E345</f>
        <v/>
      </c>
      <c r="F355" s="37">
        <f>F346*'Segments'!$F$6*F345+F347*'Segments'!$F$7*F345+F348*'Segments'!$F$8*F345+F349*'Segments'!$F$9*F345+F350*'Segments'!$F$10*F345+F351*'Segments'!$F$11*F345+F352*'Segments'!$F$12*F345+F353*'Segments'!$F$13*F345</f>
        <v/>
      </c>
      <c r="G355" s="37">
        <f>G346*'Segments'!$F$6*G345+G347*'Segments'!$F$7*G345+G348*'Segments'!$F$8*G345+G349*'Segments'!$F$9*G345+G350*'Segments'!$F$10*G345+G351*'Segments'!$F$11*G345+G352*'Segments'!$F$12*G345+G353*'Segments'!$F$13*G345</f>
        <v/>
      </c>
    </row>
    <row r="356">
      <c r="A356" s="7" t="inlineStr">
        <is>
          <t>Cost of sales</t>
        </is>
      </c>
      <c r="C356" s="18">
        <f>C346*('Segments'!$D$27*C345*Assumptions!$B$109+'Segments'!$B$27*(0.4983251709*C344+0.4357405005*C344+0.0330936548*C345+0.0328406739))+C347*('Segments'!$D$28*C345*Assumptions!$B$109+'Segments'!$B$28*(0.4983251709*C344+0.4357405005*C344+0.0330936548*C345+0.0328406739))+C348*('Segments'!$D$29*C345*Assumptions!$B$109+'Segments'!$B$29*(0.4983251709*C344+0.4357405005*C344+0.0330936548*C345+0.0328406739))+C349*('Segments'!$D$30*C345*Assumptions!$B$109+'Segments'!$B$30*(0.4983251709*C344+0.4357405005*C344+0.0330936548*C345+0.0328406739))+C350*('Segments'!$D$31*C345*Assumptions!$B$109+'Segments'!$B$31*(0.4983251709*C344+0.4357405005*C344+0.0330936548*C345+0.0328406739))+C351*('Segments'!$D$32*C345*Assumptions!$B$109+'Segments'!$B$32*(0.4983251709*C344+0.4357405005*C344+0.0330936548*C345+0.0328406739))+C352*('Segments'!$D$33*C345*Assumptions!$B$109+'Segments'!$B$33*(0.4983251709*C344+0.4357405005*C344+0.0330936548*C345+0.0328406739))+C353*('Segments'!$D$34*C345*Assumptions!$B$109+'Segments'!$B$34*(0.4983251709*C344+0.4357405005*C344+0.0330936548*C345+0.0328406739))</f>
        <v/>
      </c>
      <c r="D356" s="18">
        <f>D346*('Segments'!$D$27*D345*Assumptions!$B$109+'Segments'!$B$27*(0.4983251709*D344+0.4357405005*D344+0.0330936548*D345+0.0328406739))+D347*('Segments'!$D$28*D345*Assumptions!$B$109+'Segments'!$B$28*(0.4983251709*D344+0.4357405005*D344+0.0330936548*D345+0.0328406739))+D348*('Segments'!$D$29*D345*Assumptions!$B$109+'Segments'!$B$29*(0.4983251709*D344+0.4357405005*D344+0.0330936548*D345+0.0328406739))+D349*('Segments'!$D$30*D345*Assumptions!$B$109+'Segments'!$B$30*(0.4983251709*D344+0.4357405005*D344+0.0330936548*D345+0.0328406739))+D350*('Segments'!$D$31*D345*Assumptions!$B$109+'Segments'!$B$31*(0.4983251709*D344+0.4357405005*D344+0.0330936548*D345+0.0328406739))+D351*('Segments'!$D$32*D345*Assumptions!$B$109+'Segments'!$B$32*(0.4983251709*D344+0.4357405005*D344+0.0330936548*D345+0.0328406739))+D352*('Segments'!$D$33*D345*Assumptions!$B$109+'Segments'!$B$33*(0.4983251709*D344+0.4357405005*D344+0.0330936548*D345+0.0328406739))+D353*('Segments'!$D$34*D345*Assumptions!$B$109+'Segments'!$B$34*(0.4983251709*D344+0.4357405005*D344+0.0330936548*D345+0.0328406739))</f>
        <v/>
      </c>
      <c r="E356" s="18">
        <f>E346*('Segments'!$D$27*E345*Assumptions!$B$109+'Segments'!$B$27*(0.4983251709*E344+0.4357405005*E344+0.0330936548*E345+0.0328406739))+E347*('Segments'!$D$28*E345*Assumptions!$B$109+'Segments'!$B$28*(0.4983251709*E344+0.4357405005*E344+0.0330936548*E345+0.0328406739))+E348*('Segments'!$D$29*E345*Assumptions!$B$109+'Segments'!$B$29*(0.4983251709*E344+0.4357405005*E344+0.0330936548*E345+0.0328406739))+E349*('Segments'!$D$30*E345*Assumptions!$B$109+'Segments'!$B$30*(0.4983251709*E344+0.4357405005*E344+0.0330936548*E345+0.0328406739))+E350*('Segments'!$D$31*E345*Assumptions!$B$109+'Segments'!$B$31*(0.4983251709*E344+0.4357405005*E344+0.0330936548*E345+0.0328406739))+E351*('Segments'!$D$32*E345*Assumptions!$B$109+'Segments'!$B$32*(0.4983251709*E344+0.4357405005*E344+0.0330936548*E345+0.0328406739))+E352*('Segments'!$D$33*E345*Assumptions!$B$109+'Segments'!$B$33*(0.4983251709*E344+0.4357405005*E344+0.0330936548*E345+0.0328406739))+E353*('Segments'!$D$34*E345*Assumptions!$B$109+'Segments'!$B$34*(0.4983251709*E344+0.4357405005*E344+0.0330936548*E345+0.0328406739))</f>
        <v/>
      </c>
      <c r="F356" s="18">
        <f>F346*('Segments'!$D$27*F345*Assumptions!$B$109+'Segments'!$B$27*(0.4983251709*F344+0.4357405005*F344+0.0330936548*F345+0.0328406739))+F347*('Segments'!$D$28*F345*Assumptions!$B$109+'Segments'!$B$28*(0.4983251709*F344+0.4357405005*F344+0.0330936548*F345+0.0328406739))+F348*('Segments'!$D$29*F345*Assumptions!$B$109+'Segments'!$B$29*(0.4983251709*F344+0.4357405005*F344+0.0330936548*F345+0.0328406739))+F349*('Segments'!$D$30*F345*Assumptions!$B$109+'Segments'!$B$30*(0.4983251709*F344+0.4357405005*F344+0.0330936548*F345+0.0328406739))+F350*('Segments'!$D$31*F345*Assumptions!$B$109+'Segments'!$B$31*(0.4983251709*F344+0.4357405005*F344+0.0330936548*F345+0.0328406739))+F351*('Segments'!$D$32*F345*Assumptions!$B$109+'Segments'!$B$32*(0.4983251709*F344+0.4357405005*F344+0.0330936548*F345+0.0328406739))+F352*('Segments'!$D$33*F345*Assumptions!$B$109+'Segments'!$B$33*(0.4983251709*F344+0.4357405005*F344+0.0330936548*F345+0.0328406739))+F353*('Segments'!$D$34*F345*Assumptions!$B$109+'Segments'!$B$34*(0.4983251709*F344+0.4357405005*F344+0.0330936548*F345+0.0328406739))</f>
        <v/>
      </c>
      <c r="G356" s="18">
        <f>G346*('Segments'!$D$27*G345*Assumptions!$B$109+'Segments'!$B$27*(0.4983251709*G344+0.4357405005*G344+0.0330936548*G345+0.0328406739))+G347*('Segments'!$D$28*G345*Assumptions!$B$109+'Segments'!$B$28*(0.4983251709*G344+0.4357405005*G344+0.0330936548*G345+0.0328406739))+G348*('Segments'!$D$29*G345*Assumptions!$B$109+'Segments'!$B$29*(0.4983251709*G344+0.4357405005*G344+0.0330936548*G345+0.0328406739))+G349*('Segments'!$D$30*G345*Assumptions!$B$109+'Segments'!$B$30*(0.4983251709*G344+0.4357405005*G344+0.0330936548*G345+0.0328406739))+G350*('Segments'!$D$31*G345*Assumptions!$B$109+'Segments'!$B$31*(0.4983251709*G344+0.4357405005*G344+0.0330936548*G345+0.0328406739))+G351*('Segments'!$D$32*G345*Assumptions!$B$109+'Segments'!$B$32*(0.4983251709*G344+0.4357405005*G344+0.0330936548*G345+0.0328406739))+G352*('Segments'!$D$33*G345*Assumptions!$B$109+'Segments'!$B$33*(0.4983251709*G344+0.4357405005*G344+0.0330936548*G345+0.0328406739))+G353*('Segments'!$D$34*G345*Assumptions!$B$109+'Segments'!$B$34*(0.4983251709*G344+0.4357405005*G344+0.0330936548*G345+0.0328406739))</f>
        <v/>
      </c>
    </row>
    <row r="357">
      <c r="A357" s="15" t="inlineStr">
        <is>
          <t>GROSS PROFIT</t>
        </is>
      </c>
      <c r="C357" s="37">
        <f>C355-C356+DCF!$B$7*C355</f>
        <v/>
      </c>
      <c r="D357" s="37">
        <f>D355-D356+DCF!$B$7*D355</f>
        <v/>
      </c>
      <c r="E357" s="37">
        <f>E355-E356+DCF!$B$7*E355</f>
        <v/>
      </c>
      <c r="F357" s="37">
        <f>F355-F356+DCF!$B$7*F355</f>
        <v/>
      </c>
      <c r="G357" s="37">
        <f>G355-G356+DCF!$B$7*G355</f>
        <v/>
      </c>
    </row>
    <row r="358">
      <c r="A358" s="7" t="inlineStr">
        <is>
          <t>Gross margin</t>
        </is>
      </c>
      <c r="C358" s="24">
        <f>C357/C355</f>
        <v/>
      </c>
      <c r="D358" s="24">
        <f>D357/D355</f>
        <v/>
      </c>
      <c r="E358" s="24">
        <f>E357/E355</f>
        <v/>
      </c>
      <c r="F358" s="24">
        <f>F357/F355</f>
        <v/>
      </c>
      <c r="G358" s="24">
        <f>G357/G355</f>
        <v/>
      </c>
    </row>
    <row r="359">
      <c r="A359" s="7" t="inlineStr">
        <is>
          <t>Operating expense</t>
        </is>
      </c>
      <c r="C359" s="18">
        <f>('Income Statement'!$B$28*C344)+('Income Statement'!$B$29*C344*C354/'Segments'!$E$14)+('Income Statement'!$B$30*C344)+('Income Statement'!$B$31*C344)</f>
        <v/>
      </c>
      <c r="D359" s="18">
        <f>('Income Statement'!$B$28*D344)+('Income Statement'!$B$29*D344*D354/'Segments'!$E$14)+('Income Statement'!$B$30*D344)+('Income Statement'!$B$31*D344)</f>
        <v/>
      </c>
      <c r="E359" s="18">
        <f>('Income Statement'!$B$28*E344)+('Income Statement'!$B$29*E344*E354/'Segments'!$E$14)+('Income Statement'!$B$30*E344)+('Income Statement'!$B$31*E344)</f>
        <v/>
      </c>
      <c r="F359" s="18">
        <f>('Income Statement'!$B$28*F344)+('Income Statement'!$B$29*F344*F354/'Segments'!$E$14)+('Income Statement'!$B$30*F344)+('Income Statement'!$B$31*F344)</f>
        <v/>
      </c>
      <c r="G359" s="18">
        <f>('Income Statement'!$B$28*G344)+('Income Statement'!$B$29*G344*G354/'Segments'!$E$14)+('Income Statement'!$B$30*G344)+('Income Statement'!$B$31*G344)</f>
        <v/>
      </c>
    </row>
    <row r="360">
      <c r="A360" s="15" t="inlineStr">
        <is>
          <t>EBITDA</t>
        </is>
      </c>
      <c r="C360" s="37">
        <f>C357-C359</f>
        <v/>
      </c>
      <c r="D360" s="37">
        <f>D357-D359</f>
        <v/>
      </c>
      <c r="E360" s="37">
        <f>E357-E359</f>
        <v/>
      </c>
      <c r="F360" s="37">
        <f>F357-F359</f>
        <v/>
      </c>
      <c r="G360" s="37">
        <f>G357-G359</f>
        <v/>
      </c>
    </row>
    <row r="361">
      <c r="A361" s="7" t="inlineStr">
        <is>
          <t>Capital expenditure — maintenance + growth</t>
        </is>
      </c>
      <c r="C361" s="18">
        <f>'Income Statement'!$B$43*C344+MAX(C354-'Segments'!$E$14,0)*2100.379938*C344</f>
        <v/>
      </c>
      <c r="D361" s="18">
        <f>'Income Statement'!$B$43*D344+MAX(D354-C354,0)*2100.379938*D344</f>
        <v/>
      </c>
      <c r="E361" s="18">
        <f>'Income Statement'!$B$43*E344+MAX(E354-D354,0)*2100.379938*E344</f>
        <v/>
      </c>
      <c r="F361" s="18">
        <f>'Income Statement'!$B$43*F344+MAX(F354-E354,0)*2100.379938*F344</f>
        <v/>
      </c>
      <c r="G361" s="18">
        <f>'Income Statement'!$B$43*G344+MAX(G354-F354,0)*2100.379938*G344</f>
        <v/>
      </c>
    </row>
    <row r="362">
      <c r="A362" s="7" t="inlineStr">
        <is>
          <t>Fixed assets at cost, closing</t>
        </is>
      </c>
      <c r="C362" s="18">
        <f>(Assumptions!$B$91+Assumptions!$B$92)/10^6+C361</f>
        <v/>
      </c>
      <c r="D362" s="18">
        <f>C362+D361</f>
        <v/>
      </c>
      <c r="E362" s="18">
        <f>D362+E361</f>
        <v/>
      </c>
      <c r="F362" s="18">
        <f>E362+F361</f>
        <v/>
      </c>
      <c r="G362" s="18">
        <f>F362+G361</f>
        <v/>
      </c>
    </row>
    <row r="363">
      <c r="A363" s="7" t="inlineStr">
        <is>
          <t>Depreciation — rolls off the asset register</t>
        </is>
      </c>
      <c r="C363" s="18">
        <f>(Assumptions!$B$91+Assumptions!$B$92)/10^6/'Income Statement'!$B$42</f>
        <v/>
      </c>
      <c r="D363" s="18">
        <f>C362/'Income Statement'!$B$42</f>
        <v/>
      </c>
      <c r="E363" s="18">
        <f>D362/'Income Statement'!$B$42</f>
        <v/>
      </c>
      <c r="F363" s="18">
        <f>E362/'Income Statement'!$B$42</f>
        <v/>
      </c>
      <c r="G363" s="18">
        <f>F362/'Income Statement'!$B$42</f>
        <v/>
      </c>
    </row>
    <row r="364">
      <c r="A364" s="7" t="inlineStr">
        <is>
          <t>Fixed assets, net book, closing</t>
        </is>
      </c>
      <c r="C364" s="18">
        <f>(Assumptions!$B$90+Assumptions!$B$92)/10^6+C361-C363</f>
        <v/>
      </c>
      <c r="D364" s="18">
        <f>C364+D361-D363</f>
        <v/>
      </c>
      <c r="E364" s="18">
        <f>D364+E361-E363</f>
        <v/>
      </c>
      <c r="F364" s="18">
        <f>E364+F361-F363</f>
        <v/>
      </c>
      <c r="G364" s="18">
        <f>F364+G361-G363</f>
        <v/>
      </c>
    </row>
    <row r="365">
      <c r="A365" s="15" t="inlineStr">
        <is>
          <t>EBIT</t>
        </is>
      </c>
      <c r="C365" s="37">
        <f>C360-C363</f>
        <v/>
      </c>
      <c r="D365" s="37">
        <f>D360-D363</f>
        <v/>
      </c>
      <c r="E365" s="37">
        <f>E360-E363</f>
        <v/>
      </c>
      <c r="F365" s="37">
        <f>F360-F363</f>
        <v/>
      </c>
      <c r="G365" s="37">
        <f>G360-G363</f>
        <v/>
      </c>
    </row>
    <row r="366">
      <c r="A366" s="7" t="inlineStr">
        <is>
          <t>NOPAT before the profit share</t>
        </is>
      </c>
      <c r="C366" s="18">
        <f>C365*(1-Assumptions!$B$108)</f>
        <v/>
      </c>
      <c r="D366" s="18">
        <f>D365*(1-Assumptions!$B$108)</f>
        <v/>
      </c>
      <c r="E366" s="18">
        <f>E365*(1-Assumptions!$B$108)</f>
        <v/>
      </c>
      <c r="F366" s="18">
        <f>F365*(1-Assumptions!$B$108)</f>
        <v/>
      </c>
      <c r="G366" s="18">
        <f>G365*(1-Assumptions!$B$108)</f>
        <v/>
      </c>
    </row>
    <row r="367">
      <c r="A367" s="7" t="inlineStr">
        <is>
          <t xml:space="preserve">  less employees' profit share and board bonuses</t>
        </is>
      </c>
      <c r="C367" s="18">
        <f>MAX(C366,0)*'Income Statement'!$B$40</f>
        <v/>
      </c>
      <c r="D367" s="18">
        <f>MAX(D366,0)*'Income Statement'!$B$40</f>
        <v/>
      </c>
      <c r="E367" s="18">
        <f>MAX(E366,0)*'Income Statement'!$B$40</f>
        <v/>
      </c>
      <c r="F367" s="18">
        <f>MAX(F366,0)*'Income Statement'!$B$40</f>
        <v/>
      </c>
      <c r="G367" s="18">
        <f>MAX(G366,0)*'Income Statement'!$B$40</f>
        <v/>
      </c>
    </row>
    <row r="368">
      <c r="A368" s="15" t="inlineStr">
        <is>
          <t>NOPAT</t>
        </is>
      </c>
      <c r="C368" s="37">
        <f>C366-C367</f>
        <v/>
      </c>
      <c r="D368" s="37">
        <f>D366-D367</f>
        <v/>
      </c>
      <c r="E368" s="37">
        <f>E366-E367</f>
        <v/>
      </c>
      <c r="F368" s="37">
        <f>F366-F367</f>
        <v/>
      </c>
      <c r="G368" s="37">
        <f>G366-G367</f>
        <v/>
      </c>
    </row>
    <row r="369">
      <c r="A369" s="7" t="inlineStr">
        <is>
          <t>Net working capital — on days</t>
        </is>
      </c>
      <c r="C369" s="18">
        <f>'Income Statement'!$B$44*DCF!$B$9/365*C356+'Income Statement'!$B$45*DCF!$B$9/365*C355-'Income Statement'!$B$46*DCF!$B$9/365*C356</f>
        <v/>
      </c>
      <c r="D369" s="18">
        <f>'Income Statement'!$B$44*DCF!$B$9/365*D356+'Income Statement'!$B$45*DCF!$B$9/365*D355-'Income Statement'!$B$46*DCF!$B$9/365*D356</f>
        <v/>
      </c>
      <c r="E369" s="18">
        <f>'Income Statement'!$B$44*DCF!$B$9/365*E356+'Income Statement'!$B$45*DCF!$B$9/365*E355-'Income Statement'!$B$46*DCF!$B$9/365*E356</f>
        <v/>
      </c>
      <c r="F369" s="18">
        <f>'Income Statement'!$B$44*DCF!$B$9/365*F356+'Income Statement'!$B$45*DCF!$B$9/365*F355-'Income Statement'!$B$46*DCF!$B$9/365*F356</f>
        <v/>
      </c>
      <c r="G369" s="18">
        <f>'Income Statement'!$B$44*DCF!$B$9/365*G356+'Income Statement'!$B$45*DCF!$B$9/365*G355-'Income Statement'!$B$46*DCF!$B$9/365*G356</f>
        <v/>
      </c>
    </row>
    <row r="370">
      <c r="A370" s="7" t="inlineStr">
        <is>
          <t xml:space="preserve">  change in working capital</t>
        </is>
      </c>
      <c r="C370" s="18">
        <f>C369-('Income Statement'!$B$44/365*'Income Statement'!$B$21+'Income Statement'!$B$45/365*'Income Statement'!$B$19-'Income Statement'!$B$46/365*'Income Statement'!$B$21)</f>
        <v/>
      </c>
      <c r="D370" s="18">
        <f>D369-C369</f>
        <v/>
      </c>
      <c r="E370" s="18">
        <f>E369-D369</f>
        <v/>
      </c>
      <c r="F370" s="18">
        <f>F369-E369</f>
        <v/>
      </c>
      <c r="G370" s="18">
        <f>G369-F369</f>
        <v/>
      </c>
    </row>
    <row r="371">
      <c r="A371" s="15" t="inlineStr">
        <is>
          <t>FREE CASH FLOW TO THE FIRM</t>
        </is>
      </c>
      <c r="C371" s="37">
        <f>C368+C363-C361-C370</f>
        <v/>
      </c>
      <c r="D371" s="37">
        <f>D368+D363-D361-D370</f>
        <v/>
      </c>
      <c r="E371" s="37">
        <f>E368+E363-E361-E370</f>
        <v/>
      </c>
      <c r="F371" s="37">
        <f>F368+F363-F361-F370</f>
        <v/>
      </c>
      <c r="G371" s="37">
        <f>G368+G363-G361-G370</f>
        <v/>
      </c>
    </row>
    <row r="372">
      <c r="A372" s="7" t="inlineStr">
        <is>
          <t>Glide fraction</t>
        </is>
      </c>
      <c r="C372" s="23">
        <f>0.0000000000</f>
        <v/>
      </c>
      <c r="D372" s="23">
        <f>0.3571428571</f>
        <v/>
      </c>
      <c r="E372" s="23">
        <f>0.6428571429</f>
        <v/>
      </c>
      <c r="F372" s="23">
        <f>0.8571428571</f>
        <v/>
      </c>
      <c r="G372" s="23">
        <f>1.0000000000</f>
        <v/>
      </c>
    </row>
    <row r="373">
      <c r="A373" s="7" t="inlineStr">
        <is>
          <t>Forward cost of capital</t>
        </is>
      </c>
      <c r="C373" s="24">
        <f>DCF!$B$14-(DCF!$B$14-DCF!$B$17)*C372</f>
        <v/>
      </c>
      <c r="D373" s="24">
        <f>DCF!$B$14-(DCF!$B$14-DCF!$B$17)*D372</f>
        <v/>
      </c>
      <c r="E373" s="24">
        <f>DCF!$B$14-(DCF!$B$14-DCF!$B$17)*E372</f>
        <v/>
      </c>
      <c r="F373" s="24">
        <f>DCF!$B$14-(DCF!$B$14-DCF!$B$17)*F372</f>
        <v/>
      </c>
      <c r="G373" s="24">
        <f>DCF!$B$14-(DCF!$B$14-DCF!$B$17)*G372</f>
        <v/>
      </c>
    </row>
    <row r="374">
      <c r="A374" s="7" t="inlineStr">
        <is>
          <t>Cumulative discount factor</t>
        </is>
      </c>
      <c r="C374" s="40">
        <f>1/(1+C373)</f>
        <v/>
      </c>
      <c r="D374" s="40">
        <f>C374/(1+D373)</f>
        <v/>
      </c>
      <c r="E374" s="40">
        <f>D374/(1+E373)</f>
        <v/>
      </c>
      <c r="F374" s="40">
        <f>E374/(1+F373)</f>
        <v/>
      </c>
      <c r="G374" s="40">
        <f>F374/(1+G373)</f>
        <v/>
      </c>
    </row>
    <row r="375">
      <c r="A375" s="7" t="inlineStr">
        <is>
          <t>Present value</t>
        </is>
      </c>
      <c r="C375" s="18">
        <f>C371*C374</f>
        <v/>
      </c>
      <c r="D375" s="18">
        <f>D371*D374</f>
        <v/>
      </c>
      <c r="E375" s="18">
        <f>E371*E374</f>
        <v/>
      </c>
      <c r="F375" s="18">
        <f>F371*F374</f>
        <v/>
      </c>
      <c r="G375" s="18">
        <f>G371*G374</f>
        <v/>
      </c>
    </row>
    <row r="376">
      <c r="A376" s="15" t="inlineStr">
        <is>
          <t>PV of the explicit window</t>
        </is>
      </c>
      <c r="B376" s="37">
        <f>SUM(C375:G375)</f>
        <v/>
      </c>
      <c r="C376" s="18">
        <f>C369+C362</f>
        <v/>
      </c>
      <c r="D376" s="18">
        <f>D369+D362</f>
        <v/>
      </c>
      <c r="E376" s="18">
        <f>E369+E362</f>
        <v/>
      </c>
      <c r="F376" s="18">
        <f>F369+F362</f>
        <v/>
      </c>
      <c r="G376" s="18">
        <f>G369+G362</f>
        <v/>
      </c>
    </row>
    <row r="377">
      <c r="A377" s="7" t="inlineStr">
        <is>
          <t>Terminal return on invested capital, at REPLACEMENT cost</t>
        </is>
      </c>
      <c r="B377" s="24">
        <f>G368*(1+Assumptions!$B$110)/G376</f>
        <v/>
      </c>
    </row>
    <row r="378">
      <c r="A378" s="7" t="inlineStr">
        <is>
          <t>Required reinvestment = growth / return</t>
        </is>
      </c>
      <c r="B378" s="24">
        <f>MIN(Assumptions!$B$110/B377,0.95)</f>
        <v/>
      </c>
    </row>
    <row r="379">
      <c r="A379" s="7" t="inlineStr">
        <is>
          <t>Terminal value</t>
        </is>
      </c>
      <c r="B379" s="18">
        <f>G368*(1+Assumptions!$B$110)*(1-B378)/MAX(DCF!$B$17-Assumptions!$B$110,0.02)</f>
        <v/>
      </c>
    </row>
    <row r="380">
      <c r="A380" s="7" t="inlineStr">
        <is>
          <t>PV of the terminal block</t>
        </is>
      </c>
      <c r="B380" s="18">
        <f>B379*G374</f>
        <v/>
      </c>
    </row>
    <row r="381">
      <c r="A381" s="15" t="inlineStr">
        <is>
          <t>ENTERPRISE VALUE</t>
        </is>
      </c>
      <c r="B381" s="37">
        <f>B376+B380</f>
        <v/>
      </c>
    </row>
    <row r="382">
      <c r="A382" s="7" t="inlineStr">
        <is>
          <t>plus net cash</t>
        </is>
      </c>
      <c r="B382" s="18">
        <f>(Assumptions!$B$100-Assumptions!$B$103-Assumptions!$B$104)/10^6</f>
        <v/>
      </c>
    </row>
    <row r="383">
      <c r="A383" s="7" t="inlineStr">
        <is>
          <t>Enterprise value including cash</t>
        </is>
      </c>
      <c r="B383" s="18">
        <f>B381+B382</f>
        <v/>
      </c>
    </row>
    <row r="384">
      <c r="A384" s="7" t="inlineStr">
        <is>
          <t>less minority — on the WHOLE enterprise, cash included</t>
        </is>
      </c>
      <c r="B384" s="18">
        <f>B383*'Income Statement'!$B$41</f>
        <v/>
      </c>
    </row>
    <row r="385">
      <c r="A385" s="7" t="inlineStr">
        <is>
          <t>less the tax-disputes provision</t>
        </is>
      </c>
      <c r="B385" s="18">
        <f>Assumptions!$B$99/10^6</f>
        <v/>
      </c>
    </row>
    <row r="386">
      <c r="A386" s="7" t="inlineStr">
        <is>
          <t>less dividends payable — declared, out of working capital</t>
        </is>
      </c>
      <c r="B386" s="18">
        <f>Assumptions!$B$98/10^6</f>
        <v/>
      </c>
    </row>
    <row r="387">
      <c r="A387" s="7" t="inlineStr">
        <is>
          <t>plus non-operating investments and pledged deposits</t>
        </is>
      </c>
      <c r="B387" s="18">
        <f>(Assumptions!$B$102+Assumptions!$B$101)/10^6</f>
        <v/>
      </c>
    </row>
    <row r="388">
      <c r="A388" s="15" t="inlineStr">
        <is>
          <t>EQUITY ATTRIBUTABLE</t>
        </is>
      </c>
      <c r="B388" s="37">
        <f>B383-B384-B385-B386+B387</f>
        <v/>
      </c>
    </row>
    <row r="389">
      <c r="A389" s="15" t="inlineStr">
        <is>
          <t>VALUE PER SHARE, EGP</t>
        </is>
      </c>
      <c r="B389" s="22">
        <f>B388/Assumptions!$B$8</f>
        <v/>
      </c>
    </row>
    <row r="392">
      <c r="A392" s="6" t="inlineStr">
        <is>
          <t>Volume growth path, as a multiple of the assumed path — +0.0%</t>
        </is>
      </c>
      <c r="B392" s="6" t="inlineStr">
        <is>
          <t>2026E</t>
        </is>
      </c>
      <c r="C392" s="6" t="inlineStr">
        <is>
          <t>2027E</t>
        </is>
      </c>
      <c r="D392" s="6" t="inlineStr">
        <is>
          <t>2028E</t>
        </is>
      </c>
      <c r="E392" s="6" t="inlineStr">
        <is>
          <t>2029E</t>
        </is>
      </c>
      <c r="F392" s="6" t="inlineStr">
        <is>
          <t>2030E</t>
        </is>
      </c>
    </row>
    <row r="393">
      <c r="A393" s="7" t="inlineStr">
        <is>
          <t>Inflation index, cumulative</t>
        </is>
      </c>
      <c r="C393" s="23">
        <f>Assumptions!$B$167</f>
        <v/>
      </c>
      <c r="D393" s="23">
        <f>C393*Assumptions!$B$168</f>
        <v/>
      </c>
      <c r="E393" s="23">
        <f>D393*Assumptions!$B$169</f>
        <v/>
      </c>
      <c r="F393" s="23">
        <f>E393*Assumptions!$B$170</f>
        <v/>
      </c>
      <c r="G393" s="23">
        <f>F393*Assumptions!$B$171</f>
        <v/>
      </c>
    </row>
    <row r="394">
      <c r="A394" s="7" t="inlineStr">
        <is>
          <t>Realisation index, cumulative</t>
        </is>
      </c>
      <c r="C394" s="23">
        <f>(1+Assumptions!$B$122*DCF!$B$8)</f>
        <v/>
      </c>
      <c r="D394" s="23">
        <f>C394*(1+Assumptions!$B$123*DCF!$B$8)</f>
        <v/>
      </c>
      <c r="E394" s="23">
        <f>D394*(1+Assumptions!$B$124*DCF!$B$8)</f>
        <v/>
      </c>
      <c r="F394" s="23">
        <f>E394*(1+Assumptions!$B$125*DCF!$B$8)</f>
        <v/>
      </c>
      <c r="G394" s="23">
        <f>F394*(1+Assumptions!$B$126*DCF!$B$8)</f>
        <v/>
      </c>
    </row>
    <row r="395">
      <c r="A395" s="7" t="inlineStr">
        <is>
          <t xml:space="preserve">  Volume — Base and special oils, mn t</t>
        </is>
      </c>
      <c r="C395" s="23">
        <f>'Segments'!E6*(1+Assumptions!$B$127+$B$15)</f>
        <v/>
      </c>
      <c r="D395" s="23">
        <f>C395*(1+Assumptions!$B$128+$B$15)</f>
        <v/>
      </c>
      <c r="E395" s="23">
        <f>D395*(1+Assumptions!$B$129+$B$15)</f>
        <v/>
      </c>
      <c r="F395" s="23">
        <f>E395*(1+Assumptions!$B$130+$B$15)</f>
        <v/>
      </c>
      <c r="G395" s="23">
        <f>F395*(1+Assumptions!$B$131+$B$15)</f>
        <v/>
      </c>
    </row>
    <row r="396">
      <c r="A396" s="7" t="inlineStr">
        <is>
          <t xml:space="preserve">  Volume — Paraffin wax, mn t</t>
        </is>
      </c>
      <c r="C396" s="23">
        <f>'Segments'!E7*(1+Assumptions!$B$132+$B$15)</f>
        <v/>
      </c>
      <c r="D396" s="23">
        <f>C396*(1+Assumptions!$B$133+$B$15)</f>
        <v/>
      </c>
      <c r="E396" s="23">
        <f>D396*(1+Assumptions!$B$134+$B$15)</f>
        <v/>
      </c>
      <c r="F396" s="23">
        <f>E396*(1+Assumptions!$B$135+$B$15)</f>
        <v/>
      </c>
      <c r="G396" s="23">
        <f>F396*(1+Assumptions!$B$136+$B$15)</f>
        <v/>
      </c>
    </row>
    <row r="397">
      <c r="A397" s="7" t="inlineStr">
        <is>
          <t xml:space="preserve">  Volume — Gas oil, mn t</t>
        </is>
      </c>
      <c r="C397" s="23">
        <f>'Segments'!E8*(1+Assumptions!$B$137+$B$15)</f>
        <v/>
      </c>
      <c r="D397" s="23">
        <f>C397*(1+Assumptions!$B$138+$B$15)</f>
        <v/>
      </c>
      <c r="E397" s="23">
        <f>D397*(1+Assumptions!$B$139+$B$15)</f>
        <v/>
      </c>
      <c r="F397" s="23">
        <f>E397*(1+Assumptions!$B$140+$B$15)</f>
        <v/>
      </c>
      <c r="G397" s="23">
        <f>F397*(1+Assumptions!$B$141+$B$15)</f>
        <v/>
      </c>
    </row>
    <row r="398">
      <c r="A398" s="7" t="inlineStr">
        <is>
          <t xml:space="preserve">  Volume — Naphtha, mn t</t>
        </is>
      </c>
      <c r="C398" s="23">
        <f>'Segments'!E9*(1+Assumptions!$B$142+$B$15)</f>
        <v/>
      </c>
      <c r="D398" s="23">
        <f>C398*(1+Assumptions!$B$143+$B$15)</f>
        <v/>
      </c>
      <c r="E398" s="23">
        <f>D398*(1+Assumptions!$B$144+$B$15)</f>
        <v/>
      </c>
      <c r="F398" s="23">
        <f>E398*(1+Assumptions!$B$145+$B$15)</f>
        <v/>
      </c>
      <c r="G398" s="23">
        <f>F398*(1+Assumptions!$B$146+$B$15)</f>
        <v/>
      </c>
    </row>
    <row r="399">
      <c r="A399" s="7" t="inlineStr">
        <is>
          <t xml:space="preserve">  Volume — Liquefied petroleum gas, mn t</t>
        </is>
      </c>
      <c r="C399" s="23">
        <f>'Segments'!E10*(1+Assumptions!$B$147+$B$15)</f>
        <v/>
      </c>
      <c r="D399" s="23">
        <f>C399*(1+Assumptions!$B$148+$B$15)</f>
        <v/>
      </c>
      <c r="E399" s="23">
        <f>D399*(1+Assumptions!$B$149+$B$15)</f>
        <v/>
      </c>
      <c r="F399" s="23">
        <f>E399*(1+Assumptions!$B$150+$B$15)</f>
        <v/>
      </c>
      <c r="G399" s="23">
        <f>F399*(1+Assumptions!$B$151+$B$15)</f>
        <v/>
      </c>
    </row>
    <row r="400">
      <c r="A400" s="7" t="inlineStr">
        <is>
          <t xml:space="preserve">  Volume — Fuel oil (mix), mn t</t>
        </is>
      </c>
      <c r="C400" s="23">
        <f>'Segments'!E11*(1+Assumptions!$B$152+$B$15)</f>
        <v/>
      </c>
      <c r="D400" s="23">
        <f>C400*(1+Assumptions!$B$153+$B$15)</f>
        <v/>
      </c>
      <c r="E400" s="23">
        <f>D400*(1+Assumptions!$B$154+$B$15)</f>
        <v/>
      </c>
      <c r="F400" s="23">
        <f>E400*(1+Assumptions!$B$155+$B$15)</f>
        <v/>
      </c>
      <c r="G400" s="23">
        <f>F400*(1+Assumptions!$B$156+$B$15)</f>
        <v/>
      </c>
    </row>
    <row r="401">
      <c r="A401" s="7" t="inlineStr">
        <is>
          <t xml:space="preserve">  Volume — Heavy fuel oil, mn t</t>
        </is>
      </c>
      <c r="C401" s="23">
        <f>'Segments'!E12*(1+Assumptions!$B$157+$B$15)</f>
        <v/>
      </c>
      <c r="D401" s="23">
        <f>C401*(1+Assumptions!$B$158+$B$15)</f>
        <v/>
      </c>
      <c r="E401" s="23">
        <f>D401*(1+Assumptions!$B$159+$B$15)</f>
        <v/>
      </c>
      <c r="F401" s="23">
        <f>E401*(1+Assumptions!$B$160+$B$15)</f>
        <v/>
      </c>
      <c r="G401" s="23">
        <f>F401*(1+Assumptions!$B$161+$B$15)</f>
        <v/>
      </c>
    </row>
    <row r="402">
      <c r="A402" s="7" t="inlineStr">
        <is>
          <t xml:space="preserve">  Volume — Waste, mn t</t>
        </is>
      </c>
      <c r="C402" s="23">
        <f>'Segments'!E13*(1+Assumptions!$B$162+$B$15)</f>
        <v/>
      </c>
      <c r="D402" s="23">
        <f>C402*(1+Assumptions!$B$163+$B$15)</f>
        <v/>
      </c>
      <c r="E402" s="23">
        <f>D402*(1+Assumptions!$B$164+$B$15)</f>
        <v/>
      </c>
      <c r="F402" s="23">
        <f>E402*(1+Assumptions!$B$165+$B$15)</f>
        <v/>
      </c>
      <c r="G402" s="23">
        <f>F402*(1+Assumptions!$B$166+$B$15)</f>
        <v/>
      </c>
    </row>
    <row r="403">
      <c r="A403" s="15" t="inlineStr">
        <is>
          <t>Total volume, mn t</t>
        </is>
      </c>
      <c r="C403" s="36">
        <f>SUM(C395:C402)</f>
        <v/>
      </c>
      <c r="D403" s="36">
        <f>SUM(D395:D402)</f>
        <v/>
      </c>
      <c r="E403" s="36">
        <f>SUM(E395:E402)</f>
        <v/>
      </c>
      <c r="F403" s="36">
        <f>SUM(F395:F402)</f>
        <v/>
      </c>
      <c r="G403" s="36">
        <f>SUM(G395:G402)</f>
        <v/>
      </c>
    </row>
    <row r="404">
      <c r="A404" s="15" t="inlineStr">
        <is>
          <t>REVENUE</t>
        </is>
      </c>
      <c r="C404" s="37">
        <f>C395*'Segments'!$F$6*C394+C396*'Segments'!$F$7*C394+C397*'Segments'!$F$8*C394+C398*'Segments'!$F$9*C394+C399*'Segments'!$F$10*C394+C400*'Segments'!$F$11*C394+C401*'Segments'!$F$12*C394+C402*'Segments'!$F$13*C394</f>
        <v/>
      </c>
      <c r="D404" s="37">
        <f>D395*'Segments'!$F$6*D394+D396*'Segments'!$F$7*D394+D397*'Segments'!$F$8*D394+D398*'Segments'!$F$9*D394+D399*'Segments'!$F$10*D394+D400*'Segments'!$F$11*D394+D401*'Segments'!$F$12*D394+D402*'Segments'!$F$13*D394</f>
        <v/>
      </c>
      <c r="E404" s="37">
        <f>E395*'Segments'!$F$6*E394+E396*'Segments'!$F$7*E394+E397*'Segments'!$F$8*E394+E398*'Segments'!$F$9*E394+E399*'Segments'!$F$10*E394+E400*'Segments'!$F$11*E394+E401*'Segments'!$F$12*E394+E402*'Segments'!$F$13*E394</f>
        <v/>
      </c>
      <c r="F404" s="37">
        <f>F395*'Segments'!$F$6*F394+F396*'Segments'!$F$7*F394+F397*'Segments'!$F$8*F394+F398*'Segments'!$F$9*F394+F399*'Segments'!$F$10*F394+F400*'Segments'!$F$11*F394+F401*'Segments'!$F$12*F394+F402*'Segments'!$F$13*F394</f>
        <v/>
      </c>
      <c r="G404" s="37">
        <f>G395*'Segments'!$F$6*G394+G396*'Segments'!$F$7*G394+G397*'Segments'!$F$8*G394+G398*'Segments'!$F$9*G394+G399*'Segments'!$F$10*G394+G400*'Segments'!$F$11*G394+G401*'Segments'!$F$12*G394+G402*'Segments'!$F$13*G394</f>
        <v/>
      </c>
    </row>
    <row r="405">
      <c r="A405" s="7" t="inlineStr">
        <is>
          <t>Cost of sales</t>
        </is>
      </c>
      <c r="C405" s="18">
        <f>C395*('Segments'!$D$27*C394*Assumptions!$B$109+'Segments'!$B$27*(0.4983251709*C393+0.4357405005*C393+0.0330936548*C394+0.0328406739))+C396*('Segments'!$D$28*C394*Assumptions!$B$109+'Segments'!$B$28*(0.4983251709*C393+0.4357405005*C393+0.0330936548*C394+0.0328406739))+C397*('Segments'!$D$29*C394*Assumptions!$B$109+'Segments'!$B$29*(0.4983251709*C393+0.4357405005*C393+0.0330936548*C394+0.0328406739))+C398*('Segments'!$D$30*C394*Assumptions!$B$109+'Segments'!$B$30*(0.4983251709*C393+0.4357405005*C393+0.0330936548*C394+0.0328406739))+C399*('Segments'!$D$31*C394*Assumptions!$B$109+'Segments'!$B$31*(0.4983251709*C393+0.4357405005*C393+0.0330936548*C394+0.0328406739))+C400*('Segments'!$D$32*C394*Assumptions!$B$109+'Segments'!$B$32*(0.4983251709*C393+0.4357405005*C393+0.0330936548*C394+0.0328406739))+C401*('Segments'!$D$33*C394*Assumptions!$B$109+'Segments'!$B$33*(0.4983251709*C393+0.4357405005*C393+0.0330936548*C394+0.0328406739))+C402*('Segments'!$D$34*C394*Assumptions!$B$109+'Segments'!$B$34*(0.4983251709*C393+0.4357405005*C393+0.0330936548*C394+0.0328406739))</f>
        <v/>
      </c>
      <c r="D405" s="18">
        <f>D395*('Segments'!$D$27*D394*Assumptions!$B$109+'Segments'!$B$27*(0.4983251709*D393+0.4357405005*D393+0.0330936548*D394+0.0328406739))+D396*('Segments'!$D$28*D394*Assumptions!$B$109+'Segments'!$B$28*(0.4983251709*D393+0.4357405005*D393+0.0330936548*D394+0.0328406739))+D397*('Segments'!$D$29*D394*Assumptions!$B$109+'Segments'!$B$29*(0.4983251709*D393+0.4357405005*D393+0.0330936548*D394+0.0328406739))+D398*('Segments'!$D$30*D394*Assumptions!$B$109+'Segments'!$B$30*(0.4983251709*D393+0.4357405005*D393+0.0330936548*D394+0.0328406739))+D399*('Segments'!$D$31*D394*Assumptions!$B$109+'Segments'!$B$31*(0.4983251709*D393+0.4357405005*D393+0.0330936548*D394+0.0328406739))+D400*('Segments'!$D$32*D394*Assumptions!$B$109+'Segments'!$B$32*(0.4983251709*D393+0.4357405005*D393+0.0330936548*D394+0.0328406739))+D401*('Segments'!$D$33*D394*Assumptions!$B$109+'Segments'!$B$33*(0.4983251709*D393+0.4357405005*D393+0.0330936548*D394+0.0328406739))+D402*('Segments'!$D$34*D394*Assumptions!$B$109+'Segments'!$B$34*(0.4983251709*D393+0.4357405005*D393+0.0330936548*D394+0.0328406739))</f>
        <v/>
      </c>
      <c r="E405" s="18">
        <f>E395*('Segments'!$D$27*E394*Assumptions!$B$109+'Segments'!$B$27*(0.4983251709*E393+0.4357405005*E393+0.0330936548*E394+0.0328406739))+E396*('Segments'!$D$28*E394*Assumptions!$B$109+'Segments'!$B$28*(0.4983251709*E393+0.4357405005*E393+0.0330936548*E394+0.0328406739))+E397*('Segments'!$D$29*E394*Assumptions!$B$109+'Segments'!$B$29*(0.4983251709*E393+0.4357405005*E393+0.0330936548*E394+0.0328406739))+E398*('Segments'!$D$30*E394*Assumptions!$B$109+'Segments'!$B$30*(0.4983251709*E393+0.4357405005*E393+0.0330936548*E394+0.0328406739))+E399*('Segments'!$D$31*E394*Assumptions!$B$109+'Segments'!$B$31*(0.4983251709*E393+0.4357405005*E393+0.0330936548*E394+0.0328406739))+E400*('Segments'!$D$32*E394*Assumptions!$B$109+'Segments'!$B$32*(0.4983251709*E393+0.4357405005*E393+0.0330936548*E394+0.0328406739))+E401*('Segments'!$D$33*E394*Assumptions!$B$109+'Segments'!$B$33*(0.4983251709*E393+0.4357405005*E393+0.0330936548*E394+0.0328406739))+E402*('Segments'!$D$34*E394*Assumptions!$B$109+'Segments'!$B$34*(0.4983251709*E393+0.4357405005*E393+0.0330936548*E394+0.0328406739))</f>
        <v/>
      </c>
      <c r="F405" s="18">
        <f>F395*('Segments'!$D$27*F394*Assumptions!$B$109+'Segments'!$B$27*(0.4983251709*F393+0.4357405005*F393+0.0330936548*F394+0.0328406739))+F396*('Segments'!$D$28*F394*Assumptions!$B$109+'Segments'!$B$28*(0.4983251709*F393+0.4357405005*F393+0.0330936548*F394+0.0328406739))+F397*('Segments'!$D$29*F394*Assumptions!$B$109+'Segments'!$B$29*(0.4983251709*F393+0.4357405005*F393+0.0330936548*F394+0.0328406739))+F398*('Segments'!$D$30*F394*Assumptions!$B$109+'Segments'!$B$30*(0.4983251709*F393+0.4357405005*F393+0.0330936548*F394+0.0328406739))+F399*('Segments'!$D$31*F394*Assumptions!$B$109+'Segments'!$B$31*(0.4983251709*F393+0.4357405005*F393+0.0330936548*F394+0.0328406739))+F400*('Segments'!$D$32*F394*Assumptions!$B$109+'Segments'!$B$32*(0.4983251709*F393+0.4357405005*F393+0.0330936548*F394+0.0328406739))+F401*('Segments'!$D$33*F394*Assumptions!$B$109+'Segments'!$B$33*(0.4983251709*F393+0.4357405005*F393+0.0330936548*F394+0.0328406739))+F402*('Segments'!$D$34*F394*Assumptions!$B$109+'Segments'!$B$34*(0.4983251709*F393+0.4357405005*F393+0.0330936548*F394+0.0328406739))</f>
        <v/>
      </c>
      <c r="G405" s="18">
        <f>G395*('Segments'!$D$27*G394*Assumptions!$B$109+'Segments'!$B$27*(0.4983251709*G393+0.4357405005*G393+0.0330936548*G394+0.0328406739))+G396*('Segments'!$D$28*G394*Assumptions!$B$109+'Segments'!$B$28*(0.4983251709*G393+0.4357405005*G393+0.0330936548*G394+0.0328406739))+G397*('Segments'!$D$29*G394*Assumptions!$B$109+'Segments'!$B$29*(0.4983251709*G393+0.4357405005*G393+0.0330936548*G394+0.0328406739))+G398*('Segments'!$D$30*G394*Assumptions!$B$109+'Segments'!$B$30*(0.4983251709*G393+0.4357405005*G393+0.0330936548*G394+0.0328406739))+G399*('Segments'!$D$31*G394*Assumptions!$B$109+'Segments'!$B$31*(0.4983251709*G393+0.4357405005*G393+0.0330936548*G394+0.0328406739))+G400*('Segments'!$D$32*G394*Assumptions!$B$109+'Segments'!$B$32*(0.4983251709*G393+0.4357405005*G393+0.0330936548*G394+0.0328406739))+G401*('Segments'!$D$33*G394*Assumptions!$B$109+'Segments'!$B$33*(0.4983251709*G393+0.4357405005*G393+0.0330936548*G394+0.0328406739))+G402*('Segments'!$D$34*G394*Assumptions!$B$109+'Segments'!$B$34*(0.4983251709*G393+0.4357405005*G393+0.0330936548*G394+0.0328406739))</f>
        <v/>
      </c>
    </row>
    <row r="406">
      <c r="A406" s="15" t="inlineStr">
        <is>
          <t>GROSS PROFIT</t>
        </is>
      </c>
      <c r="C406" s="37">
        <f>C404-C405+DCF!$B$7*C404</f>
        <v/>
      </c>
      <c r="D406" s="37">
        <f>D404-D405+DCF!$B$7*D404</f>
        <v/>
      </c>
      <c r="E406" s="37">
        <f>E404-E405+DCF!$B$7*E404</f>
        <v/>
      </c>
      <c r="F406" s="37">
        <f>F404-F405+DCF!$B$7*F404</f>
        <v/>
      </c>
      <c r="G406" s="37">
        <f>G404-G405+DCF!$B$7*G404</f>
        <v/>
      </c>
    </row>
    <row r="407">
      <c r="A407" s="7" t="inlineStr">
        <is>
          <t>Gross margin</t>
        </is>
      </c>
      <c r="C407" s="24">
        <f>C406/C404</f>
        <v/>
      </c>
      <c r="D407" s="24">
        <f>D406/D404</f>
        <v/>
      </c>
      <c r="E407" s="24">
        <f>E406/E404</f>
        <v/>
      </c>
      <c r="F407" s="24">
        <f>F406/F404</f>
        <v/>
      </c>
      <c r="G407" s="24">
        <f>G406/G404</f>
        <v/>
      </c>
    </row>
    <row r="408">
      <c r="A408" s="7" t="inlineStr">
        <is>
          <t>Operating expense</t>
        </is>
      </c>
      <c r="C408" s="18">
        <f>('Income Statement'!$B$28*C393)+('Income Statement'!$B$29*C393*C403/'Segments'!$E$14)+('Income Statement'!$B$30*C393)+('Income Statement'!$B$31*C393)</f>
        <v/>
      </c>
      <c r="D408" s="18">
        <f>('Income Statement'!$B$28*D393)+('Income Statement'!$B$29*D393*D403/'Segments'!$E$14)+('Income Statement'!$B$30*D393)+('Income Statement'!$B$31*D393)</f>
        <v/>
      </c>
      <c r="E408" s="18">
        <f>('Income Statement'!$B$28*E393)+('Income Statement'!$B$29*E393*E403/'Segments'!$E$14)+('Income Statement'!$B$30*E393)+('Income Statement'!$B$31*E393)</f>
        <v/>
      </c>
      <c r="F408" s="18">
        <f>('Income Statement'!$B$28*F393)+('Income Statement'!$B$29*F393*F403/'Segments'!$E$14)+('Income Statement'!$B$30*F393)+('Income Statement'!$B$31*F393)</f>
        <v/>
      </c>
      <c r="G408" s="18">
        <f>('Income Statement'!$B$28*G393)+('Income Statement'!$B$29*G393*G403/'Segments'!$E$14)+('Income Statement'!$B$30*G393)+('Income Statement'!$B$31*G393)</f>
        <v/>
      </c>
    </row>
    <row r="409">
      <c r="A409" s="15" t="inlineStr">
        <is>
          <t>EBITDA</t>
        </is>
      </c>
      <c r="C409" s="37">
        <f>C406-C408</f>
        <v/>
      </c>
      <c r="D409" s="37">
        <f>D406-D408</f>
        <v/>
      </c>
      <c r="E409" s="37">
        <f>E406-E408</f>
        <v/>
      </c>
      <c r="F409" s="37">
        <f>F406-F408</f>
        <v/>
      </c>
      <c r="G409" s="37">
        <f>G406-G408</f>
        <v/>
      </c>
    </row>
    <row r="410">
      <c r="A410" s="7" t="inlineStr">
        <is>
          <t>Capital expenditure — maintenance + growth</t>
        </is>
      </c>
      <c r="C410" s="18">
        <f>'Income Statement'!$B$43*C393+MAX(C403-'Segments'!$E$14,0)*2100.379938*C393</f>
        <v/>
      </c>
      <c r="D410" s="18">
        <f>'Income Statement'!$B$43*D393+MAX(D403-C403,0)*2100.379938*D393</f>
        <v/>
      </c>
      <c r="E410" s="18">
        <f>'Income Statement'!$B$43*E393+MAX(E403-D403,0)*2100.379938*E393</f>
        <v/>
      </c>
      <c r="F410" s="18">
        <f>'Income Statement'!$B$43*F393+MAX(F403-E403,0)*2100.379938*F393</f>
        <v/>
      </c>
      <c r="G410" s="18">
        <f>'Income Statement'!$B$43*G393+MAX(G403-F403,0)*2100.379938*G393</f>
        <v/>
      </c>
    </row>
    <row r="411">
      <c r="A411" s="7" t="inlineStr">
        <is>
          <t>Fixed assets at cost, closing</t>
        </is>
      </c>
      <c r="C411" s="18">
        <f>(Assumptions!$B$91+Assumptions!$B$92)/10^6+C410</f>
        <v/>
      </c>
      <c r="D411" s="18">
        <f>C411+D410</f>
        <v/>
      </c>
      <c r="E411" s="18">
        <f>D411+E410</f>
        <v/>
      </c>
      <c r="F411" s="18">
        <f>E411+F410</f>
        <v/>
      </c>
      <c r="G411" s="18">
        <f>F411+G410</f>
        <v/>
      </c>
    </row>
    <row r="412">
      <c r="A412" s="7" t="inlineStr">
        <is>
          <t>Depreciation — rolls off the asset register</t>
        </is>
      </c>
      <c r="C412" s="18">
        <f>(Assumptions!$B$91+Assumptions!$B$92)/10^6/'Income Statement'!$B$42</f>
        <v/>
      </c>
      <c r="D412" s="18">
        <f>C411/'Income Statement'!$B$42</f>
        <v/>
      </c>
      <c r="E412" s="18">
        <f>D411/'Income Statement'!$B$42</f>
        <v/>
      </c>
      <c r="F412" s="18">
        <f>E411/'Income Statement'!$B$42</f>
        <v/>
      </c>
      <c r="G412" s="18">
        <f>F411/'Income Statement'!$B$42</f>
        <v/>
      </c>
    </row>
    <row r="413">
      <c r="A413" s="7" t="inlineStr">
        <is>
          <t>Fixed assets, net book, closing</t>
        </is>
      </c>
      <c r="C413" s="18">
        <f>(Assumptions!$B$90+Assumptions!$B$92)/10^6+C410-C412</f>
        <v/>
      </c>
      <c r="D413" s="18">
        <f>C413+D410-D412</f>
        <v/>
      </c>
      <c r="E413" s="18">
        <f>D413+E410-E412</f>
        <v/>
      </c>
      <c r="F413" s="18">
        <f>E413+F410-F412</f>
        <v/>
      </c>
      <c r="G413" s="18">
        <f>F413+G410-G412</f>
        <v/>
      </c>
    </row>
    <row r="414">
      <c r="A414" s="15" t="inlineStr">
        <is>
          <t>EBIT</t>
        </is>
      </c>
      <c r="C414" s="37">
        <f>C409-C412</f>
        <v/>
      </c>
      <c r="D414" s="37">
        <f>D409-D412</f>
        <v/>
      </c>
      <c r="E414" s="37">
        <f>E409-E412</f>
        <v/>
      </c>
      <c r="F414" s="37">
        <f>F409-F412</f>
        <v/>
      </c>
      <c r="G414" s="37">
        <f>G409-G412</f>
        <v/>
      </c>
    </row>
    <row r="415">
      <c r="A415" s="7" t="inlineStr">
        <is>
          <t>NOPAT before the profit share</t>
        </is>
      </c>
      <c r="C415" s="18">
        <f>C414*(1-Assumptions!$B$108)</f>
        <v/>
      </c>
      <c r="D415" s="18">
        <f>D414*(1-Assumptions!$B$108)</f>
        <v/>
      </c>
      <c r="E415" s="18">
        <f>E414*(1-Assumptions!$B$108)</f>
        <v/>
      </c>
      <c r="F415" s="18">
        <f>F414*(1-Assumptions!$B$108)</f>
        <v/>
      </c>
      <c r="G415" s="18">
        <f>G414*(1-Assumptions!$B$108)</f>
        <v/>
      </c>
    </row>
    <row r="416">
      <c r="A416" s="7" t="inlineStr">
        <is>
          <t xml:space="preserve">  less employees' profit share and board bonuses</t>
        </is>
      </c>
      <c r="C416" s="18">
        <f>MAX(C415,0)*'Income Statement'!$B$40</f>
        <v/>
      </c>
      <c r="D416" s="18">
        <f>MAX(D415,0)*'Income Statement'!$B$40</f>
        <v/>
      </c>
      <c r="E416" s="18">
        <f>MAX(E415,0)*'Income Statement'!$B$40</f>
        <v/>
      </c>
      <c r="F416" s="18">
        <f>MAX(F415,0)*'Income Statement'!$B$40</f>
        <v/>
      </c>
      <c r="G416" s="18">
        <f>MAX(G415,0)*'Income Statement'!$B$40</f>
        <v/>
      </c>
    </row>
    <row r="417">
      <c r="A417" s="15" t="inlineStr">
        <is>
          <t>NOPAT</t>
        </is>
      </c>
      <c r="C417" s="37">
        <f>C415-C416</f>
        <v/>
      </c>
      <c r="D417" s="37">
        <f>D415-D416</f>
        <v/>
      </c>
      <c r="E417" s="37">
        <f>E415-E416</f>
        <v/>
      </c>
      <c r="F417" s="37">
        <f>F415-F416</f>
        <v/>
      </c>
      <c r="G417" s="37">
        <f>G415-G416</f>
        <v/>
      </c>
    </row>
    <row r="418">
      <c r="A418" s="7" t="inlineStr">
        <is>
          <t>Net working capital — on days</t>
        </is>
      </c>
      <c r="C418" s="18">
        <f>'Income Statement'!$B$44*DCF!$B$9/365*C405+'Income Statement'!$B$45*DCF!$B$9/365*C404-'Income Statement'!$B$46*DCF!$B$9/365*C405</f>
        <v/>
      </c>
      <c r="D418" s="18">
        <f>'Income Statement'!$B$44*DCF!$B$9/365*D405+'Income Statement'!$B$45*DCF!$B$9/365*D404-'Income Statement'!$B$46*DCF!$B$9/365*D405</f>
        <v/>
      </c>
      <c r="E418" s="18">
        <f>'Income Statement'!$B$44*DCF!$B$9/365*E405+'Income Statement'!$B$45*DCF!$B$9/365*E404-'Income Statement'!$B$46*DCF!$B$9/365*E405</f>
        <v/>
      </c>
      <c r="F418" s="18">
        <f>'Income Statement'!$B$44*DCF!$B$9/365*F405+'Income Statement'!$B$45*DCF!$B$9/365*F404-'Income Statement'!$B$46*DCF!$B$9/365*F405</f>
        <v/>
      </c>
      <c r="G418" s="18">
        <f>'Income Statement'!$B$44*DCF!$B$9/365*G405+'Income Statement'!$B$45*DCF!$B$9/365*G404-'Income Statement'!$B$46*DCF!$B$9/365*G405</f>
        <v/>
      </c>
    </row>
    <row r="419">
      <c r="A419" s="7" t="inlineStr">
        <is>
          <t xml:space="preserve">  change in working capital</t>
        </is>
      </c>
      <c r="C419" s="18">
        <f>C418-('Income Statement'!$B$44/365*'Income Statement'!$B$21+'Income Statement'!$B$45/365*'Income Statement'!$B$19-'Income Statement'!$B$46/365*'Income Statement'!$B$21)</f>
        <v/>
      </c>
      <c r="D419" s="18">
        <f>D418-C418</f>
        <v/>
      </c>
      <c r="E419" s="18">
        <f>E418-D418</f>
        <v/>
      </c>
      <c r="F419" s="18">
        <f>F418-E418</f>
        <v/>
      </c>
      <c r="G419" s="18">
        <f>G418-F418</f>
        <v/>
      </c>
    </row>
    <row r="420">
      <c r="A420" s="15" t="inlineStr">
        <is>
          <t>FREE CASH FLOW TO THE FIRM</t>
        </is>
      </c>
      <c r="C420" s="37">
        <f>C417+C412-C410-C419</f>
        <v/>
      </c>
      <c r="D420" s="37">
        <f>D417+D412-D410-D419</f>
        <v/>
      </c>
      <c r="E420" s="37">
        <f>E417+E412-E410-E419</f>
        <v/>
      </c>
      <c r="F420" s="37">
        <f>F417+F412-F410-F419</f>
        <v/>
      </c>
      <c r="G420" s="37">
        <f>G417+G412-G410-G419</f>
        <v/>
      </c>
    </row>
    <row r="421">
      <c r="A421" s="7" t="inlineStr">
        <is>
          <t>Glide fraction</t>
        </is>
      </c>
      <c r="C421" s="23">
        <f>0.0000000000</f>
        <v/>
      </c>
      <c r="D421" s="23">
        <f>0.3571428571</f>
        <v/>
      </c>
      <c r="E421" s="23">
        <f>0.6428571429</f>
        <v/>
      </c>
      <c r="F421" s="23">
        <f>0.8571428571</f>
        <v/>
      </c>
      <c r="G421" s="23">
        <f>1.0000000000</f>
        <v/>
      </c>
    </row>
    <row r="422">
      <c r="A422" s="7" t="inlineStr">
        <is>
          <t>Forward cost of capital</t>
        </is>
      </c>
      <c r="C422" s="24">
        <f>DCF!$B$14-(DCF!$B$14-DCF!$B$17)*C421</f>
        <v/>
      </c>
      <c r="D422" s="24">
        <f>DCF!$B$14-(DCF!$B$14-DCF!$B$17)*D421</f>
        <v/>
      </c>
      <c r="E422" s="24">
        <f>DCF!$B$14-(DCF!$B$14-DCF!$B$17)*E421</f>
        <v/>
      </c>
      <c r="F422" s="24">
        <f>DCF!$B$14-(DCF!$B$14-DCF!$B$17)*F421</f>
        <v/>
      </c>
      <c r="G422" s="24">
        <f>DCF!$B$14-(DCF!$B$14-DCF!$B$17)*G421</f>
        <v/>
      </c>
    </row>
    <row r="423">
      <c r="A423" s="7" t="inlineStr">
        <is>
          <t>Cumulative discount factor</t>
        </is>
      </c>
      <c r="C423" s="40">
        <f>1/(1+C422)</f>
        <v/>
      </c>
      <c r="D423" s="40">
        <f>C423/(1+D422)</f>
        <v/>
      </c>
      <c r="E423" s="40">
        <f>D423/(1+E422)</f>
        <v/>
      </c>
      <c r="F423" s="40">
        <f>E423/(1+F422)</f>
        <v/>
      </c>
      <c r="G423" s="40">
        <f>F423/(1+G422)</f>
        <v/>
      </c>
    </row>
    <row r="424">
      <c r="A424" s="7" t="inlineStr">
        <is>
          <t>Present value</t>
        </is>
      </c>
      <c r="C424" s="18">
        <f>C420*C423</f>
        <v/>
      </c>
      <c r="D424" s="18">
        <f>D420*D423</f>
        <v/>
      </c>
      <c r="E424" s="18">
        <f>E420*E423</f>
        <v/>
      </c>
      <c r="F424" s="18">
        <f>F420*F423</f>
        <v/>
      </c>
      <c r="G424" s="18">
        <f>G420*G423</f>
        <v/>
      </c>
    </row>
    <row r="425">
      <c r="A425" s="15" t="inlineStr">
        <is>
          <t>PV of the explicit window</t>
        </is>
      </c>
      <c r="B425" s="37">
        <f>SUM(C424:G424)</f>
        <v/>
      </c>
      <c r="C425" s="18">
        <f>C418+C411</f>
        <v/>
      </c>
      <c r="D425" s="18">
        <f>D418+D411</f>
        <v/>
      </c>
      <c r="E425" s="18">
        <f>E418+E411</f>
        <v/>
      </c>
      <c r="F425" s="18">
        <f>F418+F411</f>
        <v/>
      </c>
      <c r="G425" s="18">
        <f>G418+G411</f>
        <v/>
      </c>
    </row>
    <row r="426">
      <c r="A426" s="7" t="inlineStr">
        <is>
          <t>Terminal return on invested capital, at REPLACEMENT cost</t>
        </is>
      </c>
      <c r="B426" s="24">
        <f>G417*(1+Assumptions!$B$110)/G425</f>
        <v/>
      </c>
    </row>
    <row r="427">
      <c r="A427" s="7" t="inlineStr">
        <is>
          <t>Required reinvestment = growth / return</t>
        </is>
      </c>
      <c r="B427" s="24">
        <f>MIN(Assumptions!$B$110/B426,0.95)</f>
        <v/>
      </c>
    </row>
    <row r="428">
      <c r="A428" s="7" t="inlineStr">
        <is>
          <t>Terminal value</t>
        </is>
      </c>
      <c r="B428" s="18">
        <f>G417*(1+Assumptions!$B$110)*(1-B427)/MAX(DCF!$B$17-Assumptions!$B$110,0.02)</f>
        <v/>
      </c>
    </row>
    <row r="429">
      <c r="A429" s="7" t="inlineStr">
        <is>
          <t>PV of the terminal block</t>
        </is>
      </c>
      <c r="B429" s="18">
        <f>B428*G423</f>
        <v/>
      </c>
    </row>
    <row r="430">
      <c r="A430" s="15" t="inlineStr">
        <is>
          <t>ENTERPRISE VALUE</t>
        </is>
      </c>
      <c r="B430" s="37">
        <f>B425+B429</f>
        <v/>
      </c>
    </row>
    <row r="431">
      <c r="A431" s="7" t="inlineStr">
        <is>
          <t>plus net cash</t>
        </is>
      </c>
      <c r="B431" s="18">
        <f>(Assumptions!$B$100-Assumptions!$B$103-Assumptions!$B$104)/10^6</f>
        <v/>
      </c>
    </row>
    <row r="432">
      <c r="A432" s="7" t="inlineStr">
        <is>
          <t>Enterprise value including cash</t>
        </is>
      </c>
      <c r="B432" s="18">
        <f>B430+B431</f>
        <v/>
      </c>
    </row>
    <row r="433">
      <c r="A433" s="7" t="inlineStr">
        <is>
          <t>less minority — on the WHOLE enterprise, cash included</t>
        </is>
      </c>
      <c r="B433" s="18">
        <f>B432*'Income Statement'!$B$41</f>
        <v/>
      </c>
    </row>
    <row r="434">
      <c r="A434" s="7" t="inlineStr">
        <is>
          <t>less the tax-disputes provision</t>
        </is>
      </c>
      <c r="B434" s="18">
        <f>Assumptions!$B$99/10^6</f>
        <v/>
      </c>
    </row>
    <row r="435">
      <c r="A435" s="7" t="inlineStr">
        <is>
          <t>less dividends payable — declared, out of working capital</t>
        </is>
      </c>
      <c r="B435" s="18">
        <f>Assumptions!$B$98/10^6</f>
        <v/>
      </c>
    </row>
    <row r="436">
      <c r="A436" s="7" t="inlineStr">
        <is>
          <t>plus non-operating investments and pledged deposits</t>
        </is>
      </c>
      <c r="B436" s="18">
        <f>(Assumptions!$B$102+Assumptions!$B$101)/10^6</f>
        <v/>
      </c>
    </row>
    <row r="437">
      <c r="A437" s="15" t="inlineStr">
        <is>
          <t>EQUITY ATTRIBUTABLE</t>
        </is>
      </c>
      <c r="B437" s="37">
        <f>B432-B433-B434-B435+B436</f>
        <v/>
      </c>
    </row>
    <row r="438">
      <c r="A438" s="15" t="inlineStr">
        <is>
          <t>VALUE PER SHARE, EGP</t>
        </is>
      </c>
      <c r="B438" s="22">
        <f>B437/Assumptions!$B$8</f>
        <v/>
      </c>
    </row>
    <row r="441">
      <c r="A441" s="6" t="inlineStr">
        <is>
          <t>Volume growth path, as a multiple of the assumed path — +3.0%</t>
        </is>
      </c>
      <c r="B441" s="6" t="inlineStr">
        <is>
          <t>2026E</t>
        </is>
      </c>
      <c r="C441" s="6" t="inlineStr">
        <is>
          <t>2027E</t>
        </is>
      </c>
      <c r="D441" s="6" t="inlineStr">
        <is>
          <t>2028E</t>
        </is>
      </c>
      <c r="E441" s="6" t="inlineStr">
        <is>
          <t>2029E</t>
        </is>
      </c>
      <c r="F441" s="6" t="inlineStr">
        <is>
          <t>2030E</t>
        </is>
      </c>
    </row>
    <row r="442">
      <c r="A442" s="7" t="inlineStr">
        <is>
          <t>Inflation index, cumulative</t>
        </is>
      </c>
      <c r="C442" s="23">
        <f>Assumptions!$B$167</f>
        <v/>
      </c>
      <c r="D442" s="23">
        <f>C442*Assumptions!$B$168</f>
        <v/>
      </c>
      <c r="E442" s="23">
        <f>D442*Assumptions!$B$169</f>
        <v/>
      </c>
      <c r="F442" s="23">
        <f>E442*Assumptions!$B$170</f>
        <v/>
      </c>
      <c r="G442" s="23">
        <f>F442*Assumptions!$B$171</f>
        <v/>
      </c>
    </row>
    <row r="443">
      <c r="A443" s="7" t="inlineStr">
        <is>
          <t>Realisation index, cumulative</t>
        </is>
      </c>
      <c r="C443" s="23">
        <f>(1+Assumptions!$B$122*DCF!$B$8)</f>
        <v/>
      </c>
      <c r="D443" s="23">
        <f>C443*(1+Assumptions!$B$123*DCF!$B$8)</f>
        <v/>
      </c>
      <c r="E443" s="23">
        <f>D443*(1+Assumptions!$B$124*DCF!$B$8)</f>
        <v/>
      </c>
      <c r="F443" s="23">
        <f>E443*(1+Assumptions!$B$125*DCF!$B$8)</f>
        <v/>
      </c>
      <c r="G443" s="23">
        <f>F443*(1+Assumptions!$B$126*DCF!$B$8)</f>
        <v/>
      </c>
    </row>
    <row r="444">
      <c r="A444" s="7" t="inlineStr">
        <is>
          <t xml:space="preserve">  Volume — Base and special oils, mn t</t>
        </is>
      </c>
      <c r="C444" s="23">
        <f>'Segments'!E6*(1+Assumptions!$B$127+$B$16)</f>
        <v/>
      </c>
      <c r="D444" s="23">
        <f>C444*(1+Assumptions!$B$128+$B$16)</f>
        <v/>
      </c>
      <c r="E444" s="23">
        <f>D444*(1+Assumptions!$B$129+$B$16)</f>
        <v/>
      </c>
      <c r="F444" s="23">
        <f>E444*(1+Assumptions!$B$130+$B$16)</f>
        <v/>
      </c>
      <c r="G444" s="23">
        <f>F444*(1+Assumptions!$B$131+$B$16)</f>
        <v/>
      </c>
    </row>
    <row r="445">
      <c r="A445" s="7" t="inlineStr">
        <is>
          <t xml:space="preserve">  Volume — Paraffin wax, mn t</t>
        </is>
      </c>
      <c r="C445" s="23">
        <f>'Segments'!E7*(1+Assumptions!$B$132+$B$16)</f>
        <v/>
      </c>
      <c r="D445" s="23">
        <f>C445*(1+Assumptions!$B$133+$B$16)</f>
        <v/>
      </c>
      <c r="E445" s="23">
        <f>D445*(1+Assumptions!$B$134+$B$16)</f>
        <v/>
      </c>
      <c r="F445" s="23">
        <f>E445*(1+Assumptions!$B$135+$B$16)</f>
        <v/>
      </c>
      <c r="G445" s="23">
        <f>F445*(1+Assumptions!$B$136+$B$16)</f>
        <v/>
      </c>
    </row>
    <row r="446">
      <c r="A446" s="7" t="inlineStr">
        <is>
          <t xml:space="preserve">  Volume — Gas oil, mn t</t>
        </is>
      </c>
      <c r="C446" s="23">
        <f>'Segments'!E8*(1+Assumptions!$B$137+$B$16)</f>
        <v/>
      </c>
      <c r="D446" s="23">
        <f>C446*(1+Assumptions!$B$138+$B$16)</f>
        <v/>
      </c>
      <c r="E446" s="23">
        <f>D446*(1+Assumptions!$B$139+$B$16)</f>
        <v/>
      </c>
      <c r="F446" s="23">
        <f>E446*(1+Assumptions!$B$140+$B$16)</f>
        <v/>
      </c>
      <c r="G446" s="23">
        <f>F446*(1+Assumptions!$B$141+$B$16)</f>
        <v/>
      </c>
    </row>
    <row r="447">
      <c r="A447" s="7" t="inlineStr">
        <is>
          <t xml:space="preserve">  Volume — Naphtha, mn t</t>
        </is>
      </c>
      <c r="C447" s="23">
        <f>'Segments'!E9*(1+Assumptions!$B$142+$B$16)</f>
        <v/>
      </c>
      <c r="D447" s="23">
        <f>C447*(1+Assumptions!$B$143+$B$16)</f>
        <v/>
      </c>
      <c r="E447" s="23">
        <f>D447*(1+Assumptions!$B$144+$B$16)</f>
        <v/>
      </c>
      <c r="F447" s="23">
        <f>E447*(1+Assumptions!$B$145+$B$16)</f>
        <v/>
      </c>
      <c r="G447" s="23">
        <f>F447*(1+Assumptions!$B$146+$B$16)</f>
        <v/>
      </c>
    </row>
    <row r="448">
      <c r="A448" s="7" t="inlineStr">
        <is>
          <t xml:space="preserve">  Volume — Liquefied petroleum gas, mn t</t>
        </is>
      </c>
      <c r="C448" s="23">
        <f>'Segments'!E10*(1+Assumptions!$B$147+$B$16)</f>
        <v/>
      </c>
      <c r="D448" s="23">
        <f>C448*(1+Assumptions!$B$148+$B$16)</f>
        <v/>
      </c>
      <c r="E448" s="23">
        <f>D448*(1+Assumptions!$B$149+$B$16)</f>
        <v/>
      </c>
      <c r="F448" s="23">
        <f>E448*(1+Assumptions!$B$150+$B$16)</f>
        <v/>
      </c>
      <c r="G448" s="23">
        <f>F448*(1+Assumptions!$B$151+$B$16)</f>
        <v/>
      </c>
    </row>
    <row r="449">
      <c r="A449" s="7" t="inlineStr">
        <is>
          <t xml:space="preserve">  Volume — Fuel oil (mix), mn t</t>
        </is>
      </c>
      <c r="C449" s="23">
        <f>'Segments'!E11*(1+Assumptions!$B$152+$B$16)</f>
        <v/>
      </c>
      <c r="D449" s="23">
        <f>C449*(1+Assumptions!$B$153+$B$16)</f>
        <v/>
      </c>
      <c r="E449" s="23">
        <f>D449*(1+Assumptions!$B$154+$B$16)</f>
        <v/>
      </c>
      <c r="F449" s="23">
        <f>E449*(1+Assumptions!$B$155+$B$16)</f>
        <v/>
      </c>
      <c r="G449" s="23">
        <f>F449*(1+Assumptions!$B$156+$B$16)</f>
        <v/>
      </c>
    </row>
    <row r="450">
      <c r="A450" s="7" t="inlineStr">
        <is>
          <t xml:space="preserve">  Volume — Heavy fuel oil, mn t</t>
        </is>
      </c>
      <c r="C450" s="23">
        <f>'Segments'!E12*(1+Assumptions!$B$157+$B$16)</f>
        <v/>
      </c>
      <c r="D450" s="23">
        <f>C450*(1+Assumptions!$B$158+$B$16)</f>
        <v/>
      </c>
      <c r="E450" s="23">
        <f>D450*(1+Assumptions!$B$159+$B$16)</f>
        <v/>
      </c>
      <c r="F450" s="23">
        <f>E450*(1+Assumptions!$B$160+$B$16)</f>
        <v/>
      </c>
      <c r="G450" s="23">
        <f>F450*(1+Assumptions!$B$161+$B$16)</f>
        <v/>
      </c>
    </row>
    <row r="451">
      <c r="A451" s="7" t="inlineStr">
        <is>
          <t xml:space="preserve">  Volume — Waste, mn t</t>
        </is>
      </c>
      <c r="C451" s="23">
        <f>'Segments'!E13*(1+Assumptions!$B$162+$B$16)</f>
        <v/>
      </c>
      <c r="D451" s="23">
        <f>C451*(1+Assumptions!$B$163+$B$16)</f>
        <v/>
      </c>
      <c r="E451" s="23">
        <f>D451*(1+Assumptions!$B$164+$B$16)</f>
        <v/>
      </c>
      <c r="F451" s="23">
        <f>E451*(1+Assumptions!$B$165+$B$16)</f>
        <v/>
      </c>
      <c r="G451" s="23">
        <f>F451*(1+Assumptions!$B$166+$B$16)</f>
        <v/>
      </c>
    </row>
    <row r="452">
      <c r="A452" s="15" t="inlineStr">
        <is>
          <t>Total volume, mn t</t>
        </is>
      </c>
      <c r="C452" s="36">
        <f>SUM(C444:C451)</f>
        <v/>
      </c>
      <c r="D452" s="36">
        <f>SUM(D444:D451)</f>
        <v/>
      </c>
      <c r="E452" s="36">
        <f>SUM(E444:E451)</f>
        <v/>
      </c>
      <c r="F452" s="36">
        <f>SUM(F444:F451)</f>
        <v/>
      </c>
      <c r="G452" s="36">
        <f>SUM(G444:G451)</f>
        <v/>
      </c>
    </row>
    <row r="453">
      <c r="A453" s="15" t="inlineStr">
        <is>
          <t>REVENUE</t>
        </is>
      </c>
      <c r="C453" s="37">
        <f>C444*'Segments'!$F$6*C443+C445*'Segments'!$F$7*C443+C446*'Segments'!$F$8*C443+C447*'Segments'!$F$9*C443+C448*'Segments'!$F$10*C443+C449*'Segments'!$F$11*C443+C450*'Segments'!$F$12*C443+C451*'Segments'!$F$13*C443</f>
        <v/>
      </c>
      <c r="D453" s="37">
        <f>D444*'Segments'!$F$6*D443+D445*'Segments'!$F$7*D443+D446*'Segments'!$F$8*D443+D447*'Segments'!$F$9*D443+D448*'Segments'!$F$10*D443+D449*'Segments'!$F$11*D443+D450*'Segments'!$F$12*D443+D451*'Segments'!$F$13*D443</f>
        <v/>
      </c>
      <c r="E453" s="37">
        <f>E444*'Segments'!$F$6*E443+E445*'Segments'!$F$7*E443+E446*'Segments'!$F$8*E443+E447*'Segments'!$F$9*E443+E448*'Segments'!$F$10*E443+E449*'Segments'!$F$11*E443+E450*'Segments'!$F$12*E443+E451*'Segments'!$F$13*E443</f>
        <v/>
      </c>
      <c r="F453" s="37">
        <f>F444*'Segments'!$F$6*F443+F445*'Segments'!$F$7*F443+F446*'Segments'!$F$8*F443+F447*'Segments'!$F$9*F443+F448*'Segments'!$F$10*F443+F449*'Segments'!$F$11*F443+F450*'Segments'!$F$12*F443+F451*'Segments'!$F$13*F443</f>
        <v/>
      </c>
      <c r="G453" s="37">
        <f>G444*'Segments'!$F$6*G443+G445*'Segments'!$F$7*G443+G446*'Segments'!$F$8*G443+G447*'Segments'!$F$9*G443+G448*'Segments'!$F$10*G443+G449*'Segments'!$F$11*G443+G450*'Segments'!$F$12*G443+G451*'Segments'!$F$13*G443</f>
        <v/>
      </c>
    </row>
    <row r="454">
      <c r="A454" s="7" t="inlineStr">
        <is>
          <t>Cost of sales</t>
        </is>
      </c>
      <c r="C454" s="18">
        <f>C444*('Segments'!$D$27*C443*Assumptions!$B$109+'Segments'!$B$27*(0.4983251709*C442+0.4357405005*C442+0.0330936548*C443+0.0328406739))+C445*('Segments'!$D$28*C443*Assumptions!$B$109+'Segments'!$B$28*(0.4983251709*C442+0.4357405005*C442+0.0330936548*C443+0.0328406739))+C446*('Segments'!$D$29*C443*Assumptions!$B$109+'Segments'!$B$29*(0.4983251709*C442+0.4357405005*C442+0.0330936548*C443+0.0328406739))+C447*('Segments'!$D$30*C443*Assumptions!$B$109+'Segments'!$B$30*(0.4983251709*C442+0.4357405005*C442+0.0330936548*C443+0.0328406739))+C448*('Segments'!$D$31*C443*Assumptions!$B$109+'Segments'!$B$31*(0.4983251709*C442+0.4357405005*C442+0.0330936548*C443+0.0328406739))+C449*('Segments'!$D$32*C443*Assumptions!$B$109+'Segments'!$B$32*(0.4983251709*C442+0.4357405005*C442+0.0330936548*C443+0.0328406739))+C450*('Segments'!$D$33*C443*Assumptions!$B$109+'Segments'!$B$33*(0.4983251709*C442+0.4357405005*C442+0.0330936548*C443+0.0328406739))+C451*('Segments'!$D$34*C443*Assumptions!$B$109+'Segments'!$B$34*(0.4983251709*C442+0.4357405005*C442+0.0330936548*C443+0.0328406739))</f>
        <v/>
      </c>
      <c r="D454" s="18">
        <f>D444*('Segments'!$D$27*D443*Assumptions!$B$109+'Segments'!$B$27*(0.4983251709*D442+0.4357405005*D442+0.0330936548*D443+0.0328406739))+D445*('Segments'!$D$28*D443*Assumptions!$B$109+'Segments'!$B$28*(0.4983251709*D442+0.4357405005*D442+0.0330936548*D443+0.0328406739))+D446*('Segments'!$D$29*D443*Assumptions!$B$109+'Segments'!$B$29*(0.4983251709*D442+0.4357405005*D442+0.0330936548*D443+0.0328406739))+D447*('Segments'!$D$30*D443*Assumptions!$B$109+'Segments'!$B$30*(0.4983251709*D442+0.4357405005*D442+0.0330936548*D443+0.0328406739))+D448*('Segments'!$D$31*D443*Assumptions!$B$109+'Segments'!$B$31*(0.4983251709*D442+0.4357405005*D442+0.0330936548*D443+0.0328406739))+D449*('Segments'!$D$32*D443*Assumptions!$B$109+'Segments'!$B$32*(0.4983251709*D442+0.4357405005*D442+0.0330936548*D443+0.0328406739))+D450*('Segments'!$D$33*D443*Assumptions!$B$109+'Segments'!$B$33*(0.4983251709*D442+0.4357405005*D442+0.0330936548*D443+0.0328406739))+D451*('Segments'!$D$34*D443*Assumptions!$B$109+'Segments'!$B$34*(0.4983251709*D442+0.4357405005*D442+0.0330936548*D443+0.0328406739))</f>
        <v/>
      </c>
      <c r="E454" s="18">
        <f>E444*('Segments'!$D$27*E443*Assumptions!$B$109+'Segments'!$B$27*(0.4983251709*E442+0.4357405005*E442+0.0330936548*E443+0.0328406739))+E445*('Segments'!$D$28*E443*Assumptions!$B$109+'Segments'!$B$28*(0.4983251709*E442+0.4357405005*E442+0.0330936548*E443+0.0328406739))+E446*('Segments'!$D$29*E443*Assumptions!$B$109+'Segments'!$B$29*(0.4983251709*E442+0.4357405005*E442+0.0330936548*E443+0.0328406739))+E447*('Segments'!$D$30*E443*Assumptions!$B$109+'Segments'!$B$30*(0.4983251709*E442+0.4357405005*E442+0.0330936548*E443+0.0328406739))+E448*('Segments'!$D$31*E443*Assumptions!$B$109+'Segments'!$B$31*(0.4983251709*E442+0.4357405005*E442+0.0330936548*E443+0.0328406739))+E449*('Segments'!$D$32*E443*Assumptions!$B$109+'Segments'!$B$32*(0.4983251709*E442+0.4357405005*E442+0.0330936548*E443+0.0328406739))+E450*('Segments'!$D$33*E443*Assumptions!$B$109+'Segments'!$B$33*(0.4983251709*E442+0.4357405005*E442+0.0330936548*E443+0.0328406739))+E451*('Segments'!$D$34*E443*Assumptions!$B$109+'Segments'!$B$34*(0.4983251709*E442+0.4357405005*E442+0.0330936548*E443+0.0328406739))</f>
        <v/>
      </c>
      <c r="F454" s="18">
        <f>F444*('Segments'!$D$27*F443*Assumptions!$B$109+'Segments'!$B$27*(0.4983251709*F442+0.4357405005*F442+0.0330936548*F443+0.0328406739))+F445*('Segments'!$D$28*F443*Assumptions!$B$109+'Segments'!$B$28*(0.4983251709*F442+0.4357405005*F442+0.0330936548*F443+0.0328406739))+F446*('Segments'!$D$29*F443*Assumptions!$B$109+'Segments'!$B$29*(0.4983251709*F442+0.4357405005*F442+0.0330936548*F443+0.0328406739))+F447*('Segments'!$D$30*F443*Assumptions!$B$109+'Segments'!$B$30*(0.4983251709*F442+0.4357405005*F442+0.0330936548*F443+0.0328406739))+F448*('Segments'!$D$31*F443*Assumptions!$B$109+'Segments'!$B$31*(0.4983251709*F442+0.4357405005*F442+0.0330936548*F443+0.0328406739))+F449*('Segments'!$D$32*F443*Assumptions!$B$109+'Segments'!$B$32*(0.4983251709*F442+0.4357405005*F442+0.0330936548*F443+0.0328406739))+F450*('Segments'!$D$33*F443*Assumptions!$B$109+'Segments'!$B$33*(0.4983251709*F442+0.4357405005*F442+0.0330936548*F443+0.0328406739))+F451*('Segments'!$D$34*F443*Assumptions!$B$109+'Segments'!$B$34*(0.4983251709*F442+0.4357405005*F442+0.0330936548*F443+0.0328406739))</f>
        <v/>
      </c>
      <c r="G454" s="18">
        <f>G444*('Segments'!$D$27*G443*Assumptions!$B$109+'Segments'!$B$27*(0.4983251709*G442+0.4357405005*G442+0.0330936548*G443+0.0328406739))+G445*('Segments'!$D$28*G443*Assumptions!$B$109+'Segments'!$B$28*(0.4983251709*G442+0.4357405005*G442+0.0330936548*G443+0.0328406739))+G446*('Segments'!$D$29*G443*Assumptions!$B$109+'Segments'!$B$29*(0.4983251709*G442+0.4357405005*G442+0.0330936548*G443+0.0328406739))+G447*('Segments'!$D$30*G443*Assumptions!$B$109+'Segments'!$B$30*(0.4983251709*G442+0.4357405005*G442+0.0330936548*G443+0.0328406739))+G448*('Segments'!$D$31*G443*Assumptions!$B$109+'Segments'!$B$31*(0.4983251709*G442+0.4357405005*G442+0.0330936548*G443+0.0328406739))+G449*('Segments'!$D$32*G443*Assumptions!$B$109+'Segments'!$B$32*(0.4983251709*G442+0.4357405005*G442+0.0330936548*G443+0.0328406739))+G450*('Segments'!$D$33*G443*Assumptions!$B$109+'Segments'!$B$33*(0.4983251709*G442+0.4357405005*G442+0.0330936548*G443+0.0328406739))+G451*('Segments'!$D$34*G443*Assumptions!$B$109+'Segments'!$B$34*(0.4983251709*G442+0.4357405005*G442+0.0330936548*G443+0.0328406739))</f>
        <v/>
      </c>
    </row>
    <row r="455">
      <c r="A455" s="15" t="inlineStr">
        <is>
          <t>GROSS PROFIT</t>
        </is>
      </c>
      <c r="C455" s="37">
        <f>C453-C454+DCF!$B$7*C453</f>
        <v/>
      </c>
      <c r="D455" s="37">
        <f>D453-D454+DCF!$B$7*D453</f>
        <v/>
      </c>
      <c r="E455" s="37">
        <f>E453-E454+DCF!$B$7*E453</f>
        <v/>
      </c>
      <c r="F455" s="37">
        <f>F453-F454+DCF!$B$7*F453</f>
        <v/>
      </c>
      <c r="G455" s="37">
        <f>G453-G454+DCF!$B$7*G453</f>
        <v/>
      </c>
    </row>
    <row r="456">
      <c r="A456" s="7" t="inlineStr">
        <is>
          <t>Gross margin</t>
        </is>
      </c>
      <c r="C456" s="24">
        <f>C455/C453</f>
        <v/>
      </c>
      <c r="D456" s="24">
        <f>D455/D453</f>
        <v/>
      </c>
      <c r="E456" s="24">
        <f>E455/E453</f>
        <v/>
      </c>
      <c r="F456" s="24">
        <f>F455/F453</f>
        <v/>
      </c>
      <c r="G456" s="24">
        <f>G455/G453</f>
        <v/>
      </c>
    </row>
    <row r="457">
      <c r="A457" s="7" t="inlineStr">
        <is>
          <t>Operating expense</t>
        </is>
      </c>
      <c r="C457" s="18">
        <f>('Income Statement'!$B$28*C442)+('Income Statement'!$B$29*C442*C452/'Segments'!$E$14)+('Income Statement'!$B$30*C442)+('Income Statement'!$B$31*C442)</f>
        <v/>
      </c>
      <c r="D457" s="18">
        <f>('Income Statement'!$B$28*D442)+('Income Statement'!$B$29*D442*D452/'Segments'!$E$14)+('Income Statement'!$B$30*D442)+('Income Statement'!$B$31*D442)</f>
        <v/>
      </c>
      <c r="E457" s="18">
        <f>('Income Statement'!$B$28*E442)+('Income Statement'!$B$29*E442*E452/'Segments'!$E$14)+('Income Statement'!$B$30*E442)+('Income Statement'!$B$31*E442)</f>
        <v/>
      </c>
      <c r="F457" s="18">
        <f>('Income Statement'!$B$28*F442)+('Income Statement'!$B$29*F442*F452/'Segments'!$E$14)+('Income Statement'!$B$30*F442)+('Income Statement'!$B$31*F442)</f>
        <v/>
      </c>
      <c r="G457" s="18">
        <f>('Income Statement'!$B$28*G442)+('Income Statement'!$B$29*G442*G452/'Segments'!$E$14)+('Income Statement'!$B$30*G442)+('Income Statement'!$B$31*G442)</f>
        <v/>
      </c>
    </row>
    <row r="458">
      <c r="A458" s="15" t="inlineStr">
        <is>
          <t>EBITDA</t>
        </is>
      </c>
      <c r="C458" s="37">
        <f>C455-C457</f>
        <v/>
      </c>
      <c r="D458" s="37">
        <f>D455-D457</f>
        <v/>
      </c>
      <c r="E458" s="37">
        <f>E455-E457</f>
        <v/>
      </c>
      <c r="F458" s="37">
        <f>F455-F457</f>
        <v/>
      </c>
      <c r="G458" s="37">
        <f>G455-G457</f>
        <v/>
      </c>
    </row>
    <row r="459">
      <c r="A459" s="7" t="inlineStr">
        <is>
          <t>Capital expenditure — maintenance + growth</t>
        </is>
      </c>
      <c r="C459" s="18">
        <f>'Income Statement'!$B$43*C442+MAX(C452-'Segments'!$E$14,0)*2100.379938*C442</f>
        <v/>
      </c>
      <c r="D459" s="18">
        <f>'Income Statement'!$B$43*D442+MAX(D452-C452,0)*2100.379938*D442</f>
        <v/>
      </c>
      <c r="E459" s="18">
        <f>'Income Statement'!$B$43*E442+MAX(E452-D452,0)*2100.379938*E442</f>
        <v/>
      </c>
      <c r="F459" s="18">
        <f>'Income Statement'!$B$43*F442+MAX(F452-E452,0)*2100.379938*F442</f>
        <v/>
      </c>
      <c r="G459" s="18">
        <f>'Income Statement'!$B$43*G442+MAX(G452-F452,0)*2100.379938*G442</f>
        <v/>
      </c>
    </row>
    <row r="460">
      <c r="A460" s="7" t="inlineStr">
        <is>
          <t>Fixed assets at cost, closing</t>
        </is>
      </c>
      <c r="C460" s="18">
        <f>(Assumptions!$B$91+Assumptions!$B$92)/10^6+C459</f>
        <v/>
      </c>
      <c r="D460" s="18">
        <f>C460+D459</f>
        <v/>
      </c>
      <c r="E460" s="18">
        <f>D460+E459</f>
        <v/>
      </c>
      <c r="F460" s="18">
        <f>E460+F459</f>
        <v/>
      </c>
      <c r="G460" s="18">
        <f>F460+G459</f>
        <v/>
      </c>
    </row>
    <row r="461">
      <c r="A461" s="7" t="inlineStr">
        <is>
          <t>Depreciation — rolls off the asset register</t>
        </is>
      </c>
      <c r="C461" s="18">
        <f>(Assumptions!$B$91+Assumptions!$B$92)/10^6/'Income Statement'!$B$42</f>
        <v/>
      </c>
      <c r="D461" s="18">
        <f>C460/'Income Statement'!$B$42</f>
        <v/>
      </c>
      <c r="E461" s="18">
        <f>D460/'Income Statement'!$B$42</f>
        <v/>
      </c>
      <c r="F461" s="18">
        <f>E460/'Income Statement'!$B$42</f>
        <v/>
      </c>
      <c r="G461" s="18">
        <f>F460/'Income Statement'!$B$42</f>
        <v/>
      </c>
    </row>
    <row r="462">
      <c r="A462" s="7" t="inlineStr">
        <is>
          <t>Fixed assets, net book, closing</t>
        </is>
      </c>
      <c r="C462" s="18">
        <f>(Assumptions!$B$90+Assumptions!$B$92)/10^6+C459-C461</f>
        <v/>
      </c>
      <c r="D462" s="18">
        <f>C462+D459-D461</f>
        <v/>
      </c>
      <c r="E462" s="18">
        <f>D462+E459-E461</f>
        <v/>
      </c>
      <c r="F462" s="18">
        <f>E462+F459-F461</f>
        <v/>
      </c>
      <c r="G462" s="18">
        <f>F462+G459-G461</f>
        <v/>
      </c>
    </row>
    <row r="463">
      <c r="A463" s="15" t="inlineStr">
        <is>
          <t>EBIT</t>
        </is>
      </c>
      <c r="C463" s="37">
        <f>C458-C461</f>
        <v/>
      </c>
      <c r="D463" s="37">
        <f>D458-D461</f>
        <v/>
      </c>
      <c r="E463" s="37">
        <f>E458-E461</f>
        <v/>
      </c>
      <c r="F463" s="37">
        <f>F458-F461</f>
        <v/>
      </c>
      <c r="G463" s="37">
        <f>G458-G461</f>
        <v/>
      </c>
    </row>
    <row r="464">
      <c r="A464" s="7" t="inlineStr">
        <is>
          <t>NOPAT before the profit share</t>
        </is>
      </c>
      <c r="C464" s="18">
        <f>C463*(1-Assumptions!$B$108)</f>
        <v/>
      </c>
      <c r="D464" s="18">
        <f>D463*(1-Assumptions!$B$108)</f>
        <v/>
      </c>
      <c r="E464" s="18">
        <f>E463*(1-Assumptions!$B$108)</f>
        <v/>
      </c>
      <c r="F464" s="18">
        <f>F463*(1-Assumptions!$B$108)</f>
        <v/>
      </c>
      <c r="G464" s="18">
        <f>G463*(1-Assumptions!$B$108)</f>
        <v/>
      </c>
    </row>
    <row r="465">
      <c r="A465" s="7" t="inlineStr">
        <is>
          <t xml:space="preserve">  less employees' profit share and board bonuses</t>
        </is>
      </c>
      <c r="C465" s="18">
        <f>MAX(C464,0)*'Income Statement'!$B$40</f>
        <v/>
      </c>
      <c r="D465" s="18">
        <f>MAX(D464,0)*'Income Statement'!$B$40</f>
        <v/>
      </c>
      <c r="E465" s="18">
        <f>MAX(E464,0)*'Income Statement'!$B$40</f>
        <v/>
      </c>
      <c r="F465" s="18">
        <f>MAX(F464,0)*'Income Statement'!$B$40</f>
        <v/>
      </c>
      <c r="G465" s="18">
        <f>MAX(G464,0)*'Income Statement'!$B$40</f>
        <v/>
      </c>
    </row>
    <row r="466">
      <c r="A466" s="15" t="inlineStr">
        <is>
          <t>NOPAT</t>
        </is>
      </c>
      <c r="C466" s="37">
        <f>C464-C465</f>
        <v/>
      </c>
      <c r="D466" s="37">
        <f>D464-D465</f>
        <v/>
      </c>
      <c r="E466" s="37">
        <f>E464-E465</f>
        <v/>
      </c>
      <c r="F466" s="37">
        <f>F464-F465</f>
        <v/>
      </c>
      <c r="G466" s="37">
        <f>G464-G465</f>
        <v/>
      </c>
    </row>
    <row r="467">
      <c r="A467" s="7" t="inlineStr">
        <is>
          <t>Net working capital — on days</t>
        </is>
      </c>
      <c r="C467" s="18">
        <f>'Income Statement'!$B$44*DCF!$B$9/365*C454+'Income Statement'!$B$45*DCF!$B$9/365*C453-'Income Statement'!$B$46*DCF!$B$9/365*C454</f>
        <v/>
      </c>
      <c r="D467" s="18">
        <f>'Income Statement'!$B$44*DCF!$B$9/365*D454+'Income Statement'!$B$45*DCF!$B$9/365*D453-'Income Statement'!$B$46*DCF!$B$9/365*D454</f>
        <v/>
      </c>
      <c r="E467" s="18">
        <f>'Income Statement'!$B$44*DCF!$B$9/365*E454+'Income Statement'!$B$45*DCF!$B$9/365*E453-'Income Statement'!$B$46*DCF!$B$9/365*E454</f>
        <v/>
      </c>
      <c r="F467" s="18">
        <f>'Income Statement'!$B$44*DCF!$B$9/365*F454+'Income Statement'!$B$45*DCF!$B$9/365*F453-'Income Statement'!$B$46*DCF!$B$9/365*F454</f>
        <v/>
      </c>
      <c r="G467" s="18">
        <f>'Income Statement'!$B$44*DCF!$B$9/365*G454+'Income Statement'!$B$45*DCF!$B$9/365*G453-'Income Statement'!$B$46*DCF!$B$9/365*G454</f>
        <v/>
      </c>
    </row>
    <row r="468">
      <c r="A468" s="7" t="inlineStr">
        <is>
          <t xml:space="preserve">  change in working capital</t>
        </is>
      </c>
      <c r="C468" s="18">
        <f>C467-('Income Statement'!$B$44/365*'Income Statement'!$B$21+'Income Statement'!$B$45/365*'Income Statement'!$B$19-'Income Statement'!$B$46/365*'Income Statement'!$B$21)</f>
        <v/>
      </c>
      <c r="D468" s="18">
        <f>D467-C467</f>
        <v/>
      </c>
      <c r="E468" s="18">
        <f>E467-D467</f>
        <v/>
      </c>
      <c r="F468" s="18">
        <f>F467-E467</f>
        <v/>
      </c>
      <c r="G468" s="18">
        <f>G467-F467</f>
        <v/>
      </c>
    </row>
    <row r="469">
      <c r="A469" s="15" t="inlineStr">
        <is>
          <t>FREE CASH FLOW TO THE FIRM</t>
        </is>
      </c>
      <c r="C469" s="37">
        <f>C466+C461-C459-C468</f>
        <v/>
      </c>
      <c r="D469" s="37">
        <f>D466+D461-D459-D468</f>
        <v/>
      </c>
      <c r="E469" s="37">
        <f>E466+E461-E459-E468</f>
        <v/>
      </c>
      <c r="F469" s="37">
        <f>F466+F461-F459-F468</f>
        <v/>
      </c>
      <c r="G469" s="37">
        <f>G466+G461-G459-G468</f>
        <v/>
      </c>
    </row>
    <row r="470">
      <c r="A470" s="7" t="inlineStr">
        <is>
          <t>Glide fraction</t>
        </is>
      </c>
      <c r="C470" s="23">
        <f>0.0000000000</f>
        <v/>
      </c>
      <c r="D470" s="23">
        <f>0.3571428571</f>
        <v/>
      </c>
      <c r="E470" s="23">
        <f>0.6428571429</f>
        <v/>
      </c>
      <c r="F470" s="23">
        <f>0.8571428571</f>
        <v/>
      </c>
      <c r="G470" s="23">
        <f>1.0000000000</f>
        <v/>
      </c>
    </row>
    <row r="471">
      <c r="A471" s="7" t="inlineStr">
        <is>
          <t>Forward cost of capital</t>
        </is>
      </c>
      <c r="C471" s="24">
        <f>DCF!$B$14-(DCF!$B$14-DCF!$B$17)*C470</f>
        <v/>
      </c>
      <c r="D471" s="24">
        <f>DCF!$B$14-(DCF!$B$14-DCF!$B$17)*D470</f>
        <v/>
      </c>
      <c r="E471" s="24">
        <f>DCF!$B$14-(DCF!$B$14-DCF!$B$17)*E470</f>
        <v/>
      </c>
      <c r="F471" s="24">
        <f>DCF!$B$14-(DCF!$B$14-DCF!$B$17)*F470</f>
        <v/>
      </c>
      <c r="G471" s="24">
        <f>DCF!$B$14-(DCF!$B$14-DCF!$B$17)*G470</f>
        <v/>
      </c>
    </row>
    <row r="472">
      <c r="A472" s="7" t="inlineStr">
        <is>
          <t>Cumulative discount factor</t>
        </is>
      </c>
      <c r="C472" s="40">
        <f>1/(1+C471)</f>
        <v/>
      </c>
      <c r="D472" s="40">
        <f>C472/(1+D471)</f>
        <v/>
      </c>
      <c r="E472" s="40">
        <f>D472/(1+E471)</f>
        <v/>
      </c>
      <c r="F472" s="40">
        <f>E472/(1+F471)</f>
        <v/>
      </c>
      <c r="G472" s="40">
        <f>F472/(1+G471)</f>
        <v/>
      </c>
    </row>
    <row r="473">
      <c r="A473" s="7" t="inlineStr">
        <is>
          <t>Present value</t>
        </is>
      </c>
      <c r="C473" s="18">
        <f>C469*C472</f>
        <v/>
      </c>
      <c r="D473" s="18">
        <f>D469*D472</f>
        <v/>
      </c>
      <c r="E473" s="18">
        <f>E469*E472</f>
        <v/>
      </c>
      <c r="F473" s="18">
        <f>F469*F472</f>
        <v/>
      </c>
      <c r="G473" s="18">
        <f>G469*G472</f>
        <v/>
      </c>
    </row>
    <row r="474">
      <c r="A474" s="15" t="inlineStr">
        <is>
          <t>PV of the explicit window</t>
        </is>
      </c>
      <c r="B474" s="37">
        <f>SUM(C473:G473)</f>
        <v/>
      </c>
      <c r="C474" s="18">
        <f>C467+C460</f>
        <v/>
      </c>
      <c r="D474" s="18">
        <f>D467+D460</f>
        <v/>
      </c>
      <c r="E474" s="18">
        <f>E467+E460</f>
        <v/>
      </c>
      <c r="F474" s="18">
        <f>F467+F460</f>
        <v/>
      </c>
      <c r="G474" s="18">
        <f>G467+G460</f>
        <v/>
      </c>
    </row>
    <row r="475">
      <c r="A475" s="7" t="inlineStr">
        <is>
          <t>Terminal return on invested capital, at REPLACEMENT cost</t>
        </is>
      </c>
      <c r="B475" s="24">
        <f>G466*(1+Assumptions!$B$110)/G474</f>
        <v/>
      </c>
    </row>
    <row r="476">
      <c r="A476" s="7" t="inlineStr">
        <is>
          <t>Required reinvestment = growth / return</t>
        </is>
      </c>
      <c r="B476" s="24">
        <f>MIN(Assumptions!$B$110/B475,0.95)</f>
        <v/>
      </c>
    </row>
    <row r="477">
      <c r="A477" s="7" t="inlineStr">
        <is>
          <t>Terminal value</t>
        </is>
      </c>
      <c r="B477" s="18">
        <f>G466*(1+Assumptions!$B$110)*(1-B476)/MAX(DCF!$B$17-Assumptions!$B$110,0.02)</f>
        <v/>
      </c>
    </row>
    <row r="478">
      <c r="A478" s="7" t="inlineStr">
        <is>
          <t>PV of the terminal block</t>
        </is>
      </c>
      <c r="B478" s="18">
        <f>B477*G472</f>
        <v/>
      </c>
    </row>
    <row r="479">
      <c r="A479" s="15" t="inlineStr">
        <is>
          <t>ENTERPRISE VALUE</t>
        </is>
      </c>
      <c r="B479" s="37">
        <f>B474+B478</f>
        <v/>
      </c>
    </row>
    <row r="480">
      <c r="A480" s="7" t="inlineStr">
        <is>
          <t>plus net cash</t>
        </is>
      </c>
      <c r="B480" s="18">
        <f>(Assumptions!$B$100-Assumptions!$B$103-Assumptions!$B$104)/10^6</f>
        <v/>
      </c>
    </row>
    <row r="481">
      <c r="A481" s="7" t="inlineStr">
        <is>
          <t>Enterprise value including cash</t>
        </is>
      </c>
      <c r="B481" s="18">
        <f>B479+B480</f>
        <v/>
      </c>
    </row>
    <row r="482">
      <c r="A482" s="7" t="inlineStr">
        <is>
          <t>less minority — on the WHOLE enterprise, cash included</t>
        </is>
      </c>
      <c r="B482" s="18">
        <f>B481*'Income Statement'!$B$41</f>
        <v/>
      </c>
    </row>
    <row r="483">
      <c r="A483" s="7" t="inlineStr">
        <is>
          <t>less the tax-disputes provision</t>
        </is>
      </c>
      <c r="B483" s="18">
        <f>Assumptions!$B$99/10^6</f>
        <v/>
      </c>
    </row>
    <row r="484">
      <c r="A484" s="7" t="inlineStr">
        <is>
          <t>less dividends payable — declared, out of working capital</t>
        </is>
      </c>
      <c r="B484" s="18">
        <f>Assumptions!$B$98/10^6</f>
        <v/>
      </c>
    </row>
    <row r="485">
      <c r="A485" s="7" t="inlineStr">
        <is>
          <t>plus non-operating investments and pledged deposits</t>
        </is>
      </c>
      <c r="B485" s="18">
        <f>(Assumptions!$B$102+Assumptions!$B$101)/10^6</f>
        <v/>
      </c>
    </row>
    <row r="486">
      <c r="A486" s="15" t="inlineStr">
        <is>
          <t>EQUITY ATTRIBUTABLE</t>
        </is>
      </c>
      <c r="B486" s="37">
        <f>B481-B482-B483-B484+B485</f>
        <v/>
      </c>
    </row>
    <row r="487">
      <c r="A487" s="15" t="inlineStr">
        <is>
          <t>VALUE PER SHARE, EGP</t>
        </is>
      </c>
      <c r="B487" s="22">
        <f>B486/Assumptions!$B$8</f>
        <v/>
      </c>
    </row>
    <row r="490">
      <c r="A490" s="6" t="inlineStr">
        <is>
          <t>Volume growth path, as a multiple of the assumed path — +6.0%</t>
        </is>
      </c>
      <c r="B490" s="6" t="inlineStr">
        <is>
          <t>2026E</t>
        </is>
      </c>
      <c r="C490" s="6" t="inlineStr">
        <is>
          <t>2027E</t>
        </is>
      </c>
      <c r="D490" s="6" t="inlineStr">
        <is>
          <t>2028E</t>
        </is>
      </c>
      <c r="E490" s="6" t="inlineStr">
        <is>
          <t>2029E</t>
        </is>
      </c>
      <c r="F490" s="6" t="inlineStr">
        <is>
          <t>2030E</t>
        </is>
      </c>
    </row>
    <row r="491">
      <c r="A491" s="7" t="inlineStr">
        <is>
          <t>Inflation index, cumulative</t>
        </is>
      </c>
      <c r="C491" s="23">
        <f>Assumptions!$B$167</f>
        <v/>
      </c>
      <c r="D491" s="23">
        <f>C491*Assumptions!$B$168</f>
        <v/>
      </c>
      <c r="E491" s="23">
        <f>D491*Assumptions!$B$169</f>
        <v/>
      </c>
      <c r="F491" s="23">
        <f>E491*Assumptions!$B$170</f>
        <v/>
      </c>
      <c r="G491" s="23">
        <f>F491*Assumptions!$B$171</f>
        <v/>
      </c>
    </row>
    <row r="492">
      <c r="A492" s="7" t="inlineStr">
        <is>
          <t>Realisation index, cumulative</t>
        </is>
      </c>
      <c r="C492" s="23">
        <f>(1+Assumptions!$B$122*DCF!$B$8)</f>
        <v/>
      </c>
      <c r="D492" s="23">
        <f>C492*(1+Assumptions!$B$123*DCF!$B$8)</f>
        <v/>
      </c>
      <c r="E492" s="23">
        <f>D492*(1+Assumptions!$B$124*DCF!$B$8)</f>
        <v/>
      </c>
      <c r="F492" s="23">
        <f>E492*(1+Assumptions!$B$125*DCF!$B$8)</f>
        <v/>
      </c>
      <c r="G492" s="23">
        <f>F492*(1+Assumptions!$B$126*DCF!$B$8)</f>
        <v/>
      </c>
    </row>
    <row r="493">
      <c r="A493" s="7" t="inlineStr">
        <is>
          <t xml:space="preserve">  Volume — Base and special oils, mn t</t>
        </is>
      </c>
      <c r="C493" s="23">
        <f>'Segments'!E6*(1+Assumptions!$B$127+$B$17)</f>
        <v/>
      </c>
      <c r="D493" s="23">
        <f>C493*(1+Assumptions!$B$128+$B$17)</f>
        <v/>
      </c>
      <c r="E493" s="23">
        <f>D493*(1+Assumptions!$B$129+$B$17)</f>
        <v/>
      </c>
      <c r="F493" s="23">
        <f>E493*(1+Assumptions!$B$130+$B$17)</f>
        <v/>
      </c>
      <c r="G493" s="23">
        <f>F493*(1+Assumptions!$B$131+$B$17)</f>
        <v/>
      </c>
    </row>
    <row r="494">
      <c r="A494" s="7" t="inlineStr">
        <is>
          <t xml:space="preserve">  Volume — Paraffin wax, mn t</t>
        </is>
      </c>
      <c r="C494" s="23">
        <f>'Segments'!E7*(1+Assumptions!$B$132+$B$17)</f>
        <v/>
      </c>
      <c r="D494" s="23">
        <f>C494*(1+Assumptions!$B$133+$B$17)</f>
        <v/>
      </c>
      <c r="E494" s="23">
        <f>D494*(1+Assumptions!$B$134+$B$17)</f>
        <v/>
      </c>
      <c r="F494" s="23">
        <f>E494*(1+Assumptions!$B$135+$B$17)</f>
        <v/>
      </c>
      <c r="G494" s="23">
        <f>F494*(1+Assumptions!$B$136+$B$17)</f>
        <v/>
      </c>
    </row>
    <row r="495">
      <c r="A495" s="7" t="inlineStr">
        <is>
          <t xml:space="preserve">  Volume — Gas oil, mn t</t>
        </is>
      </c>
      <c r="C495" s="23">
        <f>'Segments'!E8*(1+Assumptions!$B$137+$B$17)</f>
        <v/>
      </c>
      <c r="D495" s="23">
        <f>C495*(1+Assumptions!$B$138+$B$17)</f>
        <v/>
      </c>
      <c r="E495" s="23">
        <f>D495*(1+Assumptions!$B$139+$B$17)</f>
        <v/>
      </c>
      <c r="F495" s="23">
        <f>E495*(1+Assumptions!$B$140+$B$17)</f>
        <v/>
      </c>
      <c r="G495" s="23">
        <f>F495*(1+Assumptions!$B$141+$B$17)</f>
        <v/>
      </c>
    </row>
    <row r="496">
      <c r="A496" s="7" t="inlineStr">
        <is>
          <t xml:space="preserve">  Volume — Naphtha, mn t</t>
        </is>
      </c>
      <c r="C496" s="23">
        <f>'Segments'!E9*(1+Assumptions!$B$142+$B$17)</f>
        <v/>
      </c>
      <c r="D496" s="23">
        <f>C496*(1+Assumptions!$B$143+$B$17)</f>
        <v/>
      </c>
      <c r="E496" s="23">
        <f>D496*(1+Assumptions!$B$144+$B$17)</f>
        <v/>
      </c>
      <c r="F496" s="23">
        <f>E496*(1+Assumptions!$B$145+$B$17)</f>
        <v/>
      </c>
      <c r="G496" s="23">
        <f>F496*(1+Assumptions!$B$146+$B$17)</f>
        <v/>
      </c>
    </row>
    <row r="497">
      <c r="A497" s="7" t="inlineStr">
        <is>
          <t xml:space="preserve">  Volume — Liquefied petroleum gas, mn t</t>
        </is>
      </c>
      <c r="C497" s="23">
        <f>'Segments'!E10*(1+Assumptions!$B$147+$B$17)</f>
        <v/>
      </c>
      <c r="D497" s="23">
        <f>C497*(1+Assumptions!$B$148+$B$17)</f>
        <v/>
      </c>
      <c r="E497" s="23">
        <f>D497*(1+Assumptions!$B$149+$B$17)</f>
        <v/>
      </c>
      <c r="F497" s="23">
        <f>E497*(1+Assumptions!$B$150+$B$17)</f>
        <v/>
      </c>
      <c r="G497" s="23">
        <f>F497*(1+Assumptions!$B$151+$B$17)</f>
        <v/>
      </c>
    </row>
    <row r="498">
      <c r="A498" s="7" t="inlineStr">
        <is>
          <t xml:space="preserve">  Volume — Fuel oil (mix), mn t</t>
        </is>
      </c>
      <c r="C498" s="23">
        <f>'Segments'!E11*(1+Assumptions!$B$152+$B$17)</f>
        <v/>
      </c>
      <c r="D498" s="23">
        <f>C498*(1+Assumptions!$B$153+$B$17)</f>
        <v/>
      </c>
      <c r="E498" s="23">
        <f>D498*(1+Assumptions!$B$154+$B$17)</f>
        <v/>
      </c>
      <c r="F498" s="23">
        <f>E498*(1+Assumptions!$B$155+$B$17)</f>
        <v/>
      </c>
      <c r="G498" s="23">
        <f>F498*(1+Assumptions!$B$156+$B$17)</f>
        <v/>
      </c>
    </row>
    <row r="499">
      <c r="A499" s="7" t="inlineStr">
        <is>
          <t xml:space="preserve">  Volume — Heavy fuel oil, mn t</t>
        </is>
      </c>
      <c r="C499" s="23">
        <f>'Segments'!E12*(1+Assumptions!$B$157+$B$17)</f>
        <v/>
      </c>
      <c r="D499" s="23">
        <f>C499*(1+Assumptions!$B$158+$B$17)</f>
        <v/>
      </c>
      <c r="E499" s="23">
        <f>D499*(1+Assumptions!$B$159+$B$17)</f>
        <v/>
      </c>
      <c r="F499" s="23">
        <f>E499*(1+Assumptions!$B$160+$B$17)</f>
        <v/>
      </c>
      <c r="G499" s="23">
        <f>F499*(1+Assumptions!$B$161+$B$17)</f>
        <v/>
      </c>
    </row>
    <row r="500">
      <c r="A500" s="7" t="inlineStr">
        <is>
          <t xml:space="preserve">  Volume — Waste, mn t</t>
        </is>
      </c>
      <c r="C500" s="23">
        <f>'Segments'!E13*(1+Assumptions!$B$162+$B$17)</f>
        <v/>
      </c>
      <c r="D500" s="23">
        <f>C500*(1+Assumptions!$B$163+$B$17)</f>
        <v/>
      </c>
      <c r="E500" s="23">
        <f>D500*(1+Assumptions!$B$164+$B$17)</f>
        <v/>
      </c>
      <c r="F500" s="23">
        <f>E500*(1+Assumptions!$B$165+$B$17)</f>
        <v/>
      </c>
      <c r="G500" s="23">
        <f>F500*(1+Assumptions!$B$166+$B$17)</f>
        <v/>
      </c>
    </row>
    <row r="501">
      <c r="A501" s="15" t="inlineStr">
        <is>
          <t>Total volume, mn t</t>
        </is>
      </c>
      <c r="C501" s="36">
        <f>SUM(C493:C500)</f>
        <v/>
      </c>
      <c r="D501" s="36">
        <f>SUM(D493:D500)</f>
        <v/>
      </c>
      <c r="E501" s="36">
        <f>SUM(E493:E500)</f>
        <v/>
      </c>
      <c r="F501" s="36">
        <f>SUM(F493:F500)</f>
        <v/>
      </c>
      <c r="G501" s="36">
        <f>SUM(G493:G500)</f>
        <v/>
      </c>
    </row>
    <row r="502">
      <c r="A502" s="15" t="inlineStr">
        <is>
          <t>REVENUE</t>
        </is>
      </c>
      <c r="C502" s="37">
        <f>C493*'Segments'!$F$6*C492+C494*'Segments'!$F$7*C492+C495*'Segments'!$F$8*C492+C496*'Segments'!$F$9*C492+C497*'Segments'!$F$10*C492+C498*'Segments'!$F$11*C492+C499*'Segments'!$F$12*C492+C500*'Segments'!$F$13*C492</f>
        <v/>
      </c>
      <c r="D502" s="37">
        <f>D493*'Segments'!$F$6*D492+D494*'Segments'!$F$7*D492+D495*'Segments'!$F$8*D492+D496*'Segments'!$F$9*D492+D497*'Segments'!$F$10*D492+D498*'Segments'!$F$11*D492+D499*'Segments'!$F$12*D492+D500*'Segments'!$F$13*D492</f>
        <v/>
      </c>
      <c r="E502" s="37">
        <f>E493*'Segments'!$F$6*E492+E494*'Segments'!$F$7*E492+E495*'Segments'!$F$8*E492+E496*'Segments'!$F$9*E492+E497*'Segments'!$F$10*E492+E498*'Segments'!$F$11*E492+E499*'Segments'!$F$12*E492+E500*'Segments'!$F$13*E492</f>
        <v/>
      </c>
      <c r="F502" s="37">
        <f>F493*'Segments'!$F$6*F492+F494*'Segments'!$F$7*F492+F495*'Segments'!$F$8*F492+F496*'Segments'!$F$9*F492+F497*'Segments'!$F$10*F492+F498*'Segments'!$F$11*F492+F499*'Segments'!$F$12*F492+F500*'Segments'!$F$13*F492</f>
        <v/>
      </c>
      <c r="G502" s="37">
        <f>G493*'Segments'!$F$6*G492+G494*'Segments'!$F$7*G492+G495*'Segments'!$F$8*G492+G496*'Segments'!$F$9*G492+G497*'Segments'!$F$10*G492+G498*'Segments'!$F$11*G492+G499*'Segments'!$F$12*G492+G500*'Segments'!$F$13*G492</f>
        <v/>
      </c>
    </row>
    <row r="503">
      <c r="A503" s="7" t="inlineStr">
        <is>
          <t>Cost of sales</t>
        </is>
      </c>
      <c r="C503" s="18">
        <f>C493*('Segments'!$D$27*C492*Assumptions!$B$109+'Segments'!$B$27*(0.4983251709*C491+0.4357405005*C491+0.0330936548*C492+0.0328406739))+C494*('Segments'!$D$28*C492*Assumptions!$B$109+'Segments'!$B$28*(0.4983251709*C491+0.4357405005*C491+0.0330936548*C492+0.0328406739))+C495*('Segments'!$D$29*C492*Assumptions!$B$109+'Segments'!$B$29*(0.4983251709*C491+0.4357405005*C491+0.0330936548*C492+0.0328406739))+C496*('Segments'!$D$30*C492*Assumptions!$B$109+'Segments'!$B$30*(0.4983251709*C491+0.4357405005*C491+0.0330936548*C492+0.0328406739))+C497*('Segments'!$D$31*C492*Assumptions!$B$109+'Segments'!$B$31*(0.4983251709*C491+0.4357405005*C491+0.0330936548*C492+0.0328406739))+C498*('Segments'!$D$32*C492*Assumptions!$B$109+'Segments'!$B$32*(0.4983251709*C491+0.4357405005*C491+0.0330936548*C492+0.0328406739))+C499*('Segments'!$D$33*C492*Assumptions!$B$109+'Segments'!$B$33*(0.4983251709*C491+0.4357405005*C491+0.0330936548*C492+0.0328406739))+C500*('Segments'!$D$34*C492*Assumptions!$B$109+'Segments'!$B$34*(0.4983251709*C491+0.4357405005*C491+0.0330936548*C492+0.0328406739))</f>
        <v/>
      </c>
      <c r="D503" s="18">
        <f>D493*('Segments'!$D$27*D492*Assumptions!$B$109+'Segments'!$B$27*(0.4983251709*D491+0.4357405005*D491+0.0330936548*D492+0.0328406739))+D494*('Segments'!$D$28*D492*Assumptions!$B$109+'Segments'!$B$28*(0.4983251709*D491+0.4357405005*D491+0.0330936548*D492+0.0328406739))+D495*('Segments'!$D$29*D492*Assumptions!$B$109+'Segments'!$B$29*(0.4983251709*D491+0.4357405005*D491+0.0330936548*D492+0.0328406739))+D496*('Segments'!$D$30*D492*Assumptions!$B$109+'Segments'!$B$30*(0.4983251709*D491+0.4357405005*D491+0.0330936548*D492+0.0328406739))+D497*('Segments'!$D$31*D492*Assumptions!$B$109+'Segments'!$B$31*(0.4983251709*D491+0.4357405005*D491+0.0330936548*D492+0.0328406739))+D498*('Segments'!$D$32*D492*Assumptions!$B$109+'Segments'!$B$32*(0.4983251709*D491+0.4357405005*D491+0.0330936548*D492+0.0328406739))+D499*('Segments'!$D$33*D492*Assumptions!$B$109+'Segments'!$B$33*(0.4983251709*D491+0.4357405005*D491+0.0330936548*D492+0.0328406739))+D500*('Segments'!$D$34*D492*Assumptions!$B$109+'Segments'!$B$34*(0.4983251709*D491+0.4357405005*D491+0.0330936548*D492+0.0328406739))</f>
        <v/>
      </c>
      <c r="E503" s="18">
        <f>E493*('Segments'!$D$27*E492*Assumptions!$B$109+'Segments'!$B$27*(0.4983251709*E491+0.4357405005*E491+0.0330936548*E492+0.0328406739))+E494*('Segments'!$D$28*E492*Assumptions!$B$109+'Segments'!$B$28*(0.4983251709*E491+0.4357405005*E491+0.0330936548*E492+0.0328406739))+E495*('Segments'!$D$29*E492*Assumptions!$B$109+'Segments'!$B$29*(0.4983251709*E491+0.4357405005*E491+0.0330936548*E492+0.0328406739))+E496*('Segments'!$D$30*E492*Assumptions!$B$109+'Segments'!$B$30*(0.4983251709*E491+0.4357405005*E491+0.0330936548*E492+0.0328406739))+E497*('Segments'!$D$31*E492*Assumptions!$B$109+'Segments'!$B$31*(0.4983251709*E491+0.4357405005*E491+0.0330936548*E492+0.0328406739))+E498*('Segments'!$D$32*E492*Assumptions!$B$109+'Segments'!$B$32*(0.4983251709*E491+0.4357405005*E491+0.0330936548*E492+0.0328406739))+E499*('Segments'!$D$33*E492*Assumptions!$B$109+'Segments'!$B$33*(0.4983251709*E491+0.4357405005*E491+0.0330936548*E492+0.0328406739))+E500*('Segments'!$D$34*E492*Assumptions!$B$109+'Segments'!$B$34*(0.4983251709*E491+0.4357405005*E491+0.0330936548*E492+0.0328406739))</f>
        <v/>
      </c>
      <c r="F503" s="18">
        <f>F493*('Segments'!$D$27*F492*Assumptions!$B$109+'Segments'!$B$27*(0.4983251709*F491+0.4357405005*F491+0.0330936548*F492+0.0328406739))+F494*('Segments'!$D$28*F492*Assumptions!$B$109+'Segments'!$B$28*(0.4983251709*F491+0.4357405005*F491+0.0330936548*F492+0.0328406739))+F495*('Segments'!$D$29*F492*Assumptions!$B$109+'Segments'!$B$29*(0.4983251709*F491+0.4357405005*F491+0.0330936548*F492+0.0328406739))+F496*('Segments'!$D$30*F492*Assumptions!$B$109+'Segments'!$B$30*(0.4983251709*F491+0.4357405005*F491+0.0330936548*F492+0.0328406739))+F497*('Segments'!$D$31*F492*Assumptions!$B$109+'Segments'!$B$31*(0.4983251709*F491+0.4357405005*F491+0.0330936548*F492+0.0328406739))+F498*('Segments'!$D$32*F492*Assumptions!$B$109+'Segments'!$B$32*(0.4983251709*F491+0.4357405005*F491+0.0330936548*F492+0.0328406739))+F499*('Segments'!$D$33*F492*Assumptions!$B$109+'Segments'!$B$33*(0.4983251709*F491+0.4357405005*F491+0.0330936548*F492+0.0328406739))+F500*('Segments'!$D$34*F492*Assumptions!$B$109+'Segments'!$B$34*(0.4983251709*F491+0.4357405005*F491+0.0330936548*F492+0.0328406739))</f>
        <v/>
      </c>
      <c r="G503" s="18">
        <f>G493*('Segments'!$D$27*G492*Assumptions!$B$109+'Segments'!$B$27*(0.4983251709*G491+0.4357405005*G491+0.0330936548*G492+0.0328406739))+G494*('Segments'!$D$28*G492*Assumptions!$B$109+'Segments'!$B$28*(0.4983251709*G491+0.4357405005*G491+0.0330936548*G492+0.0328406739))+G495*('Segments'!$D$29*G492*Assumptions!$B$109+'Segments'!$B$29*(0.4983251709*G491+0.4357405005*G491+0.0330936548*G492+0.0328406739))+G496*('Segments'!$D$30*G492*Assumptions!$B$109+'Segments'!$B$30*(0.4983251709*G491+0.4357405005*G491+0.0330936548*G492+0.0328406739))+G497*('Segments'!$D$31*G492*Assumptions!$B$109+'Segments'!$B$31*(0.4983251709*G491+0.4357405005*G491+0.0330936548*G492+0.0328406739))+G498*('Segments'!$D$32*G492*Assumptions!$B$109+'Segments'!$B$32*(0.4983251709*G491+0.4357405005*G491+0.0330936548*G492+0.0328406739))+G499*('Segments'!$D$33*G492*Assumptions!$B$109+'Segments'!$B$33*(0.4983251709*G491+0.4357405005*G491+0.0330936548*G492+0.0328406739))+G500*('Segments'!$D$34*G492*Assumptions!$B$109+'Segments'!$B$34*(0.4983251709*G491+0.4357405005*G491+0.0330936548*G492+0.0328406739))</f>
        <v/>
      </c>
    </row>
    <row r="504">
      <c r="A504" s="15" t="inlineStr">
        <is>
          <t>GROSS PROFIT</t>
        </is>
      </c>
      <c r="C504" s="37">
        <f>C502-C503+DCF!$B$7*C502</f>
        <v/>
      </c>
      <c r="D504" s="37">
        <f>D502-D503+DCF!$B$7*D502</f>
        <v/>
      </c>
      <c r="E504" s="37">
        <f>E502-E503+DCF!$B$7*E502</f>
        <v/>
      </c>
      <c r="F504" s="37">
        <f>F502-F503+DCF!$B$7*F502</f>
        <v/>
      </c>
      <c r="G504" s="37">
        <f>G502-G503+DCF!$B$7*G502</f>
        <v/>
      </c>
    </row>
    <row r="505">
      <c r="A505" s="7" t="inlineStr">
        <is>
          <t>Gross margin</t>
        </is>
      </c>
      <c r="C505" s="24">
        <f>C504/C502</f>
        <v/>
      </c>
      <c r="D505" s="24">
        <f>D504/D502</f>
        <v/>
      </c>
      <c r="E505" s="24">
        <f>E504/E502</f>
        <v/>
      </c>
      <c r="F505" s="24">
        <f>F504/F502</f>
        <v/>
      </c>
      <c r="G505" s="24">
        <f>G504/G502</f>
        <v/>
      </c>
    </row>
    <row r="506">
      <c r="A506" s="7" t="inlineStr">
        <is>
          <t>Operating expense</t>
        </is>
      </c>
      <c r="C506" s="18">
        <f>('Income Statement'!$B$28*C491)+('Income Statement'!$B$29*C491*C501/'Segments'!$E$14)+('Income Statement'!$B$30*C491)+('Income Statement'!$B$31*C491)</f>
        <v/>
      </c>
      <c r="D506" s="18">
        <f>('Income Statement'!$B$28*D491)+('Income Statement'!$B$29*D491*D501/'Segments'!$E$14)+('Income Statement'!$B$30*D491)+('Income Statement'!$B$31*D491)</f>
        <v/>
      </c>
      <c r="E506" s="18">
        <f>('Income Statement'!$B$28*E491)+('Income Statement'!$B$29*E491*E501/'Segments'!$E$14)+('Income Statement'!$B$30*E491)+('Income Statement'!$B$31*E491)</f>
        <v/>
      </c>
      <c r="F506" s="18">
        <f>('Income Statement'!$B$28*F491)+('Income Statement'!$B$29*F491*F501/'Segments'!$E$14)+('Income Statement'!$B$30*F491)+('Income Statement'!$B$31*F491)</f>
        <v/>
      </c>
      <c r="G506" s="18">
        <f>('Income Statement'!$B$28*G491)+('Income Statement'!$B$29*G491*G501/'Segments'!$E$14)+('Income Statement'!$B$30*G491)+('Income Statement'!$B$31*G491)</f>
        <v/>
      </c>
    </row>
    <row r="507">
      <c r="A507" s="15" t="inlineStr">
        <is>
          <t>EBITDA</t>
        </is>
      </c>
      <c r="C507" s="37">
        <f>C504-C506</f>
        <v/>
      </c>
      <c r="D507" s="37">
        <f>D504-D506</f>
        <v/>
      </c>
      <c r="E507" s="37">
        <f>E504-E506</f>
        <v/>
      </c>
      <c r="F507" s="37">
        <f>F504-F506</f>
        <v/>
      </c>
      <c r="G507" s="37">
        <f>G504-G506</f>
        <v/>
      </c>
    </row>
    <row r="508">
      <c r="A508" s="7" t="inlineStr">
        <is>
          <t>Capital expenditure — maintenance + growth</t>
        </is>
      </c>
      <c r="C508" s="18">
        <f>'Income Statement'!$B$43*C491+MAX(C501-'Segments'!$E$14,0)*2100.379938*C491</f>
        <v/>
      </c>
      <c r="D508" s="18">
        <f>'Income Statement'!$B$43*D491+MAX(D501-C501,0)*2100.379938*D491</f>
        <v/>
      </c>
      <c r="E508" s="18">
        <f>'Income Statement'!$B$43*E491+MAX(E501-D501,0)*2100.379938*E491</f>
        <v/>
      </c>
      <c r="F508" s="18">
        <f>'Income Statement'!$B$43*F491+MAX(F501-E501,0)*2100.379938*F491</f>
        <v/>
      </c>
      <c r="G508" s="18">
        <f>'Income Statement'!$B$43*G491+MAX(G501-F501,0)*2100.379938*G491</f>
        <v/>
      </c>
    </row>
    <row r="509">
      <c r="A509" s="7" t="inlineStr">
        <is>
          <t>Fixed assets at cost, closing</t>
        </is>
      </c>
      <c r="C509" s="18">
        <f>(Assumptions!$B$91+Assumptions!$B$92)/10^6+C508</f>
        <v/>
      </c>
      <c r="D509" s="18">
        <f>C509+D508</f>
        <v/>
      </c>
      <c r="E509" s="18">
        <f>D509+E508</f>
        <v/>
      </c>
      <c r="F509" s="18">
        <f>E509+F508</f>
        <v/>
      </c>
      <c r="G509" s="18">
        <f>F509+G508</f>
        <v/>
      </c>
    </row>
    <row r="510">
      <c r="A510" s="7" t="inlineStr">
        <is>
          <t>Depreciation — rolls off the asset register</t>
        </is>
      </c>
      <c r="C510" s="18">
        <f>(Assumptions!$B$91+Assumptions!$B$92)/10^6/'Income Statement'!$B$42</f>
        <v/>
      </c>
      <c r="D510" s="18">
        <f>C509/'Income Statement'!$B$42</f>
        <v/>
      </c>
      <c r="E510" s="18">
        <f>D509/'Income Statement'!$B$42</f>
        <v/>
      </c>
      <c r="F510" s="18">
        <f>E509/'Income Statement'!$B$42</f>
        <v/>
      </c>
      <c r="G510" s="18">
        <f>F509/'Income Statement'!$B$42</f>
        <v/>
      </c>
    </row>
    <row r="511">
      <c r="A511" s="7" t="inlineStr">
        <is>
          <t>Fixed assets, net book, closing</t>
        </is>
      </c>
      <c r="C511" s="18">
        <f>(Assumptions!$B$90+Assumptions!$B$92)/10^6+C508-C510</f>
        <v/>
      </c>
      <c r="D511" s="18">
        <f>C511+D508-D510</f>
        <v/>
      </c>
      <c r="E511" s="18">
        <f>D511+E508-E510</f>
        <v/>
      </c>
      <c r="F511" s="18">
        <f>E511+F508-F510</f>
        <v/>
      </c>
      <c r="G511" s="18">
        <f>F511+G508-G510</f>
        <v/>
      </c>
    </row>
    <row r="512">
      <c r="A512" s="15" t="inlineStr">
        <is>
          <t>EBIT</t>
        </is>
      </c>
      <c r="C512" s="37">
        <f>C507-C510</f>
        <v/>
      </c>
      <c r="D512" s="37">
        <f>D507-D510</f>
        <v/>
      </c>
      <c r="E512" s="37">
        <f>E507-E510</f>
        <v/>
      </c>
      <c r="F512" s="37">
        <f>F507-F510</f>
        <v/>
      </c>
      <c r="G512" s="37">
        <f>G507-G510</f>
        <v/>
      </c>
    </row>
    <row r="513">
      <c r="A513" s="7" t="inlineStr">
        <is>
          <t>NOPAT before the profit share</t>
        </is>
      </c>
      <c r="C513" s="18">
        <f>C512*(1-Assumptions!$B$108)</f>
        <v/>
      </c>
      <c r="D513" s="18">
        <f>D512*(1-Assumptions!$B$108)</f>
        <v/>
      </c>
      <c r="E513" s="18">
        <f>E512*(1-Assumptions!$B$108)</f>
        <v/>
      </c>
      <c r="F513" s="18">
        <f>F512*(1-Assumptions!$B$108)</f>
        <v/>
      </c>
      <c r="G513" s="18">
        <f>G512*(1-Assumptions!$B$108)</f>
        <v/>
      </c>
    </row>
    <row r="514">
      <c r="A514" s="7" t="inlineStr">
        <is>
          <t xml:space="preserve">  less employees' profit share and board bonuses</t>
        </is>
      </c>
      <c r="C514" s="18">
        <f>MAX(C513,0)*'Income Statement'!$B$40</f>
        <v/>
      </c>
      <c r="D514" s="18">
        <f>MAX(D513,0)*'Income Statement'!$B$40</f>
        <v/>
      </c>
      <c r="E514" s="18">
        <f>MAX(E513,0)*'Income Statement'!$B$40</f>
        <v/>
      </c>
      <c r="F514" s="18">
        <f>MAX(F513,0)*'Income Statement'!$B$40</f>
        <v/>
      </c>
      <c r="G514" s="18">
        <f>MAX(G513,0)*'Income Statement'!$B$40</f>
        <v/>
      </c>
    </row>
    <row r="515">
      <c r="A515" s="15" t="inlineStr">
        <is>
          <t>NOPAT</t>
        </is>
      </c>
      <c r="C515" s="37">
        <f>C513-C514</f>
        <v/>
      </c>
      <c r="D515" s="37">
        <f>D513-D514</f>
        <v/>
      </c>
      <c r="E515" s="37">
        <f>E513-E514</f>
        <v/>
      </c>
      <c r="F515" s="37">
        <f>F513-F514</f>
        <v/>
      </c>
      <c r="G515" s="37">
        <f>G513-G514</f>
        <v/>
      </c>
    </row>
    <row r="516">
      <c r="A516" s="7" t="inlineStr">
        <is>
          <t>Net working capital — on days</t>
        </is>
      </c>
      <c r="C516" s="18">
        <f>'Income Statement'!$B$44*DCF!$B$9/365*C503+'Income Statement'!$B$45*DCF!$B$9/365*C502-'Income Statement'!$B$46*DCF!$B$9/365*C503</f>
        <v/>
      </c>
      <c r="D516" s="18">
        <f>'Income Statement'!$B$44*DCF!$B$9/365*D503+'Income Statement'!$B$45*DCF!$B$9/365*D502-'Income Statement'!$B$46*DCF!$B$9/365*D503</f>
        <v/>
      </c>
      <c r="E516" s="18">
        <f>'Income Statement'!$B$44*DCF!$B$9/365*E503+'Income Statement'!$B$45*DCF!$B$9/365*E502-'Income Statement'!$B$46*DCF!$B$9/365*E503</f>
        <v/>
      </c>
      <c r="F516" s="18">
        <f>'Income Statement'!$B$44*DCF!$B$9/365*F503+'Income Statement'!$B$45*DCF!$B$9/365*F502-'Income Statement'!$B$46*DCF!$B$9/365*F503</f>
        <v/>
      </c>
      <c r="G516" s="18">
        <f>'Income Statement'!$B$44*DCF!$B$9/365*G503+'Income Statement'!$B$45*DCF!$B$9/365*G502-'Income Statement'!$B$46*DCF!$B$9/365*G503</f>
        <v/>
      </c>
    </row>
    <row r="517">
      <c r="A517" s="7" t="inlineStr">
        <is>
          <t xml:space="preserve">  change in working capital</t>
        </is>
      </c>
      <c r="C517" s="18">
        <f>C516-('Income Statement'!$B$44/365*'Income Statement'!$B$21+'Income Statement'!$B$45/365*'Income Statement'!$B$19-'Income Statement'!$B$46/365*'Income Statement'!$B$21)</f>
        <v/>
      </c>
      <c r="D517" s="18">
        <f>D516-C516</f>
        <v/>
      </c>
      <c r="E517" s="18">
        <f>E516-D516</f>
        <v/>
      </c>
      <c r="F517" s="18">
        <f>F516-E516</f>
        <v/>
      </c>
      <c r="G517" s="18">
        <f>G516-F516</f>
        <v/>
      </c>
    </row>
    <row r="518">
      <c r="A518" s="15" t="inlineStr">
        <is>
          <t>FREE CASH FLOW TO THE FIRM</t>
        </is>
      </c>
      <c r="C518" s="37">
        <f>C515+C510-C508-C517</f>
        <v/>
      </c>
      <c r="D518" s="37">
        <f>D515+D510-D508-D517</f>
        <v/>
      </c>
      <c r="E518" s="37">
        <f>E515+E510-E508-E517</f>
        <v/>
      </c>
      <c r="F518" s="37">
        <f>F515+F510-F508-F517</f>
        <v/>
      </c>
      <c r="G518" s="37">
        <f>G515+G510-G508-G517</f>
        <v/>
      </c>
    </row>
    <row r="519">
      <c r="A519" s="7" t="inlineStr">
        <is>
          <t>Glide fraction</t>
        </is>
      </c>
      <c r="C519" s="23">
        <f>0.0000000000</f>
        <v/>
      </c>
      <c r="D519" s="23">
        <f>0.3571428571</f>
        <v/>
      </c>
      <c r="E519" s="23">
        <f>0.6428571429</f>
        <v/>
      </c>
      <c r="F519" s="23">
        <f>0.8571428571</f>
        <v/>
      </c>
      <c r="G519" s="23">
        <f>1.0000000000</f>
        <v/>
      </c>
    </row>
    <row r="520">
      <c r="A520" s="7" t="inlineStr">
        <is>
          <t>Forward cost of capital</t>
        </is>
      </c>
      <c r="C520" s="24">
        <f>DCF!$B$14-(DCF!$B$14-DCF!$B$17)*C519</f>
        <v/>
      </c>
      <c r="D520" s="24">
        <f>DCF!$B$14-(DCF!$B$14-DCF!$B$17)*D519</f>
        <v/>
      </c>
      <c r="E520" s="24">
        <f>DCF!$B$14-(DCF!$B$14-DCF!$B$17)*E519</f>
        <v/>
      </c>
      <c r="F520" s="24">
        <f>DCF!$B$14-(DCF!$B$14-DCF!$B$17)*F519</f>
        <v/>
      </c>
      <c r="G520" s="24">
        <f>DCF!$B$14-(DCF!$B$14-DCF!$B$17)*G519</f>
        <v/>
      </c>
    </row>
    <row r="521">
      <c r="A521" s="7" t="inlineStr">
        <is>
          <t>Cumulative discount factor</t>
        </is>
      </c>
      <c r="C521" s="40">
        <f>1/(1+C520)</f>
        <v/>
      </c>
      <c r="D521" s="40">
        <f>C521/(1+D520)</f>
        <v/>
      </c>
      <c r="E521" s="40">
        <f>D521/(1+E520)</f>
        <v/>
      </c>
      <c r="F521" s="40">
        <f>E521/(1+F520)</f>
        <v/>
      </c>
      <c r="G521" s="40">
        <f>F521/(1+G520)</f>
        <v/>
      </c>
    </row>
    <row r="522">
      <c r="A522" s="7" t="inlineStr">
        <is>
          <t>Present value</t>
        </is>
      </c>
      <c r="C522" s="18">
        <f>C518*C521</f>
        <v/>
      </c>
      <c r="D522" s="18">
        <f>D518*D521</f>
        <v/>
      </c>
      <c r="E522" s="18">
        <f>E518*E521</f>
        <v/>
      </c>
      <c r="F522" s="18">
        <f>F518*F521</f>
        <v/>
      </c>
      <c r="G522" s="18">
        <f>G518*G521</f>
        <v/>
      </c>
    </row>
    <row r="523">
      <c r="A523" s="15" t="inlineStr">
        <is>
          <t>PV of the explicit window</t>
        </is>
      </c>
      <c r="B523" s="37">
        <f>SUM(C522:G522)</f>
        <v/>
      </c>
      <c r="C523" s="18">
        <f>C516+C509</f>
        <v/>
      </c>
      <c r="D523" s="18">
        <f>D516+D509</f>
        <v/>
      </c>
      <c r="E523" s="18">
        <f>E516+E509</f>
        <v/>
      </c>
      <c r="F523" s="18">
        <f>F516+F509</f>
        <v/>
      </c>
      <c r="G523" s="18">
        <f>G516+G509</f>
        <v/>
      </c>
    </row>
    <row r="524">
      <c r="A524" s="7" t="inlineStr">
        <is>
          <t>Terminal return on invested capital, at REPLACEMENT cost</t>
        </is>
      </c>
      <c r="B524" s="24">
        <f>G515*(1+Assumptions!$B$110)/G523</f>
        <v/>
      </c>
    </row>
    <row r="525">
      <c r="A525" s="7" t="inlineStr">
        <is>
          <t>Required reinvestment = growth / return</t>
        </is>
      </c>
      <c r="B525" s="24">
        <f>MIN(Assumptions!$B$110/B524,0.95)</f>
        <v/>
      </c>
    </row>
    <row r="526">
      <c r="A526" s="7" t="inlineStr">
        <is>
          <t>Terminal value</t>
        </is>
      </c>
      <c r="B526" s="18">
        <f>G515*(1+Assumptions!$B$110)*(1-B525)/MAX(DCF!$B$17-Assumptions!$B$110,0.02)</f>
        <v/>
      </c>
    </row>
    <row r="527">
      <c r="A527" s="7" t="inlineStr">
        <is>
          <t>PV of the terminal block</t>
        </is>
      </c>
      <c r="B527" s="18">
        <f>B526*G521</f>
        <v/>
      </c>
    </row>
    <row r="528">
      <c r="A528" s="15" t="inlineStr">
        <is>
          <t>ENTERPRISE VALUE</t>
        </is>
      </c>
      <c r="B528" s="37">
        <f>B523+B527</f>
        <v/>
      </c>
    </row>
    <row r="529">
      <c r="A529" s="7" t="inlineStr">
        <is>
          <t>plus net cash</t>
        </is>
      </c>
      <c r="B529" s="18">
        <f>(Assumptions!$B$100-Assumptions!$B$103-Assumptions!$B$104)/10^6</f>
        <v/>
      </c>
    </row>
    <row r="530">
      <c r="A530" s="7" t="inlineStr">
        <is>
          <t>Enterprise value including cash</t>
        </is>
      </c>
      <c r="B530" s="18">
        <f>B528+B529</f>
        <v/>
      </c>
    </row>
    <row r="531">
      <c r="A531" s="7" t="inlineStr">
        <is>
          <t>less minority — on the WHOLE enterprise, cash included</t>
        </is>
      </c>
      <c r="B531" s="18">
        <f>B530*'Income Statement'!$B$41</f>
        <v/>
      </c>
    </row>
    <row r="532">
      <c r="A532" s="7" t="inlineStr">
        <is>
          <t>less the tax-disputes provision</t>
        </is>
      </c>
      <c r="B532" s="18">
        <f>Assumptions!$B$99/10^6</f>
        <v/>
      </c>
    </row>
    <row r="533">
      <c r="A533" s="7" t="inlineStr">
        <is>
          <t>less dividends payable — declared, out of working capital</t>
        </is>
      </c>
      <c r="B533" s="18">
        <f>Assumptions!$B$98/10^6</f>
        <v/>
      </c>
    </row>
    <row r="534">
      <c r="A534" s="7" t="inlineStr">
        <is>
          <t>plus non-operating investments and pledged deposits</t>
        </is>
      </c>
      <c r="B534" s="18">
        <f>(Assumptions!$B$102+Assumptions!$B$101)/10^6</f>
        <v/>
      </c>
    </row>
    <row r="535">
      <c r="A535" s="15" t="inlineStr">
        <is>
          <t>EQUITY ATTRIBUTABLE</t>
        </is>
      </c>
      <c r="B535" s="37">
        <f>B530-B531-B532-B533+B534</f>
        <v/>
      </c>
    </row>
    <row r="536">
      <c r="A536" s="15" t="inlineStr">
        <is>
          <t>VALUE PER SHARE, EGP</t>
        </is>
      </c>
      <c r="B536" s="22">
        <f>B535/Assumptions!$B$8</f>
        <v/>
      </c>
    </row>
    <row r="539">
      <c r="A539" s="6" t="inlineStr">
        <is>
          <t>Realisation path, as a multiple of the assumed path — 0.90x</t>
        </is>
      </c>
      <c r="B539" s="6" t="inlineStr">
        <is>
          <t>2026E</t>
        </is>
      </c>
      <c r="C539" s="6" t="inlineStr">
        <is>
          <t>2027E</t>
        </is>
      </c>
      <c r="D539" s="6" t="inlineStr">
        <is>
          <t>2028E</t>
        </is>
      </c>
      <c r="E539" s="6" t="inlineStr">
        <is>
          <t>2029E</t>
        </is>
      </c>
      <c r="F539" s="6" t="inlineStr">
        <is>
          <t>2030E</t>
        </is>
      </c>
    </row>
    <row r="540">
      <c r="A540" s="7" t="inlineStr">
        <is>
          <t>Inflation index, cumulative</t>
        </is>
      </c>
      <c r="C540" s="23">
        <f>Assumptions!$B$167</f>
        <v/>
      </c>
      <c r="D540" s="23">
        <f>C540*Assumptions!$B$168</f>
        <v/>
      </c>
      <c r="E540" s="23">
        <f>D540*Assumptions!$B$169</f>
        <v/>
      </c>
      <c r="F540" s="23">
        <f>E540*Assumptions!$B$170</f>
        <v/>
      </c>
      <c r="G540" s="23">
        <f>F540*Assumptions!$B$171</f>
        <v/>
      </c>
    </row>
    <row r="541">
      <c r="A541" s="7" t="inlineStr">
        <is>
          <t>Realisation index, cumulative</t>
        </is>
      </c>
      <c r="C541" s="23">
        <f>(1+Assumptions!$B$122*$D$20)</f>
        <v/>
      </c>
      <c r="D541" s="23">
        <f>C541*(1+Assumptions!$B$123*$D$20)</f>
        <v/>
      </c>
      <c r="E541" s="23">
        <f>D541*(1+Assumptions!$B$124*$D$20)</f>
        <v/>
      </c>
      <c r="F541" s="23">
        <f>E541*(1+Assumptions!$B$125*$D$20)</f>
        <v/>
      </c>
      <c r="G541" s="23">
        <f>F541*(1+Assumptions!$B$126*$D$20)</f>
        <v/>
      </c>
    </row>
    <row r="542">
      <c r="A542" s="7" t="inlineStr">
        <is>
          <t xml:space="preserve">  Volume — Base and special oils, mn t</t>
        </is>
      </c>
      <c r="C542" s="23">
        <f>'Segments'!E6*(1+Assumptions!$B$127+DCF!$B$6)</f>
        <v/>
      </c>
      <c r="D542" s="23">
        <f>C542*(1+Assumptions!$B$128+DCF!$B$6)</f>
        <v/>
      </c>
      <c r="E542" s="23">
        <f>D542*(1+Assumptions!$B$129+DCF!$B$6)</f>
        <v/>
      </c>
      <c r="F542" s="23">
        <f>E542*(1+Assumptions!$B$130+DCF!$B$6)</f>
        <v/>
      </c>
      <c r="G542" s="23">
        <f>F542*(1+Assumptions!$B$131+DCF!$B$6)</f>
        <v/>
      </c>
    </row>
    <row r="543">
      <c r="A543" s="7" t="inlineStr">
        <is>
          <t xml:space="preserve">  Volume — Paraffin wax, mn t</t>
        </is>
      </c>
      <c r="C543" s="23">
        <f>'Segments'!E7*(1+Assumptions!$B$132+DCF!$B$6)</f>
        <v/>
      </c>
      <c r="D543" s="23">
        <f>C543*(1+Assumptions!$B$133+DCF!$B$6)</f>
        <v/>
      </c>
      <c r="E543" s="23">
        <f>D543*(1+Assumptions!$B$134+DCF!$B$6)</f>
        <v/>
      </c>
      <c r="F543" s="23">
        <f>E543*(1+Assumptions!$B$135+DCF!$B$6)</f>
        <v/>
      </c>
      <c r="G543" s="23">
        <f>F543*(1+Assumptions!$B$136+DCF!$B$6)</f>
        <v/>
      </c>
    </row>
    <row r="544">
      <c r="A544" s="7" t="inlineStr">
        <is>
          <t xml:space="preserve">  Volume — Gas oil, mn t</t>
        </is>
      </c>
      <c r="C544" s="23">
        <f>'Segments'!E8*(1+Assumptions!$B$137+DCF!$B$6)</f>
        <v/>
      </c>
      <c r="D544" s="23">
        <f>C544*(1+Assumptions!$B$138+DCF!$B$6)</f>
        <v/>
      </c>
      <c r="E544" s="23">
        <f>D544*(1+Assumptions!$B$139+DCF!$B$6)</f>
        <v/>
      </c>
      <c r="F544" s="23">
        <f>E544*(1+Assumptions!$B$140+DCF!$B$6)</f>
        <v/>
      </c>
      <c r="G544" s="23">
        <f>F544*(1+Assumptions!$B$141+DCF!$B$6)</f>
        <v/>
      </c>
    </row>
    <row r="545">
      <c r="A545" s="7" t="inlineStr">
        <is>
          <t xml:space="preserve">  Volume — Naphtha, mn t</t>
        </is>
      </c>
      <c r="C545" s="23">
        <f>'Segments'!E9*(1+Assumptions!$B$142+DCF!$B$6)</f>
        <v/>
      </c>
      <c r="D545" s="23">
        <f>C545*(1+Assumptions!$B$143+DCF!$B$6)</f>
        <v/>
      </c>
      <c r="E545" s="23">
        <f>D545*(1+Assumptions!$B$144+DCF!$B$6)</f>
        <v/>
      </c>
      <c r="F545" s="23">
        <f>E545*(1+Assumptions!$B$145+DCF!$B$6)</f>
        <v/>
      </c>
      <c r="G545" s="23">
        <f>F545*(1+Assumptions!$B$146+DCF!$B$6)</f>
        <v/>
      </c>
    </row>
    <row r="546">
      <c r="A546" s="7" t="inlineStr">
        <is>
          <t xml:space="preserve">  Volume — Liquefied petroleum gas, mn t</t>
        </is>
      </c>
      <c r="C546" s="23">
        <f>'Segments'!E10*(1+Assumptions!$B$147+DCF!$B$6)</f>
        <v/>
      </c>
      <c r="D546" s="23">
        <f>C546*(1+Assumptions!$B$148+DCF!$B$6)</f>
        <v/>
      </c>
      <c r="E546" s="23">
        <f>D546*(1+Assumptions!$B$149+DCF!$B$6)</f>
        <v/>
      </c>
      <c r="F546" s="23">
        <f>E546*(1+Assumptions!$B$150+DCF!$B$6)</f>
        <v/>
      </c>
      <c r="G546" s="23">
        <f>F546*(1+Assumptions!$B$151+DCF!$B$6)</f>
        <v/>
      </c>
    </row>
    <row r="547">
      <c r="A547" s="7" t="inlineStr">
        <is>
          <t xml:space="preserve">  Volume — Fuel oil (mix), mn t</t>
        </is>
      </c>
      <c r="C547" s="23">
        <f>'Segments'!E11*(1+Assumptions!$B$152+DCF!$B$6)</f>
        <v/>
      </c>
      <c r="D547" s="23">
        <f>C547*(1+Assumptions!$B$153+DCF!$B$6)</f>
        <v/>
      </c>
      <c r="E547" s="23">
        <f>D547*(1+Assumptions!$B$154+DCF!$B$6)</f>
        <v/>
      </c>
      <c r="F547" s="23">
        <f>E547*(1+Assumptions!$B$155+DCF!$B$6)</f>
        <v/>
      </c>
      <c r="G547" s="23">
        <f>F547*(1+Assumptions!$B$156+DCF!$B$6)</f>
        <v/>
      </c>
    </row>
    <row r="548">
      <c r="A548" s="7" t="inlineStr">
        <is>
          <t xml:space="preserve">  Volume — Heavy fuel oil, mn t</t>
        </is>
      </c>
      <c r="C548" s="23">
        <f>'Segments'!E12*(1+Assumptions!$B$157+DCF!$B$6)</f>
        <v/>
      </c>
      <c r="D548" s="23">
        <f>C548*(1+Assumptions!$B$158+DCF!$B$6)</f>
        <v/>
      </c>
      <c r="E548" s="23">
        <f>D548*(1+Assumptions!$B$159+DCF!$B$6)</f>
        <v/>
      </c>
      <c r="F548" s="23">
        <f>E548*(1+Assumptions!$B$160+DCF!$B$6)</f>
        <v/>
      </c>
      <c r="G548" s="23">
        <f>F548*(1+Assumptions!$B$161+DCF!$B$6)</f>
        <v/>
      </c>
    </row>
    <row r="549">
      <c r="A549" s="7" t="inlineStr">
        <is>
          <t xml:space="preserve">  Volume — Waste, mn t</t>
        </is>
      </c>
      <c r="C549" s="23">
        <f>'Segments'!E13*(1+Assumptions!$B$162+DCF!$B$6)</f>
        <v/>
      </c>
      <c r="D549" s="23">
        <f>C549*(1+Assumptions!$B$163+DCF!$B$6)</f>
        <v/>
      </c>
      <c r="E549" s="23">
        <f>D549*(1+Assumptions!$B$164+DCF!$B$6)</f>
        <v/>
      </c>
      <c r="F549" s="23">
        <f>E549*(1+Assumptions!$B$165+DCF!$B$6)</f>
        <v/>
      </c>
      <c r="G549" s="23">
        <f>F549*(1+Assumptions!$B$166+DCF!$B$6)</f>
        <v/>
      </c>
    </row>
    <row r="550">
      <c r="A550" s="15" t="inlineStr">
        <is>
          <t>Total volume, mn t</t>
        </is>
      </c>
      <c r="C550" s="36">
        <f>SUM(C542:C549)</f>
        <v/>
      </c>
      <c r="D550" s="36">
        <f>SUM(D542:D549)</f>
        <v/>
      </c>
      <c r="E550" s="36">
        <f>SUM(E542:E549)</f>
        <v/>
      </c>
      <c r="F550" s="36">
        <f>SUM(F542:F549)</f>
        <v/>
      </c>
      <c r="G550" s="36">
        <f>SUM(G542:G549)</f>
        <v/>
      </c>
    </row>
    <row r="551">
      <c r="A551" s="15" t="inlineStr">
        <is>
          <t>REVENUE</t>
        </is>
      </c>
      <c r="C551" s="37">
        <f>C542*'Segments'!$F$6*C541+C543*'Segments'!$F$7*C541+C544*'Segments'!$F$8*C541+C545*'Segments'!$F$9*C541+C546*'Segments'!$F$10*C541+C547*'Segments'!$F$11*C541+C548*'Segments'!$F$12*C541+C549*'Segments'!$F$13*C541</f>
        <v/>
      </c>
      <c r="D551" s="37">
        <f>D542*'Segments'!$F$6*D541+D543*'Segments'!$F$7*D541+D544*'Segments'!$F$8*D541+D545*'Segments'!$F$9*D541+D546*'Segments'!$F$10*D541+D547*'Segments'!$F$11*D541+D548*'Segments'!$F$12*D541+D549*'Segments'!$F$13*D541</f>
        <v/>
      </c>
      <c r="E551" s="37">
        <f>E542*'Segments'!$F$6*E541+E543*'Segments'!$F$7*E541+E544*'Segments'!$F$8*E541+E545*'Segments'!$F$9*E541+E546*'Segments'!$F$10*E541+E547*'Segments'!$F$11*E541+E548*'Segments'!$F$12*E541+E549*'Segments'!$F$13*E541</f>
        <v/>
      </c>
      <c r="F551" s="37">
        <f>F542*'Segments'!$F$6*F541+F543*'Segments'!$F$7*F541+F544*'Segments'!$F$8*F541+F545*'Segments'!$F$9*F541+F546*'Segments'!$F$10*F541+F547*'Segments'!$F$11*F541+F548*'Segments'!$F$12*F541+F549*'Segments'!$F$13*F541</f>
        <v/>
      </c>
      <c r="G551" s="37">
        <f>G542*'Segments'!$F$6*G541+G543*'Segments'!$F$7*G541+G544*'Segments'!$F$8*G541+G545*'Segments'!$F$9*G541+G546*'Segments'!$F$10*G541+G547*'Segments'!$F$11*G541+G548*'Segments'!$F$12*G541+G549*'Segments'!$F$13*G541</f>
        <v/>
      </c>
    </row>
    <row r="552">
      <c r="A552" s="7" t="inlineStr">
        <is>
          <t>Cost of sales</t>
        </is>
      </c>
      <c r="C552" s="18">
        <f>C542*('Segments'!$D$27*C541*Assumptions!$B$109+'Segments'!$B$27*(0.4983251709*C540+0.4357405005*C540+0.0330936548*C541+0.0328406739))+C543*('Segments'!$D$28*C541*Assumptions!$B$109+'Segments'!$B$28*(0.4983251709*C540+0.4357405005*C540+0.0330936548*C541+0.0328406739))+C544*('Segments'!$D$29*C541*Assumptions!$B$109+'Segments'!$B$29*(0.4983251709*C540+0.4357405005*C540+0.0330936548*C541+0.0328406739))+C545*('Segments'!$D$30*C541*Assumptions!$B$109+'Segments'!$B$30*(0.4983251709*C540+0.4357405005*C540+0.0330936548*C541+0.0328406739))+C546*('Segments'!$D$31*C541*Assumptions!$B$109+'Segments'!$B$31*(0.4983251709*C540+0.4357405005*C540+0.0330936548*C541+0.0328406739))+C547*('Segments'!$D$32*C541*Assumptions!$B$109+'Segments'!$B$32*(0.4983251709*C540+0.4357405005*C540+0.0330936548*C541+0.0328406739))+C548*('Segments'!$D$33*C541*Assumptions!$B$109+'Segments'!$B$33*(0.4983251709*C540+0.4357405005*C540+0.0330936548*C541+0.0328406739))+C549*('Segments'!$D$34*C541*Assumptions!$B$109+'Segments'!$B$34*(0.4983251709*C540+0.4357405005*C540+0.0330936548*C541+0.0328406739))</f>
        <v/>
      </c>
      <c r="D552" s="18">
        <f>D542*('Segments'!$D$27*D541*Assumptions!$B$109+'Segments'!$B$27*(0.4983251709*D540+0.4357405005*D540+0.0330936548*D541+0.0328406739))+D543*('Segments'!$D$28*D541*Assumptions!$B$109+'Segments'!$B$28*(0.4983251709*D540+0.4357405005*D540+0.0330936548*D541+0.0328406739))+D544*('Segments'!$D$29*D541*Assumptions!$B$109+'Segments'!$B$29*(0.4983251709*D540+0.4357405005*D540+0.0330936548*D541+0.0328406739))+D545*('Segments'!$D$30*D541*Assumptions!$B$109+'Segments'!$B$30*(0.4983251709*D540+0.4357405005*D540+0.0330936548*D541+0.0328406739))+D546*('Segments'!$D$31*D541*Assumptions!$B$109+'Segments'!$B$31*(0.4983251709*D540+0.4357405005*D540+0.0330936548*D541+0.0328406739))+D547*('Segments'!$D$32*D541*Assumptions!$B$109+'Segments'!$B$32*(0.4983251709*D540+0.4357405005*D540+0.0330936548*D541+0.0328406739))+D548*('Segments'!$D$33*D541*Assumptions!$B$109+'Segments'!$B$33*(0.4983251709*D540+0.4357405005*D540+0.0330936548*D541+0.0328406739))+D549*('Segments'!$D$34*D541*Assumptions!$B$109+'Segments'!$B$34*(0.4983251709*D540+0.4357405005*D540+0.0330936548*D541+0.0328406739))</f>
        <v/>
      </c>
      <c r="E552" s="18">
        <f>E542*('Segments'!$D$27*E541*Assumptions!$B$109+'Segments'!$B$27*(0.4983251709*E540+0.4357405005*E540+0.0330936548*E541+0.0328406739))+E543*('Segments'!$D$28*E541*Assumptions!$B$109+'Segments'!$B$28*(0.4983251709*E540+0.4357405005*E540+0.0330936548*E541+0.0328406739))+E544*('Segments'!$D$29*E541*Assumptions!$B$109+'Segments'!$B$29*(0.4983251709*E540+0.4357405005*E540+0.0330936548*E541+0.0328406739))+E545*('Segments'!$D$30*E541*Assumptions!$B$109+'Segments'!$B$30*(0.4983251709*E540+0.4357405005*E540+0.0330936548*E541+0.0328406739))+E546*('Segments'!$D$31*E541*Assumptions!$B$109+'Segments'!$B$31*(0.4983251709*E540+0.4357405005*E540+0.0330936548*E541+0.0328406739))+E547*('Segments'!$D$32*E541*Assumptions!$B$109+'Segments'!$B$32*(0.4983251709*E540+0.4357405005*E540+0.0330936548*E541+0.0328406739))+E548*('Segments'!$D$33*E541*Assumptions!$B$109+'Segments'!$B$33*(0.4983251709*E540+0.4357405005*E540+0.0330936548*E541+0.0328406739))+E549*('Segments'!$D$34*E541*Assumptions!$B$109+'Segments'!$B$34*(0.4983251709*E540+0.4357405005*E540+0.0330936548*E541+0.0328406739))</f>
        <v/>
      </c>
      <c r="F552" s="18">
        <f>F542*('Segments'!$D$27*F541*Assumptions!$B$109+'Segments'!$B$27*(0.4983251709*F540+0.4357405005*F540+0.0330936548*F541+0.0328406739))+F543*('Segments'!$D$28*F541*Assumptions!$B$109+'Segments'!$B$28*(0.4983251709*F540+0.4357405005*F540+0.0330936548*F541+0.0328406739))+F544*('Segments'!$D$29*F541*Assumptions!$B$109+'Segments'!$B$29*(0.4983251709*F540+0.4357405005*F540+0.0330936548*F541+0.0328406739))+F545*('Segments'!$D$30*F541*Assumptions!$B$109+'Segments'!$B$30*(0.4983251709*F540+0.4357405005*F540+0.0330936548*F541+0.0328406739))+F546*('Segments'!$D$31*F541*Assumptions!$B$109+'Segments'!$B$31*(0.4983251709*F540+0.4357405005*F540+0.0330936548*F541+0.0328406739))+F547*('Segments'!$D$32*F541*Assumptions!$B$109+'Segments'!$B$32*(0.4983251709*F540+0.4357405005*F540+0.0330936548*F541+0.0328406739))+F548*('Segments'!$D$33*F541*Assumptions!$B$109+'Segments'!$B$33*(0.4983251709*F540+0.4357405005*F540+0.0330936548*F541+0.0328406739))+F549*('Segments'!$D$34*F541*Assumptions!$B$109+'Segments'!$B$34*(0.4983251709*F540+0.4357405005*F540+0.0330936548*F541+0.0328406739))</f>
        <v/>
      </c>
      <c r="G552" s="18">
        <f>G542*('Segments'!$D$27*G541*Assumptions!$B$109+'Segments'!$B$27*(0.4983251709*G540+0.4357405005*G540+0.0330936548*G541+0.0328406739))+G543*('Segments'!$D$28*G541*Assumptions!$B$109+'Segments'!$B$28*(0.4983251709*G540+0.4357405005*G540+0.0330936548*G541+0.0328406739))+G544*('Segments'!$D$29*G541*Assumptions!$B$109+'Segments'!$B$29*(0.4983251709*G540+0.4357405005*G540+0.0330936548*G541+0.0328406739))+G545*('Segments'!$D$30*G541*Assumptions!$B$109+'Segments'!$B$30*(0.4983251709*G540+0.4357405005*G540+0.0330936548*G541+0.0328406739))+G546*('Segments'!$D$31*G541*Assumptions!$B$109+'Segments'!$B$31*(0.4983251709*G540+0.4357405005*G540+0.0330936548*G541+0.0328406739))+G547*('Segments'!$D$32*G541*Assumptions!$B$109+'Segments'!$B$32*(0.4983251709*G540+0.4357405005*G540+0.0330936548*G541+0.0328406739))+G548*('Segments'!$D$33*G541*Assumptions!$B$109+'Segments'!$B$33*(0.4983251709*G540+0.4357405005*G540+0.0330936548*G541+0.0328406739))+G549*('Segments'!$D$34*G541*Assumptions!$B$109+'Segments'!$B$34*(0.4983251709*G540+0.4357405005*G540+0.0330936548*G541+0.0328406739))</f>
        <v/>
      </c>
    </row>
    <row r="553">
      <c r="A553" s="15" t="inlineStr">
        <is>
          <t>GROSS PROFIT</t>
        </is>
      </c>
      <c r="C553" s="37">
        <f>C551-C552+DCF!$B$7*C551</f>
        <v/>
      </c>
      <c r="D553" s="37">
        <f>D551-D552+DCF!$B$7*D551</f>
        <v/>
      </c>
      <c r="E553" s="37">
        <f>E551-E552+DCF!$B$7*E551</f>
        <v/>
      </c>
      <c r="F553" s="37">
        <f>F551-F552+DCF!$B$7*F551</f>
        <v/>
      </c>
      <c r="G553" s="37">
        <f>G551-G552+DCF!$B$7*G551</f>
        <v/>
      </c>
    </row>
    <row r="554">
      <c r="A554" s="7" t="inlineStr">
        <is>
          <t>Gross margin</t>
        </is>
      </c>
      <c r="C554" s="24">
        <f>C553/C551</f>
        <v/>
      </c>
      <c r="D554" s="24">
        <f>D553/D551</f>
        <v/>
      </c>
      <c r="E554" s="24">
        <f>E553/E551</f>
        <v/>
      </c>
      <c r="F554" s="24">
        <f>F553/F551</f>
        <v/>
      </c>
      <c r="G554" s="24">
        <f>G553/G551</f>
        <v/>
      </c>
    </row>
    <row r="555">
      <c r="A555" s="7" t="inlineStr">
        <is>
          <t>Operating expense</t>
        </is>
      </c>
      <c r="C555" s="18">
        <f>('Income Statement'!$B$28*C540)+('Income Statement'!$B$29*C540*C550/'Segments'!$E$14)+('Income Statement'!$B$30*C540)+('Income Statement'!$B$31*C540)</f>
        <v/>
      </c>
      <c r="D555" s="18">
        <f>('Income Statement'!$B$28*D540)+('Income Statement'!$B$29*D540*D550/'Segments'!$E$14)+('Income Statement'!$B$30*D540)+('Income Statement'!$B$31*D540)</f>
        <v/>
      </c>
      <c r="E555" s="18">
        <f>('Income Statement'!$B$28*E540)+('Income Statement'!$B$29*E540*E550/'Segments'!$E$14)+('Income Statement'!$B$30*E540)+('Income Statement'!$B$31*E540)</f>
        <v/>
      </c>
      <c r="F555" s="18">
        <f>('Income Statement'!$B$28*F540)+('Income Statement'!$B$29*F540*F550/'Segments'!$E$14)+('Income Statement'!$B$30*F540)+('Income Statement'!$B$31*F540)</f>
        <v/>
      </c>
      <c r="G555" s="18">
        <f>('Income Statement'!$B$28*G540)+('Income Statement'!$B$29*G540*G550/'Segments'!$E$14)+('Income Statement'!$B$30*G540)+('Income Statement'!$B$31*G540)</f>
        <v/>
      </c>
    </row>
    <row r="556">
      <c r="A556" s="15" t="inlineStr">
        <is>
          <t>EBITDA</t>
        </is>
      </c>
      <c r="C556" s="37">
        <f>C553-C555</f>
        <v/>
      </c>
      <c r="D556" s="37">
        <f>D553-D555</f>
        <v/>
      </c>
      <c r="E556" s="37">
        <f>E553-E555</f>
        <v/>
      </c>
      <c r="F556" s="37">
        <f>F553-F555</f>
        <v/>
      </c>
      <c r="G556" s="37">
        <f>G553-G555</f>
        <v/>
      </c>
    </row>
    <row r="557">
      <c r="A557" s="7" t="inlineStr">
        <is>
          <t>Capital expenditure — maintenance + growth</t>
        </is>
      </c>
      <c r="C557" s="18">
        <f>'Income Statement'!$B$43*C540+MAX(C550-'Segments'!$E$14,0)*2100.379938*C540</f>
        <v/>
      </c>
      <c r="D557" s="18">
        <f>'Income Statement'!$B$43*D540+MAX(D550-C550,0)*2100.379938*D540</f>
        <v/>
      </c>
      <c r="E557" s="18">
        <f>'Income Statement'!$B$43*E540+MAX(E550-D550,0)*2100.379938*E540</f>
        <v/>
      </c>
      <c r="F557" s="18">
        <f>'Income Statement'!$B$43*F540+MAX(F550-E550,0)*2100.379938*F540</f>
        <v/>
      </c>
      <c r="G557" s="18">
        <f>'Income Statement'!$B$43*G540+MAX(G550-F550,0)*2100.379938*G540</f>
        <v/>
      </c>
    </row>
    <row r="558">
      <c r="A558" s="7" t="inlineStr">
        <is>
          <t>Fixed assets at cost, closing</t>
        </is>
      </c>
      <c r="C558" s="18">
        <f>(Assumptions!$B$91+Assumptions!$B$92)/10^6+C557</f>
        <v/>
      </c>
      <c r="D558" s="18">
        <f>C558+D557</f>
        <v/>
      </c>
      <c r="E558" s="18">
        <f>D558+E557</f>
        <v/>
      </c>
      <c r="F558" s="18">
        <f>E558+F557</f>
        <v/>
      </c>
      <c r="G558" s="18">
        <f>F558+G557</f>
        <v/>
      </c>
    </row>
    <row r="559">
      <c r="A559" s="7" t="inlineStr">
        <is>
          <t>Depreciation — rolls off the asset register</t>
        </is>
      </c>
      <c r="C559" s="18">
        <f>(Assumptions!$B$91+Assumptions!$B$92)/10^6/'Income Statement'!$B$42</f>
        <v/>
      </c>
      <c r="D559" s="18">
        <f>C558/'Income Statement'!$B$42</f>
        <v/>
      </c>
      <c r="E559" s="18">
        <f>D558/'Income Statement'!$B$42</f>
        <v/>
      </c>
      <c r="F559" s="18">
        <f>E558/'Income Statement'!$B$42</f>
        <v/>
      </c>
      <c r="G559" s="18">
        <f>F558/'Income Statement'!$B$42</f>
        <v/>
      </c>
    </row>
    <row r="560">
      <c r="A560" s="7" t="inlineStr">
        <is>
          <t>Fixed assets, net book, closing</t>
        </is>
      </c>
      <c r="C560" s="18">
        <f>(Assumptions!$B$90+Assumptions!$B$92)/10^6+C557-C559</f>
        <v/>
      </c>
      <c r="D560" s="18">
        <f>C560+D557-D559</f>
        <v/>
      </c>
      <c r="E560" s="18">
        <f>D560+E557-E559</f>
        <v/>
      </c>
      <c r="F560" s="18">
        <f>E560+F557-F559</f>
        <v/>
      </c>
      <c r="G560" s="18">
        <f>F560+G557-G559</f>
        <v/>
      </c>
    </row>
    <row r="561">
      <c r="A561" s="15" t="inlineStr">
        <is>
          <t>EBIT</t>
        </is>
      </c>
      <c r="C561" s="37">
        <f>C556-C559</f>
        <v/>
      </c>
      <c r="D561" s="37">
        <f>D556-D559</f>
        <v/>
      </c>
      <c r="E561" s="37">
        <f>E556-E559</f>
        <v/>
      </c>
      <c r="F561" s="37">
        <f>F556-F559</f>
        <v/>
      </c>
      <c r="G561" s="37">
        <f>G556-G559</f>
        <v/>
      </c>
    </row>
    <row r="562">
      <c r="A562" s="7" t="inlineStr">
        <is>
          <t>NOPAT before the profit share</t>
        </is>
      </c>
      <c r="C562" s="18">
        <f>C561*(1-Assumptions!$B$108)</f>
        <v/>
      </c>
      <c r="D562" s="18">
        <f>D561*(1-Assumptions!$B$108)</f>
        <v/>
      </c>
      <c r="E562" s="18">
        <f>E561*(1-Assumptions!$B$108)</f>
        <v/>
      </c>
      <c r="F562" s="18">
        <f>F561*(1-Assumptions!$B$108)</f>
        <v/>
      </c>
      <c r="G562" s="18">
        <f>G561*(1-Assumptions!$B$108)</f>
        <v/>
      </c>
    </row>
    <row r="563">
      <c r="A563" s="7" t="inlineStr">
        <is>
          <t xml:space="preserve">  less employees' profit share and board bonuses</t>
        </is>
      </c>
      <c r="C563" s="18">
        <f>MAX(C562,0)*'Income Statement'!$B$40</f>
        <v/>
      </c>
      <c r="D563" s="18">
        <f>MAX(D562,0)*'Income Statement'!$B$40</f>
        <v/>
      </c>
      <c r="E563" s="18">
        <f>MAX(E562,0)*'Income Statement'!$B$40</f>
        <v/>
      </c>
      <c r="F563" s="18">
        <f>MAX(F562,0)*'Income Statement'!$B$40</f>
        <v/>
      </c>
      <c r="G563" s="18">
        <f>MAX(G562,0)*'Income Statement'!$B$40</f>
        <v/>
      </c>
    </row>
    <row r="564">
      <c r="A564" s="15" t="inlineStr">
        <is>
          <t>NOPAT</t>
        </is>
      </c>
      <c r="C564" s="37">
        <f>C562-C563</f>
        <v/>
      </c>
      <c r="D564" s="37">
        <f>D562-D563</f>
        <v/>
      </c>
      <c r="E564" s="37">
        <f>E562-E563</f>
        <v/>
      </c>
      <c r="F564" s="37">
        <f>F562-F563</f>
        <v/>
      </c>
      <c r="G564" s="37">
        <f>G562-G563</f>
        <v/>
      </c>
    </row>
    <row r="565">
      <c r="A565" s="7" t="inlineStr">
        <is>
          <t>Net working capital — on days</t>
        </is>
      </c>
      <c r="C565" s="18">
        <f>'Income Statement'!$B$44*DCF!$B$9/365*C552+'Income Statement'!$B$45*DCF!$B$9/365*C551-'Income Statement'!$B$46*DCF!$B$9/365*C552</f>
        <v/>
      </c>
      <c r="D565" s="18">
        <f>'Income Statement'!$B$44*DCF!$B$9/365*D552+'Income Statement'!$B$45*DCF!$B$9/365*D551-'Income Statement'!$B$46*DCF!$B$9/365*D552</f>
        <v/>
      </c>
      <c r="E565" s="18">
        <f>'Income Statement'!$B$44*DCF!$B$9/365*E552+'Income Statement'!$B$45*DCF!$B$9/365*E551-'Income Statement'!$B$46*DCF!$B$9/365*E552</f>
        <v/>
      </c>
      <c r="F565" s="18">
        <f>'Income Statement'!$B$44*DCF!$B$9/365*F552+'Income Statement'!$B$45*DCF!$B$9/365*F551-'Income Statement'!$B$46*DCF!$B$9/365*F552</f>
        <v/>
      </c>
      <c r="G565" s="18">
        <f>'Income Statement'!$B$44*DCF!$B$9/365*G552+'Income Statement'!$B$45*DCF!$B$9/365*G551-'Income Statement'!$B$46*DCF!$B$9/365*G552</f>
        <v/>
      </c>
    </row>
    <row r="566">
      <c r="A566" s="7" t="inlineStr">
        <is>
          <t xml:space="preserve">  change in working capital</t>
        </is>
      </c>
      <c r="C566" s="18">
        <f>C565-('Income Statement'!$B$44/365*'Income Statement'!$B$21+'Income Statement'!$B$45/365*'Income Statement'!$B$19-'Income Statement'!$B$46/365*'Income Statement'!$B$21)</f>
        <v/>
      </c>
      <c r="D566" s="18">
        <f>D565-C565</f>
        <v/>
      </c>
      <c r="E566" s="18">
        <f>E565-D565</f>
        <v/>
      </c>
      <c r="F566" s="18">
        <f>F565-E565</f>
        <v/>
      </c>
      <c r="G566" s="18">
        <f>G565-F565</f>
        <v/>
      </c>
    </row>
    <row r="567">
      <c r="A567" s="15" t="inlineStr">
        <is>
          <t>FREE CASH FLOW TO THE FIRM</t>
        </is>
      </c>
      <c r="C567" s="37">
        <f>C564+C559-C557-C566</f>
        <v/>
      </c>
      <c r="D567" s="37">
        <f>D564+D559-D557-D566</f>
        <v/>
      </c>
      <c r="E567" s="37">
        <f>E564+E559-E557-E566</f>
        <v/>
      </c>
      <c r="F567" s="37">
        <f>F564+F559-F557-F566</f>
        <v/>
      </c>
      <c r="G567" s="37">
        <f>G564+G559-G557-G566</f>
        <v/>
      </c>
    </row>
    <row r="568">
      <c r="A568" s="7" t="inlineStr">
        <is>
          <t>Glide fraction</t>
        </is>
      </c>
      <c r="C568" s="23">
        <f>0.0000000000</f>
        <v/>
      </c>
      <c r="D568" s="23">
        <f>0.3571428571</f>
        <v/>
      </c>
      <c r="E568" s="23">
        <f>0.6428571429</f>
        <v/>
      </c>
      <c r="F568" s="23">
        <f>0.8571428571</f>
        <v/>
      </c>
      <c r="G568" s="23">
        <f>1.0000000000</f>
        <v/>
      </c>
    </row>
    <row r="569">
      <c r="A569" s="7" t="inlineStr">
        <is>
          <t>Forward cost of capital</t>
        </is>
      </c>
      <c r="C569" s="24">
        <f>DCF!$B$14-(DCF!$B$14-DCF!$B$17)*C568</f>
        <v/>
      </c>
      <c r="D569" s="24">
        <f>DCF!$B$14-(DCF!$B$14-DCF!$B$17)*D568</f>
        <v/>
      </c>
      <c r="E569" s="24">
        <f>DCF!$B$14-(DCF!$B$14-DCF!$B$17)*E568</f>
        <v/>
      </c>
      <c r="F569" s="24">
        <f>DCF!$B$14-(DCF!$B$14-DCF!$B$17)*F568</f>
        <v/>
      </c>
      <c r="G569" s="24">
        <f>DCF!$B$14-(DCF!$B$14-DCF!$B$17)*G568</f>
        <v/>
      </c>
    </row>
    <row r="570">
      <c r="A570" s="7" t="inlineStr">
        <is>
          <t>Cumulative discount factor</t>
        </is>
      </c>
      <c r="C570" s="40">
        <f>1/(1+C569)</f>
        <v/>
      </c>
      <c r="D570" s="40">
        <f>C570/(1+D569)</f>
        <v/>
      </c>
      <c r="E570" s="40">
        <f>D570/(1+E569)</f>
        <v/>
      </c>
      <c r="F570" s="40">
        <f>E570/(1+F569)</f>
        <v/>
      </c>
      <c r="G570" s="40">
        <f>F570/(1+G569)</f>
        <v/>
      </c>
    </row>
    <row r="571">
      <c r="A571" s="7" t="inlineStr">
        <is>
          <t>Present value</t>
        </is>
      </c>
      <c r="C571" s="18">
        <f>C567*C570</f>
        <v/>
      </c>
      <c r="D571" s="18">
        <f>D567*D570</f>
        <v/>
      </c>
      <c r="E571" s="18">
        <f>E567*E570</f>
        <v/>
      </c>
      <c r="F571" s="18">
        <f>F567*F570</f>
        <v/>
      </c>
      <c r="G571" s="18">
        <f>G567*G570</f>
        <v/>
      </c>
    </row>
    <row r="572">
      <c r="A572" s="15" t="inlineStr">
        <is>
          <t>PV of the explicit window</t>
        </is>
      </c>
      <c r="B572" s="37">
        <f>SUM(C571:G571)</f>
        <v/>
      </c>
      <c r="C572" s="18">
        <f>C565+C558</f>
        <v/>
      </c>
      <c r="D572" s="18">
        <f>D565+D558</f>
        <v/>
      </c>
      <c r="E572" s="18">
        <f>E565+E558</f>
        <v/>
      </c>
      <c r="F572" s="18">
        <f>F565+F558</f>
        <v/>
      </c>
      <c r="G572" s="18">
        <f>G565+G558</f>
        <v/>
      </c>
    </row>
    <row r="573">
      <c r="A573" s="7" t="inlineStr">
        <is>
          <t>Terminal return on invested capital, at REPLACEMENT cost</t>
        </is>
      </c>
      <c r="B573" s="24">
        <f>G564*(1+Assumptions!$B$110)/G572</f>
        <v/>
      </c>
    </row>
    <row r="574">
      <c r="A574" s="7" t="inlineStr">
        <is>
          <t>Required reinvestment = growth / return</t>
        </is>
      </c>
      <c r="B574" s="24">
        <f>MIN(Assumptions!$B$110/B573,0.95)</f>
        <v/>
      </c>
    </row>
    <row r="575">
      <c r="A575" s="7" t="inlineStr">
        <is>
          <t>Terminal value</t>
        </is>
      </c>
      <c r="B575" s="18">
        <f>G564*(1+Assumptions!$B$110)*(1-B574)/MAX(DCF!$B$17-Assumptions!$B$110,0.02)</f>
        <v/>
      </c>
    </row>
    <row r="576">
      <c r="A576" s="7" t="inlineStr">
        <is>
          <t>PV of the terminal block</t>
        </is>
      </c>
      <c r="B576" s="18">
        <f>B575*G570</f>
        <v/>
      </c>
    </row>
    <row r="577">
      <c r="A577" s="15" t="inlineStr">
        <is>
          <t>ENTERPRISE VALUE</t>
        </is>
      </c>
      <c r="B577" s="37">
        <f>B572+B576</f>
        <v/>
      </c>
    </row>
    <row r="578">
      <c r="A578" s="7" t="inlineStr">
        <is>
          <t>plus net cash</t>
        </is>
      </c>
      <c r="B578" s="18">
        <f>(Assumptions!$B$100-Assumptions!$B$103-Assumptions!$B$104)/10^6</f>
        <v/>
      </c>
    </row>
    <row r="579">
      <c r="A579" s="7" t="inlineStr">
        <is>
          <t>Enterprise value including cash</t>
        </is>
      </c>
      <c r="B579" s="18">
        <f>B577+B578</f>
        <v/>
      </c>
    </row>
    <row r="580">
      <c r="A580" s="7" t="inlineStr">
        <is>
          <t>less minority — on the WHOLE enterprise, cash included</t>
        </is>
      </c>
      <c r="B580" s="18">
        <f>B579*'Income Statement'!$B$41</f>
        <v/>
      </c>
    </row>
    <row r="581">
      <c r="A581" s="7" t="inlineStr">
        <is>
          <t>less the tax-disputes provision</t>
        </is>
      </c>
      <c r="B581" s="18">
        <f>Assumptions!$B$99/10^6</f>
        <v/>
      </c>
    </row>
    <row r="582">
      <c r="A582" s="7" t="inlineStr">
        <is>
          <t>less dividends payable — declared, out of working capital</t>
        </is>
      </c>
      <c r="B582" s="18">
        <f>Assumptions!$B$98/10^6</f>
        <v/>
      </c>
    </row>
    <row r="583">
      <c r="A583" s="7" t="inlineStr">
        <is>
          <t>plus non-operating investments and pledged deposits</t>
        </is>
      </c>
      <c r="B583" s="18">
        <f>(Assumptions!$B$102+Assumptions!$B$101)/10^6</f>
        <v/>
      </c>
    </row>
    <row r="584">
      <c r="A584" s="15" t="inlineStr">
        <is>
          <t>EQUITY ATTRIBUTABLE</t>
        </is>
      </c>
      <c r="B584" s="37">
        <f>B579-B580-B581-B582+B583</f>
        <v/>
      </c>
    </row>
    <row r="585">
      <c r="A585" s="15" t="inlineStr">
        <is>
          <t>VALUE PER SHARE, EGP</t>
        </is>
      </c>
      <c r="B585" s="22">
        <f>B584/Assumptions!$B$8</f>
        <v/>
      </c>
    </row>
    <row r="588">
      <c r="A588" s="6" t="inlineStr">
        <is>
          <t>Realisation path, as a multiple of the assumed path — 0.95x</t>
        </is>
      </c>
      <c r="B588" s="6" t="inlineStr">
        <is>
          <t>2026E</t>
        </is>
      </c>
      <c r="C588" s="6" t="inlineStr">
        <is>
          <t>2027E</t>
        </is>
      </c>
      <c r="D588" s="6" t="inlineStr">
        <is>
          <t>2028E</t>
        </is>
      </c>
      <c r="E588" s="6" t="inlineStr">
        <is>
          <t>2029E</t>
        </is>
      </c>
      <c r="F588" s="6" t="inlineStr">
        <is>
          <t>2030E</t>
        </is>
      </c>
    </row>
    <row r="589">
      <c r="A589" s="7" t="inlineStr">
        <is>
          <t>Inflation index, cumulative</t>
        </is>
      </c>
      <c r="C589" s="23">
        <f>Assumptions!$B$167</f>
        <v/>
      </c>
      <c r="D589" s="23">
        <f>C589*Assumptions!$B$168</f>
        <v/>
      </c>
      <c r="E589" s="23">
        <f>D589*Assumptions!$B$169</f>
        <v/>
      </c>
      <c r="F589" s="23">
        <f>E589*Assumptions!$B$170</f>
        <v/>
      </c>
      <c r="G589" s="23">
        <f>F589*Assumptions!$B$171</f>
        <v/>
      </c>
    </row>
    <row r="590">
      <c r="A590" s="7" t="inlineStr">
        <is>
          <t>Realisation index, cumulative</t>
        </is>
      </c>
      <c r="C590" s="23">
        <f>(1+Assumptions!$B$122*$D$21)</f>
        <v/>
      </c>
      <c r="D590" s="23">
        <f>C590*(1+Assumptions!$B$123*$D$21)</f>
        <v/>
      </c>
      <c r="E590" s="23">
        <f>D590*(1+Assumptions!$B$124*$D$21)</f>
        <v/>
      </c>
      <c r="F590" s="23">
        <f>E590*(1+Assumptions!$B$125*$D$21)</f>
        <v/>
      </c>
      <c r="G590" s="23">
        <f>F590*(1+Assumptions!$B$126*$D$21)</f>
        <v/>
      </c>
    </row>
    <row r="591">
      <c r="A591" s="7" t="inlineStr">
        <is>
          <t xml:space="preserve">  Volume — Base and special oils, mn t</t>
        </is>
      </c>
      <c r="C591" s="23">
        <f>'Segments'!E6*(1+Assumptions!$B$127+DCF!$B$6)</f>
        <v/>
      </c>
      <c r="D591" s="23">
        <f>C591*(1+Assumptions!$B$128+DCF!$B$6)</f>
        <v/>
      </c>
      <c r="E591" s="23">
        <f>D591*(1+Assumptions!$B$129+DCF!$B$6)</f>
        <v/>
      </c>
      <c r="F591" s="23">
        <f>E591*(1+Assumptions!$B$130+DCF!$B$6)</f>
        <v/>
      </c>
      <c r="G591" s="23">
        <f>F591*(1+Assumptions!$B$131+DCF!$B$6)</f>
        <v/>
      </c>
    </row>
    <row r="592">
      <c r="A592" s="7" t="inlineStr">
        <is>
          <t xml:space="preserve">  Volume — Paraffin wax, mn t</t>
        </is>
      </c>
      <c r="C592" s="23">
        <f>'Segments'!E7*(1+Assumptions!$B$132+DCF!$B$6)</f>
        <v/>
      </c>
      <c r="D592" s="23">
        <f>C592*(1+Assumptions!$B$133+DCF!$B$6)</f>
        <v/>
      </c>
      <c r="E592" s="23">
        <f>D592*(1+Assumptions!$B$134+DCF!$B$6)</f>
        <v/>
      </c>
      <c r="F592" s="23">
        <f>E592*(1+Assumptions!$B$135+DCF!$B$6)</f>
        <v/>
      </c>
      <c r="G592" s="23">
        <f>F592*(1+Assumptions!$B$136+DCF!$B$6)</f>
        <v/>
      </c>
    </row>
    <row r="593">
      <c r="A593" s="7" t="inlineStr">
        <is>
          <t xml:space="preserve">  Volume — Gas oil, mn t</t>
        </is>
      </c>
      <c r="C593" s="23">
        <f>'Segments'!E8*(1+Assumptions!$B$137+DCF!$B$6)</f>
        <v/>
      </c>
      <c r="D593" s="23">
        <f>C593*(1+Assumptions!$B$138+DCF!$B$6)</f>
        <v/>
      </c>
      <c r="E593" s="23">
        <f>D593*(1+Assumptions!$B$139+DCF!$B$6)</f>
        <v/>
      </c>
      <c r="F593" s="23">
        <f>E593*(1+Assumptions!$B$140+DCF!$B$6)</f>
        <v/>
      </c>
      <c r="G593" s="23">
        <f>F593*(1+Assumptions!$B$141+DCF!$B$6)</f>
        <v/>
      </c>
    </row>
    <row r="594">
      <c r="A594" s="7" t="inlineStr">
        <is>
          <t xml:space="preserve">  Volume — Naphtha, mn t</t>
        </is>
      </c>
      <c r="C594" s="23">
        <f>'Segments'!E9*(1+Assumptions!$B$142+DCF!$B$6)</f>
        <v/>
      </c>
      <c r="D594" s="23">
        <f>C594*(1+Assumptions!$B$143+DCF!$B$6)</f>
        <v/>
      </c>
      <c r="E594" s="23">
        <f>D594*(1+Assumptions!$B$144+DCF!$B$6)</f>
        <v/>
      </c>
      <c r="F594" s="23">
        <f>E594*(1+Assumptions!$B$145+DCF!$B$6)</f>
        <v/>
      </c>
      <c r="G594" s="23">
        <f>F594*(1+Assumptions!$B$146+DCF!$B$6)</f>
        <v/>
      </c>
    </row>
    <row r="595">
      <c r="A595" s="7" t="inlineStr">
        <is>
          <t xml:space="preserve">  Volume — Liquefied petroleum gas, mn t</t>
        </is>
      </c>
      <c r="C595" s="23">
        <f>'Segments'!E10*(1+Assumptions!$B$147+DCF!$B$6)</f>
        <v/>
      </c>
      <c r="D595" s="23">
        <f>C595*(1+Assumptions!$B$148+DCF!$B$6)</f>
        <v/>
      </c>
      <c r="E595" s="23">
        <f>D595*(1+Assumptions!$B$149+DCF!$B$6)</f>
        <v/>
      </c>
      <c r="F595" s="23">
        <f>E595*(1+Assumptions!$B$150+DCF!$B$6)</f>
        <v/>
      </c>
      <c r="G595" s="23">
        <f>F595*(1+Assumptions!$B$151+DCF!$B$6)</f>
        <v/>
      </c>
    </row>
    <row r="596">
      <c r="A596" s="7" t="inlineStr">
        <is>
          <t xml:space="preserve">  Volume — Fuel oil (mix), mn t</t>
        </is>
      </c>
      <c r="C596" s="23">
        <f>'Segments'!E11*(1+Assumptions!$B$152+DCF!$B$6)</f>
        <v/>
      </c>
      <c r="D596" s="23">
        <f>C596*(1+Assumptions!$B$153+DCF!$B$6)</f>
        <v/>
      </c>
      <c r="E596" s="23">
        <f>D596*(1+Assumptions!$B$154+DCF!$B$6)</f>
        <v/>
      </c>
      <c r="F596" s="23">
        <f>E596*(1+Assumptions!$B$155+DCF!$B$6)</f>
        <v/>
      </c>
      <c r="G596" s="23">
        <f>F596*(1+Assumptions!$B$156+DCF!$B$6)</f>
        <v/>
      </c>
    </row>
    <row r="597">
      <c r="A597" s="7" t="inlineStr">
        <is>
          <t xml:space="preserve">  Volume — Heavy fuel oil, mn t</t>
        </is>
      </c>
      <c r="C597" s="23">
        <f>'Segments'!E12*(1+Assumptions!$B$157+DCF!$B$6)</f>
        <v/>
      </c>
      <c r="D597" s="23">
        <f>C597*(1+Assumptions!$B$158+DCF!$B$6)</f>
        <v/>
      </c>
      <c r="E597" s="23">
        <f>D597*(1+Assumptions!$B$159+DCF!$B$6)</f>
        <v/>
      </c>
      <c r="F597" s="23">
        <f>E597*(1+Assumptions!$B$160+DCF!$B$6)</f>
        <v/>
      </c>
      <c r="G597" s="23">
        <f>F597*(1+Assumptions!$B$161+DCF!$B$6)</f>
        <v/>
      </c>
    </row>
    <row r="598">
      <c r="A598" s="7" t="inlineStr">
        <is>
          <t xml:space="preserve">  Volume — Waste, mn t</t>
        </is>
      </c>
      <c r="C598" s="23">
        <f>'Segments'!E13*(1+Assumptions!$B$162+DCF!$B$6)</f>
        <v/>
      </c>
      <c r="D598" s="23">
        <f>C598*(1+Assumptions!$B$163+DCF!$B$6)</f>
        <v/>
      </c>
      <c r="E598" s="23">
        <f>D598*(1+Assumptions!$B$164+DCF!$B$6)</f>
        <v/>
      </c>
      <c r="F598" s="23">
        <f>E598*(1+Assumptions!$B$165+DCF!$B$6)</f>
        <v/>
      </c>
      <c r="G598" s="23">
        <f>F598*(1+Assumptions!$B$166+DCF!$B$6)</f>
        <v/>
      </c>
    </row>
    <row r="599">
      <c r="A599" s="15" t="inlineStr">
        <is>
          <t>Total volume, mn t</t>
        </is>
      </c>
      <c r="C599" s="36">
        <f>SUM(C591:C598)</f>
        <v/>
      </c>
      <c r="D599" s="36">
        <f>SUM(D591:D598)</f>
        <v/>
      </c>
      <c r="E599" s="36">
        <f>SUM(E591:E598)</f>
        <v/>
      </c>
      <c r="F599" s="36">
        <f>SUM(F591:F598)</f>
        <v/>
      </c>
      <c r="G599" s="36">
        <f>SUM(G591:G598)</f>
        <v/>
      </c>
    </row>
    <row r="600">
      <c r="A600" s="15" t="inlineStr">
        <is>
          <t>REVENUE</t>
        </is>
      </c>
      <c r="C600" s="37">
        <f>C591*'Segments'!$F$6*C590+C592*'Segments'!$F$7*C590+C593*'Segments'!$F$8*C590+C594*'Segments'!$F$9*C590+C595*'Segments'!$F$10*C590+C596*'Segments'!$F$11*C590+C597*'Segments'!$F$12*C590+C598*'Segments'!$F$13*C590</f>
        <v/>
      </c>
      <c r="D600" s="37">
        <f>D591*'Segments'!$F$6*D590+D592*'Segments'!$F$7*D590+D593*'Segments'!$F$8*D590+D594*'Segments'!$F$9*D590+D595*'Segments'!$F$10*D590+D596*'Segments'!$F$11*D590+D597*'Segments'!$F$12*D590+D598*'Segments'!$F$13*D590</f>
        <v/>
      </c>
      <c r="E600" s="37">
        <f>E591*'Segments'!$F$6*E590+E592*'Segments'!$F$7*E590+E593*'Segments'!$F$8*E590+E594*'Segments'!$F$9*E590+E595*'Segments'!$F$10*E590+E596*'Segments'!$F$11*E590+E597*'Segments'!$F$12*E590+E598*'Segments'!$F$13*E590</f>
        <v/>
      </c>
      <c r="F600" s="37">
        <f>F591*'Segments'!$F$6*F590+F592*'Segments'!$F$7*F590+F593*'Segments'!$F$8*F590+F594*'Segments'!$F$9*F590+F595*'Segments'!$F$10*F590+F596*'Segments'!$F$11*F590+F597*'Segments'!$F$12*F590+F598*'Segments'!$F$13*F590</f>
        <v/>
      </c>
      <c r="G600" s="37">
        <f>G591*'Segments'!$F$6*G590+G592*'Segments'!$F$7*G590+G593*'Segments'!$F$8*G590+G594*'Segments'!$F$9*G590+G595*'Segments'!$F$10*G590+G596*'Segments'!$F$11*G590+G597*'Segments'!$F$12*G590+G598*'Segments'!$F$13*G590</f>
        <v/>
      </c>
    </row>
    <row r="601">
      <c r="A601" s="7" t="inlineStr">
        <is>
          <t>Cost of sales</t>
        </is>
      </c>
      <c r="C601" s="18">
        <f>C591*('Segments'!$D$27*C590*Assumptions!$B$109+'Segments'!$B$27*(0.4983251709*C589+0.4357405005*C589+0.0330936548*C590+0.0328406739))+C592*('Segments'!$D$28*C590*Assumptions!$B$109+'Segments'!$B$28*(0.4983251709*C589+0.4357405005*C589+0.0330936548*C590+0.0328406739))+C593*('Segments'!$D$29*C590*Assumptions!$B$109+'Segments'!$B$29*(0.4983251709*C589+0.4357405005*C589+0.0330936548*C590+0.0328406739))+C594*('Segments'!$D$30*C590*Assumptions!$B$109+'Segments'!$B$30*(0.4983251709*C589+0.4357405005*C589+0.0330936548*C590+0.0328406739))+C595*('Segments'!$D$31*C590*Assumptions!$B$109+'Segments'!$B$31*(0.4983251709*C589+0.4357405005*C589+0.0330936548*C590+0.0328406739))+C596*('Segments'!$D$32*C590*Assumptions!$B$109+'Segments'!$B$32*(0.4983251709*C589+0.4357405005*C589+0.0330936548*C590+0.0328406739))+C597*('Segments'!$D$33*C590*Assumptions!$B$109+'Segments'!$B$33*(0.4983251709*C589+0.4357405005*C589+0.0330936548*C590+0.0328406739))+C598*('Segments'!$D$34*C590*Assumptions!$B$109+'Segments'!$B$34*(0.4983251709*C589+0.4357405005*C589+0.0330936548*C590+0.0328406739))</f>
        <v/>
      </c>
      <c r="D601" s="18">
        <f>D591*('Segments'!$D$27*D590*Assumptions!$B$109+'Segments'!$B$27*(0.4983251709*D589+0.4357405005*D589+0.0330936548*D590+0.0328406739))+D592*('Segments'!$D$28*D590*Assumptions!$B$109+'Segments'!$B$28*(0.4983251709*D589+0.4357405005*D589+0.0330936548*D590+0.0328406739))+D593*('Segments'!$D$29*D590*Assumptions!$B$109+'Segments'!$B$29*(0.4983251709*D589+0.4357405005*D589+0.0330936548*D590+0.0328406739))+D594*('Segments'!$D$30*D590*Assumptions!$B$109+'Segments'!$B$30*(0.4983251709*D589+0.4357405005*D589+0.0330936548*D590+0.0328406739))+D595*('Segments'!$D$31*D590*Assumptions!$B$109+'Segments'!$B$31*(0.4983251709*D589+0.4357405005*D589+0.0330936548*D590+0.0328406739))+D596*('Segments'!$D$32*D590*Assumptions!$B$109+'Segments'!$B$32*(0.4983251709*D589+0.4357405005*D589+0.0330936548*D590+0.0328406739))+D597*('Segments'!$D$33*D590*Assumptions!$B$109+'Segments'!$B$33*(0.4983251709*D589+0.4357405005*D589+0.0330936548*D590+0.0328406739))+D598*('Segments'!$D$34*D590*Assumptions!$B$109+'Segments'!$B$34*(0.4983251709*D589+0.4357405005*D589+0.0330936548*D590+0.0328406739))</f>
        <v/>
      </c>
      <c r="E601" s="18">
        <f>E591*('Segments'!$D$27*E590*Assumptions!$B$109+'Segments'!$B$27*(0.4983251709*E589+0.4357405005*E589+0.0330936548*E590+0.0328406739))+E592*('Segments'!$D$28*E590*Assumptions!$B$109+'Segments'!$B$28*(0.4983251709*E589+0.4357405005*E589+0.0330936548*E590+0.0328406739))+E593*('Segments'!$D$29*E590*Assumptions!$B$109+'Segments'!$B$29*(0.4983251709*E589+0.4357405005*E589+0.0330936548*E590+0.0328406739))+E594*('Segments'!$D$30*E590*Assumptions!$B$109+'Segments'!$B$30*(0.4983251709*E589+0.4357405005*E589+0.0330936548*E590+0.0328406739))+E595*('Segments'!$D$31*E590*Assumptions!$B$109+'Segments'!$B$31*(0.4983251709*E589+0.4357405005*E589+0.0330936548*E590+0.0328406739))+E596*('Segments'!$D$32*E590*Assumptions!$B$109+'Segments'!$B$32*(0.4983251709*E589+0.4357405005*E589+0.0330936548*E590+0.0328406739))+E597*('Segments'!$D$33*E590*Assumptions!$B$109+'Segments'!$B$33*(0.4983251709*E589+0.4357405005*E589+0.0330936548*E590+0.0328406739))+E598*('Segments'!$D$34*E590*Assumptions!$B$109+'Segments'!$B$34*(0.4983251709*E589+0.4357405005*E589+0.0330936548*E590+0.0328406739))</f>
        <v/>
      </c>
      <c r="F601" s="18">
        <f>F591*('Segments'!$D$27*F590*Assumptions!$B$109+'Segments'!$B$27*(0.4983251709*F589+0.4357405005*F589+0.0330936548*F590+0.0328406739))+F592*('Segments'!$D$28*F590*Assumptions!$B$109+'Segments'!$B$28*(0.4983251709*F589+0.4357405005*F589+0.0330936548*F590+0.0328406739))+F593*('Segments'!$D$29*F590*Assumptions!$B$109+'Segments'!$B$29*(0.4983251709*F589+0.4357405005*F589+0.0330936548*F590+0.0328406739))+F594*('Segments'!$D$30*F590*Assumptions!$B$109+'Segments'!$B$30*(0.4983251709*F589+0.4357405005*F589+0.0330936548*F590+0.0328406739))+F595*('Segments'!$D$31*F590*Assumptions!$B$109+'Segments'!$B$31*(0.4983251709*F589+0.4357405005*F589+0.0330936548*F590+0.0328406739))+F596*('Segments'!$D$32*F590*Assumptions!$B$109+'Segments'!$B$32*(0.4983251709*F589+0.4357405005*F589+0.0330936548*F590+0.0328406739))+F597*('Segments'!$D$33*F590*Assumptions!$B$109+'Segments'!$B$33*(0.4983251709*F589+0.4357405005*F589+0.0330936548*F590+0.0328406739))+F598*('Segments'!$D$34*F590*Assumptions!$B$109+'Segments'!$B$34*(0.4983251709*F589+0.4357405005*F589+0.0330936548*F590+0.0328406739))</f>
        <v/>
      </c>
      <c r="G601" s="18">
        <f>G591*('Segments'!$D$27*G590*Assumptions!$B$109+'Segments'!$B$27*(0.4983251709*G589+0.4357405005*G589+0.0330936548*G590+0.0328406739))+G592*('Segments'!$D$28*G590*Assumptions!$B$109+'Segments'!$B$28*(0.4983251709*G589+0.4357405005*G589+0.0330936548*G590+0.0328406739))+G593*('Segments'!$D$29*G590*Assumptions!$B$109+'Segments'!$B$29*(0.4983251709*G589+0.4357405005*G589+0.0330936548*G590+0.0328406739))+G594*('Segments'!$D$30*G590*Assumptions!$B$109+'Segments'!$B$30*(0.4983251709*G589+0.4357405005*G589+0.0330936548*G590+0.0328406739))+G595*('Segments'!$D$31*G590*Assumptions!$B$109+'Segments'!$B$31*(0.4983251709*G589+0.4357405005*G589+0.0330936548*G590+0.0328406739))+G596*('Segments'!$D$32*G590*Assumptions!$B$109+'Segments'!$B$32*(0.4983251709*G589+0.4357405005*G589+0.0330936548*G590+0.0328406739))+G597*('Segments'!$D$33*G590*Assumptions!$B$109+'Segments'!$B$33*(0.4983251709*G589+0.4357405005*G589+0.0330936548*G590+0.0328406739))+G598*('Segments'!$D$34*G590*Assumptions!$B$109+'Segments'!$B$34*(0.4983251709*G589+0.4357405005*G589+0.0330936548*G590+0.0328406739))</f>
        <v/>
      </c>
    </row>
    <row r="602">
      <c r="A602" s="15" t="inlineStr">
        <is>
          <t>GROSS PROFIT</t>
        </is>
      </c>
      <c r="C602" s="37">
        <f>C600-C601+DCF!$B$7*C600</f>
        <v/>
      </c>
      <c r="D602" s="37">
        <f>D600-D601+DCF!$B$7*D600</f>
        <v/>
      </c>
      <c r="E602" s="37">
        <f>E600-E601+DCF!$B$7*E600</f>
        <v/>
      </c>
      <c r="F602" s="37">
        <f>F600-F601+DCF!$B$7*F600</f>
        <v/>
      </c>
      <c r="G602" s="37">
        <f>G600-G601+DCF!$B$7*G600</f>
        <v/>
      </c>
    </row>
    <row r="603">
      <c r="A603" s="7" t="inlineStr">
        <is>
          <t>Gross margin</t>
        </is>
      </c>
      <c r="C603" s="24">
        <f>C602/C600</f>
        <v/>
      </c>
      <c r="D603" s="24">
        <f>D602/D600</f>
        <v/>
      </c>
      <c r="E603" s="24">
        <f>E602/E600</f>
        <v/>
      </c>
      <c r="F603" s="24">
        <f>F602/F600</f>
        <v/>
      </c>
      <c r="G603" s="24">
        <f>G602/G600</f>
        <v/>
      </c>
    </row>
    <row r="604">
      <c r="A604" s="7" t="inlineStr">
        <is>
          <t>Operating expense</t>
        </is>
      </c>
      <c r="C604" s="18">
        <f>('Income Statement'!$B$28*C589)+('Income Statement'!$B$29*C589*C599/'Segments'!$E$14)+('Income Statement'!$B$30*C589)+('Income Statement'!$B$31*C589)</f>
        <v/>
      </c>
      <c r="D604" s="18">
        <f>('Income Statement'!$B$28*D589)+('Income Statement'!$B$29*D589*D599/'Segments'!$E$14)+('Income Statement'!$B$30*D589)+('Income Statement'!$B$31*D589)</f>
        <v/>
      </c>
      <c r="E604" s="18">
        <f>('Income Statement'!$B$28*E589)+('Income Statement'!$B$29*E589*E599/'Segments'!$E$14)+('Income Statement'!$B$30*E589)+('Income Statement'!$B$31*E589)</f>
        <v/>
      </c>
      <c r="F604" s="18">
        <f>('Income Statement'!$B$28*F589)+('Income Statement'!$B$29*F589*F599/'Segments'!$E$14)+('Income Statement'!$B$30*F589)+('Income Statement'!$B$31*F589)</f>
        <v/>
      </c>
      <c r="G604" s="18">
        <f>('Income Statement'!$B$28*G589)+('Income Statement'!$B$29*G589*G599/'Segments'!$E$14)+('Income Statement'!$B$30*G589)+('Income Statement'!$B$31*G589)</f>
        <v/>
      </c>
    </row>
    <row r="605">
      <c r="A605" s="15" t="inlineStr">
        <is>
          <t>EBITDA</t>
        </is>
      </c>
      <c r="C605" s="37">
        <f>C602-C604</f>
        <v/>
      </c>
      <c r="D605" s="37">
        <f>D602-D604</f>
        <v/>
      </c>
      <c r="E605" s="37">
        <f>E602-E604</f>
        <v/>
      </c>
      <c r="F605" s="37">
        <f>F602-F604</f>
        <v/>
      </c>
      <c r="G605" s="37">
        <f>G602-G604</f>
        <v/>
      </c>
    </row>
    <row r="606">
      <c r="A606" s="7" t="inlineStr">
        <is>
          <t>Capital expenditure — maintenance + growth</t>
        </is>
      </c>
      <c r="C606" s="18">
        <f>'Income Statement'!$B$43*C589+MAX(C599-'Segments'!$E$14,0)*2100.379938*C589</f>
        <v/>
      </c>
      <c r="D606" s="18">
        <f>'Income Statement'!$B$43*D589+MAX(D599-C599,0)*2100.379938*D589</f>
        <v/>
      </c>
      <c r="E606" s="18">
        <f>'Income Statement'!$B$43*E589+MAX(E599-D599,0)*2100.379938*E589</f>
        <v/>
      </c>
      <c r="F606" s="18">
        <f>'Income Statement'!$B$43*F589+MAX(F599-E599,0)*2100.379938*F589</f>
        <v/>
      </c>
      <c r="G606" s="18">
        <f>'Income Statement'!$B$43*G589+MAX(G599-F599,0)*2100.379938*G589</f>
        <v/>
      </c>
    </row>
    <row r="607">
      <c r="A607" s="7" t="inlineStr">
        <is>
          <t>Fixed assets at cost, closing</t>
        </is>
      </c>
      <c r="C607" s="18">
        <f>(Assumptions!$B$91+Assumptions!$B$92)/10^6+C606</f>
        <v/>
      </c>
      <c r="D607" s="18">
        <f>C607+D606</f>
        <v/>
      </c>
      <c r="E607" s="18">
        <f>D607+E606</f>
        <v/>
      </c>
      <c r="F607" s="18">
        <f>E607+F606</f>
        <v/>
      </c>
      <c r="G607" s="18">
        <f>F607+G606</f>
        <v/>
      </c>
    </row>
    <row r="608">
      <c r="A608" s="7" t="inlineStr">
        <is>
          <t>Depreciation — rolls off the asset register</t>
        </is>
      </c>
      <c r="C608" s="18">
        <f>(Assumptions!$B$91+Assumptions!$B$92)/10^6/'Income Statement'!$B$42</f>
        <v/>
      </c>
      <c r="D608" s="18">
        <f>C607/'Income Statement'!$B$42</f>
        <v/>
      </c>
      <c r="E608" s="18">
        <f>D607/'Income Statement'!$B$42</f>
        <v/>
      </c>
      <c r="F608" s="18">
        <f>E607/'Income Statement'!$B$42</f>
        <v/>
      </c>
      <c r="G608" s="18">
        <f>F607/'Income Statement'!$B$42</f>
        <v/>
      </c>
    </row>
    <row r="609">
      <c r="A609" s="7" t="inlineStr">
        <is>
          <t>Fixed assets, net book, closing</t>
        </is>
      </c>
      <c r="C609" s="18">
        <f>(Assumptions!$B$90+Assumptions!$B$92)/10^6+C606-C608</f>
        <v/>
      </c>
      <c r="D609" s="18">
        <f>C609+D606-D608</f>
        <v/>
      </c>
      <c r="E609" s="18">
        <f>D609+E606-E608</f>
        <v/>
      </c>
      <c r="F609" s="18">
        <f>E609+F606-F608</f>
        <v/>
      </c>
      <c r="G609" s="18">
        <f>F609+G606-G608</f>
        <v/>
      </c>
    </row>
    <row r="610">
      <c r="A610" s="15" t="inlineStr">
        <is>
          <t>EBIT</t>
        </is>
      </c>
      <c r="C610" s="37">
        <f>C605-C608</f>
        <v/>
      </c>
      <c r="D610" s="37">
        <f>D605-D608</f>
        <v/>
      </c>
      <c r="E610" s="37">
        <f>E605-E608</f>
        <v/>
      </c>
      <c r="F610" s="37">
        <f>F605-F608</f>
        <v/>
      </c>
      <c r="G610" s="37">
        <f>G605-G608</f>
        <v/>
      </c>
    </row>
    <row r="611">
      <c r="A611" s="7" t="inlineStr">
        <is>
          <t>NOPAT before the profit share</t>
        </is>
      </c>
      <c r="C611" s="18">
        <f>C610*(1-Assumptions!$B$108)</f>
        <v/>
      </c>
      <c r="D611" s="18">
        <f>D610*(1-Assumptions!$B$108)</f>
        <v/>
      </c>
      <c r="E611" s="18">
        <f>E610*(1-Assumptions!$B$108)</f>
        <v/>
      </c>
      <c r="F611" s="18">
        <f>F610*(1-Assumptions!$B$108)</f>
        <v/>
      </c>
      <c r="G611" s="18">
        <f>G610*(1-Assumptions!$B$108)</f>
        <v/>
      </c>
    </row>
    <row r="612">
      <c r="A612" s="7" t="inlineStr">
        <is>
          <t xml:space="preserve">  less employees' profit share and board bonuses</t>
        </is>
      </c>
      <c r="C612" s="18">
        <f>MAX(C611,0)*'Income Statement'!$B$40</f>
        <v/>
      </c>
      <c r="D612" s="18">
        <f>MAX(D611,0)*'Income Statement'!$B$40</f>
        <v/>
      </c>
      <c r="E612" s="18">
        <f>MAX(E611,0)*'Income Statement'!$B$40</f>
        <v/>
      </c>
      <c r="F612" s="18">
        <f>MAX(F611,0)*'Income Statement'!$B$40</f>
        <v/>
      </c>
      <c r="G612" s="18">
        <f>MAX(G611,0)*'Income Statement'!$B$40</f>
        <v/>
      </c>
    </row>
    <row r="613">
      <c r="A613" s="15" t="inlineStr">
        <is>
          <t>NOPAT</t>
        </is>
      </c>
      <c r="C613" s="37">
        <f>C611-C612</f>
        <v/>
      </c>
      <c r="D613" s="37">
        <f>D611-D612</f>
        <v/>
      </c>
      <c r="E613" s="37">
        <f>E611-E612</f>
        <v/>
      </c>
      <c r="F613" s="37">
        <f>F611-F612</f>
        <v/>
      </c>
      <c r="G613" s="37">
        <f>G611-G612</f>
        <v/>
      </c>
    </row>
    <row r="614">
      <c r="A614" s="7" t="inlineStr">
        <is>
          <t>Net working capital — on days</t>
        </is>
      </c>
      <c r="C614" s="18">
        <f>'Income Statement'!$B$44*DCF!$B$9/365*C601+'Income Statement'!$B$45*DCF!$B$9/365*C600-'Income Statement'!$B$46*DCF!$B$9/365*C601</f>
        <v/>
      </c>
      <c r="D614" s="18">
        <f>'Income Statement'!$B$44*DCF!$B$9/365*D601+'Income Statement'!$B$45*DCF!$B$9/365*D600-'Income Statement'!$B$46*DCF!$B$9/365*D601</f>
        <v/>
      </c>
      <c r="E614" s="18">
        <f>'Income Statement'!$B$44*DCF!$B$9/365*E601+'Income Statement'!$B$45*DCF!$B$9/365*E600-'Income Statement'!$B$46*DCF!$B$9/365*E601</f>
        <v/>
      </c>
      <c r="F614" s="18">
        <f>'Income Statement'!$B$44*DCF!$B$9/365*F601+'Income Statement'!$B$45*DCF!$B$9/365*F600-'Income Statement'!$B$46*DCF!$B$9/365*F601</f>
        <v/>
      </c>
      <c r="G614" s="18">
        <f>'Income Statement'!$B$44*DCF!$B$9/365*G601+'Income Statement'!$B$45*DCF!$B$9/365*G600-'Income Statement'!$B$46*DCF!$B$9/365*G601</f>
        <v/>
      </c>
    </row>
    <row r="615">
      <c r="A615" s="7" t="inlineStr">
        <is>
          <t xml:space="preserve">  change in working capital</t>
        </is>
      </c>
      <c r="C615" s="18">
        <f>C614-('Income Statement'!$B$44/365*'Income Statement'!$B$21+'Income Statement'!$B$45/365*'Income Statement'!$B$19-'Income Statement'!$B$46/365*'Income Statement'!$B$21)</f>
        <v/>
      </c>
      <c r="D615" s="18">
        <f>D614-C614</f>
        <v/>
      </c>
      <c r="E615" s="18">
        <f>E614-D614</f>
        <v/>
      </c>
      <c r="F615" s="18">
        <f>F614-E614</f>
        <v/>
      </c>
      <c r="G615" s="18">
        <f>G614-F614</f>
        <v/>
      </c>
    </row>
    <row r="616">
      <c r="A616" s="15" t="inlineStr">
        <is>
          <t>FREE CASH FLOW TO THE FIRM</t>
        </is>
      </c>
      <c r="C616" s="37">
        <f>C613+C608-C606-C615</f>
        <v/>
      </c>
      <c r="D616" s="37">
        <f>D613+D608-D606-D615</f>
        <v/>
      </c>
      <c r="E616" s="37">
        <f>E613+E608-E606-E615</f>
        <v/>
      </c>
      <c r="F616" s="37">
        <f>F613+F608-F606-F615</f>
        <v/>
      </c>
      <c r="G616" s="37">
        <f>G613+G608-G606-G615</f>
        <v/>
      </c>
    </row>
    <row r="617">
      <c r="A617" s="7" t="inlineStr">
        <is>
          <t>Glide fraction</t>
        </is>
      </c>
      <c r="C617" s="23">
        <f>0.0000000000</f>
        <v/>
      </c>
      <c r="D617" s="23">
        <f>0.3571428571</f>
        <v/>
      </c>
      <c r="E617" s="23">
        <f>0.6428571429</f>
        <v/>
      </c>
      <c r="F617" s="23">
        <f>0.8571428571</f>
        <v/>
      </c>
      <c r="G617" s="23">
        <f>1.0000000000</f>
        <v/>
      </c>
    </row>
    <row r="618">
      <c r="A618" s="7" t="inlineStr">
        <is>
          <t>Forward cost of capital</t>
        </is>
      </c>
      <c r="C618" s="24">
        <f>DCF!$B$14-(DCF!$B$14-DCF!$B$17)*C617</f>
        <v/>
      </c>
      <c r="D618" s="24">
        <f>DCF!$B$14-(DCF!$B$14-DCF!$B$17)*D617</f>
        <v/>
      </c>
      <c r="E618" s="24">
        <f>DCF!$B$14-(DCF!$B$14-DCF!$B$17)*E617</f>
        <v/>
      </c>
      <c r="F618" s="24">
        <f>DCF!$B$14-(DCF!$B$14-DCF!$B$17)*F617</f>
        <v/>
      </c>
      <c r="G618" s="24">
        <f>DCF!$B$14-(DCF!$B$14-DCF!$B$17)*G617</f>
        <v/>
      </c>
    </row>
    <row r="619">
      <c r="A619" s="7" t="inlineStr">
        <is>
          <t>Cumulative discount factor</t>
        </is>
      </c>
      <c r="C619" s="40">
        <f>1/(1+C618)</f>
        <v/>
      </c>
      <c r="D619" s="40">
        <f>C619/(1+D618)</f>
        <v/>
      </c>
      <c r="E619" s="40">
        <f>D619/(1+E618)</f>
        <v/>
      </c>
      <c r="F619" s="40">
        <f>E619/(1+F618)</f>
        <v/>
      </c>
      <c r="G619" s="40">
        <f>F619/(1+G618)</f>
        <v/>
      </c>
    </row>
    <row r="620">
      <c r="A620" s="7" t="inlineStr">
        <is>
          <t>Present value</t>
        </is>
      </c>
      <c r="C620" s="18">
        <f>C616*C619</f>
        <v/>
      </c>
      <c r="D620" s="18">
        <f>D616*D619</f>
        <v/>
      </c>
      <c r="E620" s="18">
        <f>E616*E619</f>
        <v/>
      </c>
      <c r="F620" s="18">
        <f>F616*F619</f>
        <v/>
      </c>
      <c r="G620" s="18">
        <f>G616*G619</f>
        <v/>
      </c>
    </row>
    <row r="621">
      <c r="A621" s="15" t="inlineStr">
        <is>
          <t>PV of the explicit window</t>
        </is>
      </c>
      <c r="B621" s="37">
        <f>SUM(C620:G620)</f>
        <v/>
      </c>
      <c r="C621" s="18">
        <f>C614+C607</f>
        <v/>
      </c>
      <c r="D621" s="18">
        <f>D614+D607</f>
        <v/>
      </c>
      <c r="E621" s="18">
        <f>E614+E607</f>
        <v/>
      </c>
      <c r="F621" s="18">
        <f>F614+F607</f>
        <v/>
      </c>
      <c r="G621" s="18">
        <f>G614+G607</f>
        <v/>
      </c>
    </row>
    <row r="622">
      <c r="A622" s="7" t="inlineStr">
        <is>
          <t>Terminal return on invested capital, at REPLACEMENT cost</t>
        </is>
      </c>
      <c r="B622" s="24">
        <f>G613*(1+Assumptions!$B$110)/G621</f>
        <v/>
      </c>
    </row>
    <row r="623">
      <c r="A623" s="7" t="inlineStr">
        <is>
          <t>Required reinvestment = growth / return</t>
        </is>
      </c>
      <c r="B623" s="24">
        <f>MIN(Assumptions!$B$110/B622,0.95)</f>
        <v/>
      </c>
    </row>
    <row r="624">
      <c r="A624" s="7" t="inlineStr">
        <is>
          <t>Terminal value</t>
        </is>
      </c>
      <c r="B624" s="18">
        <f>G613*(1+Assumptions!$B$110)*(1-B623)/MAX(DCF!$B$17-Assumptions!$B$110,0.02)</f>
        <v/>
      </c>
    </row>
    <row r="625">
      <c r="A625" s="7" t="inlineStr">
        <is>
          <t>PV of the terminal block</t>
        </is>
      </c>
      <c r="B625" s="18">
        <f>B624*G619</f>
        <v/>
      </c>
    </row>
    <row r="626">
      <c r="A626" s="15" t="inlineStr">
        <is>
          <t>ENTERPRISE VALUE</t>
        </is>
      </c>
      <c r="B626" s="37">
        <f>B621+B625</f>
        <v/>
      </c>
    </row>
    <row r="627">
      <c r="A627" s="7" t="inlineStr">
        <is>
          <t>plus net cash</t>
        </is>
      </c>
      <c r="B627" s="18">
        <f>(Assumptions!$B$100-Assumptions!$B$103-Assumptions!$B$104)/10^6</f>
        <v/>
      </c>
    </row>
    <row r="628">
      <c r="A628" s="7" t="inlineStr">
        <is>
          <t>Enterprise value including cash</t>
        </is>
      </c>
      <c r="B628" s="18">
        <f>B626+B627</f>
        <v/>
      </c>
    </row>
    <row r="629">
      <c r="A629" s="7" t="inlineStr">
        <is>
          <t>less minority — on the WHOLE enterprise, cash included</t>
        </is>
      </c>
      <c r="B629" s="18">
        <f>B628*'Income Statement'!$B$41</f>
        <v/>
      </c>
    </row>
    <row r="630">
      <c r="A630" s="7" t="inlineStr">
        <is>
          <t>less the tax-disputes provision</t>
        </is>
      </c>
      <c r="B630" s="18">
        <f>Assumptions!$B$99/10^6</f>
        <v/>
      </c>
    </row>
    <row r="631">
      <c r="A631" s="7" t="inlineStr">
        <is>
          <t>less dividends payable — declared, out of working capital</t>
        </is>
      </c>
      <c r="B631" s="18">
        <f>Assumptions!$B$98/10^6</f>
        <v/>
      </c>
    </row>
    <row r="632">
      <c r="A632" s="7" t="inlineStr">
        <is>
          <t>plus non-operating investments and pledged deposits</t>
        </is>
      </c>
      <c r="B632" s="18">
        <f>(Assumptions!$B$102+Assumptions!$B$101)/10^6</f>
        <v/>
      </c>
    </row>
    <row r="633">
      <c r="A633" s="15" t="inlineStr">
        <is>
          <t>EQUITY ATTRIBUTABLE</t>
        </is>
      </c>
      <c r="B633" s="37">
        <f>B628-B629-B630-B631+B632</f>
        <v/>
      </c>
    </row>
    <row r="634">
      <c r="A634" s="15" t="inlineStr">
        <is>
          <t>VALUE PER SHARE, EGP</t>
        </is>
      </c>
      <c r="B634" s="22">
        <f>B633/Assumptions!$B$8</f>
        <v/>
      </c>
    </row>
    <row r="637">
      <c r="A637" s="6" t="inlineStr">
        <is>
          <t>Realisation path, as a multiple of the assumed path — 1.00x</t>
        </is>
      </c>
      <c r="B637" s="6" t="inlineStr">
        <is>
          <t>2026E</t>
        </is>
      </c>
      <c r="C637" s="6" t="inlineStr">
        <is>
          <t>2027E</t>
        </is>
      </c>
      <c r="D637" s="6" t="inlineStr">
        <is>
          <t>2028E</t>
        </is>
      </c>
      <c r="E637" s="6" t="inlineStr">
        <is>
          <t>2029E</t>
        </is>
      </c>
      <c r="F637" s="6" t="inlineStr">
        <is>
          <t>2030E</t>
        </is>
      </c>
    </row>
    <row r="638">
      <c r="A638" s="7" t="inlineStr">
        <is>
          <t>Inflation index, cumulative</t>
        </is>
      </c>
      <c r="C638" s="23">
        <f>Assumptions!$B$167</f>
        <v/>
      </c>
      <c r="D638" s="23">
        <f>C638*Assumptions!$B$168</f>
        <v/>
      </c>
      <c r="E638" s="23">
        <f>D638*Assumptions!$B$169</f>
        <v/>
      </c>
      <c r="F638" s="23">
        <f>E638*Assumptions!$B$170</f>
        <v/>
      </c>
      <c r="G638" s="23">
        <f>F638*Assumptions!$B$171</f>
        <v/>
      </c>
    </row>
    <row r="639">
      <c r="A639" s="7" t="inlineStr">
        <is>
          <t>Realisation index, cumulative</t>
        </is>
      </c>
      <c r="C639" s="23">
        <f>(1+Assumptions!$B$122*$D$22)</f>
        <v/>
      </c>
      <c r="D639" s="23">
        <f>C639*(1+Assumptions!$B$123*$D$22)</f>
        <v/>
      </c>
      <c r="E639" s="23">
        <f>D639*(1+Assumptions!$B$124*$D$22)</f>
        <v/>
      </c>
      <c r="F639" s="23">
        <f>E639*(1+Assumptions!$B$125*$D$22)</f>
        <v/>
      </c>
      <c r="G639" s="23">
        <f>F639*(1+Assumptions!$B$126*$D$22)</f>
        <v/>
      </c>
    </row>
    <row r="640">
      <c r="A640" s="7" t="inlineStr">
        <is>
          <t xml:space="preserve">  Volume — Base and special oils, mn t</t>
        </is>
      </c>
      <c r="C640" s="23">
        <f>'Segments'!E6*(1+Assumptions!$B$127+DCF!$B$6)</f>
        <v/>
      </c>
      <c r="D640" s="23">
        <f>C640*(1+Assumptions!$B$128+DCF!$B$6)</f>
        <v/>
      </c>
      <c r="E640" s="23">
        <f>D640*(1+Assumptions!$B$129+DCF!$B$6)</f>
        <v/>
      </c>
      <c r="F640" s="23">
        <f>E640*(1+Assumptions!$B$130+DCF!$B$6)</f>
        <v/>
      </c>
      <c r="G640" s="23">
        <f>F640*(1+Assumptions!$B$131+DCF!$B$6)</f>
        <v/>
      </c>
    </row>
    <row r="641">
      <c r="A641" s="7" t="inlineStr">
        <is>
          <t xml:space="preserve">  Volume — Paraffin wax, mn t</t>
        </is>
      </c>
      <c r="C641" s="23">
        <f>'Segments'!E7*(1+Assumptions!$B$132+DCF!$B$6)</f>
        <v/>
      </c>
      <c r="D641" s="23">
        <f>C641*(1+Assumptions!$B$133+DCF!$B$6)</f>
        <v/>
      </c>
      <c r="E641" s="23">
        <f>D641*(1+Assumptions!$B$134+DCF!$B$6)</f>
        <v/>
      </c>
      <c r="F641" s="23">
        <f>E641*(1+Assumptions!$B$135+DCF!$B$6)</f>
        <v/>
      </c>
      <c r="G641" s="23">
        <f>F641*(1+Assumptions!$B$136+DCF!$B$6)</f>
        <v/>
      </c>
    </row>
    <row r="642">
      <c r="A642" s="7" t="inlineStr">
        <is>
          <t xml:space="preserve">  Volume — Gas oil, mn t</t>
        </is>
      </c>
      <c r="C642" s="23">
        <f>'Segments'!E8*(1+Assumptions!$B$137+DCF!$B$6)</f>
        <v/>
      </c>
      <c r="D642" s="23">
        <f>C642*(1+Assumptions!$B$138+DCF!$B$6)</f>
        <v/>
      </c>
      <c r="E642" s="23">
        <f>D642*(1+Assumptions!$B$139+DCF!$B$6)</f>
        <v/>
      </c>
      <c r="F642" s="23">
        <f>E642*(1+Assumptions!$B$140+DCF!$B$6)</f>
        <v/>
      </c>
      <c r="G642" s="23">
        <f>F642*(1+Assumptions!$B$141+DCF!$B$6)</f>
        <v/>
      </c>
    </row>
    <row r="643">
      <c r="A643" s="7" t="inlineStr">
        <is>
          <t xml:space="preserve">  Volume — Naphtha, mn t</t>
        </is>
      </c>
      <c r="C643" s="23">
        <f>'Segments'!E9*(1+Assumptions!$B$142+DCF!$B$6)</f>
        <v/>
      </c>
      <c r="D643" s="23">
        <f>C643*(1+Assumptions!$B$143+DCF!$B$6)</f>
        <v/>
      </c>
      <c r="E643" s="23">
        <f>D643*(1+Assumptions!$B$144+DCF!$B$6)</f>
        <v/>
      </c>
      <c r="F643" s="23">
        <f>E643*(1+Assumptions!$B$145+DCF!$B$6)</f>
        <v/>
      </c>
      <c r="G643" s="23">
        <f>F643*(1+Assumptions!$B$146+DCF!$B$6)</f>
        <v/>
      </c>
    </row>
    <row r="644">
      <c r="A644" s="7" t="inlineStr">
        <is>
          <t xml:space="preserve">  Volume — Liquefied petroleum gas, mn t</t>
        </is>
      </c>
      <c r="C644" s="23">
        <f>'Segments'!E10*(1+Assumptions!$B$147+DCF!$B$6)</f>
        <v/>
      </c>
      <c r="D644" s="23">
        <f>C644*(1+Assumptions!$B$148+DCF!$B$6)</f>
        <v/>
      </c>
      <c r="E644" s="23">
        <f>D644*(1+Assumptions!$B$149+DCF!$B$6)</f>
        <v/>
      </c>
      <c r="F644" s="23">
        <f>E644*(1+Assumptions!$B$150+DCF!$B$6)</f>
        <v/>
      </c>
      <c r="G644" s="23">
        <f>F644*(1+Assumptions!$B$151+DCF!$B$6)</f>
        <v/>
      </c>
    </row>
    <row r="645">
      <c r="A645" s="7" t="inlineStr">
        <is>
          <t xml:space="preserve">  Volume — Fuel oil (mix), mn t</t>
        </is>
      </c>
      <c r="C645" s="23">
        <f>'Segments'!E11*(1+Assumptions!$B$152+DCF!$B$6)</f>
        <v/>
      </c>
      <c r="D645" s="23">
        <f>C645*(1+Assumptions!$B$153+DCF!$B$6)</f>
        <v/>
      </c>
      <c r="E645" s="23">
        <f>D645*(1+Assumptions!$B$154+DCF!$B$6)</f>
        <v/>
      </c>
      <c r="F645" s="23">
        <f>E645*(1+Assumptions!$B$155+DCF!$B$6)</f>
        <v/>
      </c>
      <c r="G645" s="23">
        <f>F645*(1+Assumptions!$B$156+DCF!$B$6)</f>
        <v/>
      </c>
    </row>
    <row r="646">
      <c r="A646" s="7" t="inlineStr">
        <is>
          <t xml:space="preserve">  Volume — Heavy fuel oil, mn t</t>
        </is>
      </c>
      <c r="C646" s="23">
        <f>'Segments'!E12*(1+Assumptions!$B$157+DCF!$B$6)</f>
        <v/>
      </c>
      <c r="D646" s="23">
        <f>C646*(1+Assumptions!$B$158+DCF!$B$6)</f>
        <v/>
      </c>
      <c r="E646" s="23">
        <f>D646*(1+Assumptions!$B$159+DCF!$B$6)</f>
        <v/>
      </c>
      <c r="F646" s="23">
        <f>E646*(1+Assumptions!$B$160+DCF!$B$6)</f>
        <v/>
      </c>
      <c r="G646" s="23">
        <f>F646*(1+Assumptions!$B$161+DCF!$B$6)</f>
        <v/>
      </c>
    </row>
    <row r="647">
      <c r="A647" s="7" t="inlineStr">
        <is>
          <t xml:space="preserve">  Volume — Waste, mn t</t>
        </is>
      </c>
      <c r="C647" s="23">
        <f>'Segments'!E13*(1+Assumptions!$B$162+DCF!$B$6)</f>
        <v/>
      </c>
      <c r="D647" s="23">
        <f>C647*(1+Assumptions!$B$163+DCF!$B$6)</f>
        <v/>
      </c>
      <c r="E647" s="23">
        <f>D647*(1+Assumptions!$B$164+DCF!$B$6)</f>
        <v/>
      </c>
      <c r="F647" s="23">
        <f>E647*(1+Assumptions!$B$165+DCF!$B$6)</f>
        <v/>
      </c>
      <c r="G647" s="23">
        <f>F647*(1+Assumptions!$B$166+DCF!$B$6)</f>
        <v/>
      </c>
    </row>
    <row r="648">
      <c r="A648" s="15" t="inlineStr">
        <is>
          <t>Total volume, mn t</t>
        </is>
      </c>
      <c r="C648" s="36">
        <f>SUM(C640:C647)</f>
        <v/>
      </c>
      <c r="D648" s="36">
        <f>SUM(D640:D647)</f>
        <v/>
      </c>
      <c r="E648" s="36">
        <f>SUM(E640:E647)</f>
        <v/>
      </c>
      <c r="F648" s="36">
        <f>SUM(F640:F647)</f>
        <v/>
      </c>
      <c r="G648" s="36">
        <f>SUM(G640:G647)</f>
        <v/>
      </c>
    </row>
    <row r="649">
      <c r="A649" s="15" t="inlineStr">
        <is>
          <t>REVENUE</t>
        </is>
      </c>
      <c r="C649" s="37">
        <f>C640*'Segments'!$F$6*C639+C641*'Segments'!$F$7*C639+C642*'Segments'!$F$8*C639+C643*'Segments'!$F$9*C639+C644*'Segments'!$F$10*C639+C645*'Segments'!$F$11*C639+C646*'Segments'!$F$12*C639+C647*'Segments'!$F$13*C639</f>
        <v/>
      </c>
      <c r="D649" s="37">
        <f>D640*'Segments'!$F$6*D639+D641*'Segments'!$F$7*D639+D642*'Segments'!$F$8*D639+D643*'Segments'!$F$9*D639+D644*'Segments'!$F$10*D639+D645*'Segments'!$F$11*D639+D646*'Segments'!$F$12*D639+D647*'Segments'!$F$13*D639</f>
        <v/>
      </c>
      <c r="E649" s="37">
        <f>E640*'Segments'!$F$6*E639+E641*'Segments'!$F$7*E639+E642*'Segments'!$F$8*E639+E643*'Segments'!$F$9*E639+E644*'Segments'!$F$10*E639+E645*'Segments'!$F$11*E639+E646*'Segments'!$F$12*E639+E647*'Segments'!$F$13*E639</f>
        <v/>
      </c>
      <c r="F649" s="37">
        <f>F640*'Segments'!$F$6*F639+F641*'Segments'!$F$7*F639+F642*'Segments'!$F$8*F639+F643*'Segments'!$F$9*F639+F644*'Segments'!$F$10*F639+F645*'Segments'!$F$11*F639+F646*'Segments'!$F$12*F639+F647*'Segments'!$F$13*F639</f>
        <v/>
      </c>
      <c r="G649" s="37">
        <f>G640*'Segments'!$F$6*G639+G641*'Segments'!$F$7*G639+G642*'Segments'!$F$8*G639+G643*'Segments'!$F$9*G639+G644*'Segments'!$F$10*G639+G645*'Segments'!$F$11*G639+G646*'Segments'!$F$12*G639+G647*'Segments'!$F$13*G639</f>
        <v/>
      </c>
    </row>
    <row r="650">
      <c r="A650" s="7" t="inlineStr">
        <is>
          <t>Cost of sales</t>
        </is>
      </c>
      <c r="C650" s="18">
        <f>C640*('Segments'!$D$27*C639*Assumptions!$B$109+'Segments'!$B$27*(0.4983251709*C638+0.4357405005*C638+0.0330936548*C639+0.0328406739))+C641*('Segments'!$D$28*C639*Assumptions!$B$109+'Segments'!$B$28*(0.4983251709*C638+0.4357405005*C638+0.0330936548*C639+0.0328406739))+C642*('Segments'!$D$29*C639*Assumptions!$B$109+'Segments'!$B$29*(0.4983251709*C638+0.4357405005*C638+0.0330936548*C639+0.0328406739))+C643*('Segments'!$D$30*C639*Assumptions!$B$109+'Segments'!$B$30*(0.4983251709*C638+0.4357405005*C638+0.0330936548*C639+0.0328406739))+C644*('Segments'!$D$31*C639*Assumptions!$B$109+'Segments'!$B$31*(0.4983251709*C638+0.4357405005*C638+0.0330936548*C639+0.0328406739))+C645*('Segments'!$D$32*C639*Assumptions!$B$109+'Segments'!$B$32*(0.4983251709*C638+0.4357405005*C638+0.0330936548*C639+0.0328406739))+C646*('Segments'!$D$33*C639*Assumptions!$B$109+'Segments'!$B$33*(0.4983251709*C638+0.4357405005*C638+0.0330936548*C639+0.0328406739))+C647*('Segments'!$D$34*C639*Assumptions!$B$109+'Segments'!$B$34*(0.4983251709*C638+0.4357405005*C638+0.0330936548*C639+0.0328406739))</f>
        <v/>
      </c>
      <c r="D650" s="18">
        <f>D640*('Segments'!$D$27*D639*Assumptions!$B$109+'Segments'!$B$27*(0.4983251709*D638+0.4357405005*D638+0.0330936548*D639+0.0328406739))+D641*('Segments'!$D$28*D639*Assumptions!$B$109+'Segments'!$B$28*(0.4983251709*D638+0.4357405005*D638+0.0330936548*D639+0.0328406739))+D642*('Segments'!$D$29*D639*Assumptions!$B$109+'Segments'!$B$29*(0.4983251709*D638+0.4357405005*D638+0.0330936548*D639+0.0328406739))+D643*('Segments'!$D$30*D639*Assumptions!$B$109+'Segments'!$B$30*(0.4983251709*D638+0.4357405005*D638+0.0330936548*D639+0.0328406739))+D644*('Segments'!$D$31*D639*Assumptions!$B$109+'Segments'!$B$31*(0.4983251709*D638+0.4357405005*D638+0.0330936548*D639+0.0328406739))+D645*('Segments'!$D$32*D639*Assumptions!$B$109+'Segments'!$B$32*(0.4983251709*D638+0.4357405005*D638+0.0330936548*D639+0.0328406739))+D646*('Segments'!$D$33*D639*Assumptions!$B$109+'Segments'!$B$33*(0.4983251709*D638+0.4357405005*D638+0.0330936548*D639+0.0328406739))+D647*('Segments'!$D$34*D639*Assumptions!$B$109+'Segments'!$B$34*(0.4983251709*D638+0.4357405005*D638+0.0330936548*D639+0.0328406739))</f>
        <v/>
      </c>
      <c r="E650" s="18">
        <f>E640*('Segments'!$D$27*E639*Assumptions!$B$109+'Segments'!$B$27*(0.4983251709*E638+0.4357405005*E638+0.0330936548*E639+0.0328406739))+E641*('Segments'!$D$28*E639*Assumptions!$B$109+'Segments'!$B$28*(0.4983251709*E638+0.4357405005*E638+0.0330936548*E639+0.0328406739))+E642*('Segments'!$D$29*E639*Assumptions!$B$109+'Segments'!$B$29*(0.4983251709*E638+0.4357405005*E638+0.0330936548*E639+0.0328406739))+E643*('Segments'!$D$30*E639*Assumptions!$B$109+'Segments'!$B$30*(0.4983251709*E638+0.4357405005*E638+0.0330936548*E639+0.0328406739))+E644*('Segments'!$D$31*E639*Assumptions!$B$109+'Segments'!$B$31*(0.4983251709*E638+0.4357405005*E638+0.0330936548*E639+0.0328406739))+E645*('Segments'!$D$32*E639*Assumptions!$B$109+'Segments'!$B$32*(0.4983251709*E638+0.4357405005*E638+0.0330936548*E639+0.0328406739))+E646*('Segments'!$D$33*E639*Assumptions!$B$109+'Segments'!$B$33*(0.4983251709*E638+0.4357405005*E638+0.0330936548*E639+0.0328406739))+E647*('Segments'!$D$34*E639*Assumptions!$B$109+'Segments'!$B$34*(0.4983251709*E638+0.4357405005*E638+0.0330936548*E639+0.0328406739))</f>
        <v/>
      </c>
      <c r="F650" s="18">
        <f>F640*('Segments'!$D$27*F639*Assumptions!$B$109+'Segments'!$B$27*(0.4983251709*F638+0.4357405005*F638+0.0330936548*F639+0.0328406739))+F641*('Segments'!$D$28*F639*Assumptions!$B$109+'Segments'!$B$28*(0.4983251709*F638+0.4357405005*F638+0.0330936548*F639+0.0328406739))+F642*('Segments'!$D$29*F639*Assumptions!$B$109+'Segments'!$B$29*(0.4983251709*F638+0.4357405005*F638+0.0330936548*F639+0.0328406739))+F643*('Segments'!$D$30*F639*Assumptions!$B$109+'Segments'!$B$30*(0.4983251709*F638+0.4357405005*F638+0.0330936548*F639+0.0328406739))+F644*('Segments'!$D$31*F639*Assumptions!$B$109+'Segments'!$B$31*(0.4983251709*F638+0.4357405005*F638+0.0330936548*F639+0.0328406739))+F645*('Segments'!$D$32*F639*Assumptions!$B$109+'Segments'!$B$32*(0.4983251709*F638+0.4357405005*F638+0.0330936548*F639+0.0328406739))+F646*('Segments'!$D$33*F639*Assumptions!$B$109+'Segments'!$B$33*(0.4983251709*F638+0.4357405005*F638+0.0330936548*F639+0.0328406739))+F647*('Segments'!$D$34*F639*Assumptions!$B$109+'Segments'!$B$34*(0.4983251709*F638+0.4357405005*F638+0.0330936548*F639+0.0328406739))</f>
        <v/>
      </c>
      <c r="G650" s="18">
        <f>G640*('Segments'!$D$27*G639*Assumptions!$B$109+'Segments'!$B$27*(0.4983251709*G638+0.4357405005*G638+0.0330936548*G639+0.0328406739))+G641*('Segments'!$D$28*G639*Assumptions!$B$109+'Segments'!$B$28*(0.4983251709*G638+0.4357405005*G638+0.0330936548*G639+0.0328406739))+G642*('Segments'!$D$29*G639*Assumptions!$B$109+'Segments'!$B$29*(0.4983251709*G638+0.4357405005*G638+0.0330936548*G639+0.0328406739))+G643*('Segments'!$D$30*G639*Assumptions!$B$109+'Segments'!$B$30*(0.4983251709*G638+0.4357405005*G638+0.0330936548*G639+0.0328406739))+G644*('Segments'!$D$31*G639*Assumptions!$B$109+'Segments'!$B$31*(0.4983251709*G638+0.4357405005*G638+0.0330936548*G639+0.0328406739))+G645*('Segments'!$D$32*G639*Assumptions!$B$109+'Segments'!$B$32*(0.4983251709*G638+0.4357405005*G638+0.0330936548*G639+0.0328406739))+G646*('Segments'!$D$33*G639*Assumptions!$B$109+'Segments'!$B$33*(0.4983251709*G638+0.4357405005*G638+0.0330936548*G639+0.0328406739))+G647*('Segments'!$D$34*G639*Assumptions!$B$109+'Segments'!$B$34*(0.4983251709*G638+0.4357405005*G638+0.0330936548*G639+0.0328406739))</f>
        <v/>
      </c>
    </row>
    <row r="651">
      <c r="A651" s="15" t="inlineStr">
        <is>
          <t>GROSS PROFIT</t>
        </is>
      </c>
      <c r="C651" s="37">
        <f>C649-C650+DCF!$B$7*C649</f>
        <v/>
      </c>
      <c r="D651" s="37">
        <f>D649-D650+DCF!$B$7*D649</f>
        <v/>
      </c>
      <c r="E651" s="37">
        <f>E649-E650+DCF!$B$7*E649</f>
        <v/>
      </c>
      <c r="F651" s="37">
        <f>F649-F650+DCF!$B$7*F649</f>
        <v/>
      </c>
      <c r="G651" s="37">
        <f>G649-G650+DCF!$B$7*G649</f>
        <v/>
      </c>
    </row>
    <row r="652">
      <c r="A652" s="7" t="inlineStr">
        <is>
          <t>Gross margin</t>
        </is>
      </c>
      <c r="C652" s="24">
        <f>C651/C649</f>
        <v/>
      </c>
      <c r="D652" s="24">
        <f>D651/D649</f>
        <v/>
      </c>
      <c r="E652" s="24">
        <f>E651/E649</f>
        <v/>
      </c>
      <c r="F652" s="24">
        <f>F651/F649</f>
        <v/>
      </c>
      <c r="G652" s="24">
        <f>G651/G649</f>
        <v/>
      </c>
    </row>
    <row r="653">
      <c r="A653" s="7" t="inlineStr">
        <is>
          <t>Operating expense</t>
        </is>
      </c>
      <c r="C653" s="18">
        <f>('Income Statement'!$B$28*C638)+('Income Statement'!$B$29*C638*C648/'Segments'!$E$14)+('Income Statement'!$B$30*C638)+('Income Statement'!$B$31*C638)</f>
        <v/>
      </c>
      <c r="D653" s="18">
        <f>('Income Statement'!$B$28*D638)+('Income Statement'!$B$29*D638*D648/'Segments'!$E$14)+('Income Statement'!$B$30*D638)+('Income Statement'!$B$31*D638)</f>
        <v/>
      </c>
      <c r="E653" s="18">
        <f>('Income Statement'!$B$28*E638)+('Income Statement'!$B$29*E638*E648/'Segments'!$E$14)+('Income Statement'!$B$30*E638)+('Income Statement'!$B$31*E638)</f>
        <v/>
      </c>
      <c r="F653" s="18">
        <f>('Income Statement'!$B$28*F638)+('Income Statement'!$B$29*F638*F648/'Segments'!$E$14)+('Income Statement'!$B$30*F638)+('Income Statement'!$B$31*F638)</f>
        <v/>
      </c>
      <c r="G653" s="18">
        <f>('Income Statement'!$B$28*G638)+('Income Statement'!$B$29*G638*G648/'Segments'!$E$14)+('Income Statement'!$B$30*G638)+('Income Statement'!$B$31*G638)</f>
        <v/>
      </c>
    </row>
    <row r="654">
      <c r="A654" s="15" t="inlineStr">
        <is>
          <t>EBITDA</t>
        </is>
      </c>
      <c r="C654" s="37">
        <f>C651-C653</f>
        <v/>
      </c>
      <c r="D654" s="37">
        <f>D651-D653</f>
        <v/>
      </c>
      <c r="E654" s="37">
        <f>E651-E653</f>
        <v/>
      </c>
      <c r="F654" s="37">
        <f>F651-F653</f>
        <v/>
      </c>
      <c r="G654" s="37">
        <f>G651-G653</f>
        <v/>
      </c>
    </row>
    <row r="655">
      <c r="A655" s="7" t="inlineStr">
        <is>
          <t>Capital expenditure — maintenance + growth</t>
        </is>
      </c>
      <c r="C655" s="18">
        <f>'Income Statement'!$B$43*C638+MAX(C648-'Segments'!$E$14,0)*2100.379938*C638</f>
        <v/>
      </c>
      <c r="D655" s="18">
        <f>'Income Statement'!$B$43*D638+MAX(D648-C648,0)*2100.379938*D638</f>
        <v/>
      </c>
      <c r="E655" s="18">
        <f>'Income Statement'!$B$43*E638+MAX(E648-D648,0)*2100.379938*E638</f>
        <v/>
      </c>
      <c r="F655" s="18">
        <f>'Income Statement'!$B$43*F638+MAX(F648-E648,0)*2100.379938*F638</f>
        <v/>
      </c>
      <c r="G655" s="18">
        <f>'Income Statement'!$B$43*G638+MAX(G648-F648,0)*2100.379938*G638</f>
        <v/>
      </c>
    </row>
    <row r="656">
      <c r="A656" s="7" t="inlineStr">
        <is>
          <t>Fixed assets at cost, closing</t>
        </is>
      </c>
      <c r="C656" s="18">
        <f>(Assumptions!$B$91+Assumptions!$B$92)/10^6+C655</f>
        <v/>
      </c>
      <c r="D656" s="18">
        <f>C656+D655</f>
        <v/>
      </c>
      <c r="E656" s="18">
        <f>D656+E655</f>
        <v/>
      </c>
      <c r="F656" s="18">
        <f>E656+F655</f>
        <v/>
      </c>
      <c r="G656" s="18">
        <f>F656+G655</f>
        <v/>
      </c>
    </row>
    <row r="657">
      <c r="A657" s="7" t="inlineStr">
        <is>
          <t>Depreciation — rolls off the asset register</t>
        </is>
      </c>
      <c r="C657" s="18">
        <f>(Assumptions!$B$91+Assumptions!$B$92)/10^6/'Income Statement'!$B$42</f>
        <v/>
      </c>
      <c r="D657" s="18">
        <f>C656/'Income Statement'!$B$42</f>
        <v/>
      </c>
      <c r="E657" s="18">
        <f>D656/'Income Statement'!$B$42</f>
        <v/>
      </c>
      <c r="F657" s="18">
        <f>E656/'Income Statement'!$B$42</f>
        <v/>
      </c>
      <c r="G657" s="18">
        <f>F656/'Income Statement'!$B$42</f>
        <v/>
      </c>
    </row>
    <row r="658">
      <c r="A658" s="7" t="inlineStr">
        <is>
          <t>Fixed assets, net book, closing</t>
        </is>
      </c>
      <c r="C658" s="18">
        <f>(Assumptions!$B$90+Assumptions!$B$92)/10^6+C655-C657</f>
        <v/>
      </c>
      <c r="D658" s="18">
        <f>C658+D655-D657</f>
        <v/>
      </c>
      <c r="E658" s="18">
        <f>D658+E655-E657</f>
        <v/>
      </c>
      <c r="F658" s="18">
        <f>E658+F655-F657</f>
        <v/>
      </c>
      <c r="G658" s="18">
        <f>F658+G655-G657</f>
        <v/>
      </c>
    </row>
    <row r="659">
      <c r="A659" s="15" t="inlineStr">
        <is>
          <t>EBIT</t>
        </is>
      </c>
      <c r="C659" s="37">
        <f>C654-C657</f>
        <v/>
      </c>
      <c r="D659" s="37">
        <f>D654-D657</f>
        <v/>
      </c>
      <c r="E659" s="37">
        <f>E654-E657</f>
        <v/>
      </c>
      <c r="F659" s="37">
        <f>F654-F657</f>
        <v/>
      </c>
      <c r="G659" s="37">
        <f>G654-G657</f>
        <v/>
      </c>
    </row>
    <row r="660">
      <c r="A660" s="7" t="inlineStr">
        <is>
          <t>NOPAT before the profit share</t>
        </is>
      </c>
      <c r="C660" s="18">
        <f>C659*(1-Assumptions!$B$108)</f>
        <v/>
      </c>
      <c r="D660" s="18">
        <f>D659*(1-Assumptions!$B$108)</f>
        <v/>
      </c>
      <c r="E660" s="18">
        <f>E659*(1-Assumptions!$B$108)</f>
        <v/>
      </c>
      <c r="F660" s="18">
        <f>F659*(1-Assumptions!$B$108)</f>
        <v/>
      </c>
      <c r="G660" s="18">
        <f>G659*(1-Assumptions!$B$108)</f>
        <v/>
      </c>
    </row>
    <row r="661">
      <c r="A661" s="7" t="inlineStr">
        <is>
          <t xml:space="preserve">  less employees' profit share and board bonuses</t>
        </is>
      </c>
      <c r="C661" s="18">
        <f>MAX(C660,0)*'Income Statement'!$B$40</f>
        <v/>
      </c>
      <c r="D661" s="18">
        <f>MAX(D660,0)*'Income Statement'!$B$40</f>
        <v/>
      </c>
      <c r="E661" s="18">
        <f>MAX(E660,0)*'Income Statement'!$B$40</f>
        <v/>
      </c>
      <c r="F661" s="18">
        <f>MAX(F660,0)*'Income Statement'!$B$40</f>
        <v/>
      </c>
      <c r="G661" s="18">
        <f>MAX(G660,0)*'Income Statement'!$B$40</f>
        <v/>
      </c>
    </row>
    <row r="662">
      <c r="A662" s="15" t="inlineStr">
        <is>
          <t>NOPAT</t>
        </is>
      </c>
      <c r="C662" s="37">
        <f>C660-C661</f>
        <v/>
      </c>
      <c r="D662" s="37">
        <f>D660-D661</f>
        <v/>
      </c>
      <c r="E662" s="37">
        <f>E660-E661</f>
        <v/>
      </c>
      <c r="F662" s="37">
        <f>F660-F661</f>
        <v/>
      </c>
      <c r="G662" s="37">
        <f>G660-G661</f>
        <v/>
      </c>
    </row>
    <row r="663">
      <c r="A663" s="7" t="inlineStr">
        <is>
          <t>Net working capital — on days</t>
        </is>
      </c>
      <c r="C663" s="18">
        <f>'Income Statement'!$B$44*DCF!$B$9/365*C650+'Income Statement'!$B$45*DCF!$B$9/365*C649-'Income Statement'!$B$46*DCF!$B$9/365*C650</f>
        <v/>
      </c>
      <c r="D663" s="18">
        <f>'Income Statement'!$B$44*DCF!$B$9/365*D650+'Income Statement'!$B$45*DCF!$B$9/365*D649-'Income Statement'!$B$46*DCF!$B$9/365*D650</f>
        <v/>
      </c>
      <c r="E663" s="18">
        <f>'Income Statement'!$B$44*DCF!$B$9/365*E650+'Income Statement'!$B$45*DCF!$B$9/365*E649-'Income Statement'!$B$46*DCF!$B$9/365*E650</f>
        <v/>
      </c>
      <c r="F663" s="18">
        <f>'Income Statement'!$B$44*DCF!$B$9/365*F650+'Income Statement'!$B$45*DCF!$B$9/365*F649-'Income Statement'!$B$46*DCF!$B$9/365*F650</f>
        <v/>
      </c>
      <c r="G663" s="18">
        <f>'Income Statement'!$B$44*DCF!$B$9/365*G650+'Income Statement'!$B$45*DCF!$B$9/365*G649-'Income Statement'!$B$46*DCF!$B$9/365*G650</f>
        <v/>
      </c>
    </row>
    <row r="664">
      <c r="A664" s="7" t="inlineStr">
        <is>
          <t xml:space="preserve">  change in working capital</t>
        </is>
      </c>
      <c r="C664" s="18">
        <f>C663-('Income Statement'!$B$44/365*'Income Statement'!$B$21+'Income Statement'!$B$45/365*'Income Statement'!$B$19-'Income Statement'!$B$46/365*'Income Statement'!$B$21)</f>
        <v/>
      </c>
      <c r="D664" s="18">
        <f>D663-C663</f>
        <v/>
      </c>
      <c r="E664" s="18">
        <f>E663-D663</f>
        <v/>
      </c>
      <c r="F664" s="18">
        <f>F663-E663</f>
        <v/>
      </c>
      <c r="G664" s="18">
        <f>G663-F663</f>
        <v/>
      </c>
    </row>
    <row r="665">
      <c r="A665" s="15" t="inlineStr">
        <is>
          <t>FREE CASH FLOW TO THE FIRM</t>
        </is>
      </c>
      <c r="C665" s="37">
        <f>C662+C657-C655-C664</f>
        <v/>
      </c>
      <c r="D665" s="37">
        <f>D662+D657-D655-D664</f>
        <v/>
      </c>
      <c r="E665" s="37">
        <f>E662+E657-E655-E664</f>
        <v/>
      </c>
      <c r="F665" s="37">
        <f>F662+F657-F655-F664</f>
        <v/>
      </c>
      <c r="G665" s="37">
        <f>G662+G657-G655-G664</f>
        <v/>
      </c>
    </row>
    <row r="666">
      <c r="A666" s="7" t="inlineStr">
        <is>
          <t>Glide fraction</t>
        </is>
      </c>
      <c r="C666" s="23">
        <f>0.0000000000</f>
        <v/>
      </c>
      <c r="D666" s="23">
        <f>0.3571428571</f>
        <v/>
      </c>
      <c r="E666" s="23">
        <f>0.6428571429</f>
        <v/>
      </c>
      <c r="F666" s="23">
        <f>0.8571428571</f>
        <v/>
      </c>
      <c r="G666" s="23">
        <f>1.0000000000</f>
        <v/>
      </c>
    </row>
    <row r="667">
      <c r="A667" s="7" t="inlineStr">
        <is>
          <t>Forward cost of capital</t>
        </is>
      </c>
      <c r="C667" s="24">
        <f>DCF!$B$14-(DCF!$B$14-DCF!$B$17)*C666</f>
        <v/>
      </c>
      <c r="D667" s="24">
        <f>DCF!$B$14-(DCF!$B$14-DCF!$B$17)*D666</f>
        <v/>
      </c>
      <c r="E667" s="24">
        <f>DCF!$B$14-(DCF!$B$14-DCF!$B$17)*E666</f>
        <v/>
      </c>
      <c r="F667" s="24">
        <f>DCF!$B$14-(DCF!$B$14-DCF!$B$17)*F666</f>
        <v/>
      </c>
      <c r="G667" s="24">
        <f>DCF!$B$14-(DCF!$B$14-DCF!$B$17)*G666</f>
        <v/>
      </c>
    </row>
    <row r="668">
      <c r="A668" s="7" t="inlineStr">
        <is>
          <t>Cumulative discount factor</t>
        </is>
      </c>
      <c r="C668" s="40">
        <f>1/(1+C667)</f>
        <v/>
      </c>
      <c r="D668" s="40">
        <f>C668/(1+D667)</f>
        <v/>
      </c>
      <c r="E668" s="40">
        <f>D668/(1+E667)</f>
        <v/>
      </c>
      <c r="F668" s="40">
        <f>E668/(1+F667)</f>
        <v/>
      </c>
      <c r="G668" s="40">
        <f>F668/(1+G667)</f>
        <v/>
      </c>
    </row>
    <row r="669">
      <c r="A669" s="7" t="inlineStr">
        <is>
          <t>Present value</t>
        </is>
      </c>
      <c r="C669" s="18">
        <f>C665*C668</f>
        <v/>
      </c>
      <c r="D669" s="18">
        <f>D665*D668</f>
        <v/>
      </c>
      <c r="E669" s="18">
        <f>E665*E668</f>
        <v/>
      </c>
      <c r="F669" s="18">
        <f>F665*F668</f>
        <v/>
      </c>
      <c r="G669" s="18">
        <f>G665*G668</f>
        <v/>
      </c>
    </row>
    <row r="670">
      <c r="A670" s="15" t="inlineStr">
        <is>
          <t>PV of the explicit window</t>
        </is>
      </c>
      <c r="B670" s="37">
        <f>SUM(C669:G669)</f>
        <v/>
      </c>
      <c r="C670" s="18">
        <f>C663+C656</f>
        <v/>
      </c>
      <c r="D670" s="18">
        <f>D663+D656</f>
        <v/>
      </c>
      <c r="E670" s="18">
        <f>E663+E656</f>
        <v/>
      </c>
      <c r="F670" s="18">
        <f>F663+F656</f>
        <v/>
      </c>
      <c r="G670" s="18">
        <f>G663+G656</f>
        <v/>
      </c>
    </row>
    <row r="671">
      <c r="A671" s="7" t="inlineStr">
        <is>
          <t>Terminal return on invested capital, at REPLACEMENT cost</t>
        </is>
      </c>
      <c r="B671" s="24">
        <f>G662*(1+Assumptions!$B$110)/G670</f>
        <v/>
      </c>
    </row>
    <row r="672">
      <c r="A672" s="7" t="inlineStr">
        <is>
          <t>Required reinvestment = growth / return</t>
        </is>
      </c>
      <c r="B672" s="24">
        <f>MIN(Assumptions!$B$110/B671,0.95)</f>
        <v/>
      </c>
    </row>
    <row r="673">
      <c r="A673" s="7" t="inlineStr">
        <is>
          <t>Terminal value</t>
        </is>
      </c>
      <c r="B673" s="18">
        <f>G662*(1+Assumptions!$B$110)*(1-B672)/MAX(DCF!$B$17-Assumptions!$B$110,0.02)</f>
        <v/>
      </c>
    </row>
    <row r="674">
      <c r="A674" s="7" t="inlineStr">
        <is>
          <t>PV of the terminal block</t>
        </is>
      </c>
      <c r="B674" s="18">
        <f>B673*G668</f>
        <v/>
      </c>
    </row>
    <row r="675">
      <c r="A675" s="15" t="inlineStr">
        <is>
          <t>ENTERPRISE VALUE</t>
        </is>
      </c>
      <c r="B675" s="37">
        <f>B670+B674</f>
        <v/>
      </c>
    </row>
    <row r="676">
      <c r="A676" s="7" t="inlineStr">
        <is>
          <t>plus net cash</t>
        </is>
      </c>
      <c r="B676" s="18">
        <f>(Assumptions!$B$100-Assumptions!$B$103-Assumptions!$B$104)/10^6</f>
        <v/>
      </c>
    </row>
    <row r="677">
      <c r="A677" s="7" t="inlineStr">
        <is>
          <t>Enterprise value including cash</t>
        </is>
      </c>
      <c r="B677" s="18">
        <f>B675+B676</f>
        <v/>
      </c>
    </row>
    <row r="678">
      <c r="A678" s="7" t="inlineStr">
        <is>
          <t>less minority — on the WHOLE enterprise, cash included</t>
        </is>
      </c>
      <c r="B678" s="18">
        <f>B677*'Income Statement'!$B$41</f>
        <v/>
      </c>
    </row>
    <row r="679">
      <c r="A679" s="7" t="inlineStr">
        <is>
          <t>less the tax-disputes provision</t>
        </is>
      </c>
      <c r="B679" s="18">
        <f>Assumptions!$B$99/10^6</f>
        <v/>
      </c>
    </row>
    <row r="680">
      <c r="A680" s="7" t="inlineStr">
        <is>
          <t>less dividends payable — declared, out of working capital</t>
        </is>
      </c>
      <c r="B680" s="18">
        <f>Assumptions!$B$98/10^6</f>
        <v/>
      </c>
    </row>
    <row r="681">
      <c r="A681" s="7" t="inlineStr">
        <is>
          <t>plus non-operating investments and pledged deposits</t>
        </is>
      </c>
      <c r="B681" s="18">
        <f>(Assumptions!$B$102+Assumptions!$B$101)/10^6</f>
        <v/>
      </c>
    </row>
    <row r="682">
      <c r="A682" s="15" t="inlineStr">
        <is>
          <t>EQUITY ATTRIBUTABLE</t>
        </is>
      </c>
      <c r="B682" s="37">
        <f>B677-B678-B679-B680+B681</f>
        <v/>
      </c>
    </row>
    <row r="683">
      <c r="A683" s="15" t="inlineStr">
        <is>
          <t>VALUE PER SHARE, EGP</t>
        </is>
      </c>
      <c r="B683" s="22">
        <f>B682/Assumptions!$B$8</f>
        <v/>
      </c>
    </row>
    <row r="686">
      <c r="A686" s="6" t="inlineStr">
        <is>
          <t>Realisation path, as a multiple of the assumed path — 1.05x</t>
        </is>
      </c>
      <c r="B686" s="6" t="inlineStr">
        <is>
          <t>2026E</t>
        </is>
      </c>
      <c r="C686" s="6" t="inlineStr">
        <is>
          <t>2027E</t>
        </is>
      </c>
      <c r="D686" s="6" t="inlineStr">
        <is>
          <t>2028E</t>
        </is>
      </c>
      <c r="E686" s="6" t="inlineStr">
        <is>
          <t>2029E</t>
        </is>
      </c>
      <c r="F686" s="6" t="inlineStr">
        <is>
          <t>2030E</t>
        </is>
      </c>
    </row>
    <row r="687">
      <c r="A687" s="7" t="inlineStr">
        <is>
          <t>Inflation index, cumulative</t>
        </is>
      </c>
      <c r="C687" s="23">
        <f>Assumptions!$B$167</f>
        <v/>
      </c>
      <c r="D687" s="23">
        <f>C687*Assumptions!$B$168</f>
        <v/>
      </c>
      <c r="E687" s="23">
        <f>D687*Assumptions!$B$169</f>
        <v/>
      </c>
      <c r="F687" s="23">
        <f>E687*Assumptions!$B$170</f>
        <v/>
      </c>
      <c r="G687" s="23">
        <f>F687*Assumptions!$B$171</f>
        <v/>
      </c>
    </row>
    <row r="688">
      <c r="A688" s="7" t="inlineStr">
        <is>
          <t>Realisation index, cumulative</t>
        </is>
      </c>
      <c r="C688" s="23">
        <f>(1+Assumptions!$B$122*$D$23)</f>
        <v/>
      </c>
      <c r="D688" s="23">
        <f>C688*(1+Assumptions!$B$123*$D$23)</f>
        <v/>
      </c>
      <c r="E688" s="23">
        <f>D688*(1+Assumptions!$B$124*$D$23)</f>
        <v/>
      </c>
      <c r="F688" s="23">
        <f>E688*(1+Assumptions!$B$125*$D$23)</f>
        <v/>
      </c>
      <c r="G688" s="23">
        <f>F688*(1+Assumptions!$B$126*$D$23)</f>
        <v/>
      </c>
    </row>
    <row r="689">
      <c r="A689" s="7" t="inlineStr">
        <is>
          <t xml:space="preserve">  Volume — Base and special oils, mn t</t>
        </is>
      </c>
      <c r="C689" s="23">
        <f>'Segments'!E6*(1+Assumptions!$B$127+DCF!$B$6)</f>
        <v/>
      </c>
      <c r="D689" s="23">
        <f>C689*(1+Assumptions!$B$128+DCF!$B$6)</f>
        <v/>
      </c>
      <c r="E689" s="23">
        <f>D689*(1+Assumptions!$B$129+DCF!$B$6)</f>
        <v/>
      </c>
      <c r="F689" s="23">
        <f>E689*(1+Assumptions!$B$130+DCF!$B$6)</f>
        <v/>
      </c>
      <c r="G689" s="23">
        <f>F689*(1+Assumptions!$B$131+DCF!$B$6)</f>
        <v/>
      </c>
    </row>
    <row r="690">
      <c r="A690" s="7" t="inlineStr">
        <is>
          <t xml:space="preserve">  Volume — Paraffin wax, mn t</t>
        </is>
      </c>
      <c r="C690" s="23">
        <f>'Segments'!E7*(1+Assumptions!$B$132+DCF!$B$6)</f>
        <v/>
      </c>
      <c r="D690" s="23">
        <f>C690*(1+Assumptions!$B$133+DCF!$B$6)</f>
        <v/>
      </c>
      <c r="E690" s="23">
        <f>D690*(1+Assumptions!$B$134+DCF!$B$6)</f>
        <v/>
      </c>
      <c r="F690" s="23">
        <f>E690*(1+Assumptions!$B$135+DCF!$B$6)</f>
        <v/>
      </c>
      <c r="G690" s="23">
        <f>F690*(1+Assumptions!$B$136+DCF!$B$6)</f>
        <v/>
      </c>
    </row>
    <row r="691">
      <c r="A691" s="7" t="inlineStr">
        <is>
          <t xml:space="preserve">  Volume — Gas oil, mn t</t>
        </is>
      </c>
      <c r="C691" s="23">
        <f>'Segments'!E8*(1+Assumptions!$B$137+DCF!$B$6)</f>
        <v/>
      </c>
      <c r="D691" s="23">
        <f>C691*(1+Assumptions!$B$138+DCF!$B$6)</f>
        <v/>
      </c>
      <c r="E691" s="23">
        <f>D691*(1+Assumptions!$B$139+DCF!$B$6)</f>
        <v/>
      </c>
      <c r="F691" s="23">
        <f>E691*(1+Assumptions!$B$140+DCF!$B$6)</f>
        <v/>
      </c>
      <c r="G691" s="23">
        <f>F691*(1+Assumptions!$B$141+DCF!$B$6)</f>
        <v/>
      </c>
    </row>
    <row r="692">
      <c r="A692" s="7" t="inlineStr">
        <is>
          <t xml:space="preserve">  Volume — Naphtha, mn t</t>
        </is>
      </c>
      <c r="C692" s="23">
        <f>'Segments'!E9*(1+Assumptions!$B$142+DCF!$B$6)</f>
        <v/>
      </c>
      <c r="D692" s="23">
        <f>C692*(1+Assumptions!$B$143+DCF!$B$6)</f>
        <v/>
      </c>
      <c r="E692" s="23">
        <f>D692*(1+Assumptions!$B$144+DCF!$B$6)</f>
        <v/>
      </c>
      <c r="F692" s="23">
        <f>E692*(1+Assumptions!$B$145+DCF!$B$6)</f>
        <v/>
      </c>
      <c r="G692" s="23">
        <f>F692*(1+Assumptions!$B$146+DCF!$B$6)</f>
        <v/>
      </c>
    </row>
    <row r="693">
      <c r="A693" s="7" t="inlineStr">
        <is>
          <t xml:space="preserve">  Volume — Liquefied petroleum gas, mn t</t>
        </is>
      </c>
      <c r="C693" s="23">
        <f>'Segments'!E10*(1+Assumptions!$B$147+DCF!$B$6)</f>
        <v/>
      </c>
      <c r="D693" s="23">
        <f>C693*(1+Assumptions!$B$148+DCF!$B$6)</f>
        <v/>
      </c>
      <c r="E693" s="23">
        <f>D693*(1+Assumptions!$B$149+DCF!$B$6)</f>
        <v/>
      </c>
      <c r="F693" s="23">
        <f>E693*(1+Assumptions!$B$150+DCF!$B$6)</f>
        <v/>
      </c>
      <c r="G693" s="23">
        <f>F693*(1+Assumptions!$B$151+DCF!$B$6)</f>
        <v/>
      </c>
    </row>
    <row r="694">
      <c r="A694" s="7" t="inlineStr">
        <is>
          <t xml:space="preserve">  Volume — Fuel oil (mix), mn t</t>
        </is>
      </c>
      <c r="C694" s="23">
        <f>'Segments'!E11*(1+Assumptions!$B$152+DCF!$B$6)</f>
        <v/>
      </c>
      <c r="D694" s="23">
        <f>C694*(1+Assumptions!$B$153+DCF!$B$6)</f>
        <v/>
      </c>
      <c r="E694" s="23">
        <f>D694*(1+Assumptions!$B$154+DCF!$B$6)</f>
        <v/>
      </c>
      <c r="F694" s="23">
        <f>E694*(1+Assumptions!$B$155+DCF!$B$6)</f>
        <v/>
      </c>
      <c r="G694" s="23">
        <f>F694*(1+Assumptions!$B$156+DCF!$B$6)</f>
        <v/>
      </c>
    </row>
    <row r="695">
      <c r="A695" s="7" t="inlineStr">
        <is>
          <t xml:space="preserve">  Volume — Heavy fuel oil, mn t</t>
        </is>
      </c>
      <c r="C695" s="23">
        <f>'Segments'!E12*(1+Assumptions!$B$157+DCF!$B$6)</f>
        <v/>
      </c>
      <c r="D695" s="23">
        <f>C695*(1+Assumptions!$B$158+DCF!$B$6)</f>
        <v/>
      </c>
      <c r="E695" s="23">
        <f>D695*(1+Assumptions!$B$159+DCF!$B$6)</f>
        <v/>
      </c>
      <c r="F695" s="23">
        <f>E695*(1+Assumptions!$B$160+DCF!$B$6)</f>
        <v/>
      </c>
      <c r="G695" s="23">
        <f>F695*(1+Assumptions!$B$161+DCF!$B$6)</f>
        <v/>
      </c>
    </row>
    <row r="696">
      <c r="A696" s="7" t="inlineStr">
        <is>
          <t xml:space="preserve">  Volume — Waste, mn t</t>
        </is>
      </c>
      <c r="C696" s="23">
        <f>'Segments'!E13*(1+Assumptions!$B$162+DCF!$B$6)</f>
        <v/>
      </c>
      <c r="D696" s="23">
        <f>C696*(1+Assumptions!$B$163+DCF!$B$6)</f>
        <v/>
      </c>
      <c r="E696" s="23">
        <f>D696*(1+Assumptions!$B$164+DCF!$B$6)</f>
        <v/>
      </c>
      <c r="F696" s="23">
        <f>E696*(1+Assumptions!$B$165+DCF!$B$6)</f>
        <v/>
      </c>
      <c r="G696" s="23">
        <f>F696*(1+Assumptions!$B$166+DCF!$B$6)</f>
        <v/>
      </c>
    </row>
    <row r="697">
      <c r="A697" s="15" t="inlineStr">
        <is>
          <t>Total volume, mn t</t>
        </is>
      </c>
      <c r="C697" s="36">
        <f>SUM(C689:C696)</f>
        <v/>
      </c>
      <c r="D697" s="36">
        <f>SUM(D689:D696)</f>
        <v/>
      </c>
      <c r="E697" s="36">
        <f>SUM(E689:E696)</f>
        <v/>
      </c>
      <c r="F697" s="36">
        <f>SUM(F689:F696)</f>
        <v/>
      </c>
      <c r="G697" s="36">
        <f>SUM(G689:G696)</f>
        <v/>
      </c>
    </row>
    <row r="698">
      <c r="A698" s="15" t="inlineStr">
        <is>
          <t>REVENUE</t>
        </is>
      </c>
      <c r="C698" s="37">
        <f>C689*'Segments'!$F$6*C688+C690*'Segments'!$F$7*C688+C691*'Segments'!$F$8*C688+C692*'Segments'!$F$9*C688+C693*'Segments'!$F$10*C688+C694*'Segments'!$F$11*C688+C695*'Segments'!$F$12*C688+C696*'Segments'!$F$13*C688</f>
        <v/>
      </c>
      <c r="D698" s="37">
        <f>D689*'Segments'!$F$6*D688+D690*'Segments'!$F$7*D688+D691*'Segments'!$F$8*D688+D692*'Segments'!$F$9*D688+D693*'Segments'!$F$10*D688+D694*'Segments'!$F$11*D688+D695*'Segments'!$F$12*D688+D696*'Segments'!$F$13*D688</f>
        <v/>
      </c>
      <c r="E698" s="37">
        <f>E689*'Segments'!$F$6*E688+E690*'Segments'!$F$7*E688+E691*'Segments'!$F$8*E688+E692*'Segments'!$F$9*E688+E693*'Segments'!$F$10*E688+E694*'Segments'!$F$11*E688+E695*'Segments'!$F$12*E688+E696*'Segments'!$F$13*E688</f>
        <v/>
      </c>
      <c r="F698" s="37">
        <f>F689*'Segments'!$F$6*F688+F690*'Segments'!$F$7*F688+F691*'Segments'!$F$8*F688+F692*'Segments'!$F$9*F688+F693*'Segments'!$F$10*F688+F694*'Segments'!$F$11*F688+F695*'Segments'!$F$12*F688+F696*'Segments'!$F$13*F688</f>
        <v/>
      </c>
      <c r="G698" s="37">
        <f>G689*'Segments'!$F$6*G688+G690*'Segments'!$F$7*G688+G691*'Segments'!$F$8*G688+G692*'Segments'!$F$9*G688+G693*'Segments'!$F$10*G688+G694*'Segments'!$F$11*G688+G695*'Segments'!$F$12*G688+G696*'Segments'!$F$13*G688</f>
        <v/>
      </c>
    </row>
    <row r="699">
      <c r="A699" s="7" t="inlineStr">
        <is>
          <t>Cost of sales</t>
        </is>
      </c>
      <c r="C699" s="18">
        <f>C689*('Segments'!$D$27*C688*Assumptions!$B$109+'Segments'!$B$27*(0.4983251709*C687+0.4357405005*C687+0.0330936548*C688+0.0328406739))+C690*('Segments'!$D$28*C688*Assumptions!$B$109+'Segments'!$B$28*(0.4983251709*C687+0.4357405005*C687+0.0330936548*C688+0.0328406739))+C691*('Segments'!$D$29*C688*Assumptions!$B$109+'Segments'!$B$29*(0.4983251709*C687+0.4357405005*C687+0.0330936548*C688+0.0328406739))+C692*('Segments'!$D$30*C688*Assumptions!$B$109+'Segments'!$B$30*(0.4983251709*C687+0.4357405005*C687+0.0330936548*C688+0.0328406739))+C693*('Segments'!$D$31*C688*Assumptions!$B$109+'Segments'!$B$31*(0.4983251709*C687+0.4357405005*C687+0.0330936548*C688+0.0328406739))+C694*('Segments'!$D$32*C688*Assumptions!$B$109+'Segments'!$B$32*(0.4983251709*C687+0.4357405005*C687+0.0330936548*C688+0.0328406739))+C695*('Segments'!$D$33*C688*Assumptions!$B$109+'Segments'!$B$33*(0.4983251709*C687+0.4357405005*C687+0.0330936548*C688+0.0328406739))+C696*('Segments'!$D$34*C688*Assumptions!$B$109+'Segments'!$B$34*(0.4983251709*C687+0.4357405005*C687+0.0330936548*C688+0.0328406739))</f>
        <v/>
      </c>
      <c r="D699" s="18">
        <f>D689*('Segments'!$D$27*D688*Assumptions!$B$109+'Segments'!$B$27*(0.4983251709*D687+0.4357405005*D687+0.0330936548*D688+0.0328406739))+D690*('Segments'!$D$28*D688*Assumptions!$B$109+'Segments'!$B$28*(0.4983251709*D687+0.4357405005*D687+0.0330936548*D688+0.0328406739))+D691*('Segments'!$D$29*D688*Assumptions!$B$109+'Segments'!$B$29*(0.4983251709*D687+0.4357405005*D687+0.0330936548*D688+0.0328406739))+D692*('Segments'!$D$30*D688*Assumptions!$B$109+'Segments'!$B$30*(0.4983251709*D687+0.4357405005*D687+0.0330936548*D688+0.0328406739))+D693*('Segments'!$D$31*D688*Assumptions!$B$109+'Segments'!$B$31*(0.4983251709*D687+0.4357405005*D687+0.0330936548*D688+0.0328406739))+D694*('Segments'!$D$32*D688*Assumptions!$B$109+'Segments'!$B$32*(0.4983251709*D687+0.4357405005*D687+0.0330936548*D688+0.0328406739))+D695*('Segments'!$D$33*D688*Assumptions!$B$109+'Segments'!$B$33*(0.4983251709*D687+0.4357405005*D687+0.0330936548*D688+0.0328406739))+D696*('Segments'!$D$34*D688*Assumptions!$B$109+'Segments'!$B$34*(0.4983251709*D687+0.4357405005*D687+0.0330936548*D688+0.0328406739))</f>
        <v/>
      </c>
      <c r="E699" s="18">
        <f>E689*('Segments'!$D$27*E688*Assumptions!$B$109+'Segments'!$B$27*(0.4983251709*E687+0.4357405005*E687+0.0330936548*E688+0.0328406739))+E690*('Segments'!$D$28*E688*Assumptions!$B$109+'Segments'!$B$28*(0.4983251709*E687+0.4357405005*E687+0.0330936548*E688+0.0328406739))+E691*('Segments'!$D$29*E688*Assumptions!$B$109+'Segments'!$B$29*(0.4983251709*E687+0.4357405005*E687+0.0330936548*E688+0.0328406739))+E692*('Segments'!$D$30*E688*Assumptions!$B$109+'Segments'!$B$30*(0.4983251709*E687+0.4357405005*E687+0.0330936548*E688+0.0328406739))+E693*('Segments'!$D$31*E688*Assumptions!$B$109+'Segments'!$B$31*(0.4983251709*E687+0.4357405005*E687+0.0330936548*E688+0.0328406739))+E694*('Segments'!$D$32*E688*Assumptions!$B$109+'Segments'!$B$32*(0.4983251709*E687+0.4357405005*E687+0.0330936548*E688+0.0328406739))+E695*('Segments'!$D$33*E688*Assumptions!$B$109+'Segments'!$B$33*(0.4983251709*E687+0.4357405005*E687+0.0330936548*E688+0.0328406739))+E696*('Segments'!$D$34*E688*Assumptions!$B$109+'Segments'!$B$34*(0.4983251709*E687+0.4357405005*E687+0.0330936548*E688+0.0328406739))</f>
        <v/>
      </c>
      <c r="F699" s="18">
        <f>F689*('Segments'!$D$27*F688*Assumptions!$B$109+'Segments'!$B$27*(0.4983251709*F687+0.4357405005*F687+0.0330936548*F688+0.0328406739))+F690*('Segments'!$D$28*F688*Assumptions!$B$109+'Segments'!$B$28*(0.4983251709*F687+0.4357405005*F687+0.0330936548*F688+0.0328406739))+F691*('Segments'!$D$29*F688*Assumptions!$B$109+'Segments'!$B$29*(0.4983251709*F687+0.4357405005*F687+0.0330936548*F688+0.0328406739))+F692*('Segments'!$D$30*F688*Assumptions!$B$109+'Segments'!$B$30*(0.4983251709*F687+0.4357405005*F687+0.0330936548*F688+0.0328406739))+F693*('Segments'!$D$31*F688*Assumptions!$B$109+'Segments'!$B$31*(0.4983251709*F687+0.4357405005*F687+0.0330936548*F688+0.0328406739))+F694*('Segments'!$D$32*F688*Assumptions!$B$109+'Segments'!$B$32*(0.4983251709*F687+0.4357405005*F687+0.0330936548*F688+0.0328406739))+F695*('Segments'!$D$33*F688*Assumptions!$B$109+'Segments'!$B$33*(0.4983251709*F687+0.4357405005*F687+0.0330936548*F688+0.0328406739))+F696*('Segments'!$D$34*F688*Assumptions!$B$109+'Segments'!$B$34*(0.4983251709*F687+0.4357405005*F687+0.0330936548*F688+0.0328406739))</f>
        <v/>
      </c>
      <c r="G699" s="18">
        <f>G689*('Segments'!$D$27*G688*Assumptions!$B$109+'Segments'!$B$27*(0.4983251709*G687+0.4357405005*G687+0.0330936548*G688+0.0328406739))+G690*('Segments'!$D$28*G688*Assumptions!$B$109+'Segments'!$B$28*(0.4983251709*G687+0.4357405005*G687+0.0330936548*G688+0.0328406739))+G691*('Segments'!$D$29*G688*Assumptions!$B$109+'Segments'!$B$29*(0.4983251709*G687+0.4357405005*G687+0.0330936548*G688+0.0328406739))+G692*('Segments'!$D$30*G688*Assumptions!$B$109+'Segments'!$B$30*(0.4983251709*G687+0.4357405005*G687+0.0330936548*G688+0.0328406739))+G693*('Segments'!$D$31*G688*Assumptions!$B$109+'Segments'!$B$31*(0.4983251709*G687+0.4357405005*G687+0.0330936548*G688+0.0328406739))+G694*('Segments'!$D$32*G688*Assumptions!$B$109+'Segments'!$B$32*(0.4983251709*G687+0.4357405005*G687+0.0330936548*G688+0.0328406739))+G695*('Segments'!$D$33*G688*Assumptions!$B$109+'Segments'!$B$33*(0.4983251709*G687+0.4357405005*G687+0.0330936548*G688+0.0328406739))+G696*('Segments'!$D$34*G688*Assumptions!$B$109+'Segments'!$B$34*(0.4983251709*G687+0.4357405005*G687+0.0330936548*G688+0.0328406739))</f>
        <v/>
      </c>
    </row>
    <row r="700">
      <c r="A700" s="15" t="inlineStr">
        <is>
          <t>GROSS PROFIT</t>
        </is>
      </c>
      <c r="C700" s="37">
        <f>C698-C699+DCF!$B$7*C698</f>
        <v/>
      </c>
      <c r="D700" s="37">
        <f>D698-D699+DCF!$B$7*D698</f>
        <v/>
      </c>
      <c r="E700" s="37">
        <f>E698-E699+DCF!$B$7*E698</f>
        <v/>
      </c>
      <c r="F700" s="37">
        <f>F698-F699+DCF!$B$7*F698</f>
        <v/>
      </c>
      <c r="G700" s="37">
        <f>G698-G699+DCF!$B$7*G698</f>
        <v/>
      </c>
    </row>
    <row r="701">
      <c r="A701" s="7" t="inlineStr">
        <is>
          <t>Gross margin</t>
        </is>
      </c>
      <c r="C701" s="24">
        <f>C700/C698</f>
        <v/>
      </c>
      <c r="D701" s="24">
        <f>D700/D698</f>
        <v/>
      </c>
      <c r="E701" s="24">
        <f>E700/E698</f>
        <v/>
      </c>
      <c r="F701" s="24">
        <f>F700/F698</f>
        <v/>
      </c>
      <c r="G701" s="24">
        <f>G700/G698</f>
        <v/>
      </c>
    </row>
    <row r="702">
      <c r="A702" s="7" t="inlineStr">
        <is>
          <t>Operating expense</t>
        </is>
      </c>
      <c r="C702" s="18">
        <f>('Income Statement'!$B$28*C687)+('Income Statement'!$B$29*C687*C697/'Segments'!$E$14)+('Income Statement'!$B$30*C687)+('Income Statement'!$B$31*C687)</f>
        <v/>
      </c>
      <c r="D702" s="18">
        <f>('Income Statement'!$B$28*D687)+('Income Statement'!$B$29*D687*D697/'Segments'!$E$14)+('Income Statement'!$B$30*D687)+('Income Statement'!$B$31*D687)</f>
        <v/>
      </c>
      <c r="E702" s="18">
        <f>('Income Statement'!$B$28*E687)+('Income Statement'!$B$29*E687*E697/'Segments'!$E$14)+('Income Statement'!$B$30*E687)+('Income Statement'!$B$31*E687)</f>
        <v/>
      </c>
      <c r="F702" s="18">
        <f>('Income Statement'!$B$28*F687)+('Income Statement'!$B$29*F687*F697/'Segments'!$E$14)+('Income Statement'!$B$30*F687)+('Income Statement'!$B$31*F687)</f>
        <v/>
      </c>
      <c r="G702" s="18">
        <f>('Income Statement'!$B$28*G687)+('Income Statement'!$B$29*G687*G697/'Segments'!$E$14)+('Income Statement'!$B$30*G687)+('Income Statement'!$B$31*G687)</f>
        <v/>
      </c>
    </row>
    <row r="703">
      <c r="A703" s="15" t="inlineStr">
        <is>
          <t>EBITDA</t>
        </is>
      </c>
      <c r="C703" s="37">
        <f>C700-C702</f>
        <v/>
      </c>
      <c r="D703" s="37">
        <f>D700-D702</f>
        <v/>
      </c>
      <c r="E703" s="37">
        <f>E700-E702</f>
        <v/>
      </c>
      <c r="F703" s="37">
        <f>F700-F702</f>
        <v/>
      </c>
      <c r="G703" s="37">
        <f>G700-G702</f>
        <v/>
      </c>
    </row>
    <row r="704">
      <c r="A704" s="7" t="inlineStr">
        <is>
          <t>Capital expenditure — maintenance + growth</t>
        </is>
      </c>
      <c r="C704" s="18">
        <f>'Income Statement'!$B$43*C687+MAX(C697-'Segments'!$E$14,0)*2100.379938*C687</f>
        <v/>
      </c>
      <c r="D704" s="18">
        <f>'Income Statement'!$B$43*D687+MAX(D697-C697,0)*2100.379938*D687</f>
        <v/>
      </c>
      <c r="E704" s="18">
        <f>'Income Statement'!$B$43*E687+MAX(E697-D697,0)*2100.379938*E687</f>
        <v/>
      </c>
      <c r="F704" s="18">
        <f>'Income Statement'!$B$43*F687+MAX(F697-E697,0)*2100.379938*F687</f>
        <v/>
      </c>
      <c r="G704" s="18">
        <f>'Income Statement'!$B$43*G687+MAX(G697-F697,0)*2100.379938*G687</f>
        <v/>
      </c>
    </row>
    <row r="705">
      <c r="A705" s="7" t="inlineStr">
        <is>
          <t>Fixed assets at cost, closing</t>
        </is>
      </c>
      <c r="C705" s="18">
        <f>(Assumptions!$B$91+Assumptions!$B$92)/10^6+C704</f>
        <v/>
      </c>
      <c r="D705" s="18">
        <f>C705+D704</f>
        <v/>
      </c>
      <c r="E705" s="18">
        <f>D705+E704</f>
        <v/>
      </c>
      <c r="F705" s="18">
        <f>E705+F704</f>
        <v/>
      </c>
      <c r="G705" s="18">
        <f>F705+G704</f>
        <v/>
      </c>
    </row>
    <row r="706">
      <c r="A706" s="7" t="inlineStr">
        <is>
          <t>Depreciation — rolls off the asset register</t>
        </is>
      </c>
      <c r="C706" s="18">
        <f>(Assumptions!$B$91+Assumptions!$B$92)/10^6/'Income Statement'!$B$42</f>
        <v/>
      </c>
      <c r="D706" s="18">
        <f>C705/'Income Statement'!$B$42</f>
        <v/>
      </c>
      <c r="E706" s="18">
        <f>D705/'Income Statement'!$B$42</f>
        <v/>
      </c>
      <c r="F706" s="18">
        <f>E705/'Income Statement'!$B$42</f>
        <v/>
      </c>
      <c r="G706" s="18">
        <f>F705/'Income Statement'!$B$42</f>
        <v/>
      </c>
    </row>
    <row r="707">
      <c r="A707" s="7" t="inlineStr">
        <is>
          <t>Fixed assets, net book, closing</t>
        </is>
      </c>
      <c r="C707" s="18">
        <f>(Assumptions!$B$90+Assumptions!$B$92)/10^6+C704-C706</f>
        <v/>
      </c>
      <c r="D707" s="18">
        <f>C707+D704-D706</f>
        <v/>
      </c>
      <c r="E707" s="18">
        <f>D707+E704-E706</f>
        <v/>
      </c>
      <c r="F707" s="18">
        <f>E707+F704-F706</f>
        <v/>
      </c>
      <c r="G707" s="18">
        <f>F707+G704-G706</f>
        <v/>
      </c>
    </row>
    <row r="708">
      <c r="A708" s="15" t="inlineStr">
        <is>
          <t>EBIT</t>
        </is>
      </c>
      <c r="C708" s="37">
        <f>C703-C706</f>
        <v/>
      </c>
      <c r="D708" s="37">
        <f>D703-D706</f>
        <v/>
      </c>
      <c r="E708" s="37">
        <f>E703-E706</f>
        <v/>
      </c>
      <c r="F708" s="37">
        <f>F703-F706</f>
        <v/>
      </c>
      <c r="G708" s="37">
        <f>G703-G706</f>
        <v/>
      </c>
    </row>
    <row r="709">
      <c r="A709" s="7" t="inlineStr">
        <is>
          <t>NOPAT before the profit share</t>
        </is>
      </c>
      <c r="C709" s="18">
        <f>C708*(1-Assumptions!$B$108)</f>
        <v/>
      </c>
      <c r="D709" s="18">
        <f>D708*(1-Assumptions!$B$108)</f>
        <v/>
      </c>
      <c r="E709" s="18">
        <f>E708*(1-Assumptions!$B$108)</f>
        <v/>
      </c>
      <c r="F709" s="18">
        <f>F708*(1-Assumptions!$B$108)</f>
        <v/>
      </c>
      <c r="G709" s="18">
        <f>G708*(1-Assumptions!$B$108)</f>
        <v/>
      </c>
    </row>
    <row r="710">
      <c r="A710" s="7" t="inlineStr">
        <is>
          <t xml:space="preserve">  less employees' profit share and board bonuses</t>
        </is>
      </c>
      <c r="C710" s="18">
        <f>MAX(C709,0)*'Income Statement'!$B$40</f>
        <v/>
      </c>
      <c r="D710" s="18">
        <f>MAX(D709,0)*'Income Statement'!$B$40</f>
        <v/>
      </c>
      <c r="E710" s="18">
        <f>MAX(E709,0)*'Income Statement'!$B$40</f>
        <v/>
      </c>
      <c r="F710" s="18">
        <f>MAX(F709,0)*'Income Statement'!$B$40</f>
        <v/>
      </c>
      <c r="G710" s="18">
        <f>MAX(G709,0)*'Income Statement'!$B$40</f>
        <v/>
      </c>
    </row>
    <row r="711">
      <c r="A711" s="15" t="inlineStr">
        <is>
          <t>NOPAT</t>
        </is>
      </c>
      <c r="C711" s="37">
        <f>C709-C710</f>
        <v/>
      </c>
      <c r="D711" s="37">
        <f>D709-D710</f>
        <v/>
      </c>
      <c r="E711" s="37">
        <f>E709-E710</f>
        <v/>
      </c>
      <c r="F711" s="37">
        <f>F709-F710</f>
        <v/>
      </c>
      <c r="G711" s="37">
        <f>G709-G710</f>
        <v/>
      </c>
    </row>
    <row r="712">
      <c r="A712" s="7" t="inlineStr">
        <is>
          <t>Net working capital — on days</t>
        </is>
      </c>
      <c r="C712" s="18">
        <f>'Income Statement'!$B$44*DCF!$B$9/365*C699+'Income Statement'!$B$45*DCF!$B$9/365*C698-'Income Statement'!$B$46*DCF!$B$9/365*C699</f>
        <v/>
      </c>
      <c r="D712" s="18">
        <f>'Income Statement'!$B$44*DCF!$B$9/365*D699+'Income Statement'!$B$45*DCF!$B$9/365*D698-'Income Statement'!$B$46*DCF!$B$9/365*D699</f>
        <v/>
      </c>
      <c r="E712" s="18">
        <f>'Income Statement'!$B$44*DCF!$B$9/365*E699+'Income Statement'!$B$45*DCF!$B$9/365*E698-'Income Statement'!$B$46*DCF!$B$9/365*E699</f>
        <v/>
      </c>
      <c r="F712" s="18">
        <f>'Income Statement'!$B$44*DCF!$B$9/365*F699+'Income Statement'!$B$45*DCF!$B$9/365*F698-'Income Statement'!$B$46*DCF!$B$9/365*F699</f>
        <v/>
      </c>
      <c r="G712" s="18">
        <f>'Income Statement'!$B$44*DCF!$B$9/365*G699+'Income Statement'!$B$45*DCF!$B$9/365*G698-'Income Statement'!$B$46*DCF!$B$9/365*G699</f>
        <v/>
      </c>
    </row>
    <row r="713">
      <c r="A713" s="7" t="inlineStr">
        <is>
          <t xml:space="preserve">  change in working capital</t>
        </is>
      </c>
      <c r="C713" s="18">
        <f>C712-('Income Statement'!$B$44/365*'Income Statement'!$B$21+'Income Statement'!$B$45/365*'Income Statement'!$B$19-'Income Statement'!$B$46/365*'Income Statement'!$B$21)</f>
        <v/>
      </c>
      <c r="D713" s="18">
        <f>D712-C712</f>
        <v/>
      </c>
      <c r="E713" s="18">
        <f>E712-D712</f>
        <v/>
      </c>
      <c r="F713" s="18">
        <f>F712-E712</f>
        <v/>
      </c>
      <c r="G713" s="18">
        <f>G712-F712</f>
        <v/>
      </c>
    </row>
    <row r="714">
      <c r="A714" s="15" t="inlineStr">
        <is>
          <t>FREE CASH FLOW TO THE FIRM</t>
        </is>
      </c>
      <c r="C714" s="37">
        <f>C711+C706-C704-C713</f>
        <v/>
      </c>
      <c r="D714" s="37">
        <f>D711+D706-D704-D713</f>
        <v/>
      </c>
      <c r="E714" s="37">
        <f>E711+E706-E704-E713</f>
        <v/>
      </c>
      <c r="F714" s="37">
        <f>F711+F706-F704-F713</f>
        <v/>
      </c>
      <c r="G714" s="37">
        <f>G711+G706-G704-G713</f>
        <v/>
      </c>
    </row>
    <row r="715">
      <c r="A715" s="7" t="inlineStr">
        <is>
          <t>Glide fraction</t>
        </is>
      </c>
      <c r="C715" s="23">
        <f>0.0000000000</f>
        <v/>
      </c>
      <c r="D715" s="23">
        <f>0.3571428571</f>
        <v/>
      </c>
      <c r="E715" s="23">
        <f>0.6428571429</f>
        <v/>
      </c>
      <c r="F715" s="23">
        <f>0.8571428571</f>
        <v/>
      </c>
      <c r="G715" s="23">
        <f>1.0000000000</f>
        <v/>
      </c>
    </row>
    <row r="716">
      <c r="A716" s="7" t="inlineStr">
        <is>
          <t>Forward cost of capital</t>
        </is>
      </c>
      <c r="C716" s="24">
        <f>DCF!$B$14-(DCF!$B$14-DCF!$B$17)*C715</f>
        <v/>
      </c>
      <c r="D716" s="24">
        <f>DCF!$B$14-(DCF!$B$14-DCF!$B$17)*D715</f>
        <v/>
      </c>
      <c r="E716" s="24">
        <f>DCF!$B$14-(DCF!$B$14-DCF!$B$17)*E715</f>
        <v/>
      </c>
      <c r="F716" s="24">
        <f>DCF!$B$14-(DCF!$B$14-DCF!$B$17)*F715</f>
        <v/>
      </c>
      <c r="G716" s="24">
        <f>DCF!$B$14-(DCF!$B$14-DCF!$B$17)*G715</f>
        <v/>
      </c>
    </row>
    <row r="717">
      <c r="A717" s="7" t="inlineStr">
        <is>
          <t>Cumulative discount factor</t>
        </is>
      </c>
      <c r="C717" s="40">
        <f>1/(1+C716)</f>
        <v/>
      </c>
      <c r="D717" s="40">
        <f>C717/(1+D716)</f>
        <v/>
      </c>
      <c r="E717" s="40">
        <f>D717/(1+E716)</f>
        <v/>
      </c>
      <c r="F717" s="40">
        <f>E717/(1+F716)</f>
        <v/>
      </c>
      <c r="G717" s="40">
        <f>F717/(1+G716)</f>
        <v/>
      </c>
    </row>
    <row r="718">
      <c r="A718" s="7" t="inlineStr">
        <is>
          <t>Present value</t>
        </is>
      </c>
      <c r="C718" s="18">
        <f>C714*C717</f>
        <v/>
      </c>
      <c r="D718" s="18">
        <f>D714*D717</f>
        <v/>
      </c>
      <c r="E718" s="18">
        <f>E714*E717</f>
        <v/>
      </c>
      <c r="F718" s="18">
        <f>F714*F717</f>
        <v/>
      </c>
      <c r="G718" s="18">
        <f>G714*G717</f>
        <v/>
      </c>
    </row>
    <row r="719">
      <c r="A719" s="15" t="inlineStr">
        <is>
          <t>PV of the explicit window</t>
        </is>
      </c>
      <c r="B719" s="37">
        <f>SUM(C718:G718)</f>
        <v/>
      </c>
      <c r="C719" s="18">
        <f>C712+C705</f>
        <v/>
      </c>
      <c r="D719" s="18">
        <f>D712+D705</f>
        <v/>
      </c>
      <c r="E719" s="18">
        <f>E712+E705</f>
        <v/>
      </c>
      <c r="F719" s="18">
        <f>F712+F705</f>
        <v/>
      </c>
      <c r="G719" s="18">
        <f>G712+G705</f>
        <v/>
      </c>
    </row>
    <row r="720">
      <c r="A720" s="7" t="inlineStr">
        <is>
          <t>Terminal return on invested capital, at REPLACEMENT cost</t>
        </is>
      </c>
      <c r="B720" s="24">
        <f>G711*(1+Assumptions!$B$110)/G719</f>
        <v/>
      </c>
    </row>
    <row r="721">
      <c r="A721" s="7" t="inlineStr">
        <is>
          <t>Required reinvestment = growth / return</t>
        </is>
      </c>
      <c r="B721" s="24">
        <f>MIN(Assumptions!$B$110/B720,0.95)</f>
        <v/>
      </c>
    </row>
    <row r="722">
      <c r="A722" s="7" t="inlineStr">
        <is>
          <t>Terminal value</t>
        </is>
      </c>
      <c r="B722" s="18">
        <f>G711*(1+Assumptions!$B$110)*(1-B721)/MAX(DCF!$B$17-Assumptions!$B$110,0.02)</f>
        <v/>
      </c>
    </row>
    <row r="723">
      <c r="A723" s="7" t="inlineStr">
        <is>
          <t>PV of the terminal block</t>
        </is>
      </c>
      <c r="B723" s="18">
        <f>B722*G717</f>
        <v/>
      </c>
    </row>
    <row r="724">
      <c r="A724" s="15" t="inlineStr">
        <is>
          <t>ENTERPRISE VALUE</t>
        </is>
      </c>
      <c r="B724" s="37">
        <f>B719+B723</f>
        <v/>
      </c>
    </row>
    <row r="725">
      <c r="A725" s="7" t="inlineStr">
        <is>
          <t>plus net cash</t>
        </is>
      </c>
      <c r="B725" s="18">
        <f>(Assumptions!$B$100-Assumptions!$B$103-Assumptions!$B$104)/10^6</f>
        <v/>
      </c>
    </row>
    <row r="726">
      <c r="A726" s="7" t="inlineStr">
        <is>
          <t>Enterprise value including cash</t>
        </is>
      </c>
      <c r="B726" s="18">
        <f>B724+B725</f>
        <v/>
      </c>
    </row>
    <row r="727">
      <c r="A727" s="7" t="inlineStr">
        <is>
          <t>less minority — on the WHOLE enterprise, cash included</t>
        </is>
      </c>
      <c r="B727" s="18">
        <f>B726*'Income Statement'!$B$41</f>
        <v/>
      </c>
    </row>
    <row r="728">
      <c r="A728" s="7" t="inlineStr">
        <is>
          <t>less the tax-disputes provision</t>
        </is>
      </c>
      <c r="B728" s="18">
        <f>Assumptions!$B$99/10^6</f>
        <v/>
      </c>
    </row>
    <row r="729">
      <c r="A729" s="7" t="inlineStr">
        <is>
          <t>less dividends payable — declared, out of working capital</t>
        </is>
      </c>
      <c r="B729" s="18">
        <f>Assumptions!$B$98/10^6</f>
        <v/>
      </c>
    </row>
    <row r="730">
      <c r="A730" s="7" t="inlineStr">
        <is>
          <t>plus non-operating investments and pledged deposits</t>
        </is>
      </c>
      <c r="B730" s="18">
        <f>(Assumptions!$B$102+Assumptions!$B$101)/10^6</f>
        <v/>
      </c>
    </row>
    <row r="731">
      <c r="A731" s="15" t="inlineStr">
        <is>
          <t>EQUITY ATTRIBUTABLE</t>
        </is>
      </c>
      <c r="B731" s="37">
        <f>B726-B727-B728-B729+B730</f>
        <v/>
      </c>
    </row>
    <row r="732">
      <c r="A732" s="15" t="inlineStr">
        <is>
          <t>VALUE PER SHARE, EGP</t>
        </is>
      </c>
      <c r="B732" s="22">
        <f>B731/Assumptions!$B$8</f>
        <v/>
      </c>
    </row>
    <row r="735">
      <c r="A735" s="6" t="inlineStr">
        <is>
          <t>Realisation path, as a multiple of the assumed path — 1.10x</t>
        </is>
      </c>
      <c r="B735" s="6" t="inlineStr">
        <is>
          <t>2026E</t>
        </is>
      </c>
      <c r="C735" s="6" t="inlineStr">
        <is>
          <t>2027E</t>
        </is>
      </c>
      <c r="D735" s="6" t="inlineStr">
        <is>
          <t>2028E</t>
        </is>
      </c>
      <c r="E735" s="6" t="inlineStr">
        <is>
          <t>2029E</t>
        </is>
      </c>
      <c r="F735" s="6" t="inlineStr">
        <is>
          <t>2030E</t>
        </is>
      </c>
    </row>
    <row r="736">
      <c r="A736" s="7" t="inlineStr">
        <is>
          <t>Inflation index, cumulative</t>
        </is>
      </c>
      <c r="C736" s="23">
        <f>Assumptions!$B$167</f>
        <v/>
      </c>
      <c r="D736" s="23">
        <f>C736*Assumptions!$B$168</f>
        <v/>
      </c>
      <c r="E736" s="23">
        <f>D736*Assumptions!$B$169</f>
        <v/>
      </c>
      <c r="F736" s="23">
        <f>E736*Assumptions!$B$170</f>
        <v/>
      </c>
      <c r="G736" s="23">
        <f>F736*Assumptions!$B$171</f>
        <v/>
      </c>
    </row>
    <row r="737">
      <c r="A737" s="7" t="inlineStr">
        <is>
          <t>Realisation index, cumulative</t>
        </is>
      </c>
      <c r="C737" s="23">
        <f>(1+Assumptions!$B$122*$D$24)</f>
        <v/>
      </c>
      <c r="D737" s="23">
        <f>C737*(1+Assumptions!$B$123*$D$24)</f>
        <v/>
      </c>
      <c r="E737" s="23">
        <f>D737*(1+Assumptions!$B$124*$D$24)</f>
        <v/>
      </c>
      <c r="F737" s="23">
        <f>E737*(1+Assumptions!$B$125*$D$24)</f>
        <v/>
      </c>
      <c r="G737" s="23">
        <f>F737*(1+Assumptions!$B$126*$D$24)</f>
        <v/>
      </c>
    </row>
    <row r="738">
      <c r="A738" s="7" t="inlineStr">
        <is>
          <t xml:space="preserve">  Volume — Base and special oils, mn t</t>
        </is>
      </c>
      <c r="C738" s="23">
        <f>'Segments'!E6*(1+Assumptions!$B$127+DCF!$B$6)</f>
        <v/>
      </c>
      <c r="D738" s="23">
        <f>C738*(1+Assumptions!$B$128+DCF!$B$6)</f>
        <v/>
      </c>
      <c r="E738" s="23">
        <f>D738*(1+Assumptions!$B$129+DCF!$B$6)</f>
        <v/>
      </c>
      <c r="F738" s="23">
        <f>E738*(1+Assumptions!$B$130+DCF!$B$6)</f>
        <v/>
      </c>
      <c r="G738" s="23">
        <f>F738*(1+Assumptions!$B$131+DCF!$B$6)</f>
        <v/>
      </c>
    </row>
    <row r="739">
      <c r="A739" s="7" t="inlineStr">
        <is>
          <t xml:space="preserve">  Volume — Paraffin wax, mn t</t>
        </is>
      </c>
      <c r="C739" s="23">
        <f>'Segments'!E7*(1+Assumptions!$B$132+DCF!$B$6)</f>
        <v/>
      </c>
      <c r="D739" s="23">
        <f>C739*(1+Assumptions!$B$133+DCF!$B$6)</f>
        <v/>
      </c>
      <c r="E739" s="23">
        <f>D739*(1+Assumptions!$B$134+DCF!$B$6)</f>
        <v/>
      </c>
      <c r="F739" s="23">
        <f>E739*(1+Assumptions!$B$135+DCF!$B$6)</f>
        <v/>
      </c>
      <c r="G739" s="23">
        <f>F739*(1+Assumptions!$B$136+DCF!$B$6)</f>
        <v/>
      </c>
    </row>
    <row r="740">
      <c r="A740" s="7" t="inlineStr">
        <is>
          <t xml:space="preserve">  Volume — Gas oil, mn t</t>
        </is>
      </c>
      <c r="C740" s="23">
        <f>'Segments'!E8*(1+Assumptions!$B$137+DCF!$B$6)</f>
        <v/>
      </c>
      <c r="D740" s="23">
        <f>C740*(1+Assumptions!$B$138+DCF!$B$6)</f>
        <v/>
      </c>
      <c r="E740" s="23">
        <f>D740*(1+Assumptions!$B$139+DCF!$B$6)</f>
        <v/>
      </c>
      <c r="F740" s="23">
        <f>E740*(1+Assumptions!$B$140+DCF!$B$6)</f>
        <v/>
      </c>
      <c r="G740" s="23">
        <f>F740*(1+Assumptions!$B$141+DCF!$B$6)</f>
        <v/>
      </c>
    </row>
    <row r="741">
      <c r="A741" s="7" t="inlineStr">
        <is>
          <t xml:space="preserve">  Volume — Naphtha, mn t</t>
        </is>
      </c>
      <c r="C741" s="23">
        <f>'Segments'!E9*(1+Assumptions!$B$142+DCF!$B$6)</f>
        <v/>
      </c>
      <c r="D741" s="23">
        <f>C741*(1+Assumptions!$B$143+DCF!$B$6)</f>
        <v/>
      </c>
      <c r="E741" s="23">
        <f>D741*(1+Assumptions!$B$144+DCF!$B$6)</f>
        <v/>
      </c>
      <c r="F741" s="23">
        <f>E741*(1+Assumptions!$B$145+DCF!$B$6)</f>
        <v/>
      </c>
      <c r="G741" s="23">
        <f>F741*(1+Assumptions!$B$146+DCF!$B$6)</f>
        <v/>
      </c>
    </row>
    <row r="742">
      <c r="A742" s="7" t="inlineStr">
        <is>
          <t xml:space="preserve">  Volume — Liquefied petroleum gas, mn t</t>
        </is>
      </c>
      <c r="C742" s="23">
        <f>'Segments'!E10*(1+Assumptions!$B$147+DCF!$B$6)</f>
        <v/>
      </c>
      <c r="D742" s="23">
        <f>C742*(1+Assumptions!$B$148+DCF!$B$6)</f>
        <v/>
      </c>
      <c r="E742" s="23">
        <f>D742*(1+Assumptions!$B$149+DCF!$B$6)</f>
        <v/>
      </c>
      <c r="F742" s="23">
        <f>E742*(1+Assumptions!$B$150+DCF!$B$6)</f>
        <v/>
      </c>
      <c r="G742" s="23">
        <f>F742*(1+Assumptions!$B$151+DCF!$B$6)</f>
        <v/>
      </c>
    </row>
    <row r="743">
      <c r="A743" s="7" t="inlineStr">
        <is>
          <t xml:space="preserve">  Volume — Fuel oil (mix), mn t</t>
        </is>
      </c>
      <c r="C743" s="23">
        <f>'Segments'!E11*(1+Assumptions!$B$152+DCF!$B$6)</f>
        <v/>
      </c>
      <c r="D743" s="23">
        <f>C743*(1+Assumptions!$B$153+DCF!$B$6)</f>
        <v/>
      </c>
      <c r="E743" s="23">
        <f>D743*(1+Assumptions!$B$154+DCF!$B$6)</f>
        <v/>
      </c>
      <c r="F743" s="23">
        <f>E743*(1+Assumptions!$B$155+DCF!$B$6)</f>
        <v/>
      </c>
      <c r="G743" s="23">
        <f>F743*(1+Assumptions!$B$156+DCF!$B$6)</f>
        <v/>
      </c>
    </row>
    <row r="744">
      <c r="A744" s="7" t="inlineStr">
        <is>
          <t xml:space="preserve">  Volume — Heavy fuel oil, mn t</t>
        </is>
      </c>
      <c r="C744" s="23">
        <f>'Segments'!E12*(1+Assumptions!$B$157+DCF!$B$6)</f>
        <v/>
      </c>
      <c r="D744" s="23">
        <f>C744*(1+Assumptions!$B$158+DCF!$B$6)</f>
        <v/>
      </c>
      <c r="E744" s="23">
        <f>D744*(1+Assumptions!$B$159+DCF!$B$6)</f>
        <v/>
      </c>
      <c r="F744" s="23">
        <f>E744*(1+Assumptions!$B$160+DCF!$B$6)</f>
        <v/>
      </c>
      <c r="G744" s="23">
        <f>F744*(1+Assumptions!$B$161+DCF!$B$6)</f>
        <v/>
      </c>
    </row>
    <row r="745">
      <c r="A745" s="7" t="inlineStr">
        <is>
          <t xml:space="preserve">  Volume — Waste, mn t</t>
        </is>
      </c>
      <c r="C745" s="23">
        <f>'Segments'!E13*(1+Assumptions!$B$162+DCF!$B$6)</f>
        <v/>
      </c>
      <c r="D745" s="23">
        <f>C745*(1+Assumptions!$B$163+DCF!$B$6)</f>
        <v/>
      </c>
      <c r="E745" s="23">
        <f>D745*(1+Assumptions!$B$164+DCF!$B$6)</f>
        <v/>
      </c>
      <c r="F745" s="23">
        <f>E745*(1+Assumptions!$B$165+DCF!$B$6)</f>
        <v/>
      </c>
      <c r="G745" s="23">
        <f>F745*(1+Assumptions!$B$166+DCF!$B$6)</f>
        <v/>
      </c>
    </row>
    <row r="746">
      <c r="A746" s="15" t="inlineStr">
        <is>
          <t>Total volume, mn t</t>
        </is>
      </c>
      <c r="C746" s="36">
        <f>SUM(C738:C745)</f>
        <v/>
      </c>
      <c r="D746" s="36">
        <f>SUM(D738:D745)</f>
        <v/>
      </c>
      <c r="E746" s="36">
        <f>SUM(E738:E745)</f>
        <v/>
      </c>
      <c r="F746" s="36">
        <f>SUM(F738:F745)</f>
        <v/>
      </c>
      <c r="G746" s="36">
        <f>SUM(G738:G745)</f>
        <v/>
      </c>
    </row>
    <row r="747">
      <c r="A747" s="15" t="inlineStr">
        <is>
          <t>REVENUE</t>
        </is>
      </c>
      <c r="C747" s="37">
        <f>C738*'Segments'!$F$6*C737+C739*'Segments'!$F$7*C737+C740*'Segments'!$F$8*C737+C741*'Segments'!$F$9*C737+C742*'Segments'!$F$10*C737+C743*'Segments'!$F$11*C737+C744*'Segments'!$F$12*C737+C745*'Segments'!$F$13*C737</f>
        <v/>
      </c>
      <c r="D747" s="37">
        <f>D738*'Segments'!$F$6*D737+D739*'Segments'!$F$7*D737+D740*'Segments'!$F$8*D737+D741*'Segments'!$F$9*D737+D742*'Segments'!$F$10*D737+D743*'Segments'!$F$11*D737+D744*'Segments'!$F$12*D737+D745*'Segments'!$F$13*D737</f>
        <v/>
      </c>
      <c r="E747" s="37">
        <f>E738*'Segments'!$F$6*E737+E739*'Segments'!$F$7*E737+E740*'Segments'!$F$8*E737+E741*'Segments'!$F$9*E737+E742*'Segments'!$F$10*E737+E743*'Segments'!$F$11*E737+E744*'Segments'!$F$12*E737+E745*'Segments'!$F$13*E737</f>
        <v/>
      </c>
      <c r="F747" s="37">
        <f>F738*'Segments'!$F$6*F737+F739*'Segments'!$F$7*F737+F740*'Segments'!$F$8*F737+F741*'Segments'!$F$9*F737+F742*'Segments'!$F$10*F737+F743*'Segments'!$F$11*F737+F744*'Segments'!$F$12*F737+F745*'Segments'!$F$13*F737</f>
        <v/>
      </c>
      <c r="G747" s="37">
        <f>G738*'Segments'!$F$6*G737+G739*'Segments'!$F$7*G737+G740*'Segments'!$F$8*G737+G741*'Segments'!$F$9*G737+G742*'Segments'!$F$10*G737+G743*'Segments'!$F$11*G737+G744*'Segments'!$F$12*G737+G745*'Segments'!$F$13*G737</f>
        <v/>
      </c>
    </row>
    <row r="748">
      <c r="A748" s="7" t="inlineStr">
        <is>
          <t>Cost of sales</t>
        </is>
      </c>
      <c r="C748" s="18">
        <f>C738*('Segments'!$D$27*C737*Assumptions!$B$109+'Segments'!$B$27*(0.4983251709*C736+0.4357405005*C736+0.0330936548*C737+0.0328406739))+C739*('Segments'!$D$28*C737*Assumptions!$B$109+'Segments'!$B$28*(0.4983251709*C736+0.4357405005*C736+0.0330936548*C737+0.0328406739))+C740*('Segments'!$D$29*C737*Assumptions!$B$109+'Segments'!$B$29*(0.4983251709*C736+0.4357405005*C736+0.0330936548*C737+0.0328406739))+C741*('Segments'!$D$30*C737*Assumptions!$B$109+'Segments'!$B$30*(0.4983251709*C736+0.4357405005*C736+0.0330936548*C737+0.0328406739))+C742*('Segments'!$D$31*C737*Assumptions!$B$109+'Segments'!$B$31*(0.4983251709*C736+0.4357405005*C736+0.0330936548*C737+0.0328406739))+C743*('Segments'!$D$32*C737*Assumptions!$B$109+'Segments'!$B$32*(0.4983251709*C736+0.4357405005*C736+0.0330936548*C737+0.0328406739))+C744*('Segments'!$D$33*C737*Assumptions!$B$109+'Segments'!$B$33*(0.4983251709*C736+0.4357405005*C736+0.0330936548*C737+0.0328406739))+C745*('Segments'!$D$34*C737*Assumptions!$B$109+'Segments'!$B$34*(0.4983251709*C736+0.4357405005*C736+0.0330936548*C737+0.0328406739))</f>
        <v/>
      </c>
      <c r="D748" s="18">
        <f>D738*('Segments'!$D$27*D737*Assumptions!$B$109+'Segments'!$B$27*(0.4983251709*D736+0.4357405005*D736+0.0330936548*D737+0.0328406739))+D739*('Segments'!$D$28*D737*Assumptions!$B$109+'Segments'!$B$28*(0.4983251709*D736+0.4357405005*D736+0.0330936548*D737+0.0328406739))+D740*('Segments'!$D$29*D737*Assumptions!$B$109+'Segments'!$B$29*(0.4983251709*D736+0.4357405005*D736+0.0330936548*D737+0.0328406739))+D741*('Segments'!$D$30*D737*Assumptions!$B$109+'Segments'!$B$30*(0.4983251709*D736+0.4357405005*D736+0.0330936548*D737+0.0328406739))+D742*('Segments'!$D$31*D737*Assumptions!$B$109+'Segments'!$B$31*(0.4983251709*D736+0.4357405005*D736+0.0330936548*D737+0.0328406739))+D743*('Segments'!$D$32*D737*Assumptions!$B$109+'Segments'!$B$32*(0.4983251709*D736+0.4357405005*D736+0.0330936548*D737+0.0328406739))+D744*('Segments'!$D$33*D737*Assumptions!$B$109+'Segments'!$B$33*(0.4983251709*D736+0.4357405005*D736+0.0330936548*D737+0.0328406739))+D745*('Segments'!$D$34*D737*Assumptions!$B$109+'Segments'!$B$34*(0.4983251709*D736+0.4357405005*D736+0.0330936548*D737+0.0328406739))</f>
        <v/>
      </c>
      <c r="E748" s="18">
        <f>E738*('Segments'!$D$27*E737*Assumptions!$B$109+'Segments'!$B$27*(0.4983251709*E736+0.4357405005*E736+0.0330936548*E737+0.0328406739))+E739*('Segments'!$D$28*E737*Assumptions!$B$109+'Segments'!$B$28*(0.4983251709*E736+0.4357405005*E736+0.0330936548*E737+0.0328406739))+E740*('Segments'!$D$29*E737*Assumptions!$B$109+'Segments'!$B$29*(0.4983251709*E736+0.4357405005*E736+0.0330936548*E737+0.0328406739))+E741*('Segments'!$D$30*E737*Assumptions!$B$109+'Segments'!$B$30*(0.4983251709*E736+0.4357405005*E736+0.0330936548*E737+0.0328406739))+E742*('Segments'!$D$31*E737*Assumptions!$B$109+'Segments'!$B$31*(0.4983251709*E736+0.4357405005*E736+0.0330936548*E737+0.0328406739))+E743*('Segments'!$D$32*E737*Assumptions!$B$109+'Segments'!$B$32*(0.4983251709*E736+0.4357405005*E736+0.0330936548*E737+0.0328406739))+E744*('Segments'!$D$33*E737*Assumptions!$B$109+'Segments'!$B$33*(0.4983251709*E736+0.4357405005*E736+0.0330936548*E737+0.0328406739))+E745*('Segments'!$D$34*E737*Assumptions!$B$109+'Segments'!$B$34*(0.4983251709*E736+0.4357405005*E736+0.0330936548*E737+0.0328406739))</f>
        <v/>
      </c>
      <c r="F748" s="18">
        <f>F738*('Segments'!$D$27*F737*Assumptions!$B$109+'Segments'!$B$27*(0.4983251709*F736+0.4357405005*F736+0.0330936548*F737+0.0328406739))+F739*('Segments'!$D$28*F737*Assumptions!$B$109+'Segments'!$B$28*(0.4983251709*F736+0.4357405005*F736+0.0330936548*F737+0.0328406739))+F740*('Segments'!$D$29*F737*Assumptions!$B$109+'Segments'!$B$29*(0.4983251709*F736+0.4357405005*F736+0.0330936548*F737+0.0328406739))+F741*('Segments'!$D$30*F737*Assumptions!$B$109+'Segments'!$B$30*(0.4983251709*F736+0.4357405005*F736+0.0330936548*F737+0.0328406739))+F742*('Segments'!$D$31*F737*Assumptions!$B$109+'Segments'!$B$31*(0.4983251709*F736+0.4357405005*F736+0.0330936548*F737+0.0328406739))+F743*('Segments'!$D$32*F737*Assumptions!$B$109+'Segments'!$B$32*(0.4983251709*F736+0.4357405005*F736+0.0330936548*F737+0.0328406739))+F744*('Segments'!$D$33*F737*Assumptions!$B$109+'Segments'!$B$33*(0.4983251709*F736+0.4357405005*F736+0.0330936548*F737+0.0328406739))+F745*('Segments'!$D$34*F737*Assumptions!$B$109+'Segments'!$B$34*(0.4983251709*F736+0.4357405005*F736+0.0330936548*F737+0.0328406739))</f>
        <v/>
      </c>
      <c r="G748" s="18">
        <f>G738*('Segments'!$D$27*G737*Assumptions!$B$109+'Segments'!$B$27*(0.4983251709*G736+0.4357405005*G736+0.0330936548*G737+0.0328406739))+G739*('Segments'!$D$28*G737*Assumptions!$B$109+'Segments'!$B$28*(0.4983251709*G736+0.4357405005*G736+0.0330936548*G737+0.0328406739))+G740*('Segments'!$D$29*G737*Assumptions!$B$109+'Segments'!$B$29*(0.4983251709*G736+0.4357405005*G736+0.0330936548*G737+0.0328406739))+G741*('Segments'!$D$30*G737*Assumptions!$B$109+'Segments'!$B$30*(0.4983251709*G736+0.4357405005*G736+0.0330936548*G737+0.0328406739))+G742*('Segments'!$D$31*G737*Assumptions!$B$109+'Segments'!$B$31*(0.4983251709*G736+0.4357405005*G736+0.0330936548*G737+0.0328406739))+G743*('Segments'!$D$32*G737*Assumptions!$B$109+'Segments'!$B$32*(0.4983251709*G736+0.4357405005*G736+0.0330936548*G737+0.0328406739))+G744*('Segments'!$D$33*G737*Assumptions!$B$109+'Segments'!$B$33*(0.4983251709*G736+0.4357405005*G736+0.0330936548*G737+0.0328406739))+G745*('Segments'!$D$34*G737*Assumptions!$B$109+'Segments'!$B$34*(0.4983251709*G736+0.4357405005*G736+0.0330936548*G737+0.0328406739))</f>
        <v/>
      </c>
    </row>
    <row r="749">
      <c r="A749" s="15" t="inlineStr">
        <is>
          <t>GROSS PROFIT</t>
        </is>
      </c>
      <c r="C749" s="37">
        <f>C747-C748+DCF!$B$7*C747</f>
        <v/>
      </c>
      <c r="D749" s="37">
        <f>D747-D748+DCF!$B$7*D747</f>
        <v/>
      </c>
      <c r="E749" s="37">
        <f>E747-E748+DCF!$B$7*E747</f>
        <v/>
      </c>
      <c r="F749" s="37">
        <f>F747-F748+DCF!$B$7*F747</f>
        <v/>
      </c>
      <c r="G749" s="37">
        <f>G747-G748+DCF!$B$7*G747</f>
        <v/>
      </c>
    </row>
    <row r="750">
      <c r="A750" s="7" t="inlineStr">
        <is>
          <t>Gross margin</t>
        </is>
      </c>
      <c r="C750" s="24">
        <f>C749/C747</f>
        <v/>
      </c>
      <c r="D750" s="24">
        <f>D749/D747</f>
        <v/>
      </c>
      <c r="E750" s="24">
        <f>E749/E747</f>
        <v/>
      </c>
      <c r="F750" s="24">
        <f>F749/F747</f>
        <v/>
      </c>
      <c r="G750" s="24">
        <f>G749/G747</f>
        <v/>
      </c>
    </row>
    <row r="751">
      <c r="A751" s="7" t="inlineStr">
        <is>
          <t>Operating expense</t>
        </is>
      </c>
      <c r="C751" s="18">
        <f>('Income Statement'!$B$28*C736)+('Income Statement'!$B$29*C736*C746/'Segments'!$E$14)+('Income Statement'!$B$30*C736)+('Income Statement'!$B$31*C736)</f>
        <v/>
      </c>
      <c r="D751" s="18">
        <f>('Income Statement'!$B$28*D736)+('Income Statement'!$B$29*D736*D746/'Segments'!$E$14)+('Income Statement'!$B$30*D736)+('Income Statement'!$B$31*D736)</f>
        <v/>
      </c>
      <c r="E751" s="18">
        <f>('Income Statement'!$B$28*E736)+('Income Statement'!$B$29*E736*E746/'Segments'!$E$14)+('Income Statement'!$B$30*E736)+('Income Statement'!$B$31*E736)</f>
        <v/>
      </c>
      <c r="F751" s="18">
        <f>('Income Statement'!$B$28*F736)+('Income Statement'!$B$29*F736*F746/'Segments'!$E$14)+('Income Statement'!$B$30*F736)+('Income Statement'!$B$31*F736)</f>
        <v/>
      </c>
      <c r="G751" s="18">
        <f>('Income Statement'!$B$28*G736)+('Income Statement'!$B$29*G736*G746/'Segments'!$E$14)+('Income Statement'!$B$30*G736)+('Income Statement'!$B$31*G736)</f>
        <v/>
      </c>
    </row>
    <row r="752">
      <c r="A752" s="15" t="inlineStr">
        <is>
          <t>EBITDA</t>
        </is>
      </c>
      <c r="C752" s="37">
        <f>C749-C751</f>
        <v/>
      </c>
      <c r="D752" s="37">
        <f>D749-D751</f>
        <v/>
      </c>
      <c r="E752" s="37">
        <f>E749-E751</f>
        <v/>
      </c>
      <c r="F752" s="37">
        <f>F749-F751</f>
        <v/>
      </c>
      <c r="G752" s="37">
        <f>G749-G751</f>
        <v/>
      </c>
    </row>
    <row r="753">
      <c r="A753" s="7" t="inlineStr">
        <is>
          <t>Capital expenditure — maintenance + growth</t>
        </is>
      </c>
      <c r="C753" s="18">
        <f>'Income Statement'!$B$43*C736+MAX(C746-'Segments'!$E$14,0)*2100.379938*C736</f>
        <v/>
      </c>
      <c r="D753" s="18">
        <f>'Income Statement'!$B$43*D736+MAX(D746-C746,0)*2100.379938*D736</f>
        <v/>
      </c>
      <c r="E753" s="18">
        <f>'Income Statement'!$B$43*E736+MAX(E746-D746,0)*2100.379938*E736</f>
        <v/>
      </c>
      <c r="F753" s="18">
        <f>'Income Statement'!$B$43*F736+MAX(F746-E746,0)*2100.379938*F736</f>
        <v/>
      </c>
      <c r="G753" s="18">
        <f>'Income Statement'!$B$43*G736+MAX(G746-F746,0)*2100.379938*G736</f>
        <v/>
      </c>
    </row>
    <row r="754">
      <c r="A754" s="7" t="inlineStr">
        <is>
          <t>Fixed assets at cost, closing</t>
        </is>
      </c>
      <c r="C754" s="18">
        <f>(Assumptions!$B$91+Assumptions!$B$92)/10^6+C753</f>
        <v/>
      </c>
      <c r="D754" s="18">
        <f>C754+D753</f>
        <v/>
      </c>
      <c r="E754" s="18">
        <f>D754+E753</f>
        <v/>
      </c>
      <c r="F754" s="18">
        <f>E754+F753</f>
        <v/>
      </c>
      <c r="G754" s="18">
        <f>F754+G753</f>
        <v/>
      </c>
    </row>
    <row r="755">
      <c r="A755" s="7" t="inlineStr">
        <is>
          <t>Depreciation — rolls off the asset register</t>
        </is>
      </c>
      <c r="C755" s="18">
        <f>(Assumptions!$B$91+Assumptions!$B$92)/10^6/'Income Statement'!$B$42</f>
        <v/>
      </c>
      <c r="D755" s="18">
        <f>C754/'Income Statement'!$B$42</f>
        <v/>
      </c>
      <c r="E755" s="18">
        <f>D754/'Income Statement'!$B$42</f>
        <v/>
      </c>
      <c r="F755" s="18">
        <f>E754/'Income Statement'!$B$42</f>
        <v/>
      </c>
      <c r="G755" s="18">
        <f>F754/'Income Statement'!$B$42</f>
        <v/>
      </c>
    </row>
    <row r="756">
      <c r="A756" s="7" t="inlineStr">
        <is>
          <t>Fixed assets, net book, closing</t>
        </is>
      </c>
      <c r="C756" s="18">
        <f>(Assumptions!$B$90+Assumptions!$B$92)/10^6+C753-C755</f>
        <v/>
      </c>
      <c r="D756" s="18">
        <f>C756+D753-D755</f>
        <v/>
      </c>
      <c r="E756" s="18">
        <f>D756+E753-E755</f>
        <v/>
      </c>
      <c r="F756" s="18">
        <f>E756+F753-F755</f>
        <v/>
      </c>
      <c r="G756" s="18">
        <f>F756+G753-G755</f>
        <v/>
      </c>
    </row>
    <row r="757">
      <c r="A757" s="15" t="inlineStr">
        <is>
          <t>EBIT</t>
        </is>
      </c>
      <c r="C757" s="37">
        <f>C752-C755</f>
        <v/>
      </c>
      <c r="D757" s="37">
        <f>D752-D755</f>
        <v/>
      </c>
      <c r="E757" s="37">
        <f>E752-E755</f>
        <v/>
      </c>
      <c r="F757" s="37">
        <f>F752-F755</f>
        <v/>
      </c>
      <c r="G757" s="37">
        <f>G752-G755</f>
        <v/>
      </c>
    </row>
    <row r="758">
      <c r="A758" s="7" t="inlineStr">
        <is>
          <t>NOPAT before the profit share</t>
        </is>
      </c>
      <c r="C758" s="18">
        <f>C757*(1-Assumptions!$B$108)</f>
        <v/>
      </c>
      <c r="D758" s="18">
        <f>D757*(1-Assumptions!$B$108)</f>
        <v/>
      </c>
      <c r="E758" s="18">
        <f>E757*(1-Assumptions!$B$108)</f>
        <v/>
      </c>
      <c r="F758" s="18">
        <f>F757*(1-Assumptions!$B$108)</f>
        <v/>
      </c>
      <c r="G758" s="18">
        <f>G757*(1-Assumptions!$B$108)</f>
        <v/>
      </c>
    </row>
    <row r="759">
      <c r="A759" s="7" t="inlineStr">
        <is>
          <t xml:space="preserve">  less employees' profit share and board bonuses</t>
        </is>
      </c>
      <c r="C759" s="18">
        <f>MAX(C758,0)*'Income Statement'!$B$40</f>
        <v/>
      </c>
      <c r="D759" s="18">
        <f>MAX(D758,0)*'Income Statement'!$B$40</f>
        <v/>
      </c>
      <c r="E759" s="18">
        <f>MAX(E758,0)*'Income Statement'!$B$40</f>
        <v/>
      </c>
      <c r="F759" s="18">
        <f>MAX(F758,0)*'Income Statement'!$B$40</f>
        <v/>
      </c>
      <c r="G759" s="18">
        <f>MAX(G758,0)*'Income Statement'!$B$40</f>
        <v/>
      </c>
    </row>
    <row r="760">
      <c r="A760" s="15" t="inlineStr">
        <is>
          <t>NOPAT</t>
        </is>
      </c>
      <c r="C760" s="37">
        <f>C758-C759</f>
        <v/>
      </c>
      <c r="D760" s="37">
        <f>D758-D759</f>
        <v/>
      </c>
      <c r="E760" s="37">
        <f>E758-E759</f>
        <v/>
      </c>
      <c r="F760" s="37">
        <f>F758-F759</f>
        <v/>
      </c>
      <c r="G760" s="37">
        <f>G758-G759</f>
        <v/>
      </c>
    </row>
    <row r="761">
      <c r="A761" s="7" t="inlineStr">
        <is>
          <t>Net working capital — on days</t>
        </is>
      </c>
      <c r="C761" s="18">
        <f>'Income Statement'!$B$44*DCF!$B$9/365*C748+'Income Statement'!$B$45*DCF!$B$9/365*C747-'Income Statement'!$B$46*DCF!$B$9/365*C748</f>
        <v/>
      </c>
      <c r="D761" s="18">
        <f>'Income Statement'!$B$44*DCF!$B$9/365*D748+'Income Statement'!$B$45*DCF!$B$9/365*D747-'Income Statement'!$B$46*DCF!$B$9/365*D748</f>
        <v/>
      </c>
      <c r="E761" s="18">
        <f>'Income Statement'!$B$44*DCF!$B$9/365*E748+'Income Statement'!$B$45*DCF!$B$9/365*E747-'Income Statement'!$B$46*DCF!$B$9/365*E748</f>
        <v/>
      </c>
      <c r="F761" s="18">
        <f>'Income Statement'!$B$44*DCF!$B$9/365*F748+'Income Statement'!$B$45*DCF!$B$9/365*F747-'Income Statement'!$B$46*DCF!$B$9/365*F748</f>
        <v/>
      </c>
      <c r="G761" s="18">
        <f>'Income Statement'!$B$44*DCF!$B$9/365*G748+'Income Statement'!$B$45*DCF!$B$9/365*G747-'Income Statement'!$B$46*DCF!$B$9/365*G748</f>
        <v/>
      </c>
    </row>
    <row r="762">
      <c r="A762" s="7" t="inlineStr">
        <is>
          <t xml:space="preserve">  change in working capital</t>
        </is>
      </c>
      <c r="C762" s="18">
        <f>C761-('Income Statement'!$B$44/365*'Income Statement'!$B$21+'Income Statement'!$B$45/365*'Income Statement'!$B$19-'Income Statement'!$B$46/365*'Income Statement'!$B$21)</f>
        <v/>
      </c>
      <c r="D762" s="18">
        <f>D761-C761</f>
        <v/>
      </c>
      <c r="E762" s="18">
        <f>E761-D761</f>
        <v/>
      </c>
      <c r="F762" s="18">
        <f>F761-E761</f>
        <v/>
      </c>
      <c r="G762" s="18">
        <f>G761-F761</f>
        <v/>
      </c>
    </row>
    <row r="763">
      <c r="A763" s="15" t="inlineStr">
        <is>
          <t>FREE CASH FLOW TO THE FIRM</t>
        </is>
      </c>
      <c r="C763" s="37">
        <f>C760+C755-C753-C762</f>
        <v/>
      </c>
      <c r="D763" s="37">
        <f>D760+D755-D753-D762</f>
        <v/>
      </c>
      <c r="E763" s="37">
        <f>E760+E755-E753-E762</f>
        <v/>
      </c>
      <c r="F763" s="37">
        <f>F760+F755-F753-F762</f>
        <v/>
      </c>
      <c r="G763" s="37">
        <f>G760+G755-G753-G762</f>
        <v/>
      </c>
    </row>
    <row r="764">
      <c r="A764" s="7" t="inlineStr">
        <is>
          <t>Glide fraction</t>
        </is>
      </c>
      <c r="C764" s="23">
        <f>0.0000000000</f>
        <v/>
      </c>
      <c r="D764" s="23">
        <f>0.3571428571</f>
        <v/>
      </c>
      <c r="E764" s="23">
        <f>0.6428571429</f>
        <v/>
      </c>
      <c r="F764" s="23">
        <f>0.8571428571</f>
        <v/>
      </c>
      <c r="G764" s="23">
        <f>1.0000000000</f>
        <v/>
      </c>
    </row>
    <row r="765">
      <c r="A765" s="7" t="inlineStr">
        <is>
          <t>Forward cost of capital</t>
        </is>
      </c>
      <c r="C765" s="24">
        <f>DCF!$B$14-(DCF!$B$14-DCF!$B$17)*C764</f>
        <v/>
      </c>
      <c r="D765" s="24">
        <f>DCF!$B$14-(DCF!$B$14-DCF!$B$17)*D764</f>
        <v/>
      </c>
      <c r="E765" s="24">
        <f>DCF!$B$14-(DCF!$B$14-DCF!$B$17)*E764</f>
        <v/>
      </c>
      <c r="F765" s="24">
        <f>DCF!$B$14-(DCF!$B$14-DCF!$B$17)*F764</f>
        <v/>
      </c>
      <c r="G765" s="24">
        <f>DCF!$B$14-(DCF!$B$14-DCF!$B$17)*G764</f>
        <v/>
      </c>
    </row>
    <row r="766">
      <c r="A766" s="7" t="inlineStr">
        <is>
          <t>Cumulative discount factor</t>
        </is>
      </c>
      <c r="C766" s="40">
        <f>1/(1+C765)</f>
        <v/>
      </c>
      <c r="D766" s="40">
        <f>C766/(1+D765)</f>
        <v/>
      </c>
      <c r="E766" s="40">
        <f>D766/(1+E765)</f>
        <v/>
      </c>
      <c r="F766" s="40">
        <f>E766/(1+F765)</f>
        <v/>
      </c>
      <c r="G766" s="40">
        <f>F766/(1+G765)</f>
        <v/>
      </c>
    </row>
    <row r="767">
      <c r="A767" s="7" t="inlineStr">
        <is>
          <t>Present value</t>
        </is>
      </c>
      <c r="C767" s="18">
        <f>C763*C766</f>
        <v/>
      </c>
      <c r="D767" s="18">
        <f>D763*D766</f>
        <v/>
      </c>
      <c r="E767" s="18">
        <f>E763*E766</f>
        <v/>
      </c>
      <c r="F767" s="18">
        <f>F763*F766</f>
        <v/>
      </c>
      <c r="G767" s="18">
        <f>G763*G766</f>
        <v/>
      </c>
    </row>
    <row r="768">
      <c r="A768" s="15" t="inlineStr">
        <is>
          <t>PV of the explicit window</t>
        </is>
      </c>
      <c r="B768" s="37">
        <f>SUM(C767:G767)</f>
        <v/>
      </c>
      <c r="C768" s="18">
        <f>C761+C754</f>
        <v/>
      </c>
      <c r="D768" s="18">
        <f>D761+D754</f>
        <v/>
      </c>
      <c r="E768" s="18">
        <f>E761+E754</f>
        <v/>
      </c>
      <c r="F768" s="18">
        <f>F761+F754</f>
        <v/>
      </c>
      <c r="G768" s="18">
        <f>G761+G754</f>
        <v/>
      </c>
    </row>
    <row r="769">
      <c r="A769" s="7" t="inlineStr">
        <is>
          <t>Terminal return on invested capital, at REPLACEMENT cost</t>
        </is>
      </c>
      <c r="B769" s="24">
        <f>G760*(1+Assumptions!$B$110)/G768</f>
        <v/>
      </c>
    </row>
    <row r="770">
      <c r="A770" s="7" t="inlineStr">
        <is>
          <t>Required reinvestment = growth / return</t>
        </is>
      </c>
      <c r="B770" s="24">
        <f>MIN(Assumptions!$B$110/B769,0.95)</f>
        <v/>
      </c>
    </row>
    <row r="771">
      <c r="A771" s="7" t="inlineStr">
        <is>
          <t>Terminal value</t>
        </is>
      </c>
      <c r="B771" s="18">
        <f>G760*(1+Assumptions!$B$110)*(1-B770)/MAX(DCF!$B$17-Assumptions!$B$110,0.02)</f>
        <v/>
      </c>
    </row>
    <row r="772">
      <c r="A772" s="7" t="inlineStr">
        <is>
          <t>PV of the terminal block</t>
        </is>
      </c>
      <c r="B772" s="18">
        <f>B771*G766</f>
        <v/>
      </c>
    </row>
    <row r="773">
      <c r="A773" s="15" t="inlineStr">
        <is>
          <t>ENTERPRISE VALUE</t>
        </is>
      </c>
      <c r="B773" s="37">
        <f>B768+B772</f>
        <v/>
      </c>
    </row>
    <row r="774">
      <c r="A774" s="7" t="inlineStr">
        <is>
          <t>plus net cash</t>
        </is>
      </c>
      <c r="B774" s="18">
        <f>(Assumptions!$B$100-Assumptions!$B$103-Assumptions!$B$104)/10^6</f>
        <v/>
      </c>
    </row>
    <row r="775">
      <c r="A775" s="7" t="inlineStr">
        <is>
          <t>Enterprise value including cash</t>
        </is>
      </c>
      <c r="B775" s="18">
        <f>B773+B774</f>
        <v/>
      </c>
    </row>
    <row r="776">
      <c r="A776" s="7" t="inlineStr">
        <is>
          <t>less minority — on the WHOLE enterprise, cash included</t>
        </is>
      </c>
      <c r="B776" s="18">
        <f>B775*'Income Statement'!$B$41</f>
        <v/>
      </c>
    </row>
    <row r="777">
      <c r="A777" s="7" t="inlineStr">
        <is>
          <t>less the tax-disputes provision</t>
        </is>
      </c>
      <c r="B777" s="18">
        <f>Assumptions!$B$99/10^6</f>
        <v/>
      </c>
    </row>
    <row r="778">
      <c r="A778" s="7" t="inlineStr">
        <is>
          <t>less dividends payable — declared, out of working capital</t>
        </is>
      </c>
      <c r="B778" s="18">
        <f>Assumptions!$B$98/10^6</f>
        <v/>
      </c>
    </row>
    <row r="779">
      <c r="A779" s="7" t="inlineStr">
        <is>
          <t>plus non-operating investments and pledged deposits</t>
        </is>
      </c>
      <c r="B779" s="18">
        <f>(Assumptions!$B$102+Assumptions!$B$101)/10^6</f>
        <v/>
      </c>
    </row>
    <row r="780">
      <c r="A780" s="15" t="inlineStr">
        <is>
          <t>EQUITY ATTRIBUTABLE</t>
        </is>
      </c>
      <c r="B780" s="37">
        <f>B775-B776-B777-B778+B779</f>
        <v/>
      </c>
    </row>
    <row r="781">
      <c r="A781" s="15" t="inlineStr">
        <is>
          <t>VALUE PER SHARE, EGP</t>
        </is>
      </c>
      <c r="B781" s="22">
        <f>B780/Assumptions!$B$8</f>
        <v/>
      </c>
    </row>
    <row r="784">
      <c r="A784" s="6" t="inlineStr">
        <is>
          <t>Beta — 0.6000</t>
        </is>
      </c>
      <c r="B784" s="6" t="inlineStr">
        <is>
          <t>2026E</t>
        </is>
      </c>
      <c r="C784" s="6" t="inlineStr">
        <is>
          <t>2027E</t>
        </is>
      </c>
      <c r="D784" s="6" t="inlineStr">
        <is>
          <t>2028E</t>
        </is>
      </c>
      <c r="E784" s="6" t="inlineStr">
        <is>
          <t>2029E</t>
        </is>
      </c>
      <c r="F784" s="6" t="inlineStr">
        <is>
          <t>2030E</t>
        </is>
      </c>
    </row>
    <row r="785">
      <c r="A785" s="7" t="inlineStr">
        <is>
          <t>Inflation index, cumulative</t>
        </is>
      </c>
      <c r="C785" s="23">
        <f>Assumptions!$B$167</f>
        <v/>
      </c>
      <c r="D785" s="23">
        <f>C785*Assumptions!$B$168</f>
        <v/>
      </c>
      <c r="E785" s="23">
        <f>D785*Assumptions!$B$169</f>
        <v/>
      </c>
      <c r="F785" s="23">
        <f>E785*Assumptions!$B$170</f>
        <v/>
      </c>
      <c r="G785" s="23">
        <f>F785*Assumptions!$B$171</f>
        <v/>
      </c>
    </row>
    <row r="786">
      <c r="A786" s="7" t="inlineStr">
        <is>
          <t>Realisation index, cumulative</t>
        </is>
      </c>
      <c r="C786" s="23">
        <f>(1+Assumptions!$B$122*DCF!$B$8)</f>
        <v/>
      </c>
      <c r="D786" s="23">
        <f>C786*(1+Assumptions!$B$123*DCF!$B$8)</f>
        <v/>
      </c>
      <c r="E786" s="23">
        <f>D786*(1+Assumptions!$B$124*DCF!$B$8)</f>
        <v/>
      </c>
      <c r="F786" s="23">
        <f>E786*(1+Assumptions!$B$125*DCF!$B$8)</f>
        <v/>
      </c>
      <c r="G786" s="23">
        <f>F786*(1+Assumptions!$B$126*DCF!$B$8)</f>
        <v/>
      </c>
    </row>
    <row r="787">
      <c r="A787" s="7" t="inlineStr">
        <is>
          <t xml:space="preserve">  Volume — Base and special oils, mn t</t>
        </is>
      </c>
      <c r="C787" s="23">
        <f>'Segments'!E6*(1+Assumptions!$B$127+DCF!$B$6)</f>
        <v/>
      </c>
      <c r="D787" s="23">
        <f>C787*(1+Assumptions!$B$128+DCF!$B$6)</f>
        <v/>
      </c>
      <c r="E787" s="23">
        <f>D787*(1+Assumptions!$B$129+DCF!$B$6)</f>
        <v/>
      </c>
      <c r="F787" s="23">
        <f>E787*(1+Assumptions!$B$130+DCF!$B$6)</f>
        <v/>
      </c>
      <c r="G787" s="23">
        <f>F787*(1+Assumptions!$B$131+DCF!$B$6)</f>
        <v/>
      </c>
    </row>
    <row r="788">
      <c r="A788" s="7" t="inlineStr">
        <is>
          <t xml:space="preserve">  Volume — Paraffin wax, mn t</t>
        </is>
      </c>
      <c r="C788" s="23">
        <f>'Segments'!E7*(1+Assumptions!$B$132+DCF!$B$6)</f>
        <v/>
      </c>
      <c r="D788" s="23">
        <f>C788*(1+Assumptions!$B$133+DCF!$B$6)</f>
        <v/>
      </c>
      <c r="E788" s="23">
        <f>D788*(1+Assumptions!$B$134+DCF!$B$6)</f>
        <v/>
      </c>
      <c r="F788" s="23">
        <f>E788*(1+Assumptions!$B$135+DCF!$B$6)</f>
        <v/>
      </c>
      <c r="G788" s="23">
        <f>F788*(1+Assumptions!$B$136+DCF!$B$6)</f>
        <v/>
      </c>
    </row>
    <row r="789">
      <c r="A789" s="7" t="inlineStr">
        <is>
          <t xml:space="preserve">  Volume — Gas oil, mn t</t>
        </is>
      </c>
      <c r="C789" s="23">
        <f>'Segments'!E8*(1+Assumptions!$B$137+DCF!$B$6)</f>
        <v/>
      </c>
      <c r="D789" s="23">
        <f>C789*(1+Assumptions!$B$138+DCF!$B$6)</f>
        <v/>
      </c>
      <c r="E789" s="23">
        <f>D789*(1+Assumptions!$B$139+DCF!$B$6)</f>
        <v/>
      </c>
      <c r="F789" s="23">
        <f>E789*(1+Assumptions!$B$140+DCF!$B$6)</f>
        <v/>
      </c>
      <c r="G789" s="23">
        <f>F789*(1+Assumptions!$B$141+DCF!$B$6)</f>
        <v/>
      </c>
    </row>
    <row r="790">
      <c r="A790" s="7" t="inlineStr">
        <is>
          <t xml:space="preserve">  Volume — Naphtha, mn t</t>
        </is>
      </c>
      <c r="C790" s="23">
        <f>'Segments'!E9*(1+Assumptions!$B$142+DCF!$B$6)</f>
        <v/>
      </c>
      <c r="D790" s="23">
        <f>C790*(1+Assumptions!$B$143+DCF!$B$6)</f>
        <v/>
      </c>
      <c r="E790" s="23">
        <f>D790*(1+Assumptions!$B$144+DCF!$B$6)</f>
        <v/>
      </c>
      <c r="F790" s="23">
        <f>E790*(1+Assumptions!$B$145+DCF!$B$6)</f>
        <v/>
      </c>
      <c r="G790" s="23">
        <f>F790*(1+Assumptions!$B$146+DCF!$B$6)</f>
        <v/>
      </c>
    </row>
    <row r="791">
      <c r="A791" s="7" t="inlineStr">
        <is>
          <t xml:space="preserve">  Volume — Liquefied petroleum gas, mn t</t>
        </is>
      </c>
      <c r="C791" s="23">
        <f>'Segments'!E10*(1+Assumptions!$B$147+DCF!$B$6)</f>
        <v/>
      </c>
      <c r="D791" s="23">
        <f>C791*(1+Assumptions!$B$148+DCF!$B$6)</f>
        <v/>
      </c>
      <c r="E791" s="23">
        <f>D791*(1+Assumptions!$B$149+DCF!$B$6)</f>
        <v/>
      </c>
      <c r="F791" s="23">
        <f>E791*(1+Assumptions!$B$150+DCF!$B$6)</f>
        <v/>
      </c>
      <c r="G791" s="23">
        <f>F791*(1+Assumptions!$B$151+DCF!$B$6)</f>
        <v/>
      </c>
    </row>
    <row r="792">
      <c r="A792" s="7" t="inlineStr">
        <is>
          <t xml:space="preserve">  Volume — Fuel oil (mix), mn t</t>
        </is>
      </c>
      <c r="C792" s="23">
        <f>'Segments'!E11*(1+Assumptions!$B$152+DCF!$B$6)</f>
        <v/>
      </c>
      <c r="D792" s="23">
        <f>C792*(1+Assumptions!$B$153+DCF!$B$6)</f>
        <v/>
      </c>
      <c r="E792" s="23">
        <f>D792*(1+Assumptions!$B$154+DCF!$B$6)</f>
        <v/>
      </c>
      <c r="F792" s="23">
        <f>E792*(1+Assumptions!$B$155+DCF!$B$6)</f>
        <v/>
      </c>
      <c r="G792" s="23">
        <f>F792*(1+Assumptions!$B$156+DCF!$B$6)</f>
        <v/>
      </c>
    </row>
    <row r="793">
      <c r="A793" s="7" t="inlineStr">
        <is>
          <t xml:space="preserve">  Volume — Heavy fuel oil, mn t</t>
        </is>
      </c>
      <c r="C793" s="23">
        <f>'Segments'!E12*(1+Assumptions!$B$157+DCF!$B$6)</f>
        <v/>
      </c>
      <c r="D793" s="23">
        <f>C793*(1+Assumptions!$B$158+DCF!$B$6)</f>
        <v/>
      </c>
      <c r="E793" s="23">
        <f>D793*(1+Assumptions!$B$159+DCF!$B$6)</f>
        <v/>
      </c>
      <c r="F793" s="23">
        <f>E793*(1+Assumptions!$B$160+DCF!$B$6)</f>
        <v/>
      </c>
      <c r="G793" s="23">
        <f>F793*(1+Assumptions!$B$161+DCF!$B$6)</f>
        <v/>
      </c>
    </row>
    <row r="794">
      <c r="A794" s="7" t="inlineStr">
        <is>
          <t xml:space="preserve">  Volume — Waste, mn t</t>
        </is>
      </c>
      <c r="C794" s="23">
        <f>'Segments'!E13*(1+Assumptions!$B$162+DCF!$B$6)</f>
        <v/>
      </c>
      <c r="D794" s="23">
        <f>C794*(1+Assumptions!$B$163+DCF!$B$6)</f>
        <v/>
      </c>
      <c r="E794" s="23">
        <f>D794*(1+Assumptions!$B$164+DCF!$B$6)</f>
        <v/>
      </c>
      <c r="F794" s="23">
        <f>E794*(1+Assumptions!$B$165+DCF!$B$6)</f>
        <v/>
      </c>
      <c r="G794" s="23">
        <f>F794*(1+Assumptions!$B$166+DCF!$B$6)</f>
        <v/>
      </c>
    </row>
    <row r="795">
      <c r="A795" s="15" t="inlineStr">
        <is>
          <t>Total volume, mn t</t>
        </is>
      </c>
      <c r="C795" s="36">
        <f>SUM(C787:C794)</f>
        <v/>
      </c>
      <c r="D795" s="36">
        <f>SUM(D787:D794)</f>
        <v/>
      </c>
      <c r="E795" s="36">
        <f>SUM(E787:E794)</f>
        <v/>
      </c>
      <c r="F795" s="36">
        <f>SUM(F787:F794)</f>
        <v/>
      </c>
      <c r="G795" s="36">
        <f>SUM(G787:G794)</f>
        <v/>
      </c>
    </row>
    <row r="796">
      <c r="A796" s="15" t="inlineStr">
        <is>
          <t>REVENUE</t>
        </is>
      </c>
      <c r="C796" s="37">
        <f>C787*'Segments'!$F$6*C786+C788*'Segments'!$F$7*C786+C789*'Segments'!$F$8*C786+C790*'Segments'!$F$9*C786+C791*'Segments'!$F$10*C786+C792*'Segments'!$F$11*C786+C793*'Segments'!$F$12*C786+C794*'Segments'!$F$13*C786</f>
        <v/>
      </c>
      <c r="D796" s="37">
        <f>D787*'Segments'!$F$6*D786+D788*'Segments'!$F$7*D786+D789*'Segments'!$F$8*D786+D790*'Segments'!$F$9*D786+D791*'Segments'!$F$10*D786+D792*'Segments'!$F$11*D786+D793*'Segments'!$F$12*D786+D794*'Segments'!$F$13*D786</f>
        <v/>
      </c>
      <c r="E796" s="37">
        <f>E787*'Segments'!$F$6*E786+E788*'Segments'!$F$7*E786+E789*'Segments'!$F$8*E786+E790*'Segments'!$F$9*E786+E791*'Segments'!$F$10*E786+E792*'Segments'!$F$11*E786+E793*'Segments'!$F$12*E786+E794*'Segments'!$F$13*E786</f>
        <v/>
      </c>
      <c r="F796" s="37">
        <f>F787*'Segments'!$F$6*F786+F788*'Segments'!$F$7*F786+F789*'Segments'!$F$8*F786+F790*'Segments'!$F$9*F786+F791*'Segments'!$F$10*F786+F792*'Segments'!$F$11*F786+F793*'Segments'!$F$12*F786+F794*'Segments'!$F$13*F786</f>
        <v/>
      </c>
      <c r="G796" s="37">
        <f>G787*'Segments'!$F$6*G786+G788*'Segments'!$F$7*G786+G789*'Segments'!$F$8*G786+G790*'Segments'!$F$9*G786+G791*'Segments'!$F$10*G786+G792*'Segments'!$F$11*G786+G793*'Segments'!$F$12*G786+G794*'Segments'!$F$13*G786</f>
        <v/>
      </c>
    </row>
    <row r="797">
      <c r="A797" s="7" t="inlineStr">
        <is>
          <t>Cost of sales</t>
        </is>
      </c>
      <c r="C797" s="18">
        <f>C787*('Segments'!$D$27*C786*Assumptions!$B$109+'Segments'!$B$27*(0.4983251709*C785+0.4357405005*C785+0.0330936548*C786+0.0328406739))+C788*('Segments'!$D$28*C786*Assumptions!$B$109+'Segments'!$B$28*(0.4983251709*C785+0.4357405005*C785+0.0330936548*C786+0.0328406739))+C789*('Segments'!$D$29*C786*Assumptions!$B$109+'Segments'!$B$29*(0.4983251709*C785+0.4357405005*C785+0.0330936548*C786+0.0328406739))+C790*('Segments'!$D$30*C786*Assumptions!$B$109+'Segments'!$B$30*(0.4983251709*C785+0.4357405005*C785+0.0330936548*C786+0.0328406739))+C791*('Segments'!$D$31*C786*Assumptions!$B$109+'Segments'!$B$31*(0.4983251709*C785+0.4357405005*C785+0.0330936548*C786+0.0328406739))+C792*('Segments'!$D$32*C786*Assumptions!$B$109+'Segments'!$B$32*(0.4983251709*C785+0.4357405005*C785+0.0330936548*C786+0.0328406739))+C793*('Segments'!$D$33*C786*Assumptions!$B$109+'Segments'!$B$33*(0.4983251709*C785+0.4357405005*C785+0.0330936548*C786+0.0328406739))+C794*('Segments'!$D$34*C786*Assumptions!$B$109+'Segments'!$B$34*(0.4983251709*C785+0.4357405005*C785+0.0330936548*C786+0.0328406739))</f>
        <v/>
      </c>
      <c r="D797" s="18">
        <f>D787*('Segments'!$D$27*D786*Assumptions!$B$109+'Segments'!$B$27*(0.4983251709*D785+0.4357405005*D785+0.0330936548*D786+0.0328406739))+D788*('Segments'!$D$28*D786*Assumptions!$B$109+'Segments'!$B$28*(0.4983251709*D785+0.4357405005*D785+0.0330936548*D786+0.0328406739))+D789*('Segments'!$D$29*D786*Assumptions!$B$109+'Segments'!$B$29*(0.4983251709*D785+0.4357405005*D785+0.0330936548*D786+0.0328406739))+D790*('Segments'!$D$30*D786*Assumptions!$B$109+'Segments'!$B$30*(0.4983251709*D785+0.4357405005*D785+0.0330936548*D786+0.0328406739))+D791*('Segments'!$D$31*D786*Assumptions!$B$109+'Segments'!$B$31*(0.4983251709*D785+0.4357405005*D785+0.0330936548*D786+0.0328406739))+D792*('Segments'!$D$32*D786*Assumptions!$B$109+'Segments'!$B$32*(0.4983251709*D785+0.4357405005*D785+0.0330936548*D786+0.0328406739))+D793*('Segments'!$D$33*D786*Assumptions!$B$109+'Segments'!$B$33*(0.4983251709*D785+0.4357405005*D785+0.0330936548*D786+0.0328406739))+D794*('Segments'!$D$34*D786*Assumptions!$B$109+'Segments'!$B$34*(0.4983251709*D785+0.4357405005*D785+0.0330936548*D786+0.0328406739))</f>
        <v/>
      </c>
      <c r="E797" s="18">
        <f>E787*('Segments'!$D$27*E786*Assumptions!$B$109+'Segments'!$B$27*(0.4983251709*E785+0.4357405005*E785+0.0330936548*E786+0.0328406739))+E788*('Segments'!$D$28*E786*Assumptions!$B$109+'Segments'!$B$28*(0.4983251709*E785+0.4357405005*E785+0.0330936548*E786+0.0328406739))+E789*('Segments'!$D$29*E786*Assumptions!$B$109+'Segments'!$B$29*(0.4983251709*E785+0.4357405005*E785+0.0330936548*E786+0.0328406739))+E790*('Segments'!$D$30*E786*Assumptions!$B$109+'Segments'!$B$30*(0.4983251709*E785+0.4357405005*E785+0.0330936548*E786+0.0328406739))+E791*('Segments'!$D$31*E786*Assumptions!$B$109+'Segments'!$B$31*(0.4983251709*E785+0.4357405005*E785+0.0330936548*E786+0.0328406739))+E792*('Segments'!$D$32*E786*Assumptions!$B$109+'Segments'!$B$32*(0.4983251709*E785+0.4357405005*E785+0.0330936548*E786+0.0328406739))+E793*('Segments'!$D$33*E786*Assumptions!$B$109+'Segments'!$B$33*(0.4983251709*E785+0.4357405005*E785+0.0330936548*E786+0.0328406739))+E794*('Segments'!$D$34*E786*Assumptions!$B$109+'Segments'!$B$34*(0.4983251709*E785+0.4357405005*E785+0.0330936548*E786+0.0328406739))</f>
        <v/>
      </c>
      <c r="F797" s="18">
        <f>F787*('Segments'!$D$27*F786*Assumptions!$B$109+'Segments'!$B$27*(0.4983251709*F785+0.4357405005*F785+0.0330936548*F786+0.0328406739))+F788*('Segments'!$D$28*F786*Assumptions!$B$109+'Segments'!$B$28*(0.4983251709*F785+0.4357405005*F785+0.0330936548*F786+0.0328406739))+F789*('Segments'!$D$29*F786*Assumptions!$B$109+'Segments'!$B$29*(0.4983251709*F785+0.4357405005*F785+0.0330936548*F786+0.0328406739))+F790*('Segments'!$D$30*F786*Assumptions!$B$109+'Segments'!$B$30*(0.4983251709*F785+0.4357405005*F785+0.0330936548*F786+0.0328406739))+F791*('Segments'!$D$31*F786*Assumptions!$B$109+'Segments'!$B$31*(0.4983251709*F785+0.4357405005*F785+0.0330936548*F786+0.0328406739))+F792*('Segments'!$D$32*F786*Assumptions!$B$109+'Segments'!$B$32*(0.4983251709*F785+0.4357405005*F785+0.0330936548*F786+0.0328406739))+F793*('Segments'!$D$33*F786*Assumptions!$B$109+'Segments'!$B$33*(0.4983251709*F785+0.4357405005*F785+0.0330936548*F786+0.0328406739))+F794*('Segments'!$D$34*F786*Assumptions!$B$109+'Segments'!$B$34*(0.4983251709*F785+0.4357405005*F785+0.0330936548*F786+0.0328406739))</f>
        <v/>
      </c>
      <c r="G797" s="18">
        <f>G787*('Segments'!$D$27*G786*Assumptions!$B$109+'Segments'!$B$27*(0.4983251709*G785+0.4357405005*G785+0.0330936548*G786+0.0328406739))+G788*('Segments'!$D$28*G786*Assumptions!$B$109+'Segments'!$B$28*(0.4983251709*G785+0.4357405005*G785+0.0330936548*G786+0.0328406739))+G789*('Segments'!$D$29*G786*Assumptions!$B$109+'Segments'!$B$29*(0.4983251709*G785+0.4357405005*G785+0.0330936548*G786+0.0328406739))+G790*('Segments'!$D$30*G786*Assumptions!$B$109+'Segments'!$B$30*(0.4983251709*G785+0.4357405005*G785+0.0330936548*G786+0.0328406739))+G791*('Segments'!$D$31*G786*Assumptions!$B$109+'Segments'!$B$31*(0.4983251709*G785+0.4357405005*G785+0.0330936548*G786+0.0328406739))+G792*('Segments'!$D$32*G786*Assumptions!$B$109+'Segments'!$B$32*(0.4983251709*G785+0.4357405005*G785+0.0330936548*G786+0.0328406739))+G793*('Segments'!$D$33*G786*Assumptions!$B$109+'Segments'!$B$33*(0.4983251709*G785+0.4357405005*G785+0.0330936548*G786+0.0328406739))+G794*('Segments'!$D$34*G786*Assumptions!$B$109+'Segments'!$B$34*(0.4983251709*G785+0.4357405005*G785+0.0330936548*G786+0.0328406739))</f>
        <v/>
      </c>
    </row>
    <row r="798">
      <c r="A798" s="15" t="inlineStr">
        <is>
          <t>GROSS PROFIT</t>
        </is>
      </c>
      <c r="C798" s="37">
        <f>C796-C797+DCF!$B$7*C796</f>
        <v/>
      </c>
      <c r="D798" s="37">
        <f>D796-D797+DCF!$B$7*D796</f>
        <v/>
      </c>
      <c r="E798" s="37">
        <f>E796-E797+DCF!$B$7*E796</f>
        <v/>
      </c>
      <c r="F798" s="37">
        <f>F796-F797+DCF!$B$7*F796</f>
        <v/>
      </c>
      <c r="G798" s="37">
        <f>G796-G797+DCF!$B$7*G796</f>
        <v/>
      </c>
    </row>
    <row r="799">
      <c r="A799" s="7" t="inlineStr">
        <is>
          <t>Gross margin</t>
        </is>
      </c>
      <c r="C799" s="24">
        <f>C798/C796</f>
        <v/>
      </c>
      <c r="D799" s="24">
        <f>D798/D796</f>
        <v/>
      </c>
      <c r="E799" s="24">
        <f>E798/E796</f>
        <v/>
      </c>
      <c r="F799" s="24">
        <f>F798/F796</f>
        <v/>
      </c>
      <c r="G799" s="24">
        <f>G798/G796</f>
        <v/>
      </c>
    </row>
    <row r="800">
      <c r="A800" s="7" t="inlineStr">
        <is>
          <t>Operating expense</t>
        </is>
      </c>
      <c r="C800" s="18">
        <f>('Income Statement'!$B$28*C785)+('Income Statement'!$B$29*C785*C795/'Segments'!$E$14)+('Income Statement'!$B$30*C785)+('Income Statement'!$B$31*C785)</f>
        <v/>
      </c>
      <c r="D800" s="18">
        <f>('Income Statement'!$B$28*D785)+('Income Statement'!$B$29*D785*D795/'Segments'!$E$14)+('Income Statement'!$B$30*D785)+('Income Statement'!$B$31*D785)</f>
        <v/>
      </c>
      <c r="E800" s="18">
        <f>('Income Statement'!$B$28*E785)+('Income Statement'!$B$29*E785*E795/'Segments'!$E$14)+('Income Statement'!$B$30*E785)+('Income Statement'!$B$31*E785)</f>
        <v/>
      </c>
      <c r="F800" s="18">
        <f>('Income Statement'!$B$28*F785)+('Income Statement'!$B$29*F785*F795/'Segments'!$E$14)+('Income Statement'!$B$30*F785)+('Income Statement'!$B$31*F785)</f>
        <v/>
      </c>
      <c r="G800" s="18">
        <f>('Income Statement'!$B$28*G785)+('Income Statement'!$B$29*G785*G795/'Segments'!$E$14)+('Income Statement'!$B$30*G785)+('Income Statement'!$B$31*G785)</f>
        <v/>
      </c>
    </row>
    <row r="801">
      <c r="A801" s="15" t="inlineStr">
        <is>
          <t>EBITDA</t>
        </is>
      </c>
      <c r="C801" s="37">
        <f>C798-C800</f>
        <v/>
      </c>
      <c r="D801" s="37">
        <f>D798-D800</f>
        <v/>
      </c>
      <c r="E801" s="37">
        <f>E798-E800</f>
        <v/>
      </c>
      <c r="F801" s="37">
        <f>F798-F800</f>
        <v/>
      </c>
      <c r="G801" s="37">
        <f>G798-G800</f>
        <v/>
      </c>
    </row>
    <row r="802">
      <c r="A802" s="7" t="inlineStr">
        <is>
          <t>Capital expenditure — maintenance + growth</t>
        </is>
      </c>
      <c r="C802" s="18">
        <f>'Income Statement'!$B$43*C785+MAX(C795-'Segments'!$E$14,0)*2100.379938*C785</f>
        <v/>
      </c>
      <c r="D802" s="18">
        <f>'Income Statement'!$B$43*D785+MAX(D795-C795,0)*2100.379938*D785</f>
        <v/>
      </c>
      <c r="E802" s="18">
        <f>'Income Statement'!$B$43*E785+MAX(E795-D795,0)*2100.379938*E785</f>
        <v/>
      </c>
      <c r="F802" s="18">
        <f>'Income Statement'!$B$43*F785+MAX(F795-E795,0)*2100.379938*F785</f>
        <v/>
      </c>
      <c r="G802" s="18">
        <f>'Income Statement'!$B$43*G785+MAX(G795-F795,0)*2100.379938*G785</f>
        <v/>
      </c>
    </row>
    <row r="803">
      <c r="A803" s="7" t="inlineStr">
        <is>
          <t>Fixed assets at cost, closing</t>
        </is>
      </c>
      <c r="C803" s="18">
        <f>(Assumptions!$B$91+Assumptions!$B$92)/10^6+C802</f>
        <v/>
      </c>
      <c r="D803" s="18">
        <f>C803+D802</f>
        <v/>
      </c>
      <c r="E803" s="18">
        <f>D803+E802</f>
        <v/>
      </c>
      <c r="F803" s="18">
        <f>E803+F802</f>
        <v/>
      </c>
      <c r="G803" s="18">
        <f>F803+G802</f>
        <v/>
      </c>
    </row>
    <row r="804">
      <c r="A804" s="7" t="inlineStr">
        <is>
          <t>Depreciation — rolls off the asset register</t>
        </is>
      </c>
      <c r="C804" s="18">
        <f>(Assumptions!$B$91+Assumptions!$B$92)/10^6/'Income Statement'!$B$42</f>
        <v/>
      </c>
      <c r="D804" s="18">
        <f>C803/'Income Statement'!$B$42</f>
        <v/>
      </c>
      <c r="E804" s="18">
        <f>D803/'Income Statement'!$B$42</f>
        <v/>
      </c>
      <c r="F804" s="18">
        <f>E803/'Income Statement'!$B$42</f>
        <v/>
      </c>
      <c r="G804" s="18">
        <f>F803/'Income Statement'!$B$42</f>
        <v/>
      </c>
    </row>
    <row r="805">
      <c r="A805" s="7" t="inlineStr">
        <is>
          <t>Fixed assets, net book, closing</t>
        </is>
      </c>
      <c r="C805" s="18">
        <f>(Assumptions!$B$90+Assumptions!$B$92)/10^6+C802-C804</f>
        <v/>
      </c>
      <c r="D805" s="18">
        <f>C805+D802-D804</f>
        <v/>
      </c>
      <c r="E805" s="18">
        <f>D805+E802-E804</f>
        <v/>
      </c>
      <c r="F805" s="18">
        <f>E805+F802-F804</f>
        <v/>
      </c>
      <c r="G805" s="18">
        <f>F805+G802-G804</f>
        <v/>
      </c>
    </row>
    <row r="806">
      <c r="A806" s="15" t="inlineStr">
        <is>
          <t>EBIT</t>
        </is>
      </c>
      <c r="C806" s="37">
        <f>C801-C804</f>
        <v/>
      </c>
      <c r="D806" s="37">
        <f>D801-D804</f>
        <v/>
      </c>
      <c r="E806" s="37">
        <f>E801-E804</f>
        <v/>
      </c>
      <c r="F806" s="37">
        <f>F801-F804</f>
        <v/>
      </c>
      <c r="G806" s="37">
        <f>G801-G804</f>
        <v/>
      </c>
    </row>
    <row r="807">
      <c r="A807" s="7" t="inlineStr">
        <is>
          <t>NOPAT before the profit share</t>
        </is>
      </c>
      <c r="C807" s="18">
        <f>C806*(1-Assumptions!$B$108)</f>
        <v/>
      </c>
      <c r="D807" s="18">
        <f>D806*(1-Assumptions!$B$108)</f>
        <v/>
      </c>
      <c r="E807" s="18">
        <f>E806*(1-Assumptions!$B$108)</f>
        <v/>
      </c>
      <c r="F807" s="18">
        <f>F806*(1-Assumptions!$B$108)</f>
        <v/>
      </c>
      <c r="G807" s="18">
        <f>G806*(1-Assumptions!$B$108)</f>
        <v/>
      </c>
    </row>
    <row r="808">
      <c r="A808" s="7" t="inlineStr">
        <is>
          <t xml:space="preserve">  less employees' profit share and board bonuses</t>
        </is>
      </c>
      <c r="C808" s="18">
        <f>MAX(C807,0)*'Income Statement'!$B$40</f>
        <v/>
      </c>
      <c r="D808" s="18">
        <f>MAX(D807,0)*'Income Statement'!$B$40</f>
        <v/>
      </c>
      <c r="E808" s="18">
        <f>MAX(E807,0)*'Income Statement'!$B$40</f>
        <v/>
      </c>
      <c r="F808" s="18">
        <f>MAX(F807,0)*'Income Statement'!$B$40</f>
        <v/>
      </c>
      <c r="G808" s="18">
        <f>MAX(G807,0)*'Income Statement'!$B$40</f>
        <v/>
      </c>
    </row>
    <row r="809">
      <c r="A809" s="15" t="inlineStr">
        <is>
          <t>NOPAT</t>
        </is>
      </c>
      <c r="C809" s="37">
        <f>C807-C808</f>
        <v/>
      </c>
      <c r="D809" s="37">
        <f>D807-D808</f>
        <v/>
      </c>
      <c r="E809" s="37">
        <f>E807-E808</f>
        <v/>
      </c>
      <c r="F809" s="37">
        <f>F807-F808</f>
        <v/>
      </c>
      <c r="G809" s="37">
        <f>G807-G808</f>
        <v/>
      </c>
    </row>
    <row r="810">
      <c r="A810" s="7" t="inlineStr">
        <is>
          <t>Net working capital — on days</t>
        </is>
      </c>
      <c r="C810" s="18">
        <f>'Income Statement'!$B$44*DCF!$B$9/365*C797+'Income Statement'!$B$45*DCF!$B$9/365*C796-'Income Statement'!$B$46*DCF!$B$9/365*C797</f>
        <v/>
      </c>
      <c r="D810" s="18">
        <f>'Income Statement'!$B$44*DCF!$B$9/365*D797+'Income Statement'!$B$45*DCF!$B$9/365*D796-'Income Statement'!$B$46*DCF!$B$9/365*D797</f>
        <v/>
      </c>
      <c r="E810" s="18">
        <f>'Income Statement'!$B$44*DCF!$B$9/365*E797+'Income Statement'!$B$45*DCF!$B$9/365*E796-'Income Statement'!$B$46*DCF!$B$9/365*E797</f>
        <v/>
      </c>
      <c r="F810" s="18">
        <f>'Income Statement'!$B$44*DCF!$B$9/365*F797+'Income Statement'!$B$45*DCF!$B$9/365*F796-'Income Statement'!$B$46*DCF!$B$9/365*F797</f>
        <v/>
      </c>
      <c r="G810" s="18">
        <f>'Income Statement'!$B$44*DCF!$B$9/365*G797+'Income Statement'!$B$45*DCF!$B$9/365*G796-'Income Statement'!$B$46*DCF!$B$9/365*G797</f>
        <v/>
      </c>
    </row>
    <row r="811">
      <c r="A811" s="7" t="inlineStr">
        <is>
          <t xml:space="preserve">  change in working capital</t>
        </is>
      </c>
      <c r="C811" s="18">
        <f>C810-('Income Statement'!$B$44/365*'Income Statement'!$B$21+'Income Statement'!$B$45/365*'Income Statement'!$B$19-'Income Statement'!$B$46/365*'Income Statement'!$B$21)</f>
        <v/>
      </c>
      <c r="D811" s="18">
        <f>D810-C810</f>
        <v/>
      </c>
      <c r="E811" s="18">
        <f>E810-D810</f>
        <v/>
      </c>
      <c r="F811" s="18">
        <f>F810-E810</f>
        <v/>
      </c>
      <c r="G811" s="18">
        <f>G810-F810</f>
        <v/>
      </c>
    </row>
    <row r="812">
      <c r="A812" s="15" t="inlineStr">
        <is>
          <t>FREE CASH FLOW TO THE FIRM</t>
        </is>
      </c>
      <c r="C812" s="37">
        <f>C809+C804-C802-C811</f>
        <v/>
      </c>
      <c r="D812" s="37">
        <f>D809+D804-D802-D811</f>
        <v/>
      </c>
      <c r="E812" s="37">
        <f>E809+E804-E802-E811</f>
        <v/>
      </c>
      <c r="F812" s="37">
        <f>F809+F804-F802-F811</f>
        <v/>
      </c>
      <c r="G812" s="37">
        <f>G809+G804-G802-G811</f>
        <v/>
      </c>
    </row>
    <row r="813">
      <c r="A813" s="7" t="inlineStr">
        <is>
          <t>Glide fraction</t>
        </is>
      </c>
      <c r="C813" s="23">
        <f>0.0000000000</f>
        <v/>
      </c>
      <c r="D813" s="23">
        <f>0.3571428571</f>
        <v/>
      </c>
      <c r="E813" s="23">
        <f>0.6428571429</f>
        <v/>
      </c>
      <c r="F813" s="23">
        <f>0.8571428571</f>
        <v/>
      </c>
      <c r="G813" s="23">
        <f>1.0000000000</f>
        <v/>
      </c>
    </row>
    <row r="814">
      <c r="A814" s="7" t="inlineStr">
        <is>
          <t>Forward cost of capital</t>
        </is>
      </c>
      <c r="C814" s="24">
        <f>$F$27-($F$27-$G$27)*C813</f>
        <v/>
      </c>
      <c r="D814" s="24">
        <f>$F$27-($F$27-$G$27)*D813</f>
        <v/>
      </c>
      <c r="E814" s="24">
        <f>$F$27-($F$27-$G$27)*E813</f>
        <v/>
      </c>
      <c r="F814" s="24">
        <f>$F$27-($F$27-$G$27)*F813</f>
        <v/>
      </c>
      <c r="G814" s="24">
        <f>$F$27-($F$27-$G$27)*G813</f>
        <v/>
      </c>
    </row>
    <row r="815">
      <c r="A815" s="7" t="inlineStr">
        <is>
          <t>Cumulative discount factor</t>
        </is>
      </c>
      <c r="C815" s="40">
        <f>1/(1+C814)</f>
        <v/>
      </c>
      <c r="D815" s="40">
        <f>C815/(1+D814)</f>
        <v/>
      </c>
      <c r="E815" s="40">
        <f>D815/(1+E814)</f>
        <v/>
      </c>
      <c r="F815" s="40">
        <f>E815/(1+F814)</f>
        <v/>
      </c>
      <c r="G815" s="40">
        <f>F815/(1+G814)</f>
        <v/>
      </c>
    </row>
    <row r="816">
      <c r="A816" s="7" t="inlineStr">
        <is>
          <t>Present value</t>
        </is>
      </c>
      <c r="C816" s="18">
        <f>C812*C815</f>
        <v/>
      </c>
      <c r="D816" s="18">
        <f>D812*D815</f>
        <v/>
      </c>
      <c r="E816" s="18">
        <f>E812*E815</f>
        <v/>
      </c>
      <c r="F816" s="18">
        <f>F812*F815</f>
        <v/>
      </c>
      <c r="G816" s="18">
        <f>G812*G815</f>
        <v/>
      </c>
    </row>
    <row r="817">
      <c r="A817" s="15" t="inlineStr">
        <is>
          <t>PV of the explicit window</t>
        </is>
      </c>
      <c r="B817" s="37">
        <f>SUM(C816:G816)</f>
        <v/>
      </c>
      <c r="C817" s="18">
        <f>C810+C803</f>
        <v/>
      </c>
      <c r="D817" s="18">
        <f>D810+D803</f>
        <v/>
      </c>
      <c r="E817" s="18">
        <f>E810+E803</f>
        <v/>
      </c>
      <c r="F817" s="18">
        <f>F810+F803</f>
        <v/>
      </c>
      <c r="G817" s="18">
        <f>G810+G803</f>
        <v/>
      </c>
    </row>
    <row r="818">
      <c r="A818" s="7" t="inlineStr">
        <is>
          <t>Terminal return on invested capital, at REPLACEMENT cost</t>
        </is>
      </c>
      <c r="B818" s="24">
        <f>G809*(1+Assumptions!$B$110)/G817</f>
        <v/>
      </c>
    </row>
    <row r="819">
      <c r="A819" s="7" t="inlineStr">
        <is>
          <t>Required reinvestment = growth / return</t>
        </is>
      </c>
      <c r="B819" s="24">
        <f>MIN(Assumptions!$B$110/B818,0.95)</f>
        <v/>
      </c>
    </row>
    <row r="820">
      <c r="A820" s="7" t="inlineStr">
        <is>
          <t>Terminal value</t>
        </is>
      </c>
      <c r="B820" s="18">
        <f>G809*(1+Assumptions!$B$110)*(1-B819)/MAX($G$27-Assumptions!$B$110,0.02)</f>
        <v/>
      </c>
    </row>
    <row r="821">
      <c r="A821" s="7" t="inlineStr">
        <is>
          <t>PV of the terminal block</t>
        </is>
      </c>
      <c r="B821" s="18">
        <f>B820*G815</f>
        <v/>
      </c>
    </row>
    <row r="822">
      <c r="A822" s="15" t="inlineStr">
        <is>
          <t>ENTERPRISE VALUE</t>
        </is>
      </c>
      <c r="B822" s="37">
        <f>B817+B821</f>
        <v/>
      </c>
    </row>
    <row r="823">
      <c r="A823" s="7" t="inlineStr">
        <is>
          <t>plus net cash</t>
        </is>
      </c>
      <c r="B823" s="18">
        <f>(Assumptions!$B$100-Assumptions!$B$103-Assumptions!$B$104)/10^6</f>
        <v/>
      </c>
    </row>
    <row r="824">
      <c r="A824" s="7" t="inlineStr">
        <is>
          <t>Enterprise value including cash</t>
        </is>
      </c>
      <c r="B824" s="18">
        <f>B822+B823</f>
        <v/>
      </c>
    </row>
    <row r="825">
      <c r="A825" s="7" t="inlineStr">
        <is>
          <t>less minority — on the WHOLE enterprise, cash included</t>
        </is>
      </c>
      <c r="B825" s="18">
        <f>B824*'Income Statement'!$B$41</f>
        <v/>
      </c>
    </row>
    <row r="826">
      <c r="A826" s="7" t="inlineStr">
        <is>
          <t>less the tax-disputes provision</t>
        </is>
      </c>
      <c r="B826" s="18">
        <f>Assumptions!$B$99/10^6</f>
        <v/>
      </c>
    </row>
    <row r="827">
      <c r="A827" s="7" t="inlineStr">
        <is>
          <t>less dividends payable — declared, out of working capital</t>
        </is>
      </c>
      <c r="B827" s="18">
        <f>Assumptions!$B$98/10^6</f>
        <v/>
      </c>
    </row>
    <row r="828">
      <c r="A828" s="7" t="inlineStr">
        <is>
          <t>plus non-operating investments and pledged deposits</t>
        </is>
      </c>
      <c r="B828" s="18">
        <f>(Assumptions!$B$102+Assumptions!$B$101)/10^6</f>
        <v/>
      </c>
    </row>
    <row r="829">
      <c r="A829" s="15" t="inlineStr">
        <is>
          <t>EQUITY ATTRIBUTABLE</t>
        </is>
      </c>
      <c r="B829" s="37">
        <f>B824-B825-B826-B827+B828</f>
        <v/>
      </c>
    </row>
    <row r="830">
      <c r="A830" s="15" t="inlineStr">
        <is>
          <t>VALUE PER SHARE, EGP</t>
        </is>
      </c>
      <c r="B830" s="22">
        <f>B829/Assumptions!$B$8</f>
        <v/>
      </c>
    </row>
    <row r="833">
      <c r="A833" s="6" t="inlineStr">
        <is>
          <t>Beta — 0.8000</t>
        </is>
      </c>
      <c r="B833" s="6" t="inlineStr">
        <is>
          <t>2026E</t>
        </is>
      </c>
      <c r="C833" s="6" t="inlineStr">
        <is>
          <t>2027E</t>
        </is>
      </c>
      <c r="D833" s="6" t="inlineStr">
        <is>
          <t>2028E</t>
        </is>
      </c>
      <c r="E833" s="6" t="inlineStr">
        <is>
          <t>2029E</t>
        </is>
      </c>
      <c r="F833" s="6" t="inlineStr">
        <is>
          <t>2030E</t>
        </is>
      </c>
    </row>
    <row r="834">
      <c r="A834" s="7" t="inlineStr">
        <is>
          <t>Inflation index, cumulative</t>
        </is>
      </c>
      <c r="C834" s="23">
        <f>Assumptions!$B$167</f>
        <v/>
      </c>
      <c r="D834" s="23">
        <f>C834*Assumptions!$B$168</f>
        <v/>
      </c>
      <c r="E834" s="23">
        <f>D834*Assumptions!$B$169</f>
        <v/>
      </c>
      <c r="F834" s="23">
        <f>E834*Assumptions!$B$170</f>
        <v/>
      </c>
      <c r="G834" s="23">
        <f>F834*Assumptions!$B$171</f>
        <v/>
      </c>
    </row>
    <row r="835">
      <c r="A835" s="7" t="inlineStr">
        <is>
          <t>Realisation index, cumulative</t>
        </is>
      </c>
      <c r="C835" s="23">
        <f>(1+Assumptions!$B$122*DCF!$B$8)</f>
        <v/>
      </c>
      <c r="D835" s="23">
        <f>C835*(1+Assumptions!$B$123*DCF!$B$8)</f>
        <v/>
      </c>
      <c r="E835" s="23">
        <f>D835*(1+Assumptions!$B$124*DCF!$B$8)</f>
        <v/>
      </c>
      <c r="F835" s="23">
        <f>E835*(1+Assumptions!$B$125*DCF!$B$8)</f>
        <v/>
      </c>
      <c r="G835" s="23">
        <f>F835*(1+Assumptions!$B$126*DCF!$B$8)</f>
        <v/>
      </c>
    </row>
    <row r="836">
      <c r="A836" s="7" t="inlineStr">
        <is>
          <t xml:space="preserve">  Volume — Base and special oils, mn t</t>
        </is>
      </c>
      <c r="C836" s="23">
        <f>'Segments'!E6*(1+Assumptions!$B$127+DCF!$B$6)</f>
        <v/>
      </c>
      <c r="D836" s="23">
        <f>C836*(1+Assumptions!$B$128+DCF!$B$6)</f>
        <v/>
      </c>
      <c r="E836" s="23">
        <f>D836*(1+Assumptions!$B$129+DCF!$B$6)</f>
        <v/>
      </c>
      <c r="F836" s="23">
        <f>E836*(1+Assumptions!$B$130+DCF!$B$6)</f>
        <v/>
      </c>
      <c r="G836" s="23">
        <f>F836*(1+Assumptions!$B$131+DCF!$B$6)</f>
        <v/>
      </c>
    </row>
    <row r="837">
      <c r="A837" s="7" t="inlineStr">
        <is>
          <t xml:space="preserve">  Volume — Paraffin wax, mn t</t>
        </is>
      </c>
      <c r="C837" s="23">
        <f>'Segments'!E7*(1+Assumptions!$B$132+DCF!$B$6)</f>
        <v/>
      </c>
      <c r="D837" s="23">
        <f>C837*(1+Assumptions!$B$133+DCF!$B$6)</f>
        <v/>
      </c>
      <c r="E837" s="23">
        <f>D837*(1+Assumptions!$B$134+DCF!$B$6)</f>
        <v/>
      </c>
      <c r="F837" s="23">
        <f>E837*(1+Assumptions!$B$135+DCF!$B$6)</f>
        <v/>
      </c>
      <c r="G837" s="23">
        <f>F837*(1+Assumptions!$B$136+DCF!$B$6)</f>
        <v/>
      </c>
    </row>
    <row r="838">
      <c r="A838" s="7" t="inlineStr">
        <is>
          <t xml:space="preserve">  Volume — Gas oil, mn t</t>
        </is>
      </c>
      <c r="C838" s="23">
        <f>'Segments'!E8*(1+Assumptions!$B$137+DCF!$B$6)</f>
        <v/>
      </c>
      <c r="D838" s="23">
        <f>C838*(1+Assumptions!$B$138+DCF!$B$6)</f>
        <v/>
      </c>
      <c r="E838" s="23">
        <f>D838*(1+Assumptions!$B$139+DCF!$B$6)</f>
        <v/>
      </c>
      <c r="F838" s="23">
        <f>E838*(1+Assumptions!$B$140+DCF!$B$6)</f>
        <v/>
      </c>
      <c r="G838" s="23">
        <f>F838*(1+Assumptions!$B$141+DCF!$B$6)</f>
        <v/>
      </c>
    </row>
    <row r="839">
      <c r="A839" s="7" t="inlineStr">
        <is>
          <t xml:space="preserve">  Volume — Naphtha, mn t</t>
        </is>
      </c>
      <c r="C839" s="23">
        <f>'Segments'!E9*(1+Assumptions!$B$142+DCF!$B$6)</f>
        <v/>
      </c>
      <c r="D839" s="23">
        <f>C839*(1+Assumptions!$B$143+DCF!$B$6)</f>
        <v/>
      </c>
      <c r="E839" s="23">
        <f>D839*(1+Assumptions!$B$144+DCF!$B$6)</f>
        <v/>
      </c>
      <c r="F839" s="23">
        <f>E839*(1+Assumptions!$B$145+DCF!$B$6)</f>
        <v/>
      </c>
      <c r="G839" s="23">
        <f>F839*(1+Assumptions!$B$146+DCF!$B$6)</f>
        <v/>
      </c>
    </row>
    <row r="840">
      <c r="A840" s="7" t="inlineStr">
        <is>
          <t xml:space="preserve">  Volume — Liquefied petroleum gas, mn t</t>
        </is>
      </c>
      <c r="C840" s="23">
        <f>'Segments'!E10*(1+Assumptions!$B$147+DCF!$B$6)</f>
        <v/>
      </c>
      <c r="D840" s="23">
        <f>C840*(1+Assumptions!$B$148+DCF!$B$6)</f>
        <v/>
      </c>
      <c r="E840" s="23">
        <f>D840*(1+Assumptions!$B$149+DCF!$B$6)</f>
        <v/>
      </c>
      <c r="F840" s="23">
        <f>E840*(1+Assumptions!$B$150+DCF!$B$6)</f>
        <v/>
      </c>
      <c r="G840" s="23">
        <f>F840*(1+Assumptions!$B$151+DCF!$B$6)</f>
        <v/>
      </c>
    </row>
    <row r="841">
      <c r="A841" s="7" t="inlineStr">
        <is>
          <t xml:space="preserve">  Volume — Fuel oil (mix), mn t</t>
        </is>
      </c>
      <c r="C841" s="23">
        <f>'Segments'!E11*(1+Assumptions!$B$152+DCF!$B$6)</f>
        <v/>
      </c>
      <c r="D841" s="23">
        <f>C841*(1+Assumptions!$B$153+DCF!$B$6)</f>
        <v/>
      </c>
      <c r="E841" s="23">
        <f>D841*(1+Assumptions!$B$154+DCF!$B$6)</f>
        <v/>
      </c>
      <c r="F841" s="23">
        <f>E841*(1+Assumptions!$B$155+DCF!$B$6)</f>
        <v/>
      </c>
      <c r="G841" s="23">
        <f>F841*(1+Assumptions!$B$156+DCF!$B$6)</f>
        <v/>
      </c>
    </row>
    <row r="842">
      <c r="A842" s="7" t="inlineStr">
        <is>
          <t xml:space="preserve">  Volume — Heavy fuel oil, mn t</t>
        </is>
      </c>
      <c r="C842" s="23">
        <f>'Segments'!E12*(1+Assumptions!$B$157+DCF!$B$6)</f>
        <v/>
      </c>
      <c r="D842" s="23">
        <f>C842*(1+Assumptions!$B$158+DCF!$B$6)</f>
        <v/>
      </c>
      <c r="E842" s="23">
        <f>D842*(1+Assumptions!$B$159+DCF!$B$6)</f>
        <v/>
      </c>
      <c r="F842" s="23">
        <f>E842*(1+Assumptions!$B$160+DCF!$B$6)</f>
        <v/>
      </c>
      <c r="G842" s="23">
        <f>F842*(1+Assumptions!$B$161+DCF!$B$6)</f>
        <v/>
      </c>
    </row>
    <row r="843">
      <c r="A843" s="7" t="inlineStr">
        <is>
          <t xml:space="preserve">  Volume — Waste, mn t</t>
        </is>
      </c>
      <c r="C843" s="23">
        <f>'Segments'!E13*(1+Assumptions!$B$162+DCF!$B$6)</f>
        <v/>
      </c>
      <c r="D843" s="23">
        <f>C843*(1+Assumptions!$B$163+DCF!$B$6)</f>
        <v/>
      </c>
      <c r="E843" s="23">
        <f>D843*(1+Assumptions!$B$164+DCF!$B$6)</f>
        <v/>
      </c>
      <c r="F843" s="23">
        <f>E843*(1+Assumptions!$B$165+DCF!$B$6)</f>
        <v/>
      </c>
      <c r="G843" s="23">
        <f>F843*(1+Assumptions!$B$166+DCF!$B$6)</f>
        <v/>
      </c>
    </row>
    <row r="844">
      <c r="A844" s="15" t="inlineStr">
        <is>
          <t>Total volume, mn t</t>
        </is>
      </c>
      <c r="C844" s="36">
        <f>SUM(C836:C843)</f>
        <v/>
      </c>
      <c r="D844" s="36">
        <f>SUM(D836:D843)</f>
        <v/>
      </c>
      <c r="E844" s="36">
        <f>SUM(E836:E843)</f>
        <v/>
      </c>
      <c r="F844" s="36">
        <f>SUM(F836:F843)</f>
        <v/>
      </c>
      <c r="G844" s="36">
        <f>SUM(G836:G843)</f>
        <v/>
      </c>
    </row>
    <row r="845">
      <c r="A845" s="15" t="inlineStr">
        <is>
          <t>REVENUE</t>
        </is>
      </c>
      <c r="C845" s="37">
        <f>C836*'Segments'!$F$6*C835+C837*'Segments'!$F$7*C835+C838*'Segments'!$F$8*C835+C839*'Segments'!$F$9*C835+C840*'Segments'!$F$10*C835+C841*'Segments'!$F$11*C835+C842*'Segments'!$F$12*C835+C843*'Segments'!$F$13*C835</f>
        <v/>
      </c>
      <c r="D845" s="37">
        <f>D836*'Segments'!$F$6*D835+D837*'Segments'!$F$7*D835+D838*'Segments'!$F$8*D835+D839*'Segments'!$F$9*D835+D840*'Segments'!$F$10*D835+D841*'Segments'!$F$11*D835+D842*'Segments'!$F$12*D835+D843*'Segments'!$F$13*D835</f>
        <v/>
      </c>
      <c r="E845" s="37">
        <f>E836*'Segments'!$F$6*E835+E837*'Segments'!$F$7*E835+E838*'Segments'!$F$8*E835+E839*'Segments'!$F$9*E835+E840*'Segments'!$F$10*E835+E841*'Segments'!$F$11*E835+E842*'Segments'!$F$12*E835+E843*'Segments'!$F$13*E835</f>
        <v/>
      </c>
      <c r="F845" s="37">
        <f>F836*'Segments'!$F$6*F835+F837*'Segments'!$F$7*F835+F838*'Segments'!$F$8*F835+F839*'Segments'!$F$9*F835+F840*'Segments'!$F$10*F835+F841*'Segments'!$F$11*F835+F842*'Segments'!$F$12*F835+F843*'Segments'!$F$13*F835</f>
        <v/>
      </c>
      <c r="G845" s="37">
        <f>G836*'Segments'!$F$6*G835+G837*'Segments'!$F$7*G835+G838*'Segments'!$F$8*G835+G839*'Segments'!$F$9*G835+G840*'Segments'!$F$10*G835+G841*'Segments'!$F$11*G835+G842*'Segments'!$F$12*G835+G843*'Segments'!$F$13*G835</f>
        <v/>
      </c>
    </row>
    <row r="846">
      <c r="A846" s="7" t="inlineStr">
        <is>
          <t>Cost of sales</t>
        </is>
      </c>
      <c r="C846" s="18">
        <f>C836*('Segments'!$D$27*C835*Assumptions!$B$109+'Segments'!$B$27*(0.4983251709*C834+0.4357405005*C834+0.0330936548*C835+0.0328406739))+C837*('Segments'!$D$28*C835*Assumptions!$B$109+'Segments'!$B$28*(0.4983251709*C834+0.4357405005*C834+0.0330936548*C835+0.0328406739))+C838*('Segments'!$D$29*C835*Assumptions!$B$109+'Segments'!$B$29*(0.4983251709*C834+0.4357405005*C834+0.0330936548*C835+0.0328406739))+C839*('Segments'!$D$30*C835*Assumptions!$B$109+'Segments'!$B$30*(0.4983251709*C834+0.4357405005*C834+0.0330936548*C835+0.0328406739))+C840*('Segments'!$D$31*C835*Assumptions!$B$109+'Segments'!$B$31*(0.4983251709*C834+0.4357405005*C834+0.0330936548*C835+0.0328406739))+C841*('Segments'!$D$32*C835*Assumptions!$B$109+'Segments'!$B$32*(0.4983251709*C834+0.4357405005*C834+0.0330936548*C835+0.0328406739))+C842*('Segments'!$D$33*C835*Assumptions!$B$109+'Segments'!$B$33*(0.4983251709*C834+0.4357405005*C834+0.0330936548*C835+0.0328406739))+C843*('Segments'!$D$34*C835*Assumptions!$B$109+'Segments'!$B$34*(0.4983251709*C834+0.4357405005*C834+0.0330936548*C835+0.0328406739))</f>
        <v/>
      </c>
      <c r="D846" s="18">
        <f>D836*('Segments'!$D$27*D835*Assumptions!$B$109+'Segments'!$B$27*(0.4983251709*D834+0.4357405005*D834+0.0330936548*D835+0.0328406739))+D837*('Segments'!$D$28*D835*Assumptions!$B$109+'Segments'!$B$28*(0.4983251709*D834+0.4357405005*D834+0.0330936548*D835+0.0328406739))+D838*('Segments'!$D$29*D835*Assumptions!$B$109+'Segments'!$B$29*(0.4983251709*D834+0.4357405005*D834+0.0330936548*D835+0.0328406739))+D839*('Segments'!$D$30*D835*Assumptions!$B$109+'Segments'!$B$30*(0.4983251709*D834+0.4357405005*D834+0.0330936548*D835+0.0328406739))+D840*('Segments'!$D$31*D835*Assumptions!$B$109+'Segments'!$B$31*(0.4983251709*D834+0.4357405005*D834+0.0330936548*D835+0.0328406739))+D841*('Segments'!$D$32*D835*Assumptions!$B$109+'Segments'!$B$32*(0.4983251709*D834+0.4357405005*D834+0.0330936548*D835+0.0328406739))+D842*('Segments'!$D$33*D835*Assumptions!$B$109+'Segments'!$B$33*(0.4983251709*D834+0.4357405005*D834+0.0330936548*D835+0.0328406739))+D843*('Segments'!$D$34*D835*Assumptions!$B$109+'Segments'!$B$34*(0.4983251709*D834+0.4357405005*D834+0.0330936548*D835+0.0328406739))</f>
        <v/>
      </c>
      <c r="E846" s="18">
        <f>E836*('Segments'!$D$27*E835*Assumptions!$B$109+'Segments'!$B$27*(0.4983251709*E834+0.4357405005*E834+0.0330936548*E835+0.0328406739))+E837*('Segments'!$D$28*E835*Assumptions!$B$109+'Segments'!$B$28*(0.4983251709*E834+0.4357405005*E834+0.0330936548*E835+0.0328406739))+E838*('Segments'!$D$29*E835*Assumptions!$B$109+'Segments'!$B$29*(0.4983251709*E834+0.4357405005*E834+0.0330936548*E835+0.0328406739))+E839*('Segments'!$D$30*E835*Assumptions!$B$109+'Segments'!$B$30*(0.4983251709*E834+0.4357405005*E834+0.0330936548*E835+0.0328406739))+E840*('Segments'!$D$31*E835*Assumptions!$B$109+'Segments'!$B$31*(0.4983251709*E834+0.4357405005*E834+0.0330936548*E835+0.0328406739))+E841*('Segments'!$D$32*E835*Assumptions!$B$109+'Segments'!$B$32*(0.4983251709*E834+0.4357405005*E834+0.0330936548*E835+0.0328406739))+E842*('Segments'!$D$33*E835*Assumptions!$B$109+'Segments'!$B$33*(0.4983251709*E834+0.4357405005*E834+0.0330936548*E835+0.0328406739))+E843*('Segments'!$D$34*E835*Assumptions!$B$109+'Segments'!$B$34*(0.4983251709*E834+0.4357405005*E834+0.0330936548*E835+0.0328406739))</f>
        <v/>
      </c>
      <c r="F846" s="18">
        <f>F836*('Segments'!$D$27*F835*Assumptions!$B$109+'Segments'!$B$27*(0.4983251709*F834+0.4357405005*F834+0.0330936548*F835+0.0328406739))+F837*('Segments'!$D$28*F835*Assumptions!$B$109+'Segments'!$B$28*(0.4983251709*F834+0.4357405005*F834+0.0330936548*F835+0.0328406739))+F838*('Segments'!$D$29*F835*Assumptions!$B$109+'Segments'!$B$29*(0.4983251709*F834+0.4357405005*F834+0.0330936548*F835+0.0328406739))+F839*('Segments'!$D$30*F835*Assumptions!$B$109+'Segments'!$B$30*(0.4983251709*F834+0.4357405005*F834+0.0330936548*F835+0.0328406739))+F840*('Segments'!$D$31*F835*Assumptions!$B$109+'Segments'!$B$31*(0.4983251709*F834+0.4357405005*F834+0.0330936548*F835+0.0328406739))+F841*('Segments'!$D$32*F835*Assumptions!$B$109+'Segments'!$B$32*(0.4983251709*F834+0.4357405005*F834+0.0330936548*F835+0.0328406739))+F842*('Segments'!$D$33*F835*Assumptions!$B$109+'Segments'!$B$33*(0.4983251709*F834+0.4357405005*F834+0.0330936548*F835+0.0328406739))+F843*('Segments'!$D$34*F835*Assumptions!$B$109+'Segments'!$B$34*(0.4983251709*F834+0.4357405005*F834+0.0330936548*F835+0.0328406739))</f>
        <v/>
      </c>
      <c r="G846" s="18">
        <f>G836*('Segments'!$D$27*G835*Assumptions!$B$109+'Segments'!$B$27*(0.4983251709*G834+0.4357405005*G834+0.0330936548*G835+0.0328406739))+G837*('Segments'!$D$28*G835*Assumptions!$B$109+'Segments'!$B$28*(0.4983251709*G834+0.4357405005*G834+0.0330936548*G835+0.0328406739))+G838*('Segments'!$D$29*G835*Assumptions!$B$109+'Segments'!$B$29*(0.4983251709*G834+0.4357405005*G834+0.0330936548*G835+0.0328406739))+G839*('Segments'!$D$30*G835*Assumptions!$B$109+'Segments'!$B$30*(0.4983251709*G834+0.4357405005*G834+0.0330936548*G835+0.0328406739))+G840*('Segments'!$D$31*G835*Assumptions!$B$109+'Segments'!$B$31*(0.4983251709*G834+0.4357405005*G834+0.0330936548*G835+0.0328406739))+G841*('Segments'!$D$32*G835*Assumptions!$B$109+'Segments'!$B$32*(0.4983251709*G834+0.4357405005*G834+0.0330936548*G835+0.0328406739))+G842*('Segments'!$D$33*G835*Assumptions!$B$109+'Segments'!$B$33*(0.4983251709*G834+0.4357405005*G834+0.0330936548*G835+0.0328406739))+G843*('Segments'!$D$34*G835*Assumptions!$B$109+'Segments'!$B$34*(0.4983251709*G834+0.4357405005*G834+0.0330936548*G835+0.0328406739))</f>
        <v/>
      </c>
    </row>
    <row r="847">
      <c r="A847" s="15" t="inlineStr">
        <is>
          <t>GROSS PROFIT</t>
        </is>
      </c>
      <c r="C847" s="37">
        <f>C845-C846+DCF!$B$7*C845</f>
        <v/>
      </c>
      <c r="D847" s="37">
        <f>D845-D846+DCF!$B$7*D845</f>
        <v/>
      </c>
      <c r="E847" s="37">
        <f>E845-E846+DCF!$B$7*E845</f>
        <v/>
      </c>
      <c r="F847" s="37">
        <f>F845-F846+DCF!$B$7*F845</f>
        <v/>
      </c>
      <c r="G847" s="37">
        <f>G845-G846+DCF!$B$7*G845</f>
        <v/>
      </c>
    </row>
    <row r="848">
      <c r="A848" s="7" t="inlineStr">
        <is>
          <t>Gross margin</t>
        </is>
      </c>
      <c r="C848" s="24">
        <f>C847/C845</f>
        <v/>
      </c>
      <c r="D848" s="24">
        <f>D847/D845</f>
        <v/>
      </c>
      <c r="E848" s="24">
        <f>E847/E845</f>
        <v/>
      </c>
      <c r="F848" s="24">
        <f>F847/F845</f>
        <v/>
      </c>
      <c r="G848" s="24">
        <f>G847/G845</f>
        <v/>
      </c>
    </row>
    <row r="849">
      <c r="A849" s="7" t="inlineStr">
        <is>
          <t>Operating expense</t>
        </is>
      </c>
      <c r="C849" s="18">
        <f>('Income Statement'!$B$28*C834)+('Income Statement'!$B$29*C834*C844/'Segments'!$E$14)+('Income Statement'!$B$30*C834)+('Income Statement'!$B$31*C834)</f>
        <v/>
      </c>
      <c r="D849" s="18">
        <f>('Income Statement'!$B$28*D834)+('Income Statement'!$B$29*D834*D844/'Segments'!$E$14)+('Income Statement'!$B$30*D834)+('Income Statement'!$B$31*D834)</f>
        <v/>
      </c>
      <c r="E849" s="18">
        <f>('Income Statement'!$B$28*E834)+('Income Statement'!$B$29*E834*E844/'Segments'!$E$14)+('Income Statement'!$B$30*E834)+('Income Statement'!$B$31*E834)</f>
        <v/>
      </c>
      <c r="F849" s="18">
        <f>('Income Statement'!$B$28*F834)+('Income Statement'!$B$29*F834*F844/'Segments'!$E$14)+('Income Statement'!$B$30*F834)+('Income Statement'!$B$31*F834)</f>
        <v/>
      </c>
      <c r="G849" s="18">
        <f>('Income Statement'!$B$28*G834)+('Income Statement'!$B$29*G834*G844/'Segments'!$E$14)+('Income Statement'!$B$30*G834)+('Income Statement'!$B$31*G834)</f>
        <v/>
      </c>
    </row>
    <row r="850">
      <c r="A850" s="15" t="inlineStr">
        <is>
          <t>EBITDA</t>
        </is>
      </c>
      <c r="C850" s="37">
        <f>C847-C849</f>
        <v/>
      </c>
      <c r="D850" s="37">
        <f>D847-D849</f>
        <v/>
      </c>
      <c r="E850" s="37">
        <f>E847-E849</f>
        <v/>
      </c>
      <c r="F850" s="37">
        <f>F847-F849</f>
        <v/>
      </c>
      <c r="G850" s="37">
        <f>G847-G849</f>
        <v/>
      </c>
    </row>
    <row r="851">
      <c r="A851" s="7" t="inlineStr">
        <is>
          <t>Capital expenditure — maintenance + growth</t>
        </is>
      </c>
      <c r="C851" s="18">
        <f>'Income Statement'!$B$43*C834+MAX(C844-'Segments'!$E$14,0)*2100.379938*C834</f>
        <v/>
      </c>
      <c r="D851" s="18">
        <f>'Income Statement'!$B$43*D834+MAX(D844-C844,0)*2100.379938*D834</f>
        <v/>
      </c>
      <c r="E851" s="18">
        <f>'Income Statement'!$B$43*E834+MAX(E844-D844,0)*2100.379938*E834</f>
        <v/>
      </c>
      <c r="F851" s="18">
        <f>'Income Statement'!$B$43*F834+MAX(F844-E844,0)*2100.379938*F834</f>
        <v/>
      </c>
      <c r="G851" s="18">
        <f>'Income Statement'!$B$43*G834+MAX(G844-F844,0)*2100.379938*G834</f>
        <v/>
      </c>
    </row>
    <row r="852">
      <c r="A852" s="7" t="inlineStr">
        <is>
          <t>Fixed assets at cost, closing</t>
        </is>
      </c>
      <c r="C852" s="18">
        <f>(Assumptions!$B$91+Assumptions!$B$92)/10^6+C851</f>
        <v/>
      </c>
      <c r="D852" s="18">
        <f>C852+D851</f>
        <v/>
      </c>
      <c r="E852" s="18">
        <f>D852+E851</f>
        <v/>
      </c>
      <c r="F852" s="18">
        <f>E852+F851</f>
        <v/>
      </c>
      <c r="G852" s="18">
        <f>F852+G851</f>
        <v/>
      </c>
    </row>
    <row r="853">
      <c r="A853" s="7" t="inlineStr">
        <is>
          <t>Depreciation — rolls off the asset register</t>
        </is>
      </c>
      <c r="C853" s="18">
        <f>(Assumptions!$B$91+Assumptions!$B$92)/10^6/'Income Statement'!$B$42</f>
        <v/>
      </c>
      <c r="D853" s="18">
        <f>C852/'Income Statement'!$B$42</f>
        <v/>
      </c>
      <c r="E853" s="18">
        <f>D852/'Income Statement'!$B$42</f>
        <v/>
      </c>
      <c r="F853" s="18">
        <f>E852/'Income Statement'!$B$42</f>
        <v/>
      </c>
      <c r="G853" s="18">
        <f>F852/'Income Statement'!$B$42</f>
        <v/>
      </c>
    </row>
    <row r="854">
      <c r="A854" s="7" t="inlineStr">
        <is>
          <t>Fixed assets, net book, closing</t>
        </is>
      </c>
      <c r="C854" s="18">
        <f>(Assumptions!$B$90+Assumptions!$B$92)/10^6+C851-C853</f>
        <v/>
      </c>
      <c r="D854" s="18">
        <f>C854+D851-D853</f>
        <v/>
      </c>
      <c r="E854" s="18">
        <f>D854+E851-E853</f>
        <v/>
      </c>
      <c r="F854" s="18">
        <f>E854+F851-F853</f>
        <v/>
      </c>
      <c r="G854" s="18">
        <f>F854+G851-G853</f>
        <v/>
      </c>
    </row>
    <row r="855">
      <c r="A855" s="15" t="inlineStr">
        <is>
          <t>EBIT</t>
        </is>
      </c>
      <c r="C855" s="37">
        <f>C850-C853</f>
        <v/>
      </c>
      <c r="D855" s="37">
        <f>D850-D853</f>
        <v/>
      </c>
      <c r="E855" s="37">
        <f>E850-E853</f>
        <v/>
      </c>
      <c r="F855" s="37">
        <f>F850-F853</f>
        <v/>
      </c>
      <c r="G855" s="37">
        <f>G850-G853</f>
        <v/>
      </c>
    </row>
    <row r="856">
      <c r="A856" s="7" t="inlineStr">
        <is>
          <t>NOPAT before the profit share</t>
        </is>
      </c>
      <c r="C856" s="18">
        <f>C855*(1-Assumptions!$B$108)</f>
        <v/>
      </c>
      <c r="D856" s="18">
        <f>D855*(1-Assumptions!$B$108)</f>
        <v/>
      </c>
      <c r="E856" s="18">
        <f>E855*(1-Assumptions!$B$108)</f>
        <v/>
      </c>
      <c r="F856" s="18">
        <f>F855*(1-Assumptions!$B$108)</f>
        <v/>
      </c>
      <c r="G856" s="18">
        <f>G855*(1-Assumptions!$B$108)</f>
        <v/>
      </c>
    </row>
    <row r="857">
      <c r="A857" s="7" t="inlineStr">
        <is>
          <t xml:space="preserve">  less employees' profit share and board bonuses</t>
        </is>
      </c>
      <c r="C857" s="18">
        <f>MAX(C856,0)*'Income Statement'!$B$40</f>
        <v/>
      </c>
      <c r="D857" s="18">
        <f>MAX(D856,0)*'Income Statement'!$B$40</f>
        <v/>
      </c>
      <c r="E857" s="18">
        <f>MAX(E856,0)*'Income Statement'!$B$40</f>
        <v/>
      </c>
      <c r="F857" s="18">
        <f>MAX(F856,0)*'Income Statement'!$B$40</f>
        <v/>
      </c>
      <c r="G857" s="18">
        <f>MAX(G856,0)*'Income Statement'!$B$40</f>
        <v/>
      </c>
    </row>
    <row r="858">
      <c r="A858" s="15" t="inlineStr">
        <is>
          <t>NOPAT</t>
        </is>
      </c>
      <c r="C858" s="37">
        <f>C856-C857</f>
        <v/>
      </c>
      <c r="D858" s="37">
        <f>D856-D857</f>
        <v/>
      </c>
      <c r="E858" s="37">
        <f>E856-E857</f>
        <v/>
      </c>
      <c r="F858" s="37">
        <f>F856-F857</f>
        <v/>
      </c>
      <c r="G858" s="37">
        <f>G856-G857</f>
        <v/>
      </c>
    </row>
    <row r="859">
      <c r="A859" s="7" t="inlineStr">
        <is>
          <t>Net working capital — on days</t>
        </is>
      </c>
      <c r="C859" s="18">
        <f>'Income Statement'!$B$44*DCF!$B$9/365*C846+'Income Statement'!$B$45*DCF!$B$9/365*C845-'Income Statement'!$B$46*DCF!$B$9/365*C846</f>
        <v/>
      </c>
      <c r="D859" s="18">
        <f>'Income Statement'!$B$44*DCF!$B$9/365*D846+'Income Statement'!$B$45*DCF!$B$9/365*D845-'Income Statement'!$B$46*DCF!$B$9/365*D846</f>
        <v/>
      </c>
      <c r="E859" s="18">
        <f>'Income Statement'!$B$44*DCF!$B$9/365*E846+'Income Statement'!$B$45*DCF!$B$9/365*E845-'Income Statement'!$B$46*DCF!$B$9/365*E846</f>
        <v/>
      </c>
      <c r="F859" s="18">
        <f>'Income Statement'!$B$44*DCF!$B$9/365*F846+'Income Statement'!$B$45*DCF!$B$9/365*F845-'Income Statement'!$B$46*DCF!$B$9/365*F846</f>
        <v/>
      </c>
      <c r="G859" s="18">
        <f>'Income Statement'!$B$44*DCF!$B$9/365*G846+'Income Statement'!$B$45*DCF!$B$9/365*G845-'Income Statement'!$B$46*DCF!$B$9/365*G846</f>
        <v/>
      </c>
    </row>
    <row r="860">
      <c r="A860" s="7" t="inlineStr">
        <is>
          <t xml:space="preserve">  change in working capital</t>
        </is>
      </c>
      <c r="C860" s="18">
        <f>C859-('Income Statement'!$B$44/365*'Income Statement'!$B$21+'Income Statement'!$B$45/365*'Income Statement'!$B$19-'Income Statement'!$B$46/365*'Income Statement'!$B$21)</f>
        <v/>
      </c>
      <c r="D860" s="18">
        <f>D859-C859</f>
        <v/>
      </c>
      <c r="E860" s="18">
        <f>E859-D859</f>
        <v/>
      </c>
      <c r="F860" s="18">
        <f>F859-E859</f>
        <v/>
      </c>
      <c r="G860" s="18">
        <f>G859-F859</f>
        <v/>
      </c>
    </row>
    <row r="861">
      <c r="A861" s="15" t="inlineStr">
        <is>
          <t>FREE CASH FLOW TO THE FIRM</t>
        </is>
      </c>
      <c r="C861" s="37">
        <f>C858+C853-C851-C860</f>
        <v/>
      </c>
      <c r="D861" s="37">
        <f>D858+D853-D851-D860</f>
        <v/>
      </c>
      <c r="E861" s="37">
        <f>E858+E853-E851-E860</f>
        <v/>
      </c>
      <c r="F861" s="37">
        <f>F858+F853-F851-F860</f>
        <v/>
      </c>
      <c r="G861" s="37">
        <f>G858+G853-G851-G860</f>
        <v/>
      </c>
    </row>
    <row r="862">
      <c r="A862" s="7" t="inlineStr">
        <is>
          <t>Glide fraction</t>
        </is>
      </c>
      <c r="C862" s="23">
        <f>0.0000000000</f>
        <v/>
      </c>
      <c r="D862" s="23">
        <f>0.3571428571</f>
        <v/>
      </c>
      <c r="E862" s="23">
        <f>0.6428571429</f>
        <v/>
      </c>
      <c r="F862" s="23">
        <f>0.8571428571</f>
        <v/>
      </c>
      <c r="G862" s="23">
        <f>1.0000000000</f>
        <v/>
      </c>
    </row>
    <row r="863">
      <c r="A863" s="7" t="inlineStr">
        <is>
          <t>Forward cost of capital</t>
        </is>
      </c>
      <c r="C863" s="24">
        <f>$F$28-($F$28-$G$28)*C862</f>
        <v/>
      </c>
      <c r="D863" s="24">
        <f>$F$28-($F$28-$G$28)*D862</f>
        <v/>
      </c>
      <c r="E863" s="24">
        <f>$F$28-($F$28-$G$28)*E862</f>
        <v/>
      </c>
      <c r="F863" s="24">
        <f>$F$28-($F$28-$G$28)*F862</f>
        <v/>
      </c>
      <c r="G863" s="24">
        <f>$F$28-($F$28-$G$28)*G862</f>
        <v/>
      </c>
    </row>
    <row r="864">
      <c r="A864" s="7" t="inlineStr">
        <is>
          <t>Cumulative discount factor</t>
        </is>
      </c>
      <c r="C864" s="40">
        <f>1/(1+C863)</f>
        <v/>
      </c>
      <c r="D864" s="40">
        <f>C864/(1+D863)</f>
        <v/>
      </c>
      <c r="E864" s="40">
        <f>D864/(1+E863)</f>
        <v/>
      </c>
      <c r="F864" s="40">
        <f>E864/(1+F863)</f>
        <v/>
      </c>
      <c r="G864" s="40">
        <f>F864/(1+G863)</f>
        <v/>
      </c>
    </row>
    <row r="865">
      <c r="A865" s="7" t="inlineStr">
        <is>
          <t>Present value</t>
        </is>
      </c>
      <c r="C865" s="18">
        <f>C861*C864</f>
        <v/>
      </c>
      <c r="D865" s="18">
        <f>D861*D864</f>
        <v/>
      </c>
      <c r="E865" s="18">
        <f>E861*E864</f>
        <v/>
      </c>
      <c r="F865" s="18">
        <f>F861*F864</f>
        <v/>
      </c>
      <c r="G865" s="18">
        <f>G861*G864</f>
        <v/>
      </c>
    </row>
    <row r="866">
      <c r="A866" s="15" t="inlineStr">
        <is>
          <t>PV of the explicit window</t>
        </is>
      </c>
      <c r="B866" s="37">
        <f>SUM(C865:G865)</f>
        <v/>
      </c>
      <c r="C866" s="18">
        <f>C859+C852</f>
        <v/>
      </c>
      <c r="D866" s="18">
        <f>D859+D852</f>
        <v/>
      </c>
      <c r="E866" s="18">
        <f>E859+E852</f>
        <v/>
      </c>
      <c r="F866" s="18">
        <f>F859+F852</f>
        <v/>
      </c>
      <c r="G866" s="18">
        <f>G859+G852</f>
        <v/>
      </c>
    </row>
    <row r="867">
      <c r="A867" s="7" t="inlineStr">
        <is>
          <t>Terminal return on invested capital, at REPLACEMENT cost</t>
        </is>
      </c>
      <c r="B867" s="24">
        <f>G858*(1+Assumptions!$B$110)/G866</f>
        <v/>
      </c>
    </row>
    <row r="868">
      <c r="A868" s="7" t="inlineStr">
        <is>
          <t>Required reinvestment = growth / return</t>
        </is>
      </c>
      <c r="B868" s="24">
        <f>MIN(Assumptions!$B$110/B867,0.95)</f>
        <v/>
      </c>
    </row>
    <row r="869">
      <c r="A869" s="7" t="inlineStr">
        <is>
          <t>Terminal value</t>
        </is>
      </c>
      <c r="B869" s="18">
        <f>G858*(1+Assumptions!$B$110)*(1-B868)/MAX($G$28-Assumptions!$B$110,0.02)</f>
        <v/>
      </c>
    </row>
    <row r="870">
      <c r="A870" s="7" t="inlineStr">
        <is>
          <t>PV of the terminal block</t>
        </is>
      </c>
      <c r="B870" s="18">
        <f>B869*G864</f>
        <v/>
      </c>
    </row>
    <row r="871">
      <c r="A871" s="15" t="inlineStr">
        <is>
          <t>ENTERPRISE VALUE</t>
        </is>
      </c>
      <c r="B871" s="37">
        <f>B866+B870</f>
        <v/>
      </c>
    </row>
    <row r="872">
      <c r="A872" s="7" t="inlineStr">
        <is>
          <t>plus net cash</t>
        </is>
      </c>
      <c r="B872" s="18">
        <f>(Assumptions!$B$100-Assumptions!$B$103-Assumptions!$B$104)/10^6</f>
        <v/>
      </c>
    </row>
    <row r="873">
      <c r="A873" s="7" t="inlineStr">
        <is>
          <t>Enterprise value including cash</t>
        </is>
      </c>
      <c r="B873" s="18">
        <f>B871+B872</f>
        <v/>
      </c>
    </row>
    <row r="874">
      <c r="A874" s="7" t="inlineStr">
        <is>
          <t>less minority — on the WHOLE enterprise, cash included</t>
        </is>
      </c>
      <c r="B874" s="18">
        <f>B873*'Income Statement'!$B$41</f>
        <v/>
      </c>
    </row>
    <row r="875">
      <c r="A875" s="7" t="inlineStr">
        <is>
          <t>less the tax-disputes provision</t>
        </is>
      </c>
      <c r="B875" s="18">
        <f>Assumptions!$B$99/10^6</f>
        <v/>
      </c>
    </row>
    <row r="876">
      <c r="A876" s="7" t="inlineStr">
        <is>
          <t>less dividends payable — declared, out of working capital</t>
        </is>
      </c>
      <c r="B876" s="18">
        <f>Assumptions!$B$98/10^6</f>
        <v/>
      </c>
    </row>
    <row r="877">
      <c r="A877" s="7" t="inlineStr">
        <is>
          <t>plus non-operating investments and pledged deposits</t>
        </is>
      </c>
      <c r="B877" s="18">
        <f>(Assumptions!$B$102+Assumptions!$B$101)/10^6</f>
        <v/>
      </c>
    </row>
    <row r="878">
      <c r="A878" s="15" t="inlineStr">
        <is>
          <t>EQUITY ATTRIBUTABLE</t>
        </is>
      </c>
      <c r="B878" s="37">
        <f>B873-B874-B875-B876+B877</f>
        <v/>
      </c>
    </row>
    <row r="879">
      <c r="A879" s="15" t="inlineStr">
        <is>
          <t>VALUE PER SHARE, EGP</t>
        </is>
      </c>
      <c r="B879" s="22">
        <f>B878/Assumptions!$B$8</f>
        <v/>
      </c>
    </row>
    <row r="882">
      <c r="A882" s="6" t="inlineStr">
        <is>
          <t>Beta — 0.9080</t>
        </is>
      </c>
      <c r="B882" s="6" t="inlineStr">
        <is>
          <t>2026E</t>
        </is>
      </c>
      <c r="C882" s="6" t="inlineStr">
        <is>
          <t>2027E</t>
        </is>
      </c>
      <c r="D882" s="6" t="inlineStr">
        <is>
          <t>2028E</t>
        </is>
      </c>
      <c r="E882" s="6" t="inlineStr">
        <is>
          <t>2029E</t>
        </is>
      </c>
      <c r="F882" s="6" t="inlineStr">
        <is>
          <t>2030E</t>
        </is>
      </c>
    </row>
    <row r="883">
      <c r="A883" s="7" t="inlineStr">
        <is>
          <t>Inflation index, cumulative</t>
        </is>
      </c>
      <c r="C883" s="23">
        <f>Assumptions!$B$167</f>
        <v/>
      </c>
      <c r="D883" s="23">
        <f>C883*Assumptions!$B$168</f>
        <v/>
      </c>
      <c r="E883" s="23">
        <f>D883*Assumptions!$B$169</f>
        <v/>
      </c>
      <c r="F883" s="23">
        <f>E883*Assumptions!$B$170</f>
        <v/>
      </c>
      <c r="G883" s="23">
        <f>F883*Assumptions!$B$171</f>
        <v/>
      </c>
    </row>
    <row r="884">
      <c r="A884" s="7" t="inlineStr">
        <is>
          <t>Realisation index, cumulative</t>
        </is>
      </c>
      <c r="C884" s="23">
        <f>(1+Assumptions!$B$122*DCF!$B$8)</f>
        <v/>
      </c>
      <c r="D884" s="23">
        <f>C884*(1+Assumptions!$B$123*DCF!$B$8)</f>
        <v/>
      </c>
      <c r="E884" s="23">
        <f>D884*(1+Assumptions!$B$124*DCF!$B$8)</f>
        <v/>
      </c>
      <c r="F884" s="23">
        <f>E884*(1+Assumptions!$B$125*DCF!$B$8)</f>
        <v/>
      </c>
      <c r="G884" s="23">
        <f>F884*(1+Assumptions!$B$126*DCF!$B$8)</f>
        <v/>
      </c>
    </row>
    <row r="885">
      <c r="A885" s="7" t="inlineStr">
        <is>
          <t xml:space="preserve">  Volume — Base and special oils, mn t</t>
        </is>
      </c>
      <c r="C885" s="23">
        <f>'Segments'!E6*(1+Assumptions!$B$127+DCF!$B$6)</f>
        <v/>
      </c>
      <c r="D885" s="23">
        <f>C885*(1+Assumptions!$B$128+DCF!$B$6)</f>
        <v/>
      </c>
      <c r="E885" s="23">
        <f>D885*(1+Assumptions!$B$129+DCF!$B$6)</f>
        <v/>
      </c>
      <c r="F885" s="23">
        <f>E885*(1+Assumptions!$B$130+DCF!$B$6)</f>
        <v/>
      </c>
      <c r="G885" s="23">
        <f>F885*(1+Assumptions!$B$131+DCF!$B$6)</f>
        <v/>
      </c>
    </row>
    <row r="886">
      <c r="A886" s="7" t="inlineStr">
        <is>
          <t xml:space="preserve">  Volume — Paraffin wax, mn t</t>
        </is>
      </c>
      <c r="C886" s="23">
        <f>'Segments'!E7*(1+Assumptions!$B$132+DCF!$B$6)</f>
        <v/>
      </c>
      <c r="D886" s="23">
        <f>C886*(1+Assumptions!$B$133+DCF!$B$6)</f>
        <v/>
      </c>
      <c r="E886" s="23">
        <f>D886*(1+Assumptions!$B$134+DCF!$B$6)</f>
        <v/>
      </c>
      <c r="F886" s="23">
        <f>E886*(1+Assumptions!$B$135+DCF!$B$6)</f>
        <v/>
      </c>
      <c r="G886" s="23">
        <f>F886*(1+Assumptions!$B$136+DCF!$B$6)</f>
        <v/>
      </c>
    </row>
    <row r="887">
      <c r="A887" s="7" t="inlineStr">
        <is>
          <t xml:space="preserve">  Volume — Gas oil, mn t</t>
        </is>
      </c>
      <c r="C887" s="23">
        <f>'Segments'!E8*(1+Assumptions!$B$137+DCF!$B$6)</f>
        <v/>
      </c>
      <c r="D887" s="23">
        <f>C887*(1+Assumptions!$B$138+DCF!$B$6)</f>
        <v/>
      </c>
      <c r="E887" s="23">
        <f>D887*(1+Assumptions!$B$139+DCF!$B$6)</f>
        <v/>
      </c>
      <c r="F887" s="23">
        <f>E887*(1+Assumptions!$B$140+DCF!$B$6)</f>
        <v/>
      </c>
      <c r="G887" s="23">
        <f>F887*(1+Assumptions!$B$141+DCF!$B$6)</f>
        <v/>
      </c>
    </row>
    <row r="888">
      <c r="A888" s="7" t="inlineStr">
        <is>
          <t xml:space="preserve">  Volume — Naphtha, mn t</t>
        </is>
      </c>
      <c r="C888" s="23">
        <f>'Segments'!E9*(1+Assumptions!$B$142+DCF!$B$6)</f>
        <v/>
      </c>
      <c r="D888" s="23">
        <f>C888*(1+Assumptions!$B$143+DCF!$B$6)</f>
        <v/>
      </c>
      <c r="E888" s="23">
        <f>D888*(1+Assumptions!$B$144+DCF!$B$6)</f>
        <v/>
      </c>
      <c r="F888" s="23">
        <f>E888*(1+Assumptions!$B$145+DCF!$B$6)</f>
        <v/>
      </c>
      <c r="G888" s="23">
        <f>F888*(1+Assumptions!$B$146+DCF!$B$6)</f>
        <v/>
      </c>
    </row>
    <row r="889">
      <c r="A889" s="7" t="inlineStr">
        <is>
          <t xml:space="preserve">  Volume — Liquefied petroleum gas, mn t</t>
        </is>
      </c>
      <c r="C889" s="23">
        <f>'Segments'!E10*(1+Assumptions!$B$147+DCF!$B$6)</f>
        <v/>
      </c>
      <c r="D889" s="23">
        <f>C889*(1+Assumptions!$B$148+DCF!$B$6)</f>
        <v/>
      </c>
      <c r="E889" s="23">
        <f>D889*(1+Assumptions!$B$149+DCF!$B$6)</f>
        <v/>
      </c>
      <c r="F889" s="23">
        <f>E889*(1+Assumptions!$B$150+DCF!$B$6)</f>
        <v/>
      </c>
      <c r="G889" s="23">
        <f>F889*(1+Assumptions!$B$151+DCF!$B$6)</f>
        <v/>
      </c>
    </row>
    <row r="890">
      <c r="A890" s="7" t="inlineStr">
        <is>
          <t xml:space="preserve">  Volume — Fuel oil (mix), mn t</t>
        </is>
      </c>
      <c r="C890" s="23">
        <f>'Segments'!E11*(1+Assumptions!$B$152+DCF!$B$6)</f>
        <v/>
      </c>
      <c r="D890" s="23">
        <f>C890*(1+Assumptions!$B$153+DCF!$B$6)</f>
        <v/>
      </c>
      <c r="E890" s="23">
        <f>D890*(1+Assumptions!$B$154+DCF!$B$6)</f>
        <v/>
      </c>
      <c r="F890" s="23">
        <f>E890*(1+Assumptions!$B$155+DCF!$B$6)</f>
        <v/>
      </c>
      <c r="G890" s="23">
        <f>F890*(1+Assumptions!$B$156+DCF!$B$6)</f>
        <v/>
      </c>
    </row>
    <row r="891">
      <c r="A891" s="7" t="inlineStr">
        <is>
          <t xml:space="preserve">  Volume — Heavy fuel oil, mn t</t>
        </is>
      </c>
      <c r="C891" s="23">
        <f>'Segments'!E12*(1+Assumptions!$B$157+DCF!$B$6)</f>
        <v/>
      </c>
      <c r="D891" s="23">
        <f>C891*(1+Assumptions!$B$158+DCF!$B$6)</f>
        <v/>
      </c>
      <c r="E891" s="23">
        <f>D891*(1+Assumptions!$B$159+DCF!$B$6)</f>
        <v/>
      </c>
      <c r="F891" s="23">
        <f>E891*(1+Assumptions!$B$160+DCF!$B$6)</f>
        <v/>
      </c>
      <c r="G891" s="23">
        <f>F891*(1+Assumptions!$B$161+DCF!$B$6)</f>
        <v/>
      </c>
    </row>
    <row r="892">
      <c r="A892" s="7" t="inlineStr">
        <is>
          <t xml:space="preserve">  Volume — Waste, mn t</t>
        </is>
      </c>
      <c r="C892" s="23">
        <f>'Segments'!E13*(1+Assumptions!$B$162+DCF!$B$6)</f>
        <v/>
      </c>
      <c r="D892" s="23">
        <f>C892*(1+Assumptions!$B$163+DCF!$B$6)</f>
        <v/>
      </c>
      <c r="E892" s="23">
        <f>D892*(1+Assumptions!$B$164+DCF!$B$6)</f>
        <v/>
      </c>
      <c r="F892" s="23">
        <f>E892*(1+Assumptions!$B$165+DCF!$B$6)</f>
        <v/>
      </c>
      <c r="G892" s="23">
        <f>F892*(1+Assumptions!$B$166+DCF!$B$6)</f>
        <v/>
      </c>
    </row>
    <row r="893">
      <c r="A893" s="15" t="inlineStr">
        <is>
          <t>Total volume, mn t</t>
        </is>
      </c>
      <c r="C893" s="36">
        <f>SUM(C885:C892)</f>
        <v/>
      </c>
      <c r="D893" s="36">
        <f>SUM(D885:D892)</f>
        <v/>
      </c>
      <c r="E893" s="36">
        <f>SUM(E885:E892)</f>
        <v/>
      </c>
      <c r="F893" s="36">
        <f>SUM(F885:F892)</f>
        <v/>
      </c>
      <c r="G893" s="36">
        <f>SUM(G885:G892)</f>
        <v/>
      </c>
    </row>
    <row r="894">
      <c r="A894" s="15" t="inlineStr">
        <is>
          <t>REVENUE</t>
        </is>
      </c>
      <c r="C894" s="37">
        <f>C885*'Segments'!$F$6*C884+C886*'Segments'!$F$7*C884+C887*'Segments'!$F$8*C884+C888*'Segments'!$F$9*C884+C889*'Segments'!$F$10*C884+C890*'Segments'!$F$11*C884+C891*'Segments'!$F$12*C884+C892*'Segments'!$F$13*C884</f>
        <v/>
      </c>
      <c r="D894" s="37">
        <f>D885*'Segments'!$F$6*D884+D886*'Segments'!$F$7*D884+D887*'Segments'!$F$8*D884+D888*'Segments'!$F$9*D884+D889*'Segments'!$F$10*D884+D890*'Segments'!$F$11*D884+D891*'Segments'!$F$12*D884+D892*'Segments'!$F$13*D884</f>
        <v/>
      </c>
      <c r="E894" s="37">
        <f>E885*'Segments'!$F$6*E884+E886*'Segments'!$F$7*E884+E887*'Segments'!$F$8*E884+E888*'Segments'!$F$9*E884+E889*'Segments'!$F$10*E884+E890*'Segments'!$F$11*E884+E891*'Segments'!$F$12*E884+E892*'Segments'!$F$13*E884</f>
        <v/>
      </c>
      <c r="F894" s="37">
        <f>F885*'Segments'!$F$6*F884+F886*'Segments'!$F$7*F884+F887*'Segments'!$F$8*F884+F888*'Segments'!$F$9*F884+F889*'Segments'!$F$10*F884+F890*'Segments'!$F$11*F884+F891*'Segments'!$F$12*F884+F892*'Segments'!$F$13*F884</f>
        <v/>
      </c>
      <c r="G894" s="37">
        <f>G885*'Segments'!$F$6*G884+G886*'Segments'!$F$7*G884+G887*'Segments'!$F$8*G884+G888*'Segments'!$F$9*G884+G889*'Segments'!$F$10*G884+G890*'Segments'!$F$11*G884+G891*'Segments'!$F$12*G884+G892*'Segments'!$F$13*G884</f>
        <v/>
      </c>
    </row>
    <row r="895">
      <c r="A895" s="7" t="inlineStr">
        <is>
          <t>Cost of sales</t>
        </is>
      </c>
      <c r="C895" s="18">
        <f>C885*('Segments'!$D$27*C884*Assumptions!$B$109+'Segments'!$B$27*(0.4983251709*C883+0.4357405005*C883+0.0330936548*C884+0.0328406739))+C886*('Segments'!$D$28*C884*Assumptions!$B$109+'Segments'!$B$28*(0.4983251709*C883+0.4357405005*C883+0.0330936548*C884+0.0328406739))+C887*('Segments'!$D$29*C884*Assumptions!$B$109+'Segments'!$B$29*(0.4983251709*C883+0.4357405005*C883+0.0330936548*C884+0.0328406739))+C888*('Segments'!$D$30*C884*Assumptions!$B$109+'Segments'!$B$30*(0.4983251709*C883+0.4357405005*C883+0.0330936548*C884+0.0328406739))+C889*('Segments'!$D$31*C884*Assumptions!$B$109+'Segments'!$B$31*(0.4983251709*C883+0.4357405005*C883+0.0330936548*C884+0.0328406739))+C890*('Segments'!$D$32*C884*Assumptions!$B$109+'Segments'!$B$32*(0.4983251709*C883+0.4357405005*C883+0.0330936548*C884+0.0328406739))+C891*('Segments'!$D$33*C884*Assumptions!$B$109+'Segments'!$B$33*(0.4983251709*C883+0.4357405005*C883+0.0330936548*C884+0.0328406739))+C892*('Segments'!$D$34*C884*Assumptions!$B$109+'Segments'!$B$34*(0.4983251709*C883+0.4357405005*C883+0.0330936548*C884+0.0328406739))</f>
        <v/>
      </c>
      <c r="D895" s="18">
        <f>D885*('Segments'!$D$27*D884*Assumptions!$B$109+'Segments'!$B$27*(0.4983251709*D883+0.4357405005*D883+0.0330936548*D884+0.0328406739))+D886*('Segments'!$D$28*D884*Assumptions!$B$109+'Segments'!$B$28*(0.4983251709*D883+0.4357405005*D883+0.0330936548*D884+0.0328406739))+D887*('Segments'!$D$29*D884*Assumptions!$B$109+'Segments'!$B$29*(0.4983251709*D883+0.4357405005*D883+0.0330936548*D884+0.0328406739))+D888*('Segments'!$D$30*D884*Assumptions!$B$109+'Segments'!$B$30*(0.4983251709*D883+0.4357405005*D883+0.0330936548*D884+0.0328406739))+D889*('Segments'!$D$31*D884*Assumptions!$B$109+'Segments'!$B$31*(0.4983251709*D883+0.4357405005*D883+0.0330936548*D884+0.0328406739))+D890*('Segments'!$D$32*D884*Assumptions!$B$109+'Segments'!$B$32*(0.4983251709*D883+0.4357405005*D883+0.0330936548*D884+0.0328406739))+D891*('Segments'!$D$33*D884*Assumptions!$B$109+'Segments'!$B$33*(0.4983251709*D883+0.4357405005*D883+0.0330936548*D884+0.0328406739))+D892*('Segments'!$D$34*D884*Assumptions!$B$109+'Segments'!$B$34*(0.4983251709*D883+0.4357405005*D883+0.0330936548*D884+0.0328406739))</f>
        <v/>
      </c>
      <c r="E895" s="18">
        <f>E885*('Segments'!$D$27*E884*Assumptions!$B$109+'Segments'!$B$27*(0.4983251709*E883+0.4357405005*E883+0.0330936548*E884+0.0328406739))+E886*('Segments'!$D$28*E884*Assumptions!$B$109+'Segments'!$B$28*(0.4983251709*E883+0.4357405005*E883+0.0330936548*E884+0.0328406739))+E887*('Segments'!$D$29*E884*Assumptions!$B$109+'Segments'!$B$29*(0.4983251709*E883+0.4357405005*E883+0.0330936548*E884+0.0328406739))+E888*('Segments'!$D$30*E884*Assumptions!$B$109+'Segments'!$B$30*(0.4983251709*E883+0.4357405005*E883+0.0330936548*E884+0.0328406739))+E889*('Segments'!$D$31*E884*Assumptions!$B$109+'Segments'!$B$31*(0.4983251709*E883+0.4357405005*E883+0.0330936548*E884+0.0328406739))+E890*('Segments'!$D$32*E884*Assumptions!$B$109+'Segments'!$B$32*(0.4983251709*E883+0.4357405005*E883+0.0330936548*E884+0.0328406739))+E891*('Segments'!$D$33*E884*Assumptions!$B$109+'Segments'!$B$33*(0.4983251709*E883+0.4357405005*E883+0.0330936548*E884+0.0328406739))+E892*('Segments'!$D$34*E884*Assumptions!$B$109+'Segments'!$B$34*(0.4983251709*E883+0.4357405005*E883+0.0330936548*E884+0.0328406739))</f>
        <v/>
      </c>
      <c r="F895" s="18">
        <f>F885*('Segments'!$D$27*F884*Assumptions!$B$109+'Segments'!$B$27*(0.4983251709*F883+0.4357405005*F883+0.0330936548*F884+0.0328406739))+F886*('Segments'!$D$28*F884*Assumptions!$B$109+'Segments'!$B$28*(0.4983251709*F883+0.4357405005*F883+0.0330936548*F884+0.0328406739))+F887*('Segments'!$D$29*F884*Assumptions!$B$109+'Segments'!$B$29*(0.4983251709*F883+0.4357405005*F883+0.0330936548*F884+0.0328406739))+F888*('Segments'!$D$30*F884*Assumptions!$B$109+'Segments'!$B$30*(0.4983251709*F883+0.4357405005*F883+0.0330936548*F884+0.0328406739))+F889*('Segments'!$D$31*F884*Assumptions!$B$109+'Segments'!$B$31*(0.4983251709*F883+0.4357405005*F883+0.0330936548*F884+0.0328406739))+F890*('Segments'!$D$32*F884*Assumptions!$B$109+'Segments'!$B$32*(0.4983251709*F883+0.4357405005*F883+0.0330936548*F884+0.0328406739))+F891*('Segments'!$D$33*F884*Assumptions!$B$109+'Segments'!$B$33*(0.4983251709*F883+0.4357405005*F883+0.0330936548*F884+0.0328406739))+F892*('Segments'!$D$34*F884*Assumptions!$B$109+'Segments'!$B$34*(0.4983251709*F883+0.4357405005*F883+0.0330936548*F884+0.0328406739))</f>
        <v/>
      </c>
      <c r="G895" s="18">
        <f>G885*('Segments'!$D$27*G884*Assumptions!$B$109+'Segments'!$B$27*(0.4983251709*G883+0.4357405005*G883+0.0330936548*G884+0.0328406739))+G886*('Segments'!$D$28*G884*Assumptions!$B$109+'Segments'!$B$28*(0.4983251709*G883+0.4357405005*G883+0.0330936548*G884+0.0328406739))+G887*('Segments'!$D$29*G884*Assumptions!$B$109+'Segments'!$B$29*(0.4983251709*G883+0.4357405005*G883+0.0330936548*G884+0.0328406739))+G888*('Segments'!$D$30*G884*Assumptions!$B$109+'Segments'!$B$30*(0.4983251709*G883+0.4357405005*G883+0.0330936548*G884+0.0328406739))+G889*('Segments'!$D$31*G884*Assumptions!$B$109+'Segments'!$B$31*(0.4983251709*G883+0.4357405005*G883+0.0330936548*G884+0.0328406739))+G890*('Segments'!$D$32*G884*Assumptions!$B$109+'Segments'!$B$32*(0.4983251709*G883+0.4357405005*G883+0.0330936548*G884+0.0328406739))+G891*('Segments'!$D$33*G884*Assumptions!$B$109+'Segments'!$B$33*(0.4983251709*G883+0.4357405005*G883+0.0330936548*G884+0.0328406739))+G892*('Segments'!$D$34*G884*Assumptions!$B$109+'Segments'!$B$34*(0.4983251709*G883+0.4357405005*G883+0.0330936548*G884+0.0328406739))</f>
        <v/>
      </c>
    </row>
    <row r="896">
      <c r="A896" s="15" t="inlineStr">
        <is>
          <t>GROSS PROFIT</t>
        </is>
      </c>
      <c r="C896" s="37">
        <f>C894-C895+DCF!$B$7*C894</f>
        <v/>
      </c>
      <c r="D896" s="37">
        <f>D894-D895+DCF!$B$7*D894</f>
        <v/>
      </c>
      <c r="E896" s="37">
        <f>E894-E895+DCF!$B$7*E894</f>
        <v/>
      </c>
      <c r="F896" s="37">
        <f>F894-F895+DCF!$B$7*F894</f>
        <v/>
      </c>
      <c r="G896" s="37">
        <f>G894-G895+DCF!$B$7*G894</f>
        <v/>
      </c>
    </row>
    <row r="897">
      <c r="A897" s="7" t="inlineStr">
        <is>
          <t>Gross margin</t>
        </is>
      </c>
      <c r="C897" s="24">
        <f>C896/C894</f>
        <v/>
      </c>
      <c r="D897" s="24">
        <f>D896/D894</f>
        <v/>
      </c>
      <c r="E897" s="24">
        <f>E896/E894</f>
        <v/>
      </c>
      <c r="F897" s="24">
        <f>F896/F894</f>
        <v/>
      </c>
      <c r="G897" s="24">
        <f>G896/G894</f>
        <v/>
      </c>
    </row>
    <row r="898">
      <c r="A898" s="7" t="inlineStr">
        <is>
          <t>Operating expense</t>
        </is>
      </c>
      <c r="C898" s="18">
        <f>('Income Statement'!$B$28*C883)+('Income Statement'!$B$29*C883*C893/'Segments'!$E$14)+('Income Statement'!$B$30*C883)+('Income Statement'!$B$31*C883)</f>
        <v/>
      </c>
      <c r="D898" s="18">
        <f>('Income Statement'!$B$28*D883)+('Income Statement'!$B$29*D883*D893/'Segments'!$E$14)+('Income Statement'!$B$30*D883)+('Income Statement'!$B$31*D883)</f>
        <v/>
      </c>
      <c r="E898" s="18">
        <f>('Income Statement'!$B$28*E883)+('Income Statement'!$B$29*E883*E893/'Segments'!$E$14)+('Income Statement'!$B$30*E883)+('Income Statement'!$B$31*E883)</f>
        <v/>
      </c>
      <c r="F898" s="18">
        <f>('Income Statement'!$B$28*F883)+('Income Statement'!$B$29*F883*F893/'Segments'!$E$14)+('Income Statement'!$B$30*F883)+('Income Statement'!$B$31*F883)</f>
        <v/>
      </c>
      <c r="G898" s="18">
        <f>('Income Statement'!$B$28*G883)+('Income Statement'!$B$29*G883*G893/'Segments'!$E$14)+('Income Statement'!$B$30*G883)+('Income Statement'!$B$31*G883)</f>
        <v/>
      </c>
    </row>
    <row r="899">
      <c r="A899" s="15" t="inlineStr">
        <is>
          <t>EBITDA</t>
        </is>
      </c>
      <c r="C899" s="37">
        <f>C896-C898</f>
        <v/>
      </c>
      <c r="D899" s="37">
        <f>D896-D898</f>
        <v/>
      </c>
      <c r="E899" s="37">
        <f>E896-E898</f>
        <v/>
      </c>
      <c r="F899" s="37">
        <f>F896-F898</f>
        <v/>
      </c>
      <c r="G899" s="37">
        <f>G896-G898</f>
        <v/>
      </c>
    </row>
    <row r="900">
      <c r="A900" s="7" t="inlineStr">
        <is>
          <t>Capital expenditure — maintenance + growth</t>
        </is>
      </c>
      <c r="C900" s="18">
        <f>'Income Statement'!$B$43*C883+MAX(C893-'Segments'!$E$14,0)*2100.379938*C883</f>
        <v/>
      </c>
      <c r="D900" s="18">
        <f>'Income Statement'!$B$43*D883+MAX(D893-C893,0)*2100.379938*D883</f>
        <v/>
      </c>
      <c r="E900" s="18">
        <f>'Income Statement'!$B$43*E883+MAX(E893-D893,0)*2100.379938*E883</f>
        <v/>
      </c>
      <c r="F900" s="18">
        <f>'Income Statement'!$B$43*F883+MAX(F893-E893,0)*2100.379938*F883</f>
        <v/>
      </c>
      <c r="G900" s="18">
        <f>'Income Statement'!$B$43*G883+MAX(G893-F893,0)*2100.379938*G883</f>
        <v/>
      </c>
    </row>
    <row r="901">
      <c r="A901" s="7" t="inlineStr">
        <is>
          <t>Fixed assets at cost, closing</t>
        </is>
      </c>
      <c r="C901" s="18">
        <f>(Assumptions!$B$91+Assumptions!$B$92)/10^6+C900</f>
        <v/>
      </c>
      <c r="D901" s="18">
        <f>C901+D900</f>
        <v/>
      </c>
      <c r="E901" s="18">
        <f>D901+E900</f>
        <v/>
      </c>
      <c r="F901" s="18">
        <f>E901+F900</f>
        <v/>
      </c>
      <c r="G901" s="18">
        <f>F901+G900</f>
        <v/>
      </c>
    </row>
    <row r="902">
      <c r="A902" s="7" t="inlineStr">
        <is>
          <t>Depreciation — rolls off the asset register</t>
        </is>
      </c>
      <c r="C902" s="18">
        <f>(Assumptions!$B$91+Assumptions!$B$92)/10^6/'Income Statement'!$B$42</f>
        <v/>
      </c>
      <c r="D902" s="18">
        <f>C901/'Income Statement'!$B$42</f>
        <v/>
      </c>
      <c r="E902" s="18">
        <f>D901/'Income Statement'!$B$42</f>
        <v/>
      </c>
      <c r="F902" s="18">
        <f>E901/'Income Statement'!$B$42</f>
        <v/>
      </c>
      <c r="G902" s="18">
        <f>F901/'Income Statement'!$B$42</f>
        <v/>
      </c>
    </row>
    <row r="903">
      <c r="A903" s="7" t="inlineStr">
        <is>
          <t>Fixed assets, net book, closing</t>
        </is>
      </c>
      <c r="C903" s="18">
        <f>(Assumptions!$B$90+Assumptions!$B$92)/10^6+C900-C902</f>
        <v/>
      </c>
      <c r="D903" s="18">
        <f>C903+D900-D902</f>
        <v/>
      </c>
      <c r="E903" s="18">
        <f>D903+E900-E902</f>
        <v/>
      </c>
      <c r="F903" s="18">
        <f>E903+F900-F902</f>
        <v/>
      </c>
      <c r="G903" s="18">
        <f>F903+G900-G902</f>
        <v/>
      </c>
    </row>
    <row r="904">
      <c r="A904" s="15" t="inlineStr">
        <is>
          <t>EBIT</t>
        </is>
      </c>
      <c r="C904" s="37">
        <f>C899-C902</f>
        <v/>
      </c>
      <c r="D904" s="37">
        <f>D899-D902</f>
        <v/>
      </c>
      <c r="E904" s="37">
        <f>E899-E902</f>
        <v/>
      </c>
      <c r="F904" s="37">
        <f>F899-F902</f>
        <v/>
      </c>
      <c r="G904" s="37">
        <f>G899-G902</f>
        <v/>
      </c>
    </row>
    <row r="905">
      <c r="A905" s="7" t="inlineStr">
        <is>
          <t>NOPAT before the profit share</t>
        </is>
      </c>
      <c r="C905" s="18">
        <f>C904*(1-Assumptions!$B$108)</f>
        <v/>
      </c>
      <c r="D905" s="18">
        <f>D904*(1-Assumptions!$B$108)</f>
        <v/>
      </c>
      <c r="E905" s="18">
        <f>E904*(1-Assumptions!$B$108)</f>
        <v/>
      </c>
      <c r="F905" s="18">
        <f>F904*(1-Assumptions!$B$108)</f>
        <v/>
      </c>
      <c r="G905" s="18">
        <f>G904*(1-Assumptions!$B$108)</f>
        <v/>
      </c>
    </row>
    <row r="906">
      <c r="A906" s="7" t="inlineStr">
        <is>
          <t xml:space="preserve">  less employees' profit share and board bonuses</t>
        </is>
      </c>
      <c r="C906" s="18">
        <f>MAX(C905,0)*'Income Statement'!$B$40</f>
        <v/>
      </c>
      <c r="D906" s="18">
        <f>MAX(D905,0)*'Income Statement'!$B$40</f>
        <v/>
      </c>
      <c r="E906" s="18">
        <f>MAX(E905,0)*'Income Statement'!$B$40</f>
        <v/>
      </c>
      <c r="F906" s="18">
        <f>MAX(F905,0)*'Income Statement'!$B$40</f>
        <v/>
      </c>
      <c r="G906" s="18">
        <f>MAX(G905,0)*'Income Statement'!$B$40</f>
        <v/>
      </c>
    </row>
    <row r="907">
      <c r="A907" s="15" t="inlineStr">
        <is>
          <t>NOPAT</t>
        </is>
      </c>
      <c r="C907" s="37">
        <f>C905-C906</f>
        <v/>
      </c>
      <c r="D907" s="37">
        <f>D905-D906</f>
        <v/>
      </c>
      <c r="E907" s="37">
        <f>E905-E906</f>
        <v/>
      </c>
      <c r="F907" s="37">
        <f>F905-F906</f>
        <v/>
      </c>
      <c r="G907" s="37">
        <f>G905-G906</f>
        <v/>
      </c>
    </row>
    <row r="908">
      <c r="A908" s="7" t="inlineStr">
        <is>
          <t>Net working capital — on days</t>
        </is>
      </c>
      <c r="C908" s="18">
        <f>'Income Statement'!$B$44*DCF!$B$9/365*C895+'Income Statement'!$B$45*DCF!$B$9/365*C894-'Income Statement'!$B$46*DCF!$B$9/365*C895</f>
        <v/>
      </c>
      <c r="D908" s="18">
        <f>'Income Statement'!$B$44*DCF!$B$9/365*D895+'Income Statement'!$B$45*DCF!$B$9/365*D894-'Income Statement'!$B$46*DCF!$B$9/365*D895</f>
        <v/>
      </c>
      <c r="E908" s="18">
        <f>'Income Statement'!$B$44*DCF!$B$9/365*E895+'Income Statement'!$B$45*DCF!$B$9/365*E894-'Income Statement'!$B$46*DCF!$B$9/365*E895</f>
        <v/>
      </c>
      <c r="F908" s="18">
        <f>'Income Statement'!$B$44*DCF!$B$9/365*F895+'Income Statement'!$B$45*DCF!$B$9/365*F894-'Income Statement'!$B$46*DCF!$B$9/365*F895</f>
        <v/>
      </c>
      <c r="G908" s="18">
        <f>'Income Statement'!$B$44*DCF!$B$9/365*G895+'Income Statement'!$B$45*DCF!$B$9/365*G894-'Income Statement'!$B$46*DCF!$B$9/365*G895</f>
        <v/>
      </c>
    </row>
    <row r="909">
      <c r="A909" s="7" t="inlineStr">
        <is>
          <t xml:space="preserve">  change in working capital</t>
        </is>
      </c>
      <c r="C909" s="18">
        <f>C908-('Income Statement'!$B$44/365*'Income Statement'!$B$21+'Income Statement'!$B$45/365*'Income Statement'!$B$19-'Income Statement'!$B$46/365*'Income Statement'!$B$21)</f>
        <v/>
      </c>
      <c r="D909" s="18">
        <f>D908-C908</f>
        <v/>
      </c>
      <c r="E909" s="18">
        <f>E908-D908</f>
        <v/>
      </c>
      <c r="F909" s="18">
        <f>F908-E908</f>
        <v/>
      </c>
      <c r="G909" s="18">
        <f>G908-F908</f>
        <v/>
      </c>
    </row>
    <row r="910">
      <c r="A910" s="15" t="inlineStr">
        <is>
          <t>FREE CASH FLOW TO THE FIRM</t>
        </is>
      </c>
      <c r="C910" s="37">
        <f>C907+C902-C900-C909</f>
        <v/>
      </c>
      <c r="D910" s="37">
        <f>D907+D902-D900-D909</f>
        <v/>
      </c>
      <c r="E910" s="37">
        <f>E907+E902-E900-E909</f>
        <v/>
      </c>
      <c r="F910" s="37">
        <f>F907+F902-F900-F909</f>
        <v/>
      </c>
      <c r="G910" s="37">
        <f>G907+G902-G900-G909</f>
        <v/>
      </c>
    </row>
    <row r="911">
      <c r="A911" s="7" t="inlineStr">
        <is>
          <t>Glide fraction</t>
        </is>
      </c>
      <c r="C911" s="23">
        <f>0.0000000000</f>
        <v/>
      </c>
      <c r="D911" s="23">
        <f>0.3571428571</f>
        <v/>
      </c>
      <c r="E911" s="23">
        <f>0.6428571429</f>
        <v/>
      </c>
      <c r="F911" s="23">
        <f>0.8571428571</f>
        <v/>
      </c>
      <c r="G911" s="23">
        <f>1.0000000000</f>
        <v/>
      </c>
    </row>
    <row r="912">
      <c r="A912" s="7" t="inlineStr">
        <is>
          <t>Forward cost of capital</t>
        </is>
      </c>
      <c r="C912" s="24">
        <f>$F$29-($F$29-$G$29)*C911</f>
        <v/>
      </c>
      <c r="D912" s="24">
        <f>$F$29-($F$29-$G$29)*D911</f>
        <v/>
      </c>
      <c r="E912" s="24">
        <f>$F$29-($F$29-$G$29)*E911</f>
        <v/>
      </c>
      <c r="F912" s="24">
        <f>$F$29-($F$29-$G$29)*F911</f>
        <v/>
      </c>
      <c r="G912" s="24">
        <f>$F$29-($F$29-$G$29)*G911</f>
        <v/>
      </c>
    </row>
    <row r="913">
      <c r="A913" s="7" t="inlineStr">
        <is>
          <t>Cumulative discount factor</t>
        </is>
      </c>
      <c r="C913" s="40">
        <f>1/(1+C912)</f>
        <v/>
      </c>
      <c r="D913" s="40">
        <f>C913/(1+D912)</f>
        <v/>
      </c>
      <c r="E913" s="40">
        <f>D913/(1+E912)</f>
        <v/>
      </c>
      <c r="F913" s="40">
        <f>E913/(1+F912)</f>
        <v/>
      </c>
      <c r="G913" s="40">
        <f>F913/(1+G912)</f>
        <v/>
      </c>
    </row>
    <row r="914">
      <c r="A914" s="7" t="inlineStr">
        <is>
          <t>Present value</t>
        </is>
      </c>
      <c r="C914" s="18">
        <f>C910*C913</f>
        <v/>
      </c>
      <c r="D914" s="18">
        <f>D910*D913</f>
        <v/>
      </c>
      <c r="E914" s="18">
        <f>E910*E913</f>
        <v/>
      </c>
      <c r="F914" s="18">
        <f>F910*F913</f>
        <v/>
      </c>
      <c r="G914" s="18">
        <f>G910*G913</f>
        <v/>
      </c>
    </row>
    <row r="915">
      <c r="A915" s="15" t="inlineStr">
        <is>
          <t>PV of the explicit window</t>
        </is>
      </c>
      <c r="B915" s="37">
        <f>SUM(C914:G914)</f>
        <v/>
      </c>
      <c r="C915" s="18">
        <f>C908+C901</f>
        <v/>
      </c>
      <c r="D915" s="18">
        <f>D908+D901</f>
        <v/>
      </c>
      <c r="E915" s="18">
        <f>E908+E901</f>
        <v/>
      </c>
      <c r="F915" s="18">
        <f>F908+F901</f>
        <v/>
      </c>
      <c r="G915" s="18">
        <f>G908+G901</f>
        <v/>
      </c>
    </row>
    <row r="916">
      <c r="A916" s="7" t="inlineStr">
        <is>
          <t>Terminal return on invested capital, at REPLACEMENT cost</t>
        </is>
      </c>
      <c r="B916" s="24">
        <f>G907*(1+Assumptions!$B$110)/G915</f>
        <v/>
      </c>
    </row>
    <row r="917">
      <c r="A917" s="7" t="inlineStr">
        <is>
          <t>Required reinvestment = growth / return</t>
        </is>
      </c>
      <c r="B917" s="24">
        <f>MIN(Assumptions!$B$110/B916,0.95)</f>
        <v/>
      </c>
    </row>
    <row r="918">
      <c r="A918" s="7" t="inlineStr">
        <is>
          <t>Terminal value</t>
        </is>
      </c>
      <c r="B918" s="18">
        <f>G907*(1+Assumptions!$B$110)*(1-B917)/MAX($G$29-Assumptions!$B$110,0.02)</f>
        <v/>
      </c>
    </row>
    <row r="919">
      <c r="A919" s="7" t="inlineStr">
        <is>
          <t>PV of the terminal block</t>
        </is>
      </c>
      <c r="B919" s="18">
        <f>B918*G913</f>
        <v/>
      </c>
    </row>
    <row r="920">
      <c r="A920" s="15" t="inlineStr">
        <is>
          <t>ENTERPRISE VALUE</t>
        </is>
      </c>
      <c r="B920" s="37">
        <f>B915+B919</f>
        <v/>
      </c>
    </row>
    <row r="921">
      <c r="A921" s="7" t="inlineStr">
        <is>
          <t>plus net cash</t>
        </is>
      </c>
      <c r="B921" s="18">
        <f>(Assumptions!$B$100-Assumptions!$B$103-Assumptions!$B$104)/10^6</f>
        <v/>
      </c>
    </row>
    <row r="922">
      <c r="A922" s="7" t="inlineStr">
        <is>
          <t>Enterprise value including cash</t>
        </is>
      </c>
      <c r="B922" s="18">
        <f>B920+B921</f>
        <v/>
      </c>
    </row>
    <row r="923">
      <c r="A923" s="7" t="inlineStr">
        <is>
          <t>less minority — on the WHOLE enterprise, cash included</t>
        </is>
      </c>
      <c r="B923" s="18">
        <f>B922*'Income Statement'!$B$41</f>
        <v/>
      </c>
    </row>
    <row r="924">
      <c r="A924" s="7" t="inlineStr">
        <is>
          <t>less the tax-disputes provision</t>
        </is>
      </c>
      <c r="B924" s="18">
        <f>Assumptions!$B$99/10^6</f>
        <v/>
      </c>
    </row>
    <row r="925">
      <c r="A925" s="7" t="inlineStr">
        <is>
          <t>less dividends payable — declared, out of working capital</t>
        </is>
      </c>
      <c r="B925" s="18">
        <f>Assumptions!$B$98/10^6</f>
        <v/>
      </c>
    </row>
    <row r="926">
      <c r="A926" s="7" t="inlineStr">
        <is>
          <t>plus non-operating investments and pledged deposits</t>
        </is>
      </c>
      <c r="B926" s="18">
        <f>(Assumptions!$B$102+Assumptions!$B$101)/10^6</f>
        <v/>
      </c>
    </row>
    <row r="927">
      <c r="A927" s="15" t="inlineStr">
        <is>
          <t>EQUITY ATTRIBUTABLE</t>
        </is>
      </c>
      <c r="B927" s="37">
        <f>B922-B923-B924-B925+B926</f>
        <v/>
      </c>
    </row>
    <row r="928">
      <c r="A928" s="15" t="inlineStr">
        <is>
          <t>VALUE PER SHARE, EGP</t>
        </is>
      </c>
      <c r="B928" s="22">
        <f>B927/Assumptions!$B$8</f>
        <v/>
      </c>
    </row>
    <row r="931">
      <c r="A931" s="6" t="inlineStr">
        <is>
          <t>Beta — 1.1500</t>
        </is>
      </c>
      <c r="B931" s="6" t="inlineStr">
        <is>
          <t>2026E</t>
        </is>
      </c>
      <c r="C931" s="6" t="inlineStr">
        <is>
          <t>2027E</t>
        </is>
      </c>
      <c r="D931" s="6" t="inlineStr">
        <is>
          <t>2028E</t>
        </is>
      </c>
      <c r="E931" s="6" t="inlineStr">
        <is>
          <t>2029E</t>
        </is>
      </c>
      <c r="F931" s="6" t="inlineStr">
        <is>
          <t>2030E</t>
        </is>
      </c>
    </row>
    <row r="932">
      <c r="A932" s="7" t="inlineStr">
        <is>
          <t>Inflation index, cumulative</t>
        </is>
      </c>
      <c r="C932" s="23">
        <f>Assumptions!$B$167</f>
        <v/>
      </c>
      <c r="D932" s="23">
        <f>C932*Assumptions!$B$168</f>
        <v/>
      </c>
      <c r="E932" s="23">
        <f>D932*Assumptions!$B$169</f>
        <v/>
      </c>
      <c r="F932" s="23">
        <f>E932*Assumptions!$B$170</f>
        <v/>
      </c>
      <c r="G932" s="23">
        <f>F932*Assumptions!$B$171</f>
        <v/>
      </c>
    </row>
    <row r="933">
      <c r="A933" s="7" t="inlineStr">
        <is>
          <t>Realisation index, cumulative</t>
        </is>
      </c>
      <c r="C933" s="23">
        <f>(1+Assumptions!$B$122*DCF!$B$8)</f>
        <v/>
      </c>
      <c r="D933" s="23">
        <f>C933*(1+Assumptions!$B$123*DCF!$B$8)</f>
        <v/>
      </c>
      <c r="E933" s="23">
        <f>D933*(1+Assumptions!$B$124*DCF!$B$8)</f>
        <v/>
      </c>
      <c r="F933" s="23">
        <f>E933*(1+Assumptions!$B$125*DCF!$B$8)</f>
        <v/>
      </c>
      <c r="G933" s="23">
        <f>F933*(1+Assumptions!$B$126*DCF!$B$8)</f>
        <v/>
      </c>
    </row>
    <row r="934">
      <c r="A934" s="7" t="inlineStr">
        <is>
          <t xml:space="preserve">  Volume — Base and special oils, mn t</t>
        </is>
      </c>
      <c r="C934" s="23">
        <f>'Segments'!E6*(1+Assumptions!$B$127+DCF!$B$6)</f>
        <v/>
      </c>
      <c r="D934" s="23">
        <f>C934*(1+Assumptions!$B$128+DCF!$B$6)</f>
        <v/>
      </c>
      <c r="E934" s="23">
        <f>D934*(1+Assumptions!$B$129+DCF!$B$6)</f>
        <v/>
      </c>
      <c r="F934" s="23">
        <f>E934*(1+Assumptions!$B$130+DCF!$B$6)</f>
        <v/>
      </c>
      <c r="G934" s="23">
        <f>F934*(1+Assumptions!$B$131+DCF!$B$6)</f>
        <v/>
      </c>
    </row>
    <row r="935">
      <c r="A935" s="7" t="inlineStr">
        <is>
          <t xml:space="preserve">  Volume — Paraffin wax, mn t</t>
        </is>
      </c>
      <c r="C935" s="23">
        <f>'Segments'!E7*(1+Assumptions!$B$132+DCF!$B$6)</f>
        <v/>
      </c>
      <c r="D935" s="23">
        <f>C935*(1+Assumptions!$B$133+DCF!$B$6)</f>
        <v/>
      </c>
      <c r="E935" s="23">
        <f>D935*(1+Assumptions!$B$134+DCF!$B$6)</f>
        <v/>
      </c>
      <c r="F935" s="23">
        <f>E935*(1+Assumptions!$B$135+DCF!$B$6)</f>
        <v/>
      </c>
      <c r="G935" s="23">
        <f>F935*(1+Assumptions!$B$136+DCF!$B$6)</f>
        <v/>
      </c>
    </row>
    <row r="936">
      <c r="A936" s="7" t="inlineStr">
        <is>
          <t xml:space="preserve">  Volume — Gas oil, mn t</t>
        </is>
      </c>
      <c r="C936" s="23">
        <f>'Segments'!E8*(1+Assumptions!$B$137+DCF!$B$6)</f>
        <v/>
      </c>
      <c r="D936" s="23">
        <f>C936*(1+Assumptions!$B$138+DCF!$B$6)</f>
        <v/>
      </c>
      <c r="E936" s="23">
        <f>D936*(1+Assumptions!$B$139+DCF!$B$6)</f>
        <v/>
      </c>
      <c r="F936" s="23">
        <f>E936*(1+Assumptions!$B$140+DCF!$B$6)</f>
        <v/>
      </c>
      <c r="G936" s="23">
        <f>F936*(1+Assumptions!$B$141+DCF!$B$6)</f>
        <v/>
      </c>
    </row>
    <row r="937">
      <c r="A937" s="7" t="inlineStr">
        <is>
          <t xml:space="preserve">  Volume — Naphtha, mn t</t>
        </is>
      </c>
      <c r="C937" s="23">
        <f>'Segments'!E9*(1+Assumptions!$B$142+DCF!$B$6)</f>
        <v/>
      </c>
      <c r="D937" s="23">
        <f>C937*(1+Assumptions!$B$143+DCF!$B$6)</f>
        <v/>
      </c>
      <c r="E937" s="23">
        <f>D937*(1+Assumptions!$B$144+DCF!$B$6)</f>
        <v/>
      </c>
      <c r="F937" s="23">
        <f>E937*(1+Assumptions!$B$145+DCF!$B$6)</f>
        <v/>
      </c>
      <c r="G937" s="23">
        <f>F937*(1+Assumptions!$B$146+DCF!$B$6)</f>
        <v/>
      </c>
    </row>
    <row r="938">
      <c r="A938" s="7" t="inlineStr">
        <is>
          <t xml:space="preserve">  Volume — Liquefied petroleum gas, mn t</t>
        </is>
      </c>
      <c r="C938" s="23">
        <f>'Segments'!E10*(1+Assumptions!$B$147+DCF!$B$6)</f>
        <v/>
      </c>
      <c r="D938" s="23">
        <f>C938*(1+Assumptions!$B$148+DCF!$B$6)</f>
        <v/>
      </c>
      <c r="E938" s="23">
        <f>D938*(1+Assumptions!$B$149+DCF!$B$6)</f>
        <v/>
      </c>
      <c r="F938" s="23">
        <f>E938*(1+Assumptions!$B$150+DCF!$B$6)</f>
        <v/>
      </c>
      <c r="G938" s="23">
        <f>F938*(1+Assumptions!$B$151+DCF!$B$6)</f>
        <v/>
      </c>
    </row>
    <row r="939">
      <c r="A939" s="7" t="inlineStr">
        <is>
          <t xml:space="preserve">  Volume — Fuel oil (mix), mn t</t>
        </is>
      </c>
      <c r="C939" s="23">
        <f>'Segments'!E11*(1+Assumptions!$B$152+DCF!$B$6)</f>
        <v/>
      </c>
      <c r="D939" s="23">
        <f>C939*(1+Assumptions!$B$153+DCF!$B$6)</f>
        <v/>
      </c>
      <c r="E939" s="23">
        <f>D939*(1+Assumptions!$B$154+DCF!$B$6)</f>
        <v/>
      </c>
      <c r="F939" s="23">
        <f>E939*(1+Assumptions!$B$155+DCF!$B$6)</f>
        <v/>
      </c>
      <c r="G939" s="23">
        <f>F939*(1+Assumptions!$B$156+DCF!$B$6)</f>
        <v/>
      </c>
    </row>
    <row r="940">
      <c r="A940" s="7" t="inlineStr">
        <is>
          <t xml:space="preserve">  Volume — Heavy fuel oil, mn t</t>
        </is>
      </c>
      <c r="C940" s="23">
        <f>'Segments'!E12*(1+Assumptions!$B$157+DCF!$B$6)</f>
        <v/>
      </c>
      <c r="D940" s="23">
        <f>C940*(1+Assumptions!$B$158+DCF!$B$6)</f>
        <v/>
      </c>
      <c r="E940" s="23">
        <f>D940*(1+Assumptions!$B$159+DCF!$B$6)</f>
        <v/>
      </c>
      <c r="F940" s="23">
        <f>E940*(1+Assumptions!$B$160+DCF!$B$6)</f>
        <v/>
      </c>
      <c r="G940" s="23">
        <f>F940*(1+Assumptions!$B$161+DCF!$B$6)</f>
        <v/>
      </c>
    </row>
    <row r="941">
      <c r="A941" s="7" t="inlineStr">
        <is>
          <t xml:space="preserve">  Volume — Waste, mn t</t>
        </is>
      </c>
      <c r="C941" s="23">
        <f>'Segments'!E13*(1+Assumptions!$B$162+DCF!$B$6)</f>
        <v/>
      </c>
      <c r="D941" s="23">
        <f>C941*(1+Assumptions!$B$163+DCF!$B$6)</f>
        <v/>
      </c>
      <c r="E941" s="23">
        <f>D941*(1+Assumptions!$B$164+DCF!$B$6)</f>
        <v/>
      </c>
      <c r="F941" s="23">
        <f>E941*(1+Assumptions!$B$165+DCF!$B$6)</f>
        <v/>
      </c>
      <c r="G941" s="23">
        <f>F941*(1+Assumptions!$B$166+DCF!$B$6)</f>
        <v/>
      </c>
    </row>
    <row r="942">
      <c r="A942" s="15" t="inlineStr">
        <is>
          <t>Total volume, mn t</t>
        </is>
      </c>
      <c r="C942" s="36">
        <f>SUM(C934:C941)</f>
        <v/>
      </c>
      <c r="D942" s="36">
        <f>SUM(D934:D941)</f>
        <v/>
      </c>
      <c r="E942" s="36">
        <f>SUM(E934:E941)</f>
        <v/>
      </c>
      <c r="F942" s="36">
        <f>SUM(F934:F941)</f>
        <v/>
      </c>
      <c r="G942" s="36">
        <f>SUM(G934:G941)</f>
        <v/>
      </c>
    </row>
    <row r="943">
      <c r="A943" s="15" t="inlineStr">
        <is>
          <t>REVENUE</t>
        </is>
      </c>
      <c r="C943" s="37">
        <f>C934*'Segments'!$F$6*C933+C935*'Segments'!$F$7*C933+C936*'Segments'!$F$8*C933+C937*'Segments'!$F$9*C933+C938*'Segments'!$F$10*C933+C939*'Segments'!$F$11*C933+C940*'Segments'!$F$12*C933+C941*'Segments'!$F$13*C933</f>
        <v/>
      </c>
      <c r="D943" s="37">
        <f>D934*'Segments'!$F$6*D933+D935*'Segments'!$F$7*D933+D936*'Segments'!$F$8*D933+D937*'Segments'!$F$9*D933+D938*'Segments'!$F$10*D933+D939*'Segments'!$F$11*D933+D940*'Segments'!$F$12*D933+D941*'Segments'!$F$13*D933</f>
        <v/>
      </c>
      <c r="E943" s="37">
        <f>E934*'Segments'!$F$6*E933+E935*'Segments'!$F$7*E933+E936*'Segments'!$F$8*E933+E937*'Segments'!$F$9*E933+E938*'Segments'!$F$10*E933+E939*'Segments'!$F$11*E933+E940*'Segments'!$F$12*E933+E941*'Segments'!$F$13*E933</f>
        <v/>
      </c>
      <c r="F943" s="37">
        <f>F934*'Segments'!$F$6*F933+F935*'Segments'!$F$7*F933+F936*'Segments'!$F$8*F933+F937*'Segments'!$F$9*F933+F938*'Segments'!$F$10*F933+F939*'Segments'!$F$11*F933+F940*'Segments'!$F$12*F933+F941*'Segments'!$F$13*F933</f>
        <v/>
      </c>
      <c r="G943" s="37">
        <f>G934*'Segments'!$F$6*G933+G935*'Segments'!$F$7*G933+G936*'Segments'!$F$8*G933+G937*'Segments'!$F$9*G933+G938*'Segments'!$F$10*G933+G939*'Segments'!$F$11*G933+G940*'Segments'!$F$12*G933+G941*'Segments'!$F$13*G933</f>
        <v/>
      </c>
    </row>
    <row r="944">
      <c r="A944" s="7" t="inlineStr">
        <is>
          <t>Cost of sales</t>
        </is>
      </c>
      <c r="C944" s="18">
        <f>C934*('Segments'!$D$27*C933*Assumptions!$B$109+'Segments'!$B$27*(0.4983251709*C932+0.4357405005*C932+0.0330936548*C933+0.0328406739))+C935*('Segments'!$D$28*C933*Assumptions!$B$109+'Segments'!$B$28*(0.4983251709*C932+0.4357405005*C932+0.0330936548*C933+0.0328406739))+C936*('Segments'!$D$29*C933*Assumptions!$B$109+'Segments'!$B$29*(0.4983251709*C932+0.4357405005*C932+0.0330936548*C933+0.0328406739))+C937*('Segments'!$D$30*C933*Assumptions!$B$109+'Segments'!$B$30*(0.4983251709*C932+0.4357405005*C932+0.0330936548*C933+0.0328406739))+C938*('Segments'!$D$31*C933*Assumptions!$B$109+'Segments'!$B$31*(0.4983251709*C932+0.4357405005*C932+0.0330936548*C933+0.0328406739))+C939*('Segments'!$D$32*C933*Assumptions!$B$109+'Segments'!$B$32*(0.4983251709*C932+0.4357405005*C932+0.0330936548*C933+0.0328406739))+C940*('Segments'!$D$33*C933*Assumptions!$B$109+'Segments'!$B$33*(0.4983251709*C932+0.4357405005*C932+0.0330936548*C933+0.0328406739))+C941*('Segments'!$D$34*C933*Assumptions!$B$109+'Segments'!$B$34*(0.4983251709*C932+0.4357405005*C932+0.0330936548*C933+0.0328406739))</f>
        <v/>
      </c>
      <c r="D944" s="18">
        <f>D934*('Segments'!$D$27*D933*Assumptions!$B$109+'Segments'!$B$27*(0.4983251709*D932+0.4357405005*D932+0.0330936548*D933+0.0328406739))+D935*('Segments'!$D$28*D933*Assumptions!$B$109+'Segments'!$B$28*(0.4983251709*D932+0.4357405005*D932+0.0330936548*D933+0.0328406739))+D936*('Segments'!$D$29*D933*Assumptions!$B$109+'Segments'!$B$29*(0.4983251709*D932+0.4357405005*D932+0.0330936548*D933+0.0328406739))+D937*('Segments'!$D$30*D933*Assumptions!$B$109+'Segments'!$B$30*(0.4983251709*D932+0.4357405005*D932+0.0330936548*D933+0.0328406739))+D938*('Segments'!$D$31*D933*Assumptions!$B$109+'Segments'!$B$31*(0.4983251709*D932+0.4357405005*D932+0.0330936548*D933+0.0328406739))+D939*('Segments'!$D$32*D933*Assumptions!$B$109+'Segments'!$B$32*(0.4983251709*D932+0.4357405005*D932+0.0330936548*D933+0.0328406739))+D940*('Segments'!$D$33*D933*Assumptions!$B$109+'Segments'!$B$33*(0.4983251709*D932+0.4357405005*D932+0.0330936548*D933+0.0328406739))+D941*('Segments'!$D$34*D933*Assumptions!$B$109+'Segments'!$B$34*(0.4983251709*D932+0.4357405005*D932+0.0330936548*D933+0.0328406739))</f>
        <v/>
      </c>
      <c r="E944" s="18">
        <f>E934*('Segments'!$D$27*E933*Assumptions!$B$109+'Segments'!$B$27*(0.4983251709*E932+0.4357405005*E932+0.0330936548*E933+0.0328406739))+E935*('Segments'!$D$28*E933*Assumptions!$B$109+'Segments'!$B$28*(0.4983251709*E932+0.4357405005*E932+0.0330936548*E933+0.0328406739))+E936*('Segments'!$D$29*E933*Assumptions!$B$109+'Segments'!$B$29*(0.4983251709*E932+0.4357405005*E932+0.0330936548*E933+0.0328406739))+E937*('Segments'!$D$30*E933*Assumptions!$B$109+'Segments'!$B$30*(0.4983251709*E932+0.4357405005*E932+0.0330936548*E933+0.0328406739))+E938*('Segments'!$D$31*E933*Assumptions!$B$109+'Segments'!$B$31*(0.4983251709*E932+0.4357405005*E932+0.0330936548*E933+0.0328406739))+E939*('Segments'!$D$32*E933*Assumptions!$B$109+'Segments'!$B$32*(0.4983251709*E932+0.4357405005*E932+0.0330936548*E933+0.0328406739))+E940*('Segments'!$D$33*E933*Assumptions!$B$109+'Segments'!$B$33*(0.4983251709*E932+0.4357405005*E932+0.0330936548*E933+0.0328406739))+E941*('Segments'!$D$34*E933*Assumptions!$B$109+'Segments'!$B$34*(0.4983251709*E932+0.4357405005*E932+0.0330936548*E933+0.0328406739))</f>
        <v/>
      </c>
      <c r="F944" s="18">
        <f>F934*('Segments'!$D$27*F933*Assumptions!$B$109+'Segments'!$B$27*(0.4983251709*F932+0.4357405005*F932+0.0330936548*F933+0.0328406739))+F935*('Segments'!$D$28*F933*Assumptions!$B$109+'Segments'!$B$28*(0.4983251709*F932+0.4357405005*F932+0.0330936548*F933+0.0328406739))+F936*('Segments'!$D$29*F933*Assumptions!$B$109+'Segments'!$B$29*(0.4983251709*F932+0.4357405005*F932+0.0330936548*F933+0.0328406739))+F937*('Segments'!$D$30*F933*Assumptions!$B$109+'Segments'!$B$30*(0.4983251709*F932+0.4357405005*F932+0.0330936548*F933+0.0328406739))+F938*('Segments'!$D$31*F933*Assumptions!$B$109+'Segments'!$B$31*(0.4983251709*F932+0.4357405005*F932+0.0330936548*F933+0.0328406739))+F939*('Segments'!$D$32*F933*Assumptions!$B$109+'Segments'!$B$32*(0.4983251709*F932+0.4357405005*F932+0.0330936548*F933+0.0328406739))+F940*('Segments'!$D$33*F933*Assumptions!$B$109+'Segments'!$B$33*(0.4983251709*F932+0.4357405005*F932+0.0330936548*F933+0.0328406739))+F941*('Segments'!$D$34*F933*Assumptions!$B$109+'Segments'!$B$34*(0.4983251709*F932+0.4357405005*F932+0.0330936548*F933+0.0328406739))</f>
        <v/>
      </c>
      <c r="G944" s="18">
        <f>G934*('Segments'!$D$27*G933*Assumptions!$B$109+'Segments'!$B$27*(0.4983251709*G932+0.4357405005*G932+0.0330936548*G933+0.0328406739))+G935*('Segments'!$D$28*G933*Assumptions!$B$109+'Segments'!$B$28*(0.4983251709*G932+0.4357405005*G932+0.0330936548*G933+0.0328406739))+G936*('Segments'!$D$29*G933*Assumptions!$B$109+'Segments'!$B$29*(0.4983251709*G932+0.4357405005*G932+0.0330936548*G933+0.0328406739))+G937*('Segments'!$D$30*G933*Assumptions!$B$109+'Segments'!$B$30*(0.4983251709*G932+0.4357405005*G932+0.0330936548*G933+0.0328406739))+G938*('Segments'!$D$31*G933*Assumptions!$B$109+'Segments'!$B$31*(0.4983251709*G932+0.4357405005*G932+0.0330936548*G933+0.0328406739))+G939*('Segments'!$D$32*G933*Assumptions!$B$109+'Segments'!$B$32*(0.4983251709*G932+0.4357405005*G932+0.0330936548*G933+0.0328406739))+G940*('Segments'!$D$33*G933*Assumptions!$B$109+'Segments'!$B$33*(0.4983251709*G932+0.4357405005*G932+0.0330936548*G933+0.0328406739))+G941*('Segments'!$D$34*G933*Assumptions!$B$109+'Segments'!$B$34*(0.4983251709*G932+0.4357405005*G932+0.0330936548*G933+0.0328406739))</f>
        <v/>
      </c>
    </row>
    <row r="945">
      <c r="A945" s="15" t="inlineStr">
        <is>
          <t>GROSS PROFIT</t>
        </is>
      </c>
      <c r="C945" s="37">
        <f>C943-C944+DCF!$B$7*C943</f>
        <v/>
      </c>
      <c r="D945" s="37">
        <f>D943-D944+DCF!$B$7*D943</f>
        <v/>
      </c>
      <c r="E945" s="37">
        <f>E943-E944+DCF!$B$7*E943</f>
        <v/>
      </c>
      <c r="F945" s="37">
        <f>F943-F944+DCF!$B$7*F943</f>
        <v/>
      </c>
      <c r="G945" s="37">
        <f>G943-G944+DCF!$B$7*G943</f>
        <v/>
      </c>
    </row>
    <row r="946">
      <c r="A946" s="7" t="inlineStr">
        <is>
          <t>Gross margin</t>
        </is>
      </c>
      <c r="C946" s="24">
        <f>C945/C943</f>
        <v/>
      </c>
      <c r="D946" s="24">
        <f>D945/D943</f>
        <v/>
      </c>
      <c r="E946" s="24">
        <f>E945/E943</f>
        <v/>
      </c>
      <c r="F946" s="24">
        <f>F945/F943</f>
        <v/>
      </c>
      <c r="G946" s="24">
        <f>G945/G943</f>
        <v/>
      </c>
    </row>
    <row r="947">
      <c r="A947" s="7" t="inlineStr">
        <is>
          <t>Operating expense</t>
        </is>
      </c>
      <c r="C947" s="18">
        <f>('Income Statement'!$B$28*C932)+('Income Statement'!$B$29*C932*C942/'Segments'!$E$14)+('Income Statement'!$B$30*C932)+('Income Statement'!$B$31*C932)</f>
        <v/>
      </c>
      <c r="D947" s="18">
        <f>('Income Statement'!$B$28*D932)+('Income Statement'!$B$29*D932*D942/'Segments'!$E$14)+('Income Statement'!$B$30*D932)+('Income Statement'!$B$31*D932)</f>
        <v/>
      </c>
      <c r="E947" s="18">
        <f>('Income Statement'!$B$28*E932)+('Income Statement'!$B$29*E932*E942/'Segments'!$E$14)+('Income Statement'!$B$30*E932)+('Income Statement'!$B$31*E932)</f>
        <v/>
      </c>
      <c r="F947" s="18">
        <f>('Income Statement'!$B$28*F932)+('Income Statement'!$B$29*F932*F942/'Segments'!$E$14)+('Income Statement'!$B$30*F932)+('Income Statement'!$B$31*F932)</f>
        <v/>
      </c>
      <c r="G947" s="18">
        <f>('Income Statement'!$B$28*G932)+('Income Statement'!$B$29*G932*G942/'Segments'!$E$14)+('Income Statement'!$B$30*G932)+('Income Statement'!$B$31*G932)</f>
        <v/>
      </c>
    </row>
    <row r="948">
      <c r="A948" s="15" t="inlineStr">
        <is>
          <t>EBITDA</t>
        </is>
      </c>
      <c r="C948" s="37">
        <f>C945-C947</f>
        <v/>
      </c>
      <c r="D948" s="37">
        <f>D945-D947</f>
        <v/>
      </c>
      <c r="E948" s="37">
        <f>E945-E947</f>
        <v/>
      </c>
      <c r="F948" s="37">
        <f>F945-F947</f>
        <v/>
      </c>
      <c r="G948" s="37">
        <f>G945-G947</f>
        <v/>
      </c>
    </row>
    <row r="949">
      <c r="A949" s="7" t="inlineStr">
        <is>
          <t>Capital expenditure — maintenance + growth</t>
        </is>
      </c>
      <c r="C949" s="18">
        <f>'Income Statement'!$B$43*C932+MAX(C942-'Segments'!$E$14,0)*2100.379938*C932</f>
        <v/>
      </c>
      <c r="D949" s="18">
        <f>'Income Statement'!$B$43*D932+MAX(D942-C942,0)*2100.379938*D932</f>
        <v/>
      </c>
      <c r="E949" s="18">
        <f>'Income Statement'!$B$43*E932+MAX(E942-D942,0)*2100.379938*E932</f>
        <v/>
      </c>
      <c r="F949" s="18">
        <f>'Income Statement'!$B$43*F932+MAX(F942-E942,0)*2100.379938*F932</f>
        <v/>
      </c>
      <c r="G949" s="18">
        <f>'Income Statement'!$B$43*G932+MAX(G942-F942,0)*2100.379938*G932</f>
        <v/>
      </c>
    </row>
    <row r="950">
      <c r="A950" s="7" t="inlineStr">
        <is>
          <t>Fixed assets at cost, closing</t>
        </is>
      </c>
      <c r="C950" s="18">
        <f>(Assumptions!$B$91+Assumptions!$B$92)/10^6+C949</f>
        <v/>
      </c>
      <c r="D950" s="18">
        <f>C950+D949</f>
        <v/>
      </c>
      <c r="E950" s="18">
        <f>D950+E949</f>
        <v/>
      </c>
      <c r="F950" s="18">
        <f>E950+F949</f>
        <v/>
      </c>
      <c r="G950" s="18">
        <f>F950+G949</f>
        <v/>
      </c>
    </row>
    <row r="951">
      <c r="A951" s="7" t="inlineStr">
        <is>
          <t>Depreciation — rolls off the asset register</t>
        </is>
      </c>
      <c r="C951" s="18">
        <f>(Assumptions!$B$91+Assumptions!$B$92)/10^6/'Income Statement'!$B$42</f>
        <v/>
      </c>
      <c r="D951" s="18">
        <f>C950/'Income Statement'!$B$42</f>
        <v/>
      </c>
      <c r="E951" s="18">
        <f>D950/'Income Statement'!$B$42</f>
        <v/>
      </c>
      <c r="F951" s="18">
        <f>E950/'Income Statement'!$B$42</f>
        <v/>
      </c>
      <c r="G951" s="18">
        <f>F950/'Income Statement'!$B$42</f>
        <v/>
      </c>
    </row>
    <row r="952">
      <c r="A952" s="7" t="inlineStr">
        <is>
          <t>Fixed assets, net book, closing</t>
        </is>
      </c>
      <c r="C952" s="18">
        <f>(Assumptions!$B$90+Assumptions!$B$92)/10^6+C949-C951</f>
        <v/>
      </c>
      <c r="D952" s="18">
        <f>C952+D949-D951</f>
        <v/>
      </c>
      <c r="E952" s="18">
        <f>D952+E949-E951</f>
        <v/>
      </c>
      <c r="F952" s="18">
        <f>E952+F949-F951</f>
        <v/>
      </c>
      <c r="G952" s="18">
        <f>F952+G949-G951</f>
        <v/>
      </c>
    </row>
    <row r="953">
      <c r="A953" s="15" t="inlineStr">
        <is>
          <t>EBIT</t>
        </is>
      </c>
      <c r="C953" s="37">
        <f>C948-C951</f>
        <v/>
      </c>
      <c r="D953" s="37">
        <f>D948-D951</f>
        <v/>
      </c>
      <c r="E953" s="37">
        <f>E948-E951</f>
        <v/>
      </c>
      <c r="F953" s="37">
        <f>F948-F951</f>
        <v/>
      </c>
      <c r="G953" s="37">
        <f>G948-G951</f>
        <v/>
      </c>
    </row>
    <row r="954">
      <c r="A954" s="7" t="inlineStr">
        <is>
          <t>NOPAT before the profit share</t>
        </is>
      </c>
      <c r="C954" s="18">
        <f>C953*(1-Assumptions!$B$108)</f>
        <v/>
      </c>
      <c r="D954" s="18">
        <f>D953*(1-Assumptions!$B$108)</f>
        <v/>
      </c>
      <c r="E954" s="18">
        <f>E953*(1-Assumptions!$B$108)</f>
        <v/>
      </c>
      <c r="F954" s="18">
        <f>F953*(1-Assumptions!$B$108)</f>
        <v/>
      </c>
      <c r="G954" s="18">
        <f>G953*(1-Assumptions!$B$108)</f>
        <v/>
      </c>
    </row>
    <row r="955">
      <c r="A955" s="7" t="inlineStr">
        <is>
          <t xml:space="preserve">  less employees' profit share and board bonuses</t>
        </is>
      </c>
      <c r="C955" s="18">
        <f>MAX(C954,0)*'Income Statement'!$B$40</f>
        <v/>
      </c>
      <c r="D955" s="18">
        <f>MAX(D954,0)*'Income Statement'!$B$40</f>
        <v/>
      </c>
      <c r="E955" s="18">
        <f>MAX(E954,0)*'Income Statement'!$B$40</f>
        <v/>
      </c>
      <c r="F955" s="18">
        <f>MAX(F954,0)*'Income Statement'!$B$40</f>
        <v/>
      </c>
      <c r="G955" s="18">
        <f>MAX(G954,0)*'Income Statement'!$B$40</f>
        <v/>
      </c>
    </row>
    <row r="956">
      <c r="A956" s="15" t="inlineStr">
        <is>
          <t>NOPAT</t>
        </is>
      </c>
      <c r="C956" s="37">
        <f>C954-C955</f>
        <v/>
      </c>
      <c r="D956" s="37">
        <f>D954-D955</f>
        <v/>
      </c>
      <c r="E956" s="37">
        <f>E954-E955</f>
        <v/>
      </c>
      <c r="F956" s="37">
        <f>F954-F955</f>
        <v/>
      </c>
      <c r="G956" s="37">
        <f>G954-G955</f>
        <v/>
      </c>
    </row>
    <row r="957">
      <c r="A957" s="7" t="inlineStr">
        <is>
          <t>Net working capital — on days</t>
        </is>
      </c>
      <c r="C957" s="18">
        <f>'Income Statement'!$B$44*DCF!$B$9/365*C944+'Income Statement'!$B$45*DCF!$B$9/365*C943-'Income Statement'!$B$46*DCF!$B$9/365*C944</f>
        <v/>
      </c>
      <c r="D957" s="18">
        <f>'Income Statement'!$B$44*DCF!$B$9/365*D944+'Income Statement'!$B$45*DCF!$B$9/365*D943-'Income Statement'!$B$46*DCF!$B$9/365*D944</f>
        <v/>
      </c>
      <c r="E957" s="18">
        <f>'Income Statement'!$B$44*DCF!$B$9/365*E944+'Income Statement'!$B$45*DCF!$B$9/365*E943-'Income Statement'!$B$46*DCF!$B$9/365*E944</f>
        <v/>
      </c>
      <c r="F957" s="18">
        <f>'Income Statement'!$B$44*DCF!$B$9/365*F944+'Income Statement'!$B$45*DCF!$B$9/365*F943-'Income Statement'!$B$46*DCF!$B$9/365*F944</f>
        <v/>
      </c>
      <c r="G957" s="18">
        <f>'Income Statement'!$B$44*DCF!$B$9/365*G944+'Income Statement'!$B$45*DCF!$B$9/365*G943-'Income Statement'!$B$46*DCF!$B$9/365*G944</f>
        <v/>
      </c>
    </row>
    <row r="958">
      <c r="A958" s="7" t="inlineStr">
        <is>
          <t xml:space="preserve">  change in working capital</t>
        </is>
      </c>
      <c r="C958" s="18">
        <f>C957-('Income Statement'!$B$44/365*'Income Statement'!$B$21+'Income Statement'!$B$45/365*'Income Statement'!$B$19-'Income Statement'!$B$46/365*'Income Statement'!$B$21)</f>
        <v/>
      </c>
      <c r="D958" s="18">
        <f>D957-C957</f>
        <v/>
      </c>
      <c r="E958" s="18">
        <f>E957-D957</f>
        <v/>
      </c>
      <c r="F958" s="18">
        <f>F957-E957</f>
        <v/>
      </c>
      <c r="G958" s="18">
        <f>G957-F957</f>
        <v/>
      </c>
    </row>
    <row r="959">
      <c r="A959" s="15" t="inlineStr">
        <is>
          <t>FREE CASH FLOW TO THE FIRM</t>
        </is>
      </c>
      <c r="C959" s="37">
        <f>C956+C951-C949-C958</f>
        <v/>
      </c>
      <c r="D959" s="37">
        <f>D956+D951-D949-D958</f>
        <v/>
      </c>
      <c r="E959" s="37">
        <f>E956+E951-E949-E958</f>
        <v/>
      </c>
      <c r="F959" s="37">
        <f>F956+F951-F949-F958</f>
        <v/>
      </c>
      <c r="G959" s="37">
        <f>G956+G951-G949-G958</f>
        <v/>
      </c>
    </row>
    <row r="960">
      <c r="A960" s="7" t="inlineStr">
        <is>
          <t>Glide fraction</t>
        </is>
      </c>
      <c r="C960" s="23">
        <f>0.0000000000</f>
        <v/>
      </c>
      <c r="D960" s="23">
        <f>0.3571428571</f>
        <v/>
      </c>
      <c r="E960" s="23">
        <f>0.6428571429</f>
        <v/>
      </c>
      <c r="F960" s="23">
        <f>0.8571428571</f>
        <v/>
      </c>
      <c r="G960" s="23">
        <f>1.0000000000</f>
        <v/>
      </c>
    </row>
    <row r="961">
      <c r="A961" s="7" t="inlineStr">
        <is>
          <t>Forward cost of capital</t>
        </is>
      </c>
      <c r="C961" s="24">
        <f>$F$30-($F$30-$G$30)*C960</f>
        <v/>
      </c>
      <c r="D961" s="24">
        <f>$F$30-($F$30-$G$30)*D960</f>
        <v/>
      </c>
      <c r="E961" s="24">
        <f>$F$30-($F$30-$G$30)*E960</f>
        <v/>
      </c>
      <c r="F961" s="24">
        <f>$F$30-($F$30-$G$30)*F960</f>
        <v/>
      </c>
      <c r="G961" s="24">
        <f>$F$30-($F$30-$G$30)*G960</f>
        <v/>
      </c>
    </row>
    <row r="962">
      <c r="A962" s="7" t="inlineStr">
        <is>
          <t>Cumulative discount factor</t>
        </is>
      </c>
      <c r="C962" s="40">
        <f>1/(1+C961)</f>
        <v/>
      </c>
      <c r="D962" s="40">
        <f>C962/(1+D961)</f>
        <v/>
      </c>
      <c r="E962" s="40">
        <f>D962/(1+E961)</f>
        <v/>
      </c>
      <c r="F962" s="40">
        <f>E962/(1+F961)</f>
        <v/>
      </c>
      <c r="G962" s="40">
        <f>F962/(1+G961)</f>
        <v/>
      </c>
    </row>
    <row r="963">
      <c r="A963" s="7" t="inlineStr">
        <is>
          <t>Present value</t>
        </is>
      </c>
      <c r="C963" s="18">
        <f>C959*C962</f>
        <v/>
      </c>
      <c r="D963" s="18">
        <f>D959*D962</f>
        <v/>
      </c>
      <c r="E963" s="18">
        <f>E959*E962</f>
        <v/>
      </c>
      <c r="F963" s="18">
        <f>F959*F962</f>
        <v/>
      </c>
      <c r="G963" s="18">
        <f>G959*G962</f>
        <v/>
      </c>
    </row>
    <row r="964">
      <c r="A964" s="15" t="inlineStr">
        <is>
          <t>PV of the explicit window</t>
        </is>
      </c>
      <c r="B964" s="37">
        <f>SUM(C963:G963)</f>
        <v/>
      </c>
      <c r="C964" s="18">
        <f>C957+C950</f>
        <v/>
      </c>
      <c r="D964" s="18">
        <f>D957+D950</f>
        <v/>
      </c>
      <c r="E964" s="18">
        <f>E957+E950</f>
        <v/>
      </c>
      <c r="F964" s="18">
        <f>F957+F950</f>
        <v/>
      </c>
      <c r="G964" s="18">
        <f>G957+G950</f>
        <v/>
      </c>
    </row>
    <row r="965">
      <c r="A965" s="7" t="inlineStr">
        <is>
          <t>Terminal return on invested capital, at REPLACEMENT cost</t>
        </is>
      </c>
      <c r="B965" s="24">
        <f>G956*(1+Assumptions!$B$110)/G964</f>
        <v/>
      </c>
    </row>
    <row r="966">
      <c r="A966" s="7" t="inlineStr">
        <is>
          <t>Required reinvestment = growth / return</t>
        </is>
      </c>
      <c r="B966" s="24">
        <f>MIN(Assumptions!$B$110/B965,0.95)</f>
        <v/>
      </c>
    </row>
    <row r="967">
      <c r="A967" s="7" t="inlineStr">
        <is>
          <t>Terminal value</t>
        </is>
      </c>
      <c r="B967" s="18">
        <f>G956*(1+Assumptions!$B$110)*(1-B966)/MAX($G$30-Assumptions!$B$110,0.02)</f>
        <v/>
      </c>
    </row>
    <row r="968">
      <c r="A968" s="7" t="inlineStr">
        <is>
          <t>PV of the terminal block</t>
        </is>
      </c>
      <c r="B968" s="18">
        <f>B967*G962</f>
        <v/>
      </c>
    </row>
    <row r="969">
      <c r="A969" s="15" t="inlineStr">
        <is>
          <t>ENTERPRISE VALUE</t>
        </is>
      </c>
      <c r="B969" s="37">
        <f>B964+B968</f>
        <v/>
      </c>
    </row>
    <row r="970">
      <c r="A970" s="7" t="inlineStr">
        <is>
          <t>plus net cash</t>
        </is>
      </c>
      <c r="B970" s="18">
        <f>(Assumptions!$B$100-Assumptions!$B$103-Assumptions!$B$104)/10^6</f>
        <v/>
      </c>
    </row>
    <row r="971">
      <c r="A971" s="7" t="inlineStr">
        <is>
          <t>Enterprise value including cash</t>
        </is>
      </c>
      <c r="B971" s="18">
        <f>B969+B970</f>
        <v/>
      </c>
    </row>
    <row r="972">
      <c r="A972" s="7" t="inlineStr">
        <is>
          <t>less minority — on the WHOLE enterprise, cash included</t>
        </is>
      </c>
      <c r="B972" s="18">
        <f>B971*'Income Statement'!$B$41</f>
        <v/>
      </c>
    </row>
    <row r="973">
      <c r="A973" s="7" t="inlineStr">
        <is>
          <t>less the tax-disputes provision</t>
        </is>
      </c>
      <c r="B973" s="18">
        <f>Assumptions!$B$99/10^6</f>
        <v/>
      </c>
    </row>
    <row r="974">
      <c r="A974" s="7" t="inlineStr">
        <is>
          <t>less dividends payable — declared, out of working capital</t>
        </is>
      </c>
      <c r="B974" s="18">
        <f>Assumptions!$B$98/10^6</f>
        <v/>
      </c>
    </row>
    <row r="975">
      <c r="A975" s="7" t="inlineStr">
        <is>
          <t>plus non-operating investments and pledged deposits</t>
        </is>
      </c>
      <c r="B975" s="18">
        <f>(Assumptions!$B$102+Assumptions!$B$101)/10^6</f>
        <v/>
      </c>
    </row>
    <row r="976">
      <c r="A976" s="15" t="inlineStr">
        <is>
          <t>EQUITY ATTRIBUTABLE</t>
        </is>
      </c>
      <c r="B976" s="37">
        <f>B971-B972-B973-B974+B975</f>
        <v/>
      </c>
    </row>
    <row r="977">
      <c r="A977" s="15" t="inlineStr">
        <is>
          <t>VALUE PER SHARE, EGP</t>
        </is>
      </c>
      <c r="B977" s="22">
        <f>B976/Assumptions!$B$8</f>
        <v/>
      </c>
    </row>
    <row r="980">
      <c r="A980" s="6" t="inlineStr">
        <is>
          <t>Beta — 1.3000</t>
        </is>
      </c>
      <c r="B980" s="6" t="inlineStr">
        <is>
          <t>2026E</t>
        </is>
      </c>
      <c r="C980" s="6" t="inlineStr">
        <is>
          <t>2027E</t>
        </is>
      </c>
      <c r="D980" s="6" t="inlineStr">
        <is>
          <t>2028E</t>
        </is>
      </c>
      <c r="E980" s="6" t="inlineStr">
        <is>
          <t>2029E</t>
        </is>
      </c>
      <c r="F980" s="6" t="inlineStr">
        <is>
          <t>2030E</t>
        </is>
      </c>
    </row>
    <row r="981">
      <c r="A981" s="7" t="inlineStr">
        <is>
          <t>Inflation index, cumulative</t>
        </is>
      </c>
      <c r="C981" s="23">
        <f>Assumptions!$B$167</f>
        <v/>
      </c>
      <c r="D981" s="23">
        <f>C981*Assumptions!$B$168</f>
        <v/>
      </c>
      <c r="E981" s="23">
        <f>D981*Assumptions!$B$169</f>
        <v/>
      </c>
      <c r="F981" s="23">
        <f>E981*Assumptions!$B$170</f>
        <v/>
      </c>
      <c r="G981" s="23">
        <f>F981*Assumptions!$B$171</f>
        <v/>
      </c>
    </row>
    <row r="982">
      <c r="A982" s="7" t="inlineStr">
        <is>
          <t>Realisation index, cumulative</t>
        </is>
      </c>
      <c r="C982" s="23">
        <f>(1+Assumptions!$B$122*DCF!$B$8)</f>
        <v/>
      </c>
      <c r="D982" s="23">
        <f>C982*(1+Assumptions!$B$123*DCF!$B$8)</f>
        <v/>
      </c>
      <c r="E982" s="23">
        <f>D982*(1+Assumptions!$B$124*DCF!$B$8)</f>
        <v/>
      </c>
      <c r="F982" s="23">
        <f>E982*(1+Assumptions!$B$125*DCF!$B$8)</f>
        <v/>
      </c>
      <c r="G982" s="23">
        <f>F982*(1+Assumptions!$B$126*DCF!$B$8)</f>
        <v/>
      </c>
    </row>
    <row r="983">
      <c r="A983" s="7" t="inlineStr">
        <is>
          <t xml:space="preserve">  Volume — Base and special oils, mn t</t>
        </is>
      </c>
      <c r="C983" s="23">
        <f>'Segments'!E6*(1+Assumptions!$B$127+DCF!$B$6)</f>
        <v/>
      </c>
      <c r="D983" s="23">
        <f>C983*(1+Assumptions!$B$128+DCF!$B$6)</f>
        <v/>
      </c>
      <c r="E983" s="23">
        <f>D983*(1+Assumptions!$B$129+DCF!$B$6)</f>
        <v/>
      </c>
      <c r="F983" s="23">
        <f>E983*(1+Assumptions!$B$130+DCF!$B$6)</f>
        <v/>
      </c>
      <c r="G983" s="23">
        <f>F983*(1+Assumptions!$B$131+DCF!$B$6)</f>
        <v/>
      </c>
    </row>
    <row r="984">
      <c r="A984" s="7" t="inlineStr">
        <is>
          <t xml:space="preserve">  Volume — Paraffin wax, mn t</t>
        </is>
      </c>
      <c r="C984" s="23">
        <f>'Segments'!E7*(1+Assumptions!$B$132+DCF!$B$6)</f>
        <v/>
      </c>
      <c r="D984" s="23">
        <f>C984*(1+Assumptions!$B$133+DCF!$B$6)</f>
        <v/>
      </c>
      <c r="E984" s="23">
        <f>D984*(1+Assumptions!$B$134+DCF!$B$6)</f>
        <v/>
      </c>
      <c r="F984" s="23">
        <f>E984*(1+Assumptions!$B$135+DCF!$B$6)</f>
        <v/>
      </c>
      <c r="G984" s="23">
        <f>F984*(1+Assumptions!$B$136+DCF!$B$6)</f>
        <v/>
      </c>
    </row>
    <row r="985">
      <c r="A985" s="7" t="inlineStr">
        <is>
          <t xml:space="preserve">  Volume — Gas oil, mn t</t>
        </is>
      </c>
      <c r="C985" s="23">
        <f>'Segments'!E8*(1+Assumptions!$B$137+DCF!$B$6)</f>
        <v/>
      </c>
      <c r="D985" s="23">
        <f>C985*(1+Assumptions!$B$138+DCF!$B$6)</f>
        <v/>
      </c>
      <c r="E985" s="23">
        <f>D985*(1+Assumptions!$B$139+DCF!$B$6)</f>
        <v/>
      </c>
      <c r="F985" s="23">
        <f>E985*(1+Assumptions!$B$140+DCF!$B$6)</f>
        <v/>
      </c>
      <c r="G985" s="23">
        <f>F985*(1+Assumptions!$B$141+DCF!$B$6)</f>
        <v/>
      </c>
    </row>
    <row r="986">
      <c r="A986" s="7" t="inlineStr">
        <is>
          <t xml:space="preserve">  Volume — Naphtha, mn t</t>
        </is>
      </c>
      <c r="C986" s="23">
        <f>'Segments'!E9*(1+Assumptions!$B$142+DCF!$B$6)</f>
        <v/>
      </c>
      <c r="D986" s="23">
        <f>C986*(1+Assumptions!$B$143+DCF!$B$6)</f>
        <v/>
      </c>
      <c r="E986" s="23">
        <f>D986*(1+Assumptions!$B$144+DCF!$B$6)</f>
        <v/>
      </c>
      <c r="F986" s="23">
        <f>E986*(1+Assumptions!$B$145+DCF!$B$6)</f>
        <v/>
      </c>
      <c r="G986" s="23">
        <f>F986*(1+Assumptions!$B$146+DCF!$B$6)</f>
        <v/>
      </c>
    </row>
    <row r="987">
      <c r="A987" s="7" t="inlineStr">
        <is>
          <t xml:space="preserve">  Volume — Liquefied petroleum gas, mn t</t>
        </is>
      </c>
      <c r="C987" s="23">
        <f>'Segments'!E10*(1+Assumptions!$B$147+DCF!$B$6)</f>
        <v/>
      </c>
      <c r="D987" s="23">
        <f>C987*(1+Assumptions!$B$148+DCF!$B$6)</f>
        <v/>
      </c>
      <c r="E987" s="23">
        <f>D987*(1+Assumptions!$B$149+DCF!$B$6)</f>
        <v/>
      </c>
      <c r="F987" s="23">
        <f>E987*(1+Assumptions!$B$150+DCF!$B$6)</f>
        <v/>
      </c>
      <c r="G987" s="23">
        <f>F987*(1+Assumptions!$B$151+DCF!$B$6)</f>
        <v/>
      </c>
    </row>
    <row r="988">
      <c r="A988" s="7" t="inlineStr">
        <is>
          <t xml:space="preserve">  Volume — Fuel oil (mix), mn t</t>
        </is>
      </c>
      <c r="C988" s="23">
        <f>'Segments'!E11*(1+Assumptions!$B$152+DCF!$B$6)</f>
        <v/>
      </c>
      <c r="D988" s="23">
        <f>C988*(1+Assumptions!$B$153+DCF!$B$6)</f>
        <v/>
      </c>
      <c r="E988" s="23">
        <f>D988*(1+Assumptions!$B$154+DCF!$B$6)</f>
        <v/>
      </c>
      <c r="F988" s="23">
        <f>E988*(1+Assumptions!$B$155+DCF!$B$6)</f>
        <v/>
      </c>
      <c r="G988" s="23">
        <f>F988*(1+Assumptions!$B$156+DCF!$B$6)</f>
        <v/>
      </c>
    </row>
    <row r="989">
      <c r="A989" s="7" t="inlineStr">
        <is>
          <t xml:space="preserve">  Volume — Heavy fuel oil, mn t</t>
        </is>
      </c>
      <c r="C989" s="23">
        <f>'Segments'!E12*(1+Assumptions!$B$157+DCF!$B$6)</f>
        <v/>
      </c>
      <c r="D989" s="23">
        <f>C989*(1+Assumptions!$B$158+DCF!$B$6)</f>
        <v/>
      </c>
      <c r="E989" s="23">
        <f>D989*(1+Assumptions!$B$159+DCF!$B$6)</f>
        <v/>
      </c>
      <c r="F989" s="23">
        <f>E989*(1+Assumptions!$B$160+DCF!$B$6)</f>
        <v/>
      </c>
      <c r="G989" s="23">
        <f>F989*(1+Assumptions!$B$161+DCF!$B$6)</f>
        <v/>
      </c>
    </row>
    <row r="990">
      <c r="A990" s="7" t="inlineStr">
        <is>
          <t xml:space="preserve">  Volume — Waste, mn t</t>
        </is>
      </c>
      <c r="C990" s="23">
        <f>'Segments'!E13*(1+Assumptions!$B$162+DCF!$B$6)</f>
        <v/>
      </c>
      <c r="D990" s="23">
        <f>C990*(1+Assumptions!$B$163+DCF!$B$6)</f>
        <v/>
      </c>
      <c r="E990" s="23">
        <f>D990*(1+Assumptions!$B$164+DCF!$B$6)</f>
        <v/>
      </c>
      <c r="F990" s="23">
        <f>E990*(1+Assumptions!$B$165+DCF!$B$6)</f>
        <v/>
      </c>
      <c r="G990" s="23">
        <f>F990*(1+Assumptions!$B$166+DCF!$B$6)</f>
        <v/>
      </c>
    </row>
    <row r="991">
      <c r="A991" s="15" t="inlineStr">
        <is>
          <t>Total volume, mn t</t>
        </is>
      </c>
      <c r="C991" s="36">
        <f>SUM(C983:C990)</f>
        <v/>
      </c>
      <c r="D991" s="36">
        <f>SUM(D983:D990)</f>
        <v/>
      </c>
      <c r="E991" s="36">
        <f>SUM(E983:E990)</f>
        <v/>
      </c>
      <c r="F991" s="36">
        <f>SUM(F983:F990)</f>
        <v/>
      </c>
      <c r="G991" s="36">
        <f>SUM(G983:G990)</f>
        <v/>
      </c>
    </row>
    <row r="992">
      <c r="A992" s="15" t="inlineStr">
        <is>
          <t>REVENUE</t>
        </is>
      </c>
      <c r="C992" s="37">
        <f>C983*'Segments'!$F$6*C982+C984*'Segments'!$F$7*C982+C985*'Segments'!$F$8*C982+C986*'Segments'!$F$9*C982+C987*'Segments'!$F$10*C982+C988*'Segments'!$F$11*C982+C989*'Segments'!$F$12*C982+C990*'Segments'!$F$13*C982</f>
        <v/>
      </c>
      <c r="D992" s="37">
        <f>D983*'Segments'!$F$6*D982+D984*'Segments'!$F$7*D982+D985*'Segments'!$F$8*D982+D986*'Segments'!$F$9*D982+D987*'Segments'!$F$10*D982+D988*'Segments'!$F$11*D982+D989*'Segments'!$F$12*D982+D990*'Segments'!$F$13*D982</f>
        <v/>
      </c>
      <c r="E992" s="37">
        <f>E983*'Segments'!$F$6*E982+E984*'Segments'!$F$7*E982+E985*'Segments'!$F$8*E982+E986*'Segments'!$F$9*E982+E987*'Segments'!$F$10*E982+E988*'Segments'!$F$11*E982+E989*'Segments'!$F$12*E982+E990*'Segments'!$F$13*E982</f>
        <v/>
      </c>
      <c r="F992" s="37">
        <f>F983*'Segments'!$F$6*F982+F984*'Segments'!$F$7*F982+F985*'Segments'!$F$8*F982+F986*'Segments'!$F$9*F982+F987*'Segments'!$F$10*F982+F988*'Segments'!$F$11*F982+F989*'Segments'!$F$12*F982+F990*'Segments'!$F$13*F982</f>
        <v/>
      </c>
      <c r="G992" s="37">
        <f>G983*'Segments'!$F$6*G982+G984*'Segments'!$F$7*G982+G985*'Segments'!$F$8*G982+G986*'Segments'!$F$9*G982+G987*'Segments'!$F$10*G982+G988*'Segments'!$F$11*G982+G989*'Segments'!$F$12*G982+G990*'Segments'!$F$13*G982</f>
        <v/>
      </c>
    </row>
    <row r="993">
      <c r="A993" s="7" t="inlineStr">
        <is>
          <t>Cost of sales</t>
        </is>
      </c>
      <c r="C993" s="18">
        <f>C983*('Segments'!$D$27*C982*Assumptions!$B$109+'Segments'!$B$27*(0.4983251709*C981+0.4357405005*C981+0.0330936548*C982+0.0328406739))+C984*('Segments'!$D$28*C982*Assumptions!$B$109+'Segments'!$B$28*(0.4983251709*C981+0.4357405005*C981+0.0330936548*C982+0.0328406739))+C985*('Segments'!$D$29*C982*Assumptions!$B$109+'Segments'!$B$29*(0.4983251709*C981+0.4357405005*C981+0.0330936548*C982+0.0328406739))+C986*('Segments'!$D$30*C982*Assumptions!$B$109+'Segments'!$B$30*(0.4983251709*C981+0.4357405005*C981+0.0330936548*C982+0.0328406739))+C987*('Segments'!$D$31*C982*Assumptions!$B$109+'Segments'!$B$31*(0.4983251709*C981+0.4357405005*C981+0.0330936548*C982+0.0328406739))+C988*('Segments'!$D$32*C982*Assumptions!$B$109+'Segments'!$B$32*(0.4983251709*C981+0.4357405005*C981+0.0330936548*C982+0.0328406739))+C989*('Segments'!$D$33*C982*Assumptions!$B$109+'Segments'!$B$33*(0.4983251709*C981+0.4357405005*C981+0.0330936548*C982+0.0328406739))+C990*('Segments'!$D$34*C982*Assumptions!$B$109+'Segments'!$B$34*(0.4983251709*C981+0.4357405005*C981+0.0330936548*C982+0.0328406739))</f>
        <v/>
      </c>
      <c r="D993" s="18">
        <f>D983*('Segments'!$D$27*D982*Assumptions!$B$109+'Segments'!$B$27*(0.4983251709*D981+0.4357405005*D981+0.0330936548*D982+0.0328406739))+D984*('Segments'!$D$28*D982*Assumptions!$B$109+'Segments'!$B$28*(0.4983251709*D981+0.4357405005*D981+0.0330936548*D982+0.0328406739))+D985*('Segments'!$D$29*D982*Assumptions!$B$109+'Segments'!$B$29*(0.4983251709*D981+0.4357405005*D981+0.0330936548*D982+0.0328406739))+D986*('Segments'!$D$30*D982*Assumptions!$B$109+'Segments'!$B$30*(0.4983251709*D981+0.4357405005*D981+0.0330936548*D982+0.0328406739))+D987*('Segments'!$D$31*D982*Assumptions!$B$109+'Segments'!$B$31*(0.4983251709*D981+0.4357405005*D981+0.0330936548*D982+0.0328406739))+D988*('Segments'!$D$32*D982*Assumptions!$B$109+'Segments'!$B$32*(0.4983251709*D981+0.4357405005*D981+0.0330936548*D982+0.0328406739))+D989*('Segments'!$D$33*D982*Assumptions!$B$109+'Segments'!$B$33*(0.4983251709*D981+0.4357405005*D981+0.0330936548*D982+0.0328406739))+D990*('Segments'!$D$34*D982*Assumptions!$B$109+'Segments'!$B$34*(0.4983251709*D981+0.4357405005*D981+0.0330936548*D982+0.0328406739))</f>
        <v/>
      </c>
      <c r="E993" s="18">
        <f>E983*('Segments'!$D$27*E982*Assumptions!$B$109+'Segments'!$B$27*(0.4983251709*E981+0.4357405005*E981+0.0330936548*E982+0.0328406739))+E984*('Segments'!$D$28*E982*Assumptions!$B$109+'Segments'!$B$28*(0.4983251709*E981+0.4357405005*E981+0.0330936548*E982+0.0328406739))+E985*('Segments'!$D$29*E982*Assumptions!$B$109+'Segments'!$B$29*(0.4983251709*E981+0.4357405005*E981+0.0330936548*E982+0.0328406739))+E986*('Segments'!$D$30*E982*Assumptions!$B$109+'Segments'!$B$30*(0.4983251709*E981+0.4357405005*E981+0.0330936548*E982+0.0328406739))+E987*('Segments'!$D$31*E982*Assumptions!$B$109+'Segments'!$B$31*(0.4983251709*E981+0.4357405005*E981+0.0330936548*E982+0.0328406739))+E988*('Segments'!$D$32*E982*Assumptions!$B$109+'Segments'!$B$32*(0.4983251709*E981+0.4357405005*E981+0.0330936548*E982+0.0328406739))+E989*('Segments'!$D$33*E982*Assumptions!$B$109+'Segments'!$B$33*(0.4983251709*E981+0.4357405005*E981+0.0330936548*E982+0.0328406739))+E990*('Segments'!$D$34*E982*Assumptions!$B$109+'Segments'!$B$34*(0.4983251709*E981+0.4357405005*E981+0.0330936548*E982+0.0328406739))</f>
        <v/>
      </c>
      <c r="F993" s="18">
        <f>F983*('Segments'!$D$27*F982*Assumptions!$B$109+'Segments'!$B$27*(0.4983251709*F981+0.4357405005*F981+0.0330936548*F982+0.0328406739))+F984*('Segments'!$D$28*F982*Assumptions!$B$109+'Segments'!$B$28*(0.4983251709*F981+0.4357405005*F981+0.0330936548*F982+0.0328406739))+F985*('Segments'!$D$29*F982*Assumptions!$B$109+'Segments'!$B$29*(0.4983251709*F981+0.4357405005*F981+0.0330936548*F982+0.0328406739))+F986*('Segments'!$D$30*F982*Assumptions!$B$109+'Segments'!$B$30*(0.4983251709*F981+0.4357405005*F981+0.0330936548*F982+0.0328406739))+F987*('Segments'!$D$31*F982*Assumptions!$B$109+'Segments'!$B$31*(0.4983251709*F981+0.4357405005*F981+0.0330936548*F982+0.0328406739))+F988*('Segments'!$D$32*F982*Assumptions!$B$109+'Segments'!$B$32*(0.4983251709*F981+0.4357405005*F981+0.0330936548*F982+0.0328406739))+F989*('Segments'!$D$33*F982*Assumptions!$B$109+'Segments'!$B$33*(0.4983251709*F981+0.4357405005*F981+0.0330936548*F982+0.0328406739))+F990*('Segments'!$D$34*F982*Assumptions!$B$109+'Segments'!$B$34*(0.4983251709*F981+0.4357405005*F981+0.0330936548*F982+0.0328406739))</f>
        <v/>
      </c>
      <c r="G993" s="18">
        <f>G983*('Segments'!$D$27*G982*Assumptions!$B$109+'Segments'!$B$27*(0.4983251709*G981+0.4357405005*G981+0.0330936548*G982+0.0328406739))+G984*('Segments'!$D$28*G982*Assumptions!$B$109+'Segments'!$B$28*(0.4983251709*G981+0.4357405005*G981+0.0330936548*G982+0.0328406739))+G985*('Segments'!$D$29*G982*Assumptions!$B$109+'Segments'!$B$29*(0.4983251709*G981+0.4357405005*G981+0.0330936548*G982+0.0328406739))+G986*('Segments'!$D$30*G982*Assumptions!$B$109+'Segments'!$B$30*(0.4983251709*G981+0.4357405005*G981+0.0330936548*G982+0.0328406739))+G987*('Segments'!$D$31*G982*Assumptions!$B$109+'Segments'!$B$31*(0.4983251709*G981+0.4357405005*G981+0.0330936548*G982+0.0328406739))+G988*('Segments'!$D$32*G982*Assumptions!$B$109+'Segments'!$B$32*(0.4983251709*G981+0.4357405005*G981+0.0330936548*G982+0.0328406739))+G989*('Segments'!$D$33*G982*Assumptions!$B$109+'Segments'!$B$33*(0.4983251709*G981+0.4357405005*G981+0.0330936548*G982+0.0328406739))+G990*('Segments'!$D$34*G982*Assumptions!$B$109+'Segments'!$B$34*(0.4983251709*G981+0.4357405005*G981+0.0330936548*G982+0.0328406739))</f>
        <v/>
      </c>
    </row>
    <row r="994">
      <c r="A994" s="15" t="inlineStr">
        <is>
          <t>GROSS PROFIT</t>
        </is>
      </c>
      <c r="C994" s="37">
        <f>C992-C993+DCF!$B$7*C992</f>
        <v/>
      </c>
      <c r="D994" s="37">
        <f>D992-D993+DCF!$B$7*D992</f>
        <v/>
      </c>
      <c r="E994" s="37">
        <f>E992-E993+DCF!$B$7*E992</f>
        <v/>
      </c>
      <c r="F994" s="37">
        <f>F992-F993+DCF!$B$7*F992</f>
        <v/>
      </c>
      <c r="G994" s="37">
        <f>G992-G993+DCF!$B$7*G992</f>
        <v/>
      </c>
    </row>
    <row r="995">
      <c r="A995" s="7" t="inlineStr">
        <is>
          <t>Gross margin</t>
        </is>
      </c>
      <c r="C995" s="24">
        <f>C994/C992</f>
        <v/>
      </c>
      <c r="D995" s="24">
        <f>D994/D992</f>
        <v/>
      </c>
      <c r="E995" s="24">
        <f>E994/E992</f>
        <v/>
      </c>
      <c r="F995" s="24">
        <f>F994/F992</f>
        <v/>
      </c>
      <c r="G995" s="24">
        <f>G994/G992</f>
        <v/>
      </c>
    </row>
    <row r="996">
      <c r="A996" s="7" t="inlineStr">
        <is>
          <t>Operating expense</t>
        </is>
      </c>
      <c r="C996" s="18">
        <f>('Income Statement'!$B$28*C981)+('Income Statement'!$B$29*C981*C991/'Segments'!$E$14)+('Income Statement'!$B$30*C981)+('Income Statement'!$B$31*C981)</f>
        <v/>
      </c>
      <c r="D996" s="18">
        <f>('Income Statement'!$B$28*D981)+('Income Statement'!$B$29*D981*D991/'Segments'!$E$14)+('Income Statement'!$B$30*D981)+('Income Statement'!$B$31*D981)</f>
        <v/>
      </c>
      <c r="E996" s="18">
        <f>('Income Statement'!$B$28*E981)+('Income Statement'!$B$29*E981*E991/'Segments'!$E$14)+('Income Statement'!$B$30*E981)+('Income Statement'!$B$31*E981)</f>
        <v/>
      </c>
      <c r="F996" s="18">
        <f>('Income Statement'!$B$28*F981)+('Income Statement'!$B$29*F981*F991/'Segments'!$E$14)+('Income Statement'!$B$30*F981)+('Income Statement'!$B$31*F981)</f>
        <v/>
      </c>
      <c r="G996" s="18">
        <f>('Income Statement'!$B$28*G981)+('Income Statement'!$B$29*G981*G991/'Segments'!$E$14)+('Income Statement'!$B$30*G981)+('Income Statement'!$B$31*G981)</f>
        <v/>
      </c>
    </row>
    <row r="997">
      <c r="A997" s="15" t="inlineStr">
        <is>
          <t>EBITDA</t>
        </is>
      </c>
      <c r="C997" s="37">
        <f>C994-C996</f>
        <v/>
      </c>
      <c r="D997" s="37">
        <f>D994-D996</f>
        <v/>
      </c>
      <c r="E997" s="37">
        <f>E994-E996</f>
        <v/>
      </c>
      <c r="F997" s="37">
        <f>F994-F996</f>
        <v/>
      </c>
      <c r="G997" s="37">
        <f>G994-G996</f>
        <v/>
      </c>
    </row>
    <row r="998">
      <c r="A998" s="7" t="inlineStr">
        <is>
          <t>Capital expenditure — maintenance + growth</t>
        </is>
      </c>
      <c r="C998" s="18">
        <f>'Income Statement'!$B$43*C981+MAX(C991-'Segments'!$E$14,0)*2100.379938*C981</f>
        <v/>
      </c>
      <c r="D998" s="18">
        <f>'Income Statement'!$B$43*D981+MAX(D991-C991,0)*2100.379938*D981</f>
        <v/>
      </c>
      <c r="E998" s="18">
        <f>'Income Statement'!$B$43*E981+MAX(E991-D991,0)*2100.379938*E981</f>
        <v/>
      </c>
      <c r="F998" s="18">
        <f>'Income Statement'!$B$43*F981+MAX(F991-E991,0)*2100.379938*F981</f>
        <v/>
      </c>
      <c r="G998" s="18">
        <f>'Income Statement'!$B$43*G981+MAX(G991-F991,0)*2100.379938*G981</f>
        <v/>
      </c>
    </row>
    <row r="999">
      <c r="A999" s="7" t="inlineStr">
        <is>
          <t>Fixed assets at cost, closing</t>
        </is>
      </c>
      <c r="C999" s="18">
        <f>(Assumptions!$B$91+Assumptions!$B$92)/10^6+C998</f>
        <v/>
      </c>
      <c r="D999" s="18">
        <f>C999+D998</f>
        <v/>
      </c>
      <c r="E999" s="18">
        <f>D999+E998</f>
        <v/>
      </c>
      <c r="F999" s="18">
        <f>E999+F998</f>
        <v/>
      </c>
      <c r="G999" s="18">
        <f>F999+G998</f>
        <v/>
      </c>
    </row>
    <row r="1000">
      <c r="A1000" s="7" t="inlineStr">
        <is>
          <t>Depreciation — rolls off the asset register</t>
        </is>
      </c>
      <c r="C1000" s="18">
        <f>(Assumptions!$B$91+Assumptions!$B$92)/10^6/'Income Statement'!$B$42</f>
        <v/>
      </c>
      <c r="D1000" s="18">
        <f>C999/'Income Statement'!$B$42</f>
        <v/>
      </c>
      <c r="E1000" s="18">
        <f>D999/'Income Statement'!$B$42</f>
        <v/>
      </c>
      <c r="F1000" s="18">
        <f>E999/'Income Statement'!$B$42</f>
        <v/>
      </c>
      <c r="G1000" s="18">
        <f>F999/'Income Statement'!$B$42</f>
        <v/>
      </c>
    </row>
    <row r="1001">
      <c r="A1001" s="7" t="inlineStr">
        <is>
          <t>Fixed assets, net book, closing</t>
        </is>
      </c>
      <c r="C1001" s="18">
        <f>(Assumptions!$B$90+Assumptions!$B$92)/10^6+C998-C1000</f>
        <v/>
      </c>
      <c r="D1001" s="18">
        <f>C1001+D998-D1000</f>
        <v/>
      </c>
      <c r="E1001" s="18">
        <f>D1001+E998-E1000</f>
        <v/>
      </c>
      <c r="F1001" s="18">
        <f>E1001+F998-F1000</f>
        <v/>
      </c>
      <c r="G1001" s="18">
        <f>F1001+G998-G1000</f>
        <v/>
      </c>
    </row>
    <row r="1002">
      <c r="A1002" s="15" t="inlineStr">
        <is>
          <t>EBIT</t>
        </is>
      </c>
      <c r="C1002" s="37">
        <f>C997-C1000</f>
        <v/>
      </c>
      <c r="D1002" s="37">
        <f>D997-D1000</f>
        <v/>
      </c>
      <c r="E1002" s="37">
        <f>E997-E1000</f>
        <v/>
      </c>
      <c r="F1002" s="37">
        <f>F997-F1000</f>
        <v/>
      </c>
      <c r="G1002" s="37">
        <f>G997-G1000</f>
        <v/>
      </c>
    </row>
    <row r="1003">
      <c r="A1003" s="7" t="inlineStr">
        <is>
          <t>NOPAT before the profit share</t>
        </is>
      </c>
      <c r="C1003" s="18">
        <f>C1002*(1-Assumptions!$B$108)</f>
        <v/>
      </c>
      <c r="D1003" s="18">
        <f>D1002*(1-Assumptions!$B$108)</f>
        <v/>
      </c>
      <c r="E1003" s="18">
        <f>E1002*(1-Assumptions!$B$108)</f>
        <v/>
      </c>
      <c r="F1003" s="18">
        <f>F1002*(1-Assumptions!$B$108)</f>
        <v/>
      </c>
      <c r="G1003" s="18">
        <f>G1002*(1-Assumptions!$B$108)</f>
        <v/>
      </c>
    </row>
    <row r="1004">
      <c r="A1004" s="7" t="inlineStr">
        <is>
          <t xml:space="preserve">  less employees' profit share and board bonuses</t>
        </is>
      </c>
      <c r="C1004" s="18">
        <f>MAX(C1003,0)*'Income Statement'!$B$40</f>
        <v/>
      </c>
      <c r="D1004" s="18">
        <f>MAX(D1003,0)*'Income Statement'!$B$40</f>
        <v/>
      </c>
      <c r="E1004" s="18">
        <f>MAX(E1003,0)*'Income Statement'!$B$40</f>
        <v/>
      </c>
      <c r="F1004" s="18">
        <f>MAX(F1003,0)*'Income Statement'!$B$40</f>
        <v/>
      </c>
      <c r="G1004" s="18">
        <f>MAX(G1003,0)*'Income Statement'!$B$40</f>
        <v/>
      </c>
    </row>
    <row r="1005">
      <c r="A1005" s="15" t="inlineStr">
        <is>
          <t>NOPAT</t>
        </is>
      </c>
      <c r="C1005" s="37">
        <f>C1003-C1004</f>
        <v/>
      </c>
      <c r="D1005" s="37">
        <f>D1003-D1004</f>
        <v/>
      </c>
      <c r="E1005" s="37">
        <f>E1003-E1004</f>
        <v/>
      </c>
      <c r="F1005" s="37">
        <f>F1003-F1004</f>
        <v/>
      </c>
      <c r="G1005" s="37">
        <f>G1003-G1004</f>
        <v/>
      </c>
    </row>
    <row r="1006">
      <c r="A1006" s="7" t="inlineStr">
        <is>
          <t>Net working capital — on days</t>
        </is>
      </c>
      <c r="C1006" s="18">
        <f>'Income Statement'!$B$44*DCF!$B$9/365*C993+'Income Statement'!$B$45*DCF!$B$9/365*C992-'Income Statement'!$B$46*DCF!$B$9/365*C993</f>
        <v/>
      </c>
      <c r="D1006" s="18">
        <f>'Income Statement'!$B$44*DCF!$B$9/365*D993+'Income Statement'!$B$45*DCF!$B$9/365*D992-'Income Statement'!$B$46*DCF!$B$9/365*D993</f>
        <v/>
      </c>
      <c r="E1006" s="18">
        <f>'Income Statement'!$B$44*DCF!$B$9/365*E993+'Income Statement'!$B$45*DCF!$B$9/365*E992-'Income Statement'!$B$46*DCF!$B$9/365*E993</f>
        <v/>
      </c>
      <c r="F1006" s="18">
        <f>'Income Statement'!$B$44*DCF!$B$9/365*F993+'Income Statement'!$B$45*DCF!$B$9/365*F992-'Income Statement'!$B$46*DCF!$B$9/365*F993</f>
        <v/>
      </c>
      <c r="G1006" s="18">
        <f>'Income Statement'!$B$44*DCF!$B$9/365*G993+'Income Statement'!$B$45*DCF!$B$9/365*G992-'Income Statement'!$B$46*DCF!$B$9/365*G993</f>
        <v/>
      </c>
    </row>
    <row r="1007">
      <c r="A1007" s="7" t="inlineStr">
        <is>
          <t xml:space="preserve">  change in working capital</t>
        </is>
      </c>
      <c r="C1007" s="18">
        <f>C1006-('Income Statement'!$B$44/365*'Income Statement'!$B$21+'Income Statement'!$B$45/365*'Income Statement'!$B$19-'Income Statement'!$B$46/365*'Income Statement'!$B$21)</f>
        <v/>
      </c>
      <c r="D1007" s="18">
        <f>D1006-C1006</f>
        <v/>
      </c>
      <c r="E1007" s="18">
        <f>E1006-D1006</f>
        <v/>
      </c>
      <c r="F1007" s="18">
        <f>F1006-E1006</f>
        <v/>
      </c>
      <c r="G1007" s="18">
        <f>G1006-F1006</f>
        <v/>
      </c>
    </row>
    <row r="1008">
      <c r="A1008" s="15" t="inlineStr">
        <is>
          <t>FREE CASH FLOW TO THE FIRM</t>
        </is>
      </c>
      <c r="C1008" s="37">
        <f>C1005+C1000-C998-C1007</f>
        <v/>
      </c>
      <c r="D1008" s="37">
        <f>D1005+D1000-D998-D1007</f>
        <v/>
      </c>
      <c r="E1008" s="37">
        <f>E1005+E1000-E998-E1007</f>
        <v/>
      </c>
      <c r="F1008" s="37">
        <f>F1005+F1000-F998-F1007</f>
        <v/>
      </c>
      <c r="G1008" s="37">
        <f>G1005+G1000-G998-G1007</f>
        <v/>
      </c>
    </row>
    <row r="1009">
      <c r="A1009" s="7" t="inlineStr">
        <is>
          <t>Glide fraction</t>
        </is>
      </c>
      <c r="C1009" s="23">
        <f>0.0000000000</f>
        <v/>
      </c>
      <c r="D1009" s="23">
        <f>0.3571428571</f>
        <v/>
      </c>
      <c r="E1009" s="23">
        <f>0.6428571429</f>
        <v/>
      </c>
      <c r="F1009" s="23">
        <f>0.8571428571</f>
        <v/>
      </c>
      <c r="G1009" s="23">
        <f>1.0000000000</f>
        <v/>
      </c>
    </row>
    <row r="1010">
      <c r="A1010" s="7" t="inlineStr">
        <is>
          <t>Forward cost of capital</t>
        </is>
      </c>
      <c r="C1010" s="24">
        <f>$F$31-($F$31-$G$31)*C1009</f>
        <v/>
      </c>
      <c r="D1010" s="24">
        <f>$F$31-($F$31-$G$31)*D1009</f>
        <v/>
      </c>
      <c r="E1010" s="24">
        <f>$F$31-($F$31-$G$31)*E1009</f>
        <v/>
      </c>
      <c r="F1010" s="24">
        <f>$F$31-($F$31-$G$31)*F1009</f>
        <v/>
      </c>
      <c r="G1010" s="24">
        <f>$F$31-($F$31-$G$31)*G1009</f>
        <v/>
      </c>
    </row>
    <row r="1011">
      <c r="A1011" s="7" t="inlineStr">
        <is>
          <t>Cumulative discount factor</t>
        </is>
      </c>
      <c r="C1011" s="40">
        <f>1/(1+C1010)</f>
        <v/>
      </c>
      <c r="D1011" s="40">
        <f>C1011/(1+D1010)</f>
        <v/>
      </c>
      <c r="E1011" s="40">
        <f>D1011/(1+E1010)</f>
        <v/>
      </c>
      <c r="F1011" s="40">
        <f>E1011/(1+F1010)</f>
        <v/>
      </c>
      <c r="G1011" s="40">
        <f>F1011/(1+G1010)</f>
        <v/>
      </c>
    </row>
    <row r="1012">
      <c r="A1012" s="7" t="inlineStr">
        <is>
          <t>Present value</t>
        </is>
      </c>
      <c r="C1012" s="18">
        <f>C1008*C1011</f>
        <v/>
      </c>
      <c r="D1012" s="18">
        <f>D1008*D1011</f>
        <v/>
      </c>
      <c r="E1012" s="18">
        <f>E1008*E1011</f>
        <v/>
      </c>
      <c r="F1012" s="18">
        <f>F1008*F1011</f>
        <v/>
      </c>
      <c r="G1012" s="18">
        <f>G1008*G1011</f>
        <v/>
      </c>
    </row>
    <row r="1013">
      <c r="A1013" s="15" t="inlineStr">
        <is>
          <t>PV of the explicit window</t>
        </is>
      </c>
      <c r="B1013" s="37">
        <f>SUM(C1012:G1012)</f>
        <v/>
      </c>
      <c r="C1013" s="18">
        <f>C1006+C999</f>
        <v/>
      </c>
      <c r="D1013" s="18">
        <f>D1006+D999</f>
        <v/>
      </c>
      <c r="E1013" s="18">
        <f>E1006+E999</f>
        <v/>
      </c>
      <c r="F1013" s="18">
        <f>F1006+F999</f>
        <v/>
      </c>
      <c r="G1013" s="18">
        <f>G1006+G999</f>
        <v/>
      </c>
    </row>
    <row r="1014">
      <c r="A1014" s="7" t="inlineStr">
        <is>
          <t>Terminal return on invested capital, at REPLACEMENT cost</t>
        </is>
      </c>
      <c r="B1014" s="24">
        <f>G1005*(1+Assumptions!$B$110)/G1013</f>
        <v/>
      </c>
    </row>
    <row r="1015">
      <c r="A1015" s="7" t="inlineStr">
        <is>
          <t>Required reinvestment = growth / return</t>
        </is>
      </c>
      <c r="B1015" s="24">
        <f>MIN(Assumptions!$B$110/B1014,0.95)</f>
        <v/>
      </c>
    </row>
    <row r="1016">
      <c r="A1016" s="7" t="inlineStr">
        <is>
          <t>Terminal value</t>
        </is>
      </c>
      <c r="B1016" s="18">
        <f>G1005*(1+Assumptions!$B$110)*(1-B1015)/MAX($G$31-Assumptions!$B$110,0.02)</f>
        <v/>
      </c>
    </row>
    <row r="1017">
      <c r="A1017" s="7" t="inlineStr">
        <is>
          <t>PV of the terminal block</t>
        </is>
      </c>
      <c r="B1017" s="18">
        <f>B1016*G1011</f>
        <v/>
      </c>
    </row>
    <row r="1018">
      <c r="A1018" s="15" t="inlineStr">
        <is>
          <t>ENTERPRISE VALUE</t>
        </is>
      </c>
      <c r="B1018" s="37">
        <f>B1013+B1017</f>
        <v/>
      </c>
    </row>
    <row r="1019">
      <c r="A1019" s="7" t="inlineStr">
        <is>
          <t>plus net cash</t>
        </is>
      </c>
      <c r="B1019" s="18">
        <f>(Assumptions!$B$100-Assumptions!$B$103-Assumptions!$B$104)/10^6</f>
        <v/>
      </c>
    </row>
    <row r="1020">
      <c r="A1020" s="7" t="inlineStr">
        <is>
          <t>Enterprise value including cash</t>
        </is>
      </c>
      <c r="B1020" s="18">
        <f>B1018+B1019</f>
        <v/>
      </c>
    </row>
    <row r="1021">
      <c r="A1021" s="7" t="inlineStr">
        <is>
          <t>less minority — on the WHOLE enterprise, cash included</t>
        </is>
      </c>
      <c r="B1021" s="18">
        <f>B1020*'Income Statement'!$B$41</f>
        <v/>
      </c>
    </row>
    <row r="1022">
      <c r="A1022" s="7" t="inlineStr">
        <is>
          <t>less the tax-disputes provision</t>
        </is>
      </c>
      <c r="B1022" s="18">
        <f>Assumptions!$B$99/10^6</f>
        <v/>
      </c>
    </row>
    <row r="1023">
      <c r="A1023" s="7" t="inlineStr">
        <is>
          <t>less dividends payable — declared, out of working capital</t>
        </is>
      </c>
      <c r="B1023" s="18">
        <f>Assumptions!$B$98/10^6</f>
        <v/>
      </c>
    </row>
    <row r="1024">
      <c r="A1024" s="7" t="inlineStr">
        <is>
          <t>plus non-operating investments and pledged deposits</t>
        </is>
      </c>
      <c r="B1024" s="18">
        <f>(Assumptions!$B$102+Assumptions!$B$101)/10^6</f>
        <v/>
      </c>
    </row>
    <row r="1025">
      <c r="A1025" s="15" t="inlineStr">
        <is>
          <t>EQUITY ATTRIBUTABLE</t>
        </is>
      </c>
      <c r="B1025" s="37">
        <f>B1020-B1021-B1022-B1023+B1024</f>
        <v/>
      </c>
    </row>
    <row r="1026">
      <c r="A1026" s="15" t="inlineStr">
        <is>
          <t>VALUE PER SHARE, EGP</t>
        </is>
      </c>
      <c r="B1026" s="22">
        <f>B1025/Assumptions!$B$8</f>
        <v/>
      </c>
    </row>
    <row r="1029">
      <c r="A1029" s="6" t="inlineStr">
        <is>
          <t>Working-capital cycle, as a multiple of the solved days — 0.50x</t>
        </is>
      </c>
      <c r="B1029" s="6" t="inlineStr">
        <is>
          <t>2026E</t>
        </is>
      </c>
      <c r="C1029" s="6" t="inlineStr">
        <is>
          <t>2027E</t>
        </is>
      </c>
      <c r="D1029" s="6" t="inlineStr">
        <is>
          <t>2028E</t>
        </is>
      </c>
      <c r="E1029" s="6" t="inlineStr">
        <is>
          <t>2029E</t>
        </is>
      </c>
      <c r="F1029" s="6" t="inlineStr">
        <is>
          <t>2030E</t>
        </is>
      </c>
    </row>
    <row r="1030">
      <c r="A1030" s="7" t="inlineStr">
        <is>
          <t>Inflation index, cumulative</t>
        </is>
      </c>
      <c r="C1030" s="23">
        <f>Assumptions!$B$167</f>
        <v/>
      </c>
      <c r="D1030" s="23">
        <f>C1030*Assumptions!$B$168</f>
        <v/>
      </c>
      <c r="E1030" s="23">
        <f>D1030*Assumptions!$B$169</f>
        <v/>
      </c>
      <c r="F1030" s="23">
        <f>E1030*Assumptions!$B$170</f>
        <v/>
      </c>
      <c r="G1030" s="23">
        <f>F1030*Assumptions!$B$171</f>
        <v/>
      </c>
    </row>
    <row r="1031">
      <c r="A1031" s="7" t="inlineStr">
        <is>
          <t>Realisation index, cumulative</t>
        </is>
      </c>
      <c r="C1031" s="23">
        <f>(1+Assumptions!$B$122*DCF!$B$8)</f>
        <v/>
      </c>
      <c r="D1031" s="23">
        <f>C1031*(1+Assumptions!$B$123*DCF!$B$8)</f>
        <v/>
      </c>
      <c r="E1031" s="23">
        <f>D1031*(1+Assumptions!$B$124*DCF!$B$8)</f>
        <v/>
      </c>
      <c r="F1031" s="23">
        <f>E1031*(1+Assumptions!$B$125*DCF!$B$8)</f>
        <v/>
      </c>
      <c r="G1031" s="23">
        <f>F1031*(1+Assumptions!$B$126*DCF!$B$8)</f>
        <v/>
      </c>
    </row>
    <row r="1032">
      <c r="A1032" s="7" t="inlineStr">
        <is>
          <t xml:space="preserve">  Volume — Base and special oils, mn t</t>
        </is>
      </c>
      <c r="C1032" s="23">
        <f>'Segments'!E6*(1+Assumptions!$B$127+DCF!$B$6)</f>
        <v/>
      </c>
      <c r="D1032" s="23">
        <f>C1032*(1+Assumptions!$B$128+DCF!$B$6)</f>
        <v/>
      </c>
      <c r="E1032" s="23">
        <f>D1032*(1+Assumptions!$B$129+DCF!$B$6)</f>
        <v/>
      </c>
      <c r="F1032" s="23">
        <f>E1032*(1+Assumptions!$B$130+DCF!$B$6)</f>
        <v/>
      </c>
      <c r="G1032" s="23">
        <f>F1032*(1+Assumptions!$B$131+DCF!$B$6)</f>
        <v/>
      </c>
    </row>
    <row r="1033">
      <c r="A1033" s="7" t="inlineStr">
        <is>
          <t xml:space="preserve">  Volume — Paraffin wax, mn t</t>
        </is>
      </c>
      <c r="C1033" s="23">
        <f>'Segments'!E7*(1+Assumptions!$B$132+DCF!$B$6)</f>
        <v/>
      </c>
      <c r="D1033" s="23">
        <f>C1033*(1+Assumptions!$B$133+DCF!$B$6)</f>
        <v/>
      </c>
      <c r="E1033" s="23">
        <f>D1033*(1+Assumptions!$B$134+DCF!$B$6)</f>
        <v/>
      </c>
      <c r="F1033" s="23">
        <f>E1033*(1+Assumptions!$B$135+DCF!$B$6)</f>
        <v/>
      </c>
      <c r="G1033" s="23">
        <f>F1033*(1+Assumptions!$B$136+DCF!$B$6)</f>
        <v/>
      </c>
    </row>
    <row r="1034">
      <c r="A1034" s="7" t="inlineStr">
        <is>
          <t xml:space="preserve">  Volume — Gas oil, mn t</t>
        </is>
      </c>
      <c r="C1034" s="23">
        <f>'Segments'!E8*(1+Assumptions!$B$137+DCF!$B$6)</f>
        <v/>
      </c>
      <c r="D1034" s="23">
        <f>C1034*(1+Assumptions!$B$138+DCF!$B$6)</f>
        <v/>
      </c>
      <c r="E1034" s="23">
        <f>D1034*(1+Assumptions!$B$139+DCF!$B$6)</f>
        <v/>
      </c>
      <c r="F1034" s="23">
        <f>E1034*(1+Assumptions!$B$140+DCF!$B$6)</f>
        <v/>
      </c>
      <c r="G1034" s="23">
        <f>F1034*(1+Assumptions!$B$141+DCF!$B$6)</f>
        <v/>
      </c>
    </row>
    <row r="1035">
      <c r="A1035" s="7" t="inlineStr">
        <is>
          <t xml:space="preserve">  Volume — Naphtha, mn t</t>
        </is>
      </c>
      <c r="C1035" s="23">
        <f>'Segments'!E9*(1+Assumptions!$B$142+DCF!$B$6)</f>
        <v/>
      </c>
      <c r="D1035" s="23">
        <f>C1035*(1+Assumptions!$B$143+DCF!$B$6)</f>
        <v/>
      </c>
      <c r="E1035" s="23">
        <f>D1035*(1+Assumptions!$B$144+DCF!$B$6)</f>
        <v/>
      </c>
      <c r="F1035" s="23">
        <f>E1035*(1+Assumptions!$B$145+DCF!$B$6)</f>
        <v/>
      </c>
      <c r="G1035" s="23">
        <f>F1035*(1+Assumptions!$B$146+DCF!$B$6)</f>
        <v/>
      </c>
    </row>
    <row r="1036">
      <c r="A1036" s="7" t="inlineStr">
        <is>
          <t xml:space="preserve">  Volume — Liquefied petroleum gas, mn t</t>
        </is>
      </c>
      <c r="C1036" s="23">
        <f>'Segments'!E10*(1+Assumptions!$B$147+DCF!$B$6)</f>
        <v/>
      </c>
      <c r="D1036" s="23">
        <f>C1036*(1+Assumptions!$B$148+DCF!$B$6)</f>
        <v/>
      </c>
      <c r="E1036" s="23">
        <f>D1036*(1+Assumptions!$B$149+DCF!$B$6)</f>
        <v/>
      </c>
      <c r="F1036" s="23">
        <f>E1036*(1+Assumptions!$B$150+DCF!$B$6)</f>
        <v/>
      </c>
      <c r="G1036" s="23">
        <f>F1036*(1+Assumptions!$B$151+DCF!$B$6)</f>
        <v/>
      </c>
    </row>
    <row r="1037">
      <c r="A1037" s="7" t="inlineStr">
        <is>
          <t xml:space="preserve">  Volume — Fuel oil (mix), mn t</t>
        </is>
      </c>
      <c r="C1037" s="23">
        <f>'Segments'!E11*(1+Assumptions!$B$152+DCF!$B$6)</f>
        <v/>
      </c>
      <c r="D1037" s="23">
        <f>C1037*(1+Assumptions!$B$153+DCF!$B$6)</f>
        <v/>
      </c>
      <c r="E1037" s="23">
        <f>D1037*(1+Assumptions!$B$154+DCF!$B$6)</f>
        <v/>
      </c>
      <c r="F1037" s="23">
        <f>E1037*(1+Assumptions!$B$155+DCF!$B$6)</f>
        <v/>
      </c>
      <c r="G1037" s="23">
        <f>F1037*(1+Assumptions!$B$156+DCF!$B$6)</f>
        <v/>
      </c>
    </row>
    <row r="1038">
      <c r="A1038" s="7" t="inlineStr">
        <is>
          <t xml:space="preserve">  Volume — Heavy fuel oil, mn t</t>
        </is>
      </c>
      <c r="C1038" s="23">
        <f>'Segments'!E12*(1+Assumptions!$B$157+DCF!$B$6)</f>
        <v/>
      </c>
      <c r="D1038" s="23">
        <f>C1038*(1+Assumptions!$B$158+DCF!$B$6)</f>
        <v/>
      </c>
      <c r="E1038" s="23">
        <f>D1038*(1+Assumptions!$B$159+DCF!$B$6)</f>
        <v/>
      </c>
      <c r="F1038" s="23">
        <f>E1038*(1+Assumptions!$B$160+DCF!$B$6)</f>
        <v/>
      </c>
      <c r="G1038" s="23">
        <f>F1038*(1+Assumptions!$B$161+DCF!$B$6)</f>
        <v/>
      </c>
    </row>
    <row r="1039">
      <c r="A1039" s="7" t="inlineStr">
        <is>
          <t xml:space="preserve">  Volume — Waste, mn t</t>
        </is>
      </c>
      <c r="C1039" s="23">
        <f>'Segments'!E13*(1+Assumptions!$B$162+DCF!$B$6)</f>
        <v/>
      </c>
      <c r="D1039" s="23">
        <f>C1039*(1+Assumptions!$B$163+DCF!$B$6)</f>
        <v/>
      </c>
      <c r="E1039" s="23">
        <f>D1039*(1+Assumptions!$B$164+DCF!$B$6)</f>
        <v/>
      </c>
      <c r="F1039" s="23">
        <f>E1039*(1+Assumptions!$B$165+DCF!$B$6)</f>
        <v/>
      </c>
      <c r="G1039" s="23">
        <f>F1039*(1+Assumptions!$B$166+DCF!$B$6)</f>
        <v/>
      </c>
    </row>
    <row r="1040">
      <c r="A1040" s="15" t="inlineStr">
        <is>
          <t>Total volume, mn t</t>
        </is>
      </c>
      <c r="C1040" s="36">
        <f>SUM(C1032:C1039)</f>
        <v/>
      </c>
      <c r="D1040" s="36">
        <f>SUM(D1032:D1039)</f>
        <v/>
      </c>
      <c r="E1040" s="36">
        <f>SUM(E1032:E1039)</f>
        <v/>
      </c>
      <c r="F1040" s="36">
        <f>SUM(F1032:F1039)</f>
        <v/>
      </c>
      <c r="G1040" s="36">
        <f>SUM(G1032:G1039)</f>
        <v/>
      </c>
    </row>
    <row r="1041">
      <c r="A1041" s="15" t="inlineStr">
        <is>
          <t>REVENUE</t>
        </is>
      </c>
      <c r="C1041" s="37">
        <f>C1032*'Segments'!$F$6*C1031+C1033*'Segments'!$F$7*C1031+C1034*'Segments'!$F$8*C1031+C1035*'Segments'!$F$9*C1031+C1036*'Segments'!$F$10*C1031+C1037*'Segments'!$F$11*C1031+C1038*'Segments'!$F$12*C1031+C1039*'Segments'!$F$13*C1031</f>
        <v/>
      </c>
      <c r="D1041" s="37">
        <f>D1032*'Segments'!$F$6*D1031+D1033*'Segments'!$F$7*D1031+D1034*'Segments'!$F$8*D1031+D1035*'Segments'!$F$9*D1031+D1036*'Segments'!$F$10*D1031+D1037*'Segments'!$F$11*D1031+D1038*'Segments'!$F$12*D1031+D1039*'Segments'!$F$13*D1031</f>
        <v/>
      </c>
      <c r="E1041" s="37">
        <f>E1032*'Segments'!$F$6*E1031+E1033*'Segments'!$F$7*E1031+E1034*'Segments'!$F$8*E1031+E1035*'Segments'!$F$9*E1031+E1036*'Segments'!$F$10*E1031+E1037*'Segments'!$F$11*E1031+E1038*'Segments'!$F$12*E1031+E1039*'Segments'!$F$13*E1031</f>
        <v/>
      </c>
      <c r="F1041" s="37">
        <f>F1032*'Segments'!$F$6*F1031+F1033*'Segments'!$F$7*F1031+F1034*'Segments'!$F$8*F1031+F1035*'Segments'!$F$9*F1031+F1036*'Segments'!$F$10*F1031+F1037*'Segments'!$F$11*F1031+F1038*'Segments'!$F$12*F1031+F1039*'Segments'!$F$13*F1031</f>
        <v/>
      </c>
      <c r="G1041" s="37">
        <f>G1032*'Segments'!$F$6*G1031+G1033*'Segments'!$F$7*G1031+G1034*'Segments'!$F$8*G1031+G1035*'Segments'!$F$9*G1031+G1036*'Segments'!$F$10*G1031+G1037*'Segments'!$F$11*G1031+G1038*'Segments'!$F$12*G1031+G1039*'Segments'!$F$13*G1031</f>
        <v/>
      </c>
    </row>
    <row r="1042">
      <c r="A1042" s="7" t="inlineStr">
        <is>
          <t>Cost of sales</t>
        </is>
      </c>
      <c r="C1042" s="18">
        <f>C1032*('Segments'!$D$27*C1031*Assumptions!$B$109+'Segments'!$B$27*(0.4983251709*C1030+0.4357405005*C1030+0.0330936548*C1031+0.0328406739))+C1033*('Segments'!$D$28*C1031*Assumptions!$B$109+'Segments'!$B$28*(0.4983251709*C1030+0.4357405005*C1030+0.0330936548*C1031+0.0328406739))+C1034*('Segments'!$D$29*C1031*Assumptions!$B$109+'Segments'!$B$29*(0.4983251709*C1030+0.4357405005*C1030+0.0330936548*C1031+0.0328406739))+C1035*('Segments'!$D$30*C1031*Assumptions!$B$109+'Segments'!$B$30*(0.4983251709*C1030+0.4357405005*C1030+0.0330936548*C1031+0.0328406739))+C1036*('Segments'!$D$31*C1031*Assumptions!$B$109+'Segments'!$B$31*(0.4983251709*C1030+0.4357405005*C1030+0.0330936548*C1031+0.0328406739))+C1037*('Segments'!$D$32*C1031*Assumptions!$B$109+'Segments'!$B$32*(0.4983251709*C1030+0.4357405005*C1030+0.0330936548*C1031+0.0328406739))+C1038*('Segments'!$D$33*C1031*Assumptions!$B$109+'Segments'!$B$33*(0.4983251709*C1030+0.4357405005*C1030+0.0330936548*C1031+0.0328406739))+C1039*('Segments'!$D$34*C1031*Assumptions!$B$109+'Segments'!$B$34*(0.4983251709*C1030+0.4357405005*C1030+0.0330936548*C1031+0.0328406739))</f>
        <v/>
      </c>
      <c r="D1042" s="18">
        <f>D1032*('Segments'!$D$27*D1031*Assumptions!$B$109+'Segments'!$B$27*(0.4983251709*D1030+0.4357405005*D1030+0.0330936548*D1031+0.0328406739))+D1033*('Segments'!$D$28*D1031*Assumptions!$B$109+'Segments'!$B$28*(0.4983251709*D1030+0.4357405005*D1030+0.0330936548*D1031+0.0328406739))+D1034*('Segments'!$D$29*D1031*Assumptions!$B$109+'Segments'!$B$29*(0.4983251709*D1030+0.4357405005*D1030+0.0330936548*D1031+0.0328406739))+D1035*('Segments'!$D$30*D1031*Assumptions!$B$109+'Segments'!$B$30*(0.4983251709*D1030+0.4357405005*D1030+0.0330936548*D1031+0.0328406739))+D1036*('Segments'!$D$31*D1031*Assumptions!$B$109+'Segments'!$B$31*(0.4983251709*D1030+0.4357405005*D1030+0.0330936548*D1031+0.0328406739))+D1037*('Segments'!$D$32*D1031*Assumptions!$B$109+'Segments'!$B$32*(0.4983251709*D1030+0.4357405005*D1030+0.0330936548*D1031+0.0328406739))+D1038*('Segments'!$D$33*D1031*Assumptions!$B$109+'Segments'!$B$33*(0.4983251709*D1030+0.4357405005*D1030+0.0330936548*D1031+0.0328406739))+D1039*('Segments'!$D$34*D1031*Assumptions!$B$109+'Segments'!$B$34*(0.4983251709*D1030+0.4357405005*D1030+0.0330936548*D1031+0.0328406739))</f>
        <v/>
      </c>
      <c r="E1042" s="18">
        <f>E1032*('Segments'!$D$27*E1031*Assumptions!$B$109+'Segments'!$B$27*(0.4983251709*E1030+0.4357405005*E1030+0.0330936548*E1031+0.0328406739))+E1033*('Segments'!$D$28*E1031*Assumptions!$B$109+'Segments'!$B$28*(0.4983251709*E1030+0.4357405005*E1030+0.0330936548*E1031+0.0328406739))+E1034*('Segments'!$D$29*E1031*Assumptions!$B$109+'Segments'!$B$29*(0.4983251709*E1030+0.4357405005*E1030+0.0330936548*E1031+0.0328406739))+E1035*('Segments'!$D$30*E1031*Assumptions!$B$109+'Segments'!$B$30*(0.4983251709*E1030+0.4357405005*E1030+0.0330936548*E1031+0.0328406739))+E1036*('Segments'!$D$31*E1031*Assumptions!$B$109+'Segments'!$B$31*(0.4983251709*E1030+0.4357405005*E1030+0.0330936548*E1031+0.0328406739))+E1037*('Segments'!$D$32*E1031*Assumptions!$B$109+'Segments'!$B$32*(0.4983251709*E1030+0.4357405005*E1030+0.0330936548*E1031+0.0328406739))+E1038*('Segments'!$D$33*E1031*Assumptions!$B$109+'Segments'!$B$33*(0.4983251709*E1030+0.4357405005*E1030+0.0330936548*E1031+0.0328406739))+E1039*('Segments'!$D$34*E1031*Assumptions!$B$109+'Segments'!$B$34*(0.4983251709*E1030+0.4357405005*E1030+0.0330936548*E1031+0.0328406739))</f>
        <v/>
      </c>
      <c r="F1042" s="18">
        <f>F1032*('Segments'!$D$27*F1031*Assumptions!$B$109+'Segments'!$B$27*(0.4983251709*F1030+0.4357405005*F1030+0.0330936548*F1031+0.0328406739))+F1033*('Segments'!$D$28*F1031*Assumptions!$B$109+'Segments'!$B$28*(0.4983251709*F1030+0.4357405005*F1030+0.0330936548*F1031+0.0328406739))+F1034*('Segments'!$D$29*F1031*Assumptions!$B$109+'Segments'!$B$29*(0.4983251709*F1030+0.4357405005*F1030+0.0330936548*F1031+0.0328406739))+F1035*('Segments'!$D$30*F1031*Assumptions!$B$109+'Segments'!$B$30*(0.4983251709*F1030+0.4357405005*F1030+0.0330936548*F1031+0.0328406739))+F1036*('Segments'!$D$31*F1031*Assumptions!$B$109+'Segments'!$B$31*(0.4983251709*F1030+0.4357405005*F1030+0.0330936548*F1031+0.0328406739))+F1037*('Segments'!$D$32*F1031*Assumptions!$B$109+'Segments'!$B$32*(0.4983251709*F1030+0.4357405005*F1030+0.0330936548*F1031+0.0328406739))+F1038*('Segments'!$D$33*F1031*Assumptions!$B$109+'Segments'!$B$33*(0.4983251709*F1030+0.4357405005*F1030+0.0330936548*F1031+0.0328406739))+F1039*('Segments'!$D$34*F1031*Assumptions!$B$109+'Segments'!$B$34*(0.4983251709*F1030+0.4357405005*F1030+0.0330936548*F1031+0.0328406739))</f>
        <v/>
      </c>
      <c r="G1042" s="18">
        <f>G1032*('Segments'!$D$27*G1031*Assumptions!$B$109+'Segments'!$B$27*(0.4983251709*G1030+0.4357405005*G1030+0.0330936548*G1031+0.0328406739))+G1033*('Segments'!$D$28*G1031*Assumptions!$B$109+'Segments'!$B$28*(0.4983251709*G1030+0.4357405005*G1030+0.0330936548*G1031+0.0328406739))+G1034*('Segments'!$D$29*G1031*Assumptions!$B$109+'Segments'!$B$29*(0.4983251709*G1030+0.4357405005*G1030+0.0330936548*G1031+0.0328406739))+G1035*('Segments'!$D$30*G1031*Assumptions!$B$109+'Segments'!$B$30*(0.4983251709*G1030+0.4357405005*G1030+0.0330936548*G1031+0.0328406739))+G1036*('Segments'!$D$31*G1031*Assumptions!$B$109+'Segments'!$B$31*(0.4983251709*G1030+0.4357405005*G1030+0.0330936548*G1031+0.0328406739))+G1037*('Segments'!$D$32*G1031*Assumptions!$B$109+'Segments'!$B$32*(0.4983251709*G1030+0.4357405005*G1030+0.0330936548*G1031+0.0328406739))+G1038*('Segments'!$D$33*G1031*Assumptions!$B$109+'Segments'!$B$33*(0.4983251709*G1030+0.4357405005*G1030+0.0330936548*G1031+0.0328406739))+G1039*('Segments'!$D$34*G1031*Assumptions!$B$109+'Segments'!$B$34*(0.4983251709*G1030+0.4357405005*G1030+0.0330936548*G1031+0.0328406739))</f>
        <v/>
      </c>
    </row>
    <row r="1043">
      <c r="A1043" s="15" t="inlineStr">
        <is>
          <t>GROSS PROFIT</t>
        </is>
      </c>
      <c r="C1043" s="37">
        <f>C1041-C1042+DCF!$B$7*C1041</f>
        <v/>
      </c>
      <c r="D1043" s="37">
        <f>D1041-D1042+DCF!$B$7*D1041</f>
        <v/>
      </c>
      <c r="E1043" s="37">
        <f>E1041-E1042+DCF!$B$7*E1041</f>
        <v/>
      </c>
      <c r="F1043" s="37">
        <f>F1041-F1042+DCF!$B$7*F1041</f>
        <v/>
      </c>
      <c r="G1043" s="37">
        <f>G1041-G1042+DCF!$B$7*G1041</f>
        <v/>
      </c>
    </row>
    <row r="1044">
      <c r="A1044" s="7" t="inlineStr">
        <is>
          <t>Gross margin</t>
        </is>
      </c>
      <c r="C1044" s="24">
        <f>C1043/C1041</f>
        <v/>
      </c>
      <c r="D1044" s="24">
        <f>D1043/D1041</f>
        <v/>
      </c>
      <c r="E1044" s="24">
        <f>E1043/E1041</f>
        <v/>
      </c>
      <c r="F1044" s="24">
        <f>F1043/F1041</f>
        <v/>
      </c>
      <c r="G1044" s="24">
        <f>G1043/G1041</f>
        <v/>
      </c>
    </row>
    <row r="1045">
      <c r="A1045" s="7" t="inlineStr">
        <is>
          <t>Operating expense</t>
        </is>
      </c>
      <c r="C1045" s="18">
        <f>('Income Statement'!$B$28*C1030)+('Income Statement'!$B$29*C1030*C1040/'Segments'!$E$14)+('Income Statement'!$B$30*C1030)+('Income Statement'!$B$31*C1030)</f>
        <v/>
      </c>
      <c r="D1045" s="18">
        <f>('Income Statement'!$B$28*D1030)+('Income Statement'!$B$29*D1030*D1040/'Segments'!$E$14)+('Income Statement'!$B$30*D1030)+('Income Statement'!$B$31*D1030)</f>
        <v/>
      </c>
      <c r="E1045" s="18">
        <f>('Income Statement'!$B$28*E1030)+('Income Statement'!$B$29*E1030*E1040/'Segments'!$E$14)+('Income Statement'!$B$30*E1030)+('Income Statement'!$B$31*E1030)</f>
        <v/>
      </c>
      <c r="F1045" s="18">
        <f>('Income Statement'!$B$28*F1030)+('Income Statement'!$B$29*F1030*F1040/'Segments'!$E$14)+('Income Statement'!$B$30*F1030)+('Income Statement'!$B$31*F1030)</f>
        <v/>
      </c>
      <c r="G1045" s="18">
        <f>('Income Statement'!$B$28*G1030)+('Income Statement'!$B$29*G1030*G1040/'Segments'!$E$14)+('Income Statement'!$B$30*G1030)+('Income Statement'!$B$31*G1030)</f>
        <v/>
      </c>
    </row>
    <row r="1046">
      <c r="A1046" s="15" t="inlineStr">
        <is>
          <t>EBITDA</t>
        </is>
      </c>
      <c r="C1046" s="37">
        <f>C1043-C1045</f>
        <v/>
      </c>
      <c r="D1046" s="37">
        <f>D1043-D1045</f>
        <v/>
      </c>
      <c r="E1046" s="37">
        <f>E1043-E1045</f>
        <v/>
      </c>
      <c r="F1046" s="37">
        <f>F1043-F1045</f>
        <v/>
      </c>
      <c r="G1046" s="37">
        <f>G1043-G1045</f>
        <v/>
      </c>
    </row>
    <row r="1047">
      <c r="A1047" s="7" t="inlineStr">
        <is>
          <t>Capital expenditure — maintenance + growth</t>
        </is>
      </c>
      <c r="C1047" s="18">
        <f>'Income Statement'!$B$43*C1030+MAX(C1040-'Segments'!$E$14,0)*2100.379938*C1030</f>
        <v/>
      </c>
      <c r="D1047" s="18">
        <f>'Income Statement'!$B$43*D1030+MAX(D1040-C1040,0)*2100.379938*D1030</f>
        <v/>
      </c>
      <c r="E1047" s="18">
        <f>'Income Statement'!$B$43*E1030+MAX(E1040-D1040,0)*2100.379938*E1030</f>
        <v/>
      </c>
      <c r="F1047" s="18">
        <f>'Income Statement'!$B$43*F1030+MAX(F1040-E1040,0)*2100.379938*F1030</f>
        <v/>
      </c>
      <c r="G1047" s="18">
        <f>'Income Statement'!$B$43*G1030+MAX(G1040-F1040,0)*2100.379938*G1030</f>
        <v/>
      </c>
    </row>
    <row r="1048">
      <c r="A1048" s="7" t="inlineStr">
        <is>
          <t>Fixed assets at cost, closing</t>
        </is>
      </c>
      <c r="C1048" s="18">
        <f>(Assumptions!$B$91+Assumptions!$B$92)/10^6+C1047</f>
        <v/>
      </c>
      <c r="D1048" s="18">
        <f>C1048+D1047</f>
        <v/>
      </c>
      <c r="E1048" s="18">
        <f>D1048+E1047</f>
        <v/>
      </c>
      <c r="F1048" s="18">
        <f>E1048+F1047</f>
        <v/>
      </c>
      <c r="G1048" s="18">
        <f>F1048+G1047</f>
        <v/>
      </c>
    </row>
    <row r="1049">
      <c r="A1049" s="7" t="inlineStr">
        <is>
          <t>Depreciation — rolls off the asset register</t>
        </is>
      </c>
      <c r="C1049" s="18">
        <f>(Assumptions!$B$91+Assumptions!$B$92)/10^6/'Income Statement'!$B$42</f>
        <v/>
      </c>
      <c r="D1049" s="18">
        <f>C1048/'Income Statement'!$B$42</f>
        <v/>
      </c>
      <c r="E1049" s="18">
        <f>D1048/'Income Statement'!$B$42</f>
        <v/>
      </c>
      <c r="F1049" s="18">
        <f>E1048/'Income Statement'!$B$42</f>
        <v/>
      </c>
      <c r="G1049" s="18">
        <f>F1048/'Income Statement'!$B$42</f>
        <v/>
      </c>
    </row>
    <row r="1050">
      <c r="A1050" s="7" t="inlineStr">
        <is>
          <t>Fixed assets, net book, closing</t>
        </is>
      </c>
      <c r="C1050" s="18">
        <f>(Assumptions!$B$90+Assumptions!$B$92)/10^6+C1047-C1049</f>
        <v/>
      </c>
      <c r="D1050" s="18">
        <f>C1050+D1047-D1049</f>
        <v/>
      </c>
      <c r="E1050" s="18">
        <f>D1050+E1047-E1049</f>
        <v/>
      </c>
      <c r="F1050" s="18">
        <f>E1050+F1047-F1049</f>
        <v/>
      </c>
      <c r="G1050" s="18">
        <f>F1050+G1047-G1049</f>
        <v/>
      </c>
    </row>
    <row r="1051">
      <c r="A1051" s="15" t="inlineStr">
        <is>
          <t>EBIT</t>
        </is>
      </c>
      <c r="C1051" s="37">
        <f>C1046-C1049</f>
        <v/>
      </c>
      <c r="D1051" s="37">
        <f>D1046-D1049</f>
        <v/>
      </c>
      <c r="E1051" s="37">
        <f>E1046-E1049</f>
        <v/>
      </c>
      <c r="F1051" s="37">
        <f>F1046-F1049</f>
        <v/>
      </c>
      <c r="G1051" s="37">
        <f>G1046-G1049</f>
        <v/>
      </c>
    </row>
    <row r="1052">
      <c r="A1052" s="7" t="inlineStr">
        <is>
          <t>NOPAT before the profit share</t>
        </is>
      </c>
      <c r="C1052" s="18">
        <f>C1051*(1-Assumptions!$B$108)</f>
        <v/>
      </c>
      <c r="D1052" s="18">
        <f>D1051*(1-Assumptions!$B$108)</f>
        <v/>
      </c>
      <c r="E1052" s="18">
        <f>E1051*(1-Assumptions!$B$108)</f>
        <v/>
      </c>
      <c r="F1052" s="18">
        <f>F1051*(1-Assumptions!$B$108)</f>
        <v/>
      </c>
      <c r="G1052" s="18">
        <f>G1051*(1-Assumptions!$B$108)</f>
        <v/>
      </c>
    </row>
    <row r="1053">
      <c r="A1053" s="7" t="inlineStr">
        <is>
          <t xml:space="preserve">  less employees' profit share and board bonuses</t>
        </is>
      </c>
      <c r="C1053" s="18">
        <f>MAX(C1052,0)*'Income Statement'!$B$40</f>
        <v/>
      </c>
      <c r="D1053" s="18">
        <f>MAX(D1052,0)*'Income Statement'!$B$40</f>
        <v/>
      </c>
      <c r="E1053" s="18">
        <f>MAX(E1052,0)*'Income Statement'!$B$40</f>
        <v/>
      </c>
      <c r="F1053" s="18">
        <f>MAX(F1052,0)*'Income Statement'!$B$40</f>
        <v/>
      </c>
      <c r="G1053" s="18">
        <f>MAX(G1052,0)*'Income Statement'!$B$40</f>
        <v/>
      </c>
    </row>
    <row r="1054">
      <c r="A1054" s="15" t="inlineStr">
        <is>
          <t>NOPAT</t>
        </is>
      </c>
      <c r="C1054" s="37">
        <f>C1052-C1053</f>
        <v/>
      </c>
      <c r="D1054" s="37">
        <f>D1052-D1053</f>
        <v/>
      </c>
      <c r="E1054" s="37">
        <f>E1052-E1053</f>
        <v/>
      </c>
      <c r="F1054" s="37">
        <f>F1052-F1053</f>
        <v/>
      </c>
      <c r="G1054" s="37">
        <f>G1052-G1053</f>
        <v/>
      </c>
    </row>
    <row r="1055">
      <c r="A1055" s="7" t="inlineStr">
        <is>
          <t>Net working capital — on days</t>
        </is>
      </c>
      <c r="C1055" s="18">
        <f>'Income Statement'!$B$44*$E$34/365*C1042+'Income Statement'!$B$45*$E$34/365*C1041-'Income Statement'!$B$46*$E$34/365*C1042</f>
        <v/>
      </c>
      <c r="D1055" s="18">
        <f>'Income Statement'!$B$44*$E$34/365*D1042+'Income Statement'!$B$45*$E$34/365*D1041-'Income Statement'!$B$46*$E$34/365*D1042</f>
        <v/>
      </c>
      <c r="E1055" s="18">
        <f>'Income Statement'!$B$44*$E$34/365*E1042+'Income Statement'!$B$45*$E$34/365*E1041-'Income Statement'!$B$46*$E$34/365*E1042</f>
        <v/>
      </c>
      <c r="F1055" s="18">
        <f>'Income Statement'!$B$44*$E$34/365*F1042+'Income Statement'!$B$45*$E$34/365*F1041-'Income Statement'!$B$46*$E$34/365*F1042</f>
        <v/>
      </c>
      <c r="G1055" s="18">
        <f>'Income Statement'!$B$44*$E$34/365*G1042+'Income Statement'!$B$45*$E$34/365*G1041-'Income Statement'!$B$46*$E$34/365*G1042</f>
        <v/>
      </c>
    </row>
    <row r="1056">
      <c r="A1056" s="7" t="inlineStr">
        <is>
          <t xml:space="preserve">  change in working capital</t>
        </is>
      </c>
      <c r="C1056" s="18">
        <f>C1055-('Income Statement'!$B$44/365*'Income Statement'!$B$21+'Income Statement'!$B$45/365*'Income Statement'!$B$19-'Income Statement'!$B$46/365*'Income Statement'!$B$21)</f>
        <v/>
      </c>
      <c r="D1056" s="18">
        <f>D1055-C1055</f>
        <v/>
      </c>
      <c r="E1056" s="18">
        <f>E1055-D1055</f>
        <v/>
      </c>
      <c r="F1056" s="18">
        <f>F1055-E1055</f>
        <v/>
      </c>
      <c r="G1056" s="18">
        <f>G1055-F1055</f>
        <v/>
      </c>
    </row>
    <row r="1057">
      <c r="A1057" s="15" t="inlineStr">
        <is>
          <t>FREE CASH FLOW TO THE FIRM</t>
        </is>
      </c>
      <c r="C1057" s="37">
        <f>C1054+C1049-C1047-C1056</f>
        <v/>
      </c>
      <c r="D1057" s="37">
        <f>D1054+D1049-D1047-D1056</f>
        <v/>
      </c>
      <c r="E1057" s="37">
        <f>E1054+E1049-E1047-E1056</f>
        <v/>
      </c>
      <c r="F1057" s="37">
        <f>F1054+F1049-F1047-F1056</f>
        <v/>
      </c>
      <c r="G1057" s="37">
        <f>G1054+G1049-G1047-G1056</f>
        <v/>
      </c>
    </row>
    <row r="1058">
      <c r="A1058" s="7" t="inlineStr">
        <is>
          <t>Glide fraction</t>
        </is>
      </c>
      <c r="C1058" s="23">
        <f>0.0000000000</f>
        <v/>
      </c>
      <c r="D1058" s="23">
        <f>0.3571428571</f>
        <v/>
      </c>
      <c r="E1058" s="23">
        <f>0.6428571429</f>
        <v/>
      </c>
      <c r="F1058" s="23">
        <f>0.8571428571</f>
        <v/>
      </c>
      <c r="G1058" s="23">
        <f>1.0000000000</f>
        <v/>
      </c>
    </row>
    <row r="1059">
      <c r="A1059" s="7" t="inlineStr">
        <is>
          <t>Forward cost of capital</t>
        </is>
      </c>
      <c r="C1059" s="24">
        <f>DCF!$B$14-(DCF!$B$14-DCF!$B$17)*C1058</f>
        <v/>
      </c>
      <c r="D1059" s="24">
        <f>DCF!$B$14-(DCF!$B$14-DCF!$B$17)*D1058</f>
        <v/>
      </c>
      <c r="E1059" s="24">
        <f>DCF!$B$14-(DCF!$B$14-DCF!$B$17)*E1058</f>
        <v/>
      </c>
      <c r="F1059" s="24">
        <f>DCF!$B$14-(DCF!$B$14-DCF!$B$17)*F1058</f>
        <v/>
      </c>
      <c r="G1059" s="24">
        <f>DCF!$B$14-(DCF!$B$14-DCF!$B$17)*G1058</f>
        <v/>
      </c>
    </row>
    <row r="1060">
      <c r="A1060" s="7" t="inlineStr">
        <is>
          <t>Cumulative discount factor</t>
        </is>
      </c>
      <c r="C1060" s="40">
        <f>1/(1+C1059)</f>
        <v/>
      </c>
      <c r="D1060" s="40">
        <f>C1060/(1+D1059)</f>
        <v/>
      </c>
      <c r="E1060" s="40">
        <f>D1060/(1+E1059)</f>
        <v/>
      </c>
      <c r="F1060" s="40">
        <f>E1060/(1+F1059)</f>
        <v/>
      </c>
      <c r="G1060" s="40">
        <f>F1060/(1+G1059)</f>
        <v/>
      </c>
    </row>
    <row r="1061">
      <c r="A1061" s="7" t="inlineStr">
        <is>
          <t>Present value</t>
        </is>
      </c>
      <c r="C1061" s="18">
        <f>C1057*C1060</f>
        <v/>
      </c>
      <c r="D1061" s="18">
        <f>D1057*D1060</f>
        <v/>
      </c>
      <c r="E1061" s="18">
        <f>E1057*E1060</f>
        <v/>
      </c>
      <c r="F1061" s="18">
        <f>F1057*F1060</f>
        <v/>
      </c>
      <c r="G1061" s="18">
        <f>G1057*G1060</f>
        <v/>
      </c>
    </row>
    <row r="1062">
      <c r="A1062" s="15" t="inlineStr">
        <is>
          <t>PV of the explicit window</t>
        </is>
      </c>
      <c r="B1062" s="37">
        <f>SUM(C1061:G1061)</f>
        <v/>
      </c>
      <c r="C1062" s="18">
        <f>C1055+C1048</f>
        <v/>
      </c>
      <c r="D1062" s="18">
        <f>D1055+D1048</f>
        <v/>
      </c>
      <c r="E1062" s="18">
        <f>E1055+E1048</f>
        <v/>
      </c>
      <c r="F1062" s="18">
        <f>F1055+F1048</f>
        <v/>
      </c>
      <c r="G1062" s="18">
        <f>G1055+G1048</f>
        <v/>
      </c>
    </row>
    <row r="1063">
      <c r="A1063" s="7" t="inlineStr">
        <is>
          <t>Terminal return on invested capital, at REPLACEMENT cost</t>
        </is>
      </c>
      <c r="B1063" s="24">
        <f>G1054*(1+Assumptions!$B$110)/G1062</f>
        <v/>
      </c>
    </row>
    <row r="1064">
      <c r="A1064" s="7" t="inlineStr">
        <is>
          <t>Required reinvestment = growth / return</t>
        </is>
      </c>
      <c r="B1064" s="24">
        <f>MIN(Assumptions!$B$110/B1063,0.95)</f>
        <v/>
      </c>
    </row>
    <row r="1065">
      <c r="A1065" s="7" t="inlineStr">
        <is>
          <t>Terminal value</t>
        </is>
      </c>
      <c r="B1065" s="18">
        <f>G1054*(1+Assumptions!$B$110)*(1-B1064)/MAX(DCF!$B$17-Assumptions!$B$110,0.02)</f>
        <v/>
      </c>
    </row>
    <row r="1066">
      <c r="A1066" s="7" t="inlineStr">
        <is>
          <t>PV of the terminal block</t>
        </is>
      </c>
      <c r="B1066" s="18">
        <f>B1065*G1060</f>
        <v/>
      </c>
    </row>
    <row r="1067">
      <c r="A1067" s="15" t="inlineStr">
        <is>
          <t>ENTERPRISE VALUE</t>
        </is>
      </c>
      <c r="B1067" s="37">
        <f>B1062+B1066</f>
        <v/>
      </c>
    </row>
    <row r="1068">
      <c r="A1068" s="7" t="inlineStr">
        <is>
          <t>plus net cash</t>
        </is>
      </c>
      <c r="B1068" s="18">
        <f>(Assumptions!$B$100-Assumptions!$B$103-Assumptions!$B$104)/10^6</f>
        <v/>
      </c>
    </row>
    <row r="1069">
      <c r="A1069" s="7" t="inlineStr">
        <is>
          <t>Enterprise value including cash</t>
        </is>
      </c>
      <c r="B1069" s="18">
        <f>B1067+B1068</f>
        <v/>
      </c>
    </row>
    <row r="1070">
      <c r="A1070" s="7" t="inlineStr">
        <is>
          <t>less minority — on the WHOLE enterprise, cash included</t>
        </is>
      </c>
      <c r="B1070" s="18">
        <f>B1069*'Income Statement'!$B$41</f>
        <v/>
      </c>
    </row>
    <row r="1071">
      <c r="A1071" s="7" t="inlineStr">
        <is>
          <t>less the tax-disputes provision</t>
        </is>
      </c>
      <c r="B1071" s="18">
        <f>Assumptions!$B$99/10^6</f>
        <v/>
      </c>
    </row>
    <row r="1072">
      <c r="A1072" s="7" t="inlineStr">
        <is>
          <t>less dividends payable — declared, out of working capital</t>
        </is>
      </c>
      <c r="B1072" s="18">
        <f>Assumptions!$B$98/10^6</f>
        <v/>
      </c>
    </row>
    <row r="1073">
      <c r="A1073" s="7" t="inlineStr">
        <is>
          <t>plus non-operating investments and pledged deposits</t>
        </is>
      </c>
      <c r="B1073" s="18">
        <f>(Assumptions!$B$102+Assumptions!$B$101)/10^6</f>
        <v/>
      </c>
    </row>
    <row r="1074">
      <c r="A1074" s="15" t="inlineStr">
        <is>
          <t>EQUITY ATTRIBUTABLE</t>
        </is>
      </c>
      <c r="B1074" s="37">
        <f>B1069-B1070-B1071-B1072+B1073</f>
        <v/>
      </c>
    </row>
    <row r="1075">
      <c r="A1075" s="15" t="inlineStr">
        <is>
          <t>VALUE PER SHARE, EGP</t>
        </is>
      </c>
      <c r="B1075" s="22">
        <f>B1074/Assumptions!$B$8</f>
        <v/>
      </c>
    </row>
    <row r="1078">
      <c r="A1078" s="6" t="inlineStr">
        <is>
          <t>Working-capital cycle, as a multiple of the solved days — 0.75x</t>
        </is>
      </c>
      <c r="B1078" s="6" t="inlineStr">
        <is>
          <t>2026E</t>
        </is>
      </c>
      <c r="C1078" s="6" t="inlineStr">
        <is>
          <t>2027E</t>
        </is>
      </c>
      <c r="D1078" s="6" t="inlineStr">
        <is>
          <t>2028E</t>
        </is>
      </c>
      <c r="E1078" s="6" t="inlineStr">
        <is>
          <t>2029E</t>
        </is>
      </c>
      <c r="F1078" s="6" t="inlineStr">
        <is>
          <t>2030E</t>
        </is>
      </c>
    </row>
    <row r="1079">
      <c r="A1079" s="7" t="inlineStr">
        <is>
          <t>Inflation index, cumulative</t>
        </is>
      </c>
      <c r="C1079" s="23">
        <f>Assumptions!$B$167</f>
        <v/>
      </c>
      <c r="D1079" s="23">
        <f>C1079*Assumptions!$B$168</f>
        <v/>
      </c>
      <c r="E1079" s="23">
        <f>D1079*Assumptions!$B$169</f>
        <v/>
      </c>
      <c r="F1079" s="23">
        <f>E1079*Assumptions!$B$170</f>
        <v/>
      </c>
      <c r="G1079" s="23">
        <f>F1079*Assumptions!$B$171</f>
        <v/>
      </c>
    </row>
    <row r="1080">
      <c r="A1080" s="7" t="inlineStr">
        <is>
          <t>Realisation index, cumulative</t>
        </is>
      </c>
      <c r="C1080" s="23">
        <f>(1+Assumptions!$B$122*DCF!$B$8)</f>
        <v/>
      </c>
      <c r="D1080" s="23">
        <f>C1080*(1+Assumptions!$B$123*DCF!$B$8)</f>
        <v/>
      </c>
      <c r="E1080" s="23">
        <f>D1080*(1+Assumptions!$B$124*DCF!$B$8)</f>
        <v/>
      </c>
      <c r="F1080" s="23">
        <f>E1080*(1+Assumptions!$B$125*DCF!$B$8)</f>
        <v/>
      </c>
      <c r="G1080" s="23">
        <f>F1080*(1+Assumptions!$B$126*DCF!$B$8)</f>
        <v/>
      </c>
    </row>
    <row r="1081">
      <c r="A1081" s="7" t="inlineStr">
        <is>
          <t xml:space="preserve">  Volume — Base and special oils, mn t</t>
        </is>
      </c>
      <c r="C1081" s="23">
        <f>'Segments'!E6*(1+Assumptions!$B$127+DCF!$B$6)</f>
        <v/>
      </c>
      <c r="D1081" s="23">
        <f>C1081*(1+Assumptions!$B$128+DCF!$B$6)</f>
        <v/>
      </c>
      <c r="E1081" s="23">
        <f>D1081*(1+Assumptions!$B$129+DCF!$B$6)</f>
        <v/>
      </c>
      <c r="F1081" s="23">
        <f>E1081*(1+Assumptions!$B$130+DCF!$B$6)</f>
        <v/>
      </c>
      <c r="G1081" s="23">
        <f>F1081*(1+Assumptions!$B$131+DCF!$B$6)</f>
        <v/>
      </c>
    </row>
    <row r="1082">
      <c r="A1082" s="7" t="inlineStr">
        <is>
          <t xml:space="preserve">  Volume — Paraffin wax, mn t</t>
        </is>
      </c>
      <c r="C1082" s="23">
        <f>'Segments'!E7*(1+Assumptions!$B$132+DCF!$B$6)</f>
        <v/>
      </c>
      <c r="D1082" s="23">
        <f>C1082*(1+Assumptions!$B$133+DCF!$B$6)</f>
        <v/>
      </c>
      <c r="E1082" s="23">
        <f>D1082*(1+Assumptions!$B$134+DCF!$B$6)</f>
        <v/>
      </c>
      <c r="F1082" s="23">
        <f>E1082*(1+Assumptions!$B$135+DCF!$B$6)</f>
        <v/>
      </c>
      <c r="G1082" s="23">
        <f>F1082*(1+Assumptions!$B$136+DCF!$B$6)</f>
        <v/>
      </c>
    </row>
    <row r="1083">
      <c r="A1083" s="7" t="inlineStr">
        <is>
          <t xml:space="preserve">  Volume — Gas oil, mn t</t>
        </is>
      </c>
      <c r="C1083" s="23">
        <f>'Segments'!E8*(1+Assumptions!$B$137+DCF!$B$6)</f>
        <v/>
      </c>
      <c r="D1083" s="23">
        <f>C1083*(1+Assumptions!$B$138+DCF!$B$6)</f>
        <v/>
      </c>
      <c r="E1083" s="23">
        <f>D1083*(1+Assumptions!$B$139+DCF!$B$6)</f>
        <v/>
      </c>
      <c r="F1083" s="23">
        <f>E1083*(1+Assumptions!$B$140+DCF!$B$6)</f>
        <v/>
      </c>
      <c r="G1083" s="23">
        <f>F1083*(1+Assumptions!$B$141+DCF!$B$6)</f>
        <v/>
      </c>
    </row>
    <row r="1084">
      <c r="A1084" s="7" t="inlineStr">
        <is>
          <t xml:space="preserve">  Volume — Naphtha, mn t</t>
        </is>
      </c>
      <c r="C1084" s="23">
        <f>'Segments'!E9*(1+Assumptions!$B$142+DCF!$B$6)</f>
        <v/>
      </c>
      <c r="D1084" s="23">
        <f>C1084*(1+Assumptions!$B$143+DCF!$B$6)</f>
        <v/>
      </c>
      <c r="E1084" s="23">
        <f>D1084*(1+Assumptions!$B$144+DCF!$B$6)</f>
        <v/>
      </c>
      <c r="F1084" s="23">
        <f>E1084*(1+Assumptions!$B$145+DCF!$B$6)</f>
        <v/>
      </c>
      <c r="G1084" s="23">
        <f>F1084*(1+Assumptions!$B$146+DCF!$B$6)</f>
        <v/>
      </c>
    </row>
    <row r="1085">
      <c r="A1085" s="7" t="inlineStr">
        <is>
          <t xml:space="preserve">  Volume — Liquefied petroleum gas, mn t</t>
        </is>
      </c>
      <c r="C1085" s="23">
        <f>'Segments'!E10*(1+Assumptions!$B$147+DCF!$B$6)</f>
        <v/>
      </c>
      <c r="D1085" s="23">
        <f>C1085*(1+Assumptions!$B$148+DCF!$B$6)</f>
        <v/>
      </c>
      <c r="E1085" s="23">
        <f>D1085*(1+Assumptions!$B$149+DCF!$B$6)</f>
        <v/>
      </c>
      <c r="F1085" s="23">
        <f>E1085*(1+Assumptions!$B$150+DCF!$B$6)</f>
        <v/>
      </c>
      <c r="G1085" s="23">
        <f>F1085*(1+Assumptions!$B$151+DCF!$B$6)</f>
        <v/>
      </c>
    </row>
    <row r="1086">
      <c r="A1086" s="7" t="inlineStr">
        <is>
          <t xml:space="preserve">  Volume — Fuel oil (mix), mn t</t>
        </is>
      </c>
      <c r="C1086" s="23">
        <f>'Segments'!E11*(1+Assumptions!$B$152+DCF!$B$6)</f>
        <v/>
      </c>
      <c r="D1086" s="23">
        <f>C1086*(1+Assumptions!$B$153+DCF!$B$6)</f>
        <v/>
      </c>
      <c r="E1086" s="23">
        <f>D1086*(1+Assumptions!$B$154+DCF!$B$6)</f>
        <v/>
      </c>
      <c r="F1086" s="23">
        <f>E1086*(1+Assumptions!$B$155+DCF!$B$6)</f>
        <v/>
      </c>
      <c r="G1086" s="23">
        <f>F1086*(1+Assumptions!$B$156+DCF!$B$6)</f>
        <v/>
      </c>
    </row>
    <row r="1087">
      <c r="A1087" s="7" t="inlineStr">
        <is>
          <t xml:space="preserve">  Volume — Heavy fuel oil, mn t</t>
        </is>
      </c>
      <c r="C1087" s="23">
        <f>'Segments'!E12*(1+Assumptions!$B$157+DCF!$B$6)</f>
        <v/>
      </c>
      <c r="D1087" s="23">
        <f>C1087*(1+Assumptions!$B$158+DCF!$B$6)</f>
        <v/>
      </c>
      <c r="E1087" s="23">
        <f>D1087*(1+Assumptions!$B$159+DCF!$B$6)</f>
        <v/>
      </c>
      <c r="F1087" s="23">
        <f>E1087*(1+Assumptions!$B$160+DCF!$B$6)</f>
        <v/>
      </c>
      <c r="G1087" s="23">
        <f>F1087*(1+Assumptions!$B$161+DCF!$B$6)</f>
        <v/>
      </c>
    </row>
    <row r="1088">
      <c r="A1088" s="7" t="inlineStr">
        <is>
          <t xml:space="preserve">  Volume — Waste, mn t</t>
        </is>
      </c>
      <c r="C1088" s="23">
        <f>'Segments'!E13*(1+Assumptions!$B$162+DCF!$B$6)</f>
        <v/>
      </c>
      <c r="D1088" s="23">
        <f>C1088*(1+Assumptions!$B$163+DCF!$B$6)</f>
        <v/>
      </c>
      <c r="E1088" s="23">
        <f>D1088*(1+Assumptions!$B$164+DCF!$B$6)</f>
        <v/>
      </c>
      <c r="F1088" s="23">
        <f>E1088*(1+Assumptions!$B$165+DCF!$B$6)</f>
        <v/>
      </c>
      <c r="G1088" s="23">
        <f>F1088*(1+Assumptions!$B$166+DCF!$B$6)</f>
        <v/>
      </c>
    </row>
    <row r="1089">
      <c r="A1089" s="15" t="inlineStr">
        <is>
          <t>Total volume, mn t</t>
        </is>
      </c>
      <c r="C1089" s="36">
        <f>SUM(C1081:C1088)</f>
        <v/>
      </c>
      <c r="D1089" s="36">
        <f>SUM(D1081:D1088)</f>
        <v/>
      </c>
      <c r="E1089" s="36">
        <f>SUM(E1081:E1088)</f>
        <v/>
      </c>
      <c r="F1089" s="36">
        <f>SUM(F1081:F1088)</f>
        <v/>
      </c>
      <c r="G1089" s="36">
        <f>SUM(G1081:G1088)</f>
        <v/>
      </c>
    </row>
    <row r="1090">
      <c r="A1090" s="15" t="inlineStr">
        <is>
          <t>REVENUE</t>
        </is>
      </c>
      <c r="C1090" s="37">
        <f>C1081*'Segments'!$F$6*C1080+C1082*'Segments'!$F$7*C1080+C1083*'Segments'!$F$8*C1080+C1084*'Segments'!$F$9*C1080+C1085*'Segments'!$F$10*C1080+C1086*'Segments'!$F$11*C1080+C1087*'Segments'!$F$12*C1080+C1088*'Segments'!$F$13*C1080</f>
        <v/>
      </c>
      <c r="D1090" s="37">
        <f>D1081*'Segments'!$F$6*D1080+D1082*'Segments'!$F$7*D1080+D1083*'Segments'!$F$8*D1080+D1084*'Segments'!$F$9*D1080+D1085*'Segments'!$F$10*D1080+D1086*'Segments'!$F$11*D1080+D1087*'Segments'!$F$12*D1080+D1088*'Segments'!$F$13*D1080</f>
        <v/>
      </c>
      <c r="E1090" s="37">
        <f>E1081*'Segments'!$F$6*E1080+E1082*'Segments'!$F$7*E1080+E1083*'Segments'!$F$8*E1080+E1084*'Segments'!$F$9*E1080+E1085*'Segments'!$F$10*E1080+E1086*'Segments'!$F$11*E1080+E1087*'Segments'!$F$12*E1080+E1088*'Segments'!$F$13*E1080</f>
        <v/>
      </c>
      <c r="F1090" s="37">
        <f>F1081*'Segments'!$F$6*F1080+F1082*'Segments'!$F$7*F1080+F1083*'Segments'!$F$8*F1080+F1084*'Segments'!$F$9*F1080+F1085*'Segments'!$F$10*F1080+F1086*'Segments'!$F$11*F1080+F1087*'Segments'!$F$12*F1080+F1088*'Segments'!$F$13*F1080</f>
        <v/>
      </c>
      <c r="G1090" s="37">
        <f>G1081*'Segments'!$F$6*G1080+G1082*'Segments'!$F$7*G1080+G1083*'Segments'!$F$8*G1080+G1084*'Segments'!$F$9*G1080+G1085*'Segments'!$F$10*G1080+G1086*'Segments'!$F$11*G1080+G1087*'Segments'!$F$12*G1080+G1088*'Segments'!$F$13*G1080</f>
        <v/>
      </c>
    </row>
    <row r="1091">
      <c r="A1091" s="7" t="inlineStr">
        <is>
          <t>Cost of sales</t>
        </is>
      </c>
      <c r="C1091" s="18">
        <f>C1081*('Segments'!$D$27*C1080*Assumptions!$B$109+'Segments'!$B$27*(0.4983251709*C1079+0.4357405005*C1079+0.0330936548*C1080+0.0328406739))+C1082*('Segments'!$D$28*C1080*Assumptions!$B$109+'Segments'!$B$28*(0.4983251709*C1079+0.4357405005*C1079+0.0330936548*C1080+0.0328406739))+C1083*('Segments'!$D$29*C1080*Assumptions!$B$109+'Segments'!$B$29*(0.4983251709*C1079+0.4357405005*C1079+0.0330936548*C1080+0.0328406739))+C1084*('Segments'!$D$30*C1080*Assumptions!$B$109+'Segments'!$B$30*(0.4983251709*C1079+0.4357405005*C1079+0.0330936548*C1080+0.0328406739))+C1085*('Segments'!$D$31*C1080*Assumptions!$B$109+'Segments'!$B$31*(0.4983251709*C1079+0.4357405005*C1079+0.0330936548*C1080+0.0328406739))+C1086*('Segments'!$D$32*C1080*Assumptions!$B$109+'Segments'!$B$32*(0.4983251709*C1079+0.4357405005*C1079+0.0330936548*C1080+0.0328406739))+C1087*('Segments'!$D$33*C1080*Assumptions!$B$109+'Segments'!$B$33*(0.4983251709*C1079+0.4357405005*C1079+0.0330936548*C1080+0.0328406739))+C1088*('Segments'!$D$34*C1080*Assumptions!$B$109+'Segments'!$B$34*(0.4983251709*C1079+0.4357405005*C1079+0.0330936548*C1080+0.0328406739))</f>
        <v/>
      </c>
      <c r="D1091" s="18">
        <f>D1081*('Segments'!$D$27*D1080*Assumptions!$B$109+'Segments'!$B$27*(0.4983251709*D1079+0.4357405005*D1079+0.0330936548*D1080+0.0328406739))+D1082*('Segments'!$D$28*D1080*Assumptions!$B$109+'Segments'!$B$28*(0.4983251709*D1079+0.4357405005*D1079+0.0330936548*D1080+0.0328406739))+D1083*('Segments'!$D$29*D1080*Assumptions!$B$109+'Segments'!$B$29*(0.4983251709*D1079+0.4357405005*D1079+0.0330936548*D1080+0.0328406739))+D1084*('Segments'!$D$30*D1080*Assumptions!$B$109+'Segments'!$B$30*(0.4983251709*D1079+0.4357405005*D1079+0.0330936548*D1080+0.0328406739))+D1085*('Segments'!$D$31*D1080*Assumptions!$B$109+'Segments'!$B$31*(0.4983251709*D1079+0.4357405005*D1079+0.0330936548*D1080+0.0328406739))+D1086*('Segments'!$D$32*D1080*Assumptions!$B$109+'Segments'!$B$32*(0.4983251709*D1079+0.4357405005*D1079+0.0330936548*D1080+0.0328406739))+D1087*('Segments'!$D$33*D1080*Assumptions!$B$109+'Segments'!$B$33*(0.4983251709*D1079+0.4357405005*D1079+0.0330936548*D1080+0.0328406739))+D1088*('Segments'!$D$34*D1080*Assumptions!$B$109+'Segments'!$B$34*(0.4983251709*D1079+0.4357405005*D1079+0.0330936548*D1080+0.0328406739))</f>
        <v/>
      </c>
      <c r="E1091" s="18">
        <f>E1081*('Segments'!$D$27*E1080*Assumptions!$B$109+'Segments'!$B$27*(0.4983251709*E1079+0.4357405005*E1079+0.0330936548*E1080+0.0328406739))+E1082*('Segments'!$D$28*E1080*Assumptions!$B$109+'Segments'!$B$28*(0.4983251709*E1079+0.4357405005*E1079+0.0330936548*E1080+0.0328406739))+E1083*('Segments'!$D$29*E1080*Assumptions!$B$109+'Segments'!$B$29*(0.4983251709*E1079+0.4357405005*E1079+0.0330936548*E1080+0.0328406739))+E1084*('Segments'!$D$30*E1080*Assumptions!$B$109+'Segments'!$B$30*(0.4983251709*E1079+0.4357405005*E1079+0.0330936548*E1080+0.0328406739))+E1085*('Segments'!$D$31*E1080*Assumptions!$B$109+'Segments'!$B$31*(0.4983251709*E1079+0.4357405005*E1079+0.0330936548*E1080+0.0328406739))+E1086*('Segments'!$D$32*E1080*Assumptions!$B$109+'Segments'!$B$32*(0.4983251709*E1079+0.4357405005*E1079+0.0330936548*E1080+0.0328406739))+E1087*('Segments'!$D$33*E1080*Assumptions!$B$109+'Segments'!$B$33*(0.4983251709*E1079+0.4357405005*E1079+0.0330936548*E1080+0.0328406739))+E1088*('Segments'!$D$34*E1080*Assumptions!$B$109+'Segments'!$B$34*(0.4983251709*E1079+0.4357405005*E1079+0.0330936548*E1080+0.0328406739))</f>
        <v/>
      </c>
      <c r="F1091" s="18">
        <f>F1081*('Segments'!$D$27*F1080*Assumptions!$B$109+'Segments'!$B$27*(0.4983251709*F1079+0.4357405005*F1079+0.0330936548*F1080+0.0328406739))+F1082*('Segments'!$D$28*F1080*Assumptions!$B$109+'Segments'!$B$28*(0.4983251709*F1079+0.4357405005*F1079+0.0330936548*F1080+0.0328406739))+F1083*('Segments'!$D$29*F1080*Assumptions!$B$109+'Segments'!$B$29*(0.4983251709*F1079+0.4357405005*F1079+0.0330936548*F1080+0.0328406739))+F1084*('Segments'!$D$30*F1080*Assumptions!$B$109+'Segments'!$B$30*(0.4983251709*F1079+0.4357405005*F1079+0.0330936548*F1080+0.0328406739))+F1085*('Segments'!$D$31*F1080*Assumptions!$B$109+'Segments'!$B$31*(0.4983251709*F1079+0.4357405005*F1079+0.0330936548*F1080+0.0328406739))+F1086*('Segments'!$D$32*F1080*Assumptions!$B$109+'Segments'!$B$32*(0.4983251709*F1079+0.4357405005*F1079+0.0330936548*F1080+0.0328406739))+F1087*('Segments'!$D$33*F1080*Assumptions!$B$109+'Segments'!$B$33*(0.4983251709*F1079+0.4357405005*F1079+0.0330936548*F1080+0.0328406739))+F1088*('Segments'!$D$34*F1080*Assumptions!$B$109+'Segments'!$B$34*(0.4983251709*F1079+0.4357405005*F1079+0.0330936548*F1080+0.0328406739))</f>
        <v/>
      </c>
      <c r="G1091" s="18">
        <f>G1081*('Segments'!$D$27*G1080*Assumptions!$B$109+'Segments'!$B$27*(0.4983251709*G1079+0.4357405005*G1079+0.0330936548*G1080+0.0328406739))+G1082*('Segments'!$D$28*G1080*Assumptions!$B$109+'Segments'!$B$28*(0.4983251709*G1079+0.4357405005*G1079+0.0330936548*G1080+0.0328406739))+G1083*('Segments'!$D$29*G1080*Assumptions!$B$109+'Segments'!$B$29*(0.4983251709*G1079+0.4357405005*G1079+0.0330936548*G1080+0.0328406739))+G1084*('Segments'!$D$30*G1080*Assumptions!$B$109+'Segments'!$B$30*(0.4983251709*G1079+0.4357405005*G1079+0.0330936548*G1080+0.0328406739))+G1085*('Segments'!$D$31*G1080*Assumptions!$B$109+'Segments'!$B$31*(0.4983251709*G1079+0.4357405005*G1079+0.0330936548*G1080+0.0328406739))+G1086*('Segments'!$D$32*G1080*Assumptions!$B$109+'Segments'!$B$32*(0.4983251709*G1079+0.4357405005*G1079+0.0330936548*G1080+0.0328406739))+G1087*('Segments'!$D$33*G1080*Assumptions!$B$109+'Segments'!$B$33*(0.4983251709*G1079+0.4357405005*G1079+0.0330936548*G1080+0.0328406739))+G1088*('Segments'!$D$34*G1080*Assumptions!$B$109+'Segments'!$B$34*(0.4983251709*G1079+0.4357405005*G1079+0.0330936548*G1080+0.0328406739))</f>
        <v/>
      </c>
    </row>
    <row r="1092">
      <c r="A1092" s="15" t="inlineStr">
        <is>
          <t>GROSS PROFIT</t>
        </is>
      </c>
      <c r="C1092" s="37">
        <f>C1090-C1091+DCF!$B$7*C1090</f>
        <v/>
      </c>
      <c r="D1092" s="37">
        <f>D1090-D1091+DCF!$B$7*D1090</f>
        <v/>
      </c>
      <c r="E1092" s="37">
        <f>E1090-E1091+DCF!$B$7*E1090</f>
        <v/>
      </c>
      <c r="F1092" s="37">
        <f>F1090-F1091+DCF!$B$7*F1090</f>
        <v/>
      </c>
      <c r="G1092" s="37">
        <f>G1090-G1091+DCF!$B$7*G1090</f>
        <v/>
      </c>
    </row>
    <row r="1093">
      <c r="A1093" s="7" t="inlineStr">
        <is>
          <t>Gross margin</t>
        </is>
      </c>
      <c r="C1093" s="24">
        <f>C1092/C1090</f>
        <v/>
      </c>
      <c r="D1093" s="24">
        <f>D1092/D1090</f>
        <v/>
      </c>
      <c r="E1093" s="24">
        <f>E1092/E1090</f>
        <v/>
      </c>
      <c r="F1093" s="24">
        <f>F1092/F1090</f>
        <v/>
      </c>
      <c r="G1093" s="24">
        <f>G1092/G1090</f>
        <v/>
      </c>
    </row>
    <row r="1094">
      <c r="A1094" s="7" t="inlineStr">
        <is>
          <t>Operating expense</t>
        </is>
      </c>
      <c r="C1094" s="18">
        <f>('Income Statement'!$B$28*C1079)+('Income Statement'!$B$29*C1079*C1089/'Segments'!$E$14)+('Income Statement'!$B$30*C1079)+('Income Statement'!$B$31*C1079)</f>
        <v/>
      </c>
      <c r="D1094" s="18">
        <f>('Income Statement'!$B$28*D1079)+('Income Statement'!$B$29*D1079*D1089/'Segments'!$E$14)+('Income Statement'!$B$30*D1079)+('Income Statement'!$B$31*D1079)</f>
        <v/>
      </c>
      <c r="E1094" s="18">
        <f>('Income Statement'!$B$28*E1079)+('Income Statement'!$B$29*E1079*E1089/'Segments'!$E$14)+('Income Statement'!$B$30*E1079)+('Income Statement'!$B$31*E1079)</f>
        <v/>
      </c>
      <c r="F1094" s="18">
        <f>('Income Statement'!$B$28*F1079)+('Income Statement'!$B$29*F1079*F1089/'Segments'!$E$14)+('Income Statement'!$B$30*F1079)+('Income Statement'!$B$31*F1079)</f>
        <v/>
      </c>
      <c r="G1094" s="18">
        <f>('Income Statement'!$B$28*G1079)+('Income Statement'!$B$29*G1079*G1089/'Segments'!$E$14)+('Income Statement'!$B$30*G1079)+('Income Statement'!$B$31*G1079)</f>
        <v/>
      </c>
    </row>
    <row r="1095">
      <c r="A1095" s="15" t="inlineStr">
        <is>
          <t>EBITDA</t>
        </is>
      </c>
      <c r="C1095" s="37">
        <f>C1092-C1094</f>
        <v/>
      </c>
      <c r="D1095" s="37">
        <f>D1092-D1094</f>
        <v/>
      </c>
      <c r="E1095" s="37">
        <f>E1092-E1094</f>
        <v/>
      </c>
      <c r="F1095" s="37">
        <f>F1092-F1094</f>
        <v/>
      </c>
      <c r="G1095" s="37">
        <f>G1092-G1094</f>
        <v/>
      </c>
    </row>
    <row r="1096">
      <c r="A1096" s="7" t="inlineStr">
        <is>
          <t>Capital expenditure — maintenance + growth</t>
        </is>
      </c>
      <c r="C1096" s="18">
        <f>'Income Statement'!$B$43*C1079+MAX(C1089-'Segments'!$E$14,0)*2100.379938*C1079</f>
        <v/>
      </c>
      <c r="D1096" s="18">
        <f>'Income Statement'!$B$43*D1079+MAX(D1089-C1089,0)*2100.379938*D1079</f>
        <v/>
      </c>
      <c r="E1096" s="18">
        <f>'Income Statement'!$B$43*E1079+MAX(E1089-D1089,0)*2100.379938*E1079</f>
        <v/>
      </c>
      <c r="F1096" s="18">
        <f>'Income Statement'!$B$43*F1079+MAX(F1089-E1089,0)*2100.379938*F1079</f>
        <v/>
      </c>
      <c r="G1096" s="18">
        <f>'Income Statement'!$B$43*G1079+MAX(G1089-F1089,0)*2100.379938*G1079</f>
        <v/>
      </c>
    </row>
    <row r="1097">
      <c r="A1097" s="7" t="inlineStr">
        <is>
          <t>Fixed assets at cost, closing</t>
        </is>
      </c>
      <c r="C1097" s="18">
        <f>(Assumptions!$B$91+Assumptions!$B$92)/10^6+C1096</f>
        <v/>
      </c>
      <c r="D1097" s="18">
        <f>C1097+D1096</f>
        <v/>
      </c>
      <c r="E1097" s="18">
        <f>D1097+E1096</f>
        <v/>
      </c>
      <c r="F1097" s="18">
        <f>E1097+F1096</f>
        <v/>
      </c>
      <c r="G1097" s="18">
        <f>F1097+G1096</f>
        <v/>
      </c>
    </row>
    <row r="1098">
      <c r="A1098" s="7" t="inlineStr">
        <is>
          <t>Depreciation — rolls off the asset register</t>
        </is>
      </c>
      <c r="C1098" s="18">
        <f>(Assumptions!$B$91+Assumptions!$B$92)/10^6/'Income Statement'!$B$42</f>
        <v/>
      </c>
      <c r="D1098" s="18">
        <f>C1097/'Income Statement'!$B$42</f>
        <v/>
      </c>
      <c r="E1098" s="18">
        <f>D1097/'Income Statement'!$B$42</f>
        <v/>
      </c>
      <c r="F1098" s="18">
        <f>E1097/'Income Statement'!$B$42</f>
        <v/>
      </c>
      <c r="G1098" s="18">
        <f>F1097/'Income Statement'!$B$42</f>
        <v/>
      </c>
    </row>
    <row r="1099">
      <c r="A1099" s="7" t="inlineStr">
        <is>
          <t>Fixed assets, net book, closing</t>
        </is>
      </c>
      <c r="C1099" s="18">
        <f>(Assumptions!$B$90+Assumptions!$B$92)/10^6+C1096-C1098</f>
        <v/>
      </c>
      <c r="D1099" s="18">
        <f>C1099+D1096-D1098</f>
        <v/>
      </c>
      <c r="E1099" s="18">
        <f>D1099+E1096-E1098</f>
        <v/>
      </c>
      <c r="F1099" s="18">
        <f>E1099+F1096-F1098</f>
        <v/>
      </c>
      <c r="G1099" s="18">
        <f>F1099+G1096-G1098</f>
        <v/>
      </c>
    </row>
    <row r="1100">
      <c r="A1100" s="15" t="inlineStr">
        <is>
          <t>EBIT</t>
        </is>
      </c>
      <c r="C1100" s="37">
        <f>C1095-C1098</f>
        <v/>
      </c>
      <c r="D1100" s="37">
        <f>D1095-D1098</f>
        <v/>
      </c>
      <c r="E1100" s="37">
        <f>E1095-E1098</f>
        <v/>
      </c>
      <c r="F1100" s="37">
        <f>F1095-F1098</f>
        <v/>
      </c>
      <c r="G1100" s="37">
        <f>G1095-G1098</f>
        <v/>
      </c>
    </row>
    <row r="1101">
      <c r="A1101" s="7" t="inlineStr">
        <is>
          <t>NOPAT before the profit share</t>
        </is>
      </c>
      <c r="C1101" s="18">
        <f>C1100*(1-Assumptions!$B$108)</f>
        <v/>
      </c>
      <c r="D1101" s="18">
        <f>D1100*(1-Assumptions!$B$108)</f>
        <v/>
      </c>
      <c r="E1101" s="18">
        <f>E1100*(1-Assumptions!$B$108)</f>
        <v/>
      </c>
      <c r="F1101" s="18">
        <f>F1100*(1-Assumptions!$B$108)</f>
        <v/>
      </c>
      <c r="G1101" s="18">
        <f>G1100*(1-Assumptions!$B$108)</f>
        <v/>
      </c>
    </row>
    <row r="1102">
      <c r="A1102" s="7" t="inlineStr">
        <is>
          <t xml:space="preserve">  less employees' profit share and board bonuses</t>
        </is>
      </c>
      <c r="C1102" s="18">
        <f>MAX(C1101,0)*'Income Statement'!$B$40</f>
        <v/>
      </c>
      <c r="D1102" s="18">
        <f>MAX(D1101,0)*'Income Statement'!$B$40</f>
        <v/>
      </c>
      <c r="E1102" s="18">
        <f>MAX(E1101,0)*'Income Statement'!$B$40</f>
        <v/>
      </c>
      <c r="F1102" s="18">
        <f>MAX(F1101,0)*'Income Statement'!$B$40</f>
        <v/>
      </c>
      <c r="G1102" s="18">
        <f>MAX(G1101,0)*'Income Statement'!$B$40</f>
        <v/>
      </c>
    </row>
    <row r="1103">
      <c r="A1103" s="15" t="inlineStr">
        <is>
          <t>NOPAT</t>
        </is>
      </c>
      <c r="C1103" s="37">
        <f>C1101-C1102</f>
        <v/>
      </c>
      <c r="D1103" s="37">
        <f>D1101-D1102</f>
        <v/>
      </c>
      <c r="E1103" s="37">
        <f>E1101-E1102</f>
        <v/>
      </c>
      <c r="F1103" s="37">
        <f>F1101-F1102</f>
        <v/>
      </c>
      <c r="G1103" s="37">
        <f>G1101-G1102</f>
        <v/>
      </c>
    </row>
    <row r="1104">
      <c r="A1104" s="7" t="inlineStr">
        <is>
          <t>Net working capital — on days</t>
        </is>
      </c>
      <c r="C1104" s="18">
        <f>'Income Statement'!$B$44*$E$35/365*C1091+'Income Statement'!$B$45*$E$35/365*C1090-'Income Statement'!$B$46*$E$35/365*C1091</f>
        <v/>
      </c>
      <c r="D1104" s="18">
        <f>'Income Statement'!$B$44*$E$35/365*D1091+'Income Statement'!$B$45*$E$35/365*D1090-'Income Statement'!$B$46*$E$35/365*D1091</f>
        <v/>
      </c>
      <c r="E1104" s="18">
        <f>'Income Statement'!$B$44*$E$35/365*E1091+'Income Statement'!$B$45*$E$35/365*E1090-'Income Statement'!$B$46*$E$35/365*E1091</f>
        <v/>
      </c>
      <c r="F1104" s="18">
        <f>'Income Statement'!$B$44*$E$35/365*F1091+'Income Statement'!$B$45*$E$35/365*F1090-'Income Statement'!$B$46*$E$35/365*F1091</f>
        <v/>
      </c>
      <c r="G1104" s="18">
        <f>'Income Statement'!$B$44*$E$35/365*G1091+'Income Statement'!$B$45*$E$35/365*G1090-'Income Statement'!$B$46*$E$35/365*G1091</f>
        <v/>
      </c>
    </row>
    <row r="1105">
      <c r="A1105" s="7" t="inlineStr">
        <is>
          <t xml:space="preserve">  change in working capital</t>
        </is>
      </c>
      <c r="C1105" s="18">
        <f>C1104-('Income Statement'!$B$44/365*'Income Statement'!$B$21+'Income Statement'!$B$45/365*'Income Statement'!$B$19-'Income Statement'!$B$46/365*'Income Statement'!$B$21)</f>
        <v/>
      </c>
      <c r="D1105" s="18">
        <f>D1104-C1104</f>
        <v/>
      </c>
      <c r="E1105" s="18">
        <f>E1104-D1104</f>
        <v/>
      </c>
      <c r="F1105" s="18">
        <f>F1104-E1104</f>
        <v/>
      </c>
      <c r="G1105" s="18">
        <f>G1104-F1104</f>
        <v/>
      </c>
    </row>
    <row r="1106">
      <c r="A1106" s="15" t="inlineStr">
        <is>
          <t>FREE CASH FLOW TO THE FIRM</t>
        </is>
      </c>
      <c r="C1106" s="37">
        <f>C1103+C1098-C1096-C1105</f>
        <v/>
      </c>
      <c r="D1106" s="37">
        <f>D1103+D1098-D1096-D1105</f>
        <v/>
      </c>
      <c r="E1106" s="37">
        <f>E1103+E1098-E1096-E1105</f>
        <v/>
      </c>
      <c r="F1106" s="37">
        <f>F1103+F1098-F1096-F1105</f>
        <v/>
      </c>
      <c r="G1106" s="37">
        <f>G1103+G1098-G1096-G1105</f>
        <v/>
      </c>
    </row>
    <row r="1107">
      <c r="A1107" s="7" t="inlineStr">
        <is>
          <t>Glide fraction</t>
        </is>
      </c>
      <c r="C1107" s="23">
        <f>0.0000000000</f>
        <v/>
      </c>
      <c r="D1107" s="23">
        <f>0.3571428571</f>
        <v/>
      </c>
      <c r="E1107" s="23">
        <f>0.6428571429</f>
        <v/>
      </c>
      <c r="F1107" s="23">
        <f>0.8571428571</f>
        <v/>
      </c>
      <c r="G1107" s="23">
        <f>1.0000000000</f>
        <v/>
      </c>
    </row>
    <row r="1108">
      <c r="A1108" s="7" t="inlineStr">
        <is>
          <t>Forward cost of capital</t>
        </is>
      </c>
      <c r="C1108" s="24">
        <f>DCF!$B$14-(DCF!$B$14-DCF!$B$17)*C1107</f>
        <v/>
      </c>
      <c r="D1108" s="24">
        <f>DCF!$B$14-(DCF!$B$14-DCF!$B$17)*D1107</f>
        <v/>
      </c>
      <c r="E1108" s="24">
        <f>DCF!$B$14-(DCF!$B$14-DCF!$B$17)*E1107</f>
        <v/>
      </c>
      <c r="F1108" s="24">
        <f>DCF!$B$14-(DCF!$B$14-DCF!$B$17)*F1107</f>
        <v/>
      </c>
      <c r="G1108" s="24">
        <f>DCF!$B$14-(DCF!$B$14-DCF!$B$17)*G1107</f>
        <v/>
      </c>
    </row>
    <row r="1109">
      <c r="A1109" s="7" t="inlineStr">
        <is>
          <t>Cumulative discount factor</t>
        </is>
      </c>
      <c r="C1109" s="40">
        <f>1/(1+C1108)</f>
        <v/>
      </c>
      <c r="D1109" s="40">
        <f>C1109/(1+D1108)</f>
        <v/>
      </c>
      <c r="E1109" s="40">
        <f>D1109/(1+E1108)</f>
        <v/>
      </c>
      <c r="F1109" s="40">
        <f>E1109/(1+F1108)</f>
        <v/>
      </c>
      <c r="G1109" s="40">
        <f>F1109/(1+G1108)</f>
        <v/>
      </c>
    </row>
    <row r="1110">
      <c r="A1110" s="7" t="inlineStr">
        <is>
          <t>Present value</t>
        </is>
      </c>
      <c r="C1110" s="18">
        <f>C1106*C1109</f>
        <v/>
      </c>
      <c r="D1110" s="18">
        <f>D1106*D1109</f>
        <v/>
      </c>
      <c r="E1110" s="18">
        <f>E1106*E1109</f>
        <v/>
      </c>
      <c r="F1110" s="18">
        <f>F1106*F1109</f>
        <v/>
      </c>
      <c r="G1110" s="18">
        <f>G1106*G1109</f>
        <v/>
      </c>
    </row>
    <row r="1111">
      <c r="A1111" s="15" t="inlineStr">
        <is>
          <t>PV of the explicit window</t>
        </is>
      </c>
      <c r="B1111" s="37">
        <f>SUM(C1110:G1110)</f>
        <v/>
      </c>
      <c r="C1111" s="18">
        <f>C1104+C1097</f>
        <v/>
      </c>
      <c r="D1111" s="18">
        <f>D1104+D1097</f>
        <v/>
      </c>
      <c r="E1111" s="18">
        <f>E1104+E1097</f>
        <v/>
      </c>
      <c r="F1111" s="18">
        <f>F1104+F1097</f>
        <v/>
      </c>
      <c r="G1111" s="18">
        <f>G1104+G1097</f>
        <v/>
      </c>
    </row>
    <row r="1112">
      <c r="A1112" s="7" t="inlineStr">
        <is>
          <t>Terminal return on invested capital, at REPLACEMENT cost</t>
        </is>
      </c>
      <c r="B1112" s="24">
        <f>G1103*(1+Assumptions!$B$110)/G1111</f>
        <v/>
      </c>
    </row>
    <row r="1113">
      <c r="A1113" s="7" t="inlineStr">
        <is>
          <t>Required reinvestment = growth / return</t>
        </is>
      </c>
      <c r="B1113" s="24">
        <f>MIN(Assumptions!$B$110/B1112,0.95)</f>
        <v/>
      </c>
    </row>
    <row r="1114">
      <c r="A1114" s="7" t="inlineStr">
        <is>
          <t>Terminal value</t>
        </is>
      </c>
      <c r="B1114" s="18">
        <f>G1103*(1+Assumptions!$B$110)*(1-B1113)/MAX(DCF!$B$17-Assumptions!$B$110,0.02)</f>
        <v/>
      </c>
    </row>
    <row r="1115">
      <c r="A1115" s="7" t="inlineStr">
        <is>
          <t>PV of the terminal block</t>
        </is>
      </c>
      <c r="B1115" s="18">
        <f>B1114*G1109</f>
        <v/>
      </c>
    </row>
    <row r="1116">
      <c r="A1116" s="15" t="inlineStr">
        <is>
          <t>ENTERPRISE VALUE</t>
        </is>
      </c>
      <c r="B1116" s="37">
        <f>B1111+B1115</f>
        <v/>
      </c>
    </row>
    <row r="1117">
      <c r="A1117" s="7" t="inlineStr">
        <is>
          <t>plus net cash</t>
        </is>
      </c>
      <c r="B1117" s="18">
        <f>(Assumptions!$B$100-Assumptions!$B$103-Assumptions!$B$104)/10^6</f>
        <v/>
      </c>
    </row>
    <row r="1118">
      <c r="A1118" s="7" t="inlineStr">
        <is>
          <t>Enterprise value including cash</t>
        </is>
      </c>
      <c r="B1118" s="18">
        <f>B1116+B1117</f>
        <v/>
      </c>
    </row>
    <row r="1119">
      <c r="A1119" s="7" t="inlineStr">
        <is>
          <t>less minority — on the WHOLE enterprise, cash included</t>
        </is>
      </c>
      <c r="B1119" s="18">
        <f>B1118*'Income Statement'!$B$41</f>
        <v/>
      </c>
    </row>
    <row r="1120">
      <c r="A1120" s="7" t="inlineStr">
        <is>
          <t>less the tax-disputes provision</t>
        </is>
      </c>
      <c r="B1120" s="18">
        <f>Assumptions!$B$99/10^6</f>
        <v/>
      </c>
    </row>
    <row r="1121">
      <c r="A1121" s="7" t="inlineStr">
        <is>
          <t>less dividends payable — declared, out of working capital</t>
        </is>
      </c>
      <c r="B1121" s="18">
        <f>Assumptions!$B$98/10^6</f>
        <v/>
      </c>
    </row>
    <row r="1122">
      <c r="A1122" s="7" t="inlineStr">
        <is>
          <t>plus non-operating investments and pledged deposits</t>
        </is>
      </c>
      <c r="B1122" s="18">
        <f>(Assumptions!$B$102+Assumptions!$B$101)/10^6</f>
        <v/>
      </c>
    </row>
    <row r="1123">
      <c r="A1123" s="15" t="inlineStr">
        <is>
          <t>EQUITY ATTRIBUTABLE</t>
        </is>
      </c>
      <c r="B1123" s="37">
        <f>B1118-B1119-B1120-B1121+B1122</f>
        <v/>
      </c>
    </row>
    <row r="1124">
      <c r="A1124" s="15" t="inlineStr">
        <is>
          <t>VALUE PER SHARE, EGP</t>
        </is>
      </c>
      <c r="B1124" s="22">
        <f>B1123/Assumptions!$B$8</f>
        <v/>
      </c>
    </row>
    <row r="1127">
      <c r="A1127" s="6" t="inlineStr">
        <is>
          <t>Working-capital cycle, as a multiple of the solved days — 1.00x</t>
        </is>
      </c>
      <c r="B1127" s="6" t="inlineStr">
        <is>
          <t>2026E</t>
        </is>
      </c>
      <c r="C1127" s="6" t="inlineStr">
        <is>
          <t>2027E</t>
        </is>
      </c>
      <c r="D1127" s="6" t="inlineStr">
        <is>
          <t>2028E</t>
        </is>
      </c>
      <c r="E1127" s="6" t="inlineStr">
        <is>
          <t>2029E</t>
        </is>
      </c>
      <c r="F1127" s="6" t="inlineStr">
        <is>
          <t>2030E</t>
        </is>
      </c>
    </row>
    <row r="1128">
      <c r="A1128" s="7" t="inlineStr">
        <is>
          <t>Inflation index, cumulative</t>
        </is>
      </c>
      <c r="C1128" s="23">
        <f>Assumptions!$B$167</f>
        <v/>
      </c>
      <c r="D1128" s="23">
        <f>C1128*Assumptions!$B$168</f>
        <v/>
      </c>
      <c r="E1128" s="23">
        <f>D1128*Assumptions!$B$169</f>
        <v/>
      </c>
      <c r="F1128" s="23">
        <f>E1128*Assumptions!$B$170</f>
        <v/>
      </c>
      <c r="G1128" s="23">
        <f>F1128*Assumptions!$B$171</f>
        <v/>
      </c>
    </row>
    <row r="1129">
      <c r="A1129" s="7" t="inlineStr">
        <is>
          <t>Realisation index, cumulative</t>
        </is>
      </c>
      <c r="C1129" s="23">
        <f>(1+Assumptions!$B$122*DCF!$B$8)</f>
        <v/>
      </c>
      <c r="D1129" s="23">
        <f>C1129*(1+Assumptions!$B$123*DCF!$B$8)</f>
        <v/>
      </c>
      <c r="E1129" s="23">
        <f>D1129*(1+Assumptions!$B$124*DCF!$B$8)</f>
        <v/>
      </c>
      <c r="F1129" s="23">
        <f>E1129*(1+Assumptions!$B$125*DCF!$B$8)</f>
        <v/>
      </c>
      <c r="G1129" s="23">
        <f>F1129*(1+Assumptions!$B$126*DCF!$B$8)</f>
        <v/>
      </c>
    </row>
    <row r="1130">
      <c r="A1130" s="7" t="inlineStr">
        <is>
          <t xml:space="preserve">  Volume — Base and special oils, mn t</t>
        </is>
      </c>
      <c r="C1130" s="23">
        <f>'Segments'!E6*(1+Assumptions!$B$127+DCF!$B$6)</f>
        <v/>
      </c>
      <c r="D1130" s="23">
        <f>C1130*(1+Assumptions!$B$128+DCF!$B$6)</f>
        <v/>
      </c>
      <c r="E1130" s="23">
        <f>D1130*(1+Assumptions!$B$129+DCF!$B$6)</f>
        <v/>
      </c>
      <c r="F1130" s="23">
        <f>E1130*(1+Assumptions!$B$130+DCF!$B$6)</f>
        <v/>
      </c>
      <c r="G1130" s="23">
        <f>F1130*(1+Assumptions!$B$131+DCF!$B$6)</f>
        <v/>
      </c>
    </row>
    <row r="1131">
      <c r="A1131" s="7" t="inlineStr">
        <is>
          <t xml:space="preserve">  Volume — Paraffin wax, mn t</t>
        </is>
      </c>
      <c r="C1131" s="23">
        <f>'Segments'!E7*(1+Assumptions!$B$132+DCF!$B$6)</f>
        <v/>
      </c>
      <c r="D1131" s="23">
        <f>C1131*(1+Assumptions!$B$133+DCF!$B$6)</f>
        <v/>
      </c>
      <c r="E1131" s="23">
        <f>D1131*(1+Assumptions!$B$134+DCF!$B$6)</f>
        <v/>
      </c>
      <c r="F1131" s="23">
        <f>E1131*(1+Assumptions!$B$135+DCF!$B$6)</f>
        <v/>
      </c>
      <c r="G1131" s="23">
        <f>F1131*(1+Assumptions!$B$136+DCF!$B$6)</f>
        <v/>
      </c>
    </row>
    <row r="1132">
      <c r="A1132" s="7" t="inlineStr">
        <is>
          <t xml:space="preserve">  Volume — Gas oil, mn t</t>
        </is>
      </c>
      <c r="C1132" s="23">
        <f>'Segments'!E8*(1+Assumptions!$B$137+DCF!$B$6)</f>
        <v/>
      </c>
      <c r="D1132" s="23">
        <f>C1132*(1+Assumptions!$B$138+DCF!$B$6)</f>
        <v/>
      </c>
      <c r="E1132" s="23">
        <f>D1132*(1+Assumptions!$B$139+DCF!$B$6)</f>
        <v/>
      </c>
      <c r="F1132" s="23">
        <f>E1132*(1+Assumptions!$B$140+DCF!$B$6)</f>
        <v/>
      </c>
      <c r="G1132" s="23">
        <f>F1132*(1+Assumptions!$B$141+DCF!$B$6)</f>
        <v/>
      </c>
    </row>
    <row r="1133">
      <c r="A1133" s="7" t="inlineStr">
        <is>
          <t xml:space="preserve">  Volume — Naphtha, mn t</t>
        </is>
      </c>
      <c r="C1133" s="23">
        <f>'Segments'!E9*(1+Assumptions!$B$142+DCF!$B$6)</f>
        <v/>
      </c>
      <c r="D1133" s="23">
        <f>C1133*(1+Assumptions!$B$143+DCF!$B$6)</f>
        <v/>
      </c>
      <c r="E1133" s="23">
        <f>D1133*(1+Assumptions!$B$144+DCF!$B$6)</f>
        <v/>
      </c>
      <c r="F1133" s="23">
        <f>E1133*(1+Assumptions!$B$145+DCF!$B$6)</f>
        <v/>
      </c>
      <c r="G1133" s="23">
        <f>F1133*(1+Assumptions!$B$146+DCF!$B$6)</f>
        <v/>
      </c>
    </row>
    <row r="1134">
      <c r="A1134" s="7" t="inlineStr">
        <is>
          <t xml:space="preserve">  Volume — Liquefied petroleum gas, mn t</t>
        </is>
      </c>
      <c r="C1134" s="23">
        <f>'Segments'!E10*(1+Assumptions!$B$147+DCF!$B$6)</f>
        <v/>
      </c>
      <c r="D1134" s="23">
        <f>C1134*(1+Assumptions!$B$148+DCF!$B$6)</f>
        <v/>
      </c>
      <c r="E1134" s="23">
        <f>D1134*(1+Assumptions!$B$149+DCF!$B$6)</f>
        <v/>
      </c>
      <c r="F1134" s="23">
        <f>E1134*(1+Assumptions!$B$150+DCF!$B$6)</f>
        <v/>
      </c>
      <c r="G1134" s="23">
        <f>F1134*(1+Assumptions!$B$151+DCF!$B$6)</f>
        <v/>
      </c>
    </row>
    <row r="1135">
      <c r="A1135" s="7" t="inlineStr">
        <is>
          <t xml:space="preserve">  Volume — Fuel oil (mix), mn t</t>
        </is>
      </c>
      <c r="C1135" s="23">
        <f>'Segments'!E11*(1+Assumptions!$B$152+DCF!$B$6)</f>
        <v/>
      </c>
      <c r="D1135" s="23">
        <f>C1135*(1+Assumptions!$B$153+DCF!$B$6)</f>
        <v/>
      </c>
      <c r="E1135" s="23">
        <f>D1135*(1+Assumptions!$B$154+DCF!$B$6)</f>
        <v/>
      </c>
      <c r="F1135" s="23">
        <f>E1135*(1+Assumptions!$B$155+DCF!$B$6)</f>
        <v/>
      </c>
      <c r="G1135" s="23">
        <f>F1135*(1+Assumptions!$B$156+DCF!$B$6)</f>
        <v/>
      </c>
    </row>
    <row r="1136">
      <c r="A1136" s="7" t="inlineStr">
        <is>
          <t xml:space="preserve">  Volume — Heavy fuel oil, mn t</t>
        </is>
      </c>
      <c r="C1136" s="23">
        <f>'Segments'!E12*(1+Assumptions!$B$157+DCF!$B$6)</f>
        <v/>
      </c>
      <c r="D1136" s="23">
        <f>C1136*(1+Assumptions!$B$158+DCF!$B$6)</f>
        <v/>
      </c>
      <c r="E1136" s="23">
        <f>D1136*(1+Assumptions!$B$159+DCF!$B$6)</f>
        <v/>
      </c>
      <c r="F1136" s="23">
        <f>E1136*(1+Assumptions!$B$160+DCF!$B$6)</f>
        <v/>
      </c>
      <c r="G1136" s="23">
        <f>F1136*(1+Assumptions!$B$161+DCF!$B$6)</f>
        <v/>
      </c>
    </row>
    <row r="1137">
      <c r="A1137" s="7" t="inlineStr">
        <is>
          <t xml:space="preserve">  Volume — Waste, mn t</t>
        </is>
      </c>
      <c r="C1137" s="23">
        <f>'Segments'!E13*(1+Assumptions!$B$162+DCF!$B$6)</f>
        <v/>
      </c>
      <c r="D1137" s="23">
        <f>C1137*(1+Assumptions!$B$163+DCF!$B$6)</f>
        <v/>
      </c>
      <c r="E1137" s="23">
        <f>D1137*(1+Assumptions!$B$164+DCF!$B$6)</f>
        <v/>
      </c>
      <c r="F1137" s="23">
        <f>E1137*(1+Assumptions!$B$165+DCF!$B$6)</f>
        <v/>
      </c>
      <c r="G1137" s="23">
        <f>F1137*(1+Assumptions!$B$166+DCF!$B$6)</f>
        <v/>
      </c>
    </row>
    <row r="1138">
      <c r="A1138" s="15" t="inlineStr">
        <is>
          <t>Total volume, mn t</t>
        </is>
      </c>
      <c r="C1138" s="36">
        <f>SUM(C1130:C1137)</f>
        <v/>
      </c>
      <c r="D1138" s="36">
        <f>SUM(D1130:D1137)</f>
        <v/>
      </c>
      <c r="E1138" s="36">
        <f>SUM(E1130:E1137)</f>
        <v/>
      </c>
      <c r="F1138" s="36">
        <f>SUM(F1130:F1137)</f>
        <v/>
      </c>
      <c r="G1138" s="36">
        <f>SUM(G1130:G1137)</f>
        <v/>
      </c>
    </row>
    <row r="1139">
      <c r="A1139" s="15" t="inlineStr">
        <is>
          <t>REVENUE</t>
        </is>
      </c>
      <c r="C1139" s="37">
        <f>C1130*'Segments'!$F$6*C1129+C1131*'Segments'!$F$7*C1129+C1132*'Segments'!$F$8*C1129+C1133*'Segments'!$F$9*C1129+C1134*'Segments'!$F$10*C1129+C1135*'Segments'!$F$11*C1129+C1136*'Segments'!$F$12*C1129+C1137*'Segments'!$F$13*C1129</f>
        <v/>
      </c>
      <c r="D1139" s="37">
        <f>D1130*'Segments'!$F$6*D1129+D1131*'Segments'!$F$7*D1129+D1132*'Segments'!$F$8*D1129+D1133*'Segments'!$F$9*D1129+D1134*'Segments'!$F$10*D1129+D1135*'Segments'!$F$11*D1129+D1136*'Segments'!$F$12*D1129+D1137*'Segments'!$F$13*D1129</f>
        <v/>
      </c>
      <c r="E1139" s="37">
        <f>E1130*'Segments'!$F$6*E1129+E1131*'Segments'!$F$7*E1129+E1132*'Segments'!$F$8*E1129+E1133*'Segments'!$F$9*E1129+E1134*'Segments'!$F$10*E1129+E1135*'Segments'!$F$11*E1129+E1136*'Segments'!$F$12*E1129+E1137*'Segments'!$F$13*E1129</f>
        <v/>
      </c>
      <c r="F1139" s="37">
        <f>F1130*'Segments'!$F$6*F1129+F1131*'Segments'!$F$7*F1129+F1132*'Segments'!$F$8*F1129+F1133*'Segments'!$F$9*F1129+F1134*'Segments'!$F$10*F1129+F1135*'Segments'!$F$11*F1129+F1136*'Segments'!$F$12*F1129+F1137*'Segments'!$F$13*F1129</f>
        <v/>
      </c>
      <c r="G1139" s="37">
        <f>G1130*'Segments'!$F$6*G1129+G1131*'Segments'!$F$7*G1129+G1132*'Segments'!$F$8*G1129+G1133*'Segments'!$F$9*G1129+G1134*'Segments'!$F$10*G1129+G1135*'Segments'!$F$11*G1129+G1136*'Segments'!$F$12*G1129+G1137*'Segments'!$F$13*G1129</f>
        <v/>
      </c>
    </row>
    <row r="1140">
      <c r="A1140" s="7" t="inlineStr">
        <is>
          <t>Cost of sales</t>
        </is>
      </c>
      <c r="C1140" s="18">
        <f>C1130*('Segments'!$D$27*C1129*Assumptions!$B$109+'Segments'!$B$27*(0.4983251709*C1128+0.4357405005*C1128+0.0330936548*C1129+0.0328406739))+C1131*('Segments'!$D$28*C1129*Assumptions!$B$109+'Segments'!$B$28*(0.4983251709*C1128+0.4357405005*C1128+0.0330936548*C1129+0.0328406739))+C1132*('Segments'!$D$29*C1129*Assumptions!$B$109+'Segments'!$B$29*(0.4983251709*C1128+0.4357405005*C1128+0.0330936548*C1129+0.0328406739))+C1133*('Segments'!$D$30*C1129*Assumptions!$B$109+'Segments'!$B$30*(0.4983251709*C1128+0.4357405005*C1128+0.0330936548*C1129+0.0328406739))+C1134*('Segments'!$D$31*C1129*Assumptions!$B$109+'Segments'!$B$31*(0.4983251709*C1128+0.4357405005*C1128+0.0330936548*C1129+0.0328406739))+C1135*('Segments'!$D$32*C1129*Assumptions!$B$109+'Segments'!$B$32*(0.4983251709*C1128+0.4357405005*C1128+0.0330936548*C1129+0.0328406739))+C1136*('Segments'!$D$33*C1129*Assumptions!$B$109+'Segments'!$B$33*(0.4983251709*C1128+0.4357405005*C1128+0.0330936548*C1129+0.0328406739))+C1137*('Segments'!$D$34*C1129*Assumptions!$B$109+'Segments'!$B$34*(0.4983251709*C1128+0.4357405005*C1128+0.0330936548*C1129+0.0328406739))</f>
        <v/>
      </c>
      <c r="D1140" s="18">
        <f>D1130*('Segments'!$D$27*D1129*Assumptions!$B$109+'Segments'!$B$27*(0.4983251709*D1128+0.4357405005*D1128+0.0330936548*D1129+0.0328406739))+D1131*('Segments'!$D$28*D1129*Assumptions!$B$109+'Segments'!$B$28*(0.4983251709*D1128+0.4357405005*D1128+0.0330936548*D1129+0.0328406739))+D1132*('Segments'!$D$29*D1129*Assumptions!$B$109+'Segments'!$B$29*(0.4983251709*D1128+0.4357405005*D1128+0.0330936548*D1129+0.0328406739))+D1133*('Segments'!$D$30*D1129*Assumptions!$B$109+'Segments'!$B$30*(0.4983251709*D1128+0.4357405005*D1128+0.0330936548*D1129+0.0328406739))+D1134*('Segments'!$D$31*D1129*Assumptions!$B$109+'Segments'!$B$31*(0.4983251709*D1128+0.4357405005*D1128+0.0330936548*D1129+0.0328406739))+D1135*('Segments'!$D$32*D1129*Assumptions!$B$109+'Segments'!$B$32*(0.4983251709*D1128+0.4357405005*D1128+0.0330936548*D1129+0.0328406739))+D1136*('Segments'!$D$33*D1129*Assumptions!$B$109+'Segments'!$B$33*(0.4983251709*D1128+0.4357405005*D1128+0.0330936548*D1129+0.0328406739))+D1137*('Segments'!$D$34*D1129*Assumptions!$B$109+'Segments'!$B$34*(0.4983251709*D1128+0.4357405005*D1128+0.0330936548*D1129+0.0328406739))</f>
        <v/>
      </c>
      <c r="E1140" s="18">
        <f>E1130*('Segments'!$D$27*E1129*Assumptions!$B$109+'Segments'!$B$27*(0.4983251709*E1128+0.4357405005*E1128+0.0330936548*E1129+0.0328406739))+E1131*('Segments'!$D$28*E1129*Assumptions!$B$109+'Segments'!$B$28*(0.4983251709*E1128+0.4357405005*E1128+0.0330936548*E1129+0.0328406739))+E1132*('Segments'!$D$29*E1129*Assumptions!$B$109+'Segments'!$B$29*(0.4983251709*E1128+0.4357405005*E1128+0.0330936548*E1129+0.0328406739))+E1133*('Segments'!$D$30*E1129*Assumptions!$B$109+'Segments'!$B$30*(0.4983251709*E1128+0.4357405005*E1128+0.0330936548*E1129+0.0328406739))+E1134*('Segments'!$D$31*E1129*Assumptions!$B$109+'Segments'!$B$31*(0.4983251709*E1128+0.4357405005*E1128+0.0330936548*E1129+0.0328406739))+E1135*('Segments'!$D$32*E1129*Assumptions!$B$109+'Segments'!$B$32*(0.4983251709*E1128+0.4357405005*E1128+0.0330936548*E1129+0.0328406739))+E1136*('Segments'!$D$33*E1129*Assumptions!$B$109+'Segments'!$B$33*(0.4983251709*E1128+0.4357405005*E1128+0.0330936548*E1129+0.0328406739))+E1137*('Segments'!$D$34*E1129*Assumptions!$B$109+'Segments'!$B$34*(0.4983251709*E1128+0.4357405005*E1128+0.0330936548*E1129+0.0328406739))</f>
        <v/>
      </c>
      <c r="F1140" s="18">
        <f>F1130*('Segments'!$D$27*F1129*Assumptions!$B$109+'Segments'!$B$27*(0.4983251709*F1128+0.4357405005*F1128+0.0330936548*F1129+0.0328406739))+F1131*('Segments'!$D$28*F1129*Assumptions!$B$109+'Segments'!$B$28*(0.4983251709*F1128+0.4357405005*F1128+0.0330936548*F1129+0.0328406739))+F1132*('Segments'!$D$29*F1129*Assumptions!$B$109+'Segments'!$B$29*(0.4983251709*F1128+0.4357405005*F1128+0.0330936548*F1129+0.0328406739))+F1133*('Segments'!$D$30*F1129*Assumptions!$B$109+'Segments'!$B$30*(0.4983251709*F1128+0.4357405005*F1128+0.0330936548*F1129+0.0328406739))+F1134*('Segments'!$D$31*F1129*Assumptions!$B$109+'Segments'!$B$31*(0.4983251709*F1128+0.4357405005*F1128+0.0330936548*F1129+0.0328406739))+F1135*('Segments'!$D$32*F1129*Assumptions!$B$109+'Segments'!$B$32*(0.4983251709*F1128+0.4357405005*F1128+0.0330936548*F1129+0.0328406739))+F1136*('Segments'!$D$33*F1129*Assumptions!$B$109+'Segments'!$B$33*(0.4983251709*F1128+0.4357405005*F1128+0.0330936548*F1129+0.0328406739))+F1137*('Segments'!$D$34*F1129*Assumptions!$B$109+'Segments'!$B$34*(0.4983251709*F1128+0.4357405005*F1128+0.0330936548*F1129+0.0328406739))</f>
        <v/>
      </c>
      <c r="G1140" s="18">
        <f>G1130*('Segments'!$D$27*G1129*Assumptions!$B$109+'Segments'!$B$27*(0.4983251709*G1128+0.4357405005*G1128+0.0330936548*G1129+0.0328406739))+G1131*('Segments'!$D$28*G1129*Assumptions!$B$109+'Segments'!$B$28*(0.4983251709*G1128+0.4357405005*G1128+0.0330936548*G1129+0.0328406739))+G1132*('Segments'!$D$29*G1129*Assumptions!$B$109+'Segments'!$B$29*(0.4983251709*G1128+0.4357405005*G1128+0.0330936548*G1129+0.0328406739))+G1133*('Segments'!$D$30*G1129*Assumptions!$B$109+'Segments'!$B$30*(0.4983251709*G1128+0.4357405005*G1128+0.0330936548*G1129+0.0328406739))+G1134*('Segments'!$D$31*G1129*Assumptions!$B$109+'Segments'!$B$31*(0.4983251709*G1128+0.4357405005*G1128+0.0330936548*G1129+0.0328406739))+G1135*('Segments'!$D$32*G1129*Assumptions!$B$109+'Segments'!$B$32*(0.4983251709*G1128+0.4357405005*G1128+0.0330936548*G1129+0.0328406739))+G1136*('Segments'!$D$33*G1129*Assumptions!$B$109+'Segments'!$B$33*(0.4983251709*G1128+0.4357405005*G1128+0.0330936548*G1129+0.0328406739))+G1137*('Segments'!$D$34*G1129*Assumptions!$B$109+'Segments'!$B$34*(0.4983251709*G1128+0.4357405005*G1128+0.0330936548*G1129+0.0328406739))</f>
        <v/>
      </c>
    </row>
    <row r="1141">
      <c r="A1141" s="15" t="inlineStr">
        <is>
          <t>GROSS PROFIT</t>
        </is>
      </c>
      <c r="C1141" s="37">
        <f>C1139-C1140+DCF!$B$7*C1139</f>
        <v/>
      </c>
      <c r="D1141" s="37">
        <f>D1139-D1140+DCF!$B$7*D1139</f>
        <v/>
      </c>
      <c r="E1141" s="37">
        <f>E1139-E1140+DCF!$B$7*E1139</f>
        <v/>
      </c>
      <c r="F1141" s="37">
        <f>F1139-F1140+DCF!$B$7*F1139</f>
        <v/>
      </c>
      <c r="G1141" s="37">
        <f>G1139-G1140+DCF!$B$7*G1139</f>
        <v/>
      </c>
    </row>
    <row r="1142">
      <c r="A1142" s="7" t="inlineStr">
        <is>
          <t>Gross margin</t>
        </is>
      </c>
      <c r="C1142" s="24">
        <f>C1141/C1139</f>
        <v/>
      </c>
      <c r="D1142" s="24">
        <f>D1141/D1139</f>
        <v/>
      </c>
      <c r="E1142" s="24">
        <f>E1141/E1139</f>
        <v/>
      </c>
      <c r="F1142" s="24">
        <f>F1141/F1139</f>
        <v/>
      </c>
      <c r="G1142" s="24">
        <f>G1141/G1139</f>
        <v/>
      </c>
    </row>
    <row r="1143">
      <c r="A1143" s="7" t="inlineStr">
        <is>
          <t>Operating expense</t>
        </is>
      </c>
      <c r="C1143" s="18">
        <f>('Income Statement'!$B$28*C1128)+('Income Statement'!$B$29*C1128*C1138/'Segments'!$E$14)+('Income Statement'!$B$30*C1128)+('Income Statement'!$B$31*C1128)</f>
        <v/>
      </c>
      <c r="D1143" s="18">
        <f>('Income Statement'!$B$28*D1128)+('Income Statement'!$B$29*D1128*D1138/'Segments'!$E$14)+('Income Statement'!$B$30*D1128)+('Income Statement'!$B$31*D1128)</f>
        <v/>
      </c>
      <c r="E1143" s="18">
        <f>('Income Statement'!$B$28*E1128)+('Income Statement'!$B$29*E1128*E1138/'Segments'!$E$14)+('Income Statement'!$B$30*E1128)+('Income Statement'!$B$31*E1128)</f>
        <v/>
      </c>
      <c r="F1143" s="18">
        <f>('Income Statement'!$B$28*F1128)+('Income Statement'!$B$29*F1128*F1138/'Segments'!$E$14)+('Income Statement'!$B$30*F1128)+('Income Statement'!$B$31*F1128)</f>
        <v/>
      </c>
      <c r="G1143" s="18">
        <f>('Income Statement'!$B$28*G1128)+('Income Statement'!$B$29*G1128*G1138/'Segments'!$E$14)+('Income Statement'!$B$30*G1128)+('Income Statement'!$B$31*G1128)</f>
        <v/>
      </c>
    </row>
    <row r="1144">
      <c r="A1144" s="15" t="inlineStr">
        <is>
          <t>EBITDA</t>
        </is>
      </c>
      <c r="C1144" s="37">
        <f>C1141-C1143</f>
        <v/>
      </c>
      <c r="D1144" s="37">
        <f>D1141-D1143</f>
        <v/>
      </c>
      <c r="E1144" s="37">
        <f>E1141-E1143</f>
        <v/>
      </c>
      <c r="F1144" s="37">
        <f>F1141-F1143</f>
        <v/>
      </c>
      <c r="G1144" s="37">
        <f>G1141-G1143</f>
        <v/>
      </c>
    </row>
    <row r="1145">
      <c r="A1145" s="7" t="inlineStr">
        <is>
          <t>Capital expenditure — maintenance + growth</t>
        </is>
      </c>
      <c r="C1145" s="18">
        <f>'Income Statement'!$B$43*C1128+MAX(C1138-'Segments'!$E$14,0)*2100.379938*C1128</f>
        <v/>
      </c>
      <c r="D1145" s="18">
        <f>'Income Statement'!$B$43*D1128+MAX(D1138-C1138,0)*2100.379938*D1128</f>
        <v/>
      </c>
      <c r="E1145" s="18">
        <f>'Income Statement'!$B$43*E1128+MAX(E1138-D1138,0)*2100.379938*E1128</f>
        <v/>
      </c>
      <c r="F1145" s="18">
        <f>'Income Statement'!$B$43*F1128+MAX(F1138-E1138,0)*2100.379938*F1128</f>
        <v/>
      </c>
      <c r="G1145" s="18">
        <f>'Income Statement'!$B$43*G1128+MAX(G1138-F1138,0)*2100.379938*G1128</f>
        <v/>
      </c>
    </row>
    <row r="1146">
      <c r="A1146" s="7" t="inlineStr">
        <is>
          <t>Fixed assets at cost, closing</t>
        </is>
      </c>
      <c r="C1146" s="18">
        <f>(Assumptions!$B$91+Assumptions!$B$92)/10^6+C1145</f>
        <v/>
      </c>
      <c r="D1146" s="18">
        <f>C1146+D1145</f>
        <v/>
      </c>
      <c r="E1146" s="18">
        <f>D1146+E1145</f>
        <v/>
      </c>
      <c r="F1146" s="18">
        <f>E1146+F1145</f>
        <v/>
      </c>
      <c r="G1146" s="18">
        <f>F1146+G1145</f>
        <v/>
      </c>
    </row>
    <row r="1147">
      <c r="A1147" s="7" t="inlineStr">
        <is>
          <t>Depreciation — rolls off the asset register</t>
        </is>
      </c>
      <c r="C1147" s="18">
        <f>(Assumptions!$B$91+Assumptions!$B$92)/10^6/'Income Statement'!$B$42</f>
        <v/>
      </c>
      <c r="D1147" s="18">
        <f>C1146/'Income Statement'!$B$42</f>
        <v/>
      </c>
      <c r="E1147" s="18">
        <f>D1146/'Income Statement'!$B$42</f>
        <v/>
      </c>
      <c r="F1147" s="18">
        <f>E1146/'Income Statement'!$B$42</f>
        <v/>
      </c>
      <c r="G1147" s="18">
        <f>F1146/'Income Statement'!$B$42</f>
        <v/>
      </c>
    </row>
    <row r="1148">
      <c r="A1148" s="7" t="inlineStr">
        <is>
          <t>Fixed assets, net book, closing</t>
        </is>
      </c>
      <c r="C1148" s="18">
        <f>(Assumptions!$B$90+Assumptions!$B$92)/10^6+C1145-C1147</f>
        <v/>
      </c>
      <c r="D1148" s="18">
        <f>C1148+D1145-D1147</f>
        <v/>
      </c>
      <c r="E1148" s="18">
        <f>D1148+E1145-E1147</f>
        <v/>
      </c>
      <c r="F1148" s="18">
        <f>E1148+F1145-F1147</f>
        <v/>
      </c>
      <c r="G1148" s="18">
        <f>F1148+G1145-G1147</f>
        <v/>
      </c>
    </row>
    <row r="1149">
      <c r="A1149" s="15" t="inlineStr">
        <is>
          <t>EBIT</t>
        </is>
      </c>
      <c r="C1149" s="37">
        <f>C1144-C1147</f>
        <v/>
      </c>
      <c r="D1149" s="37">
        <f>D1144-D1147</f>
        <v/>
      </c>
      <c r="E1149" s="37">
        <f>E1144-E1147</f>
        <v/>
      </c>
      <c r="F1149" s="37">
        <f>F1144-F1147</f>
        <v/>
      </c>
      <c r="G1149" s="37">
        <f>G1144-G1147</f>
        <v/>
      </c>
    </row>
    <row r="1150">
      <c r="A1150" s="7" t="inlineStr">
        <is>
          <t>NOPAT before the profit share</t>
        </is>
      </c>
      <c r="C1150" s="18">
        <f>C1149*(1-Assumptions!$B$108)</f>
        <v/>
      </c>
      <c r="D1150" s="18">
        <f>D1149*(1-Assumptions!$B$108)</f>
        <v/>
      </c>
      <c r="E1150" s="18">
        <f>E1149*(1-Assumptions!$B$108)</f>
        <v/>
      </c>
      <c r="F1150" s="18">
        <f>F1149*(1-Assumptions!$B$108)</f>
        <v/>
      </c>
      <c r="G1150" s="18">
        <f>G1149*(1-Assumptions!$B$108)</f>
        <v/>
      </c>
    </row>
    <row r="1151">
      <c r="A1151" s="7" t="inlineStr">
        <is>
          <t xml:space="preserve">  less employees' profit share and board bonuses</t>
        </is>
      </c>
      <c r="C1151" s="18">
        <f>MAX(C1150,0)*'Income Statement'!$B$40</f>
        <v/>
      </c>
      <c r="D1151" s="18">
        <f>MAX(D1150,0)*'Income Statement'!$B$40</f>
        <v/>
      </c>
      <c r="E1151" s="18">
        <f>MAX(E1150,0)*'Income Statement'!$B$40</f>
        <v/>
      </c>
      <c r="F1151" s="18">
        <f>MAX(F1150,0)*'Income Statement'!$B$40</f>
        <v/>
      </c>
      <c r="G1151" s="18">
        <f>MAX(G1150,0)*'Income Statement'!$B$40</f>
        <v/>
      </c>
    </row>
    <row r="1152">
      <c r="A1152" s="15" t="inlineStr">
        <is>
          <t>NOPAT</t>
        </is>
      </c>
      <c r="C1152" s="37">
        <f>C1150-C1151</f>
        <v/>
      </c>
      <c r="D1152" s="37">
        <f>D1150-D1151</f>
        <v/>
      </c>
      <c r="E1152" s="37">
        <f>E1150-E1151</f>
        <v/>
      </c>
      <c r="F1152" s="37">
        <f>F1150-F1151</f>
        <v/>
      </c>
      <c r="G1152" s="37">
        <f>G1150-G1151</f>
        <v/>
      </c>
    </row>
    <row r="1153">
      <c r="A1153" s="7" t="inlineStr">
        <is>
          <t>Net working capital — on days</t>
        </is>
      </c>
      <c r="C1153" s="18">
        <f>'Income Statement'!$B$44*$E$36/365*C1140+'Income Statement'!$B$45*$E$36/365*C1139-'Income Statement'!$B$46*$E$36/365*C1140</f>
        <v/>
      </c>
      <c r="D1153" s="18">
        <f>'Income Statement'!$B$44*$E$36/365*D1140+'Income Statement'!$B$45*$E$36/365*D1139-'Income Statement'!$B$46*$E$36/365*D1140</f>
        <v/>
      </c>
      <c r="E1153" s="18">
        <f>'Income Statement'!$B$44*$E$36/365*E1140+'Income Statement'!$B$45*$E$36/365*E1139-'Income Statement'!$B$46*$E$36/365*E1140</f>
        <v/>
      </c>
      <c r="F1153" s="18">
        <f>'Income Statement'!$B$44*$E$36/365*F1140+'Income Statement'!$B$45*$E$36/365*F1139-'Income Statement'!$B$46*$E$36/365*F1140</f>
        <v/>
      </c>
      <c r="G1153" s="18">
        <f>'Income Statement'!$B$44*$E$36/365*G1140+'Income Statement'!$B$45*$E$36/365*G1139-'Income Statement'!$B$46*$E$36/365*G1140</f>
        <v/>
      </c>
    </row>
    <row r="1154">
      <c r="A1154" s="7" t="inlineStr">
        <is>
          <t xml:space="preserve">  change in working capital</t>
        </is>
      </c>
      <c r="C1154" s="18">
        <f>C1153-('Income Statement'!$B$44/365*'Income Statement'!$B$21+'Income Statement'!$B$45/365*'Income Statement'!$B$19-'Income Statement'!$B$46/365*'Income Statement'!$B$21)</f>
        <v/>
      </c>
      <c r="D1154" s="18">
        <f>D1153-C1153</f>
        <v/>
      </c>
      <c r="E1154" s="18">
        <f>E1153-D1153</f>
        <v/>
      </c>
      <c r="F1154" s="18">
        <f>F1153-E1153</f>
        <v/>
      </c>
      <c r="G1154" s="18">
        <f>G1153-F1153</f>
        <v/>
      </c>
    </row>
    <row r="1155">
      <c r="A1155" s="15" t="inlineStr">
        <is>
          <t>FREE CASH FLOW TO THE FIRM</t>
        </is>
      </c>
      <c r="C1155" s="37">
        <f>C1152+C1147-C1145-C1154</f>
        <v/>
      </c>
      <c r="D1155" s="37">
        <f>D1152+D1147-D1145-D1154</f>
        <v/>
      </c>
      <c r="E1155" s="37">
        <f>E1152+E1147-E1145-E1154</f>
        <v/>
      </c>
      <c r="F1155" s="37">
        <f>F1152+F1147-F1145-F1154</f>
        <v/>
      </c>
      <c r="G1155" s="37">
        <f>G1152+G1147-G1145-G1154</f>
        <v/>
      </c>
    </row>
    <row r="1156">
      <c r="A1156" s="7" t="inlineStr">
        <is>
          <t>Glide fraction</t>
        </is>
      </c>
      <c r="C1156" s="23">
        <f>0.0000000000</f>
        <v/>
      </c>
      <c r="D1156" s="23">
        <f>0.3571428571</f>
        <v/>
      </c>
      <c r="E1156" s="23">
        <f>0.6428571429</f>
        <v/>
      </c>
      <c r="F1156" s="23">
        <f>0.8571428571</f>
        <v/>
      </c>
      <c r="G1156" s="23">
        <f>1.0000000000</f>
        <v/>
      </c>
    </row>
    <row r="1157">
      <c r="A1157" s="7" t="inlineStr">
        <is>
          <t>Forward cost of capital</t>
        </is>
      </c>
      <c r="C1157" s="24">
        <f>DCF!$B$14-(DCF!$B$14-DCF!$B$17)*C1156</f>
        <v/>
      </c>
      <c r="D1157" s="24">
        <f>DCF!$B$14-(DCF!$B$14-DCF!$B$17)*D1156</f>
        <v/>
      </c>
      <c r="E1157" s="24">
        <f>DCF!$B$14-(DCF!$B$14-DCF!$B$17)*E1156</f>
        <v/>
      </c>
      <c r="F1157" s="24">
        <f>DCF!$B$14-(DCF!$B$14-DCF!$B$17)*F1156</f>
        <v/>
      </c>
      <c r="G1157" s="24">
        <f>DCF!$B$14-(DCF!$B$14-DCF!$B$17)*G1156</f>
        <v/>
      </c>
    </row>
    <row r="1158">
      <c r="A1158" s="7" t="inlineStr">
        <is>
          <t>Cumulative discount factor</t>
        </is>
      </c>
      <c r="C1158" s="40">
        <f>1/(1+C1157)</f>
        <v/>
      </c>
      <c r="D1158" s="40">
        <f>C1158/(1+D1157)</f>
        <v/>
      </c>
      <c r="E1158" s="40">
        <f>D1158/(1+E1157)</f>
        <v/>
      </c>
      <c r="F1158" s="40">
        <f>E1158/(1+F1157)</f>
        <v/>
      </c>
      <c r="G1158" s="40">
        <f>F1158/(1+G1157)</f>
        <v/>
      </c>
    </row>
    <row r="1159">
      <c r="A1159" s="7" t="inlineStr">
        <is>
          <t>Present value</t>
        </is>
      </c>
      <c r="C1159" s="18">
        <f>C1155*C1158</f>
        <v/>
      </c>
      <c r="D1159" s="18">
        <f>D1155*D1158</f>
        <v/>
      </c>
      <c r="E1159" s="18">
        <f>E1155*E1158</f>
        <v/>
      </c>
      <c r="F1159" s="18">
        <f>F1155*F1158</f>
        <v/>
      </c>
      <c r="G1159" s="18">
        <f>G1155*G1158</f>
        <v/>
      </c>
    </row>
    <row r="1160">
      <c r="A1160" s="15" t="inlineStr">
        <is>
          <t>PV of the explicit window</t>
        </is>
      </c>
      <c r="B1160" s="37">
        <f>SUM(C1159:G1159)</f>
        <v/>
      </c>
      <c r="C1160" s="18">
        <f>C1153+C1146</f>
        <v/>
      </c>
      <c r="D1160" s="18">
        <f>D1153+D1146</f>
        <v/>
      </c>
      <c r="E1160" s="18">
        <f>E1153+E1146</f>
        <v/>
      </c>
      <c r="F1160" s="18">
        <f>F1153+F1146</f>
        <v/>
      </c>
      <c r="G1160" s="18">
        <f>G1153+G1146</f>
        <v/>
      </c>
    </row>
    <row r="1161">
      <c r="A1161" s="7" t="inlineStr">
        <is>
          <t>Terminal return on invested capital, at REPLACEMENT cost</t>
        </is>
      </c>
      <c r="B1161" s="24">
        <f>G1152*(1+Assumptions!$B$110)/G1160</f>
        <v/>
      </c>
    </row>
    <row r="1162">
      <c r="A1162" s="7" t="inlineStr">
        <is>
          <t>Required reinvestment = growth / return</t>
        </is>
      </c>
      <c r="B1162" s="24">
        <f>MIN(Assumptions!$B$110/B1161,0.95)</f>
        <v/>
      </c>
    </row>
    <row r="1163">
      <c r="A1163" s="7" t="inlineStr">
        <is>
          <t>Terminal value</t>
        </is>
      </c>
      <c r="B1163" s="18">
        <f>G1152*(1+Assumptions!$B$110)*(1-B1162)/MAX(DCF!$B$17-Assumptions!$B$110,0.02)</f>
        <v/>
      </c>
    </row>
    <row r="1164">
      <c r="A1164" s="7" t="inlineStr">
        <is>
          <t>PV of the terminal block</t>
        </is>
      </c>
      <c r="B1164" s="18">
        <f>B1163*G1158</f>
        <v/>
      </c>
    </row>
    <row r="1165">
      <c r="A1165" s="15" t="inlineStr">
        <is>
          <t>ENTERPRISE VALUE</t>
        </is>
      </c>
      <c r="B1165" s="37">
        <f>B1160+B1164</f>
        <v/>
      </c>
    </row>
    <row r="1166">
      <c r="A1166" s="7" t="inlineStr">
        <is>
          <t>plus net cash</t>
        </is>
      </c>
      <c r="B1166" s="18">
        <f>(Assumptions!$B$100-Assumptions!$B$103-Assumptions!$B$104)/10^6</f>
        <v/>
      </c>
    </row>
    <row r="1167">
      <c r="A1167" s="7" t="inlineStr">
        <is>
          <t>Enterprise value including cash</t>
        </is>
      </c>
      <c r="B1167" s="18">
        <f>B1165+B1166</f>
        <v/>
      </c>
    </row>
    <row r="1168">
      <c r="A1168" s="7" t="inlineStr">
        <is>
          <t>less minority — on the WHOLE enterprise, cash included</t>
        </is>
      </c>
      <c r="B1168" s="18">
        <f>B1167*'Income Statement'!$B$41</f>
        <v/>
      </c>
    </row>
    <row r="1169">
      <c r="A1169" s="7" t="inlineStr">
        <is>
          <t>less the tax-disputes provision</t>
        </is>
      </c>
      <c r="B1169" s="18">
        <f>Assumptions!$B$99/10^6</f>
        <v/>
      </c>
    </row>
    <row r="1170">
      <c r="A1170" s="7" t="inlineStr">
        <is>
          <t>less dividends payable — declared, out of working capital</t>
        </is>
      </c>
      <c r="B1170" s="18">
        <f>Assumptions!$B$98/10^6</f>
        <v/>
      </c>
    </row>
    <row r="1171">
      <c r="A1171" s="7" t="inlineStr">
        <is>
          <t>plus non-operating investments and pledged deposits</t>
        </is>
      </c>
      <c r="B1171" s="18">
        <f>(Assumptions!$B$102+Assumptions!$B$101)/10^6</f>
        <v/>
      </c>
    </row>
    <row r="1172">
      <c r="A1172" s="15" t="inlineStr">
        <is>
          <t>EQUITY ATTRIBUTABLE</t>
        </is>
      </c>
      <c r="B1172" s="37">
        <f>B1167-B1168-B1169-B1170+B1171</f>
        <v/>
      </c>
    </row>
    <row r="1173">
      <c r="A1173" s="15" t="inlineStr">
        <is>
          <t>VALUE PER SHARE, EGP</t>
        </is>
      </c>
      <c r="B1173" s="22">
        <f>B1172/Assumptions!$B$8</f>
        <v/>
      </c>
    </row>
    <row r="1176">
      <c r="A1176" s="6" t="inlineStr">
        <is>
          <t>Working-capital cycle, as a multiple of the solved days — 1.25x</t>
        </is>
      </c>
      <c r="B1176" s="6" t="inlineStr">
        <is>
          <t>2026E</t>
        </is>
      </c>
      <c r="C1176" s="6" t="inlineStr">
        <is>
          <t>2027E</t>
        </is>
      </c>
      <c r="D1176" s="6" t="inlineStr">
        <is>
          <t>2028E</t>
        </is>
      </c>
      <c r="E1176" s="6" t="inlineStr">
        <is>
          <t>2029E</t>
        </is>
      </c>
      <c r="F1176" s="6" t="inlineStr">
        <is>
          <t>2030E</t>
        </is>
      </c>
    </row>
    <row r="1177">
      <c r="A1177" s="7" t="inlineStr">
        <is>
          <t>Inflation index, cumulative</t>
        </is>
      </c>
      <c r="C1177" s="23">
        <f>Assumptions!$B$167</f>
        <v/>
      </c>
      <c r="D1177" s="23">
        <f>C1177*Assumptions!$B$168</f>
        <v/>
      </c>
      <c r="E1177" s="23">
        <f>D1177*Assumptions!$B$169</f>
        <v/>
      </c>
      <c r="F1177" s="23">
        <f>E1177*Assumptions!$B$170</f>
        <v/>
      </c>
      <c r="G1177" s="23">
        <f>F1177*Assumptions!$B$171</f>
        <v/>
      </c>
    </row>
    <row r="1178">
      <c r="A1178" s="7" t="inlineStr">
        <is>
          <t>Realisation index, cumulative</t>
        </is>
      </c>
      <c r="C1178" s="23">
        <f>(1+Assumptions!$B$122*DCF!$B$8)</f>
        <v/>
      </c>
      <c r="D1178" s="23">
        <f>C1178*(1+Assumptions!$B$123*DCF!$B$8)</f>
        <v/>
      </c>
      <c r="E1178" s="23">
        <f>D1178*(1+Assumptions!$B$124*DCF!$B$8)</f>
        <v/>
      </c>
      <c r="F1178" s="23">
        <f>E1178*(1+Assumptions!$B$125*DCF!$B$8)</f>
        <v/>
      </c>
      <c r="G1178" s="23">
        <f>F1178*(1+Assumptions!$B$126*DCF!$B$8)</f>
        <v/>
      </c>
    </row>
    <row r="1179">
      <c r="A1179" s="7" t="inlineStr">
        <is>
          <t xml:space="preserve">  Volume — Base and special oils, mn t</t>
        </is>
      </c>
      <c r="C1179" s="23">
        <f>'Segments'!E6*(1+Assumptions!$B$127+DCF!$B$6)</f>
        <v/>
      </c>
      <c r="D1179" s="23">
        <f>C1179*(1+Assumptions!$B$128+DCF!$B$6)</f>
        <v/>
      </c>
      <c r="E1179" s="23">
        <f>D1179*(1+Assumptions!$B$129+DCF!$B$6)</f>
        <v/>
      </c>
      <c r="F1179" s="23">
        <f>E1179*(1+Assumptions!$B$130+DCF!$B$6)</f>
        <v/>
      </c>
      <c r="G1179" s="23">
        <f>F1179*(1+Assumptions!$B$131+DCF!$B$6)</f>
        <v/>
      </c>
    </row>
    <row r="1180">
      <c r="A1180" s="7" t="inlineStr">
        <is>
          <t xml:space="preserve">  Volume — Paraffin wax, mn t</t>
        </is>
      </c>
      <c r="C1180" s="23">
        <f>'Segments'!E7*(1+Assumptions!$B$132+DCF!$B$6)</f>
        <v/>
      </c>
      <c r="D1180" s="23">
        <f>C1180*(1+Assumptions!$B$133+DCF!$B$6)</f>
        <v/>
      </c>
      <c r="E1180" s="23">
        <f>D1180*(1+Assumptions!$B$134+DCF!$B$6)</f>
        <v/>
      </c>
      <c r="F1180" s="23">
        <f>E1180*(1+Assumptions!$B$135+DCF!$B$6)</f>
        <v/>
      </c>
      <c r="G1180" s="23">
        <f>F1180*(1+Assumptions!$B$136+DCF!$B$6)</f>
        <v/>
      </c>
    </row>
    <row r="1181">
      <c r="A1181" s="7" t="inlineStr">
        <is>
          <t xml:space="preserve">  Volume — Gas oil, mn t</t>
        </is>
      </c>
      <c r="C1181" s="23">
        <f>'Segments'!E8*(1+Assumptions!$B$137+DCF!$B$6)</f>
        <v/>
      </c>
      <c r="D1181" s="23">
        <f>C1181*(1+Assumptions!$B$138+DCF!$B$6)</f>
        <v/>
      </c>
      <c r="E1181" s="23">
        <f>D1181*(1+Assumptions!$B$139+DCF!$B$6)</f>
        <v/>
      </c>
      <c r="F1181" s="23">
        <f>E1181*(1+Assumptions!$B$140+DCF!$B$6)</f>
        <v/>
      </c>
      <c r="G1181" s="23">
        <f>F1181*(1+Assumptions!$B$141+DCF!$B$6)</f>
        <v/>
      </c>
    </row>
    <row r="1182">
      <c r="A1182" s="7" t="inlineStr">
        <is>
          <t xml:space="preserve">  Volume — Naphtha, mn t</t>
        </is>
      </c>
      <c r="C1182" s="23">
        <f>'Segments'!E9*(1+Assumptions!$B$142+DCF!$B$6)</f>
        <v/>
      </c>
      <c r="D1182" s="23">
        <f>C1182*(1+Assumptions!$B$143+DCF!$B$6)</f>
        <v/>
      </c>
      <c r="E1182" s="23">
        <f>D1182*(1+Assumptions!$B$144+DCF!$B$6)</f>
        <v/>
      </c>
      <c r="F1182" s="23">
        <f>E1182*(1+Assumptions!$B$145+DCF!$B$6)</f>
        <v/>
      </c>
      <c r="G1182" s="23">
        <f>F1182*(1+Assumptions!$B$146+DCF!$B$6)</f>
        <v/>
      </c>
    </row>
    <row r="1183">
      <c r="A1183" s="7" t="inlineStr">
        <is>
          <t xml:space="preserve">  Volume — Liquefied petroleum gas, mn t</t>
        </is>
      </c>
      <c r="C1183" s="23">
        <f>'Segments'!E10*(1+Assumptions!$B$147+DCF!$B$6)</f>
        <v/>
      </c>
      <c r="D1183" s="23">
        <f>C1183*(1+Assumptions!$B$148+DCF!$B$6)</f>
        <v/>
      </c>
      <c r="E1183" s="23">
        <f>D1183*(1+Assumptions!$B$149+DCF!$B$6)</f>
        <v/>
      </c>
      <c r="F1183" s="23">
        <f>E1183*(1+Assumptions!$B$150+DCF!$B$6)</f>
        <v/>
      </c>
      <c r="G1183" s="23">
        <f>F1183*(1+Assumptions!$B$151+DCF!$B$6)</f>
        <v/>
      </c>
    </row>
    <row r="1184">
      <c r="A1184" s="7" t="inlineStr">
        <is>
          <t xml:space="preserve">  Volume — Fuel oil (mix), mn t</t>
        </is>
      </c>
      <c r="C1184" s="23">
        <f>'Segments'!E11*(1+Assumptions!$B$152+DCF!$B$6)</f>
        <v/>
      </c>
      <c r="D1184" s="23">
        <f>C1184*(1+Assumptions!$B$153+DCF!$B$6)</f>
        <v/>
      </c>
      <c r="E1184" s="23">
        <f>D1184*(1+Assumptions!$B$154+DCF!$B$6)</f>
        <v/>
      </c>
      <c r="F1184" s="23">
        <f>E1184*(1+Assumptions!$B$155+DCF!$B$6)</f>
        <v/>
      </c>
      <c r="G1184" s="23">
        <f>F1184*(1+Assumptions!$B$156+DCF!$B$6)</f>
        <v/>
      </c>
    </row>
    <row r="1185">
      <c r="A1185" s="7" t="inlineStr">
        <is>
          <t xml:space="preserve">  Volume — Heavy fuel oil, mn t</t>
        </is>
      </c>
      <c r="C1185" s="23">
        <f>'Segments'!E12*(1+Assumptions!$B$157+DCF!$B$6)</f>
        <v/>
      </c>
      <c r="D1185" s="23">
        <f>C1185*(1+Assumptions!$B$158+DCF!$B$6)</f>
        <v/>
      </c>
      <c r="E1185" s="23">
        <f>D1185*(1+Assumptions!$B$159+DCF!$B$6)</f>
        <v/>
      </c>
      <c r="F1185" s="23">
        <f>E1185*(1+Assumptions!$B$160+DCF!$B$6)</f>
        <v/>
      </c>
      <c r="G1185" s="23">
        <f>F1185*(1+Assumptions!$B$161+DCF!$B$6)</f>
        <v/>
      </c>
    </row>
    <row r="1186">
      <c r="A1186" s="7" t="inlineStr">
        <is>
          <t xml:space="preserve">  Volume — Waste, mn t</t>
        </is>
      </c>
      <c r="C1186" s="23">
        <f>'Segments'!E13*(1+Assumptions!$B$162+DCF!$B$6)</f>
        <v/>
      </c>
      <c r="D1186" s="23">
        <f>C1186*(1+Assumptions!$B$163+DCF!$B$6)</f>
        <v/>
      </c>
      <c r="E1186" s="23">
        <f>D1186*(1+Assumptions!$B$164+DCF!$B$6)</f>
        <v/>
      </c>
      <c r="F1186" s="23">
        <f>E1186*(1+Assumptions!$B$165+DCF!$B$6)</f>
        <v/>
      </c>
      <c r="G1186" s="23">
        <f>F1186*(1+Assumptions!$B$166+DCF!$B$6)</f>
        <v/>
      </c>
    </row>
    <row r="1187">
      <c r="A1187" s="15" t="inlineStr">
        <is>
          <t>Total volume, mn t</t>
        </is>
      </c>
      <c r="C1187" s="36">
        <f>SUM(C1179:C1186)</f>
        <v/>
      </c>
      <c r="D1187" s="36">
        <f>SUM(D1179:D1186)</f>
        <v/>
      </c>
      <c r="E1187" s="36">
        <f>SUM(E1179:E1186)</f>
        <v/>
      </c>
      <c r="F1187" s="36">
        <f>SUM(F1179:F1186)</f>
        <v/>
      </c>
      <c r="G1187" s="36">
        <f>SUM(G1179:G1186)</f>
        <v/>
      </c>
    </row>
    <row r="1188">
      <c r="A1188" s="15" t="inlineStr">
        <is>
          <t>REVENUE</t>
        </is>
      </c>
      <c r="C1188" s="37">
        <f>C1179*'Segments'!$F$6*C1178+C1180*'Segments'!$F$7*C1178+C1181*'Segments'!$F$8*C1178+C1182*'Segments'!$F$9*C1178+C1183*'Segments'!$F$10*C1178+C1184*'Segments'!$F$11*C1178+C1185*'Segments'!$F$12*C1178+C1186*'Segments'!$F$13*C1178</f>
        <v/>
      </c>
      <c r="D1188" s="37">
        <f>D1179*'Segments'!$F$6*D1178+D1180*'Segments'!$F$7*D1178+D1181*'Segments'!$F$8*D1178+D1182*'Segments'!$F$9*D1178+D1183*'Segments'!$F$10*D1178+D1184*'Segments'!$F$11*D1178+D1185*'Segments'!$F$12*D1178+D1186*'Segments'!$F$13*D1178</f>
        <v/>
      </c>
      <c r="E1188" s="37">
        <f>E1179*'Segments'!$F$6*E1178+E1180*'Segments'!$F$7*E1178+E1181*'Segments'!$F$8*E1178+E1182*'Segments'!$F$9*E1178+E1183*'Segments'!$F$10*E1178+E1184*'Segments'!$F$11*E1178+E1185*'Segments'!$F$12*E1178+E1186*'Segments'!$F$13*E1178</f>
        <v/>
      </c>
      <c r="F1188" s="37">
        <f>F1179*'Segments'!$F$6*F1178+F1180*'Segments'!$F$7*F1178+F1181*'Segments'!$F$8*F1178+F1182*'Segments'!$F$9*F1178+F1183*'Segments'!$F$10*F1178+F1184*'Segments'!$F$11*F1178+F1185*'Segments'!$F$12*F1178+F1186*'Segments'!$F$13*F1178</f>
        <v/>
      </c>
      <c r="G1188" s="37">
        <f>G1179*'Segments'!$F$6*G1178+G1180*'Segments'!$F$7*G1178+G1181*'Segments'!$F$8*G1178+G1182*'Segments'!$F$9*G1178+G1183*'Segments'!$F$10*G1178+G1184*'Segments'!$F$11*G1178+G1185*'Segments'!$F$12*G1178+G1186*'Segments'!$F$13*G1178</f>
        <v/>
      </c>
    </row>
    <row r="1189">
      <c r="A1189" s="7" t="inlineStr">
        <is>
          <t>Cost of sales</t>
        </is>
      </c>
      <c r="C1189" s="18">
        <f>C1179*('Segments'!$D$27*C1178*Assumptions!$B$109+'Segments'!$B$27*(0.4983251709*C1177+0.4357405005*C1177+0.0330936548*C1178+0.0328406739))+C1180*('Segments'!$D$28*C1178*Assumptions!$B$109+'Segments'!$B$28*(0.4983251709*C1177+0.4357405005*C1177+0.0330936548*C1178+0.0328406739))+C1181*('Segments'!$D$29*C1178*Assumptions!$B$109+'Segments'!$B$29*(0.4983251709*C1177+0.4357405005*C1177+0.0330936548*C1178+0.0328406739))+C1182*('Segments'!$D$30*C1178*Assumptions!$B$109+'Segments'!$B$30*(0.4983251709*C1177+0.4357405005*C1177+0.0330936548*C1178+0.0328406739))+C1183*('Segments'!$D$31*C1178*Assumptions!$B$109+'Segments'!$B$31*(0.4983251709*C1177+0.4357405005*C1177+0.0330936548*C1178+0.0328406739))+C1184*('Segments'!$D$32*C1178*Assumptions!$B$109+'Segments'!$B$32*(0.4983251709*C1177+0.4357405005*C1177+0.0330936548*C1178+0.0328406739))+C1185*('Segments'!$D$33*C1178*Assumptions!$B$109+'Segments'!$B$33*(0.4983251709*C1177+0.4357405005*C1177+0.0330936548*C1178+0.0328406739))+C1186*('Segments'!$D$34*C1178*Assumptions!$B$109+'Segments'!$B$34*(0.4983251709*C1177+0.4357405005*C1177+0.0330936548*C1178+0.0328406739))</f>
        <v/>
      </c>
      <c r="D1189" s="18">
        <f>D1179*('Segments'!$D$27*D1178*Assumptions!$B$109+'Segments'!$B$27*(0.4983251709*D1177+0.4357405005*D1177+0.0330936548*D1178+0.0328406739))+D1180*('Segments'!$D$28*D1178*Assumptions!$B$109+'Segments'!$B$28*(0.4983251709*D1177+0.4357405005*D1177+0.0330936548*D1178+0.0328406739))+D1181*('Segments'!$D$29*D1178*Assumptions!$B$109+'Segments'!$B$29*(0.4983251709*D1177+0.4357405005*D1177+0.0330936548*D1178+0.0328406739))+D1182*('Segments'!$D$30*D1178*Assumptions!$B$109+'Segments'!$B$30*(0.4983251709*D1177+0.4357405005*D1177+0.0330936548*D1178+0.0328406739))+D1183*('Segments'!$D$31*D1178*Assumptions!$B$109+'Segments'!$B$31*(0.4983251709*D1177+0.4357405005*D1177+0.0330936548*D1178+0.0328406739))+D1184*('Segments'!$D$32*D1178*Assumptions!$B$109+'Segments'!$B$32*(0.4983251709*D1177+0.4357405005*D1177+0.0330936548*D1178+0.0328406739))+D1185*('Segments'!$D$33*D1178*Assumptions!$B$109+'Segments'!$B$33*(0.4983251709*D1177+0.4357405005*D1177+0.0330936548*D1178+0.0328406739))+D1186*('Segments'!$D$34*D1178*Assumptions!$B$109+'Segments'!$B$34*(0.4983251709*D1177+0.4357405005*D1177+0.0330936548*D1178+0.0328406739))</f>
        <v/>
      </c>
      <c r="E1189" s="18">
        <f>E1179*('Segments'!$D$27*E1178*Assumptions!$B$109+'Segments'!$B$27*(0.4983251709*E1177+0.4357405005*E1177+0.0330936548*E1178+0.0328406739))+E1180*('Segments'!$D$28*E1178*Assumptions!$B$109+'Segments'!$B$28*(0.4983251709*E1177+0.4357405005*E1177+0.0330936548*E1178+0.0328406739))+E1181*('Segments'!$D$29*E1178*Assumptions!$B$109+'Segments'!$B$29*(0.4983251709*E1177+0.4357405005*E1177+0.0330936548*E1178+0.0328406739))+E1182*('Segments'!$D$30*E1178*Assumptions!$B$109+'Segments'!$B$30*(0.4983251709*E1177+0.4357405005*E1177+0.0330936548*E1178+0.0328406739))+E1183*('Segments'!$D$31*E1178*Assumptions!$B$109+'Segments'!$B$31*(0.4983251709*E1177+0.4357405005*E1177+0.0330936548*E1178+0.0328406739))+E1184*('Segments'!$D$32*E1178*Assumptions!$B$109+'Segments'!$B$32*(0.4983251709*E1177+0.4357405005*E1177+0.0330936548*E1178+0.0328406739))+E1185*('Segments'!$D$33*E1178*Assumptions!$B$109+'Segments'!$B$33*(0.4983251709*E1177+0.4357405005*E1177+0.0330936548*E1178+0.0328406739))+E1186*('Segments'!$D$34*E1178*Assumptions!$B$109+'Segments'!$B$34*(0.4983251709*E1177+0.4357405005*E1177+0.0330936548*E1178+0.0328406739))</f>
        <v/>
      </c>
      <c r="F1189" s="18">
        <f>F1179*('Segments'!$D$27*F1178*Assumptions!$B$109+'Segments'!$B$27*(0.4983251709*F1177+0.4357405005*F1177+0.0330936548*F1178+0.0328406739))+F1180*('Segments'!$D$28*F1178*Assumptions!$B$109+'Segments'!$B$28*(0.4983251709*F1177+0.4357405005*F1177+0.0330936548*F1178+0.0328406739))+F1181*('Segments'!$D$29*F1178*Assumptions!$B$109+'Segments'!$B$29*(0.4983251709*F1177+0.4357405005*F1177+0.0330936548*F1178+0.0328406739))+F1182*('Segments'!$D$30*F1178*Assumptions!$B$109+'Segments'!$B$30*(0.4983251709*F1177+0.4357405005*F1177+0.0330936548*F1178+0.0328406739))+F1183*('Segments'!$D$31*F1178*Assumptions!$B$109+'Segments'!$B$31*(0.4983251709*F1177+0.4357405005*F1177+0.0330936548*F1178+0.0328406739))+F1184*('Segments'!$D$32*F1178*Assumptions!$B$109+'Segments'!$B$32*(0.4983251709*F1177+0.4357405005*F1177+0.0330936548*F1178+0.0328406739))+F1185*('Segments'!$D$33*F1178*Assumptions!$B$109+'Segments'!$B$33*(0.4983251709*F1177+0.4357405005*F1177+0.0330936548*F1178+0.0328406739))+F1186*('Segments'!$D$34*F1178*Assumptions!$B$109+'Segments'!$B$34*(0.4983251709*F1177+0.4357405005*F1177+0.0330936548*F1178+0.0328406739))</f>
        <v/>
      </c>
      <c r="G1189" s="18">
        <f>G1179*('Segments'!$D$27*G1178*Assumptions!$B$109+'Segments'!$B$27*(0.4983251709*G1177+0.4357405005*G1177+0.0330936548*G1178+0.0328406739))+G1180*('Segments'!$D$28*G1178*Assumptions!$B$109+'Segments'!$B$28*(0.4983251709*G1177+0.4357405005*G1177+0.0330936548*G1178+0.0328406739))+G1181*('Segments'!$D$29*G1178*Assumptions!$B$109+'Segments'!$B$29*(0.4983251709*G1177+0.4357405005*G1177+0.0330936548*G1178+0.0328406739))+G1182*('Segments'!$D$30*G1178*Assumptions!$B$109+'Segments'!$B$30*(0.4983251709*G1177+0.4357405005*G1177+0.0330936548*G1178+0.0328406739))+G1183*('Segments'!$D$31*G1178*Assumptions!$B$109+'Segments'!$B$31*(0.4983251709*G1177+0.4357405005*G1177+0.0330936548*G1178+0.0328406739))+G1184*('Segments'!$D$32*G1178*Assumptions!$B$109+'Segments'!$B$32*(0.4983251709*G1177+0.4357405005*G1177+0.0330936548*G1178+0.0328406739))+G1185*('Segments'!$D$33*G1178*Assumptions!$B$109+'Segments'!$B$33*(0.4983251709*G1177+0.4357405005*G1177+0.0330936548*G1178+0.0328406739))+G1186*('Segments'!$D$34*G1178*Assumptions!$B$109+'Segments'!$B$34*(0.4983251709*G1177+0.4357405005*G1177+0.0330936548*G1178+0.0328406739))</f>
        <v/>
      </c>
    </row>
    <row r="1190">
      <c r="A1190" s="15" t="inlineStr">
        <is>
          <t>GROSS PROFIT</t>
        </is>
      </c>
      <c r="C1190" s="37">
        <f>C1188-C1189+DCF!$B$7*C1188</f>
        <v/>
      </c>
      <c r="D1190" s="37">
        <f>D1188-D1189+DCF!$B$7*D1188</f>
        <v/>
      </c>
      <c r="E1190" s="37">
        <f>E1188-E1189+DCF!$B$7*E1188</f>
        <v/>
      </c>
      <c r="F1190" s="37">
        <f>F1188-F1189+DCF!$B$7*F1188</f>
        <v/>
      </c>
      <c r="G1190" s="37">
        <f>G1188-G1189+DCF!$B$7*G1188</f>
        <v/>
      </c>
    </row>
    <row r="1191">
      <c r="A1191" s="7" t="inlineStr">
        <is>
          <t>Gross margin</t>
        </is>
      </c>
      <c r="C1191" s="24">
        <f>C1190/C1188</f>
        <v/>
      </c>
      <c r="D1191" s="24">
        <f>D1190/D1188</f>
        <v/>
      </c>
      <c r="E1191" s="24">
        <f>E1190/E1188</f>
        <v/>
      </c>
      <c r="F1191" s="24">
        <f>F1190/F1188</f>
        <v/>
      </c>
      <c r="G1191" s="24">
        <f>G1190/G1188</f>
        <v/>
      </c>
    </row>
    <row r="1192">
      <c r="A1192" s="7" t="inlineStr">
        <is>
          <t>Operating expense</t>
        </is>
      </c>
      <c r="C1192" s="18">
        <f>('Income Statement'!$B$28*C1177)+('Income Statement'!$B$29*C1177*C1187/'Segments'!$E$14)+('Income Statement'!$B$30*C1177)+('Income Statement'!$B$31*C1177)</f>
        <v/>
      </c>
      <c r="D1192" s="18">
        <f>('Income Statement'!$B$28*D1177)+('Income Statement'!$B$29*D1177*D1187/'Segments'!$E$14)+('Income Statement'!$B$30*D1177)+('Income Statement'!$B$31*D1177)</f>
        <v/>
      </c>
      <c r="E1192" s="18">
        <f>('Income Statement'!$B$28*E1177)+('Income Statement'!$B$29*E1177*E1187/'Segments'!$E$14)+('Income Statement'!$B$30*E1177)+('Income Statement'!$B$31*E1177)</f>
        <v/>
      </c>
      <c r="F1192" s="18">
        <f>('Income Statement'!$B$28*F1177)+('Income Statement'!$B$29*F1177*F1187/'Segments'!$E$14)+('Income Statement'!$B$30*F1177)+('Income Statement'!$B$31*F1177)</f>
        <v/>
      </c>
      <c r="G1192" s="18">
        <f>('Income Statement'!$B$28*G1177)+('Income Statement'!$B$29*G1177*G1187/'Segments'!$E$14)+('Income Statement'!$B$30*G1177)+('Income Statement'!$B$31*G1177)</f>
        <v/>
      </c>
    </row>
    <row r="1193">
      <c r="A1193" s="15" t="inlineStr">
        <is>
          <t>EBITDA</t>
        </is>
      </c>
      <c r="C1193" s="37">
        <f>C1190-C1192</f>
        <v/>
      </c>
      <c r="D1193" s="37">
        <f>D1190-D1192</f>
        <v/>
      </c>
      <c r="E1193" s="37">
        <f>E1190-E1192</f>
        <v/>
      </c>
      <c r="F1193" s="37">
        <f>F1190-F1192</f>
        <v/>
      </c>
      <c r="G1193" s="37">
        <f>G1190-G1192</f>
        <v/>
      </c>
    </row>
    <row r="1194">
      <c r="A1194" s="7" t="inlineStr">
        <is>
          <t>Capital expenditure — maintenance + growth</t>
        </is>
      </c>
      <c r="C1194" s="18">
        <f>'Income Statement'!$B$43*C1177+MAX(C1187-'Segments'!$E$14,0)*2100.379938*C1177</f>
        <v/>
      </c>
      <c r="D1194" s="18">
        <f>'Income Statement'!$B$43*D1177+MAX(D1187-C1187,0)*2100.379938*D1177</f>
        <v/>
      </c>
      <c r="E1194" s="18">
        <f>'Income Statement'!$B$43*E1177+MAX(E1187-D1187,0)*2100.379938*E1177</f>
        <v/>
      </c>
      <c r="F1194" s="18">
        <f>'Income Statement'!$B$43*F1177+MAX(F1187-E1187,0)*2100.379938*F1177</f>
        <v/>
      </c>
      <c r="G1194" s="18">
        <f>'Income Statement'!$B$43*G1177+MAX(G1187-F1187,0)*2100.379938*G1177</f>
        <v/>
      </c>
    </row>
    <row r="1195">
      <c r="A1195" s="7" t="inlineStr">
        <is>
          <t>Fixed assets at cost, closing</t>
        </is>
      </c>
      <c r="C1195" s="18">
        <f>(Assumptions!$B$91+Assumptions!$B$92)/10^6+C1194</f>
        <v/>
      </c>
      <c r="D1195" s="18">
        <f>C1195+D1194</f>
        <v/>
      </c>
      <c r="E1195" s="18">
        <f>D1195+E1194</f>
        <v/>
      </c>
      <c r="F1195" s="18">
        <f>E1195+F1194</f>
        <v/>
      </c>
      <c r="G1195" s="18">
        <f>F1195+G1194</f>
        <v/>
      </c>
    </row>
    <row r="1196">
      <c r="A1196" s="7" t="inlineStr">
        <is>
          <t>Depreciation — rolls off the asset register</t>
        </is>
      </c>
      <c r="C1196" s="18">
        <f>(Assumptions!$B$91+Assumptions!$B$92)/10^6/'Income Statement'!$B$42</f>
        <v/>
      </c>
      <c r="D1196" s="18">
        <f>C1195/'Income Statement'!$B$42</f>
        <v/>
      </c>
      <c r="E1196" s="18">
        <f>D1195/'Income Statement'!$B$42</f>
        <v/>
      </c>
      <c r="F1196" s="18">
        <f>E1195/'Income Statement'!$B$42</f>
        <v/>
      </c>
      <c r="G1196" s="18">
        <f>F1195/'Income Statement'!$B$42</f>
        <v/>
      </c>
    </row>
    <row r="1197">
      <c r="A1197" s="7" t="inlineStr">
        <is>
          <t>Fixed assets, net book, closing</t>
        </is>
      </c>
      <c r="C1197" s="18">
        <f>(Assumptions!$B$90+Assumptions!$B$92)/10^6+C1194-C1196</f>
        <v/>
      </c>
      <c r="D1197" s="18">
        <f>C1197+D1194-D1196</f>
        <v/>
      </c>
      <c r="E1197" s="18">
        <f>D1197+E1194-E1196</f>
        <v/>
      </c>
      <c r="F1197" s="18">
        <f>E1197+F1194-F1196</f>
        <v/>
      </c>
      <c r="G1197" s="18">
        <f>F1197+G1194-G1196</f>
        <v/>
      </c>
    </row>
    <row r="1198">
      <c r="A1198" s="15" t="inlineStr">
        <is>
          <t>EBIT</t>
        </is>
      </c>
      <c r="C1198" s="37">
        <f>C1193-C1196</f>
        <v/>
      </c>
      <c r="D1198" s="37">
        <f>D1193-D1196</f>
        <v/>
      </c>
      <c r="E1198" s="37">
        <f>E1193-E1196</f>
        <v/>
      </c>
      <c r="F1198" s="37">
        <f>F1193-F1196</f>
        <v/>
      </c>
      <c r="G1198" s="37">
        <f>G1193-G1196</f>
        <v/>
      </c>
    </row>
    <row r="1199">
      <c r="A1199" s="7" t="inlineStr">
        <is>
          <t>NOPAT before the profit share</t>
        </is>
      </c>
      <c r="C1199" s="18">
        <f>C1198*(1-Assumptions!$B$108)</f>
        <v/>
      </c>
      <c r="D1199" s="18">
        <f>D1198*(1-Assumptions!$B$108)</f>
        <v/>
      </c>
      <c r="E1199" s="18">
        <f>E1198*(1-Assumptions!$B$108)</f>
        <v/>
      </c>
      <c r="F1199" s="18">
        <f>F1198*(1-Assumptions!$B$108)</f>
        <v/>
      </c>
      <c r="G1199" s="18">
        <f>G1198*(1-Assumptions!$B$108)</f>
        <v/>
      </c>
    </row>
    <row r="1200">
      <c r="A1200" s="7" t="inlineStr">
        <is>
          <t xml:space="preserve">  less employees' profit share and board bonuses</t>
        </is>
      </c>
      <c r="C1200" s="18">
        <f>MAX(C1199,0)*'Income Statement'!$B$40</f>
        <v/>
      </c>
      <c r="D1200" s="18">
        <f>MAX(D1199,0)*'Income Statement'!$B$40</f>
        <v/>
      </c>
      <c r="E1200" s="18">
        <f>MAX(E1199,0)*'Income Statement'!$B$40</f>
        <v/>
      </c>
      <c r="F1200" s="18">
        <f>MAX(F1199,0)*'Income Statement'!$B$40</f>
        <v/>
      </c>
      <c r="G1200" s="18">
        <f>MAX(G1199,0)*'Income Statement'!$B$40</f>
        <v/>
      </c>
    </row>
    <row r="1201">
      <c r="A1201" s="15" t="inlineStr">
        <is>
          <t>NOPAT</t>
        </is>
      </c>
      <c r="C1201" s="37">
        <f>C1199-C1200</f>
        <v/>
      </c>
      <c r="D1201" s="37">
        <f>D1199-D1200</f>
        <v/>
      </c>
      <c r="E1201" s="37">
        <f>E1199-E1200</f>
        <v/>
      </c>
      <c r="F1201" s="37">
        <f>F1199-F1200</f>
        <v/>
      </c>
      <c r="G1201" s="37">
        <f>G1199-G1200</f>
        <v/>
      </c>
    </row>
    <row r="1202">
      <c r="A1202" s="7" t="inlineStr">
        <is>
          <t>Net working capital — on days</t>
        </is>
      </c>
      <c r="C1202" s="18">
        <f>'Income Statement'!$B$44*$E$37/365*C1189+'Income Statement'!$B$45*$E$37/365*C1188-'Income Statement'!$B$46*$E$37/365*C1189</f>
        <v/>
      </c>
      <c r="D1202" s="18">
        <f>'Income Statement'!$B$44*$E$37/365*D1189+'Income Statement'!$B$45*$E$37/365*D1188-'Income Statement'!$B$46*$E$37/365*D1189</f>
        <v/>
      </c>
      <c r="E1202" s="18">
        <f>'Income Statement'!$B$44*$E$37/365*E1189+'Income Statement'!$B$45*$E$37/365*E1188-'Income Statement'!$B$46*$E$37/365*E1189</f>
        <v/>
      </c>
      <c r="F1202" s="18">
        <f>'Income Statement'!$B$44*$E$37/365*F1189+'Income Statement'!$B$45*$E$37/365*F1188-'Income Statement'!$B$46*$E$37/365*F1189</f>
        <v/>
      </c>
      <c r="G1202" s="18">
        <f>'Income Statement'!$B$44*$E$37/365*G1189+'Income Statement'!$B$45*$E$37/365*G1188-'Income Statement'!$B$46*$E$37/365*G1189</f>
        <v/>
      </c>
    </row>
    <row r="1203">
      <c r="A1203" s="7" t="inlineStr">
        <is>
          <t xml:space="preserve">  change in working capital</t>
        </is>
      </c>
      <c r="C1203" s="18">
        <f>C1202-('Income Statement'!$B$44/365*'Income Statement'!$B$21+'Income Statement'!$B$45/365*'Income Statement'!$B$19-'Income Statement'!$B$46/365*'Income Statement'!$B$21)</f>
        <v/>
      </c>
      <c r="D1203" s="18">
        <f>D1202-C1202</f>
        <v/>
      </c>
      <c r="E1203" s="18">
        <f>E1202-D1202</f>
        <v/>
      </c>
      <c r="F1203" s="18">
        <f>F1202-E1202</f>
        <v/>
      </c>
      <c r="G1203" s="18">
        <f>G1202-F1202</f>
        <v/>
      </c>
    </row>
    <row r="1204">
      <c r="A1204" s="15" t="inlineStr">
        <is>
          <t>FREE CASH FLOW TO THE FIRM</t>
        </is>
      </c>
      <c r="C1204" s="37">
        <f>C1201+C1196-C1194-C1203</f>
        <v/>
      </c>
      <c r="D1204" s="37">
        <f>D1201+D1196-D1194-D1203</f>
        <v/>
      </c>
      <c r="E1204" s="37">
        <f>E1201+E1196-E1194-E1203</f>
        <v/>
      </c>
      <c r="F1204" s="37">
        <f>F1201+F1196-F1194-F1203</f>
        <v/>
      </c>
      <c r="G1204" s="37">
        <f>G1201+G1196-G1194-G1203</f>
        <v/>
      </c>
    </row>
    <row r="1205">
      <c r="A1205" s="7" t="inlineStr">
        <is>
          <t>Glide fraction</t>
        </is>
      </c>
      <c r="C1205" s="23">
        <f>0.0000000000</f>
        <v/>
      </c>
      <c r="D1205" s="23">
        <f>0.3571428571</f>
        <v/>
      </c>
      <c r="E1205" s="23">
        <f>0.6428571429</f>
        <v/>
      </c>
      <c r="F1205" s="23">
        <f>0.8571428571</f>
        <v/>
      </c>
      <c r="G1205" s="23">
        <f>1.0000000000</f>
        <v/>
      </c>
    </row>
    <row r="1206">
      <c r="A1206" s="7" t="inlineStr">
        <is>
          <t>Forward cost of capital</t>
        </is>
      </c>
      <c r="C1206" s="24">
        <f>DCF!$B$14-(DCF!$B$14-DCF!$B$17)*C1205</f>
        <v/>
      </c>
      <c r="D1206" s="24">
        <f>DCF!$B$14-(DCF!$B$14-DCF!$B$17)*D1205</f>
        <v/>
      </c>
      <c r="E1206" s="24">
        <f>DCF!$B$14-(DCF!$B$14-DCF!$B$17)*E1205</f>
        <v/>
      </c>
      <c r="F1206" s="24">
        <f>DCF!$B$14-(DCF!$B$14-DCF!$B$17)*F1205</f>
        <v/>
      </c>
      <c r="G1206" s="24">
        <f>DCF!$B$14-(DCF!$B$14-DCF!$B$17)*G1205</f>
        <v/>
      </c>
    </row>
    <row r="1207">
      <c r="A1207" s="7" t="inlineStr">
        <is>
          <t>Cumulative discount factor</t>
        </is>
      </c>
      <c r="C1207" s="40">
        <f>1/(1+C1206)</f>
        <v/>
      </c>
      <c r="D1207" s="40">
        <f>C1207/(1+D1206)</f>
        <v/>
      </c>
      <c r="E1207" s="40">
        <f>D1207/(1+E1206)</f>
        <v/>
      </c>
      <c r="F1207" s="40">
        <f>E1207/(1+F1206)</f>
        <v/>
      </c>
      <c r="G1207" s="40">
        <f>F1207/(1+G1206)</f>
        <v/>
      </c>
    </row>
    <row r="1208">
      <c r="A1208" s="7" t="inlineStr">
        <is>
          <t>Present value</t>
        </is>
      </c>
      <c r="C1208" s="18">
        <f>C1204*C1207</f>
        <v/>
      </c>
      <c r="D1208" s="18">
        <f>D1204*D1207</f>
        <v/>
      </c>
      <c r="E1208" s="18">
        <f>E1204*E1207</f>
        <v/>
      </c>
      <c r="F1208" s="18">
        <f>F1204*F1207</f>
        <v/>
      </c>
      <c r="G1208" s="18">
        <f>G1204*G1207</f>
        <v/>
      </c>
    </row>
    <row r="1209">
      <c r="A1209" s="15" t="inlineStr">
        <is>
          <t>PV of the explicit window</t>
        </is>
      </c>
      <c r="B1209" s="37">
        <f>SUM(C1208:G1208)</f>
        <v/>
      </c>
      <c r="C1209" s="18">
        <f>C1202+C1195</f>
        <v/>
      </c>
      <c r="D1209" s="18">
        <f>D1202+D1195</f>
        <v/>
      </c>
      <c r="E1209" s="18">
        <f>E1202+E1195</f>
        <v/>
      </c>
      <c r="F1209" s="18">
        <f>F1202+F1195</f>
        <v/>
      </c>
      <c r="G1209" s="18">
        <f>G1202+G1195</f>
        <v/>
      </c>
    </row>
    <row r="1210">
      <c r="A1210" s="7" t="inlineStr">
        <is>
          <t>Terminal return on invested capital, at REPLACEMENT cost</t>
        </is>
      </c>
      <c r="B1210" s="24">
        <f>G1201*(1+Assumptions!$B$110)/G1209</f>
        <v/>
      </c>
    </row>
    <row r="1211">
      <c r="A1211" s="7" t="inlineStr">
        <is>
          <t>Required reinvestment = growth / return</t>
        </is>
      </c>
      <c r="B1211" s="24">
        <f>MIN(Assumptions!$B$110/B1210,0.95)</f>
        <v/>
      </c>
    </row>
    <row r="1212">
      <c r="A1212" s="7" t="inlineStr">
        <is>
          <t>Terminal value</t>
        </is>
      </c>
      <c r="B1212" s="18">
        <f>G1201*(1+Assumptions!$B$110)*(1-B1211)/MAX(DCF!$B$17-Assumptions!$B$110,0.02)</f>
        <v/>
      </c>
    </row>
    <row r="1213">
      <c r="A1213" s="7" t="inlineStr">
        <is>
          <t>PV of the terminal block</t>
        </is>
      </c>
      <c r="B1213" s="18">
        <f>B1212*G1207</f>
        <v/>
      </c>
    </row>
    <row r="1214">
      <c r="A1214" s="15" t="inlineStr">
        <is>
          <t>ENTERPRISE VALUE</t>
        </is>
      </c>
      <c r="B1214" s="37">
        <f>B1209+B1213</f>
        <v/>
      </c>
    </row>
    <row r="1215">
      <c r="A1215" s="7" t="inlineStr">
        <is>
          <t>plus net cash</t>
        </is>
      </c>
      <c r="B1215" s="18">
        <f>(Assumptions!$B$100-Assumptions!$B$103-Assumptions!$B$104)/10^6</f>
        <v/>
      </c>
    </row>
    <row r="1216">
      <c r="A1216" s="7" t="inlineStr">
        <is>
          <t>Enterprise value including cash</t>
        </is>
      </c>
      <c r="B1216" s="18">
        <f>B1214+B1215</f>
        <v/>
      </c>
    </row>
    <row r="1217">
      <c r="A1217" s="7" t="inlineStr">
        <is>
          <t>less minority — on the WHOLE enterprise, cash included</t>
        </is>
      </c>
      <c r="B1217" s="18">
        <f>B1216*'Income Statement'!$B$41</f>
        <v/>
      </c>
    </row>
    <row r="1218">
      <c r="A1218" s="7" t="inlineStr">
        <is>
          <t>less the tax-disputes provision</t>
        </is>
      </c>
      <c r="B1218" s="18">
        <f>Assumptions!$B$99/10^6</f>
        <v/>
      </c>
    </row>
    <row r="1219">
      <c r="A1219" s="7" t="inlineStr">
        <is>
          <t>less dividends payable — declared, out of working capital</t>
        </is>
      </c>
      <c r="B1219" s="18">
        <f>Assumptions!$B$98/10^6</f>
        <v/>
      </c>
    </row>
    <row r="1220">
      <c r="A1220" s="7" t="inlineStr">
        <is>
          <t>plus non-operating investments and pledged deposits</t>
        </is>
      </c>
      <c r="B1220" s="18">
        <f>(Assumptions!$B$102+Assumptions!$B$101)/10^6</f>
        <v/>
      </c>
    </row>
    <row r="1221">
      <c r="A1221" s="15" t="inlineStr">
        <is>
          <t>EQUITY ATTRIBUTABLE</t>
        </is>
      </c>
      <c r="B1221" s="37">
        <f>B1216-B1217-B1218-B1219+B1220</f>
        <v/>
      </c>
    </row>
    <row r="1222">
      <c r="A1222" s="15" t="inlineStr">
        <is>
          <t>VALUE PER SHARE, EGP</t>
        </is>
      </c>
      <c r="B1222" s="22">
        <f>B1221/Assumptions!$B$8</f>
        <v/>
      </c>
    </row>
    <row r="1225">
      <c r="A1225" s="6" t="inlineStr">
        <is>
          <t>Working-capital cycle, as a multiple of the solved days — 1.50x</t>
        </is>
      </c>
      <c r="B1225" s="6" t="inlineStr">
        <is>
          <t>2026E</t>
        </is>
      </c>
      <c r="C1225" s="6" t="inlineStr">
        <is>
          <t>2027E</t>
        </is>
      </c>
      <c r="D1225" s="6" t="inlineStr">
        <is>
          <t>2028E</t>
        </is>
      </c>
      <c r="E1225" s="6" t="inlineStr">
        <is>
          <t>2029E</t>
        </is>
      </c>
      <c r="F1225" s="6" t="inlineStr">
        <is>
          <t>2030E</t>
        </is>
      </c>
    </row>
    <row r="1226">
      <c r="A1226" s="7" t="inlineStr">
        <is>
          <t>Inflation index, cumulative</t>
        </is>
      </c>
      <c r="C1226" s="23">
        <f>Assumptions!$B$167</f>
        <v/>
      </c>
      <c r="D1226" s="23">
        <f>C1226*Assumptions!$B$168</f>
        <v/>
      </c>
      <c r="E1226" s="23">
        <f>D1226*Assumptions!$B$169</f>
        <v/>
      </c>
      <c r="F1226" s="23">
        <f>E1226*Assumptions!$B$170</f>
        <v/>
      </c>
      <c r="G1226" s="23">
        <f>F1226*Assumptions!$B$171</f>
        <v/>
      </c>
    </row>
    <row r="1227">
      <c r="A1227" s="7" t="inlineStr">
        <is>
          <t>Realisation index, cumulative</t>
        </is>
      </c>
      <c r="C1227" s="23">
        <f>(1+Assumptions!$B$122*DCF!$B$8)</f>
        <v/>
      </c>
      <c r="D1227" s="23">
        <f>C1227*(1+Assumptions!$B$123*DCF!$B$8)</f>
        <v/>
      </c>
      <c r="E1227" s="23">
        <f>D1227*(1+Assumptions!$B$124*DCF!$B$8)</f>
        <v/>
      </c>
      <c r="F1227" s="23">
        <f>E1227*(1+Assumptions!$B$125*DCF!$B$8)</f>
        <v/>
      </c>
      <c r="G1227" s="23">
        <f>F1227*(1+Assumptions!$B$126*DCF!$B$8)</f>
        <v/>
      </c>
    </row>
    <row r="1228">
      <c r="A1228" s="7" t="inlineStr">
        <is>
          <t xml:space="preserve">  Volume — Base and special oils, mn t</t>
        </is>
      </c>
      <c r="C1228" s="23">
        <f>'Segments'!E6*(1+Assumptions!$B$127+DCF!$B$6)</f>
        <v/>
      </c>
      <c r="D1228" s="23">
        <f>C1228*(1+Assumptions!$B$128+DCF!$B$6)</f>
        <v/>
      </c>
      <c r="E1228" s="23">
        <f>D1228*(1+Assumptions!$B$129+DCF!$B$6)</f>
        <v/>
      </c>
      <c r="F1228" s="23">
        <f>E1228*(1+Assumptions!$B$130+DCF!$B$6)</f>
        <v/>
      </c>
      <c r="G1228" s="23">
        <f>F1228*(1+Assumptions!$B$131+DCF!$B$6)</f>
        <v/>
      </c>
    </row>
    <row r="1229">
      <c r="A1229" s="7" t="inlineStr">
        <is>
          <t xml:space="preserve">  Volume — Paraffin wax, mn t</t>
        </is>
      </c>
      <c r="C1229" s="23">
        <f>'Segments'!E7*(1+Assumptions!$B$132+DCF!$B$6)</f>
        <v/>
      </c>
      <c r="D1229" s="23">
        <f>C1229*(1+Assumptions!$B$133+DCF!$B$6)</f>
        <v/>
      </c>
      <c r="E1229" s="23">
        <f>D1229*(1+Assumptions!$B$134+DCF!$B$6)</f>
        <v/>
      </c>
      <c r="F1229" s="23">
        <f>E1229*(1+Assumptions!$B$135+DCF!$B$6)</f>
        <v/>
      </c>
      <c r="G1229" s="23">
        <f>F1229*(1+Assumptions!$B$136+DCF!$B$6)</f>
        <v/>
      </c>
    </row>
    <row r="1230">
      <c r="A1230" s="7" t="inlineStr">
        <is>
          <t xml:space="preserve">  Volume — Gas oil, mn t</t>
        </is>
      </c>
      <c r="C1230" s="23">
        <f>'Segments'!E8*(1+Assumptions!$B$137+DCF!$B$6)</f>
        <v/>
      </c>
      <c r="D1230" s="23">
        <f>C1230*(1+Assumptions!$B$138+DCF!$B$6)</f>
        <v/>
      </c>
      <c r="E1230" s="23">
        <f>D1230*(1+Assumptions!$B$139+DCF!$B$6)</f>
        <v/>
      </c>
      <c r="F1230" s="23">
        <f>E1230*(1+Assumptions!$B$140+DCF!$B$6)</f>
        <v/>
      </c>
      <c r="G1230" s="23">
        <f>F1230*(1+Assumptions!$B$141+DCF!$B$6)</f>
        <v/>
      </c>
    </row>
    <row r="1231">
      <c r="A1231" s="7" t="inlineStr">
        <is>
          <t xml:space="preserve">  Volume — Naphtha, mn t</t>
        </is>
      </c>
      <c r="C1231" s="23">
        <f>'Segments'!E9*(1+Assumptions!$B$142+DCF!$B$6)</f>
        <v/>
      </c>
      <c r="D1231" s="23">
        <f>C1231*(1+Assumptions!$B$143+DCF!$B$6)</f>
        <v/>
      </c>
      <c r="E1231" s="23">
        <f>D1231*(1+Assumptions!$B$144+DCF!$B$6)</f>
        <v/>
      </c>
      <c r="F1231" s="23">
        <f>E1231*(1+Assumptions!$B$145+DCF!$B$6)</f>
        <v/>
      </c>
      <c r="G1231" s="23">
        <f>F1231*(1+Assumptions!$B$146+DCF!$B$6)</f>
        <v/>
      </c>
    </row>
    <row r="1232">
      <c r="A1232" s="7" t="inlineStr">
        <is>
          <t xml:space="preserve">  Volume — Liquefied petroleum gas, mn t</t>
        </is>
      </c>
      <c r="C1232" s="23">
        <f>'Segments'!E10*(1+Assumptions!$B$147+DCF!$B$6)</f>
        <v/>
      </c>
      <c r="D1232" s="23">
        <f>C1232*(1+Assumptions!$B$148+DCF!$B$6)</f>
        <v/>
      </c>
      <c r="E1232" s="23">
        <f>D1232*(1+Assumptions!$B$149+DCF!$B$6)</f>
        <v/>
      </c>
      <c r="F1232" s="23">
        <f>E1232*(1+Assumptions!$B$150+DCF!$B$6)</f>
        <v/>
      </c>
      <c r="G1232" s="23">
        <f>F1232*(1+Assumptions!$B$151+DCF!$B$6)</f>
        <v/>
      </c>
    </row>
    <row r="1233">
      <c r="A1233" s="7" t="inlineStr">
        <is>
          <t xml:space="preserve">  Volume — Fuel oil (mix), mn t</t>
        </is>
      </c>
      <c r="C1233" s="23">
        <f>'Segments'!E11*(1+Assumptions!$B$152+DCF!$B$6)</f>
        <v/>
      </c>
      <c r="D1233" s="23">
        <f>C1233*(1+Assumptions!$B$153+DCF!$B$6)</f>
        <v/>
      </c>
      <c r="E1233" s="23">
        <f>D1233*(1+Assumptions!$B$154+DCF!$B$6)</f>
        <v/>
      </c>
      <c r="F1233" s="23">
        <f>E1233*(1+Assumptions!$B$155+DCF!$B$6)</f>
        <v/>
      </c>
      <c r="G1233" s="23">
        <f>F1233*(1+Assumptions!$B$156+DCF!$B$6)</f>
        <v/>
      </c>
    </row>
    <row r="1234">
      <c r="A1234" s="7" t="inlineStr">
        <is>
          <t xml:space="preserve">  Volume — Heavy fuel oil, mn t</t>
        </is>
      </c>
      <c r="C1234" s="23">
        <f>'Segments'!E12*(1+Assumptions!$B$157+DCF!$B$6)</f>
        <v/>
      </c>
      <c r="D1234" s="23">
        <f>C1234*(1+Assumptions!$B$158+DCF!$B$6)</f>
        <v/>
      </c>
      <c r="E1234" s="23">
        <f>D1234*(1+Assumptions!$B$159+DCF!$B$6)</f>
        <v/>
      </c>
      <c r="F1234" s="23">
        <f>E1234*(1+Assumptions!$B$160+DCF!$B$6)</f>
        <v/>
      </c>
      <c r="G1234" s="23">
        <f>F1234*(1+Assumptions!$B$161+DCF!$B$6)</f>
        <v/>
      </c>
    </row>
    <row r="1235">
      <c r="A1235" s="7" t="inlineStr">
        <is>
          <t xml:space="preserve">  Volume — Waste, mn t</t>
        </is>
      </c>
      <c r="C1235" s="23">
        <f>'Segments'!E13*(1+Assumptions!$B$162+DCF!$B$6)</f>
        <v/>
      </c>
      <c r="D1235" s="23">
        <f>C1235*(1+Assumptions!$B$163+DCF!$B$6)</f>
        <v/>
      </c>
      <c r="E1235" s="23">
        <f>D1235*(1+Assumptions!$B$164+DCF!$B$6)</f>
        <v/>
      </c>
      <c r="F1235" s="23">
        <f>E1235*(1+Assumptions!$B$165+DCF!$B$6)</f>
        <v/>
      </c>
      <c r="G1235" s="23">
        <f>F1235*(1+Assumptions!$B$166+DCF!$B$6)</f>
        <v/>
      </c>
    </row>
    <row r="1236">
      <c r="A1236" s="15" t="inlineStr">
        <is>
          <t>Total volume, mn t</t>
        </is>
      </c>
      <c r="C1236" s="36">
        <f>SUM(C1228:C1235)</f>
        <v/>
      </c>
      <c r="D1236" s="36">
        <f>SUM(D1228:D1235)</f>
        <v/>
      </c>
      <c r="E1236" s="36">
        <f>SUM(E1228:E1235)</f>
        <v/>
      </c>
      <c r="F1236" s="36">
        <f>SUM(F1228:F1235)</f>
        <v/>
      </c>
      <c r="G1236" s="36">
        <f>SUM(G1228:G1235)</f>
        <v/>
      </c>
    </row>
    <row r="1237">
      <c r="A1237" s="15" t="inlineStr">
        <is>
          <t>REVENUE</t>
        </is>
      </c>
      <c r="C1237" s="37">
        <f>C1228*'Segments'!$F$6*C1227+C1229*'Segments'!$F$7*C1227+C1230*'Segments'!$F$8*C1227+C1231*'Segments'!$F$9*C1227+C1232*'Segments'!$F$10*C1227+C1233*'Segments'!$F$11*C1227+C1234*'Segments'!$F$12*C1227+C1235*'Segments'!$F$13*C1227</f>
        <v/>
      </c>
      <c r="D1237" s="37">
        <f>D1228*'Segments'!$F$6*D1227+D1229*'Segments'!$F$7*D1227+D1230*'Segments'!$F$8*D1227+D1231*'Segments'!$F$9*D1227+D1232*'Segments'!$F$10*D1227+D1233*'Segments'!$F$11*D1227+D1234*'Segments'!$F$12*D1227+D1235*'Segments'!$F$13*D1227</f>
        <v/>
      </c>
      <c r="E1237" s="37">
        <f>E1228*'Segments'!$F$6*E1227+E1229*'Segments'!$F$7*E1227+E1230*'Segments'!$F$8*E1227+E1231*'Segments'!$F$9*E1227+E1232*'Segments'!$F$10*E1227+E1233*'Segments'!$F$11*E1227+E1234*'Segments'!$F$12*E1227+E1235*'Segments'!$F$13*E1227</f>
        <v/>
      </c>
      <c r="F1237" s="37">
        <f>F1228*'Segments'!$F$6*F1227+F1229*'Segments'!$F$7*F1227+F1230*'Segments'!$F$8*F1227+F1231*'Segments'!$F$9*F1227+F1232*'Segments'!$F$10*F1227+F1233*'Segments'!$F$11*F1227+F1234*'Segments'!$F$12*F1227+F1235*'Segments'!$F$13*F1227</f>
        <v/>
      </c>
      <c r="G1237" s="37">
        <f>G1228*'Segments'!$F$6*G1227+G1229*'Segments'!$F$7*G1227+G1230*'Segments'!$F$8*G1227+G1231*'Segments'!$F$9*G1227+G1232*'Segments'!$F$10*G1227+G1233*'Segments'!$F$11*G1227+G1234*'Segments'!$F$12*G1227+G1235*'Segments'!$F$13*G1227</f>
        <v/>
      </c>
    </row>
    <row r="1238">
      <c r="A1238" s="7" t="inlineStr">
        <is>
          <t>Cost of sales</t>
        </is>
      </c>
      <c r="C1238" s="18">
        <f>C1228*('Segments'!$D$27*C1227*Assumptions!$B$109+'Segments'!$B$27*(0.4983251709*C1226+0.4357405005*C1226+0.0330936548*C1227+0.0328406739))+C1229*('Segments'!$D$28*C1227*Assumptions!$B$109+'Segments'!$B$28*(0.4983251709*C1226+0.4357405005*C1226+0.0330936548*C1227+0.0328406739))+C1230*('Segments'!$D$29*C1227*Assumptions!$B$109+'Segments'!$B$29*(0.4983251709*C1226+0.4357405005*C1226+0.0330936548*C1227+0.0328406739))+C1231*('Segments'!$D$30*C1227*Assumptions!$B$109+'Segments'!$B$30*(0.4983251709*C1226+0.4357405005*C1226+0.0330936548*C1227+0.0328406739))+C1232*('Segments'!$D$31*C1227*Assumptions!$B$109+'Segments'!$B$31*(0.4983251709*C1226+0.4357405005*C1226+0.0330936548*C1227+0.0328406739))+C1233*('Segments'!$D$32*C1227*Assumptions!$B$109+'Segments'!$B$32*(0.4983251709*C1226+0.4357405005*C1226+0.0330936548*C1227+0.0328406739))+C1234*('Segments'!$D$33*C1227*Assumptions!$B$109+'Segments'!$B$33*(0.4983251709*C1226+0.4357405005*C1226+0.0330936548*C1227+0.0328406739))+C1235*('Segments'!$D$34*C1227*Assumptions!$B$109+'Segments'!$B$34*(0.4983251709*C1226+0.4357405005*C1226+0.0330936548*C1227+0.0328406739))</f>
        <v/>
      </c>
      <c r="D1238" s="18">
        <f>D1228*('Segments'!$D$27*D1227*Assumptions!$B$109+'Segments'!$B$27*(0.4983251709*D1226+0.4357405005*D1226+0.0330936548*D1227+0.0328406739))+D1229*('Segments'!$D$28*D1227*Assumptions!$B$109+'Segments'!$B$28*(0.4983251709*D1226+0.4357405005*D1226+0.0330936548*D1227+0.0328406739))+D1230*('Segments'!$D$29*D1227*Assumptions!$B$109+'Segments'!$B$29*(0.4983251709*D1226+0.4357405005*D1226+0.0330936548*D1227+0.0328406739))+D1231*('Segments'!$D$30*D1227*Assumptions!$B$109+'Segments'!$B$30*(0.4983251709*D1226+0.4357405005*D1226+0.0330936548*D1227+0.0328406739))+D1232*('Segments'!$D$31*D1227*Assumptions!$B$109+'Segments'!$B$31*(0.4983251709*D1226+0.4357405005*D1226+0.0330936548*D1227+0.0328406739))+D1233*('Segments'!$D$32*D1227*Assumptions!$B$109+'Segments'!$B$32*(0.4983251709*D1226+0.4357405005*D1226+0.0330936548*D1227+0.0328406739))+D1234*('Segments'!$D$33*D1227*Assumptions!$B$109+'Segments'!$B$33*(0.4983251709*D1226+0.4357405005*D1226+0.0330936548*D1227+0.0328406739))+D1235*('Segments'!$D$34*D1227*Assumptions!$B$109+'Segments'!$B$34*(0.4983251709*D1226+0.4357405005*D1226+0.0330936548*D1227+0.0328406739))</f>
        <v/>
      </c>
      <c r="E1238" s="18">
        <f>E1228*('Segments'!$D$27*E1227*Assumptions!$B$109+'Segments'!$B$27*(0.4983251709*E1226+0.4357405005*E1226+0.0330936548*E1227+0.0328406739))+E1229*('Segments'!$D$28*E1227*Assumptions!$B$109+'Segments'!$B$28*(0.4983251709*E1226+0.4357405005*E1226+0.0330936548*E1227+0.0328406739))+E1230*('Segments'!$D$29*E1227*Assumptions!$B$109+'Segments'!$B$29*(0.4983251709*E1226+0.4357405005*E1226+0.0330936548*E1227+0.0328406739))+E1231*('Segments'!$D$30*E1227*Assumptions!$B$109+'Segments'!$B$30*(0.4983251709*E1226+0.4357405005*E1226+0.0330936548*E1227+0.0328406739))+E1232*('Segments'!$D$31*E1227*Assumptions!$B$109+'Segments'!$B$31*(0.4983251709*E1226+0.4357405005*E1226+0.0330936548*E1227+0.0328406739))+E1233*('Segments'!$D$32*E1227*Assumptions!$B$109+'Segments'!$B$32*(0.4983251709*E1226+0.4357405005*E1226+0.0330936548*E1227+0.0328406739))+E1234*('Segments'!$D$33*E1227*Assumptions!$B$109+'Segments'!$B$33*(0.4983251709*E1226+0.4357405005*E1226+0.0330936548*E1227+0.0328406739))+E1235*('Segments'!$D$34*E1227*Assumptions!$B$109+'Segments'!$B$34*(0.4983251709*E1226+0.4357405005*E1226+0.0330936548*E1227+0.0328406739))</f>
        <v/>
      </c>
      <c r="F1238" s="18">
        <f>F1228*('Segments'!$D$27*F1227*Assumptions!$B$109+'Segments'!$B$27*(0.4983251709*F1226+0.4357405005*F1226+0.0330936548*F1227+0.0328406739))+F1229*('Segments'!$D$28*F1227*Assumptions!$B$109+'Segments'!$B$28*(0.4983251709*F1226+0.4357405005*F1226+0.0330936548*F1227+0.0328406739))+F1230*('Segments'!$D$29*F1227*Assumptions!$B$109+'Segments'!$B$29*(0.4983251709*F1226+0.4357405005*F1226+0.0330936548*F1227+0.0328406739))+F1231*('Segments'!$D$30*F1227*Assumptions!$B$109+'Segments'!$B$30*(0.4983251709*F1226+0.4357405005*F1226+0.0330936548*F1227+0.0328406739))+F1232*('Segments'!$D$31*F1227*Assumptions!$B$109+'Segments'!$B$31*(0.4983251709*F1226+0.4357405005*F1226+0.0330936548*F1227+0.0328406739))+F1233*('Segments'!$D$32*F1227*Assumptions!$B$109+'Segments'!$B$32*(0.4983251709*F1226+0.4357405005*F1226+0.0330936548*F1227+0.0328406739))+F1234*('Segments'!$D$33*F1227*Assumptions!$B$109+'Segments'!$B$33*(0.4983251709*F1226+0.4357405005*F1226+0.0330936548*F1227+0.0328406739))+F1235*('Segments'!$D$34*F1227*Assumptions!$B$109+'Segments'!$B$34*(0.4983251709*F1226+0.4357405005*F1226+0.0330936548*F1227+0.0328406739))</f>
        <v/>
      </c>
      <c r="G1238" s="18">
        <f>G1228*('Segments'!$D$27*G1227*Assumptions!$B$109+'Segments'!$B$27*(0.4983251709*G1226+0.4357405005*G1226+0.0330936548*G1227+0.0328406739))+G1229*('Segments'!$D$28*G1227*Assumptions!$B$109+'Segments'!$B$28*(0.4983251709*G1226+0.4357405005*G1226+0.0330936548*G1227+0.0328406739))+G1230*('Segments'!$D$29*G1227*Assumptions!$B$109+'Segments'!$B$29*(0.4983251709*G1226+0.4357405005*G1226+0.0330936548*G1227+0.0328406739))+G1231*('Segments'!$D$30*G1227*Assumptions!$B$109+'Segments'!$B$30*(0.4983251709*G1226+0.4357405005*G1226+0.0330936548*G1227+0.0328406739))+G1232*('Segments'!$D$31*G1227*Assumptions!$B$109+'Segments'!$B$31*(0.4983251709*G1226+0.4357405005*G1226+0.0330936548*G1227+0.0328406739))+G1233*('Segments'!$D$32*G1227*Assumptions!$B$109+'Segments'!$B$32*(0.4983251709*G1226+0.4357405005*G1226+0.0330936548*G1227+0.0328406739))+G1234*('Segments'!$D$33*G1227*Assumptions!$B$109+'Segments'!$B$33*(0.4983251709*G1226+0.4357405005*G1226+0.0330936548*G1227+0.0328406739))+G1235*('Segments'!$D$34*G1227*Assumptions!$B$109+'Segments'!$B$34*(0.4983251709*G1226+0.4357405005*G1226+0.0330936548*G1227+0.0328406739))</f>
        <v/>
      </c>
    </row>
    <row r="1239">
      <c r="A1239" s="15" t="inlineStr">
        <is>
          <t>GROSS PROFIT</t>
        </is>
      </c>
      <c r="C1239" s="37">
        <f>C1237-C1238+DCF!$B$7*C1237</f>
        <v/>
      </c>
      <c r="D1239" s="37">
        <f>D1237-D1238+DCF!$B$7*D1237</f>
        <v/>
      </c>
      <c r="E1239" s="37">
        <f>E1237-E1238+DCF!$B$7*E1237</f>
        <v/>
      </c>
      <c r="F1239" s="37">
        <f>F1237-F1238+DCF!$B$7*F1237</f>
        <v/>
      </c>
      <c r="G1239" s="37">
        <f>G1237-G1238+DCF!$B$7*G1237</f>
        <v/>
      </c>
    </row>
    <row r="1240">
      <c r="A1240" s="7" t="inlineStr">
        <is>
          <t>Gross margin</t>
        </is>
      </c>
      <c r="C1240" s="24">
        <f>C1239/C1237</f>
        <v/>
      </c>
      <c r="D1240" s="24">
        <f>D1239/D1237</f>
        <v/>
      </c>
      <c r="E1240" s="24">
        <f>E1239/E1237</f>
        <v/>
      </c>
      <c r="F1240" s="24">
        <f>F1239/F1237</f>
        <v/>
      </c>
      <c r="G1240" s="24">
        <f>G1239/G1237</f>
        <v/>
      </c>
    </row>
    <row r="1241">
      <c r="A1241" s="7" t="inlineStr">
        <is>
          <t>Operating expense</t>
        </is>
      </c>
      <c r="C1241" s="18">
        <f>('Income Statement'!$B$28*C1226)+('Income Statement'!$B$29*C1226*C1236/'Segments'!$E$14)+('Income Statement'!$B$30*C1226)+('Income Statement'!$B$31*C1226)</f>
        <v/>
      </c>
      <c r="D1241" s="18">
        <f>('Income Statement'!$B$28*D1226)+('Income Statement'!$B$29*D1226*D1236/'Segments'!$E$14)+('Income Statement'!$B$30*D1226)+('Income Statement'!$B$31*D1226)</f>
        <v/>
      </c>
      <c r="E1241" s="18">
        <f>('Income Statement'!$B$28*E1226)+('Income Statement'!$B$29*E1226*E1236/'Segments'!$E$14)+('Income Statement'!$B$30*E1226)+('Income Statement'!$B$31*E1226)</f>
        <v/>
      </c>
      <c r="F1241" s="18">
        <f>('Income Statement'!$B$28*F1226)+('Income Statement'!$B$29*F1226*F1236/'Segments'!$E$14)+('Income Statement'!$B$30*F1226)+('Income Statement'!$B$31*F1226)</f>
        <v/>
      </c>
      <c r="G1241" s="18">
        <f>('Income Statement'!$B$28*G1226)+('Income Statement'!$B$29*G1226*G1236/'Segments'!$E$14)+('Income Statement'!$B$30*G1226)+('Income Statement'!$B$31*G1226)</f>
        <v/>
      </c>
    </row>
    <row r="1242">
      <c r="A1242" s="15" t="inlineStr">
        <is>
          <t>EBITDA</t>
        </is>
      </c>
      <c r="C1242" s="37">
        <f>C1239-C1241</f>
        <v/>
      </c>
      <c r="D1242" s="37">
        <f>D1239-D1241</f>
        <v/>
      </c>
      <c r="E1242" s="37">
        <f>E1239-E1241</f>
        <v/>
      </c>
      <c r="F1242" s="37">
        <f>F1239-F1241</f>
        <v/>
      </c>
      <c r="G1242" s="37">
        <f>G1239-G1241</f>
        <v/>
      </c>
    </row>
    <row r="1243">
      <c r="A1243" s="7" t="inlineStr">
        <is>
          <t>Capital expenditure — maintenance + growth</t>
        </is>
      </c>
      <c r="C1243" s="18">
        <f>'Income Statement'!$B$43*C1226+MAX(C1236-'Segments'!$E$14,0)*2100.379938*C1226</f>
        <v/>
      </c>
      <c r="D1243" s="18">
        <f>'Income Statement'!$B$43*D1226+MAX(D1236-C1236,0)*2100.379938*D1226</f>
        <v/>
      </c>
      <c r="E1243" s="18">
        <f>'Income Statement'!$B$43*E1226+MAX(E1236-D1236,0)*2100.379938*E1226</f>
        <v/>
      </c>
      <c r="F1243" s="18">
        <f>'Income Statement'!$B$43*F1226+MAX(F1236-E1236,0)*2100.379938*F1226</f>
        <v/>
      </c>
      <c r="G1243" s="18">
        <f>'Income Statement'!$B$43*G1226+MAX(G1236-F1236,0)*2100.379938*G1226</f>
        <v/>
      </c>
    </row>
    <row r="1244">
      <c r="A1244" s="7" t="inlineStr">
        <is>
          <t>Fixed assets at cost, closing</t>
        </is>
      </c>
      <c r="C1244" s="18">
        <f>(Assumptions!$B$91+Assumptions!$B$92)/10^6+C1243</f>
        <v/>
      </c>
      <c r="D1244" s="18">
        <f>C1244+D1243</f>
        <v/>
      </c>
      <c r="E1244" s="18">
        <f>D1244+E1243</f>
        <v/>
      </c>
      <c r="F1244" s="18">
        <f>E1244+F1243</f>
        <v/>
      </c>
      <c r="G1244" s="18">
        <f>F1244+G1243</f>
        <v/>
      </c>
    </row>
    <row r="1245">
      <c r="A1245" s="7" t="inlineStr">
        <is>
          <t>Depreciation — rolls off the asset register</t>
        </is>
      </c>
      <c r="C1245" s="18">
        <f>(Assumptions!$B$91+Assumptions!$B$92)/10^6/'Income Statement'!$B$42</f>
        <v/>
      </c>
      <c r="D1245" s="18">
        <f>C1244/'Income Statement'!$B$42</f>
        <v/>
      </c>
      <c r="E1245" s="18">
        <f>D1244/'Income Statement'!$B$42</f>
        <v/>
      </c>
      <c r="F1245" s="18">
        <f>E1244/'Income Statement'!$B$42</f>
        <v/>
      </c>
      <c r="G1245" s="18">
        <f>F1244/'Income Statement'!$B$42</f>
        <v/>
      </c>
    </row>
    <row r="1246">
      <c r="A1246" s="7" t="inlineStr">
        <is>
          <t>Fixed assets, net book, closing</t>
        </is>
      </c>
      <c r="C1246" s="18">
        <f>(Assumptions!$B$90+Assumptions!$B$92)/10^6+C1243-C1245</f>
        <v/>
      </c>
      <c r="D1246" s="18">
        <f>C1246+D1243-D1245</f>
        <v/>
      </c>
      <c r="E1246" s="18">
        <f>D1246+E1243-E1245</f>
        <v/>
      </c>
      <c r="F1246" s="18">
        <f>E1246+F1243-F1245</f>
        <v/>
      </c>
      <c r="G1246" s="18">
        <f>F1246+G1243-G1245</f>
        <v/>
      </c>
    </row>
    <row r="1247">
      <c r="A1247" s="15" t="inlineStr">
        <is>
          <t>EBIT</t>
        </is>
      </c>
      <c r="C1247" s="37">
        <f>C1242-C1245</f>
        <v/>
      </c>
      <c r="D1247" s="37">
        <f>D1242-D1245</f>
        <v/>
      </c>
      <c r="E1247" s="37">
        <f>E1242-E1245</f>
        <v/>
      </c>
      <c r="F1247" s="37">
        <f>F1242-F1245</f>
        <v/>
      </c>
      <c r="G1247" s="37">
        <f>G1242-G1245</f>
        <v/>
      </c>
    </row>
    <row r="1248">
      <c r="A1248" s="7" t="inlineStr">
        <is>
          <t>NOPAT before the profit share</t>
        </is>
      </c>
      <c r="C1248" s="18">
        <f>C1247*(1-Assumptions!$B$108)</f>
        <v/>
      </c>
      <c r="D1248" s="18">
        <f>D1247*(1-Assumptions!$B$108)</f>
        <v/>
      </c>
      <c r="E1248" s="18">
        <f>E1247*(1-Assumptions!$B$108)</f>
        <v/>
      </c>
      <c r="F1248" s="18">
        <f>F1247*(1-Assumptions!$B$108)</f>
        <v/>
      </c>
      <c r="G1248" s="18">
        <f>G1247*(1-Assumptions!$B$108)</f>
        <v/>
      </c>
    </row>
    <row r="1249">
      <c r="A1249" s="7" t="inlineStr">
        <is>
          <t xml:space="preserve">  less employees' profit share and board bonuses</t>
        </is>
      </c>
      <c r="C1249" s="18">
        <f>MAX(C1248,0)*'Income Statement'!$B$40</f>
        <v/>
      </c>
      <c r="D1249" s="18">
        <f>MAX(D1248,0)*'Income Statement'!$B$40</f>
        <v/>
      </c>
      <c r="E1249" s="18">
        <f>MAX(E1248,0)*'Income Statement'!$B$40</f>
        <v/>
      </c>
      <c r="F1249" s="18">
        <f>MAX(F1248,0)*'Income Statement'!$B$40</f>
        <v/>
      </c>
      <c r="G1249" s="18">
        <f>MAX(G1248,0)*'Income Statement'!$B$40</f>
        <v/>
      </c>
    </row>
    <row r="1250">
      <c r="A1250" s="15" t="inlineStr">
        <is>
          <t>NOPAT</t>
        </is>
      </c>
      <c r="C1250" s="37">
        <f>C1248-C1249</f>
        <v/>
      </c>
      <c r="D1250" s="37">
        <f>D1248-D1249</f>
        <v/>
      </c>
      <c r="E1250" s="37">
        <f>E1248-E1249</f>
        <v/>
      </c>
      <c r="F1250" s="37">
        <f>F1248-F1249</f>
        <v/>
      </c>
      <c r="G1250" s="37">
        <f>G1248-G1249</f>
        <v/>
      </c>
    </row>
    <row r="1251">
      <c r="A1251" s="7" t="inlineStr">
        <is>
          <t>Net working capital — on days</t>
        </is>
      </c>
      <c r="C1251" s="18">
        <f>'Income Statement'!$B$44*$E$38/365*C1238+'Income Statement'!$B$45*$E$38/365*C1237-'Income Statement'!$B$46*$E$38/365*C1238</f>
        <v/>
      </c>
      <c r="D1251" s="18">
        <f>'Income Statement'!$B$44*$E$38/365*D1238+'Income Statement'!$B$45*$E$38/365*D1237-'Income Statement'!$B$46*$E$38/365*D1238</f>
        <v/>
      </c>
      <c r="E1251" s="18">
        <f>'Income Statement'!$B$44*$E$38/365*E1238+'Income Statement'!$B$45*$E$38/365*E1237-'Income Statement'!$B$46*$E$38/365*E1238</f>
        <v/>
      </c>
      <c r="F1251" s="18">
        <f>'Income Statement'!$B$44*$E$38/365*F1238+'Income Statement'!$B$45*$E$38/365*F1237-'Income Statement'!$B$46*$E$38/365*F1238</f>
        <v/>
      </c>
      <c r="G1251" s="18">
        <f>'Income Statement'!$B$44*$E$38/365*G1238+'Income Statement'!$B$45*$E$38/365*G1237-'Income Statement'!$B$46*$E$38/365*G1238</f>
        <v/>
      </c>
    </row>
    <row r="1252">
      <c r="A1252" s="7" t="inlineStr">
        <is>
          <t xml:space="preserve">  change in working capital</t>
        </is>
      </c>
      <c r="C1252" s="18">
        <f>C1251-('Income Statement'!$B$44/365*'Income Statement'!$B$21+'Income Statement'!$B$45/365*'Income Statement'!$B$19-'Income Statement'!$B$46/365*'Income Statement'!$B$21)</f>
        <v/>
      </c>
      <c r="D1252" s="18">
        <f>D1251-C1251</f>
        <v/>
      </c>
      <c r="E1252" s="18">
        <f>E1251-D1251</f>
        <v/>
      </c>
      <c r="F1252" s="18">
        <f>F1251-E1251</f>
        <v/>
      </c>
      <c r="G1252" s="18">
        <f>G1251-F1251</f>
        <v/>
      </c>
    </row>
    <row r="1253">
      <c r="A1253" s="15" t="inlineStr">
        <is>
          <t>FREE CASH FLOW TO THE FIRM</t>
        </is>
      </c>
      <c r="C1253" s="37">
        <f>C1250+C1245-C1243-C1252</f>
        <v/>
      </c>
      <c r="D1253" s="37">
        <f>D1250+D1245-D1243-D1252</f>
        <v/>
      </c>
      <c r="E1253" s="37">
        <f>E1250+E1245-E1243-E1252</f>
        <v/>
      </c>
      <c r="F1253" s="37">
        <f>F1250+F1245-F1243-F1252</f>
        <v/>
      </c>
      <c r="G1253" s="37">
        <f>G1250+G1245-G1243-G1252</f>
        <v/>
      </c>
    </row>
    <row r="1254">
      <c r="A1254" s="7" t="inlineStr">
        <is>
          <t>Glide fraction</t>
        </is>
      </c>
      <c r="C1254" s="23">
        <f>0.0000000000</f>
        <v/>
      </c>
      <c r="D1254" s="23">
        <f>0.3571428571</f>
        <v/>
      </c>
      <c r="E1254" s="23">
        <f>0.6428571429</f>
        <v/>
      </c>
      <c r="F1254" s="23">
        <f>0.8571428571</f>
        <v/>
      </c>
      <c r="G1254" s="23">
        <f>1.0000000000</f>
        <v/>
      </c>
    </row>
    <row r="1255">
      <c r="A1255" s="7" t="inlineStr">
        <is>
          <t>Forward cost of capital</t>
        </is>
      </c>
      <c r="C1255" s="24">
        <f>DCF!$B$14-(DCF!$B$14-DCF!$B$17)*C1254</f>
        <v/>
      </c>
      <c r="D1255" s="24">
        <f>DCF!$B$14-(DCF!$B$14-DCF!$B$17)*D1254</f>
        <v/>
      </c>
      <c r="E1255" s="24">
        <f>DCF!$B$14-(DCF!$B$14-DCF!$B$17)*E1254</f>
        <v/>
      </c>
      <c r="F1255" s="24">
        <f>DCF!$B$14-(DCF!$B$14-DCF!$B$17)*F1254</f>
        <v/>
      </c>
      <c r="G1255" s="24">
        <f>DCF!$B$14-(DCF!$B$14-DCF!$B$17)*G1254</f>
        <v/>
      </c>
    </row>
    <row r="1256">
      <c r="A1256" s="7" t="inlineStr">
        <is>
          <t>Cumulative discount factor</t>
        </is>
      </c>
      <c r="C1256" s="40">
        <f>1/(1+C1255)</f>
        <v/>
      </c>
      <c r="D1256" s="40">
        <f>C1256/(1+D1255)</f>
        <v/>
      </c>
      <c r="E1256" s="40">
        <f>D1256/(1+E1255)</f>
        <v/>
      </c>
      <c r="F1256" s="40">
        <f>E1256/(1+F1255)</f>
        <v/>
      </c>
      <c r="G1256" s="40">
        <f>F1256/(1+G1255)</f>
        <v/>
      </c>
    </row>
    <row r="1257">
      <c r="A1257" s="7" t="inlineStr">
        <is>
          <t>Present value</t>
        </is>
      </c>
      <c r="C1257" s="18">
        <f>C1253*C1256</f>
        <v/>
      </c>
      <c r="D1257" s="18">
        <f>D1253*D1256</f>
        <v/>
      </c>
      <c r="E1257" s="18">
        <f>E1253*E1256</f>
        <v/>
      </c>
      <c r="F1257" s="18">
        <f>F1253*F1256</f>
        <v/>
      </c>
      <c r="G1257" s="18">
        <f>G1253*G1256</f>
        <v/>
      </c>
    </row>
    <row r="1258">
      <c r="A1258" s="15" t="inlineStr">
        <is>
          <t>PV of the explicit window</t>
        </is>
      </c>
      <c r="B1258" s="37">
        <f>SUM(C1257:G1257)</f>
        <v/>
      </c>
      <c r="C1258" s="18">
        <f>C1251+C1244</f>
        <v/>
      </c>
      <c r="D1258" s="18">
        <f>D1251+D1244</f>
        <v/>
      </c>
      <c r="E1258" s="18">
        <f>E1251+E1244</f>
        <v/>
      </c>
      <c r="F1258" s="18">
        <f>F1251+F1244</f>
        <v/>
      </c>
      <c r="G1258" s="18">
        <f>G1251+G1244</f>
        <v/>
      </c>
    </row>
    <row r="1259">
      <c r="A1259" s="7" t="inlineStr">
        <is>
          <t>Terminal return on invested capital, at REPLACEMENT cost</t>
        </is>
      </c>
      <c r="B1259" s="24">
        <f>G1250*(1+Assumptions!$B$110)/G1258</f>
        <v/>
      </c>
    </row>
    <row r="1260">
      <c r="A1260" s="7" t="inlineStr">
        <is>
          <t>Required reinvestment = growth / return</t>
        </is>
      </c>
      <c r="B1260" s="24">
        <f>MIN(Assumptions!$B$110/B1259,0.95)</f>
        <v/>
      </c>
    </row>
    <row r="1261">
      <c r="A1261" s="7" t="inlineStr">
        <is>
          <t>Terminal value</t>
        </is>
      </c>
      <c r="B1261" s="18">
        <f>G1250*(1+Assumptions!$B$110)*(1-B1260)/MAX(DCF!$B$17-Assumptions!$B$110,0.02)</f>
        <v/>
      </c>
    </row>
    <row r="1262">
      <c r="A1262" s="7" t="inlineStr">
        <is>
          <t>PV of the terminal block</t>
        </is>
      </c>
      <c r="B1262" s="18">
        <f>B1261*G1256</f>
        <v/>
      </c>
    </row>
    <row r="1263">
      <c r="A1263" s="15" t="inlineStr">
        <is>
          <t>ENTERPRISE VALUE</t>
        </is>
      </c>
      <c r="B1263" s="37">
        <f>B1258+B1262</f>
        <v/>
      </c>
    </row>
    <row r="1264">
      <c r="A1264" s="7" t="inlineStr">
        <is>
          <t>plus net cash</t>
        </is>
      </c>
      <c r="B1264" s="18">
        <f>(Assumptions!$B$100-Assumptions!$B$103-Assumptions!$B$104)/10^6</f>
        <v/>
      </c>
    </row>
    <row r="1265">
      <c r="A1265" s="7" t="inlineStr">
        <is>
          <t>Enterprise value including cash</t>
        </is>
      </c>
      <c r="B1265" s="18">
        <f>B1263+B1264</f>
        <v/>
      </c>
    </row>
    <row r="1266">
      <c r="A1266" s="7" t="inlineStr">
        <is>
          <t>less minority — on the WHOLE enterprise, cash included</t>
        </is>
      </c>
      <c r="B1266" s="18">
        <f>B1265*'Income Statement'!$B$41</f>
        <v/>
      </c>
    </row>
    <row r="1267">
      <c r="A1267" s="7" t="inlineStr">
        <is>
          <t>less the tax-disputes provision</t>
        </is>
      </c>
      <c r="B1267" s="18">
        <f>Assumptions!$B$99/10^6</f>
        <v/>
      </c>
    </row>
    <row r="1268">
      <c r="A1268" s="7" t="inlineStr">
        <is>
          <t>less dividends payable — declared, out of working capital</t>
        </is>
      </c>
      <c r="B1268" s="18">
        <f>Assumptions!$B$98/10^6</f>
        <v/>
      </c>
    </row>
    <row r="1269">
      <c r="A1269" s="7" t="inlineStr">
        <is>
          <t>plus non-operating investments and pledged deposits</t>
        </is>
      </c>
      <c r="B1269" s="18">
        <f>(Assumptions!$B$102+Assumptions!$B$101)/10^6</f>
        <v/>
      </c>
    </row>
    <row r="1270">
      <c r="A1270" s="15" t="inlineStr">
        <is>
          <t>EQUITY ATTRIBUTABLE</t>
        </is>
      </c>
      <c r="B1270" s="37">
        <f>B1265-B1266-B1267-B1268+B1269</f>
        <v/>
      </c>
    </row>
    <row r="1271">
      <c r="A1271" s="15" t="inlineStr">
        <is>
          <t>VALUE PER SHARE, EGP</t>
        </is>
      </c>
      <c r="B1271" s="22">
        <f>B1270/Assumptions!$B$8</f>
        <v/>
      </c>
    </row>
    <row r="1274">
      <c r="A1274" s="6" t="inlineStr">
        <is>
          <t>Terminal growth — 3.0%</t>
        </is>
      </c>
      <c r="B1274" s="6" t="inlineStr">
        <is>
          <t>2026E</t>
        </is>
      </c>
      <c r="C1274" s="6" t="inlineStr">
        <is>
          <t>2027E</t>
        </is>
      </c>
      <c r="D1274" s="6" t="inlineStr">
        <is>
          <t>2028E</t>
        </is>
      </c>
      <c r="E1274" s="6" t="inlineStr">
        <is>
          <t>2029E</t>
        </is>
      </c>
      <c r="F1274" s="6" t="inlineStr">
        <is>
          <t>2030E</t>
        </is>
      </c>
    </row>
    <row r="1275">
      <c r="A1275" s="7" t="inlineStr">
        <is>
          <t>Inflation index, cumulative</t>
        </is>
      </c>
      <c r="C1275" s="23">
        <f>Assumptions!$B$167</f>
        <v/>
      </c>
      <c r="D1275" s="23">
        <f>C1275*Assumptions!$B$168</f>
        <v/>
      </c>
      <c r="E1275" s="23">
        <f>D1275*Assumptions!$B$169</f>
        <v/>
      </c>
      <c r="F1275" s="23">
        <f>E1275*Assumptions!$B$170</f>
        <v/>
      </c>
      <c r="G1275" s="23">
        <f>F1275*Assumptions!$B$171</f>
        <v/>
      </c>
    </row>
    <row r="1276">
      <c r="A1276" s="7" t="inlineStr">
        <is>
          <t>Realisation index, cumulative</t>
        </is>
      </c>
      <c r="C1276" s="23">
        <f>(1+Assumptions!$B$122*DCF!$B$8)</f>
        <v/>
      </c>
      <c r="D1276" s="23">
        <f>C1276*(1+Assumptions!$B$123*DCF!$B$8)</f>
        <v/>
      </c>
      <c r="E1276" s="23">
        <f>D1276*(1+Assumptions!$B$124*DCF!$B$8)</f>
        <v/>
      </c>
      <c r="F1276" s="23">
        <f>E1276*(1+Assumptions!$B$125*DCF!$B$8)</f>
        <v/>
      </c>
      <c r="G1276" s="23">
        <f>F1276*(1+Assumptions!$B$126*DCF!$B$8)</f>
        <v/>
      </c>
    </row>
    <row r="1277">
      <c r="A1277" s="7" t="inlineStr">
        <is>
          <t xml:space="preserve">  Volume — Base and special oils, mn t</t>
        </is>
      </c>
      <c r="C1277" s="23">
        <f>'Segments'!E6*(1+Assumptions!$B$127+DCF!$B$6)</f>
        <v/>
      </c>
      <c r="D1277" s="23">
        <f>C1277*(1+Assumptions!$B$128+DCF!$B$6)</f>
        <v/>
      </c>
      <c r="E1277" s="23">
        <f>D1277*(1+Assumptions!$B$129+DCF!$B$6)</f>
        <v/>
      </c>
      <c r="F1277" s="23">
        <f>E1277*(1+Assumptions!$B$130+DCF!$B$6)</f>
        <v/>
      </c>
      <c r="G1277" s="23">
        <f>F1277*(1+Assumptions!$B$131+DCF!$B$6)</f>
        <v/>
      </c>
    </row>
    <row r="1278">
      <c r="A1278" s="7" t="inlineStr">
        <is>
          <t xml:space="preserve">  Volume — Paraffin wax, mn t</t>
        </is>
      </c>
      <c r="C1278" s="23">
        <f>'Segments'!E7*(1+Assumptions!$B$132+DCF!$B$6)</f>
        <v/>
      </c>
      <c r="D1278" s="23">
        <f>C1278*(1+Assumptions!$B$133+DCF!$B$6)</f>
        <v/>
      </c>
      <c r="E1278" s="23">
        <f>D1278*(1+Assumptions!$B$134+DCF!$B$6)</f>
        <v/>
      </c>
      <c r="F1278" s="23">
        <f>E1278*(1+Assumptions!$B$135+DCF!$B$6)</f>
        <v/>
      </c>
      <c r="G1278" s="23">
        <f>F1278*(1+Assumptions!$B$136+DCF!$B$6)</f>
        <v/>
      </c>
    </row>
    <row r="1279">
      <c r="A1279" s="7" t="inlineStr">
        <is>
          <t xml:space="preserve">  Volume — Gas oil, mn t</t>
        </is>
      </c>
      <c r="C1279" s="23">
        <f>'Segments'!E8*(1+Assumptions!$B$137+DCF!$B$6)</f>
        <v/>
      </c>
      <c r="D1279" s="23">
        <f>C1279*(1+Assumptions!$B$138+DCF!$B$6)</f>
        <v/>
      </c>
      <c r="E1279" s="23">
        <f>D1279*(1+Assumptions!$B$139+DCF!$B$6)</f>
        <v/>
      </c>
      <c r="F1279" s="23">
        <f>E1279*(1+Assumptions!$B$140+DCF!$B$6)</f>
        <v/>
      </c>
      <c r="G1279" s="23">
        <f>F1279*(1+Assumptions!$B$141+DCF!$B$6)</f>
        <v/>
      </c>
    </row>
    <row r="1280">
      <c r="A1280" s="7" t="inlineStr">
        <is>
          <t xml:space="preserve">  Volume — Naphtha, mn t</t>
        </is>
      </c>
      <c r="C1280" s="23">
        <f>'Segments'!E9*(1+Assumptions!$B$142+DCF!$B$6)</f>
        <v/>
      </c>
      <c r="D1280" s="23">
        <f>C1280*(1+Assumptions!$B$143+DCF!$B$6)</f>
        <v/>
      </c>
      <c r="E1280" s="23">
        <f>D1280*(1+Assumptions!$B$144+DCF!$B$6)</f>
        <v/>
      </c>
      <c r="F1280" s="23">
        <f>E1280*(1+Assumptions!$B$145+DCF!$B$6)</f>
        <v/>
      </c>
      <c r="G1280" s="23">
        <f>F1280*(1+Assumptions!$B$146+DCF!$B$6)</f>
        <v/>
      </c>
    </row>
    <row r="1281">
      <c r="A1281" s="7" t="inlineStr">
        <is>
          <t xml:space="preserve">  Volume — Liquefied petroleum gas, mn t</t>
        </is>
      </c>
      <c r="C1281" s="23">
        <f>'Segments'!E10*(1+Assumptions!$B$147+DCF!$B$6)</f>
        <v/>
      </c>
      <c r="D1281" s="23">
        <f>C1281*(1+Assumptions!$B$148+DCF!$B$6)</f>
        <v/>
      </c>
      <c r="E1281" s="23">
        <f>D1281*(1+Assumptions!$B$149+DCF!$B$6)</f>
        <v/>
      </c>
      <c r="F1281" s="23">
        <f>E1281*(1+Assumptions!$B$150+DCF!$B$6)</f>
        <v/>
      </c>
      <c r="G1281" s="23">
        <f>F1281*(1+Assumptions!$B$151+DCF!$B$6)</f>
        <v/>
      </c>
    </row>
    <row r="1282">
      <c r="A1282" s="7" t="inlineStr">
        <is>
          <t xml:space="preserve">  Volume — Fuel oil (mix), mn t</t>
        </is>
      </c>
      <c r="C1282" s="23">
        <f>'Segments'!E11*(1+Assumptions!$B$152+DCF!$B$6)</f>
        <v/>
      </c>
      <c r="D1282" s="23">
        <f>C1282*(1+Assumptions!$B$153+DCF!$B$6)</f>
        <v/>
      </c>
      <c r="E1282" s="23">
        <f>D1282*(1+Assumptions!$B$154+DCF!$B$6)</f>
        <v/>
      </c>
      <c r="F1282" s="23">
        <f>E1282*(1+Assumptions!$B$155+DCF!$B$6)</f>
        <v/>
      </c>
      <c r="G1282" s="23">
        <f>F1282*(1+Assumptions!$B$156+DCF!$B$6)</f>
        <v/>
      </c>
    </row>
    <row r="1283">
      <c r="A1283" s="7" t="inlineStr">
        <is>
          <t xml:space="preserve">  Volume — Heavy fuel oil, mn t</t>
        </is>
      </c>
      <c r="C1283" s="23">
        <f>'Segments'!E12*(1+Assumptions!$B$157+DCF!$B$6)</f>
        <v/>
      </c>
      <c r="D1283" s="23">
        <f>C1283*(1+Assumptions!$B$158+DCF!$B$6)</f>
        <v/>
      </c>
      <c r="E1283" s="23">
        <f>D1283*(1+Assumptions!$B$159+DCF!$B$6)</f>
        <v/>
      </c>
      <c r="F1283" s="23">
        <f>E1283*(1+Assumptions!$B$160+DCF!$B$6)</f>
        <v/>
      </c>
      <c r="G1283" s="23">
        <f>F1283*(1+Assumptions!$B$161+DCF!$B$6)</f>
        <v/>
      </c>
    </row>
    <row r="1284">
      <c r="A1284" s="7" t="inlineStr">
        <is>
          <t xml:space="preserve">  Volume — Waste, mn t</t>
        </is>
      </c>
      <c r="C1284" s="23">
        <f>'Segments'!E13*(1+Assumptions!$B$162+DCF!$B$6)</f>
        <v/>
      </c>
      <c r="D1284" s="23">
        <f>C1284*(1+Assumptions!$B$163+DCF!$B$6)</f>
        <v/>
      </c>
      <c r="E1284" s="23">
        <f>D1284*(1+Assumptions!$B$164+DCF!$B$6)</f>
        <v/>
      </c>
      <c r="F1284" s="23">
        <f>E1284*(1+Assumptions!$B$165+DCF!$B$6)</f>
        <v/>
      </c>
      <c r="G1284" s="23">
        <f>F1284*(1+Assumptions!$B$166+DCF!$B$6)</f>
        <v/>
      </c>
    </row>
    <row r="1285">
      <c r="A1285" s="15" t="inlineStr">
        <is>
          <t>Total volume, mn t</t>
        </is>
      </c>
      <c r="C1285" s="36">
        <f>SUM(C1277:C1284)</f>
        <v/>
      </c>
      <c r="D1285" s="36">
        <f>SUM(D1277:D1284)</f>
        <v/>
      </c>
      <c r="E1285" s="36">
        <f>SUM(E1277:E1284)</f>
        <v/>
      </c>
      <c r="F1285" s="36">
        <f>SUM(F1277:F1284)</f>
        <v/>
      </c>
      <c r="G1285" s="36">
        <f>SUM(G1277:G1284)</f>
        <v/>
      </c>
    </row>
    <row r="1286">
      <c r="A1286" s="15" t="inlineStr">
        <is>
          <t>REVENUE</t>
        </is>
      </c>
      <c r="C1286" s="37">
        <f>C1277*'Segments'!$F$6*C1276+C1278*'Segments'!$F$7*C1276+C1279*'Segments'!$F$8*C1276+C1280*'Segments'!$F$9*C1276+C1281*'Segments'!$F$10*C1276+C1282*'Segments'!$F$11*C1276+C1283*'Segments'!$F$12*C1276+C1284*'Segments'!$F$13*C1276</f>
        <v/>
      </c>
      <c r="D1286" s="37">
        <f>D1277*'Segments'!$F$6*D1276+D1278*'Segments'!$F$7*D1276+D1279*'Segments'!$F$8*D1276+D1280*'Segments'!$F$9*D1276+D1281*'Segments'!$F$10*D1276+D1282*'Segments'!$F$11*D1276+D1283*'Segments'!$F$12*D1276+D1284*'Segments'!$F$13*D1276</f>
        <v/>
      </c>
      <c r="E1286" s="37">
        <f>E1277*'Segments'!$F$6*E1276+E1278*'Segments'!$F$7*E1276+E1279*'Segments'!$F$8*E1276+E1280*'Segments'!$F$9*E1276+E1281*'Segments'!$F$10*E1276+E1282*'Segments'!$F$11*E1276+E1283*'Segments'!$F$12*E1276+E1284*'Segments'!$F$13*E1276</f>
        <v/>
      </c>
      <c r="F1286" s="37">
        <f>F1277*'Segments'!$F$6*F1276+F1278*'Segments'!$F$7*F1276+F1279*'Segments'!$F$8*F1276+F1280*'Segments'!$F$9*F1276+F1281*'Segments'!$F$10*F1276+F1282*'Segments'!$F$11*F1276+F1283*'Segments'!$F$12*F1276+F1284*'Segments'!$F$13*F1276</f>
        <v/>
      </c>
      <c r="G1286" s="37">
        <f>G1277*'Segments'!$F$6*G1276+G1278*'Segments'!$F$7*G1276+G1279*'Segments'!$F$8*G1276+G1280*'Segments'!$F$9*G1276+G1281*'Segments'!$F$10*G1276+G1282*'Segments'!$F$11*G1276+G1283*'Segments'!$F$12*G1276+G1284*'Segments'!$F$13*G1276</f>
        <v/>
      </c>
    </row>
    <row r="1287">
      <c r="A1287" s="7" t="inlineStr">
        <is>
          <t>Cost of sales</t>
        </is>
      </c>
      <c r="C1287" s="18">
        <f>C1277*('Segments'!$D$27*C1276*Assumptions!$B$109+'Segments'!$B$27*(0.4983251709*C1275+0.4357405005*C1275+0.0330936548*C1276+0.0328406739))+C1278*('Segments'!$D$28*C1276*Assumptions!$B$109+'Segments'!$B$28*(0.4983251709*C1275+0.4357405005*C1275+0.0330936548*C1276+0.0328406739))+C1279*('Segments'!$D$29*C1276*Assumptions!$B$109+'Segments'!$B$29*(0.4983251709*C1275+0.4357405005*C1275+0.0330936548*C1276+0.0328406739))+C1280*('Segments'!$D$30*C1276*Assumptions!$B$109+'Segments'!$B$30*(0.4983251709*C1275+0.4357405005*C1275+0.0330936548*C1276+0.0328406739))+C1281*('Segments'!$D$31*C1276*Assumptions!$B$109+'Segments'!$B$31*(0.4983251709*C1275+0.4357405005*C1275+0.0330936548*C1276+0.0328406739))+C1282*('Segments'!$D$32*C1276*Assumptions!$B$109+'Segments'!$B$32*(0.4983251709*C1275+0.4357405005*C1275+0.0330936548*C1276+0.0328406739))+C1283*('Segments'!$D$33*C1276*Assumptions!$B$109+'Segments'!$B$33*(0.4983251709*C1275+0.4357405005*C1275+0.0330936548*C1276+0.0328406739))+C1284*('Segments'!$D$34*C1276*Assumptions!$B$109+'Segments'!$B$34*(0.4983251709*C1275+0.4357405005*C1275+0.0330936548*C1276+0.0328406739))</f>
        <v/>
      </c>
      <c r="D1287" s="18">
        <f>D1277*('Segments'!$D$27*D1276*Assumptions!$B$109+'Segments'!$B$27*(0.4983251709*D1275+0.4357405005*D1275+0.0330936548*D1276+0.0328406739))+D1278*('Segments'!$D$28*D1276*Assumptions!$B$109+'Segments'!$B$28*(0.4983251709*D1275+0.4357405005*D1275+0.0330936548*D1276+0.0328406739))+D1279*('Segments'!$D$29*D1276*Assumptions!$B$109+'Segments'!$B$29*(0.4983251709*D1275+0.4357405005*D1275+0.0330936548*D1276+0.0328406739))+D1280*('Segments'!$D$30*D1276*Assumptions!$B$109+'Segments'!$B$30*(0.4983251709*D1275+0.4357405005*D1275+0.0330936548*D1276+0.0328406739))+D1281*('Segments'!$D$31*D1276*Assumptions!$B$109+'Segments'!$B$31*(0.4983251709*D1275+0.4357405005*D1275+0.0330936548*D1276+0.0328406739))+D1282*('Segments'!$D$32*D1276*Assumptions!$B$109+'Segments'!$B$32*(0.4983251709*D1275+0.4357405005*D1275+0.0330936548*D1276+0.0328406739))+D1283*('Segments'!$D$33*D1276*Assumptions!$B$109+'Segments'!$B$33*(0.4983251709*D1275+0.4357405005*D1275+0.0330936548*D1276+0.0328406739))+D1284*('Segments'!$D$34*D1276*Assumptions!$B$109+'Segments'!$B$34*(0.4983251709*D1275+0.4357405005*D1275+0.0330936548*D1276+0.0328406739))</f>
        <v/>
      </c>
      <c r="E1287" s="18">
        <f>E1277*('Segments'!$D$27*E1276*Assumptions!$B$109+'Segments'!$B$27*(0.4983251709*E1275+0.4357405005*E1275+0.0330936548*E1276+0.0328406739))+E1278*('Segments'!$D$28*E1276*Assumptions!$B$109+'Segments'!$B$28*(0.4983251709*E1275+0.4357405005*E1275+0.0330936548*E1276+0.0328406739))+E1279*('Segments'!$D$29*E1276*Assumptions!$B$109+'Segments'!$B$29*(0.4983251709*E1275+0.4357405005*E1275+0.0330936548*E1276+0.0328406739))+E1280*('Segments'!$D$30*E1276*Assumptions!$B$109+'Segments'!$B$30*(0.4983251709*E1275+0.4357405005*E1275+0.0330936548*E1276+0.0328406739))+E1281*('Segments'!$D$31*E1276*Assumptions!$B$109+'Segments'!$B$31*(0.4983251709*E1275+0.4357405005*E1275+0.0330936548*E1276+0.0328406739))+E1282*('Segments'!$D$32*E1276*Assumptions!$B$109+'Segments'!$B$32*(0.4983251709*E1275+0.4357405005*E1275+0.0330936548*E1276+0.0328406739))+E1283*('Segments'!$D$33*E1276*Assumptions!$B$109+'Segments'!$B$33*(0.4983251709*E1275+0.4357405005*E1275+0.0330936548*E1276+0.0328406739))+E1284*('Segments'!$D$34*E1276*Assumptions!$B$109+'Segments'!$B$34*(0.4983251709*E1275+0.4357405005*E1275+0.0330936548*E1276+0.0328406739))</f>
        <v/>
      </c>
      <c r="F1287" s="18">
        <f>F1277*('Segments'!$D$27*F1276*Assumptions!$B$109+'Segments'!$B$27*(0.4983251709*F1275+0.4357405005*F1275+0.0330936548*F1276+0.0328406739))+F1278*('Segments'!$D$28*F1276*Assumptions!$B$109+'Segments'!$B$28*(0.4983251709*F1275+0.4357405005*F1275+0.0330936548*F1276+0.0328406739))+F1279*('Segments'!$D$29*F1276*Assumptions!$B$109+'Segments'!$B$29*(0.4983251709*F1275+0.4357405005*F1275+0.0330936548*F1276+0.0328406739))+F1280*('Segments'!$D$30*F1276*Assumptions!$B$109+'Segments'!$B$30*(0.4983251709*F1275+0.4357405005*F1275+0.0330936548*F1276+0.0328406739))+F1281*('Segments'!$D$31*F1276*Assumptions!$B$109+'Segments'!$B$31*(0.4983251709*F1275+0.4357405005*F1275+0.0330936548*F1276+0.0328406739))+F1282*('Segments'!$D$32*F1276*Assumptions!$B$109+'Segments'!$B$32*(0.4983251709*F1275+0.4357405005*F1275+0.0330936548*F1276+0.0328406739))+F1283*('Segments'!$D$33*F1276*Assumptions!$B$109+'Segments'!$B$33*(0.4983251709*F1275+0.4357405005*F1275+0.0330936548*F1276+0.0328406739))+F1284*('Segments'!$D$34*F1276*Assumptions!$B$109+'Segments'!$B$34*(0.4983251709*F1275+0.4357405005*F1275+0.0330936548*F1276+0.0328406739))</f>
        <v/>
      </c>
      <c r="G1287" s="18">
        <f>G1277*('Segments'!$D$27*G1276*Assumptions!$B$109+'Segments'!$B$27*(0.4983251709*G1275+0.4357405005*G1275+0.0330936548*G1276+0.0328406739))+G1278*('Segments'!$D$28*G1276*Assumptions!$B$109+'Segments'!$B$28*(0.4983251709*G1275+0.4357405005*G1275+0.0330936548*G1276+0.0328406739))+G1279*('Segments'!$D$29*G1276*Assumptions!$B$109+'Segments'!$B$29*(0.4983251709*G1275+0.4357405005*G1275+0.0330936548*G1276+0.0328406739))+G1280*('Segments'!$D$30*G1276*Assumptions!$B$109+'Segments'!$B$30*(0.4983251709*G1275+0.4357405005*G1275+0.0330936548*G1276+0.0328406739))+G1281*('Segments'!$D$31*G1276*Assumptions!$B$109+'Segments'!$B$31*(0.4983251709*G1275+0.4357405005*G1275+0.0330936548*G1276+0.0328406739))+G1282*('Segments'!$D$32*G1276*Assumptions!$B$109+'Segments'!$B$32*(0.4983251709*G1275+0.4357405005*G1275+0.0330936548*G1276+0.0328406739))+G1283*('Segments'!$D$33*G1276*Assumptions!$B$109+'Segments'!$B$33*(0.4983251709*G1275+0.4357405005*G1275+0.0330936548*G1276+0.0328406739))+G1284*('Segments'!$D$34*G1276*Assumptions!$B$109+'Segments'!$B$34*(0.4983251709*G1275+0.4357405005*G1275+0.0330936548*G1276+0.0328406739))</f>
        <v/>
      </c>
    </row>
    <row r="1288">
      <c r="A1288" s="15" t="inlineStr">
        <is>
          <t>GROSS PROFIT</t>
        </is>
      </c>
      <c r="C1288" s="37">
        <f>C1286-C1287+DCF!$B$7*C1286</f>
        <v/>
      </c>
      <c r="D1288" s="37">
        <f>D1286-D1287+DCF!$B$7*D1286</f>
        <v/>
      </c>
      <c r="E1288" s="37">
        <f>E1286-E1287+DCF!$B$7*E1286</f>
        <v/>
      </c>
      <c r="F1288" s="37">
        <f>F1286-F1287+DCF!$B$7*F1286</f>
        <v/>
      </c>
      <c r="G1288" s="37">
        <f>G1286-G1287+DCF!$B$7*G1286</f>
        <v/>
      </c>
    </row>
    <row r="1289">
      <c r="A1289" s="7" t="inlineStr">
        <is>
          <t>Gross margin</t>
        </is>
      </c>
      <c r="C1289" s="24">
        <f>C1288/C1286</f>
        <v/>
      </c>
      <c r="D1289" s="24">
        <f>D1288/D1286</f>
        <v/>
      </c>
      <c r="E1289" s="24">
        <f>E1288/E1286</f>
        <v/>
      </c>
      <c r="F1289" s="24">
        <f>F1288/F1286</f>
        <v/>
      </c>
      <c r="G1289" s="24">
        <f>G1288/G1286</f>
        <v/>
      </c>
    </row>
    <row r="1290">
      <c r="A1290" s="7" t="inlineStr">
        <is>
          <t>Operating expense</t>
        </is>
      </c>
      <c r="C1290" s="18">
        <f>('Income Statement'!$B$28*C1275)+('Income Statement'!$B$29*C1275*C1285/'Segments'!$E$14)+('Income Statement'!$B$30*C1275)+('Income Statement'!$B$31*C1275)</f>
        <v/>
      </c>
      <c r="D1290" s="18">
        <f>('Income Statement'!$B$28*D1275)+('Income Statement'!$B$29*D1275*D1285/'Segments'!$E$14)+('Income Statement'!$B$30*D1275)+('Income Statement'!$B$31*D1275)</f>
        <v/>
      </c>
      <c r="E1290" s="18">
        <f>('Income Statement'!$B$28*E1275)+('Income Statement'!$B$29*E1275*E1285/'Segments'!$E$14)+('Income Statement'!$B$30*E1275)+('Income Statement'!$B$31*E1275)</f>
        <v/>
      </c>
      <c r="F1290" s="18">
        <f>('Income Statement'!$B$28*F1275)+('Income Statement'!$B$29*F1275*F1285/'Segments'!$E$14)+('Income Statement'!$B$30*F1275)+('Income Statement'!$B$31*F1275)</f>
        <v/>
      </c>
      <c r="G1290" s="18">
        <f>('Income Statement'!$B$28*G1275)+('Income Statement'!$B$29*G1275*G1285/'Segments'!$E$14)+('Income Statement'!$B$30*G1275)+('Income Statement'!$B$31*G1275)</f>
        <v/>
      </c>
    </row>
    <row r="1291">
      <c r="A1291" s="15" t="inlineStr">
        <is>
          <t>EBITDA</t>
        </is>
      </c>
      <c r="C1291" s="37">
        <f>C1288-C1290</f>
        <v/>
      </c>
      <c r="D1291" s="37">
        <f>D1288-D1290</f>
        <v/>
      </c>
      <c r="E1291" s="37">
        <f>E1288-E1290</f>
        <v/>
      </c>
      <c r="F1291" s="37">
        <f>F1288-F1290</f>
        <v/>
      </c>
      <c r="G1291" s="37">
        <f>G1288-G1290</f>
        <v/>
      </c>
    </row>
    <row r="1292">
      <c r="A1292" s="7" t="inlineStr">
        <is>
          <t>Capital expenditure — maintenance + growth</t>
        </is>
      </c>
      <c r="C1292" s="18">
        <f>'Income Statement'!$B$43*C1275+MAX(C1285-'Segments'!$E$14,0)*2100.379938*C1275</f>
        <v/>
      </c>
      <c r="D1292" s="18">
        <f>'Income Statement'!$B$43*D1275+MAX(D1285-C1285,0)*2100.379938*D1275</f>
        <v/>
      </c>
      <c r="E1292" s="18">
        <f>'Income Statement'!$B$43*E1275+MAX(E1285-D1285,0)*2100.379938*E1275</f>
        <v/>
      </c>
      <c r="F1292" s="18">
        <f>'Income Statement'!$B$43*F1275+MAX(F1285-E1285,0)*2100.379938*F1275</f>
        <v/>
      </c>
      <c r="G1292" s="18">
        <f>'Income Statement'!$B$43*G1275+MAX(G1285-F1285,0)*2100.379938*G1275</f>
        <v/>
      </c>
    </row>
    <row r="1293">
      <c r="A1293" s="7" t="inlineStr">
        <is>
          <t>Fixed assets at cost, closing</t>
        </is>
      </c>
      <c r="C1293" s="18">
        <f>(Assumptions!$B$91+Assumptions!$B$92)/10^6+C1292</f>
        <v/>
      </c>
      <c r="D1293" s="18">
        <f>C1293+D1292</f>
        <v/>
      </c>
      <c r="E1293" s="18">
        <f>D1293+E1292</f>
        <v/>
      </c>
      <c r="F1293" s="18">
        <f>E1293+F1292</f>
        <v/>
      </c>
      <c r="G1293" s="18">
        <f>F1293+G1292</f>
        <v/>
      </c>
    </row>
    <row r="1294">
      <c r="A1294" s="7" t="inlineStr">
        <is>
          <t>Depreciation — rolls off the asset register</t>
        </is>
      </c>
      <c r="C1294" s="18">
        <f>(Assumptions!$B$91+Assumptions!$B$92)/10^6/'Income Statement'!$B$42</f>
        <v/>
      </c>
      <c r="D1294" s="18">
        <f>C1293/'Income Statement'!$B$42</f>
        <v/>
      </c>
      <c r="E1294" s="18">
        <f>D1293/'Income Statement'!$B$42</f>
        <v/>
      </c>
      <c r="F1294" s="18">
        <f>E1293/'Income Statement'!$B$42</f>
        <v/>
      </c>
      <c r="G1294" s="18">
        <f>F1293/'Income Statement'!$B$42</f>
        <v/>
      </c>
    </row>
    <row r="1295">
      <c r="A1295" s="7" t="inlineStr">
        <is>
          <t>Fixed assets, net book, closing</t>
        </is>
      </c>
      <c r="C1295" s="18">
        <f>(Assumptions!$B$90+Assumptions!$B$92)/10^6+C1292-C1294</f>
        <v/>
      </c>
      <c r="D1295" s="18">
        <f>C1295+D1292-D1294</f>
        <v/>
      </c>
      <c r="E1295" s="18">
        <f>D1295+E1292-E1294</f>
        <v/>
      </c>
      <c r="F1295" s="18">
        <f>E1295+F1292-F1294</f>
        <v/>
      </c>
      <c r="G1295" s="18">
        <f>F1295+G1292-G1294</f>
        <v/>
      </c>
    </row>
    <row r="1296">
      <c r="A1296" s="15" t="inlineStr">
        <is>
          <t>EBIT</t>
        </is>
      </c>
      <c r="C1296" s="37">
        <f>C1291-C1294</f>
        <v/>
      </c>
      <c r="D1296" s="37">
        <f>D1291-D1294</f>
        <v/>
      </c>
      <c r="E1296" s="37">
        <f>E1291-E1294</f>
        <v/>
      </c>
      <c r="F1296" s="37">
        <f>F1291-F1294</f>
        <v/>
      </c>
      <c r="G1296" s="37">
        <f>G1291-G1294</f>
        <v/>
      </c>
    </row>
    <row r="1297">
      <c r="A1297" s="7" t="inlineStr">
        <is>
          <t>NOPAT before the profit share</t>
        </is>
      </c>
      <c r="C1297" s="18">
        <f>C1296*(1-Assumptions!$B$108)</f>
        <v/>
      </c>
      <c r="D1297" s="18">
        <f>D1296*(1-Assumptions!$B$108)</f>
        <v/>
      </c>
      <c r="E1297" s="18">
        <f>E1296*(1-Assumptions!$B$108)</f>
        <v/>
      </c>
      <c r="F1297" s="18">
        <f>F1296*(1-Assumptions!$B$108)</f>
        <v/>
      </c>
      <c r="G1297" s="18">
        <f>G1296*(1-Assumptions!$B$108)</f>
        <v/>
      </c>
    </row>
    <row r="1298">
      <c r="A1298" s="7" t="inlineStr">
        <is>
          <t xml:space="preserve">  less employees' profit share and board bonuses</t>
        </is>
      </c>
      <c r="C1298" s="18">
        <f>MAX(C1297,0)*'Income Statement'!$B$40</f>
        <v/>
      </c>
      <c r="D1298" s="18">
        <f>MAX(D1297,0)*'Income Statement'!$B$40</f>
        <v/>
      </c>
      <c r="E1298" s="18">
        <f>MAX(E1297,0)*'Income Statement'!$B$40</f>
        <v/>
      </c>
      <c r="F1298" s="18">
        <f>MAX(F1297,0)*'Income Statement'!$B$40</f>
        <v/>
      </c>
      <c r="G1298" s="18">
        <f>MAX(G1297,0)*'Income Statement'!$B$40</f>
        <v/>
      </c>
    </row>
    <row r="1299">
      <c r="A1299" s="15" t="inlineStr">
        <is>
          <t>NOPAT</t>
        </is>
      </c>
      <c r="C1299" s="37">
        <f>C1297-C1298</f>
        <v/>
      </c>
      <c r="D1299" s="37">
        <f>D1297-D1298</f>
        <v/>
      </c>
      <c r="E1299" s="37">
        <f>E1297-E1298</f>
        <v/>
      </c>
      <c r="F1299" s="37">
        <f>F1297-F1298</f>
        <v/>
      </c>
      <c r="G1299" s="37">
        <f>G1297-G1298</f>
        <v/>
      </c>
    </row>
    <row r="1300">
      <c r="A1300" s="7" t="inlineStr">
        <is>
          <t>Net working capital — on days</t>
        </is>
      </c>
      <c r="C1300" s="18">
        <f>'Income Statement'!$B$44*DCF!$B$9/365*C1287+'Income Statement'!$B$45*DCF!$B$9/365*C1286-'Income Statement'!$B$46*DCF!$B$9/365*C1287</f>
        <v/>
      </c>
      <c r="D1300" s="18">
        <f>'Income Statement'!$B$44*DCF!$B$9/365*D1287+'Income Statement'!$B$45*DCF!$B$9/365*D1286-'Income Statement'!$B$46*DCF!$B$9/365*D1287</f>
        <v/>
      </c>
      <c r="E1300" s="18">
        <f>'Income Statement'!$B$44*DCF!$B$9/365*E1287+'Income Statement'!$B$45*DCF!$B$9/365*E1286-'Income Statement'!$B$46*DCF!$B$9/365*E1287</f>
        <v/>
      </c>
      <c r="F1300" s="18">
        <f>'Income Statement'!$B$44*DCF!$B$9/365*F1287+'Income Statement'!$B$45*DCF!$B$9/365*F1286-'Income Statement'!$B$46*DCF!$B$9/365*F1287</f>
        <v/>
      </c>
      <c r="G1300" s="18">
        <f>'Income Statement'!$B$44*DCF!$B$9/365*G1287+'Income Statement'!$B$45*DCF!$B$9/365*G1286-'Income Statement'!$B$46*DCF!$B$9/365*G1287</f>
        <v/>
      </c>
    </row>
    <row r="1301">
      <c r="A1301" s="7" t="inlineStr">
        <is>
          <t xml:space="preserve">  change in working capital</t>
        </is>
      </c>
      <c r="C1301" s="18">
        <f>C1300-('Income Statement'!$B$44/365*'Income Statement'!$B$21+'Income Statement'!$B$45/365*'Income Statement'!$B$19-'Income Statement'!$B$46/365*'Income Statement'!$B$21)</f>
        <v/>
      </c>
      <c r="D1301" s="18">
        <f>D1300-C1300</f>
        <v/>
      </c>
      <c r="E1301" s="18">
        <f>E1300-D1300</f>
        <v/>
      </c>
      <c r="F1301" s="18">
        <f>F1300-E1300</f>
        <v/>
      </c>
      <c r="G1301" s="18">
        <f>G1300-F1300</f>
        <v/>
      </c>
    </row>
    <row r="1302">
      <c r="A1302" s="15" t="inlineStr">
        <is>
          <t>FREE CASH FLOW TO THE FIRM</t>
        </is>
      </c>
      <c r="C1302" s="37">
        <f>C1299+C1294-C1292-C1301</f>
        <v/>
      </c>
      <c r="D1302" s="37">
        <f>D1299+D1294-D1292-D1301</f>
        <v/>
      </c>
      <c r="E1302" s="37">
        <f>E1299+E1294-E1292-E1301</f>
        <v/>
      </c>
      <c r="F1302" s="37">
        <f>F1299+F1294-F1292-F1301</f>
        <v/>
      </c>
      <c r="G1302" s="37">
        <f>G1299+G1294-G1292-G1301</f>
        <v/>
      </c>
    </row>
    <row r="1303">
      <c r="A1303" s="7" t="inlineStr">
        <is>
          <t>Glide fraction</t>
        </is>
      </c>
      <c r="C1303" s="23">
        <f>0.0000000000</f>
        <v/>
      </c>
      <c r="D1303" s="23">
        <f>0.3571428571</f>
        <v/>
      </c>
      <c r="E1303" s="23">
        <f>0.6428571429</f>
        <v/>
      </c>
      <c r="F1303" s="23">
        <f>0.8571428571</f>
        <v/>
      </c>
      <c r="G1303" s="23">
        <f>1.0000000000</f>
        <v/>
      </c>
    </row>
    <row r="1304">
      <c r="A1304" s="7" t="inlineStr">
        <is>
          <t>Forward cost of capital</t>
        </is>
      </c>
      <c r="C1304" s="24">
        <f>DCF!$B$14-(DCF!$B$14-DCF!$B$17)*C1303</f>
        <v/>
      </c>
      <c r="D1304" s="24">
        <f>DCF!$B$14-(DCF!$B$14-DCF!$B$17)*D1303</f>
        <v/>
      </c>
      <c r="E1304" s="24">
        <f>DCF!$B$14-(DCF!$B$14-DCF!$B$17)*E1303</f>
        <v/>
      </c>
      <c r="F1304" s="24">
        <f>DCF!$B$14-(DCF!$B$14-DCF!$B$17)*F1303</f>
        <v/>
      </c>
      <c r="G1304" s="24">
        <f>DCF!$B$14-(DCF!$B$14-DCF!$B$17)*G1303</f>
        <v/>
      </c>
    </row>
    <row r="1305">
      <c r="A1305" s="7" t="inlineStr">
        <is>
          <t>Cumulative discount factor</t>
        </is>
      </c>
      <c r="C1305" s="40">
        <f>1/(1+C1304)</f>
        <v/>
      </c>
      <c r="D1305" s="40">
        <f>C1305/(1+D1304)</f>
        <v/>
      </c>
      <c r="E1305" s="40">
        <f>D1305/(1+E1304)</f>
        <v/>
      </c>
      <c r="F1305" s="40">
        <f>E1305/(1+F1304)</f>
        <v/>
      </c>
      <c r="G1305" s="40">
        <f>F1305/(1+G1304)</f>
        <v/>
      </c>
    </row>
    <row r="1306">
      <c r="A1306" s="7" t="inlineStr">
        <is>
          <t>Present value</t>
        </is>
      </c>
      <c r="C1306" s="18">
        <f>C1302*C1305</f>
        <v/>
      </c>
      <c r="D1306" s="18">
        <f>D1302*D1305</f>
        <v/>
      </c>
      <c r="E1306" s="18">
        <f>E1302*E1305</f>
        <v/>
      </c>
      <c r="F1306" s="18">
        <f>F1302*F1305</f>
        <v/>
      </c>
      <c r="G1306" s="18">
        <f>G1302*G1305</f>
        <v/>
      </c>
    </row>
    <row r="1307">
      <c r="A1307" s="15" t="inlineStr">
        <is>
          <t>PV of the explicit window</t>
        </is>
      </c>
      <c r="B1307" s="37">
        <f>SUM(C1306:G1306)</f>
        <v/>
      </c>
      <c r="C1307" s="18">
        <f>C1300+C1293</f>
        <v/>
      </c>
      <c r="D1307" s="18">
        <f>D1300+D1293</f>
        <v/>
      </c>
      <c r="E1307" s="18">
        <f>E1300+E1293</f>
        <v/>
      </c>
      <c r="F1307" s="18">
        <f>F1300+F1293</f>
        <v/>
      </c>
      <c r="G1307" s="18">
        <f>G1300+G1293</f>
        <v/>
      </c>
    </row>
    <row r="1308">
      <c r="A1308" s="7" t="inlineStr">
        <is>
          <t>Terminal return on invested capital, at REPLACEMENT cost</t>
        </is>
      </c>
      <c r="B1308" s="24">
        <f>G1299*(1+$H$41)/G1307</f>
        <v/>
      </c>
    </row>
    <row r="1309">
      <c r="A1309" s="7" t="inlineStr">
        <is>
          <t>Required reinvestment = growth / return</t>
        </is>
      </c>
      <c r="B1309" s="24">
        <f>MIN($H$41/B1308,0.95)</f>
        <v/>
      </c>
    </row>
    <row r="1310">
      <c r="A1310" s="7" t="inlineStr">
        <is>
          <t>Terminal value</t>
        </is>
      </c>
      <c r="B1310" s="18">
        <f>G1299*(1+$H$41)*(1-B1309)/MAX(DCF!$B$17-$H$41,0.02)</f>
        <v/>
      </c>
    </row>
    <row r="1311">
      <c r="A1311" s="7" t="inlineStr">
        <is>
          <t>PV of the terminal block</t>
        </is>
      </c>
      <c r="B1311" s="18">
        <f>B1310*G1305</f>
        <v/>
      </c>
    </row>
    <row r="1312">
      <c r="A1312" s="15" t="inlineStr">
        <is>
          <t>ENTERPRISE VALUE</t>
        </is>
      </c>
      <c r="B1312" s="37">
        <f>B1307+B1311</f>
        <v/>
      </c>
    </row>
    <row r="1313">
      <c r="A1313" s="7" t="inlineStr">
        <is>
          <t>plus net cash</t>
        </is>
      </c>
      <c r="B1313" s="18">
        <f>(Assumptions!$B$100-Assumptions!$B$103-Assumptions!$B$104)/10^6</f>
        <v/>
      </c>
    </row>
    <row r="1314">
      <c r="A1314" s="7" t="inlineStr">
        <is>
          <t>Enterprise value including cash</t>
        </is>
      </c>
      <c r="B1314" s="18">
        <f>B1312+B1313</f>
        <v/>
      </c>
    </row>
    <row r="1315">
      <c r="A1315" s="7" t="inlineStr">
        <is>
          <t>less minority — on the WHOLE enterprise, cash included</t>
        </is>
      </c>
      <c r="B1315" s="18">
        <f>B1314*'Income Statement'!$B$41</f>
        <v/>
      </c>
    </row>
    <row r="1316">
      <c r="A1316" s="7" t="inlineStr">
        <is>
          <t>less the tax-disputes provision</t>
        </is>
      </c>
      <c r="B1316" s="18">
        <f>Assumptions!$B$99/10^6</f>
        <v/>
      </c>
    </row>
    <row r="1317">
      <c r="A1317" s="7" t="inlineStr">
        <is>
          <t>less dividends payable — declared, out of working capital</t>
        </is>
      </c>
      <c r="B1317" s="18">
        <f>Assumptions!$B$98/10^6</f>
        <v/>
      </c>
    </row>
    <row r="1318">
      <c r="A1318" s="7" t="inlineStr">
        <is>
          <t>plus non-operating investments and pledged deposits</t>
        </is>
      </c>
      <c r="B1318" s="18">
        <f>(Assumptions!$B$102+Assumptions!$B$101)/10^6</f>
        <v/>
      </c>
    </row>
    <row r="1319">
      <c r="A1319" s="15" t="inlineStr">
        <is>
          <t>EQUITY ATTRIBUTABLE</t>
        </is>
      </c>
      <c r="B1319" s="37">
        <f>B1314-B1315-B1316-B1317+B1318</f>
        <v/>
      </c>
    </row>
    <row r="1320">
      <c r="A1320" s="15" t="inlineStr">
        <is>
          <t>VALUE PER SHARE, EGP</t>
        </is>
      </c>
      <c r="B1320" s="22">
        <f>B1319/Assumptions!$B$8</f>
        <v/>
      </c>
    </row>
    <row r="1323">
      <c r="A1323" s="6" t="inlineStr">
        <is>
          <t>Terminal growth — 4.0%</t>
        </is>
      </c>
      <c r="B1323" s="6" t="inlineStr">
        <is>
          <t>2026E</t>
        </is>
      </c>
      <c r="C1323" s="6" t="inlineStr">
        <is>
          <t>2027E</t>
        </is>
      </c>
      <c r="D1323" s="6" t="inlineStr">
        <is>
          <t>2028E</t>
        </is>
      </c>
      <c r="E1323" s="6" t="inlineStr">
        <is>
          <t>2029E</t>
        </is>
      </c>
      <c r="F1323" s="6" t="inlineStr">
        <is>
          <t>2030E</t>
        </is>
      </c>
    </row>
    <row r="1324">
      <c r="A1324" s="7" t="inlineStr">
        <is>
          <t>Inflation index, cumulative</t>
        </is>
      </c>
      <c r="C1324" s="23">
        <f>Assumptions!$B$167</f>
        <v/>
      </c>
      <c r="D1324" s="23">
        <f>C1324*Assumptions!$B$168</f>
        <v/>
      </c>
      <c r="E1324" s="23">
        <f>D1324*Assumptions!$B$169</f>
        <v/>
      </c>
      <c r="F1324" s="23">
        <f>E1324*Assumptions!$B$170</f>
        <v/>
      </c>
      <c r="G1324" s="23">
        <f>F1324*Assumptions!$B$171</f>
        <v/>
      </c>
    </row>
    <row r="1325">
      <c r="A1325" s="7" t="inlineStr">
        <is>
          <t>Realisation index, cumulative</t>
        </is>
      </c>
      <c r="C1325" s="23">
        <f>(1+Assumptions!$B$122*DCF!$B$8)</f>
        <v/>
      </c>
      <c r="D1325" s="23">
        <f>C1325*(1+Assumptions!$B$123*DCF!$B$8)</f>
        <v/>
      </c>
      <c r="E1325" s="23">
        <f>D1325*(1+Assumptions!$B$124*DCF!$B$8)</f>
        <v/>
      </c>
      <c r="F1325" s="23">
        <f>E1325*(1+Assumptions!$B$125*DCF!$B$8)</f>
        <v/>
      </c>
      <c r="G1325" s="23">
        <f>F1325*(1+Assumptions!$B$126*DCF!$B$8)</f>
        <v/>
      </c>
    </row>
    <row r="1326">
      <c r="A1326" s="7" t="inlineStr">
        <is>
          <t xml:space="preserve">  Volume — Base and special oils, mn t</t>
        </is>
      </c>
      <c r="C1326" s="23">
        <f>'Segments'!E6*(1+Assumptions!$B$127+DCF!$B$6)</f>
        <v/>
      </c>
      <c r="D1326" s="23">
        <f>C1326*(1+Assumptions!$B$128+DCF!$B$6)</f>
        <v/>
      </c>
      <c r="E1326" s="23">
        <f>D1326*(1+Assumptions!$B$129+DCF!$B$6)</f>
        <v/>
      </c>
      <c r="F1326" s="23">
        <f>E1326*(1+Assumptions!$B$130+DCF!$B$6)</f>
        <v/>
      </c>
      <c r="G1326" s="23">
        <f>F1326*(1+Assumptions!$B$131+DCF!$B$6)</f>
        <v/>
      </c>
    </row>
    <row r="1327">
      <c r="A1327" s="7" t="inlineStr">
        <is>
          <t xml:space="preserve">  Volume — Paraffin wax, mn t</t>
        </is>
      </c>
      <c r="C1327" s="23">
        <f>'Segments'!E7*(1+Assumptions!$B$132+DCF!$B$6)</f>
        <v/>
      </c>
      <c r="D1327" s="23">
        <f>C1327*(1+Assumptions!$B$133+DCF!$B$6)</f>
        <v/>
      </c>
      <c r="E1327" s="23">
        <f>D1327*(1+Assumptions!$B$134+DCF!$B$6)</f>
        <v/>
      </c>
      <c r="F1327" s="23">
        <f>E1327*(1+Assumptions!$B$135+DCF!$B$6)</f>
        <v/>
      </c>
      <c r="G1327" s="23">
        <f>F1327*(1+Assumptions!$B$136+DCF!$B$6)</f>
        <v/>
      </c>
    </row>
    <row r="1328">
      <c r="A1328" s="7" t="inlineStr">
        <is>
          <t xml:space="preserve">  Volume — Gas oil, mn t</t>
        </is>
      </c>
      <c r="C1328" s="23">
        <f>'Segments'!E8*(1+Assumptions!$B$137+DCF!$B$6)</f>
        <v/>
      </c>
      <c r="D1328" s="23">
        <f>C1328*(1+Assumptions!$B$138+DCF!$B$6)</f>
        <v/>
      </c>
      <c r="E1328" s="23">
        <f>D1328*(1+Assumptions!$B$139+DCF!$B$6)</f>
        <v/>
      </c>
      <c r="F1328" s="23">
        <f>E1328*(1+Assumptions!$B$140+DCF!$B$6)</f>
        <v/>
      </c>
      <c r="G1328" s="23">
        <f>F1328*(1+Assumptions!$B$141+DCF!$B$6)</f>
        <v/>
      </c>
    </row>
    <row r="1329">
      <c r="A1329" s="7" t="inlineStr">
        <is>
          <t xml:space="preserve">  Volume — Naphtha, mn t</t>
        </is>
      </c>
      <c r="C1329" s="23">
        <f>'Segments'!E9*(1+Assumptions!$B$142+DCF!$B$6)</f>
        <v/>
      </c>
      <c r="D1329" s="23">
        <f>C1329*(1+Assumptions!$B$143+DCF!$B$6)</f>
        <v/>
      </c>
      <c r="E1329" s="23">
        <f>D1329*(1+Assumptions!$B$144+DCF!$B$6)</f>
        <v/>
      </c>
      <c r="F1329" s="23">
        <f>E1329*(1+Assumptions!$B$145+DCF!$B$6)</f>
        <v/>
      </c>
      <c r="G1329" s="23">
        <f>F1329*(1+Assumptions!$B$146+DCF!$B$6)</f>
        <v/>
      </c>
    </row>
    <row r="1330">
      <c r="A1330" s="7" t="inlineStr">
        <is>
          <t xml:space="preserve">  Volume — Liquefied petroleum gas, mn t</t>
        </is>
      </c>
      <c r="C1330" s="23">
        <f>'Segments'!E10*(1+Assumptions!$B$147+DCF!$B$6)</f>
        <v/>
      </c>
      <c r="D1330" s="23">
        <f>C1330*(1+Assumptions!$B$148+DCF!$B$6)</f>
        <v/>
      </c>
      <c r="E1330" s="23">
        <f>D1330*(1+Assumptions!$B$149+DCF!$B$6)</f>
        <v/>
      </c>
      <c r="F1330" s="23">
        <f>E1330*(1+Assumptions!$B$150+DCF!$B$6)</f>
        <v/>
      </c>
      <c r="G1330" s="23">
        <f>F1330*(1+Assumptions!$B$151+DCF!$B$6)</f>
        <v/>
      </c>
    </row>
    <row r="1331">
      <c r="A1331" s="7" t="inlineStr">
        <is>
          <t xml:space="preserve">  Volume — Fuel oil (mix), mn t</t>
        </is>
      </c>
      <c r="C1331" s="23">
        <f>'Segments'!E11*(1+Assumptions!$B$152+DCF!$B$6)</f>
        <v/>
      </c>
      <c r="D1331" s="23">
        <f>C1331*(1+Assumptions!$B$153+DCF!$B$6)</f>
        <v/>
      </c>
      <c r="E1331" s="23">
        <f>D1331*(1+Assumptions!$B$154+DCF!$B$6)</f>
        <v/>
      </c>
      <c r="F1331" s="23">
        <f>E1331*(1+Assumptions!$B$155+DCF!$B$6)</f>
        <v/>
      </c>
      <c r="G1331" s="23">
        <f>F1331*(1+Assumptions!$B$156+DCF!$B$6)</f>
        <v/>
      </c>
    </row>
    <row r="1332">
      <c r="A1332" s="7" t="inlineStr">
        <is>
          <t xml:space="preserve">  Volume — Heavy fuel oil, mn t</t>
        </is>
      </c>
      <c r="C1332" s="23">
        <f>'Segments'!E12*(1+Assumptions!$B$157+DCF!$B$6)</f>
        <v/>
      </c>
      <c r="D1332" s="23">
        <f>C1332*(1+Assumptions!$B$158+DCF!$B$6)</f>
        <v/>
      </c>
      <c r="E1332" s="23">
        <f>D1332*(1+Assumptions!$B$159+DCF!$B$6)</f>
        <v/>
      </c>
      <c r="F1332" s="23">
        <f>E1332*(1+Assumptions!$B$160+DCF!$B$6)</f>
        <v/>
      </c>
      <c r="G1332" s="23">
        <f>F1332*(1+Assumptions!$B$161+DCF!$B$6)</f>
        <v/>
      </c>
    </row>
    <row r="1333">
      <c r="A1333" s="7" t="inlineStr">
        <is>
          <t xml:space="preserve">  Volume — Waste, mn t</t>
        </is>
      </c>
      <c r="C1333" s="23">
        <f>'Segments'!E13*(1+Assumptions!$B$162+DCF!$B$6)</f>
        <v/>
      </c>
      <c r="D1333" s="23">
        <f>C1333*(1+Assumptions!$B$163+DCF!$B$6)</f>
        <v/>
      </c>
      <c r="E1333" s="23">
        <f>D1333*(1+Assumptions!$B$164+DCF!$B$6)</f>
        <v/>
      </c>
      <c r="F1333" s="23">
        <f>E1333*(1+Assumptions!$B$165+DCF!$B$6)</f>
        <v/>
      </c>
      <c r="G1333" s="23">
        <f>F1333*(1+Assumptions!$B$166+DCF!$B$6)</f>
        <v/>
      </c>
    </row>
    <row r="1334">
      <c r="A1334" s="15" t="inlineStr">
        <is>
          <t>Total volume, mn t</t>
        </is>
      </c>
      <c r="C1334" s="36">
        <f>SUM(C1326:C1333)</f>
        <v/>
      </c>
      <c r="D1334" s="36">
        <f>SUM(D1326:D1333)</f>
        <v/>
      </c>
      <c r="E1334" s="36">
        <f>SUM(E1326:E1333)</f>
        <v/>
      </c>
      <c r="F1334" s="36">
        <f>SUM(F1326:F1333)</f>
        <v/>
      </c>
      <c r="G1334" s="36">
        <f>SUM(G1326:G1333)</f>
        <v/>
      </c>
    </row>
    <row r="1335">
      <c r="A1335" s="15" t="inlineStr">
        <is>
          <t>REVENUE</t>
        </is>
      </c>
      <c r="C1335" s="37">
        <f>C1326*'Segments'!$F$6*C1325+C1327*'Segments'!$F$7*C1325+C1328*'Segments'!$F$8*C1325+C1329*'Segments'!$F$9*C1325+C1330*'Segments'!$F$10*C1325+C1331*'Segments'!$F$11*C1325+C1332*'Segments'!$F$12*C1325+C1333*'Segments'!$F$13*C1325</f>
        <v/>
      </c>
      <c r="D1335" s="37">
        <f>D1326*'Segments'!$F$6*D1325+D1327*'Segments'!$F$7*D1325+D1328*'Segments'!$F$8*D1325+D1329*'Segments'!$F$9*D1325+D1330*'Segments'!$F$10*D1325+D1331*'Segments'!$F$11*D1325+D1332*'Segments'!$F$12*D1325+D1333*'Segments'!$F$13*D1325</f>
        <v/>
      </c>
      <c r="E1335" s="37">
        <f>E1326*'Segments'!$F$6*E1325+E1327*'Segments'!$F$7*E1325+E1328*'Segments'!$F$8*E1325+E1329*'Segments'!$F$9*E1325+E1330*'Segments'!$F$10*E1325+E1331*'Segments'!$F$11*E1325+E1332*'Segments'!$F$12*E1325+E1333*'Segments'!$F$13*E1325</f>
        <v/>
      </c>
      <c r="F1335" s="37">
        <f>F1326*'Segments'!$F$6*F1325+F1327*'Segments'!$F$7*F1325+F1328*'Segments'!$F$8*F1325+F1329*'Segments'!$F$9*F1325+F1330*'Segments'!$F$10*F1325+F1331*'Segments'!$F$11*F1325+F1332*'Segments'!$F$12*F1325+F1333*'Segments'!$F$13*F1325</f>
        <v/>
      </c>
      <c r="G1335" s="37">
        <f>G1326*'Segments'!$F$6*G1325+G1327*'Segments'!$F$7*G1325+G1328*'Segments'!$F$8*G1325+G1329*'Segments'!$F$9*G1325+G1330*'Segments'!$F$10*G1325+G1331*'Segments'!$F$11*G1325+G1332*'Segments'!$F$12*G1325+G1333*'Segments'!$F$13*G1325</f>
        <v/>
      </c>
    </row>
    <row r="1336">
      <c r="A1336" s="7" t="inlineStr">
        <is>
          <t>Cost of sales</t>
        </is>
      </c>
      <c r="C1336" s="18">
        <f>C1326*('Segments'!$D$27*C1325*Assumptions!$B$109+'Segments'!$B$27*(0.4983251709*C1324+0.4357405005*C1324+0.0330936548*C1325+0.0328406739))+C1327*('Segments'!$D$28*C1325*Assumptions!$B$109+'Segments'!$B$28*(0.4983251709*C1324+0.4357405005*C1324+0.0330936548*C1325+0.0328406739))+C1328*('Segments'!$D$29*C1325*Assumptions!$B$109+'Segments'!$B$29*(0.4983251709*C1324+0.4357405005*C1324+0.0330936548*C1325+0.0328406739))+C1329*('Segments'!$D$30*C1325*Assumptions!$B$109+'Segments'!$B$30*(0.4983251709*C1324+0.4357405005*C1324+0.0330936548*C1325+0.0328406739))+C1330*('Segments'!$D$31*C1325*Assumptions!$B$109+'Segments'!$B$31*(0.4983251709*C1324+0.4357405005*C1324+0.0330936548*C1325+0.0328406739))+C1331*('Segments'!$D$32*C1325*Assumptions!$B$109+'Segments'!$B$32*(0.4983251709*C1324+0.4357405005*C1324+0.0330936548*C1325+0.0328406739))+C1332*('Segments'!$D$33*C1325*Assumptions!$B$109+'Segments'!$B$33*(0.4983251709*C1324+0.4357405005*C1324+0.0330936548*C1325+0.0328406739))+C1333*('Segments'!$D$34*C1325*Assumptions!$B$109+'Segments'!$B$34*(0.4983251709*C1324+0.4357405005*C1324+0.0330936548*C1325+0.0328406739))</f>
        <v/>
      </c>
      <c r="D1336" s="18">
        <f>D1326*('Segments'!$D$27*D1325*Assumptions!$B$109+'Segments'!$B$27*(0.4983251709*D1324+0.4357405005*D1324+0.0330936548*D1325+0.0328406739))+D1327*('Segments'!$D$28*D1325*Assumptions!$B$109+'Segments'!$B$28*(0.4983251709*D1324+0.4357405005*D1324+0.0330936548*D1325+0.0328406739))+D1328*('Segments'!$D$29*D1325*Assumptions!$B$109+'Segments'!$B$29*(0.4983251709*D1324+0.4357405005*D1324+0.0330936548*D1325+0.0328406739))+D1329*('Segments'!$D$30*D1325*Assumptions!$B$109+'Segments'!$B$30*(0.4983251709*D1324+0.4357405005*D1324+0.0330936548*D1325+0.0328406739))+D1330*('Segments'!$D$31*D1325*Assumptions!$B$109+'Segments'!$B$31*(0.4983251709*D1324+0.4357405005*D1324+0.0330936548*D1325+0.0328406739))+D1331*('Segments'!$D$32*D1325*Assumptions!$B$109+'Segments'!$B$32*(0.4983251709*D1324+0.4357405005*D1324+0.0330936548*D1325+0.0328406739))+D1332*('Segments'!$D$33*D1325*Assumptions!$B$109+'Segments'!$B$33*(0.4983251709*D1324+0.4357405005*D1324+0.0330936548*D1325+0.0328406739))+D1333*('Segments'!$D$34*D1325*Assumptions!$B$109+'Segments'!$B$34*(0.4983251709*D1324+0.4357405005*D1324+0.0330936548*D1325+0.0328406739))</f>
        <v/>
      </c>
      <c r="E1336" s="18">
        <f>E1326*('Segments'!$D$27*E1325*Assumptions!$B$109+'Segments'!$B$27*(0.4983251709*E1324+0.4357405005*E1324+0.0330936548*E1325+0.0328406739))+E1327*('Segments'!$D$28*E1325*Assumptions!$B$109+'Segments'!$B$28*(0.4983251709*E1324+0.4357405005*E1324+0.0330936548*E1325+0.0328406739))+E1328*('Segments'!$D$29*E1325*Assumptions!$B$109+'Segments'!$B$29*(0.4983251709*E1324+0.4357405005*E1324+0.0330936548*E1325+0.0328406739))+E1329*('Segments'!$D$30*E1325*Assumptions!$B$109+'Segments'!$B$30*(0.4983251709*E1324+0.4357405005*E1324+0.0330936548*E1325+0.0328406739))+E1330*('Segments'!$D$31*E1325*Assumptions!$B$109+'Segments'!$B$31*(0.4983251709*E1324+0.4357405005*E1324+0.0330936548*E1325+0.0328406739))+E1331*('Segments'!$D$32*E1325*Assumptions!$B$109+'Segments'!$B$32*(0.4983251709*E1324+0.4357405005*E1324+0.0330936548*E1325+0.0328406739))+E1332*('Segments'!$D$33*E1325*Assumptions!$B$109+'Segments'!$B$33*(0.4983251709*E1324+0.4357405005*E1324+0.0330936548*E1325+0.0328406739))+E1333*('Segments'!$D$34*E1325*Assumptions!$B$109+'Segments'!$B$34*(0.4983251709*E1324+0.4357405005*E1324+0.0330936548*E1325+0.0328406739))</f>
        <v/>
      </c>
      <c r="F1336" s="18">
        <f>F1326*('Segments'!$D$27*F1325*Assumptions!$B$109+'Segments'!$B$27*(0.4983251709*F1324+0.4357405005*F1324+0.0330936548*F1325+0.0328406739))+F1327*('Segments'!$D$28*F1325*Assumptions!$B$109+'Segments'!$B$28*(0.4983251709*F1324+0.4357405005*F1324+0.0330936548*F1325+0.0328406739))+F1328*('Segments'!$D$29*F1325*Assumptions!$B$109+'Segments'!$B$29*(0.4983251709*F1324+0.4357405005*F1324+0.0330936548*F1325+0.0328406739))+F1329*('Segments'!$D$30*F1325*Assumptions!$B$109+'Segments'!$B$30*(0.4983251709*F1324+0.4357405005*F1324+0.0330936548*F1325+0.0328406739))+F1330*('Segments'!$D$31*F1325*Assumptions!$B$109+'Segments'!$B$31*(0.4983251709*F1324+0.4357405005*F1324+0.0330936548*F1325+0.0328406739))+F1331*('Segments'!$D$32*F1325*Assumptions!$B$109+'Segments'!$B$32*(0.4983251709*F1324+0.4357405005*F1324+0.0330936548*F1325+0.0328406739))+F1332*('Segments'!$D$33*F1325*Assumptions!$B$109+'Segments'!$B$33*(0.4983251709*F1324+0.4357405005*F1324+0.0330936548*F1325+0.0328406739))+F1333*('Segments'!$D$34*F1325*Assumptions!$B$109+'Segments'!$B$34*(0.4983251709*F1324+0.4357405005*F1324+0.0330936548*F1325+0.0328406739))</f>
        <v/>
      </c>
      <c r="G1336" s="18">
        <f>G1326*('Segments'!$D$27*G1325*Assumptions!$B$109+'Segments'!$B$27*(0.4983251709*G1324+0.4357405005*G1324+0.0330936548*G1325+0.0328406739))+G1327*('Segments'!$D$28*G1325*Assumptions!$B$109+'Segments'!$B$28*(0.4983251709*G1324+0.4357405005*G1324+0.0330936548*G1325+0.0328406739))+G1328*('Segments'!$D$29*G1325*Assumptions!$B$109+'Segments'!$B$29*(0.4983251709*G1324+0.4357405005*G1324+0.0330936548*G1325+0.0328406739))+G1329*('Segments'!$D$30*G1325*Assumptions!$B$109+'Segments'!$B$30*(0.4983251709*G1324+0.4357405005*G1324+0.0330936548*G1325+0.0328406739))+G1330*('Segments'!$D$31*G1325*Assumptions!$B$109+'Segments'!$B$31*(0.4983251709*G1324+0.4357405005*G1324+0.0330936548*G1325+0.0328406739))+G1331*('Segments'!$D$32*G1325*Assumptions!$B$109+'Segments'!$B$32*(0.4983251709*G1324+0.4357405005*G1324+0.0330936548*G1325+0.0328406739))+G1332*('Segments'!$D$33*G1325*Assumptions!$B$109+'Segments'!$B$33*(0.4983251709*G1324+0.4357405005*G1324+0.0330936548*G1325+0.0328406739))+G1333*('Segments'!$D$34*G1325*Assumptions!$B$109+'Segments'!$B$34*(0.4983251709*G1324+0.4357405005*G1324+0.0330936548*G1325+0.0328406739))</f>
        <v/>
      </c>
    </row>
    <row r="1337">
      <c r="A1337" s="15" t="inlineStr">
        <is>
          <t>GROSS PROFIT</t>
        </is>
      </c>
      <c r="C1337" s="37">
        <f>C1335-C1336+DCF!$B$7*C1335</f>
        <v/>
      </c>
      <c r="D1337" s="37">
        <f>D1335-D1336+DCF!$B$7*D1335</f>
        <v/>
      </c>
      <c r="E1337" s="37">
        <f>E1335-E1336+DCF!$B$7*E1335</f>
        <v/>
      </c>
      <c r="F1337" s="37">
        <f>F1335-F1336+DCF!$B$7*F1335</f>
        <v/>
      </c>
      <c r="G1337" s="37">
        <f>G1335-G1336+DCF!$B$7*G1335</f>
        <v/>
      </c>
    </row>
    <row r="1338">
      <c r="A1338" s="7" t="inlineStr">
        <is>
          <t>Gross margin</t>
        </is>
      </c>
      <c r="C1338" s="24">
        <f>C1337/C1335</f>
        <v/>
      </c>
      <c r="D1338" s="24">
        <f>D1337/D1335</f>
        <v/>
      </c>
      <c r="E1338" s="24">
        <f>E1337/E1335</f>
        <v/>
      </c>
      <c r="F1338" s="24">
        <f>F1337/F1335</f>
        <v/>
      </c>
      <c r="G1338" s="24">
        <f>G1337/G1335</f>
        <v/>
      </c>
    </row>
    <row r="1339">
      <c r="A1339" s="7" t="inlineStr">
        <is>
          <t>Operating expense</t>
        </is>
      </c>
      <c r="C1339" s="18">
        <f>('Income Statement'!$B$28*C1324)+('Income Statement'!$B$29*C1324*C1334/'Segments'!$E$14)+('Income Statement'!$B$30*C1324)+('Income Statement'!$B$31*C1324)</f>
        <v/>
      </c>
      <c r="D1339" s="18">
        <f>('Income Statement'!$B$28*D1324)+('Income Statement'!$B$29*D1324*D1334/'Segments'!$E$14)+('Income Statement'!$B$30*D1324)+('Income Statement'!$B$31*D1324)</f>
        <v/>
      </c>
      <c r="E1339" s="18">
        <f>('Income Statement'!$B$28*E1324)+('Income Statement'!$B$29*E1324*E1334/'Segments'!$E$14)+('Income Statement'!$B$30*E1324)+('Income Statement'!$B$31*E1324)</f>
        <v/>
      </c>
      <c r="F1339" s="18">
        <f>('Income Statement'!$B$28*F1324)+('Income Statement'!$B$29*F1324*F1334/'Segments'!$E$14)+('Income Statement'!$B$30*F1324)+('Income Statement'!$B$31*F1324)</f>
        <v/>
      </c>
      <c r="G1339" s="18">
        <f>('Income Statement'!$B$28*G1324)+('Income Statement'!$B$29*G1324*G1334/'Segments'!$E$14)+('Income Statement'!$B$30*G1324)+('Income Statement'!$B$31*G1324)</f>
        <v/>
      </c>
    </row>
    <row r="1340">
      <c r="A1340" s="15" t="inlineStr">
        <is>
          <t>EBITDA</t>
        </is>
      </c>
      <c r="C1340" s="37">
        <f>C1337-C1339</f>
        <v/>
      </c>
      <c r="D1340" s="37">
        <f>D1337-D1339</f>
        <v/>
      </c>
      <c r="E1340" s="37">
        <f>E1337-E1339</f>
        <v/>
      </c>
      <c r="F1340" s="37">
        <f>F1337-F1339</f>
        <v/>
      </c>
      <c r="G1340" s="37">
        <f>G1337-G1339</f>
        <v/>
      </c>
    </row>
    <row r="1341">
      <c r="A1341" s="7" t="inlineStr">
        <is>
          <t>Capital expenditure — maintenance + growth</t>
        </is>
      </c>
      <c r="C1341" s="18">
        <f>'Income Statement'!$B$43*C1324+MAX(C1334-'Segments'!$E$14,0)*2100.379938*C1324</f>
        <v/>
      </c>
      <c r="D1341" s="18">
        <f>'Income Statement'!$B$43*D1324+MAX(D1334-C1334,0)*2100.379938*D1324</f>
        <v/>
      </c>
      <c r="E1341" s="18">
        <f>'Income Statement'!$B$43*E1324+MAX(E1334-D1334,0)*2100.379938*E1324</f>
        <v/>
      </c>
      <c r="F1341" s="18">
        <f>'Income Statement'!$B$43*F1324+MAX(F1334-E1334,0)*2100.379938*F1324</f>
        <v/>
      </c>
      <c r="G1341" s="18">
        <f>'Income Statement'!$B$43*G1324+MAX(G1334-F1334,0)*2100.379938*G1324</f>
        <v/>
      </c>
    </row>
    <row r="1342">
      <c r="A1342" s="7" t="inlineStr">
        <is>
          <t>Fixed assets at cost, closing</t>
        </is>
      </c>
      <c r="C1342" s="18">
        <f>(Assumptions!$B$91+Assumptions!$B$92)/10^6+C1341</f>
        <v/>
      </c>
      <c r="D1342" s="18">
        <f>C1342+D1341</f>
        <v/>
      </c>
      <c r="E1342" s="18">
        <f>D1342+E1341</f>
        <v/>
      </c>
      <c r="F1342" s="18">
        <f>E1342+F1341</f>
        <v/>
      </c>
      <c r="G1342" s="18">
        <f>F1342+G1341</f>
        <v/>
      </c>
    </row>
    <row r="1343">
      <c r="A1343" s="7" t="inlineStr">
        <is>
          <t>Depreciation — rolls off the asset register</t>
        </is>
      </c>
      <c r="C1343" s="18">
        <f>(Assumptions!$B$91+Assumptions!$B$92)/10^6/'Income Statement'!$B$42</f>
        <v/>
      </c>
      <c r="D1343" s="18">
        <f>C1342/'Income Statement'!$B$42</f>
        <v/>
      </c>
      <c r="E1343" s="18">
        <f>D1342/'Income Statement'!$B$42</f>
        <v/>
      </c>
      <c r="F1343" s="18">
        <f>E1342/'Income Statement'!$B$42</f>
        <v/>
      </c>
      <c r="G1343" s="18">
        <f>F1342/'Income Statement'!$B$42</f>
        <v/>
      </c>
    </row>
    <row r="1344">
      <c r="A1344" s="7" t="inlineStr">
        <is>
          <t>Fixed assets, net book, closing</t>
        </is>
      </c>
      <c r="C1344" s="18">
        <f>(Assumptions!$B$90+Assumptions!$B$92)/10^6+C1341-C1343</f>
        <v/>
      </c>
      <c r="D1344" s="18">
        <f>C1344+D1341-D1343</f>
        <v/>
      </c>
      <c r="E1344" s="18">
        <f>D1344+E1341-E1343</f>
        <v/>
      </c>
      <c r="F1344" s="18">
        <f>E1344+F1341-F1343</f>
        <v/>
      </c>
      <c r="G1344" s="18">
        <f>F1344+G1341-G1343</f>
        <v/>
      </c>
    </row>
    <row r="1345">
      <c r="A1345" s="15" t="inlineStr">
        <is>
          <t>EBIT</t>
        </is>
      </c>
      <c r="C1345" s="37">
        <f>C1340-C1343</f>
        <v/>
      </c>
      <c r="D1345" s="37">
        <f>D1340-D1343</f>
        <v/>
      </c>
      <c r="E1345" s="37">
        <f>E1340-E1343</f>
        <v/>
      </c>
      <c r="F1345" s="37">
        <f>F1340-F1343</f>
        <v/>
      </c>
      <c r="G1345" s="37">
        <f>G1340-G1343</f>
        <v/>
      </c>
    </row>
    <row r="1346">
      <c r="A1346" s="7" t="inlineStr">
        <is>
          <t>NOPAT before the profit share</t>
        </is>
      </c>
      <c r="C1346" s="18">
        <f>C1345*(1-Assumptions!$B$108)</f>
        <v/>
      </c>
      <c r="D1346" s="18">
        <f>D1345*(1-Assumptions!$B$108)</f>
        <v/>
      </c>
      <c r="E1346" s="18">
        <f>E1345*(1-Assumptions!$B$108)</f>
        <v/>
      </c>
      <c r="F1346" s="18">
        <f>F1345*(1-Assumptions!$B$108)</f>
        <v/>
      </c>
      <c r="G1346" s="18">
        <f>G1345*(1-Assumptions!$B$108)</f>
        <v/>
      </c>
    </row>
    <row r="1347">
      <c r="A1347" s="7" t="inlineStr">
        <is>
          <t xml:space="preserve">  less employees' profit share and board bonuses</t>
        </is>
      </c>
      <c r="C1347" s="18">
        <f>MAX(C1346,0)*'Income Statement'!$B$40</f>
        <v/>
      </c>
      <c r="D1347" s="18">
        <f>MAX(D1346,0)*'Income Statement'!$B$40</f>
        <v/>
      </c>
      <c r="E1347" s="18">
        <f>MAX(E1346,0)*'Income Statement'!$B$40</f>
        <v/>
      </c>
      <c r="F1347" s="18">
        <f>MAX(F1346,0)*'Income Statement'!$B$40</f>
        <v/>
      </c>
      <c r="G1347" s="18">
        <f>MAX(G1346,0)*'Income Statement'!$B$40</f>
        <v/>
      </c>
    </row>
    <row r="1348">
      <c r="A1348" s="15" t="inlineStr">
        <is>
          <t>NOPAT</t>
        </is>
      </c>
      <c r="C1348" s="37">
        <f>C1346-C1347</f>
        <v/>
      </c>
      <c r="D1348" s="37">
        <f>D1346-D1347</f>
        <v/>
      </c>
      <c r="E1348" s="37">
        <f>E1346-E1347</f>
        <v/>
      </c>
      <c r="F1348" s="37">
        <f>F1346-F1347</f>
        <v/>
      </c>
      <c r="G1348" s="37">
        <f>G1346-G1347</f>
        <v/>
      </c>
    </row>
    <row r="1349">
      <c r="A1349" s="7" t="inlineStr">
        <is>
          <t>Net working capital — on days</t>
        </is>
      </c>
      <c r="C1349" s="18">
        <f>'Income Statement'!$B$44*DCF!$B$9/365*C1336+'Income Statement'!$B$45*DCF!$B$9/365*C1335-'Income Statement'!$B$46*DCF!$B$9/365*C1336</f>
        <v/>
      </c>
      <c r="D1349" s="18">
        <f>'Income Statement'!$B$44*DCF!$B$9/365*D1336+'Income Statement'!$B$45*DCF!$B$9/365*D1335-'Income Statement'!$B$46*DCF!$B$9/365*D1336</f>
        <v/>
      </c>
      <c r="E1349" s="18">
        <f>'Income Statement'!$B$44*DCF!$B$9/365*E1336+'Income Statement'!$B$45*DCF!$B$9/365*E1335-'Income Statement'!$B$46*DCF!$B$9/365*E1336</f>
        <v/>
      </c>
      <c r="F1349" s="18">
        <f>'Income Statement'!$B$44*DCF!$B$9/365*F1336+'Income Statement'!$B$45*DCF!$B$9/365*F1335-'Income Statement'!$B$46*DCF!$B$9/365*F1336</f>
        <v/>
      </c>
      <c r="G1349" s="18">
        <f>'Income Statement'!$B$44*DCF!$B$9/365*G1336+'Income Statement'!$B$45*DCF!$B$9/365*G1335-'Income Statement'!$B$46*DCF!$B$9/365*G1336</f>
        <v/>
      </c>
    </row>
    <row r="1350">
      <c r="A1350" s="7" t="inlineStr">
        <is>
          <t xml:space="preserve">  change in working capital</t>
        </is>
      </c>
      <c r="C1350" s="18">
        <f>C1349-('Income Statement'!$B$44/365*'Income Statement'!$B$21+'Income Statement'!$B$45/365*'Income Statement'!$B$19-'Income Statement'!$B$46/365*'Income Statement'!$B$21)</f>
        <v/>
      </c>
      <c r="D1350" s="18">
        <f>D1349-C1349</f>
        <v/>
      </c>
      <c r="E1350" s="18">
        <f>E1349-D1349</f>
        <v/>
      </c>
      <c r="F1350" s="18">
        <f>F1349-E1349</f>
        <v/>
      </c>
      <c r="G1350" s="18">
        <f>G1349-F1349</f>
        <v/>
      </c>
    </row>
    <row r="1351">
      <c r="A1351" s="15" t="inlineStr">
        <is>
          <t>FREE CASH FLOW TO THE FIRM</t>
        </is>
      </c>
      <c r="C1351" s="37">
        <f>C1348+C1343-C1341-C1350</f>
        <v/>
      </c>
      <c r="D1351" s="37">
        <f>D1348+D1343-D1341-D1350</f>
        <v/>
      </c>
      <c r="E1351" s="37">
        <f>E1348+E1343-E1341-E1350</f>
        <v/>
      </c>
      <c r="F1351" s="37">
        <f>F1348+F1343-F1341-F1350</f>
        <v/>
      </c>
      <c r="G1351" s="37">
        <f>G1348+G1343-G1341-G1350</f>
        <v/>
      </c>
    </row>
    <row r="1352">
      <c r="A1352" s="7" t="inlineStr">
        <is>
          <t>Glide fraction</t>
        </is>
      </c>
      <c r="C1352" s="23">
        <f>0.0000000000</f>
        <v/>
      </c>
      <c r="D1352" s="23">
        <f>0.3571428571</f>
        <v/>
      </c>
      <c r="E1352" s="23">
        <f>0.6428571429</f>
        <v/>
      </c>
      <c r="F1352" s="23">
        <f>0.8571428571</f>
        <v/>
      </c>
      <c r="G1352" s="23">
        <f>1.0000000000</f>
        <v/>
      </c>
    </row>
    <row r="1353">
      <c r="A1353" s="7" t="inlineStr">
        <is>
          <t>Forward cost of capital</t>
        </is>
      </c>
      <c r="C1353" s="24">
        <f>DCF!$B$14-(DCF!$B$14-DCF!$B$17)*C1352</f>
        <v/>
      </c>
      <c r="D1353" s="24">
        <f>DCF!$B$14-(DCF!$B$14-DCF!$B$17)*D1352</f>
        <v/>
      </c>
      <c r="E1353" s="24">
        <f>DCF!$B$14-(DCF!$B$14-DCF!$B$17)*E1352</f>
        <v/>
      </c>
      <c r="F1353" s="24">
        <f>DCF!$B$14-(DCF!$B$14-DCF!$B$17)*F1352</f>
        <v/>
      </c>
      <c r="G1353" s="24">
        <f>DCF!$B$14-(DCF!$B$14-DCF!$B$17)*G1352</f>
        <v/>
      </c>
    </row>
    <row r="1354">
      <c r="A1354" s="7" t="inlineStr">
        <is>
          <t>Cumulative discount factor</t>
        </is>
      </c>
      <c r="C1354" s="40">
        <f>1/(1+C1353)</f>
        <v/>
      </c>
      <c r="D1354" s="40">
        <f>C1354/(1+D1353)</f>
        <v/>
      </c>
      <c r="E1354" s="40">
        <f>D1354/(1+E1353)</f>
        <v/>
      </c>
      <c r="F1354" s="40">
        <f>E1354/(1+F1353)</f>
        <v/>
      </c>
      <c r="G1354" s="40">
        <f>F1354/(1+G1353)</f>
        <v/>
      </c>
    </row>
    <row r="1355">
      <c r="A1355" s="7" t="inlineStr">
        <is>
          <t>Present value</t>
        </is>
      </c>
      <c r="C1355" s="18">
        <f>C1351*C1354</f>
        <v/>
      </c>
      <c r="D1355" s="18">
        <f>D1351*D1354</f>
        <v/>
      </c>
      <c r="E1355" s="18">
        <f>E1351*E1354</f>
        <v/>
      </c>
      <c r="F1355" s="18">
        <f>F1351*F1354</f>
        <v/>
      </c>
      <c r="G1355" s="18">
        <f>G1351*G1354</f>
        <v/>
      </c>
    </row>
    <row r="1356">
      <c r="A1356" s="15" t="inlineStr">
        <is>
          <t>PV of the explicit window</t>
        </is>
      </c>
      <c r="B1356" s="37">
        <f>SUM(C1355:G1355)</f>
        <v/>
      </c>
      <c r="C1356" s="18">
        <f>C1349+C1342</f>
        <v/>
      </c>
      <c r="D1356" s="18">
        <f>D1349+D1342</f>
        <v/>
      </c>
      <c r="E1356" s="18">
        <f>E1349+E1342</f>
        <v/>
      </c>
      <c r="F1356" s="18">
        <f>F1349+F1342</f>
        <v/>
      </c>
      <c r="G1356" s="18">
        <f>G1349+G1342</f>
        <v/>
      </c>
    </row>
    <row r="1357">
      <c r="A1357" s="7" t="inlineStr">
        <is>
          <t>Terminal return on invested capital, at REPLACEMENT cost</t>
        </is>
      </c>
      <c r="B1357" s="24">
        <f>G1348*(1+$H$42)/G1356</f>
        <v/>
      </c>
    </row>
    <row r="1358">
      <c r="A1358" s="7" t="inlineStr">
        <is>
          <t>Required reinvestment = growth / return</t>
        </is>
      </c>
      <c r="B1358" s="24">
        <f>MIN($H$42/B1357,0.95)</f>
        <v/>
      </c>
    </row>
    <row r="1359">
      <c r="A1359" s="7" t="inlineStr">
        <is>
          <t>Terminal value</t>
        </is>
      </c>
      <c r="B1359" s="18">
        <f>G1348*(1+$H$42)*(1-B1358)/MAX(DCF!$B$17-$H$42,0.02)</f>
        <v/>
      </c>
    </row>
    <row r="1360">
      <c r="A1360" s="7" t="inlineStr">
        <is>
          <t>PV of the terminal block</t>
        </is>
      </c>
      <c r="B1360" s="18">
        <f>B1359*G1354</f>
        <v/>
      </c>
    </row>
    <row r="1361">
      <c r="A1361" s="15" t="inlineStr">
        <is>
          <t>ENTERPRISE VALUE</t>
        </is>
      </c>
      <c r="B1361" s="37">
        <f>B1356+B1360</f>
        <v/>
      </c>
    </row>
    <row r="1362">
      <c r="A1362" s="7" t="inlineStr">
        <is>
          <t>plus net cash</t>
        </is>
      </c>
      <c r="B1362" s="18">
        <f>(Assumptions!$B$100-Assumptions!$B$103-Assumptions!$B$104)/10^6</f>
        <v/>
      </c>
    </row>
    <row r="1363">
      <c r="A1363" s="7" t="inlineStr">
        <is>
          <t>Enterprise value including cash</t>
        </is>
      </c>
      <c r="B1363" s="18">
        <f>B1361+B1362</f>
        <v/>
      </c>
    </row>
    <row r="1364">
      <c r="A1364" s="7" t="inlineStr">
        <is>
          <t>less minority — on the WHOLE enterprise, cash included</t>
        </is>
      </c>
      <c r="B1364" s="18">
        <f>B1363*'Income Statement'!$B$41</f>
        <v/>
      </c>
    </row>
    <row r="1365">
      <c r="A1365" s="7" t="inlineStr">
        <is>
          <t>less the tax-disputes provision</t>
        </is>
      </c>
      <c r="B1365" s="18">
        <f>Assumptions!$B$99/10^6</f>
        <v/>
      </c>
    </row>
    <row r="1366">
      <c r="A1366" s="7" t="inlineStr">
        <is>
          <t>less dividends payable — declared, out of working capital</t>
        </is>
      </c>
      <c r="B1366" s="18">
        <f>Assumptions!$B$98/10^6</f>
        <v/>
      </c>
    </row>
    <row r="1367">
      <c r="A1367" s="7" t="inlineStr">
        <is>
          <t>plus non-operating investments and pledged deposits</t>
        </is>
      </c>
      <c r="B1367" s="18">
        <f>(Assumptions!$B$102+Assumptions!$B$101)/10^6</f>
        <v/>
      </c>
    </row>
    <row r="1368">
      <c r="A1368" s="15" t="inlineStr">
        <is>
          <t>EQUITY ATTRIBUTABLE</t>
        </is>
      </c>
      <c r="B1368" s="37">
        <f>B1363-B1364-B1365-B1366+B1367</f>
        <v/>
      </c>
    </row>
    <row r="1369">
      <c r="A1369" s="15" t="inlineStr">
        <is>
          <t>VALUE PER SHARE, EGP</t>
        </is>
      </c>
      <c r="B1369" s="22">
        <f>B1368/Assumptions!$B$8</f>
        <v/>
      </c>
    </row>
    <row r="1372">
      <c r="A1372" s="6" t="inlineStr">
        <is>
          <t>Terminal growth — 5.0%</t>
        </is>
      </c>
      <c r="B1372" s="6" t="inlineStr">
        <is>
          <t>2026E</t>
        </is>
      </c>
      <c r="C1372" s="6" t="inlineStr">
        <is>
          <t>2027E</t>
        </is>
      </c>
      <c r="D1372" s="6" t="inlineStr">
        <is>
          <t>2028E</t>
        </is>
      </c>
      <c r="E1372" s="6" t="inlineStr">
        <is>
          <t>2029E</t>
        </is>
      </c>
      <c r="F1372" s="6" t="inlineStr">
        <is>
          <t>2030E</t>
        </is>
      </c>
    </row>
    <row r="1373">
      <c r="A1373" s="7" t="inlineStr">
        <is>
          <t>Inflation index, cumulative</t>
        </is>
      </c>
      <c r="C1373" s="23">
        <f>Assumptions!$B$167</f>
        <v/>
      </c>
      <c r="D1373" s="23">
        <f>C1373*Assumptions!$B$168</f>
        <v/>
      </c>
      <c r="E1373" s="23">
        <f>D1373*Assumptions!$B$169</f>
        <v/>
      </c>
      <c r="F1373" s="23">
        <f>E1373*Assumptions!$B$170</f>
        <v/>
      </c>
      <c r="G1373" s="23">
        <f>F1373*Assumptions!$B$171</f>
        <v/>
      </c>
    </row>
    <row r="1374">
      <c r="A1374" s="7" t="inlineStr">
        <is>
          <t>Realisation index, cumulative</t>
        </is>
      </c>
      <c r="C1374" s="23">
        <f>(1+Assumptions!$B$122*DCF!$B$8)</f>
        <v/>
      </c>
      <c r="D1374" s="23">
        <f>C1374*(1+Assumptions!$B$123*DCF!$B$8)</f>
        <v/>
      </c>
      <c r="E1374" s="23">
        <f>D1374*(1+Assumptions!$B$124*DCF!$B$8)</f>
        <v/>
      </c>
      <c r="F1374" s="23">
        <f>E1374*(1+Assumptions!$B$125*DCF!$B$8)</f>
        <v/>
      </c>
      <c r="G1374" s="23">
        <f>F1374*(1+Assumptions!$B$126*DCF!$B$8)</f>
        <v/>
      </c>
    </row>
    <row r="1375">
      <c r="A1375" s="7" t="inlineStr">
        <is>
          <t xml:space="preserve">  Volume — Base and special oils, mn t</t>
        </is>
      </c>
      <c r="C1375" s="23">
        <f>'Segments'!E6*(1+Assumptions!$B$127+DCF!$B$6)</f>
        <v/>
      </c>
      <c r="D1375" s="23">
        <f>C1375*(1+Assumptions!$B$128+DCF!$B$6)</f>
        <v/>
      </c>
      <c r="E1375" s="23">
        <f>D1375*(1+Assumptions!$B$129+DCF!$B$6)</f>
        <v/>
      </c>
      <c r="F1375" s="23">
        <f>E1375*(1+Assumptions!$B$130+DCF!$B$6)</f>
        <v/>
      </c>
      <c r="G1375" s="23">
        <f>F1375*(1+Assumptions!$B$131+DCF!$B$6)</f>
        <v/>
      </c>
    </row>
    <row r="1376">
      <c r="A1376" s="7" t="inlineStr">
        <is>
          <t xml:space="preserve">  Volume — Paraffin wax, mn t</t>
        </is>
      </c>
      <c r="C1376" s="23">
        <f>'Segments'!E7*(1+Assumptions!$B$132+DCF!$B$6)</f>
        <v/>
      </c>
      <c r="D1376" s="23">
        <f>C1376*(1+Assumptions!$B$133+DCF!$B$6)</f>
        <v/>
      </c>
      <c r="E1376" s="23">
        <f>D1376*(1+Assumptions!$B$134+DCF!$B$6)</f>
        <v/>
      </c>
      <c r="F1376" s="23">
        <f>E1376*(1+Assumptions!$B$135+DCF!$B$6)</f>
        <v/>
      </c>
      <c r="G1376" s="23">
        <f>F1376*(1+Assumptions!$B$136+DCF!$B$6)</f>
        <v/>
      </c>
    </row>
    <row r="1377">
      <c r="A1377" s="7" t="inlineStr">
        <is>
          <t xml:space="preserve">  Volume — Gas oil, mn t</t>
        </is>
      </c>
      <c r="C1377" s="23">
        <f>'Segments'!E8*(1+Assumptions!$B$137+DCF!$B$6)</f>
        <v/>
      </c>
      <c r="D1377" s="23">
        <f>C1377*(1+Assumptions!$B$138+DCF!$B$6)</f>
        <v/>
      </c>
      <c r="E1377" s="23">
        <f>D1377*(1+Assumptions!$B$139+DCF!$B$6)</f>
        <v/>
      </c>
      <c r="F1377" s="23">
        <f>E1377*(1+Assumptions!$B$140+DCF!$B$6)</f>
        <v/>
      </c>
      <c r="G1377" s="23">
        <f>F1377*(1+Assumptions!$B$141+DCF!$B$6)</f>
        <v/>
      </c>
    </row>
    <row r="1378">
      <c r="A1378" s="7" t="inlineStr">
        <is>
          <t xml:space="preserve">  Volume — Naphtha, mn t</t>
        </is>
      </c>
      <c r="C1378" s="23">
        <f>'Segments'!E9*(1+Assumptions!$B$142+DCF!$B$6)</f>
        <v/>
      </c>
      <c r="D1378" s="23">
        <f>C1378*(1+Assumptions!$B$143+DCF!$B$6)</f>
        <v/>
      </c>
      <c r="E1378" s="23">
        <f>D1378*(1+Assumptions!$B$144+DCF!$B$6)</f>
        <v/>
      </c>
      <c r="F1378" s="23">
        <f>E1378*(1+Assumptions!$B$145+DCF!$B$6)</f>
        <v/>
      </c>
      <c r="G1378" s="23">
        <f>F1378*(1+Assumptions!$B$146+DCF!$B$6)</f>
        <v/>
      </c>
    </row>
    <row r="1379">
      <c r="A1379" s="7" t="inlineStr">
        <is>
          <t xml:space="preserve">  Volume — Liquefied petroleum gas, mn t</t>
        </is>
      </c>
      <c r="C1379" s="23">
        <f>'Segments'!E10*(1+Assumptions!$B$147+DCF!$B$6)</f>
        <v/>
      </c>
      <c r="D1379" s="23">
        <f>C1379*(1+Assumptions!$B$148+DCF!$B$6)</f>
        <v/>
      </c>
      <c r="E1379" s="23">
        <f>D1379*(1+Assumptions!$B$149+DCF!$B$6)</f>
        <v/>
      </c>
      <c r="F1379" s="23">
        <f>E1379*(1+Assumptions!$B$150+DCF!$B$6)</f>
        <v/>
      </c>
      <c r="G1379" s="23">
        <f>F1379*(1+Assumptions!$B$151+DCF!$B$6)</f>
        <v/>
      </c>
    </row>
    <row r="1380">
      <c r="A1380" s="7" t="inlineStr">
        <is>
          <t xml:space="preserve">  Volume — Fuel oil (mix), mn t</t>
        </is>
      </c>
      <c r="C1380" s="23">
        <f>'Segments'!E11*(1+Assumptions!$B$152+DCF!$B$6)</f>
        <v/>
      </c>
      <c r="D1380" s="23">
        <f>C1380*(1+Assumptions!$B$153+DCF!$B$6)</f>
        <v/>
      </c>
      <c r="E1380" s="23">
        <f>D1380*(1+Assumptions!$B$154+DCF!$B$6)</f>
        <v/>
      </c>
      <c r="F1380" s="23">
        <f>E1380*(1+Assumptions!$B$155+DCF!$B$6)</f>
        <v/>
      </c>
      <c r="G1380" s="23">
        <f>F1380*(1+Assumptions!$B$156+DCF!$B$6)</f>
        <v/>
      </c>
    </row>
    <row r="1381">
      <c r="A1381" s="7" t="inlineStr">
        <is>
          <t xml:space="preserve">  Volume — Heavy fuel oil, mn t</t>
        </is>
      </c>
      <c r="C1381" s="23">
        <f>'Segments'!E12*(1+Assumptions!$B$157+DCF!$B$6)</f>
        <v/>
      </c>
      <c r="D1381" s="23">
        <f>C1381*(1+Assumptions!$B$158+DCF!$B$6)</f>
        <v/>
      </c>
      <c r="E1381" s="23">
        <f>D1381*(1+Assumptions!$B$159+DCF!$B$6)</f>
        <v/>
      </c>
      <c r="F1381" s="23">
        <f>E1381*(1+Assumptions!$B$160+DCF!$B$6)</f>
        <v/>
      </c>
      <c r="G1381" s="23">
        <f>F1381*(1+Assumptions!$B$161+DCF!$B$6)</f>
        <v/>
      </c>
    </row>
    <row r="1382">
      <c r="A1382" s="7" t="inlineStr">
        <is>
          <t xml:space="preserve">  Volume — Waste, mn t</t>
        </is>
      </c>
      <c r="C1382" s="23">
        <f>'Segments'!E13*(1+Assumptions!$B$162+DCF!$B$6)</f>
        <v/>
      </c>
      <c r="D1382" s="23">
        <f>C1382*(1+Assumptions!$B$163+DCF!$B$6)</f>
        <v/>
      </c>
      <c r="E1382" s="23">
        <f>D1382*(1+Assumptions!$B$164+DCF!$B$6)</f>
        <v/>
      </c>
      <c r="F1382" s="23">
        <f>E1382*(1+Assumptions!$B$165+DCF!$B$6)</f>
        <v/>
      </c>
      <c r="G1382" s="23">
        <f>F1382*(1+Assumptions!$B$166+DCF!$B$6)</f>
        <v/>
      </c>
    </row>
    <row r="1383">
      <c r="A1383" s="15" t="inlineStr">
        <is>
          <t>Total volume, mn t</t>
        </is>
      </c>
      <c r="C1383" s="36">
        <f>SUM(C1375:C1382)</f>
        <v/>
      </c>
      <c r="D1383" s="36">
        <f>SUM(D1375:D1382)</f>
        <v/>
      </c>
      <c r="E1383" s="36">
        <f>SUM(E1375:E1382)</f>
        <v/>
      </c>
      <c r="F1383" s="36">
        <f>SUM(F1375:F1382)</f>
        <v/>
      </c>
      <c r="G1383" s="36">
        <f>SUM(G1375:G1382)</f>
        <v/>
      </c>
    </row>
    <row r="1384">
      <c r="A1384" s="15" t="inlineStr">
        <is>
          <t>REVENUE</t>
        </is>
      </c>
      <c r="C1384" s="37">
        <f>C1375*'Segments'!$F$6*C1374+C1376*'Segments'!$F$7*C1374+C1377*'Segments'!$F$8*C1374+C1378*'Segments'!$F$9*C1374+C1379*'Segments'!$F$10*C1374+C1380*'Segments'!$F$11*C1374+C1381*'Segments'!$F$12*C1374+C1382*'Segments'!$F$13*C1374</f>
        <v/>
      </c>
      <c r="D1384" s="37">
        <f>D1375*'Segments'!$F$6*D1374+D1376*'Segments'!$F$7*D1374+D1377*'Segments'!$F$8*D1374+D1378*'Segments'!$F$9*D1374+D1379*'Segments'!$F$10*D1374+D1380*'Segments'!$F$11*D1374+D1381*'Segments'!$F$12*D1374+D1382*'Segments'!$F$13*D1374</f>
        <v/>
      </c>
      <c r="E1384" s="37">
        <f>E1375*'Segments'!$F$6*E1374+E1376*'Segments'!$F$7*E1374+E1377*'Segments'!$F$8*E1374+E1378*'Segments'!$F$9*E1374+E1379*'Segments'!$F$10*E1374+E1380*'Segments'!$F$11*E1374+E1381*'Segments'!$F$12*E1374+E1382*'Segments'!$F$13*E1374</f>
        <v/>
      </c>
      <c r="F1384" s="37">
        <f>F1375*'Segments'!$F$6*F1374+F1376*'Segments'!$F$7*F1374+F1377*'Segments'!$F$8*F1374+F1378*'Segments'!$F$9*F1374+F1379*'Segments'!$F$10*F1374+F1380*'Segments'!$F$11*F1374+F1381*'Segments'!$F$12*F1374+F1382*'Segments'!$F$13*F1374</f>
        <v/>
      </c>
      <c r="G1384" s="37">
        <f>G1375*'Segments'!$F$6*G1374+G1376*'Segments'!$F$7*G1374+G1377*'Segments'!$F$8*G1374+G1378*'Segments'!$F$9*G1374+G1379*'Segments'!$F$10*G1374+G1380*'Segments'!$F$11*G1374+G1381*'Segments'!$F$12*G1374+G1382*'Segments'!$F$13*G1374</f>
        <v/>
      </c>
    </row>
    <row r="1385">
      <c r="A1385" s="7" t="inlineStr">
        <is>
          <t>Cost of sales</t>
        </is>
      </c>
      <c r="C1385" s="18">
        <f>C1375*('Segments'!$D$27*C1374*Assumptions!$B$109+'Segments'!$B$27*(0.4983251709*C1373+0.4357405005*C1373+0.0330936548*C1374+0.0328406739))+C1376*('Segments'!$D$28*C1374*Assumptions!$B$109+'Segments'!$B$28*(0.4983251709*C1373+0.4357405005*C1373+0.0330936548*C1374+0.0328406739))+C1377*('Segments'!$D$29*C1374*Assumptions!$B$109+'Segments'!$B$29*(0.4983251709*C1373+0.4357405005*C1373+0.0330936548*C1374+0.0328406739))+C1378*('Segments'!$D$30*C1374*Assumptions!$B$109+'Segments'!$B$30*(0.4983251709*C1373+0.4357405005*C1373+0.0330936548*C1374+0.0328406739))+C1379*('Segments'!$D$31*C1374*Assumptions!$B$109+'Segments'!$B$31*(0.4983251709*C1373+0.4357405005*C1373+0.0330936548*C1374+0.0328406739))+C1380*('Segments'!$D$32*C1374*Assumptions!$B$109+'Segments'!$B$32*(0.4983251709*C1373+0.4357405005*C1373+0.0330936548*C1374+0.0328406739))+C1381*('Segments'!$D$33*C1374*Assumptions!$B$109+'Segments'!$B$33*(0.4983251709*C1373+0.4357405005*C1373+0.0330936548*C1374+0.0328406739))+C1382*('Segments'!$D$34*C1374*Assumptions!$B$109+'Segments'!$B$34*(0.4983251709*C1373+0.4357405005*C1373+0.0330936548*C1374+0.0328406739))</f>
        <v/>
      </c>
      <c r="D1385" s="18">
        <f>D1375*('Segments'!$D$27*D1374*Assumptions!$B$109+'Segments'!$B$27*(0.4983251709*D1373+0.4357405005*D1373+0.0330936548*D1374+0.0328406739))+D1376*('Segments'!$D$28*D1374*Assumptions!$B$109+'Segments'!$B$28*(0.4983251709*D1373+0.4357405005*D1373+0.0330936548*D1374+0.0328406739))+D1377*('Segments'!$D$29*D1374*Assumptions!$B$109+'Segments'!$B$29*(0.4983251709*D1373+0.4357405005*D1373+0.0330936548*D1374+0.0328406739))+D1378*('Segments'!$D$30*D1374*Assumptions!$B$109+'Segments'!$B$30*(0.4983251709*D1373+0.4357405005*D1373+0.0330936548*D1374+0.0328406739))+D1379*('Segments'!$D$31*D1374*Assumptions!$B$109+'Segments'!$B$31*(0.4983251709*D1373+0.4357405005*D1373+0.0330936548*D1374+0.0328406739))+D1380*('Segments'!$D$32*D1374*Assumptions!$B$109+'Segments'!$B$32*(0.4983251709*D1373+0.4357405005*D1373+0.0330936548*D1374+0.0328406739))+D1381*('Segments'!$D$33*D1374*Assumptions!$B$109+'Segments'!$B$33*(0.4983251709*D1373+0.4357405005*D1373+0.0330936548*D1374+0.0328406739))+D1382*('Segments'!$D$34*D1374*Assumptions!$B$109+'Segments'!$B$34*(0.4983251709*D1373+0.4357405005*D1373+0.0330936548*D1374+0.0328406739))</f>
        <v/>
      </c>
      <c r="E1385" s="18">
        <f>E1375*('Segments'!$D$27*E1374*Assumptions!$B$109+'Segments'!$B$27*(0.4983251709*E1373+0.4357405005*E1373+0.0330936548*E1374+0.0328406739))+E1376*('Segments'!$D$28*E1374*Assumptions!$B$109+'Segments'!$B$28*(0.4983251709*E1373+0.4357405005*E1373+0.0330936548*E1374+0.0328406739))+E1377*('Segments'!$D$29*E1374*Assumptions!$B$109+'Segments'!$B$29*(0.4983251709*E1373+0.4357405005*E1373+0.0330936548*E1374+0.0328406739))+E1378*('Segments'!$D$30*E1374*Assumptions!$B$109+'Segments'!$B$30*(0.4983251709*E1373+0.4357405005*E1373+0.0330936548*E1374+0.0328406739))+E1379*('Segments'!$D$31*E1374*Assumptions!$B$109+'Segments'!$B$31*(0.4983251709*E1373+0.4357405005*E1373+0.0330936548*E1374+0.0328406739))+E1380*('Segments'!$D$32*E1374*Assumptions!$B$109+'Segments'!$B$32*(0.4983251709*E1373+0.4357405005*E1373+0.0330936548*E1374+0.0328406739))+E1381*('Segments'!$D$33*E1374*Assumptions!$B$109+'Segments'!$B$33*(0.4983251709*E1373+0.4357405005*E1373+0.0330936548*E1374+0.0328406739))+E1382*('Segments'!$D$34*E1374*Assumptions!$B$109+'Segments'!$B$34*(0.4983251709*E1373+0.4357405005*E1373+0.0330936548*E1374+0.0328406739))</f>
        <v/>
      </c>
      <c r="F1385" s="18">
        <f>F1375*('Segments'!$D$27*F1374*Assumptions!$B$109+'Segments'!$B$27*(0.4983251709*F1373+0.4357405005*F1373+0.0330936548*F1374+0.0328406739))+F1376*('Segments'!$D$28*F1374*Assumptions!$B$109+'Segments'!$B$28*(0.4983251709*F1373+0.4357405005*F1373+0.0330936548*F1374+0.0328406739))+F1377*('Segments'!$D$29*F1374*Assumptions!$B$109+'Segments'!$B$29*(0.4983251709*F1373+0.4357405005*F1373+0.0330936548*F1374+0.0328406739))+F1378*('Segments'!$D$30*F1374*Assumptions!$B$109+'Segments'!$B$30*(0.4983251709*F1373+0.4357405005*F1373+0.0330936548*F1374+0.0328406739))+F1379*('Segments'!$D$31*F1374*Assumptions!$B$109+'Segments'!$B$31*(0.4983251709*F1373+0.4357405005*F1373+0.0330936548*F1374+0.0328406739))+F1380*('Segments'!$D$32*F1374*Assumptions!$B$109+'Segments'!$B$32*(0.4983251709*F1373+0.4357405005*F1373+0.0330936548*F1374+0.0328406739))+F1381*('Segments'!$D$33*F1374*Assumptions!$B$109+'Segments'!$B$33*(0.4983251709*F1373+0.4357405005*F1373+0.0330936548*F1374+0.0328406739))+F1382*('Segments'!$D$34*F1374*Assumptions!$B$109+'Segments'!$B$34*(0.4983251709*F1373+0.4357405005*F1373+0.0330936548*F1374+0.0328406739))</f>
        <v/>
      </c>
      <c r="G1385" s="18">
        <f>G1375*('Segments'!$D$27*G1374*Assumptions!$B$109+'Segments'!$B$27*(0.4983251709*G1373+0.4357405005*G1373+0.0330936548*G1374+0.0328406739))+G1376*('Segments'!$D$28*G1374*Assumptions!$B$109+'Segments'!$B$28*(0.4983251709*G1373+0.4357405005*G1373+0.0330936548*G1374+0.0328406739))+G1377*('Segments'!$D$29*G1374*Assumptions!$B$109+'Segments'!$B$29*(0.4983251709*G1373+0.4357405005*G1373+0.0330936548*G1374+0.0328406739))+G1378*('Segments'!$D$30*G1374*Assumptions!$B$109+'Segments'!$B$30*(0.4983251709*G1373+0.4357405005*G1373+0.0330936548*G1374+0.0328406739))+G1379*('Segments'!$D$31*G1374*Assumptions!$B$109+'Segments'!$B$31*(0.4983251709*G1373+0.4357405005*G1373+0.0330936548*G1374+0.0328406739))+G1380*('Segments'!$D$32*G1374*Assumptions!$B$109+'Segments'!$B$32*(0.4983251709*G1373+0.4357405005*G1373+0.0330936548*G1374+0.0328406739))+G1381*('Segments'!$D$33*G1374*Assumptions!$B$109+'Segments'!$B$33*(0.4983251709*G1373+0.4357405005*G1373+0.0330936548*G1374+0.0328406739))+G1382*('Segments'!$D$34*G1374*Assumptions!$B$109+'Segments'!$B$34*(0.4983251709*G1373+0.4357405005*G1373+0.0330936548*G1374+0.0328406739))</f>
        <v/>
      </c>
    </row>
    <row r="1386">
      <c r="A1386" s="15" t="inlineStr">
        <is>
          <t>GROSS PROFIT</t>
        </is>
      </c>
      <c r="C1386" s="37">
        <f>C1384-C1385+DCF!$B$7*C1384</f>
        <v/>
      </c>
      <c r="D1386" s="37">
        <f>D1384-D1385+DCF!$B$7*D1384</f>
        <v/>
      </c>
      <c r="E1386" s="37">
        <f>E1384-E1385+DCF!$B$7*E1384</f>
        <v/>
      </c>
      <c r="F1386" s="37">
        <f>F1384-F1385+DCF!$B$7*F1384</f>
        <v/>
      </c>
      <c r="G1386" s="37">
        <f>G1384-G1385+DCF!$B$7*G1384</f>
        <v/>
      </c>
    </row>
    <row r="1387">
      <c r="A1387" s="7" t="inlineStr">
        <is>
          <t>Gross margin</t>
        </is>
      </c>
      <c r="C1387" s="24">
        <f>C1386/C1384</f>
        <v/>
      </c>
      <c r="D1387" s="24">
        <f>D1386/D1384</f>
        <v/>
      </c>
      <c r="E1387" s="24">
        <f>E1386/E1384</f>
        <v/>
      </c>
      <c r="F1387" s="24">
        <f>F1386/F1384</f>
        <v/>
      </c>
      <c r="G1387" s="24">
        <f>G1386/G1384</f>
        <v/>
      </c>
    </row>
    <row r="1388">
      <c r="A1388" s="7" t="inlineStr">
        <is>
          <t>Operating expense</t>
        </is>
      </c>
      <c r="C1388" s="18">
        <f>('Income Statement'!$B$28*C1373)+('Income Statement'!$B$29*C1373*C1383/'Segments'!$E$14)+('Income Statement'!$B$30*C1373)+('Income Statement'!$B$31*C1373)</f>
        <v/>
      </c>
      <c r="D1388" s="18">
        <f>('Income Statement'!$B$28*D1373)+('Income Statement'!$B$29*D1373*D1383/'Segments'!$E$14)+('Income Statement'!$B$30*D1373)+('Income Statement'!$B$31*D1373)</f>
        <v/>
      </c>
      <c r="E1388" s="18">
        <f>('Income Statement'!$B$28*E1373)+('Income Statement'!$B$29*E1373*E1383/'Segments'!$E$14)+('Income Statement'!$B$30*E1373)+('Income Statement'!$B$31*E1373)</f>
        <v/>
      </c>
      <c r="F1388" s="18">
        <f>('Income Statement'!$B$28*F1373)+('Income Statement'!$B$29*F1373*F1383/'Segments'!$E$14)+('Income Statement'!$B$30*F1373)+('Income Statement'!$B$31*F1373)</f>
        <v/>
      </c>
      <c r="G1388" s="18">
        <f>('Income Statement'!$B$28*G1373)+('Income Statement'!$B$29*G1373*G1383/'Segments'!$E$14)+('Income Statement'!$B$30*G1373)+('Income Statement'!$B$31*G1373)</f>
        <v/>
      </c>
    </row>
    <row r="1389">
      <c r="A1389" s="15" t="inlineStr">
        <is>
          <t>EBITDA</t>
        </is>
      </c>
      <c r="C1389" s="37">
        <f>C1386-C1388</f>
        <v/>
      </c>
      <c r="D1389" s="37">
        <f>D1386-D1388</f>
        <v/>
      </c>
      <c r="E1389" s="37">
        <f>E1386-E1388</f>
        <v/>
      </c>
      <c r="F1389" s="37">
        <f>F1386-F1388</f>
        <v/>
      </c>
      <c r="G1389" s="37">
        <f>G1386-G1388</f>
        <v/>
      </c>
    </row>
    <row r="1390">
      <c r="A1390" s="7" t="inlineStr">
        <is>
          <t>Capital expenditure — maintenance + growth</t>
        </is>
      </c>
      <c r="C1390" s="18">
        <f>'Income Statement'!$B$43*C1373+MAX(C1383-'Segments'!$E$14,0)*2100.379938*C1373</f>
        <v/>
      </c>
      <c r="D1390" s="18">
        <f>'Income Statement'!$B$43*D1373+MAX(D1383-C1383,0)*2100.379938*D1373</f>
        <v/>
      </c>
      <c r="E1390" s="18">
        <f>'Income Statement'!$B$43*E1373+MAX(E1383-D1383,0)*2100.379938*E1373</f>
        <v/>
      </c>
      <c r="F1390" s="18">
        <f>'Income Statement'!$B$43*F1373+MAX(F1383-E1383,0)*2100.379938*F1373</f>
        <v/>
      </c>
      <c r="G1390" s="18">
        <f>'Income Statement'!$B$43*G1373+MAX(G1383-F1383,0)*2100.379938*G1373</f>
        <v/>
      </c>
    </row>
    <row r="1391">
      <c r="A1391" s="7" t="inlineStr">
        <is>
          <t>Fixed assets at cost, closing</t>
        </is>
      </c>
      <c r="C1391" s="18">
        <f>(Assumptions!$B$91+Assumptions!$B$92)/10^6+C1390</f>
        <v/>
      </c>
      <c r="D1391" s="18">
        <f>C1391+D1390</f>
        <v/>
      </c>
      <c r="E1391" s="18">
        <f>D1391+E1390</f>
        <v/>
      </c>
      <c r="F1391" s="18">
        <f>E1391+F1390</f>
        <v/>
      </c>
      <c r="G1391" s="18">
        <f>F1391+G1390</f>
        <v/>
      </c>
    </row>
    <row r="1392">
      <c r="A1392" s="7" t="inlineStr">
        <is>
          <t>Depreciation — rolls off the asset register</t>
        </is>
      </c>
      <c r="C1392" s="18">
        <f>(Assumptions!$B$91+Assumptions!$B$92)/10^6/'Income Statement'!$B$42</f>
        <v/>
      </c>
      <c r="D1392" s="18">
        <f>C1391/'Income Statement'!$B$42</f>
        <v/>
      </c>
      <c r="E1392" s="18">
        <f>D1391/'Income Statement'!$B$42</f>
        <v/>
      </c>
      <c r="F1392" s="18">
        <f>E1391/'Income Statement'!$B$42</f>
        <v/>
      </c>
      <c r="G1392" s="18">
        <f>F1391/'Income Statement'!$B$42</f>
        <v/>
      </c>
    </row>
    <row r="1393">
      <c r="A1393" s="7" t="inlineStr">
        <is>
          <t>Fixed assets, net book, closing</t>
        </is>
      </c>
      <c r="C1393" s="18">
        <f>(Assumptions!$B$90+Assumptions!$B$92)/10^6+C1390-C1392</f>
        <v/>
      </c>
      <c r="D1393" s="18">
        <f>C1393+D1390-D1392</f>
        <v/>
      </c>
      <c r="E1393" s="18">
        <f>D1393+E1390-E1392</f>
        <v/>
      </c>
      <c r="F1393" s="18">
        <f>E1393+F1390-F1392</f>
        <v/>
      </c>
      <c r="G1393" s="18">
        <f>F1393+G1390-G1392</f>
        <v/>
      </c>
    </row>
    <row r="1394">
      <c r="A1394" s="15" t="inlineStr">
        <is>
          <t>EBIT</t>
        </is>
      </c>
      <c r="C1394" s="37">
        <f>C1389-C1392</f>
        <v/>
      </c>
      <c r="D1394" s="37">
        <f>D1389-D1392</f>
        <v/>
      </c>
      <c r="E1394" s="37">
        <f>E1389-E1392</f>
        <v/>
      </c>
      <c r="F1394" s="37">
        <f>F1389-F1392</f>
        <v/>
      </c>
      <c r="G1394" s="37">
        <f>G1389-G1392</f>
        <v/>
      </c>
    </row>
    <row r="1395">
      <c r="A1395" s="7" t="inlineStr">
        <is>
          <t>NOPAT before the profit share</t>
        </is>
      </c>
      <c r="C1395" s="18">
        <f>C1394*(1-Assumptions!$B$108)</f>
        <v/>
      </c>
      <c r="D1395" s="18">
        <f>D1394*(1-Assumptions!$B$108)</f>
        <v/>
      </c>
      <c r="E1395" s="18">
        <f>E1394*(1-Assumptions!$B$108)</f>
        <v/>
      </c>
      <c r="F1395" s="18">
        <f>F1394*(1-Assumptions!$B$108)</f>
        <v/>
      </c>
      <c r="G1395" s="18">
        <f>G1394*(1-Assumptions!$B$108)</f>
        <v/>
      </c>
    </row>
    <row r="1396">
      <c r="A1396" s="7" t="inlineStr">
        <is>
          <t xml:space="preserve">  less employees' profit share and board bonuses</t>
        </is>
      </c>
      <c r="C1396" s="18">
        <f>MAX(C1395,0)*'Income Statement'!$B$40</f>
        <v/>
      </c>
      <c r="D1396" s="18">
        <f>MAX(D1395,0)*'Income Statement'!$B$40</f>
        <v/>
      </c>
      <c r="E1396" s="18">
        <f>MAX(E1395,0)*'Income Statement'!$B$40</f>
        <v/>
      </c>
      <c r="F1396" s="18">
        <f>MAX(F1395,0)*'Income Statement'!$B$40</f>
        <v/>
      </c>
      <c r="G1396" s="18">
        <f>MAX(G1395,0)*'Income Statement'!$B$40</f>
        <v/>
      </c>
    </row>
    <row r="1397">
      <c r="A1397" s="15" t="inlineStr">
        <is>
          <t>NOPAT</t>
        </is>
      </c>
      <c r="C1397" s="37">
        <f>C1395-C1396</f>
        <v/>
      </c>
      <c r="D1397" s="37">
        <f>D1395-D1396</f>
        <v/>
      </c>
      <c r="E1397" s="37">
        <f>E1395-E1396</f>
        <v/>
      </c>
      <c r="F1397" s="37">
        <f>F1395-F1396</f>
        <v/>
      </c>
      <c r="G1397" s="37">
        <f>G1395-G1396</f>
        <v/>
      </c>
    </row>
    <row r="1398">
      <c r="A1398" s="7" t="inlineStr">
        <is>
          <t>Net working capital — on days</t>
        </is>
      </c>
      <c r="C1398" s="18">
        <f>'Income Statement'!$B$44*DCF!$B$9/365*C1385+'Income Statement'!$B$45*DCF!$B$9/365*C1384-'Income Statement'!$B$46*DCF!$B$9/365*C1385</f>
        <v/>
      </c>
      <c r="D1398" s="18">
        <f>'Income Statement'!$B$44*DCF!$B$9/365*D1385+'Income Statement'!$B$45*DCF!$B$9/365*D1384-'Income Statement'!$B$46*DCF!$B$9/365*D1385</f>
        <v/>
      </c>
      <c r="E1398" s="18">
        <f>'Income Statement'!$B$44*DCF!$B$9/365*E1385+'Income Statement'!$B$45*DCF!$B$9/365*E1384-'Income Statement'!$B$46*DCF!$B$9/365*E1385</f>
        <v/>
      </c>
      <c r="F1398" s="18">
        <f>'Income Statement'!$B$44*DCF!$B$9/365*F1385+'Income Statement'!$B$45*DCF!$B$9/365*F1384-'Income Statement'!$B$46*DCF!$B$9/365*F1385</f>
        <v/>
      </c>
      <c r="G1398" s="18">
        <f>'Income Statement'!$B$44*DCF!$B$9/365*G1385+'Income Statement'!$B$45*DCF!$B$9/365*G1384-'Income Statement'!$B$46*DCF!$B$9/365*G1385</f>
        <v/>
      </c>
    </row>
    <row r="1399">
      <c r="A1399" s="7" t="inlineStr">
        <is>
          <t xml:space="preserve">  change in working capital</t>
        </is>
      </c>
      <c r="C1399" s="18">
        <f>C1398-('Income Statement'!$B$44/365*'Income Statement'!$B$21+'Income Statement'!$B$45/365*'Income Statement'!$B$19-'Income Statement'!$B$46/365*'Income Statement'!$B$21)</f>
        <v/>
      </c>
      <c r="D1399" s="18">
        <f>D1398-C1398</f>
        <v/>
      </c>
      <c r="E1399" s="18">
        <f>E1398-D1398</f>
        <v/>
      </c>
      <c r="F1399" s="18">
        <f>F1398-E1398</f>
        <v/>
      </c>
      <c r="G1399" s="18">
        <f>G1398-F1398</f>
        <v/>
      </c>
    </row>
    <row r="1400">
      <c r="A1400" s="15" t="inlineStr">
        <is>
          <t>FREE CASH FLOW TO THE FIRM</t>
        </is>
      </c>
      <c r="C1400" s="37">
        <f>C1397+C1392-C1390-C1399</f>
        <v/>
      </c>
      <c r="D1400" s="37">
        <f>D1397+D1392-D1390-D1399</f>
        <v/>
      </c>
      <c r="E1400" s="37">
        <f>E1397+E1392-E1390-E1399</f>
        <v/>
      </c>
      <c r="F1400" s="37">
        <f>F1397+F1392-F1390-F1399</f>
        <v/>
      </c>
      <c r="G1400" s="37">
        <f>G1397+G1392-G1390-G1399</f>
        <v/>
      </c>
    </row>
    <row r="1401">
      <c r="A1401" s="7" t="inlineStr">
        <is>
          <t>Glide fraction</t>
        </is>
      </c>
      <c r="C1401" s="23">
        <f>0.0000000000</f>
        <v/>
      </c>
      <c r="D1401" s="23">
        <f>0.3571428571</f>
        <v/>
      </c>
      <c r="E1401" s="23">
        <f>0.6428571429</f>
        <v/>
      </c>
      <c r="F1401" s="23">
        <f>0.8571428571</f>
        <v/>
      </c>
      <c r="G1401" s="23">
        <f>1.0000000000</f>
        <v/>
      </c>
    </row>
    <row r="1402">
      <c r="A1402" s="7" t="inlineStr">
        <is>
          <t>Forward cost of capital</t>
        </is>
      </c>
      <c r="C1402" s="24">
        <f>DCF!$B$14-(DCF!$B$14-DCF!$B$17)*C1401</f>
        <v/>
      </c>
      <c r="D1402" s="24">
        <f>DCF!$B$14-(DCF!$B$14-DCF!$B$17)*D1401</f>
        <v/>
      </c>
      <c r="E1402" s="24">
        <f>DCF!$B$14-(DCF!$B$14-DCF!$B$17)*E1401</f>
        <v/>
      </c>
      <c r="F1402" s="24">
        <f>DCF!$B$14-(DCF!$B$14-DCF!$B$17)*F1401</f>
        <v/>
      </c>
      <c r="G1402" s="24">
        <f>DCF!$B$14-(DCF!$B$14-DCF!$B$17)*G1401</f>
        <v/>
      </c>
    </row>
    <row r="1403">
      <c r="A1403" s="7" t="inlineStr">
        <is>
          <t>Cumulative discount factor</t>
        </is>
      </c>
      <c r="C1403" s="40">
        <f>1/(1+C1402)</f>
        <v/>
      </c>
      <c r="D1403" s="40">
        <f>C1403/(1+D1402)</f>
        <v/>
      </c>
      <c r="E1403" s="40">
        <f>D1403/(1+E1402)</f>
        <v/>
      </c>
      <c r="F1403" s="40">
        <f>E1403/(1+F1402)</f>
        <v/>
      </c>
      <c r="G1403" s="40">
        <f>F1403/(1+G1402)</f>
        <v/>
      </c>
    </row>
    <row r="1404">
      <c r="A1404" s="7" t="inlineStr">
        <is>
          <t>Present value</t>
        </is>
      </c>
      <c r="C1404" s="18">
        <f>C1400*C1403</f>
        <v/>
      </c>
      <c r="D1404" s="18">
        <f>D1400*D1403</f>
        <v/>
      </c>
      <c r="E1404" s="18">
        <f>E1400*E1403</f>
        <v/>
      </c>
      <c r="F1404" s="18">
        <f>F1400*F1403</f>
        <v/>
      </c>
      <c r="G1404" s="18">
        <f>G1400*G1403</f>
        <v/>
      </c>
    </row>
    <row r="1405">
      <c r="A1405" s="15" t="inlineStr">
        <is>
          <t>PV of the explicit window</t>
        </is>
      </c>
      <c r="B1405" s="37">
        <f>SUM(C1404:G1404)</f>
        <v/>
      </c>
      <c r="C1405" s="18">
        <f>C1398+C1391</f>
        <v/>
      </c>
      <c r="D1405" s="18">
        <f>D1398+D1391</f>
        <v/>
      </c>
      <c r="E1405" s="18">
        <f>E1398+E1391</f>
        <v/>
      </c>
      <c r="F1405" s="18">
        <f>F1398+F1391</f>
        <v/>
      </c>
      <c r="G1405" s="18">
        <f>G1398+G1391</f>
        <v/>
      </c>
    </row>
    <row r="1406">
      <c r="A1406" s="7" t="inlineStr">
        <is>
          <t>Terminal return on invested capital, at REPLACEMENT cost</t>
        </is>
      </c>
      <c r="B1406" s="24">
        <f>G1397*(1+$H$43)/G1405</f>
        <v/>
      </c>
    </row>
    <row r="1407">
      <c r="A1407" s="7" t="inlineStr">
        <is>
          <t>Required reinvestment = growth / return</t>
        </is>
      </c>
      <c r="B1407" s="24">
        <f>MIN($H$43/B1406,0.95)</f>
        <v/>
      </c>
    </row>
    <row r="1408">
      <c r="A1408" s="7" t="inlineStr">
        <is>
          <t>Terminal value</t>
        </is>
      </c>
      <c r="B1408" s="18">
        <f>G1397*(1+$H$43)*(1-B1407)/MAX(DCF!$B$17-$H$43,0.02)</f>
        <v/>
      </c>
    </row>
    <row r="1409">
      <c r="A1409" s="7" t="inlineStr">
        <is>
          <t>PV of the terminal block</t>
        </is>
      </c>
      <c r="B1409" s="18">
        <f>B1408*G1403</f>
        <v/>
      </c>
    </row>
    <row r="1410">
      <c r="A1410" s="15" t="inlineStr">
        <is>
          <t>ENTERPRISE VALUE</t>
        </is>
      </c>
      <c r="B1410" s="37">
        <f>B1405+B1409</f>
        <v/>
      </c>
    </row>
    <row r="1411">
      <c r="A1411" s="7" t="inlineStr">
        <is>
          <t>plus net cash</t>
        </is>
      </c>
      <c r="B1411" s="18">
        <f>(Assumptions!$B$100-Assumptions!$B$103-Assumptions!$B$104)/10^6</f>
        <v/>
      </c>
    </row>
    <row r="1412">
      <c r="A1412" s="7" t="inlineStr">
        <is>
          <t>Enterprise value including cash</t>
        </is>
      </c>
      <c r="B1412" s="18">
        <f>B1410+B1411</f>
        <v/>
      </c>
    </row>
    <row r="1413">
      <c r="A1413" s="7" t="inlineStr">
        <is>
          <t>less minority — on the WHOLE enterprise, cash included</t>
        </is>
      </c>
      <c r="B1413" s="18">
        <f>B1412*'Income Statement'!$B$41</f>
        <v/>
      </c>
    </row>
    <row r="1414">
      <c r="A1414" s="7" t="inlineStr">
        <is>
          <t>less the tax-disputes provision</t>
        </is>
      </c>
      <c r="B1414" s="18">
        <f>Assumptions!$B$99/10^6</f>
        <v/>
      </c>
    </row>
    <row r="1415">
      <c r="A1415" s="7" t="inlineStr">
        <is>
          <t>less dividends payable — declared, out of working capital</t>
        </is>
      </c>
      <c r="B1415" s="18">
        <f>Assumptions!$B$98/10^6</f>
        <v/>
      </c>
    </row>
    <row r="1416">
      <c r="A1416" s="7" t="inlineStr">
        <is>
          <t>plus non-operating investments and pledged deposits</t>
        </is>
      </c>
      <c r="B1416" s="18">
        <f>(Assumptions!$B$102+Assumptions!$B$101)/10^6</f>
        <v/>
      </c>
    </row>
    <row r="1417">
      <c r="A1417" s="15" t="inlineStr">
        <is>
          <t>EQUITY ATTRIBUTABLE</t>
        </is>
      </c>
      <c r="B1417" s="37">
        <f>B1412-B1413-B1414-B1415+B1416</f>
        <v/>
      </c>
    </row>
    <row r="1418">
      <c r="A1418" s="15" t="inlineStr">
        <is>
          <t>VALUE PER SHARE, EGP</t>
        </is>
      </c>
      <c r="B1418" s="22">
        <f>B1417/Assumptions!$B$8</f>
        <v/>
      </c>
    </row>
    <row r="1421">
      <c r="A1421" s="6" t="inlineStr">
        <is>
          <t>Terminal growth — 6.0%</t>
        </is>
      </c>
      <c r="B1421" s="6" t="inlineStr">
        <is>
          <t>2026E</t>
        </is>
      </c>
      <c r="C1421" s="6" t="inlineStr">
        <is>
          <t>2027E</t>
        </is>
      </c>
      <c r="D1421" s="6" t="inlineStr">
        <is>
          <t>2028E</t>
        </is>
      </c>
      <c r="E1421" s="6" t="inlineStr">
        <is>
          <t>2029E</t>
        </is>
      </c>
      <c r="F1421" s="6" t="inlineStr">
        <is>
          <t>2030E</t>
        </is>
      </c>
    </row>
    <row r="1422">
      <c r="A1422" s="7" t="inlineStr">
        <is>
          <t>Inflation index, cumulative</t>
        </is>
      </c>
      <c r="C1422" s="23">
        <f>Assumptions!$B$167</f>
        <v/>
      </c>
      <c r="D1422" s="23">
        <f>C1422*Assumptions!$B$168</f>
        <v/>
      </c>
      <c r="E1422" s="23">
        <f>D1422*Assumptions!$B$169</f>
        <v/>
      </c>
      <c r="F1422" s="23">
        <f>E1422*Assumptions!$B$170</f>
        <v/>
      </c>
      <c r="G1422" s="23">
        <f>F1422*Assumptions!$B$171</f>
        <v/>
      </c>
    </row>
    <row r="1423">
      <c r="A1423" s="7" t="inlineStr">
        <is>
          <t>Realisation index, cumulative</t>
        </is>
      </c>
      <c r="C1423" s="23">
        <f>(1+Assumptions!$B$122*DCF!$B$8)</f>
        <v/>
      </c>
      <c r="D1423" s="23">
        <f>C1423*(1+Assumptions!$B$123*DCF!$B$8)</f>
        <v/>
      </c>
      <c r="E1423" s="23">
        <f>D1423*(1+Assumptions!$B$124*DCF!$B$8)</f>
        <v/>
      </c>
      <c r="F1423" s="23">
        <f>E1423*(1+Assumptions!$B$125*DCF!$B$8)</f>
        <v/>
      </c>
      <c r="G1423" s="23">
        <f>F1423*(1+Assumptions!$B$126*DCF!$B$8)</f>
        <v/>
      </c>
    </row>
    <row r="1424">
      <c r="A1424" s="7" t="inlineStr">
        <is>
          <t xml:space="preserve">  Volume — Base and special oils, mn t</t>
        </is>
      </c>
      <c r="C1424" s="23">
        <f>'Segments'!E6*(1+Assumptions!$B$127+DCF!$B$6)</f>
        <v/>
      </c>
      <c r="D1424" s="23">
        <f>C1424*(1+Assumptions!$B$128+DCF!$B$6)</f>
        <v/>
      </c>
      <c r="E1424" s="23">
        <f>D1424*(1+Assumptions!$B$129+DCF!$B$6)</f>
        <v/>
      </c>
      <c r="F1424" s="23">
        <f>E1424*(1+Assumptions!$B$130+DCF!$B$6)</f>
        <v/>
      </c>
      <c r="G1424" s="23">
        <f>F1424*(1+Assumptions!$B$131+DCF!$B$6)</f>
        <v/>
      </c>
    </row>
    <row r="1425">
      <c r="A1425" s="7" t="inlineStr">
        <is>
          <t xml:space="preserve">  Volume — Paraffin wax, mn t</t>
        </is>
      </c>
      <c r="C1425" s="23">
        <f>'Segments'!E7*(1+Assumptions!$B$132+DCF!$B$6)</f>
        <v/>
      </c>
      <c r="D1425" s="23">
        <f>C1425*(1+Assumptions!$B$133+DCF!$B$6)</f>
        <v/>
      </c>
      <c r="E1425" s="23">
        <f>D1425*(1+Assumptions!$B$134+DCF!$B$6)</f>
        <v/>
      </c>
      <c r="F1425" s="23">
        <f>E1425*(1+Assumptions!$B$135+DCF!$B$6)</f>
        <v/>
      </c>
      <c r="G1425" s="23">
        <f>F1425*(1+Assumptions!$B$136+DCF!$B$6)</f>
        <v/>
      </c>
    </row>
    <row r="1426">
      <c r="A1426" s="7" t="inlineStr">
        <is>
          <t xml:space="preserve">  Volume — Gas oil, mn t</t>
        </is>
      </c>
      <c r="C1426" s="23">
        <f>'Segments'!E8*(1+Assumptions!$B$137+DCF!$B$6)</f>
        <v/>
      </c>
      <c r="D1426" s="23">
        <f>C1426*(1+Assumptions!$B$138+DCF!$B$6)</f>
        <v/>
      </c>
      <c r="E1426" s="23">
        <f>D1426*(1+Assumptions!$B$139+DCF!$B$6)</f>
        <v/>
      </c>
      <c r="F1426" s="23">
        <f>E1426*(1+Assumptions!$B$140+DCF!$B$6)</f>
        <v/>
      </c>
      <c r="G1426" s="23">
        <f>F1426*(1+Assumptions!$B$141+DCF!$B$6)</f>
        <v/>
      </c>
    </row>
    <row r="1427">
      <c r="A1427" s="7" t="inlineStr">
        <is>
          <t xml:space="preserve">  Volume — Naphtha, mn t</t>
        </is>
      </c>
      <c r="C1427" s="23">
        <f>'Segments'!E9*(1+Assumptions!$B$142+DCF!$B$6)</f>
        <v/>
      </c>
      <c r="D1427" s="23">
        <f>C1427*(1+Assumptions!$B$143+DCF!$B$6)</f>
        <v/>
      </c>
      <c r="E1427" s="23">
        <f>D1427*(1+Assumptions!$B$144+DCF!$B$6)</f>
        <v/>
      </c>
      <c r="F1427" s="23">
        <f>E1427*(1+Assumptions!$B$145+DCF!$B$6)</f>
        <v/>
      </c>
      <c r="G1427" s="23">
        <f>F1427*(1+Assumptions!$B$146+DCF!$B$6)</f>
        <v/>
      </c>
    </row>
    <row r="1428">
      <c r="A1428" s="7" t="inlineStr">
        <is>
          <t xml:space="preserve">  Volume — Liquefied petroleum gas, mn t</t>
        </is>
      </c>
      <c r="C1428" s="23">
        <f>'Segments'!E10*(1+Assumptions!$B$147+DCF!$B$6)</f>
        <v/>
      </c>
      <c r="D1428" s="23">
        <f>C1428*(1+Assumptions!$B$148+DCF!$B$6)</f>
        <v/>
      </c>
      <c r="E1428" s="23">
        <f>D1428*(1+Assumptions!$B$149+DCF!$B$6)</f>
        <v/>
      </c>
      <c r="F1428" s="23">
        <f>E1428*(1+Assumptions!$B$150+DCF!$B$6)</f>
        <v/>
      </c>
      <c r="G1428" s="23">
        <f>F1428*(1+Assumptions!$B$151+DCF!$B$6)</f>
        <v/>
      </c>
    </row>
    <row r="1429">
      <c r="A1429" s="7" t="inlineStr">
        <is>
          <t xml:space="preserve">  Volume — Fuel oil (mix), mn t</t>
        </is>
      </c>
      <c r="C1429" s="23">
        <f>'Segments'!E11*(1+Assumptions!$B$152+DCF!$B$6)</f>
        <v/>
      </c>
      <c r="D1429" s="23">
        <f>C1429*(1+Assumptions!$B$153+DCF!$B$6)</f>
        <v/>
      </c>
      <c r="E1429" s="23">
        <f>D1429*(1+Assumptions!$B$154+DCF!$B$6)</f>
        <v/>
      </c>
      <c r="F1429" s="23">
        <f>E1429*(1+Assumptions!$B$155+DCF!$B$6)</f>
        <v/>
      </c>
      <c r="G1429" s="23">
        <f>F1429*(1+Assumptions!$B$156+DCF!$B$6)</f>
        <v/>
      </c>
    </row>
    <row r="1430">
      <c r="A1430" s="7" t="inlineStr">
        <is>
          <t xml:space="preserve">  Volume — Heavy fuel oil, mn t</t>
        </is>
      </c>
      <c r="C1430" s="23">
        <f>'Segments'!E12*(1+Assumptions!$B$157+DCF!$B$6)</f>
        <v/>
      </c>
      <c r="D1430" s="23">
        <f>C1430*(1+Assumptions!$B$158+DCF!$B$6)</f>
        <v/>
      </c>
      <c r="E1430" s="23">
        <f>D1430*(1+Assumptions!$B$159+DCF!$B$6)</f>
        <v/>
      </c>
      <c r="F1430" s="23">
        <f>E1430*(1+Assumptions!$B$160+DCF!$B$6)</f>
        <v/>
      </c>
      <c r="G1430" s="23">
        <f>F1430*(1+Assumptions!$B$161+DCF!$B$6)</f>
        <v/>
      </c>
    </row>
    <row r="1431">
      <c r="A1431" s="7" t="inlineStr">
        <is>
          <t xml:space="preserve">  Volume — Waste, mn t</t>
        </is>
      </c>
      <c r="C1431" s="23">
        <f>'Segments'!E13*(1+Assumptions!$B$162+DCF!$B$6)</f>
        <v/>
      </c>
      <c r="D1431" s="23">
        <f>C1431*(1+Assumptions!$B$163+DCF!$B$6)</f>
        <v/>
      </c>
      <c r="E1431" s="23">
        <f>D1431*(1+Assumptions!$B$164+DCF!$B$6)</f>
        <v/>
      </c>
      <c r="F1431" s="23">
        <f>E1431*(1+Assumptions!$B$165+DCF!$B$6)</f>
        <v/>
      </c>
      <c r="G1431" s="23">
        <f>F1431*(1+Assumptions!$B$166+DCF!$B$6)</f>
        <v/>
      </c>
    </row>
    <row r="1432">
      <c r="A1432" s="15" t="inlineStr">
        <is>
          <t>Total volume, mn t</t>
        </is>
      </c>
      <c r="C1432" s="36">
        <f>SUM(C1424:C1431)</f>
        <v/>
      </c>
      <c r="D1432" s="36">
        <f>SUM(D1424:D1431)</f>
        <v/>
      </c>
      <c r="E1432" s="36">
        <f>SUM(E1424:E1431)</f>
        <v/>
      </c>
      <c r="F1432" s="36">
        <f>SUM(F1424:F1431)</f>
        <v/>
      </c>
      <c r="G1432" s="36">
        <f>SUM(G1424:G1431)</f>
        <v/>
      </c>
    </row>
    <row r="1433">
      <c r="A1433" s="15" t="inlineStr">
        <is>
          <t>REVENUE</t>
        </is>
      </c>
      <c r="C1433" s="37">
        <f>C1424*'Segments'!$F$6*C1423+C1425*'Segments'!$F$7*C1423+C1426*'Segments'!$F$8*C1423+C1427*'Segments'!$F$9*C1423+C1428*'Segments'!$F$10*C1423+C1429*'Segments'!$F$11*C1423+C1430*'Segments'!$F$12*C1423+C1431*'Segments'!$F$13*C1423</f>
        <v/>
      </c>
      <c r="D1433" s="37">
        <f>D1424*'Segments'!$F$6*D1423+D1425*'Segments'!$F$7*D1423+D1426*'Segments'!$F$8*D1423+D1427*'Segments'!$F$9*D1423+D1428*'Segments'!$F$10*D1423+D1429*'Segments'!$F$11*D1423+D1430*'Segments'!$F$12*D1423+D1431*'Segments'!$F$13*D1423</f>
        <v/>
      </c>
      <c r="E1433" s="37">
        <f>E1424*'Segments'!$F$6*E1423+E1425*'Segments'!$F$7*E1423+E1426*'Segments'!$F$8*E1423+E1427*'Segments'!$F$9*E1423+E1428*'Segments'!$F$10*E1423+E1429*'Segments'!$F$11*E1423+E1430*'Segments'!$F$12*E1423+E1431*'Segments'!$F$13*E1423</f>
        <v/>
      </c>
      <c r="F1433" s="37">
        <f>F1424*'Segments'!$F$6*F1423+F1425*'Segments'!$F$7*F1423+F1426*'Segments'!$F$8*F1423+F1427*'Segments'!$F$9*F1423+F1428*'Segments'!$F$10*F1423+F1429*'Segments'!$F$11*F1423+F1430*'Segments'!$F$12*F1423+F1431*'Segments'!$F$13*F1423</f>
        <v/>
      </c>
      <c r="G1433" s="37">
        <f>G1424*'Segments'!$F$6*G1423+G1425*'Segments'!$F$7*G1423+G1426*'Segments'!$F$8*G1423+G1427*'Segments'!$F$9*G1423+G1428*'Segments'!$F$10*G1423+G1429*'Segments'!$F$11*G1423+G1430*'Segments'!$F$12*G1423+G1431*'Segments'!$F$13*G1423</f>
        <v/>
      </c>
    </row>
    <row r="1434">
      <c r="A1434" s="7" t="inlineStr">
        <is>
          <t>Cost of sales</t>
        </is>
      </c>
      <c r="C1434" s="18">
        <f>C1424*('Segments'!$D$27*C1423*Assumptions!$B$109+'Segments'!$B$27*(0.4983251709*C1422+0.4357405005*C1422+0.0330936548*C1423+0.0328406739))+C1425*('Segments'!$D$28*C1423*Assumptions!$B$109+'Segments'!$B$28*(0.4983251709*C1422+0.4357405005*C1422+0.0330936548*C1423+0.0328406739))+C1426*('Segments'!$D$29*C1423*Assumptions!$B$109+'Segments'!$B$29*(0.4983251709*C1422+0.4357405005*C1422+0.0330936548*C1423+0.0328406739))+C1427*('Segments'!$D$30*C1423*Assumptions!$B$109+'Segments'!$B$30*(0.4983251709*C1422+0.4357405005*C1422+0.0330936548*C1423+0.0328406739))+C1428*('Segments'!$D$31*C1423*Assumptions!$B$109+'Segments'!$B$31*(0.4983251709*C1422+0.4357405005*C1422+0.0330936548*C1423+0.0328406739))+C1429*('Segments'!$D$32*C1423*Assumptions!$B$109+'Segments'!$B$32*(0.4983251709*C1422+0.4357405005*C1422+0.0330936548*C1423+0.0328406739))+C1430*('Segments'!$D$33*C1423*Assumptions!$B$109+'Segments'!$B$33*(0.4983251709*C1422+0.4357405005*C1422+0.0330936548*C1423+0.0328406739))+C1431*('Segments'!$D$34*C1423*Assumptions!$B$109+'Segments'!$B$34*(0.4983251709*C1422+0.4357405005*C1422+0.0330936548*C1423+0.0328406739))</f>
        <v/>
      </c>
      <c r="D1434" s="18">
        <f>D1424*('Segments'!$D$27*D1423*Assumptions!$B$109+'Segments'!$B$27*(0.4983251709*D1422+0.4357405005*D1422+0.0330936548*D1423+0.0328406739))+D1425*('Segments'!$D$28*D1423*Assumptions!$B$109+'Segments'!$B$28*(0.4983251709*D1422+0.4357405005*D1422+0.0330936548*D1423+0.0328406739))+D1426*('Segments'!$D$29*D1423*Assumptions!$B$109+'Segments'!$B$29*(0.4983251709*D1422+0.4357405005*D1422+0.0330936548*D1423+0.0328406739))+D1427*('Segments'!$D$30*D1423*Assumptions!$B$109+'Segments'!$B$30*(0.4983251709*D1422+0.4357405005*D1422+0.0330936548*D1423+0.0328406739))+D1428*('Segments'!$D$31*D1423*Assumptions!$B$109+'Segments'!$B$31*(0.4983251709*D1422+0.4357405005*D1422+0.0330936548*D1423+0.0328406739))+D1429*('Segments'!$D$32*D1423*Assumptions!$B$109+'Segments'!$B$32*(0.4983251709*D1422+0.4357405005*D1422+0.0330936548*D1423+0.0328406739))+D1430*('Segments'!$D$33*D1423*Assumptions!$B$109+'Segments'!$B$33*(0.4983251709*D1422+0.4357405005*D1422+0.0330936548*D1423+0.0328406739))+D1431*('Segments'!$D$34*D1423*Assumptions!$B$109+'Segments'!$B$34*(0.4983251709*D1422+0.4357405005*D1422+0.0330936548*D1423+0.0328406739))</f>
        <v/>
      </c>
      <c r="E1434" s="18">
        <f>E1424*('Segments'!$D$27*E1423*Assumptions!$B$109+'Segments'!$B$27*(0.4983251709*E1422+0.4357405005*E1422+0.0330936548*E1423+0.0328406739))+E1425*('Segments'!$D$28*E1423*Assumptions!$B$109+'Segments'!$B$28*(0.4983251709*E1422+0.4357405005*E1422+0.0330936548*E1423+0.0328406739))+E1426*('Segments'!$D$29*E1423*Assumptions!$B$109+'Segments'!$B$29*(0.4983251709*E1422+0.4357405005*E1422+0.0330936548*E1423+0.0328406739))+E1427*('Segments'!$D$30*E1423*Assumptions!$B$109+'Segments'!$B$30*(0.4983251709*E1422+0.4357405005*E1422+0.0330936548*E1423+0.0328406739))+E1428*('Segments'!$D$31*E1423*Assumptions!$B$109+'Segments'!$B$31*(0.4983251709*E1422+0.4357405005*E1422+0.0330936548*E1423+0.0328406739))+E1429*('Segments'!$D$32*E1423*Assumptions!$B$109+'Segments'!$B$32*(0.4983251709*E1422+0.4357405005*E1422+0.0330936548*E1423+0.0328406739))+E1430*('Segments'!$D$33*E1423*Assumptions!$B$109+'Segments'!$B$33*(0.4983251709*E1422+0.4357405005*E1422+0.0330936548*E1423+0.0328406739))+E1431*('Segments'!$D$34*E1423*Assumptions!$B$109+'Segments'!$B$34*(0.4983251709*E1422+0.4357405005*E1422+0.0330936548*E1423+0.0328406739))</f>
        <v/>
      </c>
      <c r="F1434" s="18">
        <f>F1424*('Segments'!$D$27*F1423*Assumptions!$B$109+'Segments'!$B$27*(0.4983251709*F1422+0.4357405005*F1422+0.0330936548*F1423+0.0328406739))+F1425*('Segments'!$D$28*F1423*Assumptions!$B$109+'Segments'!$B$28*(0.4983251709*F1422+0.4357405005*F1422+0.0330936548*F1423+0.0328406739))+F1426*('Segments'!$D$29*F1423*Assumptions!$B$109+'Segments'!$B$29*(0.4983251709*F1422+0.4357405005*F1422+0.0330936548*F1423+0.0328406739))+F1427*('Segments'!$D$30*F1423*Assumptions!$B$109+'Segments'!$B$30*(0.4983251709*F1422+0.4357405005*F1422+0.0330936548*F1423+0.0328406739))+F1428*('Segments'!$D$31*F1423*Assumptions!$B$109+'Segments'!$B$31*(0.4983251709*F1422+0.4357405005*F1422+0.0330936548*F1423+0.0328406739))+F1429*('Segments'!$D$32*F1423*Assumptions!$B$109+'Segments'!$B$32*(0.4983251709*F1422+0.4357405005*F1422+0.0330936548*F1423+0.0328406739))+F1430*('Segments'!$D$33*F1423*Assumptions!$B$109+'Segments'!$B$33*(0.4983251709*F1422+0.4357405005*F1422+0.0330936548*F1423+0.0328406739))+F1431*('Segments'!$D$34*F1423*Assumptions!$B$109+'Segments'!$B$34*(0.4983251709*F1422+0.4357405005*F1422+0.0330936548*F1423+0.0328406739))</f>
        <v/>
      </c>
      <c r="G1434" s="18">
        <f>G1424*('Segments'!$D$27*G1423*Assumptions!$B$109+'Segments'!$B$27*(0.4983251709*G1422+0.4357405005*G1422+0.0330936548*G1423+0.0328406739))+G1425*('Segments'!$D$28*G1423*Assumptions!$B$109+'Segments'!$B$28*(0.4983251709*G1422+0.4357405005*G1422+0.0330936548*G1423+0.0328406739))+G1426*('Segments'!$D$29*G1423*Assumptions!$B$109+'Segments'!$B$29*(0.4983251709*G1422+0.4357405005*G1422+0.0330936548*G1423+0.0328406739))+G1427*('Segments'!$D$30*G1423*Assumptions!$B$109+'Segments'!$B$30*(0.4983251709*G1422+0.4357405005*G1422+0.0330936548*G1423+0.0328406739))+G1428*('Segments'!$D$31*G1423*Assumptions!$B$109+'Segments'!$B$31*(0.4983251709*G1422+0.4357405005*G1422+0.0330936548*G1423+0.0328406739))+G1429*('Segments'!$D$32*G1423*Assumptions!$B$109+'Segments'!$B$32*(0.4983251709*G1422+0.4357405005*G1422+0.0330936548*G1423+0.0328406739))+G1430*('Segments'!$D$33*G1423*Assumptions!$B$109+'Segments'!$B$33*(0.4983251709*G1422+0.4357405005*G1422+0.0330936548*G1423+0.0328406739))+G1431*('Segments'!$D$34*G1423*Assumptions!$B$109+'Segments'!$B$34*(0.4983251709*G1422+0.4357405005*G1422+0.0330936548*G1423+0.0328406739))</f>
        <v/>
      </c>
    </row>
    <row r="1435">
      <c r="A1435" s="15" t="inlineStr">
        <is>
          <t>GROSS PROFIT</t>
        </is>
      </c>
      <c r="C1435" s="37">
        <f>C1433-C1434+DCF!$B$7*C1433</f>
        <v/>
      </c>
      <c r="D1435" s="37">
        <f>D1433-D1434+DCF!$B$7*D1433</f>
        <v/>
      </c>
      <c r="E1435" s="37">
        <f>E1433-E1434+DCF!$B$7*E1433</f>
        <v/>
      </c>
      <c r="F1435" s="37">
        <f>F1433-F1434+DCF!$B$7*F1433</f>
        <v/>
      </c>
      <c r="G1435" s="37">
        <f>G1433-G1434+DCF!$B$7*G1433</f>
        <v/>
      </c>
    </row>
    <row r="1436">
      <c r="A1436" s="7" t="inlineStr">
        <is>
          <t>Gross margin</t>
        </is>
      </c>
      <c r="C1436" s="24">
        <f>C1435/C1433</f>
        <v/>
      </c>
      <c r="D1436" s="24">
        <f>D1435/D1433</f>
        <v/>
      </c>
      <c r="E1436" s="24">
        <f>E1435/E1433</f>
        <v/>
      </c>
      <c r="F1436" s="24">
        <f>F1435/F1433</f>
        <v/>
      </c>
      <c r="G1436" s="24">
        <f>G1435/G1433</f>
        <v/>
      </c>
    </row>
    <row r="1437">
      <c r="A1437" s="7" t="inlineStr">
        <is>
          <t>Operating expense</t>
        </is>
      </c>
      <c r="C1437" s="18">
        <f>('Income Statement'!$B$28*C1422)+('Income Statement'!$B$29*C1422*C1432/'Segments'!$E$14)+('Income Statement'!$B$30*C1422)+('Income Statement'!$B$31*C1422)</f>
        <v/>
      </c>
      <c r="D1437" s="18">
        <f>('Income Statement'!$B$28*D1422)+('Income Statement'!$B$29*D1422*D1432/'Segments'!$E$14)+('Income Statement'!$B$30*D1422)+('Income Statement'!$B$31*D1422)</f>
        <v/>
      </c>
      <c r="E1437" s="18">
        <f>('Income Statement'!$B$28*E1422)+('Income Statement'!$B$29*E1422*E1432/'Segments'!$E$14)+('Income Statement'!$B$30*E1422)+('Income Statement'!$B$31*E1422)</f>
        <v/>
      </c>
      <c r="F1437" s="18">
        <f>('Income Statement'!$B$28*F1422)+('Income Statement'!$B$29*F1422*F1432/'Segments'!$E$14)+('Income Statement'!$B$30*F1422)+('Income Statement'!$B$31*F1422)</f>
        <v/>
      </c>
      <c r="G1437" s="18">
        <f>('Income Statement'!$B$28*G1422)+('Income Statement'!$B$29*G1422*G1432/'Segments'!$E$14)+('Income Statement'!$B$30*G1422)+('Income Statement'!$B$31*G1422)</f>
        <v/>
      </c>
    </row>
    <row r="1438">
      <c r="A1438" s="15" t="inlineStr">
        <is>
          <t>EBITDA</t>
        </is>
      </c>
      <c r="C1438" s="37">
        <f>C1435-C1437</f>
        <v/>
      </c>
      <c r="D1438" s="37">
        <f>D1435-D1437</f>
        <v/>
      </c>
      <c r="E1438" s="37">
        <f>E1435-E1437</f>
        <v/>
      </c>
      <c r="F1438" s="37">
        <f>F1435-F1437</f>
        <v/>
      </c>
      <c r="G1438" s="37">
        <f>G1435-G1437</f>
        <v/>
      </c>
    </row>
    <row r="1439">
      <c r="A1439" s="7" t="inlineStr">
        <is>
          <t>Capital expenditure — maintenance + growth</t>
        </is>
      </c>
      <c r="C1439" s="18">
        <f>'Income Statement'!$B$43*C1422+MAX(C1432-'Segments'!$E$14,0)*2100.379938*C1422</f>
        <v/>
      </c>
      <c r="D1439" s="18">
        <f>'Income Statement'!$B$43*D1422+MAX(D1432-C1432,0)*2100.379938*D1422</f>
        <v/>
      </c>
      <c r="E1439" s="18">
        <f>'Income Statement'!$B$43*E1422+MAX(E1432-D1432,0)*2100.379938*E1422</f>
        <v/>
      </c>
      <c r="F1439" s="18">
        <f>'Income Statement'!$B$43*F1422+MAX(F1432-E1432,0)*2100.379938*F1422</f>
        <v/>
      </c>
      <c r="G1439" s="18">
        <f>'Income Statement'!$B$43*G1422+MAX(G1432-F1432,0)*2100.379938*G1422</f>
        <v/>
      </c>
    </row>
    <row r="1440">
      <c r="A1440" s="7" t="inlineStr">
        <is>
          <t>Fixed assets at cost, closing</t>
        </is>
      </c>
      <c r="C1440" s="18">
        <f>(Assumptions!$B$91+Assumptions!$B$92)/10^6+C1439</f>
        <v/>
      </c>
      <c r="D1440" s="18">
        <f>C1440+D1439</f>
        <v/>
      </c>
      <c r="E1440" s="18">
        <f>D1440+E1439</f>
        <v/>
      </c>
      <c r="F1440" s="18">
        <f>E1440+F1439</f>
        <v/>
      </c>
      <c r="G1440" s="18">
        <f>F1440+G1439</f>
        <v/>
      </c>
    </row>
    <row r="1441">
      <c r="A1441" s="7" t="inlineStr">
        <is>
          <t>Depreciation — rolls off the asset register</t>
        </is>
      </c>
      <c r="C1441" s="18">
        <f>(Assumptions!$B$91+Assumptions!$B$92)/10^6/'Income Statement'!$B$42</f>
        <v/>
      </c>
      <c r="D1441" s="18">
        <f>C1440/'Income Statement'!$B$42</f>
        <v/>
      </c>
      <c r="E1441" s="18">
        <f>D1440/'Income Statement'!$B$42</f>
        <v/>
      </c>
      <c r="F1441" s="18">
        <f>E1440/'Income Statement'!$B$42</f>
        <v/>
      </c>
      <c r="G1441" s="18">
        <f>F1440/'Income Statement'!$B$42</f>
        <v/>
      </c>
    </row>
    <row r="1442">
      <c r="A1442" s="7" t="inlineStr">
        <is>
          <t>Fixed assets, net book, closing</t>
        </is>
      </c>
      <c r="C1442" s="18">
        <f>(Assumptions!$B$90+Assumptions!$B$92)/10^6+C1439-C1441</f>
        <v/>
      </c>
      <c r="D1442" s="18">
        <f>C1442+D1439-D1441</f>
        <v/>
      </c>
      <c r="E1442" s="18">
        <f>D1442+E1439-E1441</f>
        <v/>
      </c>
      <c r="F1442" s="18">
        <f>E1442+F1439-F1441</f>
        <v/>
      </c>
      <c r="G1442" s="18">
        <f>F1442+G1439-G1441</f>
        <v/>
      </c>
    </row>
    <row r="1443">
      <c r="A1443" s="15" t="inlineStr">
        <is>
          <t>EBIT</t>
        </is>
      </c>
      <c r="C1443" s="37">
        <f>C1438-C1441</f>
        <v/>
      </c>
      <c r="D1443" s="37">
        <f>D1438-D1441</f>
        <v/>
      </c>
      <c r="E1443" s="37">
        <f>E1438-E1441</f>
        <v/>
      </c>
      <c r="F1443" s="37">
        <f>F1438-F1441</f>
        <v/>
      </c>
      <c r="G1443" s="37">
        <f>G1438-G1441</f>
        <v/>
      </c>
    </row>
    <row r="1444">
      <c r="A1444" s="7" t="inlineStr">
        <is>
          <t>NOPAT before the profit share</t>
        </is>
      </c>
      <c r="C1444" s="18">
        <f>C1443*(1-Assumptions!$B$108)</f>
        <v/>
      </c>
      <c r="D1444" s="18">
        <f>D1443*(1-Assumptions!$B$108)</f>
        <v/>
      </c>
      <c r="E1444" s="18">
        <f>E1443*(1-Assumptions!$B$108)</f>
        <v/>
      </c>
      <c r="F1444" s="18">
        <f>F1443*(1-Assumptions!$B$108)</f>
        <v/>
      </c>
      <c r="G1444" s="18">
        <f>G1443*(1-Assumptions!$B$108)</f>
        <v/>
      </c>
    </row>
    <row r="1445">
      <c r="A1445" s="7" t="inlineStr">
        <is>
          <t xml:space="preserve">  less employees' profit share and board bonuses</t>
        </is>
      </c>
      <c r="C1445" s="18">
        <f>MAX(C1444,0)*'Income Statement'!$B$40</f>
        <v/>
      </c>
      <c r="D1445" s="18">
        <f>MAX(D1444,0)*'Income Statement'!$B$40</f>
        <v/>
      </c>
      <c r="E1445" s="18">
        <f>MAX(E1444,0)*'Income Statement'!$B$40</f>
        <v/>
      </c>
      <c r="F1445" s="18">
        <f>MAX(F1444,0)*'Income Statement'!$B$40</f>
        <v/>
      </c>
      <c r="G1445" s="18">
        <f>MAX(G1444,0)*'Income Statement'!$B$40</f>
        <v/>
      </c>
    </row>
    <row r="1446">
      <c r="A1446" s="15" t="inlineStr">
        <is>
          <t>NOPAT</t>
        </is>
      </c>
      <c r="C1446" s="37">
        <f>C1444-C1445</f>
        <v/>
      </c>
      <c r="D1446" s="37">
        <f>D1444-D1445</f>
        <v/>
      </c>
      <c r="E1446" s="37">
        <f>E1444-E1445</f>
        <v/>
      </c>
      <c r="F1446" s="37">
        <f>F1444-F1445</f>
        <v/>
      </c>
      <c r="G1446" s="37">
        <f>G1444-G1445</f>
        <v/>
      </c>
    </row>
    <row r="1447">
      <c r="A1447" s="7" t="inlineStr">
        <is>
          <t>Net working capital — on days</t>
        </is>
      </c>
      <c r="C1447" s="18">
        <f>'Income Statement'!$B$44*DCF!$B$9/365*C1434+'Income Statement'!$B$45*DCF!$B$9/365*C1433-'Income Statement'!$B$46*DCF!$B$9/365*C1434</f>
        <v/>
      </c>
      <c r="D1447" s="18">
        <f>'Income Statement'!$B$44*DCF!$B$9/365*D1434+'Income Statement'!$B$45*DCF!$B$9/365*D1433-'Income Statement'!$B$46*DCF!$B$9/365*D1434</f>
        <v/>
      </c>
      <c r="E1447" s="18">
        <f>'Income Statement'!$B$44*DCF!$B$9/365*E1434+'Income Statement'!$B$45*DCF!$B$9/365*E1433-'Income Statement'!$B$46*DCF!$B$9/365*E1434</f>
        <v/>
      </c>
      <c r="F1447" s="18">
        <f>'Income Statement'!$B$44*DCF!$B$9/365*F1434+'Income Statement'!$B$45*DCF!$B$9/365*F1433-'Income Statement'!$B$46*DCF!$B$9/365*F1434</f>
        <v/>
      </c>
      <c r="G1447" s="18">
        <f>'Income Statement'!$B$44*DCF!$B$9/365*G1434+'Income Statement'!$B$45*DCF!$B$9/365*G1433-'Income Statement'!$B$46*DCF!$B$9/365*G1434</f>
        <v/>
      </c>
    </row>
    <row r="1448">
      <c r="A1448" s="7" t="inlineStr">
        <is>
          <t xml:space="preserve">  change in working capital</t>
        </is>
      </c>
      <c r="C1448" s="18">
        <f>C1447-('Income Statement'!$B$44/365*'Income Statement'!$B$21+'Income Statement'!$B$45/365*'Income Statement'!$B$19-'Income Statement'!$B$46/365*'Income Statement'!$B$21)</f>
        <v/>
      </c>
      <c r="D1448" s="18">
        <f>D1447-C1447</f>
        <v/>
      </c>
      <c r="E1448" s="18">
        <f>E1447-D1447</f>
        <v/>
      </c>
      <c r="F1448" s="18">
        <f>F1447-E1447</f>
        <v/>
      </c>
      <c r="G1448" s="18">
        <f>G1447-F1447</f>
        <v/>
      </c>
    </row>
    <row r="1449">
      <c r="A1449" s="15" t="inlineStr">
        <is>
          <t>FREE CASH FLOW TO THE FIRM</t>
        </is>
      </c>
      <c r="C1449" s="37">
        <f>C1446+C1441-C1439-C1448</f>
        <v/>
      </c>
      <c r="D1449" s="37">
        <f>D1446+D1441-D1439-D1448</f>
        <v/>
      </c>
      <c r="E1449" s="37">
        <f>E1446+E1441-E1439-E1448</f>
        <v/>
      </c>
      <c r="F1449" s="37">
        <f>F1446+F1441-F1439-F1448</f>
        <v/>
      </c>
      <c r="G1449" s="37">
        <f>G1446+G1441-G1439-G1448</f>
        <v/>
      </c>
    </row>
    <row r="1450">
      <c r="A1450" s="7" t="inlineStr">
        <is>
          <t>Glide fraction</t>
        </is>
      </c>
      <c r="C1450" s="23">
        <f>0.0000000000</f>
        <v/>
      </c>
      <c r="D1450" s="23">
        <f>0.3571428571</f>
        <v/>
      </c>
      <c r="E1450" s="23">
        <f>0.6428571429</f>
        <v/>
      </c>
      <c r="F1450" s="23">
        <f>0.8571428571</f>
        <v/>
      </c>
      <c r="G1450" s="23">
        <f>1.0000000000</f>
        <v/>
      </c>
    </row>
    <row r="1451">
      <c r="A1451" s="7" t="inlineStr">
        <is>
          <t>Forward cost of capital</t>
        </is>
      </c>
      <c r="C1451" s="24">
        <f>DCF!$B$14-(DCF!$B$14-DCF!$B$17)*C1450</f>
        <v/>
      </c>
      <c r="D1451" s="24">
        <f>DCF!$B$14-(DCF!$B$14-DCF!$B$17)*D1450</f>
        <v/>
      </c>
      <c r="E1451" s="24">
        <f>DCF!$B$14-(DCF!$B$14-DCF!$B$17)*E1450</f>
        <v/>
      </c>
      <c r="F1451" s="24">
        <f>DCF!$B$14-(DCF!$B$14-DCF!$B$17)*F1450</f>
        <v/>
      </c>
      <c r="G1451" s="24">
        <f>DCF!$B$14-(DCF!$B$14-DCF!$B$17)*G1450</f>
        <v/>
      </c>
    </row>
    <row r="1452">
      <c r="A1452" s="7" t="inlineStr">
        <is>
          <t>Cumulative discount factor</t>
        </is>
      </c>
      <c r="C1452" s="40">
        <f>1/(1+C1451)</f>
        <v/>
      </c>
      <c r="D1452" s="40">
        <f>C1452/(1+D1451)</f>
        <v/>
      </c>
      <c r="E1452" s="40">
        <f>D1452/(1+E1451)</f>
        <v/>
      </c>
      <c r="F1452" s="40">
        <f>E1452/(1+F1451)</f>
        <v/>
      </c>
      <c r="G1452" s="40">
        <f>F1452/(1+G1451)</f>
        <v/>
      </c>
    </row>
    <row r="1453">
      <c r="A1453" s="7" t="inlineStr">
        <is>
          <t>Present value</t>
        </is>
      </c>
      <c r="C1453" s="18">
        <f>C1449*C1452</f>
        <v/>
      </c>
      <c r="D1453" s="18">
        <f>D1449*D1452</f>
        <v/>
      </c>
      <c r="E1453" s="18">
        <f>E1449*E1452</f>
        <v/>
      </c>
      <c r="F1453" s="18">
        <f>F1449*F1452</f>
        <v/>
      </c>
      <c r="G1453" s="18">
        <f>G1449*G1452</f>
        <v/>
      </c>
    </row>
    <row r="1454">
      <c r="A1454" s="15" t="inlineStr">
        <is>
          <t>PV of the explicit window</t>
        </is>
      </c>
      <c r="B1454" s="37">
        <f>SUM(C1453:G1453)</f>
        <v/>
      </c>
      <c r="C1454" s="18">
        <f>C1447+C1440</f>
        <v/>
      </c>
      <c r="D1454" s="18">
        <f>D1447+D1440</f>
        <v/>
      </c>
      <c r="E1454" s="18">
        <f>E1447+E1440</f>
        <v/>
      </c>
      <c r="F1454" s="18">
        <f>F1447+F1440</f>
        <v/>
      </c>
      <c r="G1454" s="18">
        <f>G1447+G1440</f>
        <v/>
      </c>
    </row>
    <row r="1455">
      <c r="A1455" s="7" t="inlineStr">
        <is>
          <t>Terminal return on invested capital, at REPLACEMENT cost</t>
        </is>
      </c>
      <c r="B1455" s="24">
        <f>G1446*(1+$H$44)/G1454</f>
        <v/>
      </c>
    </row>
    <row r="1456">
      <c r="A1456" s="7" t="inlineStr">
        <is>
          <t>Required reinvestment = growth / return</t>
        </is>
      </c>
      <c r="B1456" s="24">
        <f>MIN($H$44/B1455,0.95)</f>
        <v/>
      </c>
    </row>
    <row r="1457">
      <c r="A1457" s="7" t="inlineStr">
        <is>
          <t>Terminal value</t>
        </is>
      </c>
      <c r="B1457" s="18">
        <f>G1446*(1+$H$44)*(1-B1456)/MAX(DCF!$B$17-$H$44,0.02)</f>
        <v/>
      </c>
    </row>
    <row r="1458">
      <c r="A1458" s="7" t="inlineStr">
        <is>
          <t>PV of the terminal block</t>
        </is>
      </c>
      <c r="B1458" s="18">
        <f>B1457*G1452</f>
        <v/>
      </c>
    </row>
    <row r="1459">
      <c r="A1459" s="15" t="inlineStr">
        <is>
          <t>ENTERPRISE VALUE</t>
        </is>
      </c>
      <c r="B1459" s="37">
        <f>B1454+B1458</f>
        <v/>
      </c>
    </row>
    <row r="1460">
      <c r="A1460" s="7" t="inlineStr">
        <is>
          <t>plus net cash</t>
        </is>
      </c>
      <c r="B1460" s="18">
        <f>(Assumptions!$B$100-Assumptions!$B$103-Assumptions!$B$104)/10^6</f>
        <v/>
      </c>
    </row>
    <row r="1461">
      <c r="A1461" s="7" t="inlineStr">
        <is>
          <t>Enterprise value including cash</t>
        </is>
      </c>
      <c r="B1461" s="18">
        <f>B1459+B1460</f>
        <v/>
      </c>
    </row>
    <row r="1462">
      <c r="A1462" s="7" t="inlineStr">
        <is>
          <t>less minority — on the WHOLE enterprise, cash included</t>
        </is>
      </c>
      <c r="B1462" s="18">
        <f>B1461*'Income Statement'!$B$41</f>
        <v/>
      </c>
    </row>
    <row r="1463">
      <c r="A1463" s="7" t="inlineStr">
        <is>
          <t>less the tax-disputes provision</t>
        </is>
      </c>
      <c r="B1463" s="18">
        <f>Assumptions!$B$99/10^6</f>
        <v/>
      </c>
    </row>
    <row r="1464">
      <c r="A1464" s="7" t="inlineStr">
        <is>
          <t>less dividends payable — declared, out of working capital</t>
        </is>
      </c>
      <c r="B1464" s="18">
        <f>Assumptions!$B$98/10^6</f>
        <v/>
      </c>
    </row>
    <row r="1465">
      <c r="A1465" s="7" t="inlineStr">
        <is>
          <t>plus non-operating investments and pledged deposits</t>
        </is>
      </c>
      <c r="B1465" s="18">
        <f>(Assumptions!$B$102+Assumptions!$B$101)/10^6</f>
        <v/>
      </c>
    </row>
    <row r="1466">
      <c r="A1466" s="15" t="inlineStr">
        <is>
          <t>EQUITY ATTRIBUTABLE</t>
        </is>
      </c>
      <c r="B1466" s="37">
        <f>B1461-B1462-B1463-B1464+B1465</f>
        <v/>
      </c>
    </row>
    <row r="1467">
      <c r="A1467" s="15" t="inlineStr">
        <is>
          <t>VALUE PER SHARE, EGP</t>
        </is>
      </c>
      <c r="B1467" s="22">
        <f>B1466/Assumptions!$B$8</f>
        <v/>
      </c>
    </row>
    <row r="1470">
      <c r="A1470" s="6" t="inlineStr">
        <is>
          <t>Terminal growth — 7.0%</t>
        </is>
      </c>
      <c r="B1470" s="6" t="inlineStr">
        <is>
          <t>2026E</t>
        </is>
      </c>
      <c r="C1470" s="6" t="inlineStr">
        <is>
          <t>2027E</t>
        </is>
      </c>
      <c r="D1470" s="6" t="inlineStr">
        <is>
          <t>2028E</t>
        </is>
      </c>
      <c r="E1470" s="6" t="inlineStr">
        <is>
          <t>2029E</t>
        </is>
      </c>
      <c r="F1470" s="6" t="inlineStr">
        <is>
          <t>2030E</t>
        </is>
      </c>
    </row>
    <row r="1471">
      <c r="A1471" s="7" t="inlineStr">
        <is>
          <t>Inflation index, cumulative</t>
        </is>
      </c>
      <c r="C1471" s="23">
        <f>Assumptions!$B$167</f>
        <v/>
      </c>
      <c r="D1471" s="23">
        <f>C1471*Assumptions!$B$168</f>
        <v/>
      </c>
      <c r="E1471" s="23">
        <f>D1471*Assumptions!$B$169</f>
        <v/>
      </c>
      <c r="F1471" s="23">
        <f>E1471*Assumptions!$B$170</f>
        <v/>
      </c>
      <c r="G1471" s="23">
        <f>F1471*Assumptions!$B$171</f>
        <v/>
      </c>
    </row>
    <row r="1472">
      <c r="A1472" s="7" t="inlineStr">
        <is>
          <t>Realisation index, cumulative</t>
        </is>
      </c>
      <c r="C1472" s="23">
        <f>(1+Assumptions!$B$122*DCF!$B$8)</f>
        <v/>
      </c>
      <c r="D1472" s="23">
        <f>C1472*(1+Assumptions!$B$123*DCF!$B$8)</f>
        <v/>
      </c>
      <c r="E1472" s="23">
        <f>D1472*(1+Assumptions!$B$124*DCF!$B$8)</f>
        <v/>
      </c>
      <c r="F1472" s="23">
        <f>E1472*(1+Assumptions!$B$125*DCF!$B$8)</f>
        <v/>
      </c>
      <c r="G1472" s="23">
        <f>F1472*(1+Assumptions!$B$126*DCF!$B$8)</f>
        <v/>
      </c>
    </row>
    <row r="1473">
      <c r="A1473" s="7" t="inlineStr">
        <is>
          <t xml:space="preserve">  Volume — Base and special oils, mn t</t>
        </is>
      </c>
      <c r="C1473" s="23">
        <f>'Segments'!E6*(1+Assumptions!$B$127+DCF!$B$6)</f>
        <v/>
      </c>
      <c r="D1473" s="23">
        <f>C1473*(1+Assumptions!$B$128+DCF!$B$6)</f>
        <v/>
      </c>
      <c r="E1473" s="23">
        <f>D1473*(1+Assumptions!$B$129+DCF!$B$6)</f>
        <v/>
      </c>
      <c r="F1473" s="23">
        <f>E1473*(1+Assumptions!$B$130+DCF!$B$6)</f>
        <v/>
      </c>
      <c r="G1473" s="23">
        <f>F1473*(1+Assumptions!$B$131+DCF!$B$6)</f>
        <v/>
      </c>
    </row>
    <row r="1474">
      <c r="A1474" s="7" t="inlineStr">
        <is>
          <t xml:space="preserve">  Volume — Paraffin wax, mn t</t>
        </is>
      </c>
      <c r="C1474" s="23">
        <f>'Segments'!E7*(1+Assumptions!$B$132+DCF!$B$6)</f>
        <v/>
      </c>
      <c r="D1474" s="23">
        <f>C1474*(1+Assumptions!$B$133+DCF!$B$6)</f>
        <v/>
      </c>
      <c r="E1474" s="23">
        <f>D1474*(1+Assumptions!$B$134+DCF!$B$6)</f>
        <v/>
      </c>
      <c r="F1474" s="23">
        <f>E1474*(1+Assumptions!$B$135+DCF!$B$6)</f>
        <v/>
      </c>
      <c r="G1474" s="23">
        <f>F1474*(1+Assumptions!$B$136+DCF!$B$6)</f>
        <v/>
      </c>
    </row>
    <row r="1475">
      <c r="A1475" s="7" t="inlineStr">
        <is>
          <t xml:space="preserve">  Volume — Gas oil, mn t</t>
        </is>
      </c>
      <c r="C1475" s="23">
        <f>'Segments'!E8*(1+Assumptions!$B$137+DCF!$B$6)</f>
        <v/>
      </c>
      <c r="D1475" s="23">
        <f>C1475*(1+Assumptions!$B$138+DCF!$B$6)</f>
        <v/>
      </c>
      <c r="E1475" s="23">
        <f>D1475*(1+Assumptions!$B$139+DCF!$B$6)</f>
        <v/>
      </c>
      <c r="F1475" s="23">
        <f>E1475*(1+Assumptions!$B$140+DCF!$B$6)</f>
        <v/>
      </c>
      <c r="G1475" s="23">
        <f>F1475*(1+Assumptions!$B$141+DCF!$B$6)</f>
        <v/>
      </c>
    </row>
    <row r="1476">
      <c r="A1476" s="7" t="inlineStr">
        <is>
          <t xml:space="preserve">  Volume — Naphtha, mn t</t>
        </is>
      </c>
      <c r="C1476" s="23">
        <f>'Segments'!E9*(1+Assumptions!$B$142+DCF!$B$6)</f>
        <v/>
      </c>
      <c r="D1476" s="23">
        <f>C1476*(1+Assumptions!$B$143+DCF!$B$6)</f>
        <v/>
      </c>
      <c r="E1476" s="23">
        <f>D1476*(1+Assumptions!$B$144+DCF!$B$6)</f>
        <v/>
      </c>
      <c r="F1476" s="23">
        <f>E1476*(1+Assumptions!$B$145+DCF!$B$6)</f>
        <v/>
      </c>
      <c r="G1476" s="23">
        <f>F1476*(1+Assumptions!$B$146+DCF!$B$6)</f>
        <v/>
      </c>
    </row>
    <row r="1477">
      <c r="A1477" s="7" t="inlineStr">
        <is>
          <t xml:space="preserve">  Volume — Liquefied petroleum gas, mn t</t>
        </is>
      </c>
      <c r="C1477" s="23">
        <f>'Segments'!E10*(1+Assumptions!$B$147+DCF!$B$6)</f>
        <v/>
      </c>
      <c r="D1477" s="23">
        <f>C1477*(1+Assumptions!$B$148+DCF!$B$6)</f>
        <v/>
      </c>
      <c r="E1477" s="23">
        <f>D1477*(1+Assumptions!$B$149+DCF!$B$6)</f>
        <v/>
      </c>
      <c r="F1477" s="23">
        <f>E1477*(1+Assumptions!$B$150+DCF!$B$6)</f>
        <v/>
      </c>
      <c r="G1477" s="23">
        <f>F1477*(1+Assumptions!$B$151+DCF!$B$6)</f>
        <v/>
      </c>
    </row>
    <row r="1478">
      <c r="A1478" s="7" t="inlineStr">
        <is>
          <t xml:space="preserve">  Volume — Fuel oil (mix), mn t</t>
        </is>
      </c>
      <c r="C1478" s="23">
        <f>'Segments'!E11*(1+Assumptions!$B$152+DCF!$B$6)</f>
        <v/>
      </c>
      <c r="D1478" s="23">
        <f>C1478*(1+Assumptions!$B$153+DCF!$B$6)</f>
        <v/>
      </c>
      <c r="E1478" s="23">
        <f>D1478*(1+Assumptions!$B$154+DCF!$B$6)</f>
        <v/>
      </c>
      <c r="F1478" s="23">
        <f>E1478*(1+Assumptions!$B$155+DCF!$B$6)</f>
        <v/>
      </c>
      <c r="G1478" s="23">
        <f>F1478*(1+Assumptions!$B$156+DCF!$B$6)</f>
        <v/>
      </c>
    </row>
    <row r="1479">
      <c r="A1479" s="7" t="inlineStr">
        <is>
          <t xml:space="preserve">  Volume — Heavy fuel oil, mn t</t>
        </is>
      </c>
      <c r="C1479" s="23">
        <f>'Segments'!E12*(1+Assumptions!$B$157+DCF!$B$6)</f>
        <v/>
      </c>
      <c r="D1479" s="23">
        <f>C1479*(1+Assumptions!$B$158+DCF!$B$6)</f>
        <v/>
      </c>
      <c r="E1479" s="23">
        <f>D1479*(1+Assumptions!$B$159+DCF!$B$6)</f>
        <v/>
      </c>
      <c r="F1479" s="23">
        <f>E1479*(1+Assumptions!$B$160+DCF!$B$6)</f>
        <v/>
      </c>
      <c r="G1479" s="23">
        <f>F1479*(1+Assumptions!$B$161+DCF!$B$6)</f>
        <v/>
      </c>
    </row>
    <row r="1480">
      <c r="A1480" s="7" t="inlineStr">
        <is>
          <t xml:space="preserve">  Volume — Waste, mn t</t>
        </is>
      </c>
      <c r="C1480" s="23">
        <f>'Segments'!E13*(1+Assumptions!$B$162+DCF!$B$6)</f>
        <v/>
      </c>
      <c r="D1480" s="23">
        <f>C1480*(1+Assumptions!$B$163+DCF!$B$6)</f>
        <v/>
      </c>
      <c r="E1480" s="23">
        <f>D1480*(1+Assumptions!$B$164+DCF!$B$6)</f>
        <v/>
      </c>
      <c r="F1480" s="23">
        <f>E1480*(1+Assumptions!$B$165+DCF!$B$6)</f>
        <v/>
      </c>
      <c r="G1480" s="23">
        <f>F1480*(1+Assumptions!$B$166+DCF!$B$6)</f>
        <v/>
      </c>
    </row>
    <row r="1481">
      <c r="A1481" s="15" t="inlineStr">
        <is>
          <t>Total volume, mn t</t>
        </is>
      </c>
      <c r="C1481" s="36">
        <f>SUM(C1473:C1480)</f>
        <v/>
      </c>
      <c r="D1481" s="36">
        <f>SUM(D1473:D1480)</f>
        <v/>
      </c>
      <c r="E1481" s="36">
        <f>SUM(E1473:E1480)</f>
        <v/>
      </c>
      <c r="F1481" s="36">
        <f>SUM(F1473:F1480)</f>
        <v/>
      </c>
      <c r="G1481" s="36">
        <f>SUM(G1473:G1480)</f>
        <v/>
      </c>
    </row>
    <row r="1482">
      <c r="A1482" s="15" t="inlineStr">
        <is>
          <t>REVENUE</t>
        </is>
      </c>
      <c r="C1482" s="37">
        <f>C1473*'Segments'!$F$6*C1472+C1474*'Segments'!$F$7*C1472+C1475*'Segments'!$F$8*C1472+C1476*'Segments'!$F$9*C1472+C1477*'Segments'!$F$10*C1472+C1478*'Segments'!$F$11*C1472+C1479*'Segments'!$F$12*C1472+C1480*'Segments'!$F$13*C1472</f>
        <v/>
      </c>
      <c r="D1482" s="37">
        <f>D1473*'Segments'!$F$6*D1472+D1474*'Segments'!$F$7*D1472+D1475*'Segments'!$F$8*D1472+D1476*'Segments'!$F$9*D1472+D1477*'Segments'!$F$10*D1472+D1478*'Segments'!$F$11*D1472+D1479*'Segments'!$F$12*D1472+D1480*'Segments'!$F$13*D1472</f>
        <v/>
      </c>
      <c r="E1482" s="37">
        <f>E1473*'Segments'!$F$6*E1472+E1474*'Segments'!$F$7*E1472+E1475*'Segments'!$F$8*E1472+E1476*'Segments'!$F$9*E1472+E1477*'Segments'!$F$10*E1472+E1478*'Segments'!$F$11*E1472+E1479*'Segments'!$F$12*E1472+E1480*'Segments'!$F$13*E1472</f>
        <v/>
      </c>
      <c r="F1482" s="37">
        <f>F1473*'Segments'!$F$6*F1472+F1474*'Segments'!$F$7*F1472+F1475*'Segments'!$F$8*F1472+F1476*'Segments'!$F$9*F1472+F1477*'Segments'!$F$10*F1472+F1478*'Segments'!$F$11*F1472+F1479*'Segments'!$F$12*F1472+F1480*'Segments'!$F$13*F1472</f>
        <v/>
      </c>
      <c r="G1482" s="37">
        <f>G1473*'Segments'!$F$6*G1472+G1474*'Segments'!$F$7*G1472+G1475*'Segments'!$F$8*G1472+G1476*'Segments'!$F$9*G1472+G1477*'Segments'!$F$10*G1472+G1478*'Segments'!$F$11*G1472+G1479*'Segments'!$F$12*G1472+G1480*'Segments'!$F$13*G1472</f>
        <v/>
      </c>
    </row>
    <row r="1483">
      <c r="A1483" s="7" t="inlineStr">
        <is>
          <t>Cost of sales</t>
        </is>
      </c>
      <c r="C1483" s="18">
        <f>C1473*('Segments'!$D$27*C1472*Assumptions!$B$109+'Segments'!$B$27*(0.4983251709*C1471+0.4357405005*C1471+0.0330936548*C1472+0.0328406739))+C1474*('Segments'!$D$28*C1472*Assumptions!$B$109+'Segments'!$B$28*(0.4983251709*C1471+0.4357405005*C1471+0.0330936548*C1472+0.0328406739))+C1475*('Segments'!$D$29*C1472*Assumptions!$B$109+'Segments'!$B$29*(0.4983251709*C1471+0.4357405005*C1471+0.0330936548*C1472+0.0328406739))+C1476*('Segments'!$D$30*C1472*Assumptions!$B$109+'Segments'!$B$30*(0.4983251709*C1471+0.4357405005*C1471+0.0330936548*C1472+0.0328406739))+C1477*('Segments'!$D$31*C1472*Assumptions!$B$109+'Segments'!$B$31*(0.4983251709*C1471+0.4357405005*C1471+0.0330936548*C1472+0.0328406739))+C1478*('Segments'!$D$32*C1472*Assumptions!$B$109+'Segments'!$B$32*(0.4983251709*C1471+0.4357405005*C1471+0.0330936548*C1472+0.0328406739))+C1479*('Segments'!$D$33*C1472*Assumptions!$B$109+'Segments'!$B$33*(0.4983251709*C1471+0.4357405005*C1471+0.0330936548*C1472+0.0328406739))+C1480*('Segments'!$D$34*C1472*Assumptions!$B$109+'Segments'!$B$34*(0.4983251709*C1471+0.4357405005*C1471+0.0330936548*C1472+0.0328406739))</f>
        <v/>
      </c>
      <c r="D1483" s="18">
        <f>D1473*('Segments'!$D$27*D1472*Assumptions!$B$109+'Segments'!$B$27*(0.4983251709*D1471+0.4357405005*D1471+0.0330936548*D1472+0.0328406739))+D1474*('Segments'!$D$28*D1472*Assumptions!$B$109+'Segments'!$B$28*(0.4983251709*D1471+0.4357405005*D1471+0.0330936548*D1472+0.0328406739))+D1475*('Segments'!$D$29*D1472*Assumptions!$B$109+'Segments'!$B$29*(0.4983251709*D1471+0.4357405005*D1471+0.0330936548*D1472+0.0328406739))+D1476*('Segments'!$D$30*D1472*Assumptions!$B$109+'Segments'!$B$30*(0.4983251709*D1471+0.4357405005*D1471+0.0330936548*D1472+0.0328406739))+D1477*('Segments'!$D$31*D1472*Assumptions!$B$109+'Segments'!$B$31*(0.4983251709*D1471+0.4357405005*D1471+0.0330936548*D1472+0.0328406739))+D1478*('Segments'!$D$32*D1472*Assumptions!$B$109+'Segments'!$B$32*(0.4983251709*D1471+0.4357405005*D1471+0.0330936548*D1472+0.0328406739))+D1479*('Segments'!$D$33*D1472*Assumptions!$B$109+'Segments'!$B$33*(0.4983251709*D1471+0.4357405005*D1471+0.0330936548*D1472+0.0328406739))+D1480*('Segments'!$D$34*D1472*Assumptions!$B$109+'Segments'!$B$34*(0.4983251709*D1471+0.4357405005*D1471+0.0330936548*D1472+0.0328406739))</f>
        <v/>
      </c>
      <c r="E1483" s="18">
        <f>E1473*('Segments'!$D$27*E1472*Assumptions!$B$109+'Segments'!$B$27*(0.4983251709*E1471+0.4357405005*E1471+0.0330936548*E1472+0.0328406739))+E1474*('Segments'!$D$28*E1472*Assumptions!$B$109+'Segments'!$B$28*(0.4983251709*E1471+0.4357405005*E1471+0.0330936548*E1472+0.0328406739))+E1475*('Segments'!$D$29*E1472*Assumptions!$B$109+'Segments'!$B$29*(0.4983251709*E1471+0.4357405005*E1471+0.0330936548*E1472+0.0328406739))+E1476*('Segments'!$D$30*E1472*Assumptions!$B$109+'Segments'!$B$30*(0.4983251709*E1471+0.4357405005*E1471+0.0330936548*E1472+0.0328406739))+E1477*('Segments'!$D$31*E1472*Assumptions!$B$109+'Segments'!$B$31*(0.4983251709*E1471+0.4357405005*E1471+0.0330936548*E1472+0.0328406739))+E1478*('Segments'!$D$32*E1472*Assumptions!$B$109+'Segments'!$B$32*(0.4983251709*E1471+0.4357405005*E1471+0.0330936548*E1472+0.0328406739))+E1479*('Segments'!$D$33*E1472*Assumptions!$B$109+'Segments'!$B$33*(0.4983251709*E1471+0.4357405005*E1471+0.0330936548*E1472+0.0328406739))+E1480*('Segments'!$D$34*E1472*Assumptions!$B$109+'Segments'!$B$34*(0.4983251709*E1471+0.4357405005*E1471+0.0330936548*E1472+0.0328406739))</f>
        <v/>
      </c>
      <c r="F1483" s="18">
        <f>F1473*('Segments'!$D$27*F1472*Assumptions!$B$109+'Segments'!$B$27*(0.4983251709*F1471+0.4357405005*F1471+0.0330936548*F1472+0.0328406739))+F1474*('Segments'!$D$28*F1472*Assumptions!$B$109+'Segments'!$B$28*(0.4983251709*F1471+0.4357405005*F1471+0.0330936548*F1472+0.0328406739))+F1475*('Segments'!$D$29*F1472*Assumptions!$B$109+'Segments'!$B$29*(0.4983251709*F1471+0.4357405005*F1471+0.0330936548*F1472+0.0328406739))+F1476*('Segments'!$D$30*F1472*Assumptions!$B$109+'Segments'!$B$30*(0.4983251709*F1471+0.4357405005*F1471+0.0330936548*F1472+0.0328406739))+F1477*('Segments'!$D$31*F1472*Assumptions!$B$109+'Segments'!$B$31*(0.4983251709*F1471+0.4357405005*F1471+0.0330936548*F1472+0.0328406739))+F1478*('Segments'!$D$32*F1472*Assumptions!$B$109+'Segments'!$B$32*(0.4983251709*F1471+0.4357405005*F1471+0.0330936548*F1472+0.0328406739))+F1479*('Segments'!$D$33*F1472*Assumptions!$B$109+'Segments'!$B$33*(0.4983251709*F1471+0.4357405005*F1471+0.0330936548*F1472+0.0328406739))+F1480*('Segments'!$D$34*F1472*Assumptions!$B$109+'Segments'!$B$34*(0.4983251709*F1471+0.4357405005*F1471+0.0330936548*F1472+0.0328406739))</f>
        <v/>
      </c>
      <c r="G1483" s="18">
        <f>G1473*('Segments'!$D$27*G1472*Assumptions!$B$109+'Segments'!$B$27*(0.4983251709*G1471+0.4357405005*G1471+0.0330936548*G1472+0.0328406739))+G1474*('Segments'!$D$28*G1472*Assumptions!$B$109+'Segments'!$B$28*(0.4983251709*G1471+0.4357405005*G1471+0.0330936548*G1472+0.0328406739))+G1475*('Segments'!$D$29*G1472*Assumptions!$B$109+'Segments'!$B$29*(0.4983251709*G1471+0.4357405005*G1471+0.0330936548*G1472+0.0328406739))+G1476*('Segments'!$D$30*G1472*Assumptions!$B$109+'Segments'!$B$30*(0.4983251709*G1471+0.4357405005*G1471+0.0330936548*G1472+0.0328406739))+G1477*('Segments'!$D$31*G1472*Assumptions!$B$109+'Segments'!$B$31*(0.4983251709*G1471+0.4357405005*G1471+0.0330936548*G1472+0.0328406739))+G1478*('Segments'!$D$32*G1472*Assumptions!$B$109+'Segments'!$B$32*(0.4983251709*G1471+0.4357405005*G1471+0.0330936548*G1472+0.0328406739))+G1479*('Segments'!$D$33*G1472*Assumptions!$B$109+'Segments'!$B$33*(0.4983251709*G1471+0.4357405005*G1471+0.0330936548*G1472+0.0328406739))+G1480*('Segments'!$D$34*G1472*Assumptions!$B$109+'Segments'!$B$34*(0.4983251709*G1471+0.4357405005*G1471+0.0330936548*G1472+0.0328406739))</f>
        <v/>
      </c>
    </row>
    <row r="1484">
      <c r="A1484" s="15" t="inlineStr">
        <is>
          <t>GROSS PROFIT</t>
        </is>
      </c>
      <c r="C1484" s="37">
        <f>C1482-C1483+DCF!$B$7*C1482</f>
        <v/>
      </c>
      <c r="D1484" s="37">
        <f>D1482-D1483+DCF!$B$7*D1482</f>
        <v/>
      </c>
      <c r="E1484" s="37">
        <f>E1482-E1483+DCF!$B$7*E1482</f>
        <v/>
      </c>
      <c r="F1484" s="37">
        <f>F1482-F1483+DCF!$B$7*F1482</f>
        <v/>
      </c>
      <c r="G1484" s="37">
        <f>G1482-G1483+DCF!$B$7*G1482</f>
        <v/>
      </c>
    </row>
    <row r="1485">
      <c r="A1485" s="7" t="inlineStr">
        <is>
          <t>Gross margin</t>
        </is>
      </c>
      <c r="C1485" s="24">
        <f>C1484/C1482</f>
        <v/>
      </c>
      <c r="D1485" s="24">
        <f>D1484/D1482</f>
        <v/>
      </c>
      <c r="E1485" s="24">
        <f>E1484/E1482</f>
        <v/>
      </c>
      <c r="F1485" s="24">
        <f>F1484/F1482</f>
        <v/>
      </c>
      <c r="G1485" s="24">
        <f>G1484/G1482</f>
        <v/>
      </c>
    </row>
    <row r="1486">
      <c r="A1486" s="7" t="inlineStr">
        <is>
          <t>Operating expense</t>
        </is>
      </c>
      <c r="C1486" s="18">
        <f>('Income Statement'!$B$28*C1471)+('Income Statement'!$B$29*C1471*C1481/'Segments'!$E$14)+('Income Statement'!$B$30*C1471)+('Income Statement'!$B$31*C1471)</f>
        <v/>
      </c>
      <c r="D1486" s="18">
        <f>('Income Statement'!$B$28*D1471)+('Income Statement'!$B$29*D1471*D1481/'Segments'!$E$14)+('Income Statement'!$B$30*D1471)+('Income Statement'!$B$31*D1471)</f>
        <v/>
      </c>
      <c r="E1486" s="18">
        <f>('Income Statement'!$B$28*E1471)+('Income Statement'!$B$29*E1471*E1481/'Segments'!$E$14)+('Income Statement'!$B$30*E1471)+('Income Statement'!$B$31*E1471)</f>
        <v/>
      </c>
      <c r="F1486" s="18">
        <f>('Income Statement'!$B$28*F1471)+('Income Statement'!$B$29*F1471*F1481/'Segments'!$E$14)+('Income Statement'!$B$30*F1471)+('Income Statement'!$B$31*F1471)</f>
        <v/>
      </c>
      <c r="G1486" s="18">
        <f>('Income Statement'!$B$28*G1471)+('Income Statement'!$B$29*G1471*G1481/'Segments'!$E$14)+('Income Statement'!$B$30*G1471)+('Income Statement'!$B$31*G1471)</f>
        <v/>
      </c>
    </row>
    <row r="1487">
      <c r="A1487" s="15" t="inlineStr">
        <is>
          <t>EBITDA</t>
        </is>
      </c>
      <c r="C1487" s="37">
        <f>C1484-C1486</f>
        <v/>
      </c>
      <c r="D1487" s="37">
        <f>D1484-D1486</f>
        <v/>
      </c>
      <c r="E1487" s="37">
        <f>E1484-E1486</f>
        <v/>
      </c>
      <c r="F1487" s="37">
        <f>F1484-F1486</f>
        <v/>
      </c>
      <c r="G1487" s="37">
        <f>G1484-G1486</f>
        <v/>
      </c>
    </row>
    <row r="1488">
      <c r="A1488" s="7" t="inlineStr">
        <is>
          <t>Capital expenditure — maintenance + growth</t>
        </is>
      </c>
      <c r="C1488" s="18">
        <f>'Income Statement'!$B$43*C1471+MAX(C1481-'Segments'!$E$14,0)*2100.379938*C1471</f>
        <v/>
      </c>
      <c r="D1488" s="18">
        <f>'Income Statement'!$B$43*D1471+MAX(D1481-C1481,0)*2100.379938*D1471</f>
        <v/>
      </c>
      <c r="E1488" s="18">
        <f>'Income Statement'!$B$43*E1471+MAX(E1481-D1481,0)*2100.379938*E1471</f>
        <v/>
      </c>
      <c r="F1488" s="18">
        <f>'Income Statement'!$B$43*F1471+MAX(F1481-E1481,0)*2100.379938*F1471</f>
        <v/>
      </c>
      <c r="G1488" s="18">
        <f>'Income Statement'!$B$43*G1471+MAX(G1481-F1481,0)*2100.379938*G1471</f>
        <v/>
      </c>
    </row>
    <row r="1489">
      <c r="A1489" s="7" t="inlineStr">
        <is>
          <t>Fixed assets at cost, closing</t>
        </is>
      </c>
      <c r="C1489" s="18">
        <f>(Assumptions!$B$91+Assumptions!$B$92)/10^6+C1488</f>
        <v/>
      </c>
      <c r="D1489" s="18">
        <f>C1489+D1488</f>
        <v/>
      </c>
      <c r="E1489" s="18">
        <f>D1489+E1488</f>
        <v/>
      </c>
      <c r="F1489" s="18">
        <f>E1489+F1488</f>
        <v/>
      </c>
      <c r="G1489" s="18">
        <f>F1489+G1488</f>
        <v/>
      </c>
    </row>
    <row r="1490">
      <c r="A1490" s="7" t="inlineStr">
        <is>
          <t>Depreciation — rolls off the asset register</t>
        </is>
      </c>
      <c r="C1490" s="18">
        <f>(Assumptions!$B$91+Assumptions!$B$92)/10^6/'Income Statement'!$B$42</f>
        <v/>
      </c>
      <c r="D1490" s="18">
        <f>C1489/'Income Statement'!$B$42</f>
        <v/>
      </c>
      <c r="E1490" s="18">
        <f>D1489/'Income Statement'!$B$42</f>
        <v/>
      </c>
      <c r="F1490" s="18">
        <f>E1489/'Income Statement'!$B$42</f>
        <v/>
      </c>
      <c r="G1490" s="18">
        <f>F1489/'Income Statement'!$B$42</f>
        <v/>
      </c>
    </row>
    <row r="1491">
      <c r="A1491" s="7" t="inlineStr">
        <is>
          <t>Fixed assets, net book, closing</t>
        </is>
      </c>
      <c r="C1491" s="18">
        <f>(Assumptions!$B$90+Assumptions!$B$92)/10^6+C1488-C1490</f>
        <v/>
      </c>
      <c r="D1491" s="18">
        <f>C1491+D1488-D1490</f>
        <v/>
      </c>
      <c r="E1491" s="18">
        <f>D1491+E1488-E1490</f>
        <v/>
      </c>
      <c r="F1491" s="18">
        <f>E1491+F1488-F1490</f>
        <v/>
      </c>
      <c r="G1491" s="18">
        <f>F1491+G1488-G1490</f>
        <v/>
      </c>
    </row>
    <row r="1492">
      <c r="A1492" s="15" t="inlineStr">
        <is>
          <t>EBIT</t>
        </is>
      </c>
      <c r="C1492" s="37">
        <f>C1487-C1490</f>
        <v/>
      </c>
      <c r="D1492" s="37">
        <f>D1487-D1490</f>
        <v/>
      </c>
      <c r="E1492" s="37">
        <f>E1487-E1490</f>
        <v/>
      </c>
      <c r="F1492" s="37">
        <f>F1487-F1490</f>
        <v/>
      </c>
      <c r="G1492" s="37">
        <f>G1487-G1490</f>
        <v/>
      </c>
    </row>
    <row r="1493">
      <c r="A1493" s="7" t="inlineStr">
        <is>
          <t>NOPAT before the profit share</t>
        </is>
      </c>
      <c r="C1493" s="18">
        <f>C1492*(1-Assumptions!$B$108)</f>
        <v/>
      </c>
      <c r="D1493" s="18">
        <f>D1492*(1-Assumptions!$B$108)</f>
        <v/>
      </c>
      <c r="E1493" s="18">
        <f>E1492*(1-Assumptions!$B$108)</f>
        <v/>
      </c>
      <c r="F1493" s="18">
        <f>F1492*(1-Assumptions!$B$108)</f>
        <v/>
      </c>
      <c r="G1493" s="18">
        <f>G1492*(1-Assumptions!$B$108)</f>
        <v/>
      </c>
    </row>
    <row r="1494">
      <c r="A1494" s="7" t="inlineStr">
        <is>
          <t xml:space="preserve">  less employees' profit share and board bonuses</t>
        </is>
      </c>
      <c r="C1494" s="18">
        <f>MAX(C1493,0)*'Income Statement'!$B$40</f>
        <v/>
      </c>
      <c r="D1494" s="18">
        <f>MAX(D1493,0)*'Income Statement'!$B$40</f>
        <v/>
      </c>
      <c r="E1494" s="18">
        <f>MAX(E1493,0)*'Income Statement'!$B$40</f>
        <v/>
      </c>
      <c r="F1494" s="18">
        <f>MAX(F1493,0)*'Income Statement'!$B$40</f>
        <v/>
      </c>
      <c r="G1494" s="18">
        <f>MAX(G1493,0)*'Income Statement'!$B$40</f>
        <v/>
      </c>
    </row>
    <row r="1495">
      <c r="A1495" s="15" t="inlineStr">
        <is>
          <t>NOPAT</t>
        </is>
      </c>
      <c r="C1495" s="37">
        <f>C1493-C1494</f>
        <v/>
      </c>
      <c r="D1495" s="37">
        <f>D1493-D1494</f>
        <v/>
      </c>
      <c r="E1495" s="37">
        <f>E1493-E1494</f>
        <v/>
      </c>
      <c r="F1495" s="37">
        <f>F1493-F1494</f>
        <v/>
      </c>
      <c r="G1495" s="37">
        <f>G1493-G1494</f>
        <v/>
      </c>
    </row>
    <row r="1496">
      <c r="A1496" s="7" t="inlineStr">
        <is>
          <t>Net working capital — on days</t>
        </is>
      </c>
      <c r="C1496" s="18">
        <f>'Income Statement'!$B$44*DCF!$B$9/365*C1483+'Income Statement'!$B$45*DCF!$B$9/365*C1482-'Income Statement'!$B$46*DCF!$B$9/365*C1483</f>
        <v/>
      </c>
      <c r="D1496" s="18">
        <f>'Income Statement'!$B$44*DCF!$B$9/365*D1483+'Income Statement'!$B$45*DCF!$B$9/365*D1482-'Income Statement'!$B$46*DCF!$B$9/365*D1483</f>
        <v/>
      </c>
      <c r="E1496" s="18">
        <f>'Income Statement'!$B$44*DCF!$B$9/365*E1483+'Income Statement'!$B$45*DCF!$B$9/365*E1482-'Income Statement'!$B$46*DCF!$B$9/365*E1483</f>
        <v/>
      </c>
      <c r="F1496" s="18">
        <f>'Income Statement'!$B$44*DCF!$B$9/365*F1483+'Income Statement'!$B$45*DCF!$B$9/365*F1482-'Income Statement'!$B$46*DCF!$B$9/365*F1483</f>
        <v/>
      </c>
      <c r="G1496" s="18">
        <f>'Income Statement'!$B$44*DCF!$B$9/365*G1483+'Income Statement'!$B$45*DCF!$B$9/365*G1482-'Income Statement'!$B$46*DCF!$B$9/365*G1483</f>
        <v/>
      </c>
    </row>
    <row r="1497">
      <c r="A1497" s="7" t="inlineStr">
        <is>
          <t xml:space="preserve">  change in working capital</t>
        </is>
      </c>
      <c r="C1497" s="18">
        <f>C1496-('Income Statement'!$B$44/365*'Income Statement'!$B$21+'Income Statement'!$B$45/365*'Income Statement'!$B$19-'Income Statement'!$B$46/365*'Income Statement'!$B$21)</f>
        <v/>
      </c>
      <c r="D1497" s="18">
        <f>D1496-C1496</f>
        <v/>
      </c>
      <c r="E1497" s="18">
        <f>E1496-D1496</f>
        <v/>
      </c>
      <c r="F1497" s="18">
        <f>F1496-E1496</f>
        <v/>
      </c>
      <c r="G1497" s="18">
        <f>G1496-F1496</f>
        <v/>
      </c>
    </row>
    <row r="1498">
      <c r="A1498" s="15" t="inlineStr">
        <is>
          <t>FREE CASH FLOW TO THE FIRM</t>
        </is>
      </c>
      <c r="C1498" s="37">
        <f>C1495+C1490-C1488-C1497</f>
        <v/>
      </c>
      <c r="D1498" s="37">
        <f>D1495+D1490-D1488-D1497</f>
        <v/>
      </c>
      <c r="E1498" s="37">
        <f>E1495+E1490-E1488-E1497</f>
        <v/>
      </c>
      <c r="F1498" s="37">
        <f>F1495+F1490-F1488-F1497</f>
        <v/>
      </c>
      <c r="G1498" s="37">
        <f>G1495+G1490-G1488-G1497</f>
        <v/>
      </c>
    </row>
    <row r="1499">
      <c r="A1499" s="7" t="inlineStr">
        <is>
          <t>Glide fraction</t>
        </is>
      </c>
      <c r="C1499" s="23">
        <f>0.0000000000</f>
        <v/>
      </c>
      <c r="D1499" s="23">
        <f>0.3571428571</f>
        <v/>
      </c>
      <c r="E1499" s="23">
        <f>0.6428571429</f>
        <v/>
      </c>
      <c r="F1499" s="23">
        <f>0.8571428571</f>
        <v/>
      </c>
      <c r="G1499" s="23">
        <f>1.0000000000</f>
        <v/>
      </c>
    </row>
    <row r="1500">
      <c r="A1500" s="7" t="inlineStr">
        <is>
          <t>Forward cost of capital</t>
        </is>
      </c>
      <c r="C1500" s="24">
        <f>DCF!$B$14-(DCF!$B$14-DCF!$B$17)*C1499</f>
        <v/>
      </c>
      <c r="D1500" s="24">
        <f>DCF!$B$14-(DCF!$B$14-DCF!$B$17)*D1499</f>
        <v/>
      </c>
      <c r="E1500" s="24">
        <f>DCF!$B$14-(DCF!$B$14-DCF!$B$17)*E1499</f>
        <v/>
      </c>
      <c r="F1500" s="24">
        <f>DCF!$B$14-(DCF!$B$14-DCF!$B$17)*F1499</f>
        <v/>
      </c>
      <c r="G1500" s="24">
        <f>DCF!$B$14-(DCF!$B$14-DCF!$B$17)*G1499</f>
        <v/>
      </c>
    </row>
    <row r="1501">
      <c r="A1501" s="7" t="inlineStr">
        <is>
          <t>Cumulative discount factor</t>
        </is>
      </c>
      <c r="C1501" s="40">
        <f>1/(1+C1500)</f>
        <v/>
      </c>
      <c r="D1501" s="40">
        <f>C1501/(1+D1500)</f>
        <v/>
      </c>
      <c r="E1501" s="40">
        <f>D1501/(1+E1500)</f>
        <v/>
      </c>
      <c r="F1501" s="40">
        <f>E1501/(1+F1500)</f>
        <v/>
      </c>
      <c r="G1501" s="40">
        <f>F1501/(1+G1500)</f>
        <v/>
      </c>
    </row>
    <row r="1502">
      <c r="A1502" s="7" t="inlineStr">
        <is>
          <t>Present value</t>
        </is>
      </c>
      <c r="C1502" s="18">
        <f>C1498*C1501</f>
        <v/>
      </c>
      <c r="D1502" s="18">
        <f>D1498*D1501</f>
        <v/>
      </c>
      <c r="E1502" s="18">
        <f>E1498*E1501</f>
        <v/>
      </c>
      <c r="F1502" s="18">
        <f>F1498*F1501</f>
        <v/>
      </c>
      <c r="G1502" s="18">
        <f>G1498*G1501</f>
        <v/>
      </c>
    </row>
    <row r="1503">
      <c r="A1503" s="15" t="inlineStr">
        <is>
          <t>PV of the explicit window</t>
        </is>
      </c>
      <c r="B1503" s="37">
        <f>SUM(C1502:G1502)</f>
        <v/>
      </c>
      <c r="C1503" s="18">
        <f>C1496+C1489</f>
        <v/>
      </c>
      <c r="D1503" s="18">
        <f>D1496+D1489</f>
        <v/>
      </c>
      <c r="E1503" s="18">
        <f>E1496+E1489</f>
        <v/>
      </c>
      <c r="F1503" s="18">
        <f>F1496+F1489</f>
        <v/>
      </c>
      <c r="G1503" s="18">
        <f>G1496+G1489</f>
        <v/>
      </c>
    </row>
    <row r="1504">
      <c r="A1504" s="7" t="inlineStr">
        <is>
          <t>Terminal return on invested capital, at REPLACEMENT cost</t>
        </is>
      </c>
      <c r="B1504" s="24">
        <f>G1495*(1+$H$45)/G1503</f>
        <v/>
      </c>
    </row>
    <row r="1505">
      <c r="A1505" s="7" t="inlineStr">
        <is>
          <t>Required reinvestment = growth / return</t>
        </is>
      </c>
      <c r="B1505" s="24">
        <f>MIN($H$45/B1504,0.95)</f>
        <v/>
      </c>
    </row>
    <row r="1506">
      <c r="A1506" s="7" t="inlineStr">
        <is>
          <t>Terminal value</t>
        </is>
      </c>
      <c r="B1506" s="18">
        <f>G1495*(1+$H$45)*(1-B1505)/MAX(DCF!$B$17-$H$45,0.02)</f>
        <v/>
      </c>
    </row>
    <row r="1507">
      <c r="A1507" s="7" t="inlineStr">
        <is>
          <t>PV of the terminal block</t>
        </is>
      </c>
      <c r="B1507" s="18">
        <f>B1506*G1501</f>
        <v/>
      </c>
    </row>
    <row r="1508">
      <c r="A1508" s="15" t="inlineStr">
        <is>
          <t>ENTERPRISE VALUE</t>
        </is>
      </c>
      <c r="B1508" s="37">
        <f>B1503+B1507</f>
        <v/>
      </c>
    </row>
    <row r="1509">
      <c r="A1509" s="7" t="inlineStr">
        <is>
          <t>plus net cash</t>
        </is>
      </c>
      <c r="B1509" s="18">
        <f>(Assumptions!$B$100-Assumptions!$B$103-Assumptions!$B$104)/10^6</f>
        <v/>
      </c>
    </row>
    <row r="1510">
      <c r="A1510" s="7" t="inlineStr">
        <is>
          <t>Enterprise value including cash</t>
        </is>
      </c>
      <c r="B1510" s="18">
        <f>B1508+B1509</f>
        <v/>
      </c>
    </row>
    <row r="1511">
      <c r="A1511" s="7" t="inlineStr">
        <is>
          <t>less minority — on the WHOLE enterprise, cash included</t>
        </is>
      </c>
      <c r="B1511" s="18">
        <f>B1510*'Income Statement'!$B$41</f>
        <v/>
      </c>
    </row>
    <row r="1512">
      <c r="A1512" s="7" t="inlineStr">
        <is>
          <t>less the tax-disputes provision</t>
        </is>
      </c>
      <c r="B1512" s="18">
        <f>Assumptions!$B$99/10^6</f>
        <v/>
      </c>
    </row>
    <row r="1513">
      <c r="A1513" s="7" t="inlineStr">
        <is>
          <t>less dividends payable — declared, out of working capital</t>
        </is>
      </c>
      <c r="B1513" s="18">
        <f>Assumptions!$B$98/10^6</f>
        <v/>
      </c>
    </row>
    <row r="1514">
      <c r="A1514" s="7" t="inlineStr">
        <is>
          <t>plus non-operating investments and pledged deposits</t>
        </is>
      </c>
      <c r="B1514" s="18">
        <f>(Assumptions!$B$102+Assumptions!$B$101)/10^6</f>
        <v/>
      </c>
    </row>
    <row r="1515">
      <c r="A1515" s="15" t="inlineStr">
        <is>
          <t>EQUITY ATTRIBUTABLE</t>
        </is>
      </c>
      <c r="B1515" s="37">
        <f>B1510-B1511-B1512-B1513+B1514</f>
        <v/>
      </c>
    </row>
    <row r="1516">
      <c r="A1516" s="15" t="inlineStr">
        <is>
          <t>VALUE PER SHARE, EGP</t>
        </is>
      </c>
      <c r="B1516" s="22">
        <f>B1515/Assumptions!$B$8</f>
        <v/>
      </c>
    </row>
  </sheetData>
  <mergeCells count="1">
    <mergeCell ref="A2:I2"/>
  </mergeCells>
  <pageMargins left="0.75" right="0.75" top="1" bottom="1" header="0.5" footer="0.5"/>
</worksheet>
</file>

<file path=xl/worksheets/sheet15.xml><?xml version="1.0" encoding="utf-8"?>
<worksheet xmlns="http://schemas.openxmlformats.org/spreadsheetml/2006/main">
  <sheetPr>
    <tabColor rgb="001C3A36"/>
    <outlinePr summaryBelow="1" summaryRight="1"/>
    <pageSetUpPr/>
  </sheetPr>
  <dimension ref="A1:F22"/>
  <sheetViews>
    <sheetView showGridLines="0" workbookViewId="0">
      <selection activeCell="A1" sqref="A1"/>
    </sheetView>
  </sheetViews>
  <sheetFormatPr baseColWidth="8" defaultRowHeight="15"/>
  <cols>
    <col width="58"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s>
  <sheetData>
    <row r="1">
      <c r="A1" s="1" t="inlineStr">
        <is>
          <t>Per share, and the multiples the answer implies</t>
        </is>
      </c>
    </row>
    <row r="2" ht="32" customHeight="1">
      <c r="A2" s="5" t="inlineStr">
        <is>
          <t>What the weighted central and the market price each imply, on the same base-year figures. Every cell is a formula off the Summary and Income Statement sheets.</t>
        </is>
      </c>
    </row>
    <row r="3">
      <c r="A3" s="2" t="n"/>
      <c r="B3" s="2" t="n"/>
      <c r="C3" s="2" t="n"/>
      <c r="D3" s="2" t="n"/>
      <c r="E3" s="2" t="n"/>
      <c r="F3" s="2" t="n"/>
    </row>
    <row r="5">
      <c r="A5" s="15" t="inlineStr">
        <is>
          <t>Weighted central, EGP</t>
        </is>
      </c>
      <c r="B5" s="38">
        <f>Summary!C10</f>
        <v/>
      </c>
    </row>
    <row r="6">
      <c r="A6" s="7" t="inlineStr">
        <is>
          <t>Market price, EGP</t>
        </is>
      </c>
      <c r="B6" s="14">
        <f>Assumptions!$B$7</f>
        <v/>
      </c>
    </row>
    <row r="7">
      <c r="A7" s="7" t="inlineStr">
        <is>
          <t>Book value per share, EGP</t>
        </is>
      </c>
      <c r="B7" s="14">
        <f>'Fundamental Valuation'!B13</f>
        <v/>
      </c>
    </row>
    <row r="8">
      <c r="A8" s="7" t="inlineStr">
        <is>
          <t>Base-year revenue per share, EGP</t>
        </is>
      </c>
      <c r="B8" s="14">
        <f>'Income Statement'!B19/Assumptions!$B$8</f>
        <v/>
      </c>
    </row>
    <row r="9">
      <c r="A9" s="7" t="inlineStr">
        <is>
          <t>Base-year EBITDA per share, EGP</t>
        </is>
      </c>
      <c r="B9" s="14">
        <f>'Fundamental Valuation'!B5/Assumptions!$B$8</f>
        <v/>
      </c>
    </row>
    <row r="10">
      <c r="A10" s="7" t="inlineStr">
        <is>
          <t>Dividend declared and payable, per share, EGP</t>
        </is>
      </c>
      <c r="B10" s="14">
        <f>Assumptions!$B$98/10^6/Assumptions!$B$8</f>
        <v/>
      </c>
    </row>
    <row r="12">
      <c r="A12" s="6" t="inlineStr">
        <is>
          <t>Multiple</t>
        </is>
      </c>
      <c r="B12" s="6" t="inlineStr">
        <is>
          <t>At the central</t>
        </is>
      </c>
      <c r="C12" s="6" t="inlineStr">
        <is>
          <t>At the market price</t>
        </is>
      </c>
      <c r="D12" s="13" t="n"/>
      <c r="E12" s="13" t="n"/>
      <c r="F12" s="13" t="n"/>
    </row>
    <row r="13">
      <c r="A13" s="7" t="inlineStr">
        <is>
          <t>Price / book</t>
        </is>
      </c>
      <c r="B13" s="20">
        <f>B$5/'Fundamental Valuation'!B13</f>
        <v/>
      </c>
      <c r="C13" s="20">
        <f>Assumptions!$B$7/'Fundamental Valuation'!B13</f>
        <v/>
      </c>
    </row>
    <row r="14">
      <c r="A14" s="7" t="inlineStr">
        <is>
          <t>Enterprise value / base-year EBITDA</t>
        </is>
      </c>
      <c r="B14" s="20">
        <f>(B$5*Assumptions!$B$8+(Assumptions!$B$103+Assumptions!$B$104-Assumptions!$B$100)/10^6)/'Fundamental Valuation'!B5</f>
        <v/>
      </c>
      <c r="C14" s="20">
        <f>'Fundamental Valuation'!B6/'Fundamental Valuation'!B5</f>
        <v/>
      </c>
    </row>
    <row r="15">
      <c r="A15" s="7" t="inlineStr">
        <is>
          <t>Enterprise value / base-year revenue</t>
        </is>
      </c>
      <c r="B15" s="20">
        <f>(B$5*Assumptions!$B$8+(Assumptions!$B$103+Assumptions!$B$104-Assumptions!$B$100)/10^6)/'Income Statement'!B19</f>
        <v/>
      </c>
      <c r="C15" s="20">
        <f>'Fundamental Valuation'!B6/'Income Statement'!B19</f>
        <v/>
      </c>
    </row>
    <row r="16">
      <c r="A16" s="7" t="inlineStr">
        <is>
          <t>Yield on the dividend already declared and payable</t>
        </is>
      </c>
      <c r="B16" s="10">
        <f>Assumptions!$B$98/10^6/Assumptions!$B$8/B$5</f>
        <v/>
      </c>
      <c r="C16" s="10">
        <f>Assumptions!$B$98/10^6/Assumptions!$B$8/Assumptions!$B$7</f>
        <v/>
      </c>
    </row>
    <row r="18">
      <c r="A18" s="11" t="inlineStr">
        <is>
          <t>RETURNS</t>
        </is>
      </c>
      <c r="B18" s="13" t="n"/>
      <c r="C18" s="13" t="n"/>
      <c r="D18" s="13" t="n"/>
      <c r="E18" s="13" t="n"/>
      <c r="F18" s="13" t="n"/>
    </row>
    <row r="19">
      <c r="A19" s="7" t="inlineStr">
        <is>
          <t>Trailing return on equity</t>
        </is>
      </c>
      <c r="B19" s="10">
        <f>Assumptions!$B$111</f>
        <v/>
      </c>
    </row>
    <row r="20">
      <c r="A20" s="7" t="inlineStr">
        <is>
          <t>Terminal return on invested capital, at replacement cost</t>
        </is>
      </c>
      <c r="B20" s="24">
        <f>DCF!B53</f>
        <v/>
      </c>
    </row>
    <row r="21">
      <c r="A21" s="7" t="inlineStr">
        <is>
          <t>Required reinvestment rate in the terminal year</t>
        </is>
      </c>
      <c r="B21" s="24">
        <f>DCF!B54</f>
        <v/>
      </c>
    </row>
    <row r="22">
      <c r="A22" s="7" t="inlineStr">
        <is>
          <t>Terminal growth</t>
        </is>
      </c>
      <c r="B22" s="24">
        <f>Assumptions!$B$110</f>
        <v/>
      </c>
    </row>
  </sheetData>
  <mergeCells count="1">
    <mergeCell ref="A2:F2"/>
  </mergeCells>
  <pageMargins left="0.75" right="0.75" top="1" bottom="1" header="0.5" footer="0.5"/>
</worksheet>
</file>

<file path=xl/worksheets/sheet16.xml><?xml version="1.0" encoding="utf-8"?>
<worksheet xmlns="http://schemas.openxmlformats.org/spreadsheetml/2006/main">
  <sheetPr>
    <tabColor rgb="001C3A36"/>
    <outlinePr summaryBelow="1" summaryRight="1"/>
    <pageSetUpPr/>
  </sheetPr>
  <dimension ref="A1:I17"/>
  <sheetViews>
    <sheetView showGridLines="0" workbookViewId="0">
      <selection activeCell="A1" sqref="A1"/>
    </sheetView>
  </sheetViews>
  <sheetFormatPr baseColWidth="8" defaultRowHeight="15"/>
  <cols>
    <col width="58"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s>
  <sheetData>
    <row r="1">
      <c r="A1" s="1" t="inlineStr">
        <is>
          <t>Sector context — a refiner and lubricant base-oil producer</t>
        </is>
      </c>
    </row>
    <row r="2" ht="32" customHeight="1">
      <c r="A2" s="5" t="inlineStr">
        <is>
          <t>The comparator basis is the company's OWN traded multiple and a stated re-rating, not a peer set: no Egyptian listed refiner discloses a comparable base-oil split, and importing a foreign multiple into an EGP valuation would price a different cost of capital. That is a gap and it is named as one rather than filled.</t>
        </is>
      </c>
    </row>
    <row r="3">
      <c r="A3" s="2" t="n"/>
      <c r="B3" s="2" t="n"/>
      <c r="C3" s="2" t="n"/>
      <c r="D3" s="2" t="n"/>
      <c r="E3" s="2" t="n"/>
      <c r="F3" s="2" t="n"/>
      <c r="G3" s="2" t="n"/>
    </row>
    <row r="5">
      <c r="A5" s="6" t="inlineStr">
        <is>
          <t>Comparator basis</t>
        </is>
      </c>
      <c r="B5" s="6" t="inlineStr">
        <is>
          <t>Multiple</t>
        </is>
      </c>
      <c r="C5" s="6" t="inlineStr">
        <is>
          <t>Applied to (EGP mn)</t>
        </is>
      </c>
      <c r="D5" s="6" t="inlineStr">
        <is>
          <t>Implied EGP/share</t>
        </is>
      </c>
    </row>
    <row r="6">
      <c r="A6" s="7" t="inlineStr">
        <is>
          <t>The company's own trailing enterprise value / EBITDA</t>
        </is>
      </c>
      <c r="B6" s="20">
        <f>'Fundamental Valuation'!B7</f>
        <v/>
      </c>
      <c r="C6" s="18">
        <f>'Fundamental Valuation'!B5</f>
        <v/>
      </c>
      <c r="D6" s="14">
        <f>(B6*C6-(Assumptions!$B$103+Assumptions!$B$104-Assumptions!$B$100)/10^6)*(1-'Income Statement'!B41)/Assumptions!$B$8</f>
        <v/>
      </c>
    </row>
    <row r="7">
      <c r="A7" s="7" t="inlineStr">
        <is>
          <t>Justified multiple, after the stated re-rating</t>
        </is>
      </c>
      <c r="B7" s="20">
        <f>'Fundamental Valuation'!B8</f>
        <v/>
      </c>
      <c r="C7" s="18">
        <f>'Fundamental Valuation'!B5</f>
        <v/>
      </c>
      <c r="D7" s="14">
        <f>(B7*C7-(Assumptions!$B$103+Assumptions!$B$104-Assumptions!$B$100)/10^6)*(1-'Income Statement'!B41)/Assumptions!$B$8</f>
        <v/>
      </c>
    </row>
    <row r="9">
      <c r="A9" s="11" t="inlineStr">
        <is>
          <t>WHAT ACTUALLY DRIVES A PROCESSOR</t>
        </is>
      </c>
      <c r="B9" s="13" t="n"/>
      <c r="C9" s="13" t="n"/>
      <c r="D9" s="13" t="n"/>
      <c r="E9" s="13" t="n"/>
      <c r="F9" s="13" t="n"/>
      <c r="G9" s="13" t="n"/>
    </row>
    <row r="10">
      <c r="A10" s="6" t="inlineStr">
        <is>
          <t>Indicator</t>
        </is>
      </c>
      <c r="B10" s="6" t="inlineStr">
        <is>
          <t>2026E</t>
        </is>
      </c>
      <c r="C10" s="6" t="inlineStr">
        <is>
          <t>2027E</t>
        </is>
      </c>
      <c r="D10" s="6" t="inlineStr">
        <is>
          <t>2028E</t>
        </is>
      </c>
      <c r="E10" s="6" t="inlineStr">
        <is>
          <t>2029E</t>
        </is>
      </c>
      <c r="F10" s="6" t="inlineStr">
        <is>
          <t>2030E</t>
        </is>
      </c>
    </row>
    <row r="11">
      <c r="A11" s="7" t="inlineStr">
        <is>
          <t>Throughput, million tonnes</t>
        </is>
      </c>
      <c r="C11" s="23">
        <f>DCF!C30</f>
        <v/>
      </c>
      <c r="D11" s="23">
        <f>DCF!D30</f>
        <v/>
      </c>
      <c r="E11" s="23">
        <f>DCF!E30</f>
        <v/>
      </c>
      <c r="F11" s="23">
        <f>DCF!F30</f>
        <v/>
      </c>
      <c r="G11" s="23">
        <f>DCF!G30</f>
        <v/>
      </c>
    </row>
    <row r="12">
      <c r="A12" s="7" t="inlineStr">
        <is>
          <t>Gross profit per tonne, EGP</t>
        </is>
      </c>
      <c r="C12" s="18">
        <f>DCF!C33/DCF!C30</f>
        <v/>
      </c>
      <c r="D12" s="18">
        <f>DCF!D33/DCF!D30</f>
        <v/>
      </c>
      <c r="E12" s="18">
        <f>DCF!E33/DCF!E30</f>
        <v/>
      </c>
      <c r="F12" s="18">
        <f>DCF!F33/DCF!F30</f>
        <v/>
      </c>
      <c r="G12" s="18">
        <f>DCF!G33/DCF!G30</f>
        <v/>
      </c>
    </row>
    <row r="13">
      <c r="A13" s="7" t="inlineStr">
        <is>
          <t>EBITDA per tonne, EGP</t>
        </is>
      </c>
      <c r="C13" s="18">
        <f>DCF!C36/DCF!C30</f>
        <v/>
      </c>
      <c r="D13" s="18">
        <f>DCF!D36/DCF!D30</f>
        <v/>
      </c>
      <c r="E13" s="18">
        <f>DCF!E36/DCF!E30</f>
        <v/>
      </c>
      <c r="F13" s="18">
        <f>DCF!F36/DCF!F30</f>
        <v/>
      </c>
      <c r="G13" s="18">
        <f>DCF!G36/DCF!G30</f>
        <v/>
      </c>
    </row>
    <row r="14">
      <c r="A14" s="7" t="inlineStr">
        <is>
          <t>Gross margin</t>
        </is>
      </c>
      <c r="C14" s="24">
        <f>DCF!C34</f>
        <v/>
      </c>
      <c r="D14" s="24">
        <f>DCF!D34</f>
        <v/>
      </c>
      <c r="E14" s="24">
        <f>DCF!E34</f>
        <v/>
      </c>
      <c r="F14" s="24">
        <f>DCF!F34</f>
        <v/>
      </c>
      <c r="G14" s="24">
        <f>DCF!G34</f>
        <v/>
      </c>
    </row>
    <row r="15">
      <c r="A15" s="7" t="inlineStr">
        <is>
          <t>Capital expenditure as a share of revenue</t>
        </is>
      </c>
      <c r="C15" s="24">
        <f>DCF!C37/DCF!C31</f>
        <v/>
      </c>
      <c r="D15" s="24">
        <f>DCF!D37/DCF!D31</f>
        <v/>
      </c>
      <c r="E15" s="24">
        <f>DCF!E37/DCF!E31</f>
        <v/>
      </c>
      <c r="F15" s="24">
        <f>DCF!F37/DCF!F31</f>
        <v/>
      </c>
      <c r="G15" s="24">
        <f>DCF!G37/DCF!G31</f>
        <v/>
      </c>
    </row>
    <row r="17" ht="44" customHeight="1">
      <c r="A17" s="19" t="inlineStr">
        <is>
          <t>The crude slate is bought from a single counterparty at a disclosed formula and the refined product is sold into a market whose price is set outside the company, so what a reader can actually compare across the sector is the spread per tonne and how much of the plant is running — not a price/earnings ratio struck on a different tax regime and a different currency.</t>
        </is>
      </c>
    </row>
  </sheetData>
  <mergeCells count="2">
    <mergeCell ref="A17:I17"/>
    <mergeCell ref="A2:G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2026-09-01T19:48:57Z</dcterms:created>
  <dcterms:modified xmlns:dcterms="http://purl.org/dc/terms/" xmlns:xsi="http://www.w3.org/2001/XMLSchema-instance" xsi:type="dcterms:W3CDTF">2026-09-01T19:48:57Z</dcterms:modified>
</cp:coreProperties>
</file>