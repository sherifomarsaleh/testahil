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6">
    <numFmt numFmtId="164" formatCode="#,##0.0"/>
    <numFmt numFmtId="165" formatCode="#,##0.000"/>
    <numFmt numFmtId="166" formatCode="0.0%"/>
    <numFmt numFmtId="167" formatCode="0.00000"/>
    <numFmt numFmtId="168" formatCode="0.0000"/>
    <numFmt numFmtId="169" formatCode="0.00&quot;x&quot;"/>
  </numFmts>
  <fonts count="10">
    <font>
      <name val="Calibri"/>
      <family val="2"/>
      <color theme="1"/>
      <sz val="11"/>
      <scheme val="minor"/>
    </font>
    <font>
      <b val="1"/>
      <color rgb="001C3A36"/>
      <sz val="13"/>
    </font>
    <font>
      <i val="1"/>
      <color rgb="006E7B77"/>
      <sz val="9.5"/>
    </font>
    <font>
      <b val="1"/>
      <color rgb="001C3A36"/>
      <sz val="9.5"/>
    </font>
    <font>
      <b val="1"/>
      <color rgb="001C3A36"/>
      <sz val="10"/>
    </font>
    <font>
      <color rgb="001C3A36"/>
      <sz val="10"/>
    </font>
    <font>
      <color rgb="001F4E9C"/>
      <sz val="10"/>
    </font>
    <font>
      <i val="1"/>
      <color rgb="006E7B77"/>
      <sz val="8.5"/>
    </font>
    <font>
      <color rgb="002E6B4F"/>
      <sz val="10"/>
    </font>
    <font>
      <b val="1"/>
      <color rgb="002E6B4F"/>
      <sz val="10"/>
    </font>
  </fonts>
  <fills count="4">
    <fill>
      <patternFill/>
    </fill>
    <fill>
      <patternFill patternType="gray125"/>
    </fill>
    <fill>
      <patternFill patternType="solid">
        <fgColor rgb="001C3A36"/>
      </patternFill>
    </fill>
    <fill>
      <patternFill patternType="solid">
        <fgColor rgb="00EAF0EE"/>
      </patternFill>
    </fill>
  </fills>
  <borders count="1">
    <border>
      <left/>
      <right/>
      <top/>
      <bottom/>
      <diagonal/>
    </border>
  </borders>
  <cellStyleXfs count="1">
    <xf numFmtId="0" fontId="0" fillId="0" borderId="0"/>
  </cellStyleXfs>
  <cellXfs count="44">
    <xf numFmtId="0" fontId="0" fillId="0" borderId="0" pivotButton="0" quotePrefix="0" xfId="0"/>
    <xf numFmtId="0" fontId="1" fillId="0" borderId="0" pivotButton="0" quotePrefix="0" xfId="0"/>
    <xf numFmtId="0" fontId="0"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vertical="bottom" wrapText="1"/>
    </xf>
    <xf numFmtId="0" fontId="5" fillId="0" borderId="0" pivotButton="0" quotePrefix="0" xfId="0"/>
    <xf numFmtId="4" fontId="6" fillId="0" borderId="0" pivotButton="0" quotePrefix="0" xfId="0"/>
    <xf numFmtId="4" fontId="8" fillId="0" borderId="0" pivotButton="0" quotePrefix="0" xfId="0"/>
    <xf numFmtId="166" fontId="5" fillId="0" borderId="0" pivotButton="0" quotePrefix="0" xfId="0"/>
    <xf numFmtId="0" fontId="4" fillId="3" borderId="0" pivotButton="0" quotePrefix="0" xfId="0"/>
    <xf numFmtId="4" fontId="9" fillId="3" borderId="0" pivotButton="0" quotePrefix="0" xfId="0"/>
    <xf numFmtId="0" fontId="0" fillId="3" borderId="0" pivotButton="0" quotePrefix="0" xfId="0"/>
    <xf numFmtId="4" fontId="5" fillId="0" borderId="0" pivotButton="0" quotePrefix="0" xfId="0"/>
    <xf numFmtId="0" fontId="4" fillId="0" borderId="0" pivotButton="0" quotePrefix="0" xfId="0"/>
    <xf numFmtId="166" fontId="4" fillId="0" borderId="0" pivotButton="0" quotePrefix="0" xfId="0"/>
    <xf numFmtId="164" fontId="5" fillId="0" borderId="0" pivotButton="0" quotePrefix="0" xfId="0"/>
    <xf numFmtId="3" fontId="5" fillId="0" borderId="0" pivotButton="0" quotePrefix="0" xfId="0"/>
    <xf numFmtId="0" fontId="7" fillId="0" borderId="0" applyAlignment="1" pivotButton="0" quotePrefix="0" xfId="0">
      <alignment vertical="top" wrapText="1"/>
    </xf>
    <xf numFmtId="169" fontId="5" fillId="0" borderId="0" pivotButton="0" quotePrefix="0" xfId="0"/>
    <xf numFmtId="169" fontId="4" fillId="0" borderId="0" pivotButton="0" quotePrefix="0" xfId="0"/>
    <xf numFmtId="4" fontId="4" fillId="0" borderId="0" pivotButton="0" quotePrefix="0" xfId="0"/>
    <xf numFmtId="165" fontId="5" fillId="0" borderId="0" pivotButton="0" quotePrefix="0" xfId="0"/>
    <xf numFmtId="10" fontId="5" fillId="0" borderId="0" pivotButton="0" quotePrefix="0" xfId="0"/>
    <xf numFmtId="4" fontId="4" fillId="3" borderId="0" pivotButton="0" quotePrefix="0" xfId="0"/>
    <xf numFmtId="164" fontId="6" fillId="0" borderId="0" pivotButton="0" quotePrefix="0" xfId="0"/>
    <xf numFmtId="3" fontId="6" fillId="0" borderId="0" pivotButton="0" quotePrefix="0" xfId="0"/>
    <xf numFmtId="165" fontId="6" fillId="0" borderId="0" pivotButton="0" quotePrefix="0" xfId="0"/>
    <xf numFmtId="10" fontId="6" fillId="0" borderId="0" pivotButton="0" quotePrefix="0" xfId="0"/>
    <xf numFmtId="2" fontId="6" fillId="0" borderId="0" pivotButton="0" quotePrefix="0" xfId="0"/>
    <xf numFmtId="166" fontId="6" fillId="0" borderId="0" pivotButton="0" quotePrefix="0" xfId="0"/>
    <xf numFmtId="3" fontId="8" fillId="0" borderId="0" pivotButton="0" quotePrefix="0" xfId="0"/>
    <xf numFmtId="3" fontId="9" fillId="0" borderId="0" pivotButton="0" quotePrefix="0" xfId="0"/>
    <xf numFmtId="165" fontId="8" fillId="0" borderId="0" pivotButton="0" quotePrefix="0" xfId="0"/>
    <xf numFmtId="2" fontId="8" fillId="0" borderId="0" pivotButton="0" quotePrefix="0" xfId="0"/>
    <xf numFmtId="165" fontId="4" fillId="0" borderId="0" pivotButton="0" quotePrefix="0" xfId="0"/>
    <xf numFmtId="3" fontId="4" fillId="0" borderId="0" pivotButton="0" quotePrefix="0" xfId="0"/>
    <xf numFmtId="4" fontId="9" fillId="0" borderId="0" pivotButton="0" quotePrefix="0" xfId="0"/>
    <xf numFmtId="10" fontId="4" fillId="0" borderId="0" pivotButton="0" quotePrefix="0" xfId="0"/>
    <xf numFmtId="167" fontId="5" fillId="0" borderId="0" pivotButton="0" quotePrefix="0" xfId="0"/>
    <xf numFmtId="3" fontId="4" fillId="3" borderId="0" pivotButton="0" quotePrefix="0" xfId="0"/>
    <xf numFmtId="0" fontId="6" fillId="0" borderId="0" pivotButton="0" quotePrefix="0" xfId="0"/>
    <xf numFmtId="168"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C3A36"/>
    <outlinePr summaryBelow="1" summaryRight="1"/>
    <pageSetUpPr/>
  </sheetPr>
  <dimension ref="A1:D20"/>
  <sheetViews>
    <sheetView showGridLines="0" workbookViewId="0">
      <selection activeCell="A1" sqref="A1"/>
    </sheetView>
  </sheetViews>
  <sheetFormatPr baseColWidth="8" defaultRowHeight="15"/>
  <cols>
    <col width="10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Read this first</t>
        </is>
      </c>
    </row>
    <row r="3">
      <c r="A3" s="2" t="n"/>
      <c r="B3" s="2" t="n"/>
      <c r="C3" s="2" t="n"/>
      <c r="D3" s="2" t="n"/>
    </row>
    <row r="5" ht="14" customHeight="1">
      <c r="A5" s="3" t="inlineStr">
        <is>
          <t>THE RULE</t>
        </is>
      </c>
    </row>
    <row r="6" ht="14" customHeight="1">
      <c r="A6" s="3" t="inlineStr">
        <is>
          <t>IT CALCULATES. IT DOES NOT STORE.</t>
        </is>
      </c>
    </row>
    <row r="7" ht="14" customHeight="1">
      <c r="A7" s="4" t="inlineStr"/>
    </row>
    <row r="8" ht="36" customHeight="1">
      <c r="A8" s="4" t="inlineStr">
        <is>
          <t>Exactly ONE class of cell is pasted in this workbook: a figure read off an audited or disclosed filing, or a stated house judgement. Those are the blue cells on Assumptions, and the blue lever cells that define each sensitivity grid point. Everything else is a live formula.</t>
        </is>
      </c>
    </row>
    <row r="9" ht="14" customHeight="1">
      <c r="A9" s="4" t="inlineStr"/>
    </row>
    <row r="10" ht="48" customHeight="1">
      <c r="A10" s="4" t="inlineStr">
        <is>
          <t>The previous edition also pasted its sensitivity grids, its beta sweep and its bear and bull columns, on the grounds that each is a whole-model re-run and a re-run cannot be written inside a grid. That was 27.6% of the file, and it was the part a reader would most want to interrogate. Three of those pasted rows turned out not to reproduce.</t>
        </is>
      </c>
    </row>
    <row r="11" ht="14" customHeight="1">
      <c r="A11" s="4" t="inlineStr"/>
    </row>
    <row r="12" ht="36" customHeight="1">
      <c r="A12" s="4" t="inlineStr">
        <is>
          <t>The Sensitivity sheet now writes the entire forecast engine out again, in formulas, once for every grid point. Change any driver on Assumptions and every sensitivity cell in the file moves with it.</t>
        </is>
      </c>
    </row>
    <row r="13" ht="14" customHeight="1">
      <c r="A13" s="4" t="inlineStr"/>
    </row>
    <row r="14" ht="14" customHeight="1">
      <c r="A14" s="3" t="inlineStr">
        <is>
          <t>WHAT IS AUDITED AND WHAT IS NOT</t>
        </is>
      </c>
    </row>
    <row r="15" ht="48" customHeight="1">
      <c r="A15" s="4" t="inlineStr">
        <is>
          <t>The base year is the twelve months to 30 June 2026. The first half of it — July to December 2025 — is AUDITED by Crowe with an unqualified opinion. The second half — January to June 2026 — is REPORTED: a disclosure to the Egyptian Exchange dated 29-30 July 2026, not a filing. Half of this base year is a press release and the study says so wherever it uses it.</t>
        </is>
      </c>
    </row>
    <row r="16" ht="14" customHeight="1">
      <c r="A16" s="4" t="inlineStr"/>
    </row>
    <row r="17" ht="48" customHeight="1">
      <c r="A17" s="4" t="inlineStr">
        <is>
          <t>The gross profit of that reported half is NOT used as released. Run through the company's own first-quarter expense run rates the released figure implies a profit after tax about 12.6% above the profit the same release reports. The gross profit used here is solved from the profit line, which passes two independent coherence tests. Base Year rows 13 to 17 show the whole test.</t>
        </is>
      </c>
    </row>
    <row r="18" ht="14" customHeight="1">
      <c r="A18" s="4" t="inlineStr"/>
    </row>
    <row r="19" ht="14" customHeight="1">
      <c r="A19" s="3" t="inlineStr">
        <is>
          <t>THE ONE OPERATING INPUT THAT IS NOT READ OFF A FILING</t>
        </is>
      </c>
    </row>
    <row r="20" ht="48" customHeight="1">
      <c r="A20" s="4" t="inlineStr">
        <is>
          <t>Note 15-A discloses the cost stack for the company and not by line. The processing-intensity weights on Assumptions are therefore a judgement, and the per-line margins depend on them. They are registered, dated and sensitised like every other input rather than hidden inside a formula.</t>
        </is>
      </c>
    </row>
  </sheetData>
  <mergeCells count="16">
    <mergeCell ref="A5:D5"/>
    <mergeCell ref="A17:D17"/>
    <mergeCell ref="A9:D9"/>
    <mergeCell ref="A18:D18"/>
    <mergeCell ref="A8:D8"/>
    <mergeCell ref="A6:D6"/>
    <mergeCell ref="A12:D12"/>
    <mergeCell ref="A20:D20"/>
    <mergeCell ref="A15:D15"/>
    <mergeCell ref="A7:D7"/>
    <mergeCell ref="A16:D16"/>
    <mergeCell ref="A11:D11"/>
    <mergeCell ref="A19:D19"/>
    <mergeCell ref="A10:D10"/>
    <mergeCell ref="A13:D13"/>
    <mergeCell ref="A14:D14"/>
  </mergeCells>
  <pageMargins left="0.75" right="0.75" top="1" bottom="1" header="0.5" footer="0.5"/>
</worksheet>
</file>

<file path=xl/worksheets/sheet2.xml><?xml version="1.0" encoding="utf-8"?>
<worksheet xmlns="http://schemas.openxmlformats.org/spreadsheetml/2006/main">
  <sheetPr>
    <tabColor rgb="001C3A36"/>
    <outlinePr summaryBelow="1" summaryRight="1"/>
    <pageSetUpPr/>
  </sheetPr>
  <dimension ref="A1:I23"/>
  <sheetViews>
    <sheetView showGridLines="0" workbookViewId="0">
      <selection activeCell="A1" sqref="A1"/>
    </sheetView>
  </sheetViews>
  <sheetFormatPr baseColWidth="8" defaultRowHeight="15"/>
  <cols>
    <col width="5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Summary — the answer, and every lens behind it</t>
        </is>
      </c>
    </row>
    <row r="2" ht="32" customHeight="1">
      <c r="A2" s="5" t="inlineStr">
        <is>
          <t>Nothing on this sheet is typed. Every figure points at the sheet that computed it, so a driver changed on Assumptions moves this page too.</t>
        </is>
      </c>
    </row>
    <row r="3">
      <c r="A3" s="2" t="n"/>
      <c r="B3" s="2" t="n"/>
      <c r="C3" s="2" t="n"/>
      <c r="D3" s="2" t="n"/>
      <c r="E3" s="2" t="n"/>
      <c r="F3" s="2" t="n"/>
    </row>
    <row r="5">
      <c r="A5" s="6" t="inlineStr"/>
      <c r="B5" s="6" t="inlineStr">
        <is>
          <t>Bear</t>
        </is>
      </c>
      <c r="C5" s="6" t="inlineStr">
        <is>
          <t>Base</t>
        </is>
      </c>
      <c r="D5" s="6" t="inlineStr">
        <is>
          <t>Bull</t>
        </is>
      </c>
      <c r="E5" s="6" t="inlineStr">
        <is>
          <t>Weight</t>
        </is>
      </c>
    </row>
    <row r="6">
      <c r="A6" s="7" t="inlineStr">
        <is>
          <t>Discounted cash flow</t>
        </is>
      </c>
      <c r="B6" s="8" t="n">
        <v>1.673138100467843</v>
      </c>
      <c r="C6" s="9">
        <f>'Fundamental Valuation'!B10</f>
        <v/>
      </c>
      <c r="D6" s="8" t="n">
        <v>23.92709520373801</v>
      </c>
      <c r="E6" s="10">
        <f>Assumptions!$B$189</f>
        <v/>
      </c>
    </row>
    <row r="7">
      <c r="A7" s="7" t="inlineStr">
        <is>
          <t>Relative multiples</t>
        </is>
      </c>
      <c r="B7" s="8" t="n">
        <v>9.877494674318957</v>
      </c>
      <c r="C7" s="9">
        <f>'Fundamental Valuation'!C11</f>
        <v/>
      </c>
      <c r="D7" s="8" t="n">
        <v>15.29989754395273</v>
      </c>
      <c r="E7" s="10">
        <f>Assumptions!$B$190</f>
        <v/>
      </c>
    </row>
    <row r="8">
      <c r="A8" s="7" t="inlineStr">
        <is>
          <t>Normalised earnings power</t>
        </is>
      </c>
      <c r="B8" s="8" t="n">
        <v>9.882803105057718</v>
      </c>
      <c r="C8" s="9">
        <f>'Fundamental Valuation'!D12</f>
        <v/>
      </c>
      <c r="D8" s="8" t="n">
        <v>16.08686742388758</v>
      </c>
      <c r="E8" s="10">
        <f>Assumptions!$B$191</f>
        <v/>
      </c>
    </row>
    <row r="9">
      <c r="A9" s="7" t="inlineStr">
        <is>
          <t>Book value and sustainable return</t>
        </is>
      </c>
      <c r="B9" s="8" t="n">
        <v>4.738831402909378</v>
      </c>
      <c r="C9" s="9">
        <f>'Fundamental Valuation'!E13</f>
        <v/>
      </c>
      <c r="D9" s="8" t="n">
        <v>7.122873938825641</v>
      </c>
      <c r="E9" s="10">
        <f>Assumptions!$B$192</f>
        <v/>
      </c>
    </row>
    <row r="10">
      <c r="A10" s="11" t="inlineStr">
        <is>
          <t>CENTRAL — the cash-flow lens</t>
        </is>
      </c>
      <c r="B10" s="12">
        <f>B6</f>
        <v/>
      </c>
      <c r="C10" s="12">
        <f>C6</f>
        <v/>
      </c>
      <c r="D10" s="12">
        <f>D6</f>
        <v/>
      </c>
      <c r="E10" s="13" t="n"/>
      <c r="F10" s="13" t="n"/>
    </row>
    <row r="12">
      <c r="A12" s="7" t="inlineStr">
        <is>
          <t>Market price at the valuation date</t>
        </is>
      </c>
      <c r="B12" s="14">
        <f>Assumptions!$B$7</f>
        <v/>
      </c>
    </row>
    <row r="13">
      <c r="A13" s="15" t="inlineStr">
        <is>
          <t>Central against price</t>
        </is>
      </c>
      <c r="B13" s="16">
        <f>C10/B12-1</f>
        <v/>
      </c>
    </row>
    <row r="14">
      <c r="A14" s="7" t="inlineStr">
        <is>
          <t>Shares in issue, millions</t>
        </is>
      </c>
      <c r="B14" s="17">
        <f>Assumptions!$B$8</f>
        <v/>
      </c>
    </row>
    <row r="15">
      <c r="A15" s="7" t="inlineStr">
        <is>
          <t>Market capitalisation at the valuation date</t>
        </is>
      </c>
      <c r="B15" s="18">
        <f>B14*Assumptions!$B$7</f>
        <v/>
      </c>
    </row>
    <row r="17">
      <c r="A17" s="11" t="inlineStr">
        <is>
          <t>WHERE THE VALUE SITS</t>
        </is>
      </c>
      <c r="B17" s="13" t="n"/>
      <c r="C17" s="13" t="n"/>
      <c r="D17" s="13" t="n"/>
      <c r="E17" s="13" t="n"/>
      <c r="F17" s="13" t="n"/>
    </row>
    <row r="18">
      <c r="A18" s="7" t="inlineStr">
        <is>
          <t>Present value of the explicit five years</t>
        </is>
      </c>
      <c r="B18" s="18">
        <f>DCF!B52</f>
        <v/>
      </c>
    </row>
    <row r="19">
      <c r="A19" s="7" t="inlineStr">
        <is>
          <t>Present value of the terminal block</t>
        </is>
      </c>
      <c r="B19" s="18">
        <f>DCF!B56</f>
        <v/>
      </c>
    </row>
    <row r="20">
      <c r="A20" s="7" t="inlineStr">
        <is>
          <t>Terminal share of enterprise value</t>
        </is>
      </c>
      <c r="B20" s="10">
        <f>B19/(B18+B19)</f>
        <v/>
      </c>
    </row>
    <row r="21">
      <c r="A21" s="7" t="inlineStr">
        <is>
          <t>Net cash added in the bridge</t>
        </is>
      </c>
      <c r="B21" s="18">
        <f>DCF!B58</f>
        <v/>
      </c>
    </row>
    <row r="23" ht="44" customHeight="1">
      <c r="A23" s="19" t="inlineStr">
        <is>
          <t>The bear and bull columns of each lens are the blue cells here and the only pasted figures on the sheet: each is a complete re-run of the model at that scenario, computed in compute.py and reproduced in formulas on the Sensitivity sheet. The central row is a live formula across them, because the defect being closed was a sheet that labelled a row weighted and then took the minimum and maximum across four lenses.</t>
        </is>
      </c>
    </row>
  </sheetData>
  <mergeCells count="2">
    <mergeCell ref="A2:F2"/>
    <mergeCell ref="A23:I23"/>
  </mergeCells>
  <pageMargins left="0.75" right="0.75" top="1" bottom="1" header="0.5" footer="0.5"/>
</worksheet>
</file>

<file path=xl/worksheets/sheet3.xml><?xml version="1.0" encoding="utf-8"?>
<worksheet xmlns="http://schemas.openxmlformats.org/spreadsheetml/2006/main">
  <sheetPr>
    <tabColor rgb="001C3A36"/>
    <outlinePr summaryBelow="1" summaryRight="1"/>
    <pageSetUpPr/>
  </sheetPr>
  <dimension ref="A1:I19"/>
  <sheetViews>
    <sheetView showGridLines="0"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Four lenses, one bridge, one valuation date</t>
        </is>
      </c>
    </row>
    <row r="2" ht="32" customHeight="1">
      <c r="A2" s="5" t="inlineStr">
        <is>
          <t>Lens 2 is on the TRAILING metric so it borrows no discount factor from lens 1. Lens 3 is forward-dated and is therefore DISCOUNTED to the valuation date at the cost of equity, with net cash added at face outside the multiple. Lens 4 uses the same cost-of-equity glide lens 1 uses. All formulas.</t>
        </is>
      </c>
    </row>
    <row r="3">
      <c r="A3" s="2" t="n"/>
      <c r="B3" s="2" t="n"/>
      <c r="C3" s="2" t="n"/>
      <c r="D3" s="2" t="n"/>
      <c r="E3" s="2" t="n"/>
      <c r="F3" s="2" t="n"/>
      <c r="G3" s="2" t="n"/>
    </row>
    <row r="5">
      <c r="A5" s="7" t="inlineStr">
        <is>
          <t>Base-year EBITDA</t>
        </is>
      </c>
      <c r="B5" s="18">
        <f>'Income Statement'!B20-'Income Statement'!B28-'Income Statement'!B29-'Income Statement'!B30-'Income Statement'!B31+'Income Statement'!B32</f>
        <v/>
      </c>
    </row>
    <row r="6">
      <c r="A6" s="7" t="inlineStr">
        <is>
          <t>Enterprise value at spot</t>
        </is>
      </c>
      <c r="B6" s="18">
        <f>Assumptions!$B$7*Assumptions!$B$8+(Assumptions!$B$103+Assumptions!$B$104-Assumptions!$B$100)/10^6</f>
        <v/>
      </c>
    </row>
    <row r="7">
      <c r="A7" s="7" t="inlineStr">
        <is>
          <t>The company's OWN trailing EV/EBITDA</t>
        </is>
      </c>
      <c r="B7" s="20">
        <f>B6/B5</f>
        <v/>
      </c>
    </row>
    <row r="8">
      <c r="A8" s="7" t="inlineStr">
        <is>
          <t>Justified multiple = trailing x (1 + re-rating)</t>
        </is>
      </c>
      <c r="B8" s="21">
        <f>B7*(1+Assumptions!$B$113)</f>
        <v/>
      </c>
    </row>
    <row r="10">
      <c r="A10" s="11" t="inlineStr">
        <is>
          <t>LENS 1 — discounted cash flow</t>
        </is>
      </c>
      <c r="B10" s="12">
        <f>DCF!B65</f>
        <v/>
      </c>
      <c r="C10" s="13" t="n"/>
      <c r="D10" s="13" t="n"/>
      <c r="E10" s="13" t="n"/>
      <c r="F10" s="13" t="n"/>
      <c r="G10" s="13" t="n"/>
    </row>
    <row r="11">
      <c r="A11" s="15" t="inlineStr">
        <is>
          <t>LENS 2 — relative multiples, on the trailing metric</t>
        </is>
      </c>
      <c r="B11" s="18">
        <f>(B8*B5-(Assumptions!$B$103+Assumptions!$B$104-Assumptions!$B$100)/10^6)*(1-'Income Statement'!B41)-(Assumptions!$B$99+Assumptions!$B$98-Assumptions!$B$102-Assumptions!$B$101)/10^6</f>
        <v/>
      </c>
      <c r="C11" s="22">
        <f>B11/Assumptions!$B$8</f>
        <v/>
      </c>
    </row>
    <row r="12">
      <c r="A12" s="15" t="inlineStr">
        <is>
          <t>LENS 3 — normalised earnings power, DISCOUNTED</t>
        </is>
      </c>
      <c r="B12" s="18">
        <f>DCF!E41</f>
        <v/>
      </c>
      <c r="C12" s="23">
        <f>B12*(1-Assumptions!$B$108)*(1-'Income Statement'!B40)*(1-'Income Statement'!B41)/Assumptions!$B$8</f>
        <v/>
      </c>
      <c r="D12" s="22">
        <f>C12*Assumptions!$B$112/(1+DCF!B10)^2.4+((Assumptions!$B$100-Assumptions!$B$103-Assumptions!$B$104-Assumptions!$B$99-Assumptions!$B$98)/10^6)/Assumptions!$B$8</f>
        <v/>
      </c>
    </row>
    <row r="13">
      <c r="A13" s="15" t="inlineStr">
        <is>
          <t>LENS 4 — book value and sustainable return</t>
        </is>
      </c>
      <c r="B13" s="14">
        <f>Assumptions!$B$105/10^6/Assumptions!$B$8</f>
        <v/>
      </c>
      <c r="C13" s="24">
        <f>0.2283705826</f>
        <v/>
      </c>
      <c r="D13" s="20">
        <f>(Assumptions!$B$111-Assumptions!$B$110)/(C13-Assumptions!$B$110)</f>
        <v/>
      </c>
      <c r="E13" s="22">
        <f>B13*D13</f>
        <v/>
      </c>
    </row>
    <row r="15">
      <c r="A15" s="11" t="inlineStr">
        <is>
          <t>CENTRAL — the cash-flow lens</t>
        </is>
      </c>
      <c r="B15" s="25">
        <f>B10</f>
        <v/>
      </c>
      <c r="C15" s="13" t="n"/>
      <c r="D15" s="13" t="n"/>
      <c r="E15" s="13" t="n"/>
      <c r="F15" s="13" t="n"/>
      <c r="G15" s="13" t="n"/>
    </row>
    <row r="16">
      <c r="A16" s="7" t="inlineStr">
        <is>
          <t>against spot</t>
        </is>
      </c>
      <c r="B16" s="10">
        <f>B15/Assumptions!$B$7-1</f>
        <v/>
      </c>
    </row>
    <row r="17">
      <c r="A17" s="7" t="inlineStr">
        <is>
          <t>the retired 45/20/20/15 blend, published beside the answer and unused</t>
        </is>
      </c>
      <c r="B17" s="14">
        <f>B10*Assumptions!$B$189+C11*Assumptions!$B$190+D12*Assumptions!$B$191+E13*Assumptions!$B$192</f>
        <v/>
      </c>
    </row>
    <row r="19" ht="77" customHeight="1">
      <c r="A19" s="19" t="inlineStr">
        <is>
          <t>ONE CLASS PRIMARY IS THE CENTRAL. The cash-flow lens is the answer; the relative, normalised-earnings and book rows are cross-checks and the range across them is an ENVELOPE, not a spread around a weighted estimate. The blend on the row above is kept visible and unused: three of the four lenses value a refiner on reported earnings and historical-cost book, and averaging them into the answer imports every weakness of the weakest at a weight nobody tested out of sample. An earlier edition labelled a row "weighted central" and then took the minimum and maximum across all four lenses, both of which came from the cash-flow lens alone, so the word "weighted" applied to the centre and not to the ends and the published spread was about two and a half times too wide.</t>
        </is>
      </c>
    </row>
  </sheetData>
  <mergeCells count="2">
    <mergeCell ref="A2:G2"/>
    <mergeCell ref="A19:I19"/>
  </mergeCells>
  <pageMargins left="0.75" right="0.75" top="1" bottom="1" header="0.5" footer="0.5"/>
</worksheet>
</file>

<file path=xl/worksheets/sheet4.xml><?xml version="1.0" encoding="utf-8"?>
<worksheet xmlns="http://schemas.openxmlformats.org/spreadsheetml/2006/main">
  <sheetPr>
    <tabColor rgb="001C3A36"/>
    <outlinePr summaryBelow="1" summaryRight="1"/>
    <pageSetUpPr/>
  </sheetPr>
  <dimension ref="A1:F192"/>
  <sheetViews>
    <sheetView showGridLines="0" workbookViewId="0">
      <selection activeCell="A1" sqref="A1"/>
    </sheetView>
  </sheetViews>
  <sheetFormatPr baseColWidth="8" defaultRowHeight="15"/>
  <cols>
    <col width="44" customWidth="1" min="1" max="1"/>
    <col width="16" customWidth="1" min="2" max="2"/>
    <col width="12" customWidth="1" min="3" max="3"/>
    <col width="11" customWidth="1" min="4" max="4"/>
    <col width="96"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Assumptions — every driver, with the filing it was read from</t>
        </is>
      </c>
    </row>
    <row r="2" ht="32" customHeight="1">
      <c r="A2" s="5" t="inlineStr">
        <is>
          <t>Blue cells are the ONLY pasted values in this workbook. Every one is a figure read off an audited or disclosed filing, or a stated house judgement. There is no third class: the previous edition also pasted its sensitivity grids and its bear and bull columns because each is a whole-model re-run; those re-runs are now written out as live formula blocks on the Sensitivity sheet, so a reader can change a driver here and watch every one of them move.</t>
        </is>
      </c>
    </row>
    <row r="3">
      <c r="A3" s="2" t="n"/>
      <c r="B3" s="2" t="n"/>
      <c r="C3" s="2" t="n"/>
      <c r="D3" s="2" t="n"/>
      <c r="E3" s="2" t="n"/>
      <c r="F3" s="2" t="n"/>
    </row>
    <row r="5">
      <c r="A5" s="6" t="inlineStr">
        <is>
          <t>Driver</t>
        </is>
      </c>
      <c r="B5" s="6" t="inlineStr">
        <is>
          <t>Value</t>
        </is>
      </c>
      <c r="C5" s="6" t="inlineStr">
        <is>
          <t>Ring</t>
        </is>
      </c>
      <c r="D5" s="6" t="inlineStr">
        <is>
          <t>Date</t>
        </is>
      </c>
      <c r="E5" s="6" t="inlineStr">
        <is>
          <t>Source</t>
        </is>
      </c>
    </row>
    <row r="6">
      <c r="A6" s="11" t="inlineStr">
        <is>
          <t>MARKET AND CAPITAL</t>
        </is>
      </c>
      <c r="B6" s="13" t="n"/>
      <c r="C6" s="13" t="n"/>
      <c r="D6" s="13" t="n"/>
      <c r="E6" s="13" t="n"/>
      <c r="F6" s="13" t="n"/>
    </row>
    <row r="7" ht="14" customHeight="1">
      <c r="A7" s="7" t="inlineStr">
        <is>
          <t>Spot price, EGP</t>
        </is>
      </c>
      <c r="B7" s="8" t="n">
        <v>13.5</v>
      </c>
      <c r="C7" s="7" t="inlineStr">
        <is>
          <t>Company</t>
        </is>
      </c>
      <c r="D7" s="7" t="inlineStr">
        <is>
          <t>2026-09-03</t>
        </is>
      </c>
      <c r="E7" s="4" t="inlineStr">
        <is>
          <t>AMOC closing price on the Egyptian Exchange, 3 September 2026</t>
        </is>
      </c>
    </row>
    <row r="8" ht="20" customHeight="1">
      <c r="A8" s="7" t="inlineStr">
        <is>
          <t>Shares outstanding, mn</t>
        </is>
      </c>
      <c r="B8" s="26" t="n">
        <v>1291.5</v>
      </c>
      <c r="C8" s="7" t="inlineStr">
        <is>
          <t>Company</t>
        </is>
      </c>
      <c r="D8" s="7" t="inlineStr">
        <is>
          <t>2025-12-31</t>
        </is>
      </c>
      <c r="E8" s="4" t="inlineStr">
        <is>
          <t>Issued and paid-up capital EGP 1,291,500,000 at EGP 1 par = 1,291,500,000 shares (note 18-L, share split to EGP 1 par recorded in the Commercial Register 24-Jan-2018)</t>
        </is>
      </c>
    </row>
    <row r="9">
      <c r="A9" s="11" t="inlineStr">
        <is>
          <t>THE TWELVE MONTHS TO 30 JUNE 2026 — the base year</t>
        </is>
      </c>
      <c r="B9" s="13" t="n"/>
      <c r="C9" s="13" t="n"/>
      <c r="D9" s="13" t="n"/>
      <c r="E9" s="13" t="n"/>
      <c r="F9" s="13" t="n"/>
    </row>
    <row r="10" ht="20" customHeight="1">
      <c r="A10" s="7" t="inlineStr">
        <is>
          <t>Net sales, 6M to 31-Dec-2025 (AUDITED)</t>
        </is>
      </c>
      <c r="B10" s="27" t="n">
        <v>20735725812</v>
      </c>
      <c r="C10" s="7" t="inlineStr">
        <is>
          <t>Company</t>
        </is>
      </c>
      <c r="D10" s="7" t="inlineStr">
        <is>
          <t>2025-12-31</t>
        </is>
      </c>
      <c r="E10" s="4" t="inlineStr">
        <is>
          <t>Net sales, six months to 31-Dec-2025. Audited consolidated FS, transition period 1-Jul-2025 to 31-Dec-2025, Crowe unqualified, 18-Feb-2026</t>
        </is>
      </c>
    </row>
    <row r="11" ht="20" customHeight="1">
      <c r="A11" s="7" t="inlineStr">
        <is>
          <t>Cost of sales, 6M to 31-Dec-2025 (AUDITED)</t>
        </is>
      </c>
      <c r="B11" s="27" t="n">
        <v>19461550746</v>
      </c>
      <c r="C11" s="7" t="inlineStr">
        <is>
          <t>Company</t>
        </is>
      </c>
      <c r="D11" s="7" t="inlineStr">
        <is>
          <t>2025-12-31</t>
        </is>
      </c>
      <c r="E11" s="4" t="inlineStr">
        <is>
          <t>Cost of sales, six months to 31-Dec-2025. Audited consolidated FS, transition period 1-Jul-2025 to 31-Dec-2025, Crowe unqualified, 18-Feb-2026</t>
        </is>
      </c>
    </row>
    <row r="12" ht="20" customHeight="1">
      <c r="A12" s="7" t="inlineStr">
        <is>
          <t>Net sales, 6M to 30-Jun-2026 (FILED)</t>
        </is>
      </c>
      <c r="B12" s="27" t="n">
        <v>26223032454</v>
      </c>
      <c r="C12" s="7" t="inlineStr">
        <is>
          <t>Company</t>
        </is>
      </c>
      <c r="D12" s="7" t="inlineStr">
        <is>
          <t>2026-06-30</t>
        </is>
      </c>
      <c r="E12" s="4" t="inlineStr">
        <is>
          <t>Net sales, six months to 30-Jun-2026. Reviewed consolidated financial statements, six months to 30-Jun-2026, limited review report attached (note 14-A / 15-A)</t>
        </is>
      </c>
    </row>
    <row r="13" ht="20" customHeight="1">
      <c r="A13" s="7" t="inlineStr">
        <is>
          <t>Cost of sales, 6M to 30-Jun-2026 (FILED)</t>
        </is>
      </c>
      <c r="B13" s="27" t="n">
        <v>22964084821</v>
      </c>
      <c r="C13" s="7" t="inlineStr">
        <is>
          <t>Company</t>
        </is>
      </c>
      <c r="D13" s="7" t="inlineStr">
        <is>
          <t>2026-06-30</t>
        </is>
      </c>
      <c r="E13" s="4" t="inlineStr">
        <is>
          <t>Cost of sales, six months to 30-Jun-2026. Reviewed consolidated financial statements, six months to 30-Jun-2026, limited review report attached (note 14-A / 15-A)</t>
        </is>
      </c>
    </row>
    <row r="14" ht="20" customHeight="1">
      <c r="A14" s="7" t="inlineStr">
        <is>
          <t>Gross profit, 6M to 30-Jun-2026 (FILED)</t>
        </is>
      </c>
      <c r="B14" s="27" t="n">
        <v>3258947633</v>
      </c>
      <c r="C14" s="7" t="inlineStr">
        <is>
          <t>Company</t>
        </is>
      </c>
      <c r="D14" s="7" t="inlineStr">
        <is>
          <t>2026-06-30</t>
        </is>
      </c>
      <c r="E14" s="4" t="inlineStr">
        <is>
          <t>Gross profit, six months to 30-Jun-2026 — 12.43% of net sales. Reviewed consolidated financial statements, six months to 30-Jun-2026, limited review report attached (note 14-A / 15-A)</t>
        </is>
      </c>
    </row>
    <row r="15" ht="20" customHeight="1">
      <c r="A15" s="7" t="inlineStr">
        <is>
          <t>General and administrative, 6M to 30-Jun-2026 (FILED)</t>
        </is>
      </c>
      <c r="B15" s="27" t="n">
        <v>675083735</v>
      </c>
      <c r="C15" s="7" t="inlineStr">
        <is>
          <t>Company</t>
        </is>
      </c>
      <c r="D15" s="7" t="inlineStr">
        <is>
          <t>2026-06-30</t>
        </is>
      </c>
      <c r="E15" s="4" t="inlineStr">
        <is>
          <t>General and administrative expenses, six months to 30-Jun-2026. Reviewed consolidated financial statements, six months to 30-Jun-2026, limited review report attached (note 14-A / 15-A)</t>
        </is>
      </c>
    </row>
    <row r="16" ht="20" customHeight="1">
      <c r="A16" s="7" t="inlineStr">
        <is>
          <t>Marketing and selling, 6M to 30-Jun-2026 (FILED)</t>
        </is>
      </c>
      <c r="B16" s="27" t="n">
        <v>125019700</v>
      </c>
      <c r="C16" s="7" t="inlineStr">
        <is>
          <t>Company</t>
        </is>
      </c>
      <c r="D16" s="7" t="inlineStr">
        <is>
          <t>2026-06-30</t>
        </is>
      </c>
      <c r="E16" s="4" t="inlineStr">
        <is>
          <t>Marketing and selling expenses, six months to 30-Jun-2026. Reviewed consolidated financial statements, six months to 30-Jun-2026, limited review report attached (note 14-A / 15-A)</t>
        </is>
      </c>
    </row>
    <row r="17" ht="20" customHeight="1">
      <c r="A17" s="7" t="inlineStr">
        <is>
          <t>Other expenses, 6M to 30-Jun-2026 (FILED)</t>
        </is>
      </c>
      <c r="B17" s="27" t="n">
        <v>2599294</v>
      </c>
      <c r="C17" s="7" t="inlineStr">
        <is>
          <t>Company</t>
        </is>
      </c>
      <c r="D17" s="7" t="inlineStr">
        <is>
          <t>2026-06-30</t>
        </is>
      </c>
      <c r="E17" s="4" t="inlineStr">
        <is>
          <t>Other expenses, six months to 30-Jun-2026. Reviewed consolidated financial statements, six months to 30-Jun-2026, limited review report attached (note 14-A / 15-A)</t>
        </is>
      </c>
    </row>
    <row r="18" ht="20" customHeight="1">
      <c r="A18" s="7" t="inlineStr">
        <is>
          <t>Formed provisions, 6M to 30-Jun-2026 (FILED)</t>
        </is>
      </c>
      <c r="B18" s="27" t="n">
        <v>96672167</v>
      </c>
      <c r="C18" s="7" t="inlineStr">
        <is>
          <t>Company</t>
        </is>
      </c>
      <c r="D18" s="7" t="inlineStr">
        <is>
          <t>2026-06-30</t>
        </is>
      </c>
      <c r="E18" s="4" t="inlineStr">
        <is>
          <t>Formed provisions, six months to 30-Jun-2026. Reviewed consolidated financial statements, six months to 30-Jun-2026, limited review report attached (note 14-A / 15-A)</t>
        </is>
      </c>
    </row>
    <row r="19" ht="20" customHeight="1">
      <c r="A19" s="7" t="inlineStr">
        <is>
          <t>Expected credit losses, 6M to 30-Jun-2026 (FILED)</t>
        </is>
      </c>
      <c r="B19" s="27" t="n">
        <v>48692230</v>
      </c>
      <c r="C19" s="7" t="inlineStr">
        <is>
          <t>Company</t>
        </is>
      </c>
      <c r="D19" s="7" t="inlineStr">
        <is>
          <t>2026-06-30</t>
        </is>
      </c>
      <c r="E19" s="4" t="inlineStr">
        <is>
          <t>Expected credit losses formed, six months to 30-Jun-2026. Reviewed consolidated financial statements, six months to 30-Jun-2026, limited review report attached (note 14-A / 15-A)</t>
        </is>
      </c>
    </row>
    <row r="20" ht="20" customHeight="1">
      <c r="A20" s="7" t="inlineStr">
        <is>
          <t>Finance expenses, 6M to 30-Jun-2026 (FILED)</t>
        </is>
      </c>
      <c r="B20" s="27" t="n">
        <v>1938539</v>
      </c>
      <c r="C20" s="7" t="inlineStr">
        <is>
          <t>Company</t>
        </is>
      </c>
      <c r="D20" s="7" t="inlineStr">
        <is>
          <t>2026-06-30</t>
        </is>
      </c>
      <c r="E20" s="4" t="inlineStr">
        <is>
          <t>Finance expenses, six months to 30-Jun-2026. Reviewed consolidated financial statements, six months to 30-Jun-2026, limited review report attached (note 14-A / 15-A)</t>
        </is>
      </c>
    </row>
    <row r="21" ht="20" customHeight="1">
      <c r="A21" s="7" t="inlineStr">
        <is>
          <t>Other income, 6M to 30-Jun-2026 (FILED)</t>
        </is>
      </c>
      <c r="B21" s="27" t="n">
        <v>196526615</v>
      </c>
      <c r="C21" s="7" t="inlineStr">
        <is>
          <t>Company</t>
        </is>
      </c>
      <c r="D21" s="7" t="inlineStr">
        <is>
          <t>2026-06-30</t>
        </is>
      </c>
      <c r="E21" s="4" t="inlineStr">
        <is>
          <t>Other operating income, six months to 30-Jun-2026, of which credit interest 134,944,385. Reviewed consolidated financial statements, six months to 30-Jun-2026, limited review report attached (note 14-A / 15-A)</t>
        </is>
      </c>
    </row>
    <row r="22" ht="20" customHeight="1">
      <c r="A22" s="7" t="inlineStr">
        <is>
          <t>Profit after tax, 6M to 30-Jun-2026 (FILED)</t>
        </is>
      </c>
      <c r="B22" s="27" t="n">
        <v>1920706543</v>
      </c>
      <c r="C22" s="7" t="inlineStr">
        <is>
          <t>Company</t>
        </is>
      </c>
      <c r="D22" s="7" t="inlineStr">
        <is>
          <t>2026-06-30</t>
        </is>
      </c>
      <c r="E22" s="4" t="inlineStr">
        <is>
          <t>Net profit after tax, six months to 30-Jun-2026. Reviewed consolidated financial statements, six months to 30-Jun-2026, limited review report attached (note 14-A / 15-A)</t>
        </is>
      </c>
    </row>
    <row r="23" ht="20" customHeight="1">
      <c r="A23" s="7" t="inlineStr">
        <is>
          <t>Non-controlling interest, 6M to 30-Jun-2026 (FILED)</t>
        </is>
      </c>
      <c r="B23" s="27" t="n">
        <v>38756277</v>
      </c>
      <c r="C23" s="7" t="inlineStr">
        <is>
          <t>Company</t>
        </is>
      </c>
      <c r="D23" s="7" t="inlineStr">
        <is>
          <t>2026-06-30</t>
        </is>
      </c>
      <c r="E23" s="4" t="inlineStr">
        <is>
          <t>Non-controlling interest, six months to 30-Jun-2026. Reviewed consolidated financial statements, six months to 30-Jun-2026, limited review report attached (note 14-A / 15-A)</t>
        </is>
      </c>
    </row>
    <row r="24" ht="30" customHeight="1">
      <c r="A24" s="7" t="inlineStr">
        <is>
          <t>Majority's share, 6M to 30-Jun-2026 (FILED)</t>
        </is>
      </c>
      <c r="B24" s="27" t="n">
        <v>1881950266</v>
      </c>
      <c r="C24" s="7" t="inlineStr">
        <is>
          <t>Company</t>
        </is>
      </c>
      <c r="D24" s="7" t="inlineStr">
        <is>
          <t>2026-06-30</t>
        </is>
      </c>
      <c r="E24" s="4" t="inlineStr">
        <is>
          <t>Majority's share, six months to 30-Jun-2026 — EPS 1.46, and MORE than the whole preceding fiscal year's 1,488,520,098. Reviewed consolidated financial statements, six months to 30-Jun-2026, limited review report attached (note 14-A / 15-A)</t>
        </is>
      </c>
    </row>
    <row r="25" ht="30" customHeight="1">
      <c r="A25" s="7" t="inlineStr">
        <is>
          <t>Salaries in cost of sales, twelve months (note 15-A)</t>
        </is>
      </c>
      <c r="B25" s="27" t="n">
        <v>1869534265</v>
      </c>
      <c r="C25" s="7" t="inlineStr">
        <is>
          <t>Company</t>
        </is>
      </c>
      <c r="D25" s="7" t="inlineStr">
        <is>
          <t>2026-06-30</t>
        </is>
      </c>
      <c r="E25" s="4" t="inlineStr">
        <is>
          <t>Salaries inside cost of sales, TWELVE months to 30-Jun-2026 (note 15-A, both filed halves added). Reviewed consolidated financial statements, six months to 30-Jun-2026, limited review report attached (note 14-A / 15-A)</t>
        </is>
      </c>
    </row>
    <row r="26" ht="30" customHeight="1">
      <c r="A26" s="7" t="inlineStr">
        <is>
          <t>Raw materials, twelve months (note 15-A)</t>
        </is>
      </c>
      <c r="B26" s="27" t="n">
        <v>38674000341</v>
      </c>
      <c r="C26" s="7" t="inlineStr">
        <is>
          <t>Company</t>
        </is>
      </c>
      <c r="D26" s="7" t="inlineStr">
        <is>
          <t>2026-06-30</t>
        </is>
      </c>
      <c r="E26" s="4" t="inlineStr">
        <is>
          <t>Raw materials inside cost of sales, TWELVE months to 30-Jun-2026 (note 15-A, both filed halves added). Reviewed consolidated financial statements, six months to 30-Jun-2026, limited review report attached (note 14-A / 15-A)</t>
        </is>
      </c>
    </row>
    <row r="27" ht="30" customHeight="1">
      <c r="A27" s="7" t="inlineStr">
        <is>
          <t>Supporting materials, twelve months (note 15-A)</t>
        </is>
      </c>
      <c r="B27" s="27" t="n">
        <v>124155321</v>
      </c>
      <c r="C27" s="7" t="inlineStr">
        <is>
          <t>Company</t>
        </is>
      </c>
      <c r="D27" s="7" t="inlineStr">
        <is>
          <t>2026-06-30</t>
        </is>
      </c>
      <c r="E27" s="4" t="inlineStr">
        <is>
          <t>Supporting materials inside cost of sales, TWELVE months to 30-Jun-2026 (note 15-A, both filed halves added). Reviewed consolidated financial statements, six months to 30-Jun-2026, limited review report attached (note 14-A / 15-A)</t>
        </is>
      </c>
    </row>
    <row r="28" ht="30" customHeight="1">
      <c r="A28" s="7" t="inlineStr">
        <is>
          <t>Depreciation in cost of sales, twelve months (note 15-A)</t>
        </is>
      </c>
      <c r="B28" s="27" t="n">
        <v>123206229</v>
      </c>
      <c r="C28" s="7" t="inlineStr">
        <is>
          <t>Company</t>
        </is>
      </c>
      <c r="D28" s="7" t="inlineStr">
        <is>
          <t>2026-06-30</t>
        </is>
      </c>
      <c r="E28" s="4" t="inlineStr">
        <is>
          <t>Depreciation inside cost of sales, TWELVE months to 30-Jun-2026 (note 15-A, both filed halves added). Reviewed consolidated financial statements, six months to 30-Jun-2026, limited review report attached (note 14-A / 15-A)</t>
        </is>
      </c>
    </row>
    <row r="29" ht="30" customHeight="1">
      <c r="A29" s="7" t="inlineStr">
        <is>
          <t>Other cost of sales, twelve months (note 15-A)</t>
        </is>
      </c>
      <c r="B29" s="27" t="n">
        <v>1634739411</v>
      </c>
      <c r="C29" s="7" t="inlineStr">
        <is>
          <t>Company</t>
        </is>
      </c>
      <c r="D29" s="7" t="inlineStr">
        <is>
          <t>2026-06-30</t>
        </is>
      </c>
      <c r="E29" s="4" t="inlineStr">
        <is>
          <t>Other cost of sales inside cost of sales, TWELVE months to 30-Jun-2026 (note 15-A, both filed halves added). Reviewed consolidated financial statements, six months to 30-Jun-2026, limited review report attached (note 14-A / 15-A)</t>
        </is>
      </c>
    </row>
    <row r="30" ht="30" customHeight="1">
      <c r="A30" s="7" t="inlineStr">
        <is>
          <t>Depreciation and RoU, twelve months (both cash-flow statements)</t>
        </is>
      </c>
      <c r="B30" s="27" t="n">
        <v>156621007</v>
      </c>
      <c r="C30" s="7" t="inlineStr">
        <is>
          <t>Company</t>
        </is>
      </c>
      <c r="D30" s="7" t="inlineStr">
        <is>
          <t>2026-06-30</t>
        </is>
      </c>
      <c r="E30" s="4" t="inlineStr">
        <is>
          <t>Depreciation and right-of-use amortisation, TWELVE months to 30-Jun-2026 — the audited transition half's cash-flow statement plus the reviewed half's. Reviewed consolidated financial statements, six months to 30-Jun-2026, limited review report attached (note 14-A / 15-A)</t>
        </is>
      </c>
    </row>
    <row r="31" ht="30" customHeight="1">
      <c r="A31" s="7" t="inlineStr">
        <is>
          <t>Cash capital expenditure, twelve months (both cash-flow statements)</t>
        </is>
      </c>
      <c r="B31" s="27" t="n">
        <v>169466717</v>
      </c>
      <c r="C31" s="7" t="inlineStr">
        <is>
          <t>Company</t>
        </is>
      </c>
      <c r="D31" s="7" t="inlineStr">
        <is>
          <t>2026-06-30</t>
        </is>
      </c>
      <c r="E31" s="4" t="inlineStr">
        <is>
          <t>Payments for projects under construction and fixed assets, TWELVE months to 30-Jun-2026 — both cash-flow statements. Reviewed consolidated financial statements, six months to 30-Jun-2026, limited review report attached (note 14-A / 15-A)</t>
        </is>
      </c>
    </row>
    <row r="32" ht="20" customHeight="1">
      <c r="A32" s="7" t="inlineStr">
        <is>
          <t>Credit interest, 6M to 30-Jun-2026 (note 14-B)</t>
        </is>
      </c>
      <c r="B32" s="27" t="n">
        <v>134944385</v>
      </c>
      <c r="C32" s="7" t="inlineStr">
        <is>
          <t>Company</t>
        </is>
      </c>
      <c r="D32" s="7" t="inlineStr">
        <is>
          <t>2026-06-30</t>
        </is>
      </c>
      <c r="E32" s="4" t="inlineStr">
        <is>
          <t>Credit interest earned, six months to 30-Jun-2026 (note 14-B). Reviewed consolidated financial statements, six months to 30-Jun-2026, limited review report attached (note 14-A / 15-A)</t>
        </is>
      </c>
    </row>
    <row r="33" ht="20" customHeight="1">
      <c r="A33" s="7" t="inlineStr">
        <is>
          <t>Net sales, 6M to 30-Jun-2026 (press release, cross-check)</t>
        </is>
      </c>
      <c r="B33" s="27" t="n">
        <v>26223000000</v>
      </c>
      <c r="C33" s="7" t="inlineStr">
        <is>
          <t>Company</t>
        </is>
      </c>
      <c r="D33" s="7" t="inlineStr">
        <is>
          <t>2026-06-30</t>
        </is>
      </c>
      <c r="E33" s="4" t="inlineStr">
        <is>
          <t>Net sales, six months to 30-Jun-2026. Half-year results for 1-Jan to 30-Jun-2026, disclosed to the Egyptian Exchange 29-30 July 2026. REPORTED, NOT AUDITED — a press release, not a filing</t>
        </is>
      </c>
    </row>
    <row r="34" ht="20" customHeight="1">
      <c r="A34" s="7" t="inlineStr">
        <is>
          <t>Profit after tax, 6M to 30-Jun-2026 (press release, cross-check)</t>
        </is>
      </c>
      <c r="B34" s="27" t="n">
        <v>1903000000</v>
      </c>
      <c r="C34" s="7" t="inlineStr">
        <is>
          <t>Company</t>
        </is>
      </c>
      <c r="D34" s="7" t="inlineStr">
        <is>
          <t>2026-06-30</t>
        </is>
      </c>
      <c r="E34" s="4" t="inlineStr">
        <is>
          <t>Net profit after tax, six months to 30-Jun-2026. Half-year results for 1-Jan to 30-Jun-2026, disclosed to the Egyptian Exchange 29-30 July 2026. REPORTED, NOT AUDITED — a press release, not a filing</t>
        </is>
      </c>
    </row>
    <row r="35" ht="50" customHeight="1">
      <c r="A35" s="7" t="inlineStr">
        <is>
          <t>Gross profit (press release) — the filing confirms it</t>
        </is>
      </c>
      <c r="B35" s="27" t="n">
        <v>3258000000</v>
      </c>
      <c r="C35" s="7" t="inlineStr">
        <is>
          <t>Company</t>
        </is>
      </c>
      <c r="D35" s="7" t="inlineStr">
        <is>
          <t>2026-06-30</t>
        </is>
      </c>
      <c r="E35" s="4" t="inlineStr">
        <is>
          <t>Gross profit, six months to 30-Jun-2026, AS RELEASED. This study does NOT use this figure: run through the company's own Q1-2026 expense run rates it implies a profit after tax about 12.6% above the profit the same release reports. The gross profit actually used is SOLVED from the release's own profit line, which two independent coherence tests confirm. Half-year results for 1-Jan to 30-Jun-2026, disclosed to the Egyptian Exchange 29-30 July 2026. REPORTED, NOT AUDITED — a press release, not a filing</t>
        </is>
      </c>
    </row>
    <row r="36" ht="14" customHeight="1">
      <c r="A36" s="7" t="inlineStr">
        <is>
          <t>Net sales, 3M to 31-Mar-2026 (reviewed)</t>
        </is>
      </c>
      <c r="B36" s="27" t="n">
        <v>10510779160</v>
      </c>
      <c r="C36" s="7" t="inlineStr">
        <is>
          <t>Company</t>
        </is>
      </c>
      <c r="D36" s="7" t="inlineStr">
        <is>
          <t>2026-03-31</t>
        </is>
      </c>
      <c r="E36" s="4" t="inlineStr">
        <is>
          <t>Net sales, three months to 31-Mar-2026. Reviewed consolidated FS, three months to 31-Mar-2026</t>
        </is>
      </c>
    </row>
    <row r="37" ht="14" customHeight="1">
      <c r="A37" s="7" t="inlineStr">
        <is>
          <t>Cost of sales, 3M to 31-Mar-2026 (reviewed)</t>
        </is>
      </c>
      <c r="B37" s="27" t="n">
        <v>9439744195</v>
      </c>
      <c r="C37" s="7" t="inlineStr">
        <is>
          <t>Company</t>
        </is>
      </c>
      <c r="D37" s="7" t="inlineStr">
        <is>
          <t>2026-03-31</t>
        </is>
      </c>
      <c r="E37" s="4" t="inlineStr">
        <is>
          <t>Cost of sales, three months to 31-Mar-2026. Reviewed consolidated FS, three months to 31-Mar-2026</t>
        </is>
      </c>
    </row>
    <row r="38" ht="20" customHeight="1">
      <c r="A38" s="7" t="inlineStr">
        <is>
          <t>Administrative expense, 3M to 31-Mar-2026</t>
        </is>
      </c>
      <c r="B38" s="27" t="n">
        <v>365952237</v>
      </c>
      <c r="C38" s="7" t="inlineStr">
        <is>
          <t>Company</t>
        </is>
      </c>
      <c r="D38" s="7" t="inlineStr">
        <is>
          <t>2026-03-31</t>
        </is>
      </c>
      <c r="E38" s="4" t="inlineStr">
        <is>
          <t>General and administrative expenses, three months to 31-Mar-2026. Reviewed consolidated FS, three months to 31-Mar-2026</t>
        </is>
      </c>
    </row>
    <row r="39" ht="20" customHeight="1">
      <c r="A39" s="7" t="inlineStr">
        <is>
          <t>Selling expense, 3M to 31-Mar-2026</t>
        </is>
      </c>
      <c r="B39" s="27" t="n">
        <v>60830975</v>
      </c>
      <c r="C39" s="7" t="inlineStr">
        <is>
          <t>Company</t>
        </is>
      </c>
      <c r="D39" s="7" t="inlineStr">
        <is>
          <t>2026-03-31</t>
        </is>
      </c>
      <c r="E39" s="4" t="inlineStr">
        <is>
          <t>Marketing and selling expenses, three months to 31-Mar-2026. Reviewed consolidated FS, three months to 31-Mar-2026</t>
        </is>
      </c>
    </row>
    <row r="40" ht="20" customHeight="1">
      <c r="A40" s="7" t="inlineStr">
        <is>
          <t>Other operating expense, 3M to 31-Mar-2026</t>
        </is>
      </c>
      <c r="B40" s="27" t="n">
        <v>1080000</v>
      </c>
      <c r="C40" s="7" t="inlineStr">
        <is>
          <t>Company</t>
        </is>
      </c>
      <c r="D40" s="7" t="inlineStr">
        <is>
          <t>2026-03-31</t>
        </is>
      </c>
      <c r="E40" s="4" t="inlineStr">
        <is>
          <t>Other operating expenses, three months to 31-Mar-2026. Reviewed consolidated FS, three months to 31-Mar-2026</t>
        </is>
      </c>
    </row>
    <row r="41" ht="14" customHeight="1">
      <c r="A41" s="7" t="inlineStr">
        <is>
          <t>Other revenue, 3M to 31-Mar-2026</t>
        </is>
      </c>
      <c r="B41" s="27" t="n">
        <v>225556509</v>
      </c>
      <c r="C41" s="7" t="inlineStr">
        <is>
          <t>Company</t>
        </is>
      </c>
      <c r="D41" s="7" t="inlineStr">
        <is>
          <t>2026-03-31</t>
        </is>
      </c>
      <c r="E41" s="4" t="inlineStr">
        <is>
          <t>Other revenue, three months to 31-Mar-2026. Reviewed consolidated FS, three months to 31-Mar-2026</t>
        </is>
      </c>
    </row>
    <row r="42" ht="14" customHeight="1">
      <c r="A42" s="7" t="inlineStr">
        <is>
          <t>Formed provisions, 3M to 31-Mar-2026</t>
        </is>
      </c>
      <c r="B42" s="27" t="n">
        <v>30000000</v>
      </c>
      <c r="C42" s="7" t="inlineStr">
        <is>
          <t>Company</t>
        </is>
      </c>
      <c r="D42" s="7" t="inlineStr">
        <is>
          <t>2026-03-31</t>
        </is>
      </c>
      <c r="E42" s="4" t="inlineStr">
        <is>
          <t>Formed provisions, three months to 31-Mar-2026. Reviewed consolidated FS, three months to 31-Mar-2026</t>
        </is>
      </c>
    </row>
    <row r="43" ht="20" customHeight="1">
      <c r="A43" s="7" t="inlineStr">
        <is>
          <t>Expected credit losses, 3M to 31-Mar-2026</t>
        </is>
      </c>
      <c r="B43" s="27" t="n">
        <v>20323123</v>
      </c>
      <c r="C43" s="7" t="inlineStr">
        <is>
          <t>Company</t>
        </is>
      </c>
      <c r="D43" s="7" t="inlineStr">
        <is>
          <t>2026-03-31</t>
        </is>
      </c>
      <c r="E43" s="4" t="inlineStr">
        <is>
          <t>Expected credit losses formed, three months to 31-Mar-2026. Reviewed consolidated FS, three months to 31-Mar-2026</t>
        </is>
      </c>
    </row>
    <row r="44" ht="14" customHeight="1">
      <c r="A44" s="7" t="inlineStr">
        <is>
          <t>Finance cost, 3M to 31-Mar-2026</t>
        </is>
      </c>
      <c r="B44" s="27" t="n">
        <v>982219</v>
      </c>
      <c r="C44" s="7" t="inlineStr">
        <is>
          <t>Company</t>
        </is>
      </c>
      <c r="D44" s="7" t="inlineStr">
        <is>
          <t>2026-03-31</t>
        </is>
      </c>
      <c r="E44" s="4" t="inlineStr">
        <is>
          <t>Finance cost, three months to 31-Mar-2026. Reviewed consolidated FS, three months to 31-Mar-2026</t>
        </is>
      </c>
    </row>
    <row r="45" ht="20" customHeight="1">
      <c r="A45" s="7" t="inlineStr">
        <is>
          <t>Administrative expense, 6M to 31-Dec-2025</t>
        </is>
      </c>
      <c r="B45" s="27" t="n">
        <v>585636101</v>
      </c>
      <c r="C45" s="7" t="inlineStr">
        <is>
          <t>Company</t>
        </is>
      </c>
      <c r="D45" s="7" t="inlineStr">
        <is>
          <t>2025-12-31</t>
        </is>
      </c>
      <c r="E45" s="4" t="inlineStr">
        <is>
          <t>General and administrative expenses, six months to 31-Dec-2025 (note 15-B). Audited consolidated FS, transition period 1-Jul-2025 to 31-Dec-2025, Crowe unqualified, 18-Feb-2026</t>
        </is>
      </c>
    </row>
    <row r="46" ht="20" customHeight="1">
      <c r="A46" s="7" t="inlineStr">
        <is>
          <t>Selling expense, 6M to 31-Dec-2025</t>
        </is>
      </c>
      <c r="B46" s="27" t="n">
        <v>93729199</v>
      </c>
      <c r="C46" s="7" t="inlineStr">
        <is>
          <t>Company</t>
        </is>
      </c>
      <c r="D46" s="7" t="inlineStr">
        <is>
          <t>2025-12-31</t>
        </is>
      </c>
      <c r="E46" s="4" t="inlineStr">
        <is>
          <t>Marketing and selling expenses, six months to 31-Dec-2025 (note 15-C). Audited consolidated FS, transition period 1-Jul-2025 to 31-Dec-2025, Crowe unqualified, 18-Feb-2026</t>
        </is>
      </c>
    </row>
    <row r="47" ht="30" customHeight="1">
      <c r="A47" s="7" t="inlineStr">
        <is>
          <t>Other operating expense, 6M to 31-Dec-2025</t>
        </is>
      </c>
      <c r="B47" s="27" t="n">
        <v>108781309</v>
      </c>
      <c r="C47" s="7" t="inlineStr">
        <is>
          <t>Company</t>
        </is>
      </c>
      <c r="D47" s="7" t="inlineStr">
        <is>
          <t>2025-12-25</t>
        </is>
      </c>
      <c r="E47" s="4" t="inlineStr">
        <is>
          <t>Other operating expenses, six months to 31-Dec-2025 (note 15-D): compensation and fines 101,393,395, donations 5,162,500, board transport and attendance 2,225,414. Audited consolidated FS, transition period 1-Jul-2025 to 31-Dec-2025, Crowe unqualified, 18-Feb-2026</t>
        </is>
      </c>
    </row>
    <row r="48" ht="20" customHeight="1">
      <c r="A48" s="7" t="inlineStr">
        <is>
          <t>Formed provisions, 6M to 31-Dec-2025</t>
        </is>
      </c>
      <c r="B48" s="27" t="n">
        <v>2467769</v>
      </c>
      <c r="C48" s="7" t="inlineStr">
        <is>
          <t>Company</t>
        </is>
      </c>
      <c r="D48" s="7" t="inlineStr">
        <is>
          <t>2025-12-31</t>
        </is>
      </c>
      <c r="E48" s="4" t="inlineStr">
        <is>
          <t>Formed provisions charged in the six months to 31-Dec-2025. Audited consolidated FS, transition period 1-Jul-2025 to 31-Dec-2025, Crowe unqualified, 18-Feb-2026</t>
        </is>
      </c>
    </row>
    <row r="49" ht="40" customHeight="1">
      <c r="A49" s="7" t="inlineStr">
        <is>
          <t>Depreciation, 6M to 31-Dec-2025</t>
        </is>
      </c>
      <c r="B49" s="27" t="n">
        <v>70125269</v>
      </c>
      <c r="C49" s="7" t="inlineStr">
        <is>
          <t>Company</t>
        </is>
      </c>
      <c r="D49" s="7" t="inlineStr">
        <is>
          <t>2025-12-31</t>
        </is>
      </c>
      <c r="E49" s="4" t="inlineStr">
        <is>
          <t>Fixed-asset depreciation and right-of-use amortisation charged in the six months to 31-Dec-2025, per the cash-flow statement. The previous edition modelled depreciation at 1.1% of revenue, about 440mn a year against an actual near 150mn. Audited consolidated FS, transition period 1-Jul-2025 to 31-Dec-2025, Crowe unqualified, 18-Feb-2026</t>
        </is>
      </c>
    </row>
    <row r="50" ht="20" customHeight="1">
      <c r="A50" s="7" t="inlineStr">
        <is>
          <t>Depreciation, 3M to 31-Mar-2026</t>
        </is>
      </c>
      <c r="B50" s="27" t="n">
        <v>40597611</v>
      </c>
      <c r="C50" s="7" t="inlineStr">
        <is>
          <t>Company</t>
        </is>
      </c>
      <c r="D50" s="7" t="inlineStr">
        <is>
          <t>2026-03-31</t>
        </is>
      </c>
      <c r="E50" s="4" t="inlineStr">
        <is>
          <t>Fixed-asset depreciation and right-of-use amortisation, Q1-2026. Reviewed consolidated FS, three months to 31-Mar-2026</t>
        </is>
      </c>
    </row>
    <row r="51" ht="40" customHeight="1">
      <c r="A51" s="7" t="inlineStr">
        <is>
          <t>Cash capital expenditure, 6M to 31-Dec-2025</t>
        </is>
      </c>
      <c r="B51" s="27" t="n">
        <v>30357299</v>
      </c>
      <c r="C51" s="7" t="inlineStr">
        <is>
          <t>Company</t>
        </is>
      </c>
      <c r="D51" s="7" t="inlineStr">
        <is>
          <t>2025-12-31</t>
        </is>
      </c>
      <c r="E51" s="4" t="inlineStr">
        <is>
          <t>CASH PAID for projects under construction and fixed assets in the six months to 31-Dec-2025. The previous edition modelled capital expenditure at 1.45% of revenue — about 649mn in the first forecast year — against an actual of roughly a tenth of that. Audited consolidated FS, transition period 1-Jul-2025 to 31-Dec-2025, Crowe unqualified, 18-Feb-2026</t>
        </is>
      </c>
    </row>
    <row r="52" ht="20" customHeight="1">
      <c r="A52" s="7" t="inlineStr">
        <is>
          <t>Cash capital expenditure, 3M to 31-Mar-2026</t>
        </is>
      </c>
      <c r="B52" s="27" t="n">
        <v>64984482</v>
      </c>
      <c r="C52" s="7" t="inlineStr">
        <is>
          <t>Company</t>
        </is>
      </c>
      <c r="D52" s="7" t="inlineStr">
        <is>
          <t>2026-03-31</t>
        </is>
      </c>
      <c r="E52" s="4" t="inlineStr">
        <is>
          <t>Cash paid for projects under construction and fixed assets, Q1-2026. Reviewed consolidated FS, three months to 31-Mar-2026</t>
        </is>
      </c>
    </row>
    <row r="53" ht="20" customHeight="1">
      <c r="A53" s="7" t="inlineStr">
        <is>
          <t>Credit interest, 6M to 31-Dec-2025</t>
        </is>
      </c>
      <c r="B53" s="27" t="n">
        <v>173216413</v>
      </c>
      <c r="C53" s="7" t="inlineStr">
        <is>
          <t>Company</t>
        </is>
      </c>
      <c r="D53" s="7" t="inlineStr">
        <is>
          <t>2025-12-31</t>
        </is>
      </c>
      <c r="E53" s="4" t="inlineStr">
        <is>
          <t>Credit interest earned in the six months to 31-Dec-2025, per note 14-B and the cash-flow statement. Audited consolidated FS, transition period 1-Jul-2025 to 31-Dec-2025, Crowe unqualified, 18-Feb-2026</t>
        </is>
      </c>
    </row>
    <row r="54" ht="14" customHeight="1">
      <c r="A54" s="7" t="inlineStr">
        <is>
          <t>Credit interest, 3M to 31-Mar-2026</t>
        </is>
      </c>
      <c r="B54" s="27" t="n">
        <v>64104178</v>
      </c>
      <c r="C54" s="7" t="inlineStr">
        <is>
          <t>Company</t>
        </is>
      </c>
      <c r="D54" s="7" t="inlineStr">
        <is>
          <t>2026-03-31</t>
        </is>
      </c>
      <c r="E54" s="4" t="inlineStr">
        <is>
          <t>Credit interest earned in Q1-2026. Reviewed consolidated FS, three months to 31-Mar-2026</t>
        </is>
      </c>
    </row>
    <row r="55" ht="30" customHeight="1">
      <c r="A55" s="7" t="inlineStr">
        <is>
          <t>Employees' profit share and board bonuses, 6M</t>
        </is>
      </c>
      <c r="B55" s="27" t="n">
        <v>67467871</v>
      </c>
      <c r="C55" s="7" t="inlineStr">
        <is>
          <t>Company</t>
        </is>
      </c>
      <c r="D55" s="7" t="inlineStr">
        <is>
          <t>2025-12-31</t>
        </is>
      </c>
      <c r="E55" s="4" t="inlineStr">
        <is>
          <t>Employees' profit share and board bonuses deducted in arriving at earnings per share (note 16). A real distribution out of profit that the previous edition of this study did not model at all. Audited consolidated FS, transition period 1-Jul-2025 to 31-Dec-2025, Crowe unqualified, 18-Feb-2026</t>
        </is>
      </c>
    </row>
    <row r="56" ht="20" customHeight="1">
      <c r="A56" s="7" t="inlineStr">
        <is>
          <t>Profit after tax, 6M to 31-Dec-2025 (AUDITED)</t>
        </is>
      </c>
      <c r="B56" s="27" t="n">
        <v>656428711</v>
      </c>
      <c r="C56" s="7" t="inlineStr">
        <is>
          <t>Company</t>
        </is>
      </c>
      <c r="D56" s="7" t="inlineStr">
        <is>
          <t>2025-12-31</t>
        </is>
      </c>
      <c r="E56" s="4" t="inlineStr">
        <is>
          <t>Net profit after tax, six months to 31-Dec-2025. Audited consolidated FS, transition period 1-Jul-2025 to 31-Dec-2025, Crowe unqualified, 18-Feb-2026</t>
        </is>
      </c>
    </row>
    <row r="57" ht="20" customHeight="1">
      <c r="A57" s="7" t="inlineStr">
        <is>
          <t>Minority share of profit, 6M to 31-Dec-2025</t>
        </is>
      </c>
      <c r="B57" s="27" t="n">
        <v>30488250</v>
      </c>
      <c r="C57" s="7" t="inlineStr">
        <is>
          <t>Company</t>
        </is>
      </c>
      <c r="D57" s="7" t="inlineStr">
        <is>
          <t>2025-12-31</t>
        </is>
      </c>
      <c r="E57" s="4" t="inlineStr">
        <is>
          <t>Non-controlling interest share of profit, six months to 31-Dec-2025. Audited consolidated FS, transition period 1-Jul-2025 to 31-Dec-2025, Crowe unqualified, 18-Feb-2026</t>
        </is>
      </c>
    </row>
    <row r="58" ht="20" customHeight="1">
      <c r="A58" s="7" t="inlineStr">
        <is>
          <t>Minority share of profit, 3M to 31-Mar-2026</t>
        </is>
      </c>
      <c r="B58" s="27" t="n">
        <v>22627676</v>
      </c>
      <c r="C58" s="7" t="inlineStr">
        <is>
          <t>Company</t>
        </is>
      </c>
      <c r="D58" s="7" t="inlineStr">
        <is>
          <t>2026-03-31</t>
        </is>
      </c>
      <c r="E58" s="4" t="inlineStr">
        <is>
          <t>Non-controlling interest share of profit, three months to 31-Mar-2026. Reviewed consolidated FS, three months to 31-Mar-2026</t>
        </is>
      </c>
    </row>
    <row r="59" ht="20" customHeight="1">
      <c r="A59" s="7" t="inlineStr">
        <is>
          <t>Current tax, 6M to 31-Dec-2025</t>
        </is>
      </c>
      <c r="B59" s="27" t="n">
        <v>203945433</v>
      </c>
      <c r="C59" s="7" t="inlineStr">
        <is>
          <t>Company</t>
        </is>
      </c>
      <c r="D59" s="7" t="inlineStr">
        <is>
          <t>2025-12-31</t>
        </is>
      </c>
      <c r="E59" s="4" t="inlineStr">
        <is>
          <t>Current income tax, six months to 31-Dec-2025. Audited consolidated FS, transition period 1-Jul-2025 to 31-Dec-2025, Crowe unqualified, 18-Feb-2026</t>
        </is>
      </c>
    </row>
    <row r="60" ht="20" customHeight="1">
      <c r="A60" s="7" t="inlineStr">
        <is>
          <t>Deferred tax CREDIT, 6M to 31-Dec-2025</t>
        </is>
      </c>
      <c r="B60" s="27" t="n">
        <v>19441512</v>
      </c>
      <c r="C60" s="7" t="inlineStr">
        <is>
          <t>Company</t>
        </is>
      </c>
      <c r="D60" s="7" t="inlineStr">
        <is>
          <t>2025-12-31</t>
        </is>
      </c>
      <c r="E60" s="4" t="inlineStr">
        <is>
          <t>Deferred tax CREDIT, six months to 31-Dec-2025. Audited consolidated FS, transition period 1-Jul-2025 to 31-Dec-2025, Crowe unqualified, 18-Feb-2026</t>
        </is>
      </c>
    </row>
    <row r="61" ht="14" customHeight="1">
      <c r="A61" s="7" t="inlineStr">
        <is>
          <t>Current tax, 3M to 31-Mar-2026</t>
        </is>
      </c>
      <c r="B61" s="27" t="n">
        <v>175094101</v>
      </c>
      <c r="C61" s="7" t="inlineStr">
        <is>
          <t>Company</t>
        </is>
      </c>
      <c r="D61" s="7" t="inlineStr">
        <is>
          <t>2026-03-31</t>
        </is>
      </c>
      <c r="E61" s="4" t="inlineStr">
        <is>
          <t>Current income tax, three months to 31-Mar-2026. Reviewed consolidated FS, three months to 31-Mar-2026</t>
        </is>
      </c>
    </row>
    <row r="62" ht="20" customHeight="1">
      <c r="A62" s="7" t="inlineStr">
        <is>
          <t>Deferred tax, 3M to 31-Mar-2026</t>
        </is>
      </c>
      <c r="B62" s="27" t="n">
        <v>-7209684</v>
      </c>
      <c r="C62" s="7" t="inlineStr">
        <is>
          <t>Company</t>
        </is>
      </c>
      <c r="D62" s="7" t="inlineStr">
        <is>
          <t>2026-03-31</t>
        </is>
      </c>
      <c r="E62" s="4" t="inlineStr">
        <is>
          <t>Deferred tax EXPENSE (negative = charge), three months to 31-Mar-2026. Reviewed consolidated FS, three months to 31-Mar-2026</t>
        </is>
      </c>
    </row>
    <row r="63" ht="20" customHeight="1">
      <c r="A63" s="7" t="inlineStr">
        <is>
          <t>Investment income, 6M to 31-Dec-2025</t>
        </is>
      </c>
      <c r="B63" s="27" t="n">
        <v>13520000</v>
      </c>
      <c r="C63" s="7" t="inlineStr">
        <is>
          <t>Company</t>
        </is>
      </c>
      <c r="D63" s="7" t="inlineStr">
        <is>
          <t>2025-12-31</t>
        </is>
      </c>
      <c r="E63" s="4" t="inlineStr">
        <is>
          <t>Revenue from investments — dividend from Alexandria Specialized Petroleum Products Co (note 14-C). Audited consolidated FS, transition period 1-Jul-2025 to 31-Dec-2025, Crowe unqualified, 18-Feb-2026</t>
        </is>
      </c>
    </row>
    <row r="64" ht="50" customHeight="1">
      <c r="A64" s="7" t="inlineStr">
        <is>
          <t>Other revenue, 6M to 31-Dec-2025</t>
        </is>
      </c>
      <c r="B64" s="27" t="n">
        <v>345744052</v>
      </c>
      <c r="C64" s="7" t="inlineStr">
        <is>
          <t>Company</t>
        </is>
      </c>
      <c r="D64" s="7" t="inlineStr">
        <is>
          <t>2025-12-31</t>
        </is>
      </c>
      <c r="E64" s="4" t="inlineStr">
        <is>
          <t>Other revenue, six months to 31-Dec-2025 (note 14-B): credit interest 173,216,413, provision no longer required 154,301,640, reversed expected credit loss 1,870,481, compensations and fines 1,241,123, capital gains 326,000, miscellaneous 14,788,395. NOTE the foreign-exchange gain line is ZERO in this period, against 104,572,235 in the comparative half. Audited consolidated FS, transition period 1-Jul-2025 to 31-Dec-2025, Crowe unqualified, 18-Feb-2026</t>
        </is>
      </c>
    </row>
    <row r="65" ht="30" customHeight="1">
      <c r="A65" s="7" t="inlineStr">
        <is>
          <t>Finance cost, 6M to 31-Dec-2025</t>
        </is>
      </c>
      <c r="B65" s="27" t="n">
        <v>1892108</v>
      </c>
      <c r="C65" s="7" t="inlineStr">
        <is>
          <t>Company</t>
        </is>
      </c>
      <c r="D65" s="7" t="inlineStr">
        <is>
          <t>2025-12-31</t>
        </is>
      </c>
      <c r="E65" s="4" t="inlineStr">
        <is>
          <t>Finance expenses, six months to 31-Dec-2025 (note 15-E): loan interest and charges 1,130,556, lease interest 761,552. Audited consolidated FS, transition period 1-Jul-2025 to 31-Dec-2025, Crowe unqualified, 18-Feb-2026</t>
        </is>
      </c>
    </row>
    <row r="66">
      <c r="A66" s="11" t="inlineStr">
        <is>
          <t>NOTE 14-A — the audited product table, 6M to 31-Dec-2025</t>
        </is>
      </c>
      <c r="B66" s="13" t="n"/>
      <c r="C66" s="13" t="n"/>
      <c r="D66" s="13" t="n"/>
      <c r="E66" s="13" t="n"/>
      <c r="F66" s="13" t="n"/>
    </row>
    <row r="67" ht="40" customHeight="1">
      <c r="A67" s="7" t="inlineStr">
        <is>
          <t>Base and special oils — tonnes sold</t>
        </is>
      </c>
      <c r="B67" s="28" t="n">
        <v>118475.64</v>
      </c>
      <c r="C67" s="7" t="inlineStr">
        <is>
          <t>Company</t>
        </is>
      </c>
      <c r="D67" s="7" t="inlineStr">
        <is>
          <t>2026-06-30</t>
        </is>
      </c>
      <c r="E67"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68" ht="40" customHeight="1">
      <c r="A68" s="7" t="inlineStr">
        <is>
          <t>Paraffin wax — tonnes sold</t>
        </is>
      </c>
      <c r="B68" s="28" t="n">
        <v>82805.73999999999</v>
      </c>
      <c r="C68" s="7" t="inlineStr">
        <is>
          <t>Company</t>
        </is>
      </c>
      <c r="D68" s="7" t="inlineStr">
        <is>
          <t>2026-06-30</t>
        </is>
      </c>
      <c r="E68"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69" ht="40" customHeight="1">
      <c r="A69" s="7" t="inlineStr">
        <is>
          <t>Gas oil — tonnes sold</t>
        </is>
      </c>
      <c r="B69" s="28" t="n">
        <v>346720.793</v>
      </c>
      <c r="C69" s="7" t="inlineStr">
        <is>
          <t>Company</t>
        </is>
      </c>
      <c r="D69" s="7" t="inlineStr">
        <is>
          <t>2026-06-30</t>
        </is>
      </c>
      <c r="E69"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0" ht="40" customHeight="1">
      <c r="A70" s="7" t="inlineStr">
        <is>
          <t>Naphtha — tonnes sold</t>
        </is>
      </c>
      <c r="B70" s="28" t="n">
        <v>80543.106</v>
      </c>
      <c r="C70" s="7" t="inlineStr">
        <is>
          <t>Company</t>
        </is>
      </c>
      <c r="D70" s="7" t="inlineStr">
        <is>
          <t>2026-06-30</t>
        </is>
      </c>
      <c r="E70"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1" ht="40" customHeight="1">
      <c r="A71" s="7" t="inlineStr">
        <is>
          <t>Liquefied petroleum gas — tonnes sold</t>
        </is>
      </c>
      <c r="B71" s="28" t="n">
        <v>47938.789</v>
      </c>
      <c r="C71" s="7" t="inlineStr">
        <is>
          <t>Company</t>
        </is>
      </c>
      <c r="D71" s="7" t="inlineStr">
        <is>
          <t>2026-06-30</t>
        </is>
      </c>
      <c r="E71"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2" ht="40" customHeight="1">
      <c r="A72" s="7" t="inlineStr">
        <is>
          <t>Fuel oil (mix) — tonnes sold</t>
        </is>
      </c>
      <c r="B72" s="28" t="n">
        <v>799642.257</v>
      </c>
      <c r="C72" s="7" t="inlineStr">
        <is>
          <t>Company</t>
        </is>
      </c>
      <c r="D72" s="7" t="inlineStr">
        <is>
          <t>2026-06-30</t>
        </is>
      </c>
      <c r="E72"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3" ht="40" customHeight="1">
      <c r="A73" s="7" t="inlineStr">
        <is>
          <t>Heavy fuel oil — tonnes sold</t>
        </is>
      </c>
      <c r="B73" s="28" t="n">
        <v>26181.62</v>
      </c>
      <c r="C73" s="7" t="inlineStr">
        <is>
          <t>Company</t>
        </is>
      </c>
      <c r="D73" s="7" t="inlineStr">
        <is>
          <t>2026-06-30</t>
        </is>
      </c>
      <c r="E73"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4" ht="40" customHeight="1">
      <c r="A74" s="7" t="inlineStr">
        <is>
          <t>Waste — tonnes sold</t>
        </is>
      </c>
      <c r="B74" s="28" t="n">
        <v>16.66</v>
      </c>
      <c r="C74" s="7" t="inlineStr">
        <is>
          <t>Company</t>
        </is>
      </c>
      <c r="D74" s="7" t="inlineStr">
        <is>
          <t>2026-06-30</t>
        </is>
      </c>
      <c r="E74"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5" ht="40" customHeight="1">
      <c r="A75" s="7" t="inlineStr">
        <is>
          <t>Base and special oils — sales value, EGP</t>
        </is>
      </c>
      <c r="B75" s="27" t="n">
        <v>6910344291</v>
      </c>
      <c r="C75" s="7" t="inlineStr">
        <is>
          <t>Company</t>
        </is>
      </c>
      <c r="D75" s="7" t="inlineStr">
        <is>
          <t>2026-06-30</t>
        </is>
      </c>
      <c r="E75"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76" ht="40" customHeight="1">
      <c r="A76" s="7" t="inlineStr">
        <is>
          <t>Paraffin wax — sales value, EGP</t>
        </is>
      </c>
      <c r="B76" s="27" t="n">
        <v>4652865956</v>
      </c>
      <c r="C76" s="7" t="inlineStr">
        <is>
          <t>Company</t>
        </is>
      </c>
      <c r="D76" s="7" t="inlineStr">
        <is>
          <t>2026-06-30</t>
        </is>
      </c>
      <c r="E76"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77" ht="40" customHeight="1">
      <c r="A77" s="7" t="inlineStr">
        <is>
          <t>Gas oil — sales value, EGP</t>
        </is>
      </c>
      <c r="B77" s="27" t="n">
        <v>13032962579</v>
      </c>
      <c r="C77" s="7" t="inlineStr">
        <is>
          <t>Company</t>
        </is>
      </c>
      <c r="D77" s="7" t="inlineStr">
        <is>
          <t>2026-06-30</t>
        </is>
      </c>
      <c r="E77"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78" ht="40" customHeight="1">
      <c r="A78" s="7" t="inlineStr">
        <is>
          <t>Naphtha — sales value, EGP</t>
        </is>
      </c>
      <c r="B78" s="27" t="n">
        <v>2237624310</v>
      </c>
      <c r="C78" s="7" t="inlineStr">
        <is>
          <t>Company</t>
        </is>
      </c>
      <c r="D78" s="7" t="inlineStr">
        <is>
          <t>2026-06-30</t>
        </is>
      </c>
      <c r="E78"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79" ht="40" customHeight="1">
      <c r="A79" s="7" t="inlineStr">
        <is>
          <t>Liquefied petroleum gas — sales value, EGP</t>
        </is>
      </c>
      <c r="B79" s="27" t="n">
        <v>2070474787</v>
      </c>
      <c r="C79" s="7" t="inlineStr">
        <is>
          <t>Company</t>
        </is>
      </c>
      <c r="D79" s="7" t="inlineStr">
        <is>
          <t>2026-06-30</t>
        </is>
      </c>
      <c r="E79"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80" ht="40" customHeight="1">
      <c r="A80" s="7" t="inlineStr">
        <is>
          <t>Fuel oil (mix) — sales value, EGP</t>
        </is>
      </c>
      <c r="B80" s="27" t="n">
        <v>17639509544</v>
      </c>
      <c r="C80" s="7" t="inlineStr">
        <is>
          <t>Company</t>
        </is>
      </c>
      <c r="D80" s="7" t="inlineStr">
        <is>
          <t>2026-06-30</t>
        </is>
      </c>
      <c r="E80"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81" ht="40" customHeight="1">
      <c r="A81" s="7" t="inlineStr">
        <is>
          <t>Heavy fuel oil — sales value, EGP</t>
        </is>
      </c>
      <c r="B81" s="27" t="n">
        <v>414784599</v>
      </c>
      <c r="C81" s="7" t="inlineStr">
        <is>
          <t>Company</t>
        </is>
      </c>
      <c r="D81" s="7" t="inlineStr">
        <is>
          <t>2026-06-30</t>
        </is>
      </c>
      <c r="E81"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82" ht="40" customHeight="1">
      <c r="A82" s="7" t="inlineStr">
        <is>
          <t>Waste — sales value, EGP</t>
        </is>
      </c>
      <c r="B82" s="27" t="n">
        <v>192200</v>
      </c>
      <c r="C82" s="7" t="inlineStr">
        <is>
          <t>Company</t>
        </is>
      </c>
      <c r="D82" s="7" t="inlineStr">
        <is>
          <t>2026-06-30</t>
        </is>
      </c>
      <c r="E82"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83">
      <c r="A83" s="11" t="inlineStr">
        <is>
          <t>NOTE 15-A — the audited cost stack, 6M to 31-Dec-2025</t>
        </is>
      </c>
      <c r="B83" s="13" t="n"/>
      <c r="C83" s="13" t="n"/>
      <c r="D83" s="13" t="n"/>
      <c r="E83" s="13" t="n"/>
      <c r="F83" s="13" t="n"/>
    </row>
    <row r="84" ht="30" customHeight="1">
      <c r="A84" s="7" t="inlineStr">
        <is>
          <t>Raw materials</t>
        </is>
      </c>
      <c r="B84" s="27" t="n">
        <v>17650102725</v>
      </c>
      <c r="C84" s="7" t="inlineStr">
        <is>
          <t>Company</t>
        </is>
      </c>
      <c r="D84" s="7" t="inlineStr">
        <is>
          <t>2025-12-31</t>
        </is>
      </c>
      <c r="E84" s="4" t="inlineStr">
        <is>
          <t>Cost of sales — RAW MATERIALS, six months to 31-Dec-2025 (note 15-A). 90.7% of cost of sales and 85.1% of revenue: this single line is what the company is. Audited consolidated FS, transition period 1-Jul-2025 to 31-Dec-2025, Crowe unqualified, 18-Feb-2026</t>
        </is>
      </c>
    </row>
    <row r="85" ht="20" customHeight="1">
      <c r="A85" s="7" t="inlineStr">
        <is>
          <t>Salaries</t>
        </is>
      </c>
      <c r="B85" s="27" t="n">
        <v>881019497</v>
      </c>
      <c r="C85" s="7" t="inlineStr">
        <is>
          <t>Company</t>
        </is>
      </c>
      <c r="D85" s="7" t="inlineStr">
        <is>
          <t>2025-12-31</t>
        </is>
      </c>
      <c r="E85" s="4" t="inlineStr">
        <is>
          <t>Cost of sales — salaries, six months to 31-Dec-2025 (note 15-A). Audited consolidated FS, transition period 1-Jul-2025 to 31-Dec-2025, Crowe unqualified, 18-Feb-2026</t>
        </is>
      </c>
    </row>
    <row r="86" ht="40" customHeight="1">
      <c r="A86" s="7" t="inlineStr">
        <is>
          <t>Other expenses</t>
        </is>
      </c>
      <c r="B86" s="27" t="n">
        <v>807146755</v>
      </c>
      <c r="C86" s="7" t="inlineStr">
        <is>
          <t>Company</t>
        </is>
      </c>
      <c r="D86" s="7" t="inlineStr">
        <is>
          <t>2025-12-31</t>
        </is>
      </c>
      <c r="E86" s="4" t="inlineStr">
        <is>
          <t>Cost of sales — other expenses, six months to 31-Dec-2025 (note 15-A): natural gas, operating electricity, operating water, spare parts, maintenance, and the operating management and technical support contract with the Egyptian Projects Operations &amp; Maintenance Company (EPROM). Audited consolidated FS, transition period 1-Jul-2025 to 31-Dec-2025, Crowe unqualified, 18-Feb-2026</t>
        </is>
      </c>
    </row>
    <row r="87" ht="20" customHeight="1">
      <c r="A87" s="7" t="inlineStr">
        <is>
          <t>Supporting materials (chemicals and additives)</t>
        </is>
      </c>
      <c r="B87" s="27" t="n">
        <v>64533723</v>
      </c>
      <c r="C87" s="7" t="inlineStr">
        <is>
          <t>Company</t>
        </is>
      </c>
      <c r="D87" s="7" t="inlineStr">
        <is>
          <t>2025-12-31</t>
        </is>
      </c>
      <c r="E87" s="4" t="inlineStr">
        <is>
          <t>Cost of sales — supporting materials (chemicals and additives), six months to 31-Dec-2025 (note 15-A). The previous edition estimated this charge at roughly five times the disclosed figure</t>
        </is>
      </c>
    </row>
    <row r="88" ht="20" customHeight="1">
      <c r="A88" s="7" t="inlineStr">
        <is>
          <t>Depreciation</t>
        </is>
      </c>
      <c r="B88" s="27" t="n">
        <v>58748046</v>
      </c>
      <c r="C88" s="7" t="inlineStr">
        <is>
          <t>Company</t>
        </is>
      </c>
      <c r="D88" s="7" t="inlineStr">
        <is>
          <t>2025-12-31</t>
        </is>
      </c>
      <c r="E88" s="4" t="inlineStr">
        <is>
          <t>Cost of sales — depreciation, six months to 31-Dec-2025 (note 15-A). Audited consolidated FS, transition period 1-Jul-2025 to 31-Dec-2025, Crowe unqualified, 18-Feb-2026</t>
        </is>
      </c>
    </row>
    <row r="89">
      <c r="A89" s="11" t="inlineStr">
        <is>
          <t>BALANCE SHEET AT 31 DECEMBER 2025 (AUDITED)</t>
        </is>
      </c>
      <c r="B89" s="13" t="n"/>
      <c r="C89" s="13" t="n"/>
      <c r="D89" s="13" t="n"/>
      <c r="E89" s="13" t="n"/>
      <c r="F89" s="13" t="n"/>
    </row>
    <row r="90" ht="20" customHeight="1">
      <c r="A90" s="7" t="inlineStr">
        <is>
          <t>Fixed assets, net</t>
        </is>
      </c>
      <c r="B90" s="27" t="n">
        <v>873010517</v>
      </c>
      <c r="C90" s="7" t="inlineStr">
        <is>
          <t>Company</t>
        </is>
      </c>
      <c r="D90" s="7" t="inlineStr">
        <is>
          <t>2026-06-30</t>
        </is>
      </c>
      <c r="E90" s="4" t="inlineStr">
        <is>
          <t>Fixed assets net of accumulated depreciation at 30-Jun-2026 (note 6). Reviewed consolidated FS, six months to 30-Jun-2026, limited review</t>
        </is>
      </c>
    </row>
    <row r="91" ht="40" customHeight="1">
      <c r="A91" s="7" t="inlineStr">
        <is>
          <t>Fixed assets, at COST</t>
        </is>
      </c>
      <c r="B91" s="27" t="n">
        <v>2740810692</v>
      </c>
      <c r="C91" s="7" t="inlineStr">
        <is>
          <t>Company</t>
        </is>
      </c>
      <c r="D91" s="7" t="inlineStr">
        <is>
          <t>2025-12-31</t>
        </is>
      </c>
      <c r="E91" s="4" t="inlineStr">
        <is>
          <t>Fixed assets at COST at 31-Dec-2025 (note 6), before accumulated depreciation of 1,847,794,418. The gross figure is what a replacement-capex line has to be built on; the net figure is what the terminal return is flattered by. Audited consolidated FS, transition period 1-Jul-2025 to 31-Dec-2025, Crowe unqualified, 18-Feb-2026</t>
        </is>
      </c>
    </row>
    <row r="92" ht="20" customHeight="1">
      <c r="A92" s="7" t="inlineStr">
        <is>
          <t>Projects under construction</t>
        </is>
      </c>
      <c r="B92" s="27" t="n">
        <v>414641768</v>
      </c>
      <c r="C92" s="7" t="inlineStr">
        <is>
          <t>Company</t>
        </is>
      </c>
      <c r="D92" s="7" t="inlineStr">
        <is>
          <t>2026-06-30</t>
        </is>
      </c>
      <c r="E92" s="4" t="inlineStr">
        <is>
          <t>Projects under construction at 30-Jun-2026 (note 7). Reviewed consolidated FS, six months to 30-Jun-2026, limited review</t>
        </is>
      </c>
    </row>
    <row r="93" ht="20" customHeight="1">
      <c r="A93" s="7" t="inlineStr">
        <is>
          <t>Inventory</t>
        </is>
      </c>
      <c r="B93" s="27" t="n">
        <v>3764066490</v>
      </c>
      <c r="C93" s="7" t="inlineStr">
        <is>
          <t>Company</t>
        </is>
      </c>
      <c r="D93" s="7" t="inlineStr">
        <is>
          <t>2026-06-30</t>
        </is>
      </c>
      <c r="E93" s="4" t="inlineStr">
        <is>
          <t>Inventory net of impairment at 30-Jun-2026 (note 9-A). Reviewed consolidated FS, six months to 30-Jun-2026, limited review</t>
        </is>
      </c>
    </row>
    <row r="94" ht="20" customHeight="1">
      <c r="A94" s="7" t="inlineStr">
        <is>
          <t>Trade receivables</t>
        </is>
      </c>
      <c r="B94" s="27" t="n">
        <v>2035100729</v>
      </c>
      <c r="C94" s="7" t="inlineStr">
        <is>
          <t>Company</t>
        </is>
      </c>
      <c r="D94" s="7" t="inlineStr">
        <is>
          <t>2026-06-30</t>
        </is>
      </c>
      <c r="E94" s="4" t="inlineStr">
        <is>
          <t>Accounts receivable net at 30-Jun-2026 (note 9-B). Reviewed consolidated FS, six months to 30-Jun-2026, limited review</t>
        </is>
      </c>
    </row>
    <row r="95" ht="20" customHeight="1">
      <c r="A95" s="7" t="inlineStr">
        <is>
          <t>Debtors and other debit balances</t>
        </is>
      </c>
      <c r="B95" s="27" t="n">
        <v>632115619</v>
      </c>
      <c r="C95" s="7" t="inlineStr">
        <is>
          <t>Company</t>
        </is>
      </c>
      <c r="D95" s="7" t="inlineStr">
        <is>
          <t>2026-06-30</t>
        </is>
      </c>
      <c r="E95" s="4" t="inlineStr">
        <is>
          <t>Debtors and other debit balances net at 30-Jun-2026 (notes 9-C, 9-D). Reviewed consolidated FS, six months to 30-Jun-2026, limited review</t>
        </is>
      </c>
    </row>
    <row r="96" ht="20" customHeight="1">
      <c r="A96" s="7" t="inlineStr">
        <is>
          <t>Accounts and notes payable</t>
        </is>
      </c>
      <c r="B96" s="27" t="n">
        <v>14015841</v>
      </c>
      <c r="C96" s="7" t="inlineStr">
        <is>
          <t>Company</t>
        </is>
      </c>
      <c r="D96" s="7" t="inlineStr">
        <is>
          <t>2026-06-30</t>
        </is>
      </c>
      <c r="E96" s="4" t="inlineStr">
        <is>
          <t>Accounts and notes payable at 30-Jun-2026 (note 10-3). Reviewed consolidated FS, six months to 30-Jun-2026, limited review</t>
        </is>
      </c>
    </row>
    <row r="97" ht="20" customHeight="1">
      <c r="A97" s="7" t="inlineStr">
        <is>
          <t>Creditors and other credit balances</t>
        </is>
      </c>
      <c r="B97" s="27" t="n">
        <v>3286150065</v>
      </c>
      <c r="C97" s="7" t="inlineStr">
        <is>
          <t>Company</t>
        </is>
      </c>
      <c r="D97" s="7" t="inlineStr">
        <is>
          <t>2026-06-30</t>
        </is>
      </c>
      <c r="E97" s="4" t="inlineStr">
        <is>
          <t>Creditors and other credit balances at 30-Jun-2026 (note 11). Reviewed consolidated FS, six months to 30-Jun-2026, limited review</t>
        </is>
      </c>
    </row>
    <row r="98" ht="30" customHeight="1">
      <c r="A98" s="7" t="inlineStr">
        <is>
          <t>of which DIVIDENDS PAYABLE — a financing claim</t>
        </is>
      </c>
      <c r="B98" s="27" t="n">
        <v>258300000</v>
      </c>
      <c r="C98" s="7" t="inlineStr">
        <is>
          <t>Company</t>
        </is>
      </c>
      <c r="D98" s="7" t="inlineStr">
        <is>
          <t>2026-06-30</t>
        </is>
      </c>
      <c r="E98" s="4" t="inlineStr">
        <is>
          <t>Dividends payable at 30-Jun-2026 (note 11) — HALF the 517,250,000 standing six months earlier, because the declared dividend was largely paid. Reviewed consolidated FS, six months to 30-Jun-2026, limited review</t>
        </is>
      </c>
    </row>
    <row r="99" ht="20" customHeight="1">
      <c r="A99" s="7" t="inlineStr">
        <is>
          <t>Provisions — tax disputes and claims</t>
        </is>
      </c>
      <c r="B99" s="27" t="n">
        <v>996857074</v>
      </c>
      <c r="C99" s="7" t="inlineStr">
        <is>
          <t>Company</t>
        </is>
      </c>
      <c r="D99" s="7" t="inlineStr">
        <is>
          <t>2026-06-30</t>
        </is>
      </c>
      <c r="E99" s="4" t="inlineStr">
        <is>
          <t>Provisions at 30-Jun-2026 (note 10-1) — a recognised liability, carried in full in the bridge. Reviewed consolidated FS, six months to 30-Jun-2026, limited review</t>
        </is>
      </c>
    </row>
    <row r="100" ht="20" customHeight="1">
      <c r="A100" s="7" t="inlineStr">
        <is>
          <t>Cash at banks and on hand, free</t>
        </is>
      </c>
      <c r="B100" s="27" t="n">
        <v>3018394920</v>
      </c>
      <c r="C100" s="7" t="inlineStr">
        <is>
          <t>Company</t>
        </is>
      </c>
      <c r="D100" s="7" t="inlineStr">
        <is>
          <t>2026-06-30</t>
        </is>
      </c>
      <c r="E100" s="4" t="inlineStr">
        <is>
          <t>Cash and cash equivalents at 30-Jun-2026 (note 9-E). UP from 2,463,522,365 six months earlier AFTER paying 861,257,265 of dividends. Reviewed consolidated FS, six months to 30-Jun-2026, limited review</t>
        </is>
      </c>
    </row>
    <row r="101" ht="20" customHeight="1">
      <c r="A101" s="7" t="inlineStr">
        <is>
          <t>Deposits PLEDGED against facilities</t>
        </is>
      </c>
      <c r="B101" s="27" t="n">
        <v>525170000</v>
      </c>
      <c r="C101" s="7" t="inlineStr">
        <is>
          <t>Company</t>
        </is>
      </c>
      <c r="D101" s="7" t="inlineStr">
        <is>
          <t>2026-06-30</t>
        </is>
      </c>
      <c r="E101" s="4" t="inlineStr">
        <is>
          <t>Other financial investments at 30-Jun-2026 — deposits PLEDGED against facilities, not free cash. Reviewed consolidated FS, six months to 30-Jun-2026, limited review</t>
        </is>
      </c>
    </row>
    <row r="102" ht="30" customHeight="1">
      <c r="A102" s="7" t="inlineStr">
        <is>
          <t>Equity investment at fair value through OCI</t>
        </is>
      </c>
      <c r="B102" s="27" t="n">
        <v>69608696</v>
      </c>
      <c r="C102" s="7" t="inlineStr">
        <is>
          <t>Company</t>
        </is>
      </c>
      <c r="D102" s="7" t="inlineStr">
        <is>
          <t>2025-12-31</t>
        </is>
      </c>
      <c r="E102" s="4" t="inlineStr">
        <is>
          <t>Financial asset through OCI at 31-Dec-2025 — 104,000 shares, 5.20% of ASCPC, fair value 69,608,696 (note 8-1). Audited consolidated FS, transition period 1-Jul-2025 to 31-Dec-2025, Crowe unqualified, 18-Feb-2026</t>
        </is>
      </c>
    </row>
    <row r="103" ht="20" customHeight="1">
      <c r="A103" s="7" t="inlineStr">
        <is>
          <t>Long-term loans</t>
        </is>
      </c>
      <c r="B103" s="27" t="n">
        <v>12137451</v>
      </c>
      <c r="C103" s="7" t="inlineStr">
        <is>
          <t>Company</t>
        </is>
      </c>
      <c r="D103" s="7" t="inlineStr">
        <is>
          <t>2026-06-30</t>
        </is>
      </c>
      <c r="E103" s="4" t="inlineStr">
        <is>
          <t>Long-term loans at 30-Jun-2026 (note 20). Reviewed consolidated FS, six months to 30-Jun-2026, limited review</t>
        </is>
      </c>
    </row>
    <row r="104" ht="20" customHeight="1">
      <c r="A104" s="7" t="inlineStr">
        <is>
          <t>Short-term loans</t>
        </is>
      </c>
      <c r="B104" s="27" t="n">
        <v>4715153</v>
      </c>
      <c r="C104" s="7" t="inlineStr">
        <is>
          <t>Company</t>
        </is>
      </c>
      <c r="D104" s="7" t="inlineStr">
        <is>
          <t>2026-06-30</t>
        </is>
      </c>
      <c r="E104" s="4" t="inlineStr">
        <is>
          <t>Short-term loans and facilities at 30-Jun-2026 (note 20). Reviewed consolidated FS, six months to 30-Jun-2026, limited review</t>
        </is>
      </c>
    </row>
    <row r="105" ht="20" customHeight="1">
      <c r="A105" s="7" t="inlineStr">
        <is>
          <t>Parent equity</t>
        </is>
      </c>
      <c r="B105" s="27" t="n">
        <v>6070338949</v>
      </c>
      <c r="C105" s="7" t="inlineStr">
        <is>
          <t>Company</t>
        </is>
      </c>
      <c r="D105" s="7" t="inlineStr">
        <is>
          <t>2026-06-30</t>
        </is>
      </c>
      <c r="E105" s="4" t="inlineStr">
        <is>
          <t>Total AMOC (parent) equity at 30-Jun-2026 — EGP 4.70 a share, against 4,790,695,948 six months earlier. Reviewed consolidated FS, six months to 30-Jun-2026, limited review</t>
        </is>
      </c>
    </row>
    <row r="106" ht="20" customHeight="1">
      <c r="A106" s="7" t="inlineStr">
        <is>
          <t>Non-controlling interest, carrying</t>
        </is>
      </c>
      <c r="B106" s="27" t="n">
        <v>72835277</v>
      </c>
      <c r="C106" s="7" t="inlineStr">
        <is>
          <t>Company</t>
        </is>
      </c>
      <c r="D106" s="7" t="inlineStr">
        <is>
          <t>2026-06-30</t>
        </is>
      </c>
      <c r="E106" s="4" t="inlineStr">
        <is>
          <t>Non-controlling interest carrying amount at 30-Jun-2026. Reviewed consolidated FS, six months to 30-Jun-2026, limited review</t>
        </is>
      </c>
    </row>
    <row r="107">
      <c r="A107" s="11" t="inlineStr">
        <is>
          <t>DRIVERS</t>
        </is>
      </c>
      <c r="B107" s="13" t="n"/>
      <c r="C107" s="13" t="n"/>
      <c r="D107" s="13" t="n"/>
      <c r="E107" s="13" t="n"/>
      <c r="F107" s="13" t="n"/>
    </row>
    <row r="108" ht="20" customHeight="1">
      <c r="A108" s="7" t="inlineStr">
        <is>
          <t>Statutory tax rate — applied to operating profit</t>
        </is>
      </c>
      <c r="B108" s="29" t="n">
        <v>0.225</v>
      </c>
      <c r="C108" s="7" t="inlineStr">
        <is>
          <t>Country</t>
        </is>
      </c>
      <c r="D108" s="7" t="inlineStr">
        <is>
          <t>2026</t>
        </is>
      </c>
      <c r="E108" s="4" t="inlineStr">
        <is>
          <t>Egypt corporate income tax 22.5%. AMOC is a downstream processor and is taxed at the ordinary corporate rate, not the ~40.55% rate that applies to exploration and production concessions</t>
        </is>
      </c>
    </row>
    <row r="109" ht="40" customHeight="1">
      <c r="A109" s="7" t="inlineStr">
        <is>
          <t>Feedstock pass-through factor</t>
        </is>
      </c>
      <c r="B109" s="26" t="n">
        <v>1</v>
      </c>
      <c r="C109" s="7" t="inlineStr">
        <is>
          <t>House</t>
        </is>
      </c>
      <c r="D109" s="7" t="inlineStr">
        <is>
          <t>2026-08-06</t>
        </is>
      </c>
      <c r="E109" s="4" t="inlineStr">
        <is>
          <t>Pass-through factor on the raw-material line: 1.0 means the feedstock charge moves one-for-one with realisation and volume, so the gross SPREAD per tonne is held flat in real terms and the margin neither widens nor narrows by assumption. Setting it below 1.0 is the way to express spread widening; the study leaves it at parity and sensitises it</t>
        </is>
      </c>
    </row>
    <row r="110" ht="60" customHeight="1">
      <c r="A110" s="7" t="inlineStr">
        <is>
          <t>Terminal growth</t>
        </is>
      </c>
      <c r="B110" s="29" t="n">
        <v>0.07000000000000001</v>
      </c>
      <c r="C110" s="7" t="inlineStr">
        <is>
          <t>Country</t>
        </is>
      </c>
      <c r="D110" s="7" t="inlineStr">
        <is>
          <t>2026-08-06</t>
        </is>
      </c>
      <c r="E110" s="4" t="inlineStr">
        <is>
          <t>Terminal growth, 7% — INFLATION ONLY, and no real growth at all. It is set equal to the central bank's published inflation target, which is the same 7% embedded in this study's own terminal risk-free rate. The previous edition used 5% against that identical 12.5% nominal rate, which is a business shrinking about 2% a year in real terms for ever — an assumption never stated as one, on a plant serving a population growing 1.6% a year. Zero real growth is still the conservative end: it assumes AMOC never again grows a tonne</t>
        </is>
      </c>
    </row>
    <row r="111" ht="30" customHeight="1">
      <c r="A111" s="7" t="inlineStr">
        <is>
          <t>Sustainable return on equity — book lens</t>
        </is>
      </c>
      <c r="B111" s="29" t="n">
        <v>0.28</v>
      </c>
      <c r="C111" s="7" t="inlineStr">
        <is>
          <t>House</t>
        </is>
      </c>
      <c r="D111" s="7" t="inlineStr">
        <is>
          <t>2026-08-06</t>
        </is>
      </c>
      <c r="E111" s="4" t="inlineStr">
        <is>
          <t>Sustainable return on equity for the book lens. Trailing return on average parent equity is about 33%; the sustainable rate is struck below it because the reported figure is flattered by a heavily written-down asset base that will have to be renewed</t>
        </is>
      </c>
    </row>
    <row r="112" ht="40" customHeight="1">
      <c r="A112" s="7" t="inlineStr">
        <is>
          <t>Justified price/earnings — normalised lens</t>
        </is>
      </c>
      <c r="B112" s="26" t="n">
        <v>7.5</v>
      </c>
      <c r="C112" s="7" t="inlineStr">
        <is>
          <t>House</t>
        </is>
      </c>
      <c r="D112" s="7" t="inlineStr">
        <is>
          <t>2026-08-06</t>
        </is>
      </c>
      <c r="E112" s="4" t="inlineStr">
        <is>
          <t>Justified through-cycle price-to-earnings multiple on normalised earnings. Trailing is about 7.5x on the constructed 2025 base. A single-asset processor with a 20% state shareholder, an administered feedstock relationship and an Egyptian cost of equity near 28% does not earn a premium multiple. Bear 5.5x / bull 9.5x</t>
        </is>
      </c>
    </row>
    <row r="113" ht="80" customHeight="1">
      <c r="A113" s="7" t="inlineStr">
        <is>
          <t>Re-rating on own trailing EV/EBITDA — relative lens</t>
        </is>
      </c>
      <c r="B113" s="29" t="n">
        <v>0</v>
      </c>
      <c r="C113" s="7" t="inlineStr">
        <is>
          <t>House</t>
        </is>
      </c>
      <c r="D113" s="7" t="inlineStr">
        <is>
          <t>2026-08-06</t>
        </is>
      </c>
      <c r="E113" s="4" t="inlineStr">
        <is>
          <t>Re-rating applied to the company's OWN trailing enterprise-value to EBITDA multiple in the relative lens. ZERO: the name is held at the multiple the market already pays it. The justified multiple is no longer a free number — it is DERIVED as the trailing multiple times one plus this figure, so it cannot drift away from the company's own pricing without the drift being visible. The previous edition set 4.5x by hand and justified it as 'holding the name at its own trailing level' against a stated trailing multiple of 'around 4.6x'; the model's own output was different, so the stated justification was false whichever way the multiple was struck. Holding at zero re-rating makes the lens a statement about the BRIDGE — what the disclosed claims on the cash are worth — rather than a disguised view on the multiple</t>
        </is>
      </c>
    </row>
    <row r="114" ht="90" customHeight="1">
      <c r="A114" s="7" t="inlineStr">
        <is>
          <t>Processing intensity — Base and special oils</t>
        </is>
      </c>
      <c r="B114" s="30" t="n">
        <v>1</v>
      </c>
      <c r="C114" s="7" t="inlineStr">
        <is>
          <t>House</t>
        </is>
      </c>
      <c r="D114" s="7" t="inlineStr">
        <is>
          <t>2026-08-06</t>
        </is>
      </c>
      <c r="E114"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15" ht="90" customHeight="1">
      <c r="A115" s="7" t="inlineStr">
        <is>
          <t>Processing intensity — Paraffin wax</t>
        </is>
      </c>
      <c r="B115" s="30" t="n">
        <v>1.15</v>
      </c>
      <c r="C115" s="7" t="inlineStr">
        <is>
          <t>House</t>
        </is>
      </c>
      <c r="D115" s="7" t="inlineStr">
        <is>
          <t>2026-08-06</t>
        </is>
      </c>
      <c r="E115"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16" ht="90" customHeight="1">
      <c r="A116" s="7" t="inlineStr">
        <is>
          <t>Processing intensity — Gas oil</t>
        </is>
      </c>
      <c r="B116" s="30" t="n">
        <v>0.25</v>
      </c>
      <c r="C116" s="7" t="inlineStr">
        <is>
          <t>House</t>
        </is>
      </c>
      <c r="D116" s="7" t="inlineStr">
        <is>
          <t>2026-08-06</t>
        </is>
      </c>
      <c r="E116"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17" ht="90" customHeight="1">
      <c r="A117" s="7" t="inlineStr">
        <is>
          <t>Processing intensity — Naphtha</t>
        </is>
      </c>
      <c r="B117" s="30" t="n">
        <v>0.2</v>
      </c>
      <c r="C117" s="7" t="inlineStr">
        <is>
          <t>House</t>
        </is>
      </c>
      <c r="D117" s="7" t="inlineStr">
        <is>
          <t>2026-08-06</t>
        </is>
      </c>
      <c r="E117"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18" ht="90" customHeight="1">
      <c r="A118" s="7" t="inlineStr">
        <is>
          <t>Processing intensity — Liquefied petroleum gas</t>
        </is>
      </c>
      <c r="B118" s="30" t="n">
        <v>0.15</v>
      </c>
      <c r="C118" s="7" t="inlineStr">
        <is>
          <t>House</t>
        </is>
      </c>
      <c r="D118" s="7" t="inlineStr">
        <is>
          <t>2026-08-06</t>
        </is>
      </c>
      <c r="E118"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19" ht="90" customHeight="1">
      <c r="A119" s="7" t="inlineStr">
        <is>
          <t>Processing intensity — Fuel oil (mix)</t>
        </is>
      </c>
      <c r="B119" s="30" t="n">
        <v>0.05</v>
      </c>
      <c r="C119" s="7" t="inlineStr">
        <is>
          <t>House</t>
        </is>
      </c>
      <c r="D119" s="7" t="inlineStr">
        <is>
          <t>2026-08-06</t>
        </is>
      </c>
      <c r="E119"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20" ht="90" customHeight="1">
      <c r="A120" s="7" t="inlineStr">
        <is>
          <t>Processing intensity — Heavy fuel oil</t>
        </is>
      </c>
      <c r="B120" s="30" t="n">
        <v>0.05</v>
      </c>
      <c r="C120" s="7" t="inlineStr">
        <is>
          <t>House</t>
        </is>
      </c>
      <c r="D120" s="7" t="inlineStr">
        <is>
          <t>2026-08-06</t>
        </is>
      </c>
      <c r="E120"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21" ht="90" customHeight="1">
      <c r="A121" s="7" t="inlineStr">
        <is>
          <t>Processing intensity — Waste</t>
        </is>
      </c>
      <c r="B121" s="30" t="n">
        <v>0</v>
      </c>
      <c r="C121" s="7" t="inlineStr">
        <is>
          <t>House</t>
        </is>
      </c>
      <c r="D121" s="7" t="inlineStr">
        <is>
          <t>2026-08-06</t>
        </is>
      </c>
      <c r="E121"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22" ht="50" customHeight="1">
      <c r="A122" s="7" t="inlineStr">
        <is>
          <t>Realisation growth, 2026E</t>
        </is>
      </c>
      <c r="B122" s="29" t="n">
        <v>0.131707</v>
      </c>
      <c r="C122" s="7" t="inlineStr">
        <is>
          <t>Country</t>
        </is>
      </c>
      <c r="D122" s="7" t="inlineStr">
        <is>
          <t>2026-08-06</t>
        </is>
      </c>
      <c r="E122" s="4" t="inlineStr">
        <is>
          <t>Growth in the realised price per tonne, all lines, in EGP. DERIVED, not chosen: crude is held FLAT in dollars — no forecast of it is defensible — and the pound depreciates at the inflation differential between the registered Egyptian path and United States inflation, so a dollar-priced slate fetches that many more pounds. This REPLACES a hand-set path of 9.0% falling to 5.2%, which sat two-thirds below the inflation this same model applies to the company's own costs, with no mechanism given for the gap</t>
        </is>
      </c>
    </row>
    <row r="123" ht="50" customHeight="1">
      <c r="A123" s="7" t="inlineStr">
        <is>
          <t>Realisation growth, 2027E</t>
        </is>
      </c>
      <c r="B123" s="29" t="n">
        <v>0.092683</v>
      </c>
      <c r="C123" s="7" t="inlineStr">
        <is>
          <t>Country</t>
        </is>
      </c>
      <c r="D123" s="7" t="inlineStr">
        <is>
          <t>2026-08-06</t>
        </is>
      </c>
      <c r="E123" s="4" t="inlineStr">
        <is>
          <t>Growth in the realised price per tonne, all lines, in EGP. DERIVED, not chosen: crude is held FLAT in dollars — no forecast of it is defensible — and the pound depreciates at the inflation differential between the registered Egyptian path and United States inflation, so a dollar-priced slate fetches that many more pounds. This REPLACES a hand-set path of 9.0% falling to 5.2%, which sat two-thirds below the inflation this same model applies to the company's own costs, with no mechanism given for the gap</t>
        </is>
      </c>
    </row>
    <row r="124" ht="50" customHeight="1">
      <c r="A124" s="7" t="inlineStr">
        <is>
          <t>Realisation growth, 2028E</t>
        </is>
      </c>
      <c r="B124" s="29" t="n">
        <v>0.063415</v>
      </c>
      <c r="C124" s="7" t="inlineStr">
        <is>
          <t>Country</t>
        </is>
      </c>
      <c r="D124" s="7" t="inlineStr">
        <is>
          <t>2026-08-06</t>
        </is>
      </c>
      <c r="E124" s="4" t="inlineStr">
        <is>
          <t>Growth in the realised price per tonne, all lines, in EGP. DERIVED, not chosen: crude is held FLAT in dollars — no forecast of it is defensible — and the pound depreciates at the inflation differential between the registered Egyptian path and United States inflation, so a dollar-priced slate fetches that many more pounds. This REPLACES a hand-set path of 9.0% falling to 5.2%, which sat two-thirds below the inflation this same model applies to the company's own costs, with no mechanism given for the gap</t>
        </is>
      </c>
    </row>
    <row r="125" ht="50" customHeight="1">
      <c r="A125" s="7" t="inlineStr">
        <is>
          <t>Realisation growth, 2029E</t>
        </is>
      </c>
      <c r="B125" s="29" t="n">
        <v>0.04878</v>
      </c>
      <c r="C125" s="7" t="inlineStr">
        <is>
          <t>Country</t>
        </is>
      </c>
      <c r="D125" s="7" t="inlineStr">
        <is>
          <t>2026-08-06</t>
        </is>
      </c>
      <c r="E125" s="4" t="inlineStr">
        <is>
          <t>Growth in the realised price per tonne, all lines, in EGP. DERIVED, not chosen: crude is held FLAT in dollars — no forecast of it is defensible — and the pound depreciates at the inflation differential between the registered Egyptian path and United States inflation, so a dollar-priced slate fetches that many more pounds. This REPLACES a hand-set path of 9.0% falling to 5.2%, which sat two-thirds below the inflation this same model applies to the company's own costs, with no mechanism given for the gap</t>
        </is>
      </c>
    </row>
    <row r="126" ht="50" customHeight="1">
      <c r="A126" s="7" t="inlineStr">
        <is>
          <t>Realisation growth, 2030E</t>
        </is>
      </c>
      <c r="B126" s="29" t="n">
        <v>0.043902</v>
      </c>
      <c r="C126" s="7" t="inlineStr">
        <is>
          <t>Country</t>
        </is>
      </c>
      <c r="D126" s="7" t="inlineStr">
        <is>
          <t>2026-08-06</t>
        </is>
      </c>
      <c r="E126" s="4" t="inlineStr">
        <is>
          <t>Growth in the realised price per tonne, all lines, in EGP. DERIVED, not chosen: crude is held FLAT in dollars — no forecast of it is defensible — and the pound depreciates at the inflation differential between the registered Egyptian path and United States inflation, so a dollar-priced slate fetches that many more pounds. This REPLACES a hand-set path of 9.0% falling to 5.2%, which sat two-thirds below the inflation this same model applies to the company's own costs, with no mechanism given for the gap</t>
        </is>
      </c>
    </row>
    <row r="127" ht="170" customHeight="1">
      <c r="A127" s="7" t="inlineStr">
        <is>
          <t>Volume growth — Base and special oils, 2026E</t>
        </is>
      </c>
      <c r="B127" s="29" t="n">
        <v>0</v>
      </c>
      <c r="C127" s="7" t="inlineStr">
        <is>
          <t>Company</t>
        </is>
      </c>
      <c r="D127" s="7" t="inlineStr">
        <is>
          <t>2026-08-18</t>
        </is>
      </c>
      <c r="E127"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28" ht="170" customHeight="1">
      <c r="A128" s="7" t="inlineStr">
        <is>
          <t>Volume growth — Base and special oils, 2027E</t>
        </is>
      </c>
      <c r="B128" s="29" t="n">
        <v>0</v>
      </c>
      <c r="C128" s="7" t="inlineStr">
        <is>
          <t>Company</t>
        </is>
      </c>
      <c r="D128" s="7" t="inlineStr">
        <is>
          <t>2026-08-18</t>
        </is>
      </c>
      <c r="E128"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29" ht="170" customHeight="1">
      <c r="A129" s="7" t="inlineStr">
        <is>
          <t>Volume growth — Base and special oils, 2028E</t>
        </is>
      </c>
      <c r="B129" s="29" t="n">
        <v>0</v>
      </c>
      <c r="C129" s="7" t="inlineStr">
        <is>
          <t>Company</t>
        </is>
      </c>
      <c r="D129" s="7" t="inlineStr">
        <is>
          <t>2026-08-18</t>
        </is>
      </c>
      <c r="E129"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30" ht="170" customHeight="1">
      <c r="A130" s="7" t="inlineStr">
        <is>
          <t>Volume growth — Base and special oils, 2029E</t>
        </is>
      </c>
      <c r="B130" s="29" t="n">
        <v>0</v>
      </c>
      <c r="C130" s="7" t="inlineStr">
        <is>
          <t>Company</t>
        </is>
      </c>
      <c r="D130" s="7" t="inlineStr">
        <is>
          <t>2026-08-18</t>
        </is>
      </c>
      <c r="E130"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31" ht="170" customHeight="1">
      <c r="A131" s="7" t="inlineStr">
        <is>
          <t>Volume growth — Base and special oils, 2030E</t>
        </is>
      </c>
      <c r="B131" s="29" t="n">
        <v>0</v>
      </c>
      <c r="C131" s="7" t="inlineStr">
        <is>
          <t>Company</t>
        </is>
      </c>
      <c r="D131" s="7" t="inlineStr">
        <is>
          <t>2026-08-18</t>
        </is>
      </c>
      <c r="E131"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32" ht="170" customHeight="1">
      <c r="A132" s="7" t="inlineStr">
        <is>
          <t>Volume growth — Paraffin wax, 2026E</t>
        </is>
      </c>
      <c r="B132" s="29" t="n">
        <v>0</v>
      </c>
      <c r="C132" s="7" t="inlineStr">
        <is>
          <t>Company</t>
        </is>
      </c>
      <c r="D132" s="7" t="inlineStr">
        <is>
          <t>2026-08-18</t>
        </is>
      </c>
      <c r="E132"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33" ht="170" customHeight="1">
      <c r="A133" s="7" t="inlineStr">
        <is>
          <t>Volume growth — Paraffin wax, 2027E</t>
        </is>
      </c>
      <c r="B133" s="29" t="n">
        <v>0</v>
      </c>
      <c r="C133" s="7" t="inlineStr">
        <is>
          <t>Company</t>
        </is>
      </c>
      <c r="D133" s="7" t="inlineStr">
        <is>
          <t>2026-08-18</t>
        </is>
      </c>
      <c r="E133"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34" ht="170" customHeight="1">
      <c r="A134" s="7" t="inlineStr">
        <is>
          <t>Volume growth — Paraffin wax, 2028E</t>
        </is>
      </c>
      <c r="B134" s="29" t="n">
        <v>0</v>
      </c>
      <c r="C134" s="7" t="inlineStr">
        <is>
          <t>Company</t>
        </is>
      </c>
      <c r="D134" s="7" t="inlineStr">
        <is>
          <t>2026-08-18</t>
        </is>
      </c>
      <c r="E134"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35" ht="170" customHeight="1">
      <c r="A135" s="7" t="inlineStr">
        <is>
          <t>Volume growth — Paraffin wax, 2029E</t>
        </is>
      </c>
      <c r="B135" s="29" t="n">
        <v>0</v>
      </c>
      <c r="C135" s="7" t="inlineStr">
        <is>
          <t>Company</t>
        </is>
      </c>
      <c r="D135" s="7" t="inlineStr">
        <is>
          <t>2026-08-18</t>
        </is>
      </c>
      <c r="E135"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36" ht="170" customHeight="1">
      <c r="A136" s="7" t="inlineStr">
        <is>
          <t>Volume growth — Paraffin wax, 2030E</t>
        </is>
      </c>
      <c r="B136" s="29" t="n">
        <v>0</v>
      </c>
      <c r="C136" s="7" t="inlineStr">
        <is>
          <t>Company</t>
        </is>
      </c>
      <c r="D136" s="7" t="inlineStr">
        <is>
          <t>2026-08-18</t>
        </is>
      </c>
      <c r="E136"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37" ht="170" customHeight="1">
      <c r="A137" s="7" t="inlineStr">
        <is>
          <t>Volume growth — Gas oil, 2026E</t>
        </is>
      </c>
      <c r="B137" s="29" t="n">
        <v>0</v>
      </c>
      <c r="C137" s="7" t="inlineStr">
        <is>
          <t>Company</t>
        </is>
      </c>
      <c r="D137" s="7" t="inlineStr">
        <is>
          <t>2026-08-18</t>
        </is>
      </c>
      <c r="E137"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38" ht="170" customHeight="1">
      <c r="A138" s="7" t="inlineStr">
        <is>
          <t>Volume growth — Gas oil, 2027E</t>
        </is>
      </c>
      <c r="B138" s="29" t="n">
        <v>0</v>
      </c>
      <c r="C138" s="7" t="inlineStr">
        <is>
          <t>Company</t>
        </is>
      </c>
      <c r="D138" s="7" t="inlineStr">
        <is>
          <t>2026-08-18</t>
        </is>
      </c>
      <c r="E138"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39" ht="170" customHeight="1">
      <c r="A139" s="7" t="inlineStr">
        <is>
          <t>Volume growth — Gas oil, 2028E</t>
        </is>
      </c>
      <c r="B139" s="29" t="n">
        <v>0</v>
      </c>
      <c r="C139" s="7" t="inlineStr">
        <is>
          <t>Company</t>
        </is>
      </c>
      <c r="D139" s="7" t="inlineStr">
        <is>
          <t>2026-08-18</t>
        </is>
      </c>
      <c r="E139"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40" ht="170" customHeight="1">
      <c r="A140" s="7" t="inlineStr">
        <is>
          <t>Volume growth — Gas oil, 2029E</t>
        </is>
      </c>
      <c r="B140" s="29" t="n">
        <v>0</v>
      </c>
      <c r="C140" s="7" t="inlineStr">
        <is>
          <t>Company</t>
        </is>
      </c>
      <c r="D140" s="7" t="inlineStr">
        <is>
          <t>2026-08-18</t>
        </is>
      </c>
      <c r="E140"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41" ht="170" customHeight="1">
      <c r="A141" s="7" t="inlineStr">
        <is>
          <t>Volume growth — Gas oil, 2030E</t>
        </is>
      </c>
      <c r="B141" s="29" t="n">
        <v>0</v>
      </c>
      <c r="C141" s="7" t="inlineStr">
        <is>
          <t>Company</t>
        </is>
      </c>
      <c r="D141" s="7" t="inlineStr">
        <is>
          <t>2026-08-18</t>
        </is>
      </c>
      <c r="E141"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42" ht="170" customHeight="1">
      <c r="A142" s="7" t="inlineStr">
        <is>
          <t>Volume growth — Naphtha, 2026E</t>
        </is>
      </c>
      <c r="B142" s="29" t="n">
        <v>0</v>
      </c>
      <c r="C142" s="7" t="inlineStr">
        <is>
          <t>Company</t>
        </is>
      </c>
      <c r="D142" s="7" t="inlineStr">
        <is>
          <t>2026-08-18</t>
        </is>
      </c>
      <c r="E142"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43" ht="170" customHeight="1">
      <c r="A143" s="7" t="inlineStr">
        <is>
          <t>Volume growth — Naphtha, 2027E</t>
        </is>
      </c>
      <c r="B143" s="29" t="n">
        <v>0</v>
      </c>
      <c r="C143" s="7" t="inlineStr">
        <is>
          <t>Company</t>
        </is>
      </c>
      <c r="D143" s="7" t="inlineStr">
        <is>
          <t>2026-08-18</t>
        </is>
      </c>
      <c r="E143"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44" ht="170" customHeight="1">
      <c r="A144" s="7" t="inlineStr">
        <is>
          <t>Volume growth — Naphtha, 2028E</t>
        </is>
      </c>
      <c r="B144" s="29" t="n">
        <v>0</v>
      </c>
      <c r="C144" s="7" t="inlineStr">
        <is>
          <t>Company</t>
        </is>
      </c>
      <c r="D144" s="7" t="inlineStr">
        <is>
          <t>2026-08-18</t>
        </is>
      </c>
      <c r="E144"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45" ht="170" customHeight="1">
      <c r="A145" s="7" t="inlineStr">
        <is>
          <t>Volume growth — Naphtha, 2029E</t>
        </is>
      </c>
      <c r="B145" s="29" t="n">
        <v>0</v>
      </c>
      <c r="C145" s="7" t="inlineStr">
        <is>
          <t>Company</t>
        </is>
      </c>
      <c r="D145" s="7" t="inlineStr">
        <is>
          <t>2026-08-18</t>
        </is>
      </c>
      <c r="E145"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46" ht="170" customHeight="1">
      <c r="A146" s="7" t="inlineStr">
        <is>
          <t>Volume growth — Naphtha, 2030E</t>
        </is>
      </c>
      <c r="B146" s="29" t="n">
        <v>0</v>
      </c>
      <c r="C146" s="7" t="inlineStr">
        <is>
          <t>Company</t>
        </is>
      </c>
      <c r="D146" s="7" t="inlineStr">
        <is>
          <t>2026-08-18</t>
        </is>
      </c>
      <c r="E146"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47" ht="170" customHeight="1">
      <c r="A147" s="7" t="inlineStr">
        <is>
          <t>Volume growth — Liquefied petroleum gas, 2026E</t>
        </is>
      </c>
      <c r="B147" s="29" t="n">
        <v>0</v>
      </c>
      <c r="C147" s="7" t="inlineStr">
        <is>
          <t>Company</t>
        </is>
      </c>
      <c r="D147" s="7" t="inlineStr">
        <is>
          <t>2026-08-18</t>
        </is>
      </c>
      <c r="E147"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48" ht="170" customHeight="1">
      <c r="A148" s="7" t="inlineStr">
        <is>
          <t>Volume growth — Liquefied petroleum gas, 2027E</t>
        </is>
      </c>
      <c r="B148" s="29" t="n">
        <v>0</v>
      </c>
      <c r="C148" s="7" t="inlineStr">
        <is>
          <t>Company</t>
        </is>
      </c>
      <c r="D148" s="7" t="inlineStr">
        <is>
          <t>2026-08-18</t>
        </is>
      </c>
      <c r="E148"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49" ht="170" customHeight="1">
      <c r="A149" s="7" t="inlineStr">
        <is>
          <t>Volume growth — Liquefied petroleum gas, 2028E</t>
        </is>
      </c>
      <c r="B149" s="29" t="n">
        <v>0</v>
      </c>
      <c r="C149" s="7" t="inlineStr">
        <is>
          <t>Company</t>
        </is>
      </c>
      <c r="D149" s="7" t="inlineStr">
        <is>
          <t>2026-08-18</t>
        </is>
      </c>
      <c r="E149"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50" ht="170" customHeight="1">
      <c r="A150" s="7" t="inlineStr">
        <is>
          <t>Volume growth — Liquefied petroleum gas, 2029E</t>
        </is>
      </c>
      <c r="B150" s="29" t="n">
        <v>0</v>
      </c>
      <c r="C150" s="7" t="inlineStr">
        <is>
          <t>Company</t>
        </is>
      </c>
      <c r="D150" s="7" t="inlineStr">
        <is>
          <t>2026-08-18</t>
        </is>
      </c>
      <c r="E150"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51" ht="170" customHeight="1">
      <c r="A151" s="7" t="inlineStr">
        <is>
          <t>Volume growth — Liquefied petroleum gas, 2030E</t>
        </is>
      </c>
      <c r="B151" s="29" t="n">
        <v>0</v>
      </c>
      <c r="C151" s="7" t="inlineStr">
        <is>
          <t>Company</t>
        </is>
      </c>
      <c r="D151" s="7" t="inlineStr">
        <is>
          <t>2026-08-18</t>
        </is>
      </c>
      <c r="E151"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52" ht="170" customHeight="1">
      <c r="A152" s="7" t="inlineStr">
        <is>
          <t>Volume growth — Fuel oil (mix), 2026E</t>
        </is>
      </c>
      <c r="B152" s="29" t="n">
        <v>0</v>
      </c>
      <c r="C152" s="7" t="inlineStr">
        <is>
          <t>Company</t>
        </is>
      </c>
      <c r="D152" s="7" t="inlineStr">
        <is>
          <t>2026-08-18</t>
        </is>
      </c>
      <c r="E152"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53" ht="170" customHeight="1">
      <c r="A153" s="7" t="inlineStr">
        <is>
          <t>Volume growth — Fuel oil (mix), 2027E</t>
        </is>
      </c>
      <c r="B153" s="29" t="n">
        <v>0</v>
      </c>
      <c r="C153" s="7" t="inlineStr">
        <is>
          <t>Company</t>
        </is>
      </c>
      <c r="D153" s="7" t="inlineStr">
        <is>
          <t>2026-08-18</t>
        </is>
      </c>
      <c r="E153"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54" ht="170" customHeight="1">
      <c r="A154" s="7" t="inlineStr">
        <is>
          <t>Volume growth — Fuel oil (mix), 2028E</t>
        </is>
      </c>
      <c r="B154" s="29" t="n">
        <v>0</v>
      </c>
      <c r="C154" s="7" t="inlineStr">
        <is>
          <t>Company</t>
        </is>
      </c>
      <c r="D154" s="7" t="inlineStr">
        <is>
          <t>2026-08-18</t>
        </is>
      </c>
      <c r="E154"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55" ht="170" customHeight="1">
      <c r="A155" s="7" t="inlineStr">
        <is>
          <t>Volume growth — Fuel oil (mix), 2029E</t>
        </is>
      </c>
      <c r="B155" s="29" t="n">
        <v>0</v>
      </c>
      <c r="C155" s="7" t="inlineStr">
        <is>
          <t>Company</t>
        </is>
      </c>
      <c r="D155" s="7" t="inlineStr">
        <is>
          <t>2026-08-18</t>
        </is>
      </c>
      <c r="E155"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56" ht="170" customHeight="1">
      <c r="A156" s="7" t="inlineStr">
        <is>
          <t>Volume growth — Fuel oil (mix), 2030E</t>
        </is>
      </c>
      <c r="B156" s="29" t="n">
        <v>0</v>
      </c>
      <c r="C156" s="7" t="inlineStr">
        <is>
          <t>Company</t>
        </is>
      </c>
      <c r="D156" s="7" t="inlineStr">
        <is>
          <t>2026-08-18</t>
        </is>
      </c>
      <c r="E156"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57" ht="170" customHeight="1">
      <c r="A157" s="7" t="inlineStr">
        <is>
          <t>Volume growth — Heavy fuel oil, 2026E</t>
        </is>
      </c>
      <c r="B157" s="29" t="n">
        <v>0</v>
      </c>
      <c r="C157" s="7" t="inlineStr">
        <is>
          <t>Company</t>
        </is>
      </c>
      <c r="D157" s="7" t="inlineStr">
        <is>
          <t>2026-08-18</t>
        </is>
      </c>
      <c r="E157"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58" ht="170" customHeight="1">
      <c r="A158" s="7" t="inlineStr">
        <is>
          <t>Volume growth — Heavy fuel oil, 2027E</t>
        </is>
      </c>
      <c r="B158" s="29" t="n">
        <v>0</v>
      </c>
      <c r="C158" s="7" t="inlineStr">
        <is>
          <t>Company</t>
        </is>
      </c>
      <c r="D158" s="7" t="inlineStr">
        <is>
          <t>2026-08-18</t>
        </is>
      </c>
      <c r="E158"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59" ht="170" customHeight="1">
      <c r="A159" s="7" t="inlineStr">
        <is>
          <t>Volume growth — Heavy fuel oil, 2028E</t>
        </is>
      </c>
      <c r="B159" s="29" t="n">
        <v>0</v>
      </c>
      <c r="C159" s="7" t="inlineStr">
        <is>
          <t>Company</t>
        </is>
      </c>
      <c r="D159" s="7" t="inlineStr">
        <is>
          <t>2026-08-18</t>
        </is>
      </c>
      <c r="E159"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60" ht="170" customHeight="1">
      <c r="A160" s="7" t="inlineStr">
        <is>
          <t>Volume growth — Heavy fuel oil, 2029E</t>
        </is>
      </c>
      <c r="B160" s="29" t="n">
        <v>0</v>
      </c>
      <c r="C160" s="7" t="inlineStr">
        <is>
          <t>Company</t>
        </is>
      </c>
      <c r="D160" s="7" t="inlineStr">
        <is>
          <t>2026-08-18</t>
        </is>
      </c>
      <c r="E160"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61" ht="170" customHeight="1">
      <c r="A161" s="7" t="inlineStr">
        <is>
          <t>Volume growth — Heavy fuel oil, 2030E</t>
        </is>
      </c>
      <c r="B161" s="29" t="n">
        <v>0</v>
      </c>
      <c r="C161" s="7" t="inlineStr">
        <is>
          <t>Company</t>
        </is>
      </c>
      <c r="D161" s="7" t="inlineStr">
        <is>
          <t>2026-08-18</t>
        </is>
      </c>
      <c r="E161"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62" ht="170" customHeight="1">
      <c r="A162" s="7" t="inlineStr">
        <is>
          <t>Volume growth — Waste, 2026E</t>
        </is>
      </c>
      <c r="B162" s="29" t="n">
        <v>0</v>
      </c>
      <c r="C162" s="7" t="inlineStr">
        <is>
          <t>Company</t>
        </is>
      </c>
      <c r="D162" s="7" t="inlineStr">
        <is>
          <t>2026-08-18</t>
        </is>
      </c>
      <c r="E162"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63" ht="170" customHeight="1">
      <c r="A163" s="7" t="inlineStr">
        <is>
          <t>Volume growth — Waste, 2027E</t>
        </is>
      </c>
      <c r="B163" s="29" t="n">
        <v>0</v>
      </c>
      <c r="C163" s="7" t="inlineStr">
        <is>
          <t>Company</t>
        </is>
      </c>
      <c r="D163" s="7" t="inlineStr">
        <is>
          <t>2026-08-18</t>
        </is>
      </c>
      <c r="E163"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64" ht="170" customHeight="1">
      <c r="A164" s="7" t="inlineStr">
        <is>
          <t>Volume growth — Waste, 2028E</t>
        </is>
      </c>
      <c r="B164" s="29" t="n">
        <v>0</v>
      </c>
      <c r="C164" s="7" t="inlineStr">
        <is>
          <t>Company</t>
        </is>
      </c>
      <c r="D164" s="7" t="inlineStr">
        <is>
          <t>2026-08-18</t>
        </is>
      </c>
      <c r="E164"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65" ht="170" customHeight="1">
      <c r="A165" s="7" t="inlineStr">
        <is>
          <t>Volume growth — Waste, 2029E</t>
        </is>
      </c>
      <c r="B165" s="29" t="n">
        <v>0</v>
      </c>
      <c r="C165" s="7" t="inlineStr">
        <is>
          <t>Company</t>
        </is>
      </c>
      <c r="D165" s="7" t="inlineStr">
        <is>
          <t>2026-08-18</t>
        </is>
      </c>
      <c r="E165"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66" ht="170" customHeight="1">
      <c r="A166" s="7" t="inlineStr">
        <is>
          <t>Volume growth — Waste, 2030E</t>
        </is>
      </c>
      <c r="B166" s="29" t="n">
        <v>0</v>
      </c>
      <c r="C166" s="7" t="inlineStr">
        <is>
          <t>Company</t>
        </is>
      </c>
      <c r="D166" s="7" t="inlineStr">
        <is>
          <t>2026-08-18</t>
        </is>
      </c>
      <c r="E166"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Under SIGCM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67" ht="70" customHeight="1">
      <c r="A167" s="7" t="inlineStr">
        <is>
          <t>Egyptian inflation factor, 2026E</t>
        </is>
      </c>
      <c r="B167" s="28" t="n">
        <v>1.16</v>
      </c>
      <c r="C167" s="7" t="inlineStr">
        <is>
          <t>Country</t>
        </is>
      </c>
      <c r="D167" s="7" t="inlineStr">
        <is>
          <t>2026-09-02</t>
        </is>
      </c>
      <c r="E167" s="4" t="inlineStr">
        <is>
          <t>Cumulative-year Egyptian inflation factors applied to the pound-denominated cost legs — salaries inside cost of sales, the other line, administrative and marketing expense, and capital expenditure. The three HISTORICAL years are as printed. The five FORECAST years are the single Egyptian inflation path this series uses for every Egyptian company it values, read from that path rather than set for this study: no valuation here sets an inflation rate of its own, because a company cannot be valued in an economy the study beside it does not recognise. The path is the central bank's published disinflation ladder, and the years between published points are labelled as interpolated where they are</t>
        </is>
      </c>
    </row>
    <row r="168" ht="70" customHeight="1">
      <c r="A168" s="7" t="inlineStr">
        <is>
          <t>Egyptian inflation factor, 2027E</t>
        </is>
      </c>
      <c r="B168" s="28" t="n">
        <v>1.12</v>
      </c>
      <c r="C168" s="7" t="inlineStr">
        <is>
          <t>Country</t>
        </is>
      </c>
      <c r="D168" s="7" t="inlineStr">
        <is>
          <t>2026-09-02</t>
        </is>
      </c>
      <c r="E168" s="4" t="inlineStr">
        <is>
          <t>Cumulative-year Egyptian inflation factors applied to the pound-denominated cost legs — salaries inside cost of sales, the other line, administrative and marketing expense, and capital expenditure. The three HISTORICAL years are as printed. The five FORECAST years are the single Egyptian inflation path this series uses for every Egyptian company it values, read from that path rather than set for this study: no valuation here sets an inflation rate of its own, because a company cannot be valued in an economy the study beside it does not recognise. The path is the central bank's published disinflation ladder, and the years between published points are labelled as interpolated where they are</t>
        </is>
      </c>
    </row>
    <row r="169" ht="70" customHeight="1">
      <c r="A169" s="7" t="inlineStr">
        <is>
          <t>Egyptian inflation factor, 2028E</t>
        </is>
      </c>
      <c r="B169" s="28" t="n">
        <v>1.09</v>
      </c>
      <c r="C169" s="7" t="inlineStr">
        <is>
          <t>Country</t>
        </is>
      </c>
      <c r="D169" s="7" t="inlineStr">
        <is>
          <t>2026-09-02</t>
        </is>
      </c>
      <c r="E169" s="4" t="inlineStr">
        <is>
          <t>Cumulative-year Egyptian inflation factors applied to the pound-denominated cost legs — salaries inside cost of sales, the other line, administrative and marketing expense, and capital expenditure. The three HISTORICAL years are as printed. The five FORECAST years are the single Egyptian inflation path this series uses for every Egyptian company it values, read from that path rather than set for this study: no valuation here sets an inflation rate of its own, because a company cannot be valued in an economy the study beside it does not recognise. The path is the central bank's published disinflation ladder, and the years between published points are labelled as interpolated where they are</t>
        </is>
      </c>
    </row>
    <row r="170" ht="70" customHeight="1">
      <c r="A170" s="7" t="inlineStr">
        <is>
          <t>Egyptian inflation factor, 2029E</t>
        </is>
      </c>
      <c r="B170" s="28" t="n">
        <v>1.075</v>
      </c>
      <c r="C170" s="7" t="inlineStr">
        <is>
          <t>Country</t>
        </is>
      </c>
      <c r="D170" s="7" t="inlineStr">
        <is>
          <t>2026-09-02</t>
        </is>
      </c>
      <c r="E170" s="4" t="inlineStr">
        <is>
          <t>Cumulative-year Egyptian inflation factors applied to the pound-denominated cost legs — salaries inside cost of sales, the other line, administrative and marketing expense, and capital expenditure. The three HISTORICAL years are as printed. The five FORECAST years are the single Egyptian inflation path this series uses for every Egyptian company it values, read from that path rather than set for this study: no valuation here sets an inflation rate of its own, because a company cannot be valued in an economy the study beside it does not recognise. The path is the central bank's published disinflation ladder, and the years between published points are labelled as interpolated where they are</t>
        </is>
      </c>
    </row>
    <row r="171" ht="70" customHeight="1">
      <c r="A171" s="7" t="inlineStr">
        <is>
          <t>Egyptian inflation factor, 2030E</t>
        </is>
      </c>
      <c r="B171" s="28" t="n">
        <v>1.07</v>
      </c>
      <c r="C171" s="7" t="inlineStr">
        <is>
          <t>Country</t>
        </is>
      </c>
      <c r="D171" s="7" t="inlineStr">
        <is>
          <t>2026-09-02</t>
        </is>
      </c>
      <c r="E171" s="4" t="inlineStr">
        <is>
          <t>Cumulative-year Egyptian inflation factors applied to the pound-denominated cost legs — salaries inside cost of sales, the other line, administrative and marketing expense, and capital expenditure. The three HISTORICAL years are as printed. The five FORECAST years are the single Egyptian inflation path this series uses for every Egyptian company it values, read from that path rather than set for this study: no valuation here sets an inflation rate of its own, because a company cannot be valued in an economy the study beside it does not recognise. The path is the central bank's published disinflation ladder, and the years between published points are labelled as interpolated where they are</t>
        </is>
      </c>
    </row>
    <row r="172">
      <c r="A172" s="11" t="inlineStr">
        <is>
          <t>COST OF CAPITAL</t>
        </is>
      </c>
      <c r="B172" s="13" t="n"/>
      <c r="C172" s="13" t="n"/>
      <c r="D172" s="13" t="n"/>
      <c r="E172" s="13" t="n"/>
      <c r="F172" s="13" t="n"/>
    </row>
    <row r="173" ht="20" customHeight="1">
      <c r="A173" s="7" t="inlineStr">
        <is>
          <t>Risk-free rate, Egypt 10-year local currency</t>
        </is>
      </c>
      <c r="B173" s="29" t="n">
        <v>0.2231</v>
      </c>
      <c r="C173" s="7" t="inlineStr">
        <is>
          <t>Country</t>
        </is>
      </c>
      <c r="D173" s="7" t="inlineStr">
        <is>
          <t>2026-07-21</t>
        </is>
      </c>
      <c r="E173" s="4" t="inlineStr">
        <is>
          <t>Egypt 10-year local-currency government bond yield, 22.31% (house cost-of-capital reference, cached 21-Jul-2026 print, re-verified 06-Aug-2026)</t>
        </is>
      </c>
    </row>
    <row r="174" ht="30" customHeight="1">
      <c r="A174" s="7" t="inlineStr">
        <is>
          <t>Sovereign default spread, CDS basis</t>
        </is>
      </c>
      <c r="B174" s="29" t="n">
        <v>0.034</v>
      </c>
      <c r="C174" s="7" t="inlineStr">
        <is>
          <t>Country</t>
        </is>
      </c>
      <c r="D174" s="7" t="inlineStr">
        <is>
          <t>2026-01-05</t>
        </is>
      </c>
      <c r="E174" s="4" t="inlineStr">
        <is>
          <t>Egypt credit-default-swap-implied sovereign default spread, Damodaran January-2026 country-premium file, CDS column. Netted out of the local-currency risk-free rate so sovereign default risk is not charged twice</t>
        </is>
      </c>
    </row>
    <row r="175" ht="20" customHeight="1">
      <c r="A175" s="7" t="inlineStr">
        <is>
          <t>Equity risk premium, CDS basis</t>
        </is>
      </c>
      <c r="B175" s="29" t="n">
        <v>0.0941</v>
      </c>
      <c r="C175" s="7" t="inlineStr">
        <is>
          <t>Country</t>
        </is>
      </c>
      <c r="D175" s="7" t="inlineStr">
        <is>
          <t>2026-01-05</t>
        </is>
      </c>
      <c r="E175" s="4" t="inlineStr">
        <is>
          <t>Damodaran original country-premium file, Egypt row, CDS column, last updated 5 January 2026 — total equity risk premium</t>
        </is>
      </c>
    </row>
    <row r="176" ht="70" customHeight="1">
      <c r="A176" s="7" t="inlineStr">
        <is>
          <t>Beta</t>
        </is>
      </c>
      <c r="B176" s="28" t="n">
        <v>0.9063464869078695</v>
      </c>
      <c r="C176" s="7" t="inlineStr">
        <is>
          <t>Company</t>
        </is>
      </c>
      <c r="D176" s="7" t="inlineStr">
        <is>
          <t>2026-09-08</t>
        </is>
      </c>
      <c r="E176" s="4" t="inlineStr">
        <is>
          <t>Own-stock tier-1 regression, AMOC weekly log-returns against raw_indices/EG/EGX30.csv — the published index of the exchange AMOC is listed on, series as of 2026-09-08, resolved by beta_regression.own_stock_beta() rather than hand-rolled. R-squared 0.236, n = 256, standard error 0.175, 90% confidence interval [0.619, 1.193]. Passes the usability gate. THIS REPLACES the previous edition's 0.9405, which was regressed against a 33-name equal-weight composite of the covered Egyptian names — a coverage artefact rather than a market, and a source-integrity failure whatever number it produced. The correction is small on this name and it is made because the provenance was wrong, not because the answer was.</t>
        </is>
      </c>
    </row>
    <row r="177" ht="20" customHeight="1">
      <c r="A177" s="7" t="inlineStr">
        <is>
          <t>Yield on cash</t>
        </is>
      </c>
      <c r="B177" s="29" t="n">
        <v>0.17</v>
      </c>
      <c r="C177" s="7" t="inlineStr">
        <is>
          <t>House</t>
        </is>
      </c>
      <c r="D177" s="7" t="inlineStr">
        <is>
          <t>2026-08-06</t>
        </is>
      </c>
      <c r="E177" s="4" t="inlineStr">
        <is>
          <t>Yield earned on the cash pile. Egyptian treasury bills and corporate deposits price a few points under the 19.50% policy rate net of the 20% withholding on interest</t>
        </is>
      </c>
    </row>
    <row r="178" ht="60" customHeight="1">
      <c r="A178" s="7" t="inlineStr">
        <is>
          <t>Cost of debt</t>
        </is>
      </c>
      <c r="B178" s="29" t="n">
        <v>0.2431</v>
      </c>
      <c r="C178" s="7" t="inlineStr">
        <is>
          <t>House</t>
        </is>
      </c>
      <c r="D178" s="7" t="inlineStr">
        <is>
          <t>2026-09-02</t>
        </is>
      </c>
      <c r="E178" s="4" t="inlineStr">
        <is>
          <t>Marginal cost of debt: the Egyptian ten-year sovereign yield this study discounts with, plus a 200bp corporate spread. The gross book is EGP 25mn — 0.06% of revenue — of short-dated Egyptian-pound facilities, so no observable marginal rate exists and the rate is built rather than pretended to be observed. It replaces a build off the 20.00% corridor lending rate, which produced 22.00% — below the sovereign, which a same-currency corporate cannot be. The integrity gate below computes what this input is actually WORTH to the answer</t>
        </is>
      </c>
    </row>
    <row r="179" ht="20" customHeight="1">
      <c r="A179" s="7" t="inlineStr">
        <is>
          <t>CBE inflation target IN FORCE for the terminal horizon</t>
        </is>
      </c>
      <c r="B179" s="29" t="n">
        <v>0.07000000000000001</v>
      </c>
      <c r="C179" s="7" t="inlineStr">
        <is>
          <t>Country</t>
        </is>
      </c>
      <c r="D179" s="7" t="inlineStr">
        <is>
          <t>2026-08-06</t>
        </is>
      </c>
      <c r="E179" s="4" t="inlineStr">
        <is>
          <t>The central bank's own stated inflation target, 7% (+/-2pp) on average for the fourth quarter of 2026, falling to 5% (+/-2pp) for the fourth quarter of 2028</t>
        </is>
      </c>
    </row>
    <row r="180" ht="60" customHeight="1">
      <c r="A180" s="7" t="inlineStr">
        <is>
          <t>Terminal real risk-free rate</t>
        </is>
      </c>
      <c r="B180" s="29" t="n">
        <v>0.055</v>
      </c>
      <c r="C180" s="7" t="inlineStr">
        <is>
          <t>House</t>
        </is>
      </c>
      <c r="D180" s="7" t="inlineStr">
        <is>
          <t>2026-08-06</t>
        </is>
      </c>
      <c r="E180" s="4" t="inlineStr">
        <is>
          <t>Terminal real risk-free rate, the standard emerging-market convention. The terminal NOMINAL risk-free rate is not an input: it is DERIVED as this real rate plus the central bank's inflation target IN FORCE for the terminal horizon (`cbe_target`), so the single most terminal-value-sensitive number in the model cannot be set by hand. The previous edition hardcoded 10.50% by adding 5.5pp to the 5% target dated Q4-2028 while describing it as 'the' medium-term target; the target in force is 7% for Q4-2026 and the July-2026 rate decision pushed even that to H2-2027</t>
        </is>
      </c>
    </row>
    <row r="181" ht="20" customHeight="1">
      <c r="A181" s="7" t="inlineStr">
        <is>
          <t>Terminal equity risk premium</t>
        </is>
      </c>
      <c r="B181" s="29" t="n">
        <v>0.07000000000000001</v>
      </c>
      <c r="C181" s="7" t="inlineStr">
        <is>
          <t>House</t>
        </is>
      </c>
      <c r="D181" s="7" t="inlineStr">
        <is>
          <t>2026-08-06</t>
        </is>
      </c>
      <c r="E181" s="4" t="inlineStr">
        <is>
          <t>Terminal equity risk premium, normalised below the currently elevated crisis-era level toward the rating-class norm; never held flat into perpetuity</t>
        </is>
      </c>
    </row>
    <row r="182" ht="20" customHeight="1">
      <c r="A182" s="7" t="inlineStr">
        <is>
          <t>Terminal cost of debt</t>
        </is>
      </c>
      <c r="B182" s="29" t="n">
        <v>0.15</v>
      </c>
      <c r="C182" s="7" t="inlineStr">
        <is>
          <t>House</t>
        </is>
      </c>
      <c r="D182" s="7" t="inlineStr">
        <is>
          <t>2026-08-06</t>
        </is>
      </c>
      <c r="E182" s="4" t="inlineStr">
        <is>
          <t>Terminal cost of debt: the midpoint of the 14-16% long-run Egyptian corporate-borrowing norm, with no name-specific reason to deviate</t>
        </is>
      </c>
    </row>
    <row r="183" ht="30" customHeight="1">
      <c r="A183" s="7" t="inlineStr">
        <is>
          <t>Terminal debt weight</t>
        </is>
      </c>
      <c r="B183" s="29" t="n">
        <v>0.1</v>
      </c>
      <c r="C183" s="7" t="inlineStr">
        <is>
          <t>House</t>
        </is>
      </c>
      <c r="D183" s="7" t="inlineStr">
        <is>
          <t>2026-08-06</t>
        </is>
      </c>
      <c r="E183" s="4" t="inlineStr">
        <is>
          <t>Terminal debt weight, normalised. The company is net cash today and has been for years; a terminal structure carrying a tenth of capital in debt is already generous to the valuation and avoids capitalising the current zero-leverage position into perpetuity</t>
        </is>
      </c>
    </row>
    <row r="184" ht="30" customHeight="1">
      <c r="A184" s="7" t="inlineStr">
        <is>
          <t>Cost-of-debt path, 2026E</t>
        </is>
      </c>
      <c r="B184" s="29" t="n">
        <v>0.2431</v>
      </c>
      <c r="C184" s="7" t="inlineStr">
        <is>
          <t>House</t>
        </is>
      </c>
      <c r="D184" s="7" t="inlineStr">
        <is>
          <t>2026-08-06</t>
        </is>
      </c>
      <c r="E184" s="4" t="inlineStr">
        <is>
          <t>Forward cost-of-debt path 2026E-2030E, following the central bank's own disinflation path toward the long-run Egyptian corporate-borrowing norm. This path is what sets the SHAPE of the cost-of-capital glide; it is not a second free parameter</t>
        </is>
      </c>
    </row>
    <row r="185" ht="30" customHeight="1">
      <c r="A185" s="7" t="inlineStr">
        <is>
          <t>Cost-of-debt path, 2027E</t>
        </is>
      </c>
      <c r="B185" s="29" t="n">
        <v>0.195</v>
      </c>
      <c r="C185" s="7" t="inlineStr">
        <is>
          <t>House</t>
        </is>
      </c>
      <c r="D185" s="7" t="inlineStr">
        <is>
          <t>2026-08-06</t>
        </is>
      </c>
      <c r="E185" s="4" t="inlineStr">
        <is>
          <t>Forward cost-of-debt path 2026E-2030E, following the central bank's own disinflation path toward the long-run Egyptian corporate-borrowing norm. This path is what sets the SHAPE of the cost-of-capital glide; it is not a second free parameter</t>
        </is>
      </c>
    </row>
    <row r="186" ht="30" customHeight="1">
      <c r="A186" s="7" t="inlineStr">
        <is>
          <t>Cost-of-debt path, 2028E</t>
        </is>
      </c>
      <c r="B186" s="29" t="n">
        <v>0.175</v>
      </c>
      <c r="C186" s="7" t="inlineStr">
        <is>
          <t>House</t>
        </is>
      </c>
      <c r="D186" s="7" t="inlineStr">
        <is>
          <t>2026-08-06</t>
        </is>
      </c>
      <c r="E186" s="4" t="inlineStr">
        <is>
          <t>Forward cost-of-debt path 2026E-2030E, following the central bank's own disinflation path toward the long-run Egyptian corporate-borrowing norm. This path is what sets the SHAPE of the cost-of-capital glide; it is not a second free parameter</t>
        </is>
      </c>
    </row>
    <row r="187" ht="30" customHeight="1">
      <c r="A187" s="7" t="inlineStr">
        <is>
          <t>Cost-of-debt path, 2029E</t>
        </is>
      </c>
      <c r="B187" s="29" t="n">
        <v>0.16</v>
      </c>
      <c r="C187" s="7" t="inlineStr">
        <is>
          <t>House</t>
        </is>
      </c>
      <c r="D187" s="7" t="inlineStr">
        <is>
          <t>2026-08-06</t>
        </is>
      </c>
      <c r="E187" s="4" t="inlineStr">
        <is>
          <t>Forward cost-of-debt path 2026E-2030E, following the central bank's own disinflation path toward the long-run Egyptian corporate-borrowing norm. This path is what sets the SHAPE of the cost-of-capital glide; it is not a second free parameter</t>
        </is>
      </c>
    </row>
    <row r="188" ht="30" customHeight="1">
      <c r="A188" s="7" t="inlineStr">
        <is>
          <t>Cost-of-debt path, 2030E</t>
        </is>
      </c>
      <c r="B188" s="29" t="n">
        <v>0.15</v>
      </c>
      <c r="C188" s="7" t="inlineStr">
        <is>
          <t>House</t>
        </is>
      </c>
      <c r="D188" s="7" t="inlineStr">
        <is>
          <t>2026-08-06</t>
        </is>
      </c>
      <c r="E188" s="4" t="inlineStr">
        <is>
          <t>Forward cost-of-debt path 2026E-2030E, following the central bank's own disinflation path toward the long-run Egyptian corporate-borrowing norm. This path is what sets the SHAPE of the cost-of-capital glide; it is not a second free parameter</t>
        </is>
      </c>
    </row>
    <row r="189" ht="30" customHeight="1">
      <c r="A189" s="7" t="inlineStr">
        <is>
          <t>Lens weight — dcf</t>
        </is>
      </c>
      <c r="B189" s="31" t="n">
        <v>0.45</v>
      </c>
      <c r="C189" s="7" t="inlineStr">
        <is>
          <t>House</t>
        </is>
      </c>
      <c r="D189" s="7" t="inlineStr">
        <is>
          <t>2026-08-06</t>
        </is>
      </c>
      <c r="E189"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row r="190" ht="30" customHeight="1">
      <c r="A190" s="7" t="inlineStr">
        <is>
          <t>Lens weight — relative</t>
        </is>
      </c>
      <c r="B190" s="31" t="n">
        <v>0.2</v>
      </c>
      <c r="C190" s="7" t="inlineStr">
        <is>
          <t>House</t>
        </is>
      </c>
      <c r="D190" s="7" t="inlineStr">
        <is>
          <t>2026-08-06</t>
        </is>
      </c>
      <c r="E190"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row r="191" ht="30" customHeight="1">
      <c r="A191" s="7" t="inlineStr">
        <is>
          <t>Lens weight — normalized</t>
        </is>
      </c>
      <c r="B191" s="31" t="n">
        <v>0.2</v>
      </c>
      <c r="C191" s="7" t="inlineStr">
        <is>
          <t>House</t>
        </is>
      </c>
      <c r="D191" s="7" t="inlineStr">
        <is>
          <t>2026-08-06</t>
        </is>
      </c>
      <c r="E191"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row r="192" ht="30" customHeight="1">
      <c r="A192" s="7" t="inlineStr">
        <is>
          <t>Lens weight — book</t>
        </is>
      </c>
      <c r="B192" s="31" t="n">
        <v>0.15</v>
      </c>
      <c r="C192" s="7" t="inlineStr">
        <is>
          <t>House</t>
        </is>
      </c>
      <c r="D192" s="7" t="inlineStr">
        <is>
          <t>2026-08-06</t>
        </is>
      </c>
      <c r="E192"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sheetData>
  <mergeCells count="1">
    <mergeCell ref="A2:F2"/>
  </mergeCells>
  <pageMargins left="0.75" right="0.75" top="1" bottom="1" header="0.5" footer="0.5"/>
</worksheet>
</file>

<file path=xl/worksheets/sheet5.xml><?xml version="1.0" encoding="utf-8"?>
<worksheet xmlns="http://schemas.openxmlformats.org/spreadsheetml/2006/main">
  <sheetPr>
    <tabColor rgb="001C3A36"/>
    <outlinePr summaryBelow="1" summaryRight="1"/>
    <pageSetUpPr/>
  </sheetPr>
  <dimension ref="A1:I25"/>
  <sheetViews>
    <sheetView showGridLines="0" workbookViewId="0">
      <selection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Enterprise value to equity — every step</t>
        </is>
      </c>
    </row>
    <row r="2" ht="32" customHeight="1">
      <c r="A2" s="5" t="inlineStr">
        <is>
          <t>AMOC is a single operating company: one refinery, eight product lines off one crude slate, no stakes to sum. There are no parts to break out, so this sheet is the full enterprise-to-equity walk rather than a sum of pieces, and it says so rather than inventing segments to fill the shape.</t>
        </is>
      </c>
    </row>
    <row r="3">
      <c r="A3" s="2" t="n"/>
      <c r="B3" s="2" t="n"/>
      <c r="C3" s="2" t="n"/>
      <c r="D3" s="2" t="n"/>
      <c r="E3" s="2" t="n"/>
    </row>
    <row r="5">
      <c r="A5" s="7" t="inlineStr">
        <is>
          <t>Present value of the explicit window</t>
        </is>
      </c>
      <c r="B5" s="32">
        <f>DCF!B52</f>
        <v/>
      </c>
    </row>
    <row r="6">
      <c r="A6" s="7" t="inlineStr">
        <is>
          <t>Terminal value</t>
        </is>
      </c>
      <c r="B6" s="32">
        <f>DCF!B55</f>
        <v/>
      </c>
    </row>
    <row r="7">
      <c r="A7" s="7" t="inlineStr">
        <is>
          <t>Present value of the terminal block</t>
        </is>
      </c>
      <c r="B7" s="32">
        <f>DCF!B56</f>
        <v/>
      </c>
    </row>
    <row r="8">
      <c r="A8" s="15" t="inlineStr">
        <is>
          <t>ENTERPRISE VALUE</t>
        </is>
      </c>
      <c r="B8" s="33">
        <f>DCF!B57</f>
        <v/>
      </c>
    </row>
    <row r="9">
      <c r="A9" s="7" t="inlineStr">
        <is>
          <t>plus net cash</t>
        </is>
      </c>
      <c r="B9" s="32">
        <f>DCF!B58</f>
        <v/>
      </c>
    </row>
    <row r="10">
      <c r="A10" s="7" t="inlineStr">
        <is>
          <t>Enterprise value including cash</t>
        </is>
      </c>
      <c r="B10" s="32">
        <f>DCF!B59</f>
        <v/>
      </c>
    </row>
    <row r="11">
      <c r="A11" s="7" t="inlineStr">
        <is>
          <t>less minority interest, on the whole enterprise</t>
        </is>
      </c>
      <c r="B11" s="32">
        <f>DCF!B60</f>
        <v/>
      </c>
    </row>
    <row r="12">
      <c r="A12" s="7" t="inlineStr">
        <is>
          <t>less the tax-disputes provision</t>
        </is>
      </c>
      <c r="B12" s="32">
        <f>DCF!B61</f>
        <v/>
      </c>
    </row>
    <row r="13">
      <c r="A13" s="7" t="inlineStr">
        <is>
          <t>less dividends declared and payable</t>
        </is>
      </c>
      <c r="B13" s="32">
        <f>DCF!B62</f>
        <v/>
      </c>
    </row>
    <row r="14">
      <c r="A14" s="7" t="inlineStr">
        <is>
          <t>plus non-operating investments and pledged deposits</t>
        </is>
      </c>
      <c r="B14" s="32">
        <f>DCF!B63</f>
        <v/>
      </c>
    </row>
    <row r="15">
      <c r="A15" s="15" t="inlineStr">
        <is>
          <t>EQUITY ATTRIBUTABLE TO THE PARENT</t>
        </is>
      </c>
      <c r="B15" s="33">
        <f>DCF!B64</f>
        <v/>
      </c>
    </row>
    <row r="16">
      <c r="A16" s="15" t="inlineStr">
        <is>
          <t>VALUE PER SHARE, EGP</t>
        </is>
      </c>
      <c r="B16" s="22">
        <f>B15/Assumptions!$B$8</f>
        <v/>
      </c>
    </row>
    <row r="18">
      <c r="A18" s="11" t="inlineStr">
        <is>
          <t>THE SAME WALK, PER SHARE</t>
        </is>
      </c>
      <c r="B18" s="13" t="n"/>
      <c r="C18" s="13" t="n"/>
      <c r="D18" s="13" t="n"/>
      <c r="E18" s="13" t="n"/>
    </row>
    <row r="19">
      <c r="A19" s="7" t="inlineStr">
        <is>
          <t>Enterprise value</t>
        </is>
      </c>
      <c r="B19" s="14">
        <f>DCF!B57/Assumptions!$B$8</f>
        <v/>
      </c>
    </row>
    <row r="20">
      <c r="A20" s="7" t="inlineStr">
        <is>
          <t>Net cash</t>
        </is>
      </c>
      <c r="B20" s="14">
        <f>DCF!B58/Assumptions!$B$8</f>
        <v/>
      </c>
    </row>
    <row r="21">
      <c r="A21" s="7" t="inlineStr">
        <is>
          <t>Minority interest</t>
        </is>
      </c>
      <c r="B21" s="14">
        <f>DCF!B60/Assumptions!$B$8*-1</f>
        <v/>
      </c>
    </row>
    <row r="22">
      <c r="A22" s="7" t="inlineStr">
        <is>
          <t>Provisions, dividends payable and investments</t>
        </is>
      </c>
      <c r="B22" s="14">
        <f>(DCF!B63-DCF!B61-DCF!B62)/Assumptions!$B$8</f>
        <v/>
      </c>
    </row>
    <row r="23">
      <c r="A23" s="15" t="inlineStr">
        <is>
          <t>VALUE PER SHARE, EGP</t>
        </is>
      </c>
      <c r="B23" s="22">
        <f>SUM(B19:B22)</f>
        <v/>
      </c>
    </row>
    <row r="25" ht="33" customHeight="1">
      <c r="A25" s="19" t="inlineStr">
        <is>
          <t>The minority is taken on the WHOLE enterprise, cash included, because the subsidiary that carries it holds its share of the cash as well as of the plant. Taking it on the operating enterprise alone and then adding the group cash at face would credit the parent with cash it does not wholly own.</t>
        </is>
      </c>
    </row>
  </sheetData>
  <mergeCells count="2">
    <mergeCell ref="A2:E2"/>
    <mergeCell ref="A25:I25"/>
  </mergeCells>
  <pageMargins left="0.75" right="0.75" top="1" bottom="1" header="0.5" footer="0.5"/>
</worksheet>
</file>

<file path=xl/worksheets/sheet6.xml><?xml version="1.0" encoding="utf-8"?>
<worksheet xmlns="http://schemas.openxmlformats.org/spreadsheetml/2006/main">
  <sheetPr>
    <tabColor rgb="001C3A36"/>
    <outlinePr summaryBelow="1" summaryRight="1"/>
    <pageSetUpPr/>
  </sheetPr>
  <dimension ref="A1:I38"/>
  <sheetViews>
    <sheetView showGridLines="0"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The eight disclosed product lines — revenue AND cost, per line</t>
        </is>
      </c>
    </row>
    <row r="2" ht="32" customHeight="1">
      <c r="A2" s="5" t="inlineStr">
        <is>
          <t>Note 14-A gives tonnes and value per line. Note 15-A gives the cost stack for the company and NOT by line, so conversion is allocated on the registered processing-intensity weights and feedstock is then allocated on NET REALISABLE VALUE — the standard joint-product method. Every cell here is a formula.</t>
        </is>
      </c>
    </row>
    <row r="3">
      <c r="A3" s="2" t="n"/>
      <c r="B3" s="2" t="n"/>
      <c r="C3" s="2" t="n"/>
      <c r="D3" s="2" t="n"/>
      <c r="E3" s="2" t="n"/>
      <c r="F3" s="2" t="n"/>
      <c r="G3" s="2" t="n"/>
      <c r="H3" s="2" t="n"/>
      <c r="I3" s="2" t="n"/>
    </row>
    <row r="5">
      <c r="A5" s="6" t="inlineStr">
        <is>
          <t>Line</t>
        </is>
      </c>
      <c r="B5" s="6" t="inlineStr">
        <is>
          <t>Tonnes, 6M</t>
        </is>
      </c>
      <c r="C5" s="6" t="inlineStr">
        <is>
          <t>Value, EGP 6M</t>
        </is>
      </c>
      <c r="D5" s="6" t="inlineStr">
        <is>
          <t>Realisation EGP/t</t>
        </is>
      </c>
      <c r="E5" s="6" t="inlineStr">
        <is>
          <t>Base tonnes mn</t>
        </is>
      </c>
      <c r="F5" s="6" t="inlineStr">
        <is>
          <t>Base realisation</t>
        </is>
      </c>
      <c r="G5" s="6" t="inlineStr">
        <is>
          <t>Conversion EGP/t</t>
        </is>
      </c>
      <c r="H5" s="6" t="inlineStr">
        <is>
          <t>Feedstock EGP/t</t>
        </is>
      </c>
      <c r="I5" s="6" t="inlineStr">
        <is>
          <t>Spread EGP/t</t>
        </is>
      </c>
    </row>
    <row r="6">
      <c r="A6" s="7" t="inlineStr">
        <is>
          <t>Base and special oils</t>
        </is>
      </c>
      <c r="B6" s="34">
        <f>Assumptions!$B$67</f>
        <v/>
      </c>
      <c r="C6" s="32">
        <f>Assumptions!$B$75</f>
        <v/>
      </c>
      <c r="D6" s="18">
        <f>C6/B6</f>
        <v/>
      </c>
      <c r="E6" s="23">
        <f>B6/10^6</f>
        <v/>
      </c>
      <c r="F6" s="18">
        <f>D6*$B$16</f>
        <v/>
      </c>
      <c r="G6" s="18">
        <f>$B$22*H6/$B$23</f>
        <v/>
      </c>
      <c r="H6" s="35">
        <f>Assumptions!$B$114</f>
        <v/>
      </c>
      <c r="I6" s="18">
        <f>F6-G6</f>
        <v/>
      </c>
    </row>
    <row r="7">
      <c r="A7" s="7" t="inlineStr">
        <is>
          <t>Paraffin wax</t>
        </is>
      </c>
      <c r="B7" s="34">
        <f>Assumptions!$B$68</f>
        <v/>
      </c>
      <c r="C7" s="32">
        <f>Assumptions!$B$76</f>
        <v/>
      </c>
      <c r="D7" s="18">
        <f>C7/B7</f>
        <v/>
      </c>
      <c r="E7" s="23">
        <f>B7/10^6</f>
        <v/>
      </c>
      <c r="F7" s="18">
        <f>D7*$B$16</f>
        <v/>
      </c>
      <c r="G7" s="18">
        <f>$B$22*H7/$B$23</f>
        <v/>
      </c>
      <c r="H7" s="35">
        <f>Assumptions!$B$115</f>
        <v/>
      </c>
      <c r="I7" s="18">
        <f>F7-G7</f>
        <v/>
      </c>
    </row>
    <row r="8">
      <c r="A8" s="7" t="inlineStr">
        <is>
          <t>Gas oil</t>
        </is>
      </c>
      <c r="B8" s="34">
        <f>Assumptions!$B$69</f>
        <v/>
      </c>
      <c r="C8" s="32">
        <f>Assumptions!$B$77</f>
        <v/>
      </c>
      <c r="D8" s="18">
        <f>C8/B8</f>
        <v/>
      </c>
      <c r="E8" s="23">
        <f>B8/10^6</f>
        <v/>
      </c>
      <c r="F8" s="18">
        <f>D8*$B$16</f>
        <v/>
      </c>
      <c r="G8" s="18">
        <f>$B$22*H8/$B$23</f>
        <v/>
      </c>
      <c r="H8" s="35">
        <f>Assumptions!$B$116</f>
        <v/>
      </c>
      <c r="I8" s="18">
        <f>F8-G8</f>
        <v/>
      </c>
    </row>
    <row r="9">
      <c r="A9" s="7" t="inlineStr">
        <is>
          <t>Naphtha</t>
        </is>
      </c>
      <c r="B9" s="34">
        <f>Assumptions!$B$70</f>
        <v/>
      </c>
      <c r="C9" s="32">
        <f>Assumptions!$B$78</f>
        <v/>
      </c>
      <c r="D9" s="18">
        <f>C9/B9</f>
        <v/>
      </c>
      <c r="E9" s="23">
        <f>B9/10^6</f>
        <v/>
      </c>
      <c r="F9" s="18">
        <f>D9*$B$16</f>
        <v/>
      </c>
      <c r="G9" s="18">
        <f>$B$22*H9/$B$23</f>
        <v/>
      </c>
      <c r="H9" s="35">
        <f>Assumptions!$B$117</f>
        <v/>
      </c>
      <c r="I9" s="18">
        <f>F9-G9</f>
        <v/>
      </c>
    </row>
    <row r="10">
      <c r="A10" s="7" t="inlineStr">
        <is>
          <t>Liquefied petroleum gas</t>
        </is>
      </c>
      <c r="B10" s="34">
        <f>Assumptions!$B$71</f>
        <v/>
      </c>
      <c r="C10" s="32">
        <f>Assumptions!$B$79</f>
        <v/>
      </c>
      <c r="D10" s="18">
        <f>C10/B10</f>
        <v/>
      </c>
      <c r="E10" s="23">
        <f>B10/10^6</f>
        <v/>
      </c>
      <c r="F10" s="18">
        <f>D10*$B$16</f>
        <v/>
      </c>
      <c r="G10" s="18">
        <f>$B$22*H10/$B$23</f>
        <v/>
      </c>
      <c r="H10" s="35">
        <f>Assumptions!$B$118</f>
        <v/>
      </c>
      <c r="I10" s="18">
        <f>F10-G10</f>
        <v/>
      </c>
    </row>
    <row r="11">
      <c r="A11" s="7" t="inlineStr">
        <is>
          <t>Fuel oil (mix)</t>
        </is>
      </c>
      <c r="B11" s="34">
        <f>Assumptions!$B$72</f>
        <v/>
      </c>
      <c r="C11" s="32">
        <f>Assumptions!$B$80</f>
        <v/>
      </c>
      <c r="D11" s="18">
        <f>C11/B11</f>
        <v/>
      </c>
      <c r="E11" s="23">
        <f>B11/10^6</f>
        <v/>
      </c>
      <c r="F11" s="18">
        <f>D11*$B$16</f>
        <v/>
      </c>
      <c r="G11" s="18">
        <f>$B$22*H11/$B$23</f>
        <v/>
      </c>
      <c r="H11" s="35">
        <f>Assumptions!$B$119</f>
        <v/>
      </c>
      <c r="I11" s="18">
        <f>F11-G11</f>
        <v/>
      </c>
    </row>
    <row r="12">
      <c r="A12" s="7" t="inlineStr">
        <is>
          <t>Heavy fuel oil</t>
        </is>
      </c>
      <c r="B12" s="34">
        <f>Assumptions!$B$73</f>
        <v/>
      </c>
      <c r="C12" s="32">
        <f>Assumptions!$B$81</f>
        <v/>
      </c>
      <c r="D12" s="18">
        <f>C12/B12</f>
        <v/>
      </c>
      <c r="E12" s="23">
        <f>B12/10^6</f>
        <v/>
      </c>
      <c r="F12" s="18">
        <f>D12*$B$16</f>
        <v/>
      </c>
      <c r="G12" s="18">
        <f>$B$22*H12/$B$23</f>
        <v/>
      </c>
      <c r="H12" s="35">
        <f>Assumptions!$B$120</f>
        <v/>
      </c>
      <c r="I12" s="18">
        <f>F12-G12</f>
        <v/>
      </c>
    </row>
    <row r="13">
      <c r="A13" s="7" t="inlineStr">
        <is>
          <t>Waste</t>
        </is>
      </c>
      <c r="B13" s="34">
        <f>Assumptions!$B$74</f>
        <v/>
      </c>
      <c r="C13" s="32">
        <f>Assumptions!$B$82</f>
        <v/>
      </c>
      <c r="D13" s="18">
        <f>C13/B13</f>
        <v/>
      </c>
      <c r="E13" s="23">
        <f>B13/10^6</f>
        <v/>
      </c>
      <c r="F13" s="18">
        <f>D13*$B$16</f>
        <v/>
      </c>
      <c r="G13" s="18">
        <f>$B$22*H13/$B$23</f>
        <v/>
      </c>
      <c r="H13" s="35">
        <f>Assumptions!$B$121</f>
        <v/>
      </c>
      <c r="I13" s="18">
        <f>F13-G13</f>
        <v/>
      </c>
    </row>
    <row r="14">
      <c r="A14" s="15" t="inlineStr">
        <is>
          <t>TOTAL</t>
        </is>
      </c>
      <c r="B14" s="36">
        <f>SUM(B6:B13)</f>
        <v/>
      </c>
      <c r="C14" s="37">
        <f>SUM(C6:C13)</f>
        <v/>
      </c>
      <c r="E14" s="36">
        <f>SUM(E6:E13)</f>
        <v/>
      </c>
      <c r="F14" s="37">
        <f>SUMPRODUCT(E6:E13,F6:F13)</f>
        <v/>
      </c>
    </row>
    <row r="15">
      <c r="A15" s="7" t="inlineStr">
        <is>
          <t>Revenue at the disclosed realisations, twelve months as filed</t>
        </is>
      </c>
      <c r="B15" s="18">
        <f>SUMPRODUCT(E6:E13,D6:D13)</f>
        <v/>
      </c>
    </row>
    <row r="16">
      <c r="A16" s="15" t="inlineStr">
        <is>
          <t>REALISATION INDEX — solved so the base year foots</t>
        </is>
      </c>
      <c r="B16" s="36">
        <f>'Income Statement'!B19/B15</f>
        <v/>
      </c>
    </row>
    <row r="18">
      <c r="A18" s="11" t="inlineStr">
        <is>
          <t>COST ALLOCATION</t>
        </is>
      </c>
      <c r="B18" s="13" t="n"/>
      <c r="C18" s="13" t="n"/>
      <c r="D18" s="13" t="n"/>
      <c r="E18" s="13" t="n"/>
      <c r="F18" s="13" t="n"/>
      <c r="G18" s="13" t="n"/>
      <c r="H18" s="13" t="n"/>
      <c r="I18" s="13" t="n"/>
    </row>
    <row r="19">
      <c r="A19" s="7" t="inlineStr">
        <is>
          <t>Cost of sales, base year</t>
        </is>
      </c>
      <c r="B19" s="18">
        <f>'Income Statement'!B21</f>
        <v/>
      </c>
    </row>
    <row r="20">
      <c r="A20" s="7" t="inlineStr">
        <is>
          <t>Feedstock share of cost (note 15-A)</t>
        </is>
      </c>
      <c r="B20" s="24">
        <f>Assumptions!$B$26/(Assumptions!$B$26+Assumptions!$B$25+Assumptions!$B$29+Assumptions!$B$27+Assumptions!$B$28)</f>
        <v/>
      </c>
    </row>
    <row r="21">
      <c r="A21" s="7" t="inlineStr">
        <is>
          <t>Feedstock total</t>
        </is>
      </c>
      <c r="B21" s="18">
        <f>B19*B20</f>
        <v/>
      </c>
    </row>
    <row r="22">
      <c r="A22" s="7" t="inlineStr">
        <is>
          <t>Conversion total</t>
        </is>
      </c>
      <c r="B22" s="18">
        <f>B19-B21</f>
        <v/>
      </c>
    </row>
    <row r="23">
      <c r="A23" s="7" t="inlineStr">
        <is>
          <t>Processing-weighted tonnage</t>
        </is>
      </c>
      <c r="B23" s="23">
        <f>SUMPRODUCT(E6:E13,H6:H13)</f>
        <v/>
      </c>
    </row>
    <row r="24">
      <c r="A24" s="7" t="inlineStr">
        <is>
          <t>Net realisable value weighted tonnage</t>
        </is>
      </c>
      <c r="B24" s="18">
        <f>SUMPRODUCT(E6:E13,I6:I13)</f>
        <v/>
      </c>
    </row>
    <row r="26">
      <c r="A26" s="6" t="inlineStr">
        <is>
          <t>Line</t>
        </is>
      </c>
      <c r="B26" s="6" t="inlineStr">
        <is>
          <t>Conversion EGP/t</t>
        </is>
      </c>
      <c r="C26" s="6" t="inlineStr">
        <is>
          <t>Net realisable EGP/t</t>
        </is>
      </c>
      <c r="D26" s="6" t="inlineStr">
        <is>
          <t>Feedstock EGP/t</t>
        </is>
      </c>
      <c r="E26" s="6" t="inlineStr">
        <is>
          <t>Total cost EGP/t</t>
        </is>
      </c>
      <c r="F26" s="6" t="inlineStr">
        <is>
          <t>Realisation EGP/t</t>
        </is>
      </c>
      <c r="G26" s="6" t="inlineStr">
        <is>
          <t>Spread EGP/t</t>
        </is>
      </c>
      <c r="H26" s="6" t="inlineStr">
        <is>
          <t>Gross margin</t>
        </is>
      </c>
    </row>
    <row r="27">
      <c r="A27" s="7" t="inlineStr">
        <is>
          <t>Base and special oils</t>
        </is>
      </c>
      <c r="B27" s="18">
        <f>G6</f>
        <v/>
      </c>
      <c r="C27" s="18">
        <f>I6</f>
        <v/>
      </c>
      <c r="D27" s="18">
        <f>$B$21*I6/$B$24</f>
        <v/>
      </c>
      <c r="E27" s="18">
        <f>D27+B27</f>
        <v/>
      </c>
      <c r="F27" s="18">
        <f>F6</f>
        <v/>
      </c>
      <c r="G27" s="37">
        <f>F27-E27</f>
        <v/>
      </c>
      <c r="H27" s="24">
        <f>G27/F27</f>
        <v/>
      </c>
    </row>
    <row r="28">
      <c r="A28" s="7" t="inlineStr">
        <is>
          <t>Paraffin wax</t>
        </is>
      </c>
      <c r="B28" s="18">
        <f>G7</f>
        <v/>
      </c>
      <c r="C28" s="18">
        <f>I7</f>
        <v/>
      </c>
      <c r="D28" s="18">
        <f>$B$21*I7/$B$24</f>
        <v/>
      </c>
      <c r="E28" s="18">
        <f>D28+B28</f>
        <v/>
      </c>
      <c r="F28" s="18">
        <f>F7</f>
        <v/>
      </c>
      <c r="G28" s="37">
        <f>F28-E28</f>
        <v/>
      </c>
      <c r="H28" s="24">
        <f>G28/F28</f>
        <v/>
      </c>
    </row>
    <row r="29">
      <c r="A29" s="7" t="inlineStr">
        <is>
          <t>Gas oil</t>
        </is>
      </c>
      <c r="B29" s="18">
        <f>G8</f>
        <v/>
      </c>
      <c r="C29" s="18">
        <f>I8</f>
        <v/>
      </c>
      <c r="D29" s="18">
        <f>$B$21*I8/$B$24</f>
        <v/>
      </c>
      <c r="E29" s="18">
        <f>D29+B29</f>
        <v/>
      </c>
      <c r="F29" s="18">
        <f>F8</f>
        <v/>
      </c>
      <c r="G29" s="37">
        <f>F29-E29</f>
        <v/>
      </c>
      <c r="H29" s="24">
        <f>G29/F29</f>
        <v/>
      </c>
    </row>
    <row r="30">
      <c r="A30" s="7" t="inlineStr">
        <is>
          <t>Naphtha</t>
        </is>
      </c>
      <c r="B30" s="18">
        <f>G9</f>
        <v/>
      </c>
      <c r="C30" s="18">
        <f>I9</f>
        <v/>
      </c>
      <c r="D30" s="18">
        <f>$B$21*I9/$B$24</f>
        <v/>
      </c>
      <c r="E30" s="18">
        <f>D30+B30</f>
        <v/>
      </c>
      <c r="F30" s="18">
        <f>F9</f>
        <v/>
      </c>
      <c r="G30" s="37">
        <f>F30-E30</f>
        <v/>
      </c>
      <c r="H30" s="24">
        <f>G30/F30</f>
        <v/>
      </c>
    </row>
    <row r="31">
      <c r="A31" s="7" t="inlineStr">
        <is>
          <t>Liquefied petroleum gas</t>
        </is>
      </c>
      <c r="B31" s="18">
        <f>G10</f>
        <v/>
      </c>
      <c r="C31" s="18">
        <f>I10</f>
        <v/>
      </c>
      <c r="D31" s="18">
        <f>$B$21*I10/$B$24</f>
        <v/>
      </c>
      <c r="E31" s="18">
        <f>D31+B31</f>
        <v/>
      </c>
      <c r="F31" s="18">
        <f>F10</f>
        <v/>
      </c>
      <c r="G31" s="37">
        <f>F31-E31</f>
        <v/>
      </c>
      <c r="H31" s="24">
        <f>G31/F31</f>
        <v/>
      </c>
    </row>
    <row r="32">
      <c r="A32" s="7" t="inlineStr">
        <is>
          <t>Fuel oil (mix)</t>
        </is>
      </c>
      <c r="B32" s="18">
        <f>G11</f>
        <v/>
      </c>
      <c r="C32" s="18">
        <f>I11</f>
        <v/>
      </c>
      <c r="D32" s="18">
        <f>$B$21*I11/$B$24</f>
        <v/>
      </c>
      <c r="E32" s="18">
        <f>D32+B32</f>
        <v/>
      </c>
      <c r="F32" s="18">
        <f>F11</f>
        <v/>
      </c>
      <c r="G32" s="37">
        <f>F32-E32</f>
        <v/>
      </c>
      <c r="H32" s="24">
        <f>G32/F32</f>
        <v/>
      </c>
    </row>
    <row r="33">
      <c r="A33" s="7" t="inlineStr">
        <is>
          <t>Heavy fuel oil</t>
        </is>
      </c>
      <c r="B33" s="18">
        <f>G12</f>
        <v/>
      </c>
      <c r="C33" s="18">
        <f>I12</f>
        <v/>
      </c>
      <c r="D33" s="18">
        <f>$B$21*I12/$B$24</f>
        <v/>
      </c>
      <c r="E33" s="18">
        <f>D33+B33</f>
        <v/>
      </c>
      <c r="F33" s="18">
        <f>F12</f>
        <v/>
      </c>
      <c r="G33" s="37">
        <f>F33-E33</f>
        <v/>
      </c>
      <c r="H33" s="24">
        <f>G33/F33</f>
        <v/>
      </c>
    </row>
    <row r="34">
      <c r="A34" s="7" t="inlineStr">
        <is>
          <t>Waste</t>
        </is>
      </c>
      <c r="B34" s="18">
        <f>G13</f>
        <v/>
      </c>
      <c r="C34" s="18">
        <f>I13</f>
        <v/>
      </c>
      <c r="D34" s="18">
        <f>$B$21*I13/$B$24</f>
        <v/>
      </c>
      <c r="E34" s="18">
        <f>D34+B34</f>
        <v/>
      </c>
      <c r="F34" s="18">
        <f>F13</f>
        <v/>
      </c>
      <c r="G34" s="37">
        <f>F34-E34</f>
        <v/>
      </c>
      <c r="H34" s="24">
        <f>G34/F34</f>
        <v/>
      </c>
    </row>
    <row r="35">
      <c r="A35" s="15" t="inlineStr">
        <is>
          <t>Cost of sales rebuilt from the per-line allocation</t>
        </is>
      </c>
      <c r="B35" s="37">
        <f>SUMPRODUCT(E6:E13,E27:E34)</f>
        <v/>
      </c>
    </row>
    <row r="36">
      <c r="A36" s="7" t="inlineStr">
        <is>
          <t>must equal the base-year cost of sales — difference</t>
        </is>
      </c>
      <c r="B36" s="36">
        <f>B35-'Income Statement'!B21</f>
        <v/>
      </c>
    </row>
    <row r="38" ht="55" customHeight="1">
      <c r="A38" s="19" t="inlineStr">
        <is>
          <t>Row 36 is the footing test: the eight per-line costs must rebuild the disclosed cost of sales exactly. Feedstock allocated flat per tonne would make fuel oil sell below the cost of its own feed; feedstock allocated on relative sales value would make base oils and paraffin wax — the products this plant exists for — loss-making. Net realisable value is the standard joint-product method and the only one of the three that leaves every disclosed line with a positive spread.</t>
        </is>
      </c>
    </row>
  </sheetData>
  <mergeCells count="2">
    <mergeCell ref="A38:I38"/>
    <mergeCell ref="A2:I2"/>
  </mergeCells>
  <pageMargins left="0.75" right="0.75" top="1" bottom="1" header="0.5" footer="0.5"/>
</worksheet>
</file>

<file path=xl/worksheets/sheet7.xml><?xml version="1.0" encoding="utf-8"?>
<worksheet xmlns="http://schemas.openxmlformats.org/spreadsheetml/2006/main">
  <sheetPr>
    <tabColor rgb="001C3A36"/>
    <outlinePr summaryBelow="1" summaryRight="1"/>
    <pageSetUpPr/>
  </sheetPr>
  <dimension ref="A1:E26"/>
  <sheetViews>
    <sheetView showGridLines="0" workbookViewId="0">
      <selection activeCell="A1" sqref="A1"/>
    </sheetView>
  </sheetViews>
  <sheetFormatPr baseColWidth="8" defaultRowHeight="15"/>
  <cols>
    <col width="6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Lens 2 and lens 3, in full</t>
        </is>
      </c>
    </row>
    <row r="2" ht="32" customHeight="1">
      <c r="A2" s="5" t="inlineStr">
        <is>
          <t>Lens 2 is struck on the TRAILING metric so it borrows no discount factor from the cash-flow lens. Lens 3 is forward-dated and is therefore discounted back to the valuation date, with net cash added at face outside the multiple.</t>
        </is>
      </c>
    </row>
    <row r="3">
      <c r="A3" s="2" t="n"/>
      <c r="B3" s="2" t="n"/>
      <c r="C3" s="2" t="n"/>
      <c r="D3" s="2" t="n"/>
      <c r="E3" s="2" t="n"/>
    </row>
    <row r="5">
      <c r="A5" s="11" t="inlineStr">
        <is>
          <t>LENS 2 — RELATIVE MULTIPLES</t>
        </is>
      </c>
      <c r="B5" s="13" t="n"/>
      <c r="C5" s="13" t="n"/>
      <c r="D5" s="13" t="n"/>
      <c r="E5" s="13" t="n"/>
    </row>
    <row r="6">
      <c r="A6" s="7" t="inlineStr">
        <is>
          <t>Base-year EBITDA</t>
        </is>
      </c>
      <c r="B6" s="18">
        <f>'Fundamental Valuation'!B5</f>
        <v/>
      </c>
    </row>
    <row r="7">
      <c r="A7" s="7" t="inlineStr">
        <is>
          <t>Enterprise value at the market price</t>
        </is>
      </c>
      <c r="B7" s="18">
        <f>'Fundamental Valuation'!B6</f>
        <v/>
      </c>
    </row>
    <row r="8">
      <c r="A8" s="7" t="inlineStr">
        <is>
          <t>The company's own trailing enterprise value / EBITDA</t>
        </is>
      </c>
      <c r="B8" s="20">
        <f>'Fundamental Valuation'!B7</f>
        <v/>
      </c>
    </row>
    <row r="9">
      <c r="A9" s="7" t="inlineStr">
        <is>
          <t>Re-rating applied</t>
        </is>
      </c>
      <c r="B9" s="10">
        <f>Assumptions!$B$113</f>
        <v/>
      </c>
    </row>
    <row r="10">
      <c r="A10" s="15" t="inlineStr">
        <is>
          <t>Justified multiple</t>
        </is>
      </c>
      <c r="B10" s="21">
        <f>'Fundamental Valuation'!B8</f>
        <v/>
      </c>
    </row>
    <row r="11">
      <c r="A11" s="7" t="inlineStr">
        <is>
          <t>Equity on that multiple</t>
        </is>
      </c>
      <c r="B11" s="18">
        <f>'Fundamental Valuation'!B11</f>
        <v/>
      </c>
    </row>
    <row r="12">
      <c r="A12" s="15" t="inlineStr">
        <is>
          <t>LENS 2, EGP PER SHARE</t>
        </is>
      </c>
      <c r="B12" s="38">
        <f>'Fundamental Valuation'!C11</f>
        <v/>
      </c>
    </row>
    <row r="14">
      <c r="A14" s="11" t="inlineStr">
        <is>
          <t>LENS 3 — NORMALISED EARNINGS POWER</t>
        </is>
      </c>
      <c r="B14" s="13" t="n"/>
      <c r="C14" s="13" t="n"/>
      <c r="D14" s="13" t="n"/>
      <c r="E14" s="13" t="n"/>
    </row>
    <row r="15">
      <c r="A15" s="7" t="inlineStr">
        <is>
          <t>Normalised EBIT, 2028E</t>
        </is>
      </c>
      <c r="B15" s="18">
        <f>'Fundamental Valuation'!B12</f>
        <v/>
      </c>
    </row>
    <row r="16">
      <c r="A16" s="7" t="inlineStr">
        <is>
          <t>Normalised earnings per share</t>
        </is>
      </c>
      <c r="B16" s="23">
        <f>'Fundamental Valuation'!C12</f>
        <v/>
      </c>
    </row>
    <row r="17">
      <c r="A17" s="7" t="inlineStr">
        <is>
          <t>Justified price / earnings</t>
        </is>
      </c>
      <c r="B17" s="20">
        <f>Assumptions!$B$112</f>
        <v/>
      </c>
    </row>
    <row r="18">
      <c r="A18" s="7" t="inlineStr">
        <is>
          <t>Discounted back at the explicit cost of equity</t>
        </is>
      </c>
      <c r="B18" s="23">
        <f>(1+DCF!B10)^2.4</f>
        <v/>
      </c>
    </row>
    <row r="19">
      <c r="A19" s="15" t="inlineStr">
        <is>
          <t>LENS 3, EGP PER SHARE</t>
        </is>
      </c>
      <c r="B19" s="38">
        <f>'Fundamental Valuation'!D12</f>
        <v/>
      </c>
    </row>
    <row r="21">
      <c r="A21" s="11" t="inlineStr">
        <is>
          <t>LENS 4 — BOOK VALUE AND SUSTAINABLE RETURN</t>
        </is>
      </c>
      <c r="B21" s="13" t="n"/>
      <c r="C21" s="13" t="n"/>
      <c r="D21" s="13" t="n"/>
      <c r="E21" s="13" t="n"/>
    </row>
    <row r="22">
      <c r="A22" s="7" t="inlineStr">
        <is>
          <t>Book value per share attributable to the parent</t>
        </is>
      </c>
      <c r="B22" s="14">
        <f>'Fundamental Valuation'!B13</f>
        <v/>
      </c>
    </row>
    <row r="23">
      <c r="A23" s="7" t="inlineStr">
        <is>
          <t>Sustainable return on equity</t>
        </is>
      </c>
      <c r="B23" s="10">
        <f>Assumptions!$B$111</f>
        <v/>
      </c>
    </row>
    <row r="24">
      <c r="A24" s="7" t="inlineStr">
        <is>
          <t>Cost of equity used</t>
        </is>
      </c>
      <c r="B24" s="24">
        <f>'Fundamental Valuation'!C13</f>
        <v/>
      </c>
    </row>
    <row r="25">
      <c r="A25" s="7" t="inlineStr">
        <is>
          <t>Justified price / book</t>
        </is>
      </c>
      <c r="B25" s="20">
        <f>'Fundamental Valuation'!D13</f>
        <v/>
      </c>
    </row>
    <row r="26">
      <c r="A26" s="15" t="inlineStr">
        <is>
          <t>LENS 4, EGP PER SHARE</t>
        </is>
      </c>
      <c r="B26" s="38">
        <f>'Fundamental Valuation'!E13</f>
        <v/>
      </c>
    </row>
  </sheetData>
  <mergeCells count="1">
    <mergeCell ref="A2:E2"/>
  </mergeCells>
  <pageMargins left="0.75" right="0.75" top="1" bottom="1" header="0.5" footer="0.5"/>
</worksheet>
</file>

<file path=xl/worksheets/sheet8.xml><?xml version="1.0" encoding="utf-8"?>
<worksheet xmlns="http://schemas.openxmlformats.org/spreadsheetml/2006/main">
  <sheetPr>
    <tabColor rgb="001C3A36"/>
    <outlinePr summaryBelow="1" summaryRight="1"/>
    <pageSetUpPr/>
  </sheetPr>
  <dimension ref="A1:I65"/>
  <sheetViews>
    <sheetView showGridLines="0" workbookViewId="0">
      <selection activeCell="A1" sqref="A1"/>
    </sheetView>
  </sheetViews>
  <sheetFormatPr baseColWidth="8" defaultRowHeight="15"/>
  <cols>
    <col width="4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Discounted cash flow — the forecast engine — eight lines by five years, all formulas</t>
        </is>
      </c>
    </row>
    <row r="2" ht="32" customHeight="1">
      <c r="A2" s="5" t="inlineStr">
        <is>
          <t>This is the block the Sensitivity sheet replicates twenty-five times, once per grid point, so that every sensitivity cell in this workbook is a live re-run rather than a pasted number.</t>
        </is>
      </c>
    </row>
    <row r="3">
      <c r="A3" s="2" t="n"/>
      <c r="B3" s="2" t="n"/>
      <c r="C3" s="2" t="n"/>
      <c r="D3" s="2" t="n"/>
      <c r="E3" s="2" t="n"/>
      <c r="F3" s="2" t="n"/>
      <c r="G3" s="2" t="n"/>
      <c r="H3" s="2" t="n"/>
      <c r="I3" s="2" t="n"/>
    </row>
    <row r="5">
      <c r="A5" s="11" t="inlineStr">
        <is>
          <t>Levers for this block — the base case sets them all neutral</t>
        </is>
      </c>
      <c r="B5" s="13" t="n"/>
      <c r="C5" s="13" t="n"/>
      <c r="D5" s="13" t="n"/>
      <c r="E5" s="13" t="n"/>
      <c r="F5" s="13" t="n"/>
      <c r="G5" s="13" t="n"/>
      <c r="H5" s="13" t="n"/>
      <c r="I5" s="13" t="n"/>
    </row>
    <row r="6">
      <c r="A6" s="7" t="inlineStr">
        <is>
          <t>Volume growth added a year</t>
        </is>
      </c>
      <c r="B6" s="29" t="n">
        <v>0</v>
      </c>
    </row>
    <row r="7">
      <c r="A7" s="7" t="inlineStr">
        <is>
          <t>Gross-margin shift</t>
        </is>
      </c>
      <c r="B7" s="29" t="n">
        <v>0</v>
      </c>
    </row>
    <row r="8">
      <c r="A8" s="7" t="inlineStr">
        <is>
          <t>Realisation-path multiplier</t>
        </is>
      </c>
      <c r="B8" s="26" t="n">
        <v>1</v>
      </c>
    </row>
    <row r="9">
      <c r="A9" s="7" t="inlineStr">
        <is>
          <t>Working-capital cycle multiplier</t>
        </is>
      </c>
      <c r="B9" s="26" t="n">
        <v>1</v>
      </c>
    </row>
    <row r="10">
      <c r="A10" s="7" t="inlineStr">
        <is>
          <t>Explicit cost of capital</t>
        </is>
      </c>
      <c r="B10" s="24">
        <f>Assumptions!$B$173-Assumptions!$B$174+Assumptions!$B$176*Assumptions!$B$175</f>
        <v/>
      </c>
    </row>
    <row r="11">
      <c r="A11" s="7" t="inlineStr">
        <is>
          <t>Gross borrowings as a share of the capital structure</t>
        </is>
      </c>
      <c r="B11" s="24">
        <f>(Assumptions!$B$103+Assumptions!$B$104)/10^6/(Assumptions!$B$7*Assumptions!$B$8)</f>
        <v/>
      </c>
    </row>
    <row r="12">
      <c r="A12" s="7" t="inlineStr">
        <is>
          <t>Equity weight — unlevered</t>
        </is>
      </c>
      <c r="B12" s="24">
        <f>1-B11</f>
        <v/>
      </c>
    </row>
    <row r="13">
      <c r="A13" s="7" t="inlineStr">
        <is>
          <t>After-tax cost of net debt (shown; not used to discount operations)</t>
        </is>
      </c>
      <c r="B13" s="24">
        <f>(Assumptions!$B$178*(Assumptions!$B$103+Assumptions!$B$104)/10^6-Assumptions!$B$177*Assumptions!$B$100/10^6)/((Assumptions!$B$103+Assumptions!$B$104-Assumptions!$B$100)/10^6)*(1-0.22118761296853667)</f>
        <v/>
      </c>
    </row>
    <row r="14">
      <c r="A14" s="15" t="inlineStr">
        <is>
          <t>OPERATING DISCOUNT RATE — unlevered; the cash is added in the bridge</t>
        </is>
      </c>
      <c r="B14" s="39">
        <f>B10</f>
        <v/>
      </c>
    </row>
    <row r="15">
      <c r="A15" s="7" t="inlineStr">
        <is>
          <t>Terminal risk-free — DERIVED from the target in force</t>
        </is>
      </c>
      <c r="B15" s="24">
        <f>Assumptions!$B$179+Assumptions!$B$180</f>
        <v/>
      </c>
    </row>
    <row r="16">
      <c r="A16" s="7" t="inlineStr">
        <is>
          <t>Terminal cost of equity</t>
        </is>
      </c>
      <c r="B16" s="24">
        <f>B15+Assumptions!$B$176*Assumptions!$B$181</f>
        <v/>
      </c>
    </row>
    <row r="17">
      <c r="A17" s="15" t="inlineStr">
        <is>
          <t>WACC — terminal</t>
        </is>
      </c>
      <c r="B17" s="39">
        <f>(1-Assumptions!$B$183)*B16+Assumptions!$B$183*Assumptions!$B$182*(1-0.22118761296853667)</f>
        <v/>
      </c>
    </row>
    <row r="19">
      <c r="A19" s="6" t="inlineStr">
        <is>
          <t>BASE CASE</t>
        </is>
      </c>
      <c r="B19" s="6" t="inlineStr">
        <is>
          <t>2026E</t>
        </is>
      </c>
      <c r="C19" s="6" t="inlineStr">
        <is>
          <t>2027E</t>
        </is>
      </c>
      <c r="D19" s="6" t="inlineStr">
        <is>
          <t>2028E</t>
        </is>
      </c>
      <c r="E19" s="6" t="inlineStr">
        <is>
          <t>2029E</t>
        </is>
      </c>
      <c r="F19" s="6" t="inlineStr">
        <is>
          <t>2030E</t>
        </is>
      </c>
    </row>
    <row r="20">
      <c r="A20" s="7" t="inlineStr">
        <is>
          <t>Inflation index, cumulative</t>
        </is>
      </c>
      <c r="C20" s="23">
        <f>Assumptions!$B$167</f>
        <v/>
      </c>
      <c r="D20" s="23">
        <f>C20*Assumptions!$B$168</f>
        <v/>
      </c>
      <c r="E20" s="23">
        <f>D20*Assumptions!$B$169</f>
        <v/>
      </c>
      <c r="F20" s="23">
        <f>E20*Assumptions!$B$170</f>
        <v/>
      </c>
      <c r="G20" s="23">
        <f>F20*Assumptions!$B$171</f>
        <v/>
      </c>
    </row>
    <row r="21">
      <c r="A21" s="7" t="inlineStr">
        <is>
          <t>Realisation index, cumulative</t>
        </is>
      </c>
      <c r="C21" s="23">
        <f>(1+Assumptions!$B$122*$B$8)</f>
        <v/>
      </c>
      <c r="D21" s="23">
        <f>C21*(1+Assumptions!$B$123*$B$8)</f>
        <v/>
      </c>
      <c r="E21" s="23">
        <f>D21*(1+Assumptions!$B$124*$B$8)</f>
        <v/>
      </c>
      <c r="F21" s="23">
        <f>E21*(1+Assumptions!$B$125*$B$8)</f>
        <v/>
      </c>
      <c r="G21" s="23">
        <f>F21*(1+Assumptions!$B$126*$B$8)</f>
        <v/>
      </c>
    </row>
    <row r="22">
      <c r="A22" s="7" t="inlineStr">
        <is>
          <t xml:space="preserve">  Volume — Base and special oils, mn t</t>
        </is>
      </c>
      <c r="C22" s="23">
        <f>'Segments'!E6*(1+Assumptions!$B$127+$B$6)</f>
        <v/>
      </c>
      <c r="D22" s="23">
        <f>C22*(1+Assumptions!$B$128+$B$6)</f>
        <v/>
      </c>
      <c r="E22" s="23">
        <f>D22*(1+Assumptions!$B$129+$B$6)</f>
        <v/>
      </c>
      <c r="F22" s="23">
        <f>E22*(1+Assumptions!$B$130+$B$6)</f>
        <v/>
      </c>
      <c r="G22" s="23">
        <f>F22*(1+Assumptions!$B$131+$B$6)</f>
        <v/>
      </c>
    </row>
    <row r="23">
      <c r="A23" s="7" t="inlineStr">
        <is>
          <t xml:space="preserve">  Volume — Paraffin wax, mn t</t>
        </is>
      </c>
      <c r="C23" s="23">
        <f>'Segments'!E7*(1+Assumptions!$B$132+$B$6)</f>
        <v/>
      </c>
      <c r="D23" s="23">
        <f>C23*(1+Assumptions!$B$133+$B$6)</f>
        <v/>
      </c>
      <c r="E23" s="23">
        <f>D23*(1+Assumptions!$B$134+$B$6)</f>
        <v/>
      </c>
      <c r="F23" s="23">
        <f>E23*(1+Assumptions!$B$135+$B$6)</f>
        <v/>
      </c>
      <c r="G23" s="23">
        <f>F23*(1+Assumptions!$B$136+$B$6)</f>
        <v/>
      </c>
    </row>
    <row r="24">
      <c r="A24" s="7" t="inlineStr">
        <is>
          <t xml:space="preserve">  Volume — Gas oil, mn t</t>
        </is>
      </c>
      <c r="C24" s="23">
        <f>'Segments'!E8*(1+Assumptions!$B$137+$B$6)</f>
        <v/>
      </c>
      <c r="D24" s="23">
        <f>C24*(1+Assumptions!$B$138+$B$6)</f>
        <v/>
      </c>
      <c r="E24" s="23">
        <f>D24*(1+Assumptions!$B$139+$B$6)</f>
        <v/>
      </c>
      <c r="F24" s="23">
        <f>E24*(1+Assumptions!$B$140+$B$6)</f>
        <v/>
      </c>
      <c r="G24" s="23">
        <f>F24*(1+Assumptions!$B$141+$B$6)</f>
        <v/>
      </c>
    </row>
    <row r="25">
      <c r="A25" s="7" t="inlineStr">
        <is>
          <t xml:space="preserve">  Volume — Naphtha, mn t</t>
        </is>
      </c>
      <c r="C25" s="23">
        <f>'Segments'!E9*(1+Assumptions!$B$142+$B$6)</f>
        <v/>
      </c>
      <c r="D25" s="23">
        <f>C25*(1+Assumptions!$B$143+$B$6)</f>
        <v/>
      </c>
      <c r="E25" s="23">
        <f>D25*(1+Assumptions!$B$144+$B$6)</f>
        <v/>
      </c>
      <c r="F25" s="23">
        <f>E25*(1+Assumptions!$B$145+$B$6)</f>
        <v/>
      </c>
      <c r="G25" s="23">
        <f>F25*(1+Assumptions!$B$146+$B$6)</f>
        <v/>
      </c>
    </row>
    <row r="26">
      <c r="A26" s="7" t="inlineStr">
        <is>
          <t xml:space="preserve">  Volume — Liquefied petroleum gas, mn t</t>
        </is>
      </c>
      <c r="C26" s="23">
        <f>'Segments'!E10*(1+Assumptions!$B$147+$B$6)</f>
        <v/>
      </c>
      <c r="D26" s="23">
        <f>C26*(1+Assumptions!$B$148+$B$6)</f>
        <v/>
      </c>
      <c r="E26" s="23">
        <f>D26*(1+Assumptions!$B$149+$B$6)</f>
        <v/>
      </c>
      <c r="F26" s="23">
        <f>E26*(1+Assumptions!$B$150+$B$6)</f>
        <v/>
      </c>
      <c r="G26" s="23">
        <f>F26*(1+Assumptions!$B$151+$B$6)</f>
        <v/>
      </c>
    </row>
    <row r="27">
      <c r="A27" s="7" t="inlineStr">
        <is>
          <t xml:space="preserve">  Volume — Fuel oil (mix), mn t</t>
        </is>
      </c>
      <c r="C27" s="23">
        <f>'Segments'!E11*(1+Assumptions!$B$152+$B$6)</f>
        <v/>
      </c>
      <c r="D27" s="23">
        <f>C27*(1+Assumptions!$B$153+$B$6)</f>
        <v/>
      </c>
      <c r="E27" s="23">
        <f>D27*(1+Assumptions!$B$154+$B$6)</f>
        <v/>
      </c>
      <c r="F27" s="23">
        <f>E27*(1+Assumptions!$B$155+$B$6)</f>
        <v/>
      </c>
      <c r="G27" s="23">
        <f>F27*(1+Assumptions!$B$156+$B$6)</f>
        <v/>
      </c>
    </row>
    <row r="28">
      <c r="A28" s="7" t="inlineStr">
        <is>
          <t xml:space="preserve">  Volume — Heavy fuel oil, mn t</t>
        </is>
      </c>
      <c r="C28" s="23">
        <f>'Segments'!E12*(1+Assumptions!$B$157+$B$6)</f>
        <v/>
      </c>
      <c r="D28" s="23">
        <f>C28*(1+Assumptions!$B$158+$B$6)</f>
        <v/>
      </c>
      <c r="E28" s="23">
        <f>D28*(1+Assumptions!$B$159+$B$6)</f>
        <v/>
      </c>
      <c r="F28" s="23">
        <f>E28*(1+Assumptions!$B$160+$B$6)</f>
        <v/>
      </c>
      <c r="G28" s="23">
        <f>F28*(1+Assumptions!$B$161+$B$6)</f>
        <v/>
      </c>
    </row>
    <row r="29">
      <c r="A29" s="7" t="inlineStr">
        <is>
          <t xml:space="preserve">  Volume — Waste, mn t</t>
        </is>
      </c>
      <c r="C29" s="23">
        <f>'Segments'!E13*(1+Assumptions!$B$162+$B$6)</f>
        <v/>
      </c>
      <c r="D29" s="23">
        <f>C29*(1+Assumptions!$B$163+$B$6)</f>
        <v/>
      </c>
      <c r="E29" s="23">
        <f>D29*(1+Assumptions!$B$164+$B$6)</f>
        <v/>
      </c>
      <c r="F29" s="23">
        <f>E29*(1+Assumptions!$B$165+$B$6)</f>
        <v/>
      </c>
      <c r="G29" s="23">
        <f>F29*(1+Assumptions!$B$166+$B$6)</f>
        <v/>
      </c>
    </row>
    <row r="30">
      <c r="A30" s="15" t="inlineStr">
        <is>
          <t>Total volume, mn t</t>
        </is>
      </c>
      <c r="C30" s="36">
        <f>SUM(C22:C29)</f>
        <v/>
      </c>
      <c r="D30" s="36">
        <f>SUM(D22:D29)</f>
        <v/>
      </c>
      <c r="E30" s="36">
        <f>SUM(E22:E29)</f>
        <v/>
      </c>
      <c r="F30" s="36">
        <f>SUM(F22:F29)</f>
        <v/>
      </c>
      <c r="G30" s="36">
        <f>SUM(G22:G29)</f>
        <v/>
      </c>
    </row>
    <row r="31">
      <c r="A31" s="15" t="inlineStr">
        <is>
          <t>REVENUE</t>
        </is>
      </c>
      <c r="C31" s="37">
        <f>C22*'Segments'!$F$6*C21+C23*'Segments'!$F$7*C21+C24*'Segments'!$F$8*C21+C25*'Segments'!$F$9*C21+C26*'Segments'!$F$10*C21+C27*'Segments'!$F$11*C21+C28*'Segments'!$F$12*C21+C29*'Segments'!$F$13*C21</f>
        <v/>
      </c>
      <c r="D31" s="37">
        <f>D22*'Segments'!$F$6*D21+D23*'Segments'!$F$7*D21+D24*'Segments'!$F$8*D21+D25*'Segments'!$F$9*D21+D26*'Segments'!$F$10*D21+D27*'Segments'!$F$11*D21+D28*'Segments'!$F$12*D21+D29*'Segments'!$F$13*D21</f>
        <v/>
      </c>
      <c r="E31" s="37">
        <f>E22*'Segments'!$F$6*E21+E23*'Segments'!$F$7*E21+E24*'Segments'!$F$8*E21+E25*'Segments'!$F$9*E21+E26*'Segments'!$F$10*E21+E27*'Segments'!$F$11*E21+E28*'Segments'!$F$12*E21+E29*'Segments'!$F$13*E21</f>
        <v/>
      </c>
      <c r="F31" s="37">
        <f>F22*'Segments'!$F$6*F21+F23*'Segments'!$F$7*F21+F24*'Segments'!$F$8*F21+F25*'Segments'!$F$9*F21+F26*'Segments'!$F$10*F21+F27*'Segments'!$F$11*F21+F28*'Segments'!$F$12*F21+F29*'Segments'!$F$13*F21</f>
        <v/>
      </c>
      <c r="G31" s="37">
        <f>G22*'Segments'!$F$6*G21+G23*'Segments'!$F$7*G21+G24*'Segments'!$F$8*G21+G25*'Segments'!$F$9*G21+G26*'Segments'!$F$10*G21+G27*'Segments'!$F$11*G21+G28*'Segments'!$F$12*G21+G29*'Segments'!$F$13*G21</f>
        <v/>
      </c>
    </row>
    <row r="32">
      <c r="A32" s="7" t="inlineStr">
        <is>
          <t>Cost of sales</t>
        </is>
      </c>
      <c r="C32" s="18">
        <f>C22*('Segments'!$D$27*C21*Assumptions!$B$109+'Segments'!$B$27*(0.4983251709*C21+0.4357405005*C21+0.0330936548*C21+0.0328406739))+C23*('Segments'!$D$28*C21*Assumptions!$B$109+'Segments'!$B$28*(0.4983251709*C21+0.4357405005*C21+0.0330936548*C21+0.0328406739))+C24*('Segments'!$D$29*C21*Assumptions!$B$109+'Segments'!$B$29*(0.4983251709*C21+0.4357405005*C21+0.0330936548*C21+0.0328406739))+C25*('Segments'!$D$30*C21*Assumptions!$B$109+'Segments'!$B$30*(0.4983251709*C21+0.4357405005*C21+0.0330936548*C21+0.0328406739))+C26*('Segments'!$D$31*C21*Assumptions!$B$109+'Segments'!$B$31*(0.4983251709*C21+0.4357405005*C21+0.0330936548*C21+0.0328406739))+C27*('Segments'!$D$32*C21*Assumptions!$B$109+'Segments'!$B$32*(0.4983251709*C21+0.4357405005*C21+0.0330936548*C21+0.0328406739))+C28*('Segments'!$D$33*C21*Assumptions!$B$109+'Segments'!$B$33*(0.4983251709*C21+0.4357405005*C21+0.0330936548*C21+0.0328406739))+C29*('Segments'!$D$34*C21*Assumptions!$B$109+'Segments'!$B$34*(0.4983251709*C21+0.4357405005*C21+0.0330936548*C21+0.0328406739))</f>
        <v/>
      </c>
      <c r="D32" s="18">
        <f>D22*('Segments'!$D$27*D21*Assumptions!$B$109+'Segments'!$B$27*(0.4983251709*D21+0.4357405005*D21+0.0330936548*D21+0.0328406739))+D23*('Segments'!$D$28*D21*Assumptions!$B$109+'Segments'!$B$28*(0.4983251709*D21+0.4357405005*D21+0.0330936548*D21+0.0328406739))+D24*('Segments'!$D$29*D21*Assumptions!$B$109+'Segments'!$B$29*(0.4983251709*D21+0.4357405005*D21+0.0330936548*D21+0.0328406739))+D25*('Segments'!$D$30*D21*Assumptions!$B$109+'Segments'!$B$30*(0.4983251709*D21+0.4357405005*D21+0.0330936548*D21+0.0328406739))+D26*('Segments'!$D$31*D21*Assumptions!$B$109+'Segments'!$B$31*(0.4983251709*D21+0.4357405005*D21+0.0330936548*D21+0.0328406739))+D27*('Segments'!$D$32*D21*Assumptions!$B$109+'Segments'!$B$32*(0.4983251709*D21+0.4357405005*D21+0.0330936548*D21+0.0328406739))+D28*('Segments'!$D$33*D21*Assumptions!$B$109+'Segments'!$B$33*(0.4983251709*D21+0.4357405005*D21+0.0330936548*D21+0.0328406739))+D29*('Segments'!$D$34*D21*Assumptions!$B$109+'Segments'!$B$34*(0.4983251709*D21+0.4357405005*D21+0.0330936548*D21+0.0328406739))</f>
        <v/>
      </c>
      <c r="E32" s="18">
        <f>E22*('Segments'!$D$27*E21*Assumptions!$B$109+'Segments'!$B$27*(0.4983251709*E21+0.4357405005*E21+0.0330936548*E21+0.0328406739))+E23*('Segments'!$D$28*E21*Assumptions!$B$109+'Segments'!$B$28*(0.4983251709*E21+0.4357405005*E21+0.0330936548*E21+0.0328406739))+E24*('Segments'!$D$29*E21*Assumptions!$B$109+'Segments'!$B$29*(0.4983251709*E21+0.4357405005*E21+0.0330936548*E21+0.0328406739))+E25*('Segments'!$D$30*E21*Assumptions!$B$109+'Segments'!$B$30*(0.4983251709*E21+0.4357405005*E21+0.0330936548*E21+0.0328406739))+E26*('Segments'!$D$31*E21*Assumptions!$B$109+'Segments'!$B$31*(0.4983251709*E21+0.4357405005*E21+0.0330936548*E21+0.0328406739))+E27*('Segments'!$D$32*E21*Assumptions!$B$109+'Segments'!$B$32*(0.4983251709*E21+0.4357405005*E21+0.0330936548*E21+0.0328406739))+E28*('Segments'!$D$33*E21*Assumptions!$B$109+'Segments'!$B$33*(0.4983251709*E21+0.4357405005*E21+0.0330936548*E21+0.0328406739))+E29*('Segments'!$D$34*E21*Assumptions!$B$109+'Segments'!$B$34*(0.4983251709*E21+0.4357405005*E21+0.0330936548*E21+0.0328406739))</f>
        <v/>
      </c>
      <c r="F32" s="18">
        <f>F22*('Segments'!$D$27*F21*Assumptions!$B$109+'Segments'!$B$27*(0.4983251709*F21+0.4357405005*F21+0.0330936548*F21+0.0328406739))+F23*('Segments'!$D$28*F21*Assumptions!$B$109+'Segments'!$B$28*(0.4983251709*F21+0.4357405005*F21+0.0330936548*F21+0.0328406739))+F24*('Segments'!$D$29*F21*Assumptions!$B$109+'Segments'!$B$29*(0.4983251709*F21+0.4357405005*F21+0.0330936548*F21+0.0328406739))+F25*('Segments'!$D$30*F21*Assumptions!$B$109+'Segments'!$B$30*(0.4983251709*F21+0.4357405005*F21+0.0330936548*F21+0.0328406739))+F26*('Segments'!$D$31*F21*Assumptions!$B$109+'Segments'!$B$31*(0.4983251709*F21+0.4357405005*F21+0.0330936548*F21+0.0328406739))+F27*('Segments'!$D$32*F21*Assumptions!$B$109+'Segments'!$B$32*(0.4983251709*F21+0.4357405005*F21+0.0330936548*F21+0.0328406739))+F28*('Segments'!$D$33*F21*Assumptions!$B$109+'Segments'!$B$33*(0.4983251709*F21+0.4357405005*F21+0.0330936548*F21+0.0328406739))+F29*('Segments'!$D$34*F21*Assumptions!$B$109+'Segments'!$B$34*(0.4983251709*F21+0.4357405005*F21+0.0330936548*F21+0.0328406739))</f>
        <v/>
      </c>
      <c r="G32" s="18">
        <f>G22*('Segments'!$D$27*G21*Assumptions!$B$109+'Segments'!$B$27*(0.4983251709*G21+0.4357405005*G21+0.0330936548*G21+0.0328406739))+G23*('Segments'!$D$28*G21*Assumptions!$B$109+'Segments'!$B$28*(0.4983251709*G21+0.4357405005*G21+0.0330936548*G21+0.0328406739))+G24*('Segments'!$D$29*G21*Assumptions!$B$109+'Segments'!$B$29*(0.4983251709*G21+0.4357405005*G21+0.0330936548*G21+0.0328406739))+G25*('Segments'!$D$30*G21*Assumptions!$B$109+'Segments'!$B$30*(0.4983251709*G21+0.4357405005*G21+0.0330936548*G21+0.0328406739))+G26*('Segments'!$D$31*G21*Assumptions!$B$109+'Segments'!$B$31*(0.4983251709*G21+0.4357405005*G21+0.0330936548*G21+0.0328406739))+G27*('Segments'!$D$32*G21*Assumptions!$B$109+'Segments'!$B$32*(0.4983251709*G21+0.4357405005*G21+0.0330936548*G21+0.0328406739))+G28*('Segments'!$D$33*G21*Assumptions!$B$109+'Segments'!$B$33*(0.4983251709*G21+0.4357405005*G21+0.0330936548*G21+0.0328406739))+G29*('Segments'!$D$34*G21*Assumptions!$B$109+'Segments'!$B$34*(0.4983251709*G21+0.4357405005*G21+0.0330936548*G21+0.0328406739))</f>
        <v/>
      </c>
    </row>
    <row r="33">
      <c r="A33" s="15" t="inlineStr">
        <is>
          <t>GROSS PROFIT</t>
        </is>
      </c>
      <c r="C33" s="37">
        <f>C31-C32+$B$7*C31</f>
        <v/>
      </c>
      <c r="D33" s="37">
        <f>D31-D32+$B$7*D31</f>
        <v/>
      </c>
      <c r="E33" s="37">
        <f>E31-E32+$B$7*E31</f>
        <v/>
      </c>
      <c r="F33" s="37">
        <f>F31-F32+$B$7*F31</f>
        <v/>
      </c>
      <c r="G33" s="37">
        <f>G31-G32+$B$7*G31</f>
        <v/>
      </c>
    </row>
    <row r="34">
      <c r="A34" s="7" t="inlineStr">
        <is>
          <t>Gross margin</t>
        </is>
      </c>
      <c r="C34" s="24">
        <f>C33/C31</f>
        <v/>
      </c>
      <c r="D34" s="24">
        <f>D33/D31</f>
        <v/>
      </c>
      <c r="E34" s="24">
        <f>E33/E31</f>
        <v/>
      </c>
      <c r="F34" s="24">
        <f>F33/F31</f>
        <v/>
      </c>
      <c r="G34" s="24">
        <f>G33/G31</f>
        <v/>
      </c>
    </row>
    <row r="35">
      <c r="A35" s="7" t="inlineStr">
        <is>
          <t>Operating expense</t>
        </is>
      </c>
      <c r="C35" s="18">
        <f>('Income Statement'!$B$28*C20)+('Income Statement'!$B$29*C20*C30/'Segments'!$E$14)+('Income Statement'!$B$30*C20)+('Income Statement'!$B$31*C20)</f>
        <v/>
      </c>
      <c r="D35" s="18">
        <f>('Income Statement'!$B$28*D20)+('Income Statement'!$B$29*D20*D30/'Segments'!$E$14)+('Income Statement'!$B$30*D20)+('Income Statement'!$B$31*D20)</f>
        <v/>
      </c>
      <c r="E35" s="18">
        <f>('Income Statement'!$B$28*E20)+('Income Statement'!$B$29*E20*E30/'Segments'!$E$14)+('Income Statement'!$B$30*E20)+('Income Statement'!$B$31*E20)</f>
        <v/>
      </c>
      <c r="F35" s="18">
        <f>('Income Statement'!$B$28*F20)+('Income Statement'!$B$29*F20*F30/'Segments'!$E$14)+('Income Statement'!$B$30*F20)+('Income Statement'!$B$31*F20)</f>
        <v/>
      </c>
      <c r="G35" s="18">
        <f>('Income Statement'!$B$28*G20)+('Income Statement'!$B$29*G20*G30/'Segments'!$E$14)+('Income Statement'!$B$30*G20)+('Income Statement'!$B$31*G20)</f>
        <v/>
      </c>
    </row>
    <row r="36">
      <c r="A36" s="15" t="inlineStr">
        <is>
          <t>EBITDA</t>
        </is>
      </c>
      <c r="C36" s="37">
        <f>C33-C35</f>
        <v/>
      </c>
      <c r="D36" s="37">
        <f>D33-D35</f>
        <v/>
      </c>
      <c r="E36" s="37">
        <f>E33-E35</f>
        <v/>
      </c>
      <c r="F36" s="37">
        <f>F33-F35</f>
        <v/>
      </c>
      <c r="G36" s="37">
        <f>G33-G35</f>
        <v/>
      </c>
    </row>
    <row r="37">
      <c r="A37" s="7" t="inlineStr">
        <is>
          <t>Capital expenditure — maintenance + growth</t>
        </is>
      </c>
      <c r="C37" s="18">
        <f>'Income Statement'!$B$43*C20+MAX(C30-'Segments'!$E$14,0)*2100.379938*C20</f>
        <v/>
      </c>
      <c r="D37" s="18">
        <f>'Income Statement'!$B$43*D20+MAX(D30-C30,0)*2100.379938*D20</f>
        <v/>
      </c>
      <c r="E37" s="18">
        <f>'Income Statement'!$B$43*E20+MAX(E30-D30,0)*2100.379938*E20</f>
        <v/>
      </c>
      <c r="F37" s="18">
        <f>'Income Statement'!$B$43*F20+MAX(F30-E30,0)*2100.379938*F20</f>
        <v/>
      </c>
      <c r="G37" s="18">
        <f>'Income Statement'!$B$43*G20+MAX(G30-F30,0)*2100.379938*G20</f>
        <v/>
      </c>
    </row>
    <row r="38">
      <c r="A38" s="7" t="inlineStr">
        <is>
          <t>Fixed assets at cost, closing</t>
        </is>
      </c>
      <c r="C38" s="18">
        <f>(Assumptions!$B$91+Assumptions!$B$92)/10^6+C37</f>
        <v/>
      </c>
      <c r="D38" s="18">
        <f>C38+D37</f>
        <v/>
      </c>
      <c r="E38" s="18">
        <f>D38+E37</f>
        <v/>
      </c>
      <c r="F38" s="18">
        <f>E38+F37</f>
        <v/>
      </c>
      <c r="G38" s="18">
        <f>F38+G37</f>
        <v/>
      </c>
    </row>
    <row r="39">
      <c r="A39" s="7" t="inlineStr">
        <is>
          <t>Depreciation — rolls off the asset register</t>
        </is>
      </c>
      <c r="C39" s="18">
        <f>(Assumptions!$B$91+Assumptions!$B$92)/10^6/'Income Statement'!$B$42</f>
        <v/>
      </c>
      <c r="D39" s="18">
        <f>C38/'Income Statement'!$B$42</f>
        <v/>
      </c>
      <c r="E39" s="18">
        <f>D38/'Income Statement'!$B$42</f>
        <v/>
      </c>
      <c r="F39" s="18">
        <f>E38/'Income Statement'!$B$42</f>
        <v/>
      </c>
      <c r="G39" s="18">
        <f>F38/'Income Statement'!$B$42</f>
        <v/>
      </c>
    </row>
    <row r="40">
      <c r="A40" s="7" t="inlineStr">
        <is>
          <t>Fixed assets, net book, closing</t>
        </is>
      </c>
      <c r="C40" s="18">
        <f>(Assumptions!$B$90+Assumptions!$B$92)/10^6+C37-C39</f>
        <v/>
      </c>
      <c r="D40" s="18">
        <f>C40+D37-D39</f>
        <v/>
      </c>
      <c r="E40" s="18">
        <f>D40+E37-E39</f>
        <v/>
      </c>
      <c r="F40" s="18">
        <f>E40+F37-F39</f>
        <v/>
      </c>
      <c r="G40" s="18">
        <f>F40+G37-G39</f>
        <v/>
      </c>
    </row>
    <row r="41">
      <c r="A41" s="15" t="inlineStr">
        <is>
          <t>EBIT</t>
        </is>
      </c>
      <c r="C41" s="37">
        <f>C36-C39</f>
        <v/>
      </c>
      <c r="D41" s="37">
        <f>D36-D39</f>
        <v/>
      </c>
      <c r="E41" s="37">
        <f>E36-E39</f>
        <v/>
      </c>
      <c r="F41" s="37">
        <f>F36-F39</f>
        <v/>
      </c>
      <c r="G41" s="37">
        <f>G36-G39</f>
        <v/>
      </c>
    </row>
    <row r="42">
      <c r="A42" s="7" t="inlineStr">
        <is>
          <t>NOPAT before the profit share</t>
        </is>
      </c>
      <c r="C42" s="18">
        <f>C41*(1-Assumptions!$B$108)</f>
        <v/>
      </c>
      <c r="D42" s="18">
        <f>D41*(1-Assumptions!$B$108)</f>
        <v/>
      </c>
      <c r="E42" s="18">
        <f>E41*(1-Assumptions!$B$108)</f>
        <v/>
      </c>
      <c r="F42" s="18">
        <f>F41*(1-Assumptions!$B$108)</f>
        <v/>
      </c>
      <c r="G42" s="18">
        <f>G41*(1-Assumptions!$B$108)</f>
        <v/>
      </c>
    </row>
    <row r="43">
      <c r="A43" s="7" t="inlineStr">
        <is>
          <t xml:space="preserve">  less employees' profit share and board bonuses</t>
        </is>
      </c>
      <c r="C43" s="18">
        <f>MAX(C42,0)*'Income Statement'!$B$40</f>
        <v/>
      </c>
      <c r="D43" s="18">
        <f>MAX(D42,0)*'Income Statement'!$B$40</f>
        <v/>
      </c>
      <c r="E43" s="18">
        <f>MAX(E42,0)*'Income Statement'!$B$40</f>
        <v/>
      </c>
      <c r="F43" s="18">
        <f>MAX(F42,0)*'Income Statement'!$B$40</f>
        <v/>
      </c>
      <c r="G43" s="18">
        <f>MAX(G42,0)*'Income Statement'!$B$40</f>
        <v/>
      </c>
    </row>
    <row r="44">
      <c r="A44" s="15" t="inlineStr">
        <is>
          <t>NOPAT</t>
        </is>
      </c>
      <c r="C44" s="37">
        <f>C42-C43</f>
        <v/>
      </c>
      <c r="D44" s="37">
        <f>D42-D43</f>
        <v/>
      </c>
      <c r="E44" s="37">
        <f>E42-E43</f>
        <v/>
      </c>
      <c r="F44" s="37">
        <f>F42-F43</f>
        <v/>
      </c>
      <c r="G44" s="37">
        <f>G42-G43</f>
        <v/>
      </c>
    </row>
    <row r="45">
      <c r="A45" s="7" t="inlineStr">
        <is>
          <t>Net working capital — on days</t>
        </is>
      </c>
      <c r="C45" s="18">
        <f>'Income Statement'!$B$44*$B$9/365*C32+'Income Statement'!$B$45*$B$9/365*C31-'Income Statement'!$B$46*$B$9/365*C32</f>
        <v/>
      </c>
      <c r="D45" s="18">
        <f>'Income Statement'!$B$44*$B$9/365*D32+'Income Statement'!$B$45*$B$9/365*D31-'Income Statement'!$B$46*$B$9/365*D32</f>
        <v/>
      </c>
      <c r="E45" s="18">
        <f>'Income Statement'!$B$44*$B$9/365*E32+'Income Statement'!$B$45*$B$9/365*E31-'Income Statement'!$B$46*$B$9/365*E32</f>
        <v/>
      </c>
      <c r="F45" s="18">
        <f>'Income Statement'!$B$44*$B$9/365*F32+'Income Statement'!$B$45*$B$9/365*F31-'Income Statement'!$B$46*$B$9/365*F32</f>
        <v/>
      </c>
      <c r="G45" s="18">
        <f>'Income Statement'!$B$44*$B$9/365*G32+'Income Statement'!$B$45*$B$9/365*G31-'Income Statement'!$B$46*$B$9/365*G32</f>
        <v/>
      </c>
    </row>
    <row r="46">
      <c r="A46" s="7" t="inlineStr">
        <is>
          <t xml:space="preserve">  change in working capital</t>
        </is>
      </c>
      <c r="C46" s="18">
        <f>C45-('Income Statement'!$B$44/365*'Income Statement'!$B$21+'Income Statement'!$B$45/365*'Income Statement'!$B$19-'Income Statement'!$B$46/365*'Income Statement'!$B$21)</f>
        <v/>
      </c>
      <c r="D46" s="18">
        <f>D45-C45</f>
        <v/>
      </c>
      <c r="E46" s="18">
        <f>E45-D45</f>
        <v/>
      </c>
      <c r="F46" s="18">
        <f>F45-E45</f>
        <v/>
      </c>
      <c r="G46" s="18">
        <f>G45-F45</f>
        <v/>
      </c>
    </row>
    <row r="47">
      <c r="A47" s="15" t="inlineStr">
        <is>
          <t>FREE CASH FLOW TO THE FIRM</t>
        </is>
      </c>
      <c r="C47" s="37">
        <f>C44+C39-C37-C46</f>
        <v/>
      </c>
      <c r="D47" s="37">
        <f>D44+D39-D37-D46</f>
        <v/>
      </c>
      <c r="E47" s="37">
        <f>E44+E39-E37-E46</f>
        <v/>
      </c>
      <c r="F47" s="37">
        <f>F44+F39-F37-F46</f>
        <v/>
      </c>
      <c r="G47" s="37">
        <f>G44+G39-G37-G46</f>
        <v/>
      </c>
    </row>
    <row r="48">
      <c r="A48" s="7" t="inlineStr">
        <is>
          <t>Glide fraction</t>
        </is>
      </c>
      <c r="C48" s="23">
        <f>0.0000000000</f>
        <v/>
      </c>
      <c r="D48" s="23">
        <f>0.5166487648</f>
        <v/>
      </c>
      <c r="E48" s="23">
        <f>0.7314715360</f>
        <v/>
      </c>
      <c r="F48" s="23">
        <f>0.8925886144</f>
        <v/>
      </c>
      <c r="G48" s="23">
        <f>1.0000000000</f>
        <v/>
      </c>
    </row>
    <row r="49">
      <c r="A49" s="7" t="inlineStr">
        <is>
          <t>Forward cost of capital</t>
        </is>
      </c>
      <c r="C49" s="24">
        <f>$B$14-($B$14-$B$17)*C48</f>
        <v/>
      </c>
      <c r="D49" s="24">
        <f>$B$14-($B$14-$B$17)*D48</f>
        <v/>
      </c>
      <c r="E49" s="24">
        <f>$B$14-($B$14-$B$17)*E48</f>
        <v/>
      </c>
      <c r="F49" s="24">
        <f>$B$14-($B$14-$B$17)*F48</f>
        <v/>
      </c>
      <c r="G49" s="24">
        <f>$B$14-($B$14-$B$17)*G48</f>
        <v/>
      </c>
    </row>
    <row r="50">
      <c r="A50" s="7" t="inlineStr">
        <is>
          <t>Cumulative discount factor</t>
        </is>
      </c>
      <c r="C50" s="40">
        <f>1/(1+C49)</f>
        <v/>
      </c>
      <c r="D50" s="40">
        <f>C50/(1+D49)</f>
        <v/>
      </c>
      <c r="E50" s="40">
        <f>D50/(1+E49)</f>
        <v/>
      </c>
      <c r="F50" s="40">
        <f>E50/(1+F49)</f>
        <v/>
      </c>
      <c r="G50" s="40">
        <f>F50/(1+G49)</f>
        <v/>
      </c>
    </row>
    <row r="51">
      <c r="A51" s="7" t="inlineStr">
        <is>
          <t>Present value</t>
        </is>
      </c>
      <c r="C51" s="18">
        <f>C47*C50</f>
        <v/>
      </c>
      <c r="D51" s="18">
        <f>D47*D50</f>
        <v/>
      </c>
      <c r="E51" s="18">
        <f>E47*E50</f>
        <v/>
      </c>
      <c r="F51" s="18">
        <f>F47*F50</f>
        <v/>
      </c>
      <c r="G51" s="18">
        <f>G47*G50</f>
        <v/>
      </c>
    </row>
    <row r="52">
      <c r="A52" s="15" t="inlineStr">
        <is>
          <t>PV of the explicit window</t>
        </is>
      </c>
      <c r="B52" s="37">
        <f>SUM(C51:G51)</f>
        <v/>
      </c>
      <c r="C52" s="18">
        <f>C45+C38</f>
        <v/>
      </c>
      <c r="D52" s="18">
        <f>D45+D38</f>
        <v/>
      </c>
      <c r="E52" s="18">
        <f>E45+E38</f>
        <v/>
      </c>
      <c r="F52" s="18">
        <f>F45+F38</f>
        <v/>
      </c>
      <c r="G52" s="18">
        <f>G45+G38</f>
        <v/>
      </c>
    </row>
    <row r="53">
      <c r="A53" s="7" t="inlineStr">
        <is>
          <t>Terminal return on invested capital, at REPLACEMENT cost</t>
        </is>
      </c>
      <c r="B53" s="24">
        <f>G44*(1+Assumptions!$B$110)/G52</f>
        <v/>
      </c>
    </row>
    <row r="54">
      <c r="A54" s="7" t="inlineStr">
        <is>
          <t>Required reinvestment = growth / return</t>
        </is>
      </c>
      <c r="B54" s="24">
        <f>MIN(Assumptions!$B$110/B53,0.95)</f>
        <v/>
      </c>
    </row>
    <row r="55">
      <c r="A55" s="7" t="inlineStr">
        <is>
          <t>Terminal value</t>
        </is>
      </c>
      <c r="B55" s="18">
        <f>G44*(1+Assumptions!$B$110)*(1-B54)/MAX($B$17-Assumptions!$B$110,0.02)</f>
        <v/>
      </c>
    </row>
    <row r="56">
      <c r="A56" s="7" t="inlineStr">
        <is>
          <t>PV of the terminal block</t>
        </is>
      </c>
      <c r="B56" s="18">
        <f>B55*G50</f>
        <v/>
      </c>
    </row>
    <row r="57">
      <c r="A57" s="15" t="inlineStr">
        <is>
          <t>ENTERPRISE VALUE</t>
        </is>
      </c>
      <c r="B57" s="37">
        <f>B52+B56</f>
        <v/>
      </c>
    </row>
    <row r="58">
      <c r="A58" s="7" t="inlineStr">
        <is>
          <t>plus net cash</t>
        </is>
      </c>
      <c r="B58" s="18">
        <f>(Assumptions!$B$100-Assumptions!$B$103-Assumptions!$B$104)/10^6</f>
        <v/>
      </c>
    </row>
    <row r="59">
      <c r="A59" s="7" t="inlineStr">
        <is>
          <t>Enterprise value including cash</t>
        </is>
      </c>
      <c r="B59" s="18">
        <f>B57+B58</f>
        <v/>
      </c>
    </row>
    <row r="60">
      <c r="A60" s="7" t="inlineStr">
        <is>
          <t>less minority — on the WHOLE enterprise, cash included</t>
        </is>
      </c>
      <c r="B60" s="18">
        <f>B59*'Income Statement'!$B$41</f>
        <v/>
      </c>
    </row>
    <row r="61">
      <c r="A61" s="7" t="inlineStr">
        <is>
          <t>less the tax-disputes provision</t>
        </is>
      </c>
      <c r="B61" s="18">
        <f>Assumptions!$B$99/10^6</f>
        <v/>
      </c>
    </row>
    <row r="62">
      <c r="A62" s="7" t="inlineStr">
        <is>
          <t>less dividends payable — declared, out of working capital</t>
        </is>
      </c>
      <c r="B62" s="18">
        <f>Assumptions!$B$98/10^6</f>
        <v/>
      </c>
    </row>
    <row r="63">
      <c r="A63" s="7" t="inlineStr">
        <is>
          <t>plus non-operating investments and pledged deposits</t>
        </is>
      </c>
      <c r="B63" s="18">
        <f>(Assumptions!$B$102+Assumptions!$B$101)/10^6</f>
        <v/>
      </c>
    </row>
    <row r="64">
      <c r="A64" s="15" t="inlineStr">
        <is>
          <t>EQUITY ATTRIBUTABLE</t>
        </is>
      </c>
      <c r="B64" s="37">
        <f>B59-B60-B61-B62+B63</f>
        <v/>
      </c>
    </row>
    <row r="65">
      <c r="A65" s="15" t="inlineStr">
        <is>
          <t>VALUE PER SHARE, EGP</t>
        </is>
      </c>
      <c r="B65" s="22">
        <f>B64/Assumptions!$B$8</f>
        <v/>
      </c>
    </row>
  </sheetData>
  <mergeCells count="1">
    <mergeCell ref="A2:I2"/>
  </mergeCells>
  <pageMargins left="0.75" right="0.75" top="1" bottom="1" header="0.5" footer="0.5"/>
</worksheet>
</file>

<file path=xl/worksheets/sheet9.xml><?xml version="1.0" encoding="utf-8"?>
<worksheet xmlns="http://schemas.openxmlformats.org/spreadsheetml/2006/main">
  <sheetPr>
    <tabColor rgb="001C3A36"/>
    <outlinePr summaryBelow="1" summaryRight="1"/>
    <pageSetUpPr/>
  </sheetPr>
  <dimension ref="A1:I46"/>
  <sheetViews>
    <sheetView showGridLines="0" workbookViewId="0">
      <selection activeCell="A1" sqref="A1"/>
    </sheetView>
  </sheetViews>
  <sheetFormatPr baseColWidth="8" defaultRowHeight="15"/>
  <cols>
    <col width="5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Base year — twelve contiguous months to 30 June 2026</t>
        </is>
      </c>
    </row>
    <row r="2" ht="32" customHeight="1">
      <c r="A2" s="5" t="inlineStr">
        <is>
          <t>The gross profit of the reported half is NOT taken as released. It is solved from the release's own profit line, and the released figure is shown beside it with the profit it would have implied. Every cell below is a formula.</t>
        </is>
      </c>
    </row>
    <row r="3">
      <c r="A3" s="2" t="n"/>
      <c r="B3" s="2" t="n"/>
      <c r="C3" s="2" t="n"/>
      <c r="D3" s="2" t="n"/>
      <c r="E3" s="2" t="n"/>
    </row>
    <row r="5">
      <c r="A5" s="6" t="inlineStr"/>
      <c r="B5" s="6" t="inlineStr">
        <is>
          <t>EGP</t>
        </is>
      </c>
      <c r="C5" s="6" t="inlineStr">
        <is>
          <t>Check</t>
        </is>
      </c>
      <c r="D5" s="6" t="inlineStr"/>
      <c r="E5" s="6" t="inlineStr"/>
    </row>
    <row r="6">
      <c r="A6" s="15" t="inlineStr">
        <is>
          <t>Administrative + selling + other, 3M to 31-Mar-2026</t>
        </is>
      </c>
      <c r="B6" s="18">
        <f>Assumptions!$B$38+Assumptions!$B$39+Assumptions!$B$40</f>
        <v/>
      </c>
    </row>
    <row r="7">
      <c r="A7" s="7" t="inlineStr">
        <is>
          <t>Scaled to the half (x2)</t>
        </is>
      </c>
      <c r="B7" s="18">
        <f>B6*2</f>
        <v/>
      </c>
    </row>
    <row r="8">
      <c r="A8" s="7" t="inlineStr">
        <is>
          <t>Other revenue, half</t>
        </is>
      </c>
      <c r="B8" s="18">
        <f>Assumptions!$B$41*2</f>
        <v/>
      </c>
    </row>
    <row r="9">
      <c r="A9" s="7" t="inlineStr">
        <is>
          <t>Provisions and expected credit losses, half</t>
        </is>
      </c>
      <c r="B9" s="18">
        <f>(Assumptions!$B$42+Assumptions!$B$43)*2</f>
        <v/>
      </c>
    </row>
    <row r="10">
      <c r="A10" s="7" t="inlineStr">
        <is>
          <t>Finance cost, half</t>
        </is>
      </c>
      <c r="B10" s="18">
        <f>Assumptions!$B$44*2</f>
        <v/>
      </c>
    </row>
    <row r="11">
      <c r="A11" s="7" t="inlineStr">
        <is>
          <t>Effective tax rate, nine months (for the solve only)</t>
        </is>
      </c>
      <c r="B11" s="24">
        <f>(Assumptions!$B$59-Assumptions!$B$60+Assumptions!$B$61-Assumptions!$B$62)/((Assumptions!$B$59-Assumptions!$B$60+Assumptions!$B$61-Assumptions!$B$62)/0.22118761296853667)</f>
        <v/>
      </c>
    </row>
    <row r="13">
      <c r="A13" s="15" t="inlineStr">
        <is>
          <t>GROSS PROFIT, 6M to 30-Jun-2026 — AS FILED</t>
        </is>
      </c>
      <c r="B13" s="37">
        <f>Assumptions!$B$14</f>
        <v/>
      </c>
    </row>
    <row r="14">
      <c r="A14" s="7" t="inlineStr">
        <is>
          <t>Gross profit as the press release stated it</t>
        </is>
      </c>
      <c r="B14" s="18">
        <f>Assumptions!$B$35</f>
        <v/>
      </c>
    </row>
    <row r="15">
      <c r="A15" s="7" t="inlineStr">
        <is>
          <t>Profit after tax, 6M to 30-Jun-2026 — AS FILED</t>
        </is>
      </c>
      <c r="B15" s="18">
        <f>Assumptions!$B$22</f>
        <v/>
      </c>
    </row>
    <row r="16">
      <c r="A16" s="7" t="inlineStr">
        <is>
          <t>against the profit the press release reported</t>
        </is>
      </c>
      <c r="B16" s="18">
        <f>Assumptions!$B$34</f>
        <v/>
      </c>
    </row>
    <row r="17">
      <c r="A17" s="15" t="inlineStr">
        <is>
          <t>Release against filing, gross profit</t>
        </is>
      </c>
      <c r="B17" s="39">
        <f>B13/B14-1</f>
        <v/>
      </c>
    </row>
    <row r="19">
      <c r="A19" s="15" t="inlineStr">
        <is>
          <t>BASE-YEAR REVENUE — twelve months to 30-Jun-2026</t>
        </is>
      </c>
      <c r="B19" s="37">
        <f>(Assumptions!$B$10+Assumptions!$B$12)/10^6</f>
        <v/>
      </c>
    </row>
    <row r="20">
      <c r="A20" s="15" t="inlineStr">
        <is>
          <t>BASE-YEAR GROSS PROFIT</t>
        </is>
      </c>
      <c r="B20" s="37">
        <f>(Assumptions!$B$10-Assumptions!$B$11+B13)/10^6</f>
        <v/>
      </c>
    </row>
    <row r="21">
      <c r="A21" s="15" t="inlineStr">
        <is>
          <t>BASE-YEAR COST OF SALES</t>
        </is>
      </c>
      <c r="B21" s="37">
        <f>B19-B20</f>
        <v/>
      </c>
    </row>
    <row r="22">
      <c r="A22" s="15" t="inlineStr">
        <is>
          <t>BASE-YEAR GROSS MARGIN</t>
        </is>
      </c>
      <c r="B22" s="39">
        <f>B20/B19</f>
        <v/>
      </c>
    </row>
    <row r="24">
      <c r="A24" s="7" t="inlineStr">
        <is>
          <t>Alternative base: nine audited months x 4/3</t>
        </is>
      </c>
      <c r="B24" s="18">
        <f>(Assumptions!$B$10+Assumptions!$B$36)/10^6*4/3</f>
        <v/>
      </c>
    </row>
    <row r="25">
      <c r="A25" s="7" t="inlineStr">
        <is>
          <t>its gross margin</t>
        </is>
      </c>
      <c r="B25" s="24">
        <f>(Assumptions!$B$10+Assumptions!$B$36-Assumptions!$B$11-Assumptions!$B$37)/(Assumptions!$B$10+Assumptions!$B$36)</f>
        <v/>
      </c>
    </row>
    <row r="27">
      <c r="A27" s="11" t="inlineStr">
        <is>
          <t>Operating lines, SAME twelve months</t>
        </is>
      </c>
      <c r="B27" s="13" t="n"/>
      <c r="C27" s="13" t="n"/>
      <c r="D27" s="13" t="n"/>
      <c r="E27" s="13" t="n"/>
    </row>
    <row r="28">
      <c r="A28" s="7" t="inlineStr">
        <is>
          <t>Administrative expense</t>
        </is>
      </c>
      <c r="B28" s="18">
        <f>(Assumptions!$B$45+Assumptions!$B$15)/10^6</f>
        <v/>
      </c>
    </row>
    <row r="29">
      <c r="A29" s="7" t="inlineStr">
        <is>
          <t>Selling expense</t>
        </is>
      </c>
      <c r="B29" s="18">
        <f>(Assumptions!$B$46+Assumptions!$B$16)/10^6</f>
        <v/>
      </c>
    </row>
    <row r="30">
      <c r="A30" s="7" t="inlineStr">
        <is>
          <t>Other operating expense</t>
        </is>
      </c>
      <c r="B30" s="18">
        <f>(Assumptions!$B$47+Assumptions!$B$17)/10^6</f>
        <v/>
      </c>
    </row>
    <row r="31">
      <c r="A31" s="7" t="inlineStr">
        <is>
          <t>Provisions and credit losses</t>
        </is>
      </c>
      <c r="B31" s="18">
        <f>(Assumptions!$B$48+Assumptions!$B$18+Assumptions!$B$19)/10^6</f>
        <v/>
      </c>
    </row>
    <row r="32">
      <c r="A32" s="7" t="inlineStr">
        <is>
          <t>Depreciation</t>
        </is>
      </c>
      <c r="B32" s="18">
        <f>(Assumptions!$B$30)/10^6</f>
        <v/>
      </c>
    </row>
    <row r="33">
      <c r="A33" s="7" t="inlineStr">
        <is>
          <t>Cash capital expenditure</t>
        </is>
      </c>
      <c r="B33" s="18">
        <f>(Assumptions!$B$31)/10^6</f>
        <v/>
      </c>
    </row>
    <row r="34">
      <c r="A34" s="7" t="inlineStr">
        <is>
          <t>Credit interest</t>
        </is>
      </c>
      <c r="B34" s="18">
        <f>(Assumptions!$B$53+Assumptions!$B$32)/10^6</f>
        <v/>
      </c>
    </row>
    <row r="35">
      <c r="A35" s="7" t="inlineStr">
        <is>
          <t>Employees' profit share</t>
        </is>
      </c>
      <c r="B35" s="18">
        <f>(Assumptions!$B$55*2)/10^6</f>
        <v/>
      </c>
    </row>
    <row r="37" ht="44" customHeight="1">
      <c r="A37" s="19" t="inlineStr">
        <is>
          <t>Every operating line is struck on the SAME twelve months as revenue and gross profit. The previous edition built revenue from the six-month product table doubled while taking cost of sales from the nine months scaled by four thirds, so its base-year gross margin of 7.081% corresponded to no filed period at all. One period, both sides, or the margin is an artefact of the scalars.</t>
        </is>
      </c>
    </row>
    <row r="39">
      <c r="A39" s="11" t="inlineStr">
        <is>
          <t>RATES — solved, not assumed</t>
        </is>
      </c>
      <c r="B39" s="13" t="n"/>
      <c r="C39" s="13" t="n"/>
      <c r="D39" s="13" t="n"/>
      <c r="E39" s="13" t="n"/>
    </row>
    <row r="40">
      <c r="A40" s="7" t="inlineStr">
        <is>
          <t>Employees' profit share, % of profit after tax</t>
        </is>
      </c>
      <c r="B40" s="24">
        <f>B35/((Assumptions!$B$56+Assumptions!$B$22)/10^6)</f>
        <v/>
      </c>
    </row>
    <row r="41">
      <c r="A41" s="7" t="inlineStr">
        <is>
          <t>Minority interest, % of OPERATING profit, whole base year</t>
        </is>
      </c>
      <c r="B41" s="24">
        <f>((Assumptions!$B$57+Assumptions!$B$23)/10^6)/((Assumptions!$B$56+Assumptions!$B$22)/10^6-B34*(1-0.22118761296853667))</f>
        <v/>
      </c>
    </row>
    <row r="42">
      <c r="A42" s="7" t="inlineStr">
        <is>
          <t>Implied asset life, years = fixed assets at cost / depreciation</t>
        </is>
      </c>
      <c r="B42" s="17">
        <f>Assumptions!$B$91/10^6/B32</f>
        <v/>
      </c>
    </row>
    <row r="43">
      <c r="A43" s="7" t="inlineStr">
        <is>
          <t>Maintenance capital expenditure at cost over that life</t>
        </is>
      </c>
      <c r="B43" s="18">
        <f>Assumptions!$B$91/10^6/B42</f>
        <v/>
      </c>
    </row>
    <row r="44">
      <c r="A44" s="7" t="inlineStr">
        <is>
          <t>Inventory days of cost of sales</t>
        </is>
      </c>
      <c r="B44" s="17">
        <f>Assumptions!$B$93/10^6/B21*365</f>
        <v/>
      </c>
    </row>
    <row r="45">
      <c r="A45" s="7" t="inlineStr">
        <is>
          <t>Receivable days of revenue</t>
        </is>
      </c>
      <c r="B45" s="17">
        <f>(Assumptions!$B$94+Assumptions!$B$95)/10^6/B19*365</f>
        <v/>
      </c>
    </row>
    <row r="46">
      <c r="A46" s="7" t="inlineStr">
        <is>
          <t>Operating payable days of cost of sales — dividends payable REMOVED</t>
        </is>
      </c>
      <c r="B46" s="17">
        <f>(Assumptions!$B$96+Assumptions!$B$97-Assumptions!$B$98)/10^6/B21*365</f>
        <v/>
      </c>
    </row>
  </sheetData>
  <mergeCells count="2">
    <mergeCell ref="A2:E2"/>
    <mergeCell ref="A37:I37"/>
  </mergeCells>
  <pageMargins left="0.75" right="0.75" top="1" bottom="1" header="0.5" footer="0.5"/>
</worksheet>
</file>

<file path=xl/worksheets/sheet10.xml><?xml version="1.0" encoding="utf-8"?>
<worksheet xmlns="http://schemas.openxmlformats.org/spreadsheetml/2006/main">
  <sheetPr>
    <tabColor rgb="001C3A36"/>
    <outlinePr summaryBelow="1" summaryRight="1"/>
    <pageSetUpPr/>
  </sheetPr>
  <dimension ref="A1:I25"/>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Balance sheet — as filed, and the lines the forecast projects</t>
        </is>
      </c>
    </row>
    <row r="2" ht="32" customHeight="1">
      <c r="A2" s="5" t="inlineStr">
        <is>
          <t>The filed column is the blue class: figures read off the statement. Everything to the right is projected from the working-capital days and the asset register on the Income Statement sheet, through the same engine the cash flow runs on.</t>
        </is>
      </c>
    </row>
    <row r="3">
      <c r="A3" s="2" t="n"/>
      <c r="B3" s="2" t="n"/>
      <c r="C3" s="2" t="n"/>
      <c r="D3" s="2" t="n"/>
      <c r="E3" s="2" t="n"/>
      <c r="F3" s="2" t="n"/>
      <c r="G3" s="2" t="n"/>
    </row>
    <row r="5">
      <c r="A5" s="6" t="inlineStr">
        <is>
          <t>EGP mn</t>
        </is>
      </c>
      <c r="B5" s="6" t="inlineStr">
        <is>
          <t>As filed</t>
        </is>
      </c>
      <c r="C5" s="6" t="inlineStr">
        <is>
          <t>2026E</t>
        </is>
      </c>
      <c r="D5" s="6" t="inlineStr">
        <is>
          <t>2027E</t>
        </is>
      </c>
      <c r="E5" s="6" t="inlineStr">
        <is>
          <t>2028E</t>
        </is>
      </c>
      <c r="F5" s="6" t="inlineStr">
        <is>
          <t>2029E</t>
        </is>
      </c>
      <c r="G5" s="6" t="inlineStr">
        <is>
          <t>2030E</t>
        </is>
      </c>
    </row>
    <row r="6">
      <c r="A6" s="7" t="inlineStr">
        <is>
          <t>Fixed assets at cost</t>
        </is>
      </c>
      <c r="B6" s="18">
        <f>(Assumptions!$B$91+Assumptions!$B$92)/10^6</f>
        <v/>
      </c>
      <c r="C6" s="18">
        <f>DCF!C38</f>
        <v/>
      </c>
      <c r="D6" s="18">
        <f>DCF!D38</f>
        <v/>
      </c>
      <c r="E6" s="18">
        <f>DCF!E38</f>
        <v/>
      </c>
      <c r="F6" s="18">
        <f>DCF!F38</f>
        <v/>
      </c>
      <c r="G6" s="18">
        <f>DCF!G38</f>
        <v/>
      </c>
    </row>
    <row r="7">
      <c r="A7" s="7" t="inlineStr">
        <is>
          <t>Accumulated depreciation</t>
        </is>
      </c>
      <c r="B7" s="18">
        <f>-(Assumptions!$B$91-Assumptions!$B$90)/10^6</f>
        <v/>
      </c>
    </row>
    <row r="8">
      <c r="A8" s="7" t="inlineStr">
        <is>
          <t>Fixed assets, net book</t>
        </is>
      </c>
      <c r="B8" s="18">
        <f>(Assumptions!$B$90+Assumptions!$B$92)/10^6</f>
        <v/>
      </c>
      <c r="C8" s="18">
        <f>DCF!C40</f>
        <v/>
      </c>
      <c r="D8" s="18">
        <f>DCF!D40</f>
        <v/>
      </c>
      <c r="E8" s="18">
        <f>DCF!E40</f>
        <v/>
      </c>
      <c r="F8" s="18">
        <f>DCF!F40</f>
        <v/>
      </c>
      <c r="G8" s="18">
        <f>DCF!G40</f>
        <v/>
      </c>
    </row>
    <row r="9">
      <c r="A9" s="7" t="inlineStr">
        <is>
          <t>Inventory</t>
        </is>
      </c>
      <c r="B9" s="18">
        <f>Assumptions!$B$93/10^6</f>
        <v/>
      </c>
    </row>
    <row r="10">
      <c r="A10" s="7" t="inlineStr">
        <is>
          <t>Trade and other receivables</t>
        </is>
      </c>
      <c r="B10" s="18">
        <f>(Assumptions!$B$94+Assumptions!$B$95)/10^6</f>
        <v/>
      </c>
    </row>
    <row r="11">
      <c r="A11" s="7" t="inlineStr">
        <is>
          <t>Cash and bank</t>
        </is>
      </c>
      <c r="B11" s="18">
        <f>Assumptions!$B$100/10^6</f>
        <v/>
      </c>
    </row>
    <row r="12">
      <c r="A12" s="7" t="inlineStr">
        <is>
          <t>Financial investments and pledged deposits</t>
        </is>
      </c>
      <c r="B12" s="18">
        <f>(Assumptions!$B$102+Assumptions!$B$101)/10^6</f>
        <v/>
      </c>
    </row>
    <row r="13">
      <c r="A13" s="7" t="inlineStr">
        <is>
          <t>Trade and other payables</t>
        </is>
      </c>
      <c r="B13" s="18">
        <f>-(Assumptions!$B$96+Assumptions!$B$97)/10^6</f>
        <v/>
      </c>
    </row>
    <row r="14">
      <c r="A14" s="7" t="inlineStr">
        <is>
          <t>Dividends declared and payable</t>
        </is>
      </c>
      <c r="B14" s="18">
        <f>-Assumptions!$B$98/10^6</f>
        <v/>
      </c>
    </row>
    <row r="15">
      <c r="A15" s="7" t="inlineStr">
        <is>
          <t>Borrowings</t>
        </is>
      </c>
      <c r="B15" s="18">
        <f>-(Assumptions!$B$103+Assumptions!$B$104)/10^6</f>
        <v/>
      </c>
    </row>
    <row r="16">
      <c r="A16" s="7" t="inlineStr">
        <is>
          <t>Provisions</t>
        </is>
      </c>
      <c r="B16" s="18">
        <f>-Assumptions!$B$99/10^6</f>
        <v/>
      </c>
    </row>
    <row r="17">
      <c r="A17" s="11" t="inlineStr">
        <is>
          <t>Equity attributable to the parent, as filed</t>
        </is>
      </c>
      <c r="B17" s="41">
        <f>Assumptions!$B$105/10^6</f>
        <v/>
      </c>
      <c r="C17" s="13" t="n"/>
      <c r="D17" s="13" t="n"/>
      <c r="E17" s="13" t="n"/>
      <c r="F17" s="13" t="n"/>
      <c r="G17" s="13" t="n"/>
    </row>
    <row r="18">
      <c r="A18" s="7" t="inlineStr">
        <is>
          <t>Minority interest, as filed</t>
        </is>
      </c>
      <c r="B18" s="18">
        <f>Assumptions!$B$106/10^6</f>
        <v/>
      </c>
    </row>
    <row r="20">
      <c r="A20" s="11" t="inlineStr">
        <is>
          <t>PROJECTED WORKING CAPITAL AND INVESTED CAPITAL</t>
        </is>
      </c>
      <c r="B20" s="13" t="n"/>
      <c r="C20" s="13" t="n"/>
      <c r="D20" s="13" t="n"/>
      <c r="E20" s="13" t="n"/>
      <c r="F20" s="13" t="n"/>
      <c r="G20" s="13" t="n"/>
    </row>
    <row r="21">
      <c r="A21" s="7" t="inlineStr">
        <is>
          <t>Net working capital — on the filed days</t>
        </is>
      </c>
      <c r="C21" s="18">
        <f>DCF!C45</f>
        <v/>
      </c>
      <c r="D21" s="18">
        <f>DCF!D45</f>
        <v/>
      </c>
      <c r="E21" s="18">
        <f>DCF!E45</f>
        <v/>
      </c>
      <c r="F21" s="18">
        <f>DCF!F45</f>
        <v/>
      </c>
      <c r="G21" s="18">
        <f>DCF!G45</f>
        <v/>
      </c>
    </row>
    <row r="22">
      <c r="A22" s="7" t="inlineStr">
        <is>
          <t xml:space="preserve">    change in the year</t>
        </is>
      </c>
      <c r="C22" s="18">
        <f>DCF!C46</f>
        <v/>
      </c>
      <c r="D22" s="18">
        <f>DCF!D46</f>
        <v/>
      </c>
      <c r="E22" s="18">
        <f>DCF!E46</f>
        <v/>
      </c>
      <c r="F22" s="18">
        <f>DCF!F46</f>
        <v/>
      </c>
      <c r="G22" s="18">
        <f>DCF!G46</f>
        <v/>
      </c>
    </row>
    <row r="23">
      <c r="A23" s="15" t="inlineStr">
        <is>
          <t>Invested capital at replacement cost</t>
        </is>
      </c>
      <c r="C23" s="37">
        <f>DCF!C52</f>
        <v/>
      </c>
      <c r="D23" s="37">
        <f>DCF!D52</f>
        <v/>
      </c>
      <c r="E23" s="37">
        <f>DCF!E52</f>
        <v/>
      </c>
      <c r="F23" s="37">
        <f>DCF!F52</f>
        <v/>
      </c>
      <c r="G23" s="37">
        <f>DCF!G52</f>
        <v/>
      </c>
    </row>
    <row r="25" ht="33" customHeight="1">
      <c r="A25" s="19" t="inlineStr">
        <is>
          <t>Working capital is projected on inventory, receivable and payable DAYS solved off the filed balance sheet, with dividends declared removed from payables first — leaving them in would have the company financing itself out of a distribution it has already committed to pay.</t>
        </is>
      </c>
    </row>
  </sheetData>
  <mergeCells count="2">
    <mergeCell ref="A25:I25"/>
    <mergeCell ref="A2:G2"/>
  </mergeCells>
  <pageMargins left="0.75" right="0.75" top="1" bottom="1" header="0.5" footer="0.5"/>
</worksheet>
</file>

<file path=xl/worksheets/sheet11.xml><?xml version="1.0" encoding="utf-8"?>
<worksheet xmlns="http://schemas.openxmlformats.org/spreadsheetml/2006/main">
  <sheetPr>
    <tabColor rgb="001C3A36"/>
    <outlinePr summaryBelow="1" summaryRight="1"/>
    <pageSetUpPr/>
  </sheetPr>
  <dimension ref="A1:I27"/>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Free cash flow to the firm — the full waterfall, year by year</t>
        </is>
      </c>
    </row>
    <row r="2" ht="32" customHeight="1">
      <c r="A2" s="5" t="inlineStr">
        <is>
          <t>This is the flow the discounted cash flow discounts, taken line by line from the engine on the DCF sheet. It stops at present value, not at free cash flow.</t>
        </is>
      </c>
    </row>
    <row r="3">
      <c r="A3" s="2" t="n"/>
      <c r="B3" s="2" t="n"/>
      <c r="C3" s="2" t="n"/>
      <c r="D3" s="2" t="n"/>
      <c r="E3" s="2" t="n"/>
      <c r="F3" s="2" t="n"/>
      <c r="G3" s="2" t="n"/>
    </row>
    <row r="5">
      <c r="A5" s="6" t="inlineStr">
        <is>
          <t>EGP mn</t>
        </is>
      </c>
      <c r="B5" s="6" t="inlineStr">
        <is>
          <t>2026E</t>
        </is>
      </c>
      <c r="C5" s="6" t="inlineStr">
        <is>
          <t>2027E</t>
        </is>
      </c>
      <c r="D5" s="6" t="inlineStr">
        <is>
          <t>2028E</t>
        </is>
      </c>
      <c r="E5" s="6" t="inlineStr">
        <is>
          <t>2029E</t>
        </is>
      </c>
      <c r="F5" s="6" t="inlineStr">
        <is>
          <t>2030E</t>
        </is>
      </c>
    </row>
    <row r="6">
      <c r="A6" s="7" t="inlineStr">
        <is>
          <t>Revenue</t>
        </is>
      </c>
      <c r="C6" s="18">
        <f>DCF!C31</f>
        <v/>
      </c>
      <c r="D6" s="18">
        <f>DCF!D31</f>
        <v/>
      </c>
      <c r="E6" s="18">
        <f>DCF!E31</f>
        <v/>
      </c>
      <c r="F6" s="18">
        <f>DCF!F31</f>
        <v/>
      </c>
      <c r="G6" s="18">
        <f>DCF!G31</f>
        <v/>
      </c>
    </row>
    <row r="7">
      <c r="A7" s="7" t="inlineStr">
        <is>
          <t>Cost of sales</t>
        </is>
      </c>
      <c r="C7" s="18">
        <f>DCF!C32</f>
        <v/>
      </c>
      <c r="D7" s="18">
        <f>DCF!D32</f>
        <v/>
      </c>
      <c r="E7" s="18">
        <f>DCF!E32</f>
        <v/>
      </c>
      <c r="F7" s="18">
        <f>DCF!F32</f>
        <v/>
      </c>
      <c r="G7" s="18">
        <f>DCF!G32</f>
        <v/>
      </c>
    </row>
    <row r="8">
      <c r="A8" s="15" t="inlineStr">
        <is>
          <t>GROSS PROFIT</t>
        </is>
      </c>
      <c r="C8" s="37">
        <f>DCF!C33</f>
        <v/>
      </c>
      <c r="D8" s="37">
        <f>DCF!D33</f>
        <v/>
      </c>
      <c r="E8" s="37">
        <f>DCF!E33</f>
        <v/>
      </c>
      <c r="F8" s="37">
        <f>DCF!F33</f>
        <v/>
      </c>
      <c r="G8" s="37">
        <f>DCF!G33</f>
        <v/>
      </c>
    </row>
    <row r="9">
      <c r="A9" s="7" t="inlineStr">
        <is>
          <t>Operating expense</t>
        </is>
      </c>
      <c r="C9" s="18">
        <f>DCF!C35</f>
        <v/>
      </c>
      <c r="D9" s="18">
        <f>DCF!D35</f>
        <v/>
      </c>
      <c r="E9" s="18">
        <f>DCF!E35</f>
        <v/>
      </c>
      <c r="F9" s="18">
        <f>DCF!F35</f>
        <v/>
      </c>
      <c r="G9" s="18">
        <f>DCF!G35</f>
        <v/>
      </c>
    </row>
    <row r="10">
      <c r="A10" s="15" t="inlineStr">
        <is>
          <t>EBITDA</t>
        </is>
      </c>
      <c r="C10" s="37">
        <f>DCF!C36</f>
        <v/>
      </c>
      <c r="D10" s="37">
        <f>DCF!D36</f>
        <v/>
      </c>
      <c r="E10" s="37">
        <f>DCF!E36</f>
        <v/>
      </c>
      <c r="F10" s="37">
        <f>DCF!F36</f>
        <v/>
      </c>
      <c r="G10" s="37">
        <f>DCF!G36</f>
        <v/>
      </c>
    </row>
    <row r="11">
      <c r="A11" s="7" t="inlineStr">
        <is>
          <t>Depreciation</t>
        </is>
      </c>
      <c r="C11" s="18">
        <f>DCF!C39</f>
        <v/>
      </c>
      <c r="D11" s="18">
        <f>DCF!D39</f>
        <v/>
      </c>
      <c r="E11" s="18">
        <f>DCF!E39</f>
        <v/>
      </c>
      <c r="F11" s="18">
        <f>DCF!F39</f>
        <v/>
      </c>
      <c r="G11" s="18">
        <f>DCF!G39</f>
        <v/>
      </c>
    </row>
    <row r="12">
      <c r="A12" s="15" t="inlineStr">
        <is>
          <t>EBIT</t>
        </is>
      </c>
      <c r="C12" s="37">
        <f>DCF!C41</f>
        <v/>
      </c>
      <c r="D12" s="37">
        <f>DCF!D41</f>
        <v/>
      </c>
      <c r="E12" s="37">
        <f>DCF!E41</f>
        <v/>
      </c>
      <c r="F12" s="37">
        <f>DCF!F41</f>
        <v/>
      </c>
      <c r="G12" s="37">
        <f>DCF!G41</f>
        <v/>
      </c>
    </row>
    <row r="13">
      <c r="A13" s="7" t="inlineStr">
        <is>
          <t>NOPAT before the profit share</t>
        </is>
      </c>
      <c r="C13" s="18">
        <f>DCF!C42</f>
        <v/>
      </c>
      <c r="D13" s="18">
        <f>DCF!D42</f>
        <v/>
      </c>
      <c r="E13" s="18">
        <f>DCF!E42</f>
        <v/>
      </c>
      <c r="F13" s="18">
        <f>DCF!F42</f>
        <v/>
      </c>
      <c r="G13" s="18">
        <f>DCF!G42</f>
        <v/>
      </c>
    </row>
    <row r="14">
      <c r="A14" s="7" t="inlineStr">
        <is>
          <t>Employees' profit share and board bonuses</t>
        </is>
      </c>
      <c r="C14" s="18">
        <f>DCF!C43</f>
        <v/>
      </c>
      <c r="D14" s="18">
        <f>DCF!D43</f>
        <v/>
      </c>
      <c r="E14" s="18">
        <f>DCF!E43</f>
        <v/>
      </c>
      <c r="F14" s="18">
        <f>DCF!F43</f>
        <v/>
      </c>
      <c r="G14" s="18">
        <f>DCF!G43</f>
        <v/>
      </c>
    </row>
    <row r="15">
      <c r="A15" s="15" t="inlineStr">
        <is>
          <t>NOPAT</t>
        </is>
      </c>
      <c r="C15" s="37">
        <f>DCF!C44</f>
        <v/>
      </c>
      <c r="D15" s="37">
        <f>DCF!D44</f>
        <v/>
      </c>
      <c r="E15" s="37">
        <f>DCF!E44</f>
        <v/>
      </c>
      <c r="F15" s="37">
        <f>DCF!F44</f>
        <v/>
      </c>
      <c r="G15" s="37">
        <f>DCF!G44</f>
        <v/>
      </c>
    </row>
    <row r="16">
      <c r="A16" s="7" t="inlineStr">
        <is>
          <t>add back depreciation</t>
        </is>
      </c>
      <c r="C16" s="18">
        <f>DCF!C39</f>
        <v/>
      </c>
      <c r="D16" s="18">
        <f>DCF!D39</f>
        <v/>
      </c>
      <c r="E16" s="18">
        <f>DCF!E39</f>
        <v/>
      </c>
      <c r="F16" s="18">
        <f>DCF!F39</f>
        <v/>
      </c>
      <c r="G16" s="18">
        <f>DCF!G39</f>
        <v/>
      </c>
    </row>
    <row r="17">
      <c r="A17" s="7" t="inlineStr">
        <is>
          <t>less capital expenditure</t>
        </is>
      </c>
      <c r="C17" s="18">
        <f>DCF!C37</f>
        <v/>
      </c>
      <c r="D17" s="18">
        <f>DCF!D37</f>
        <v/>
      </c>
      <c r="E17" s="18">
        <f>DCF!E37</f>
        <v/>
      </c>
      <c r="F17" s="18">
        <f>DCF!F37</f>
        <v/>
      </c>
      <c r="G17" s="18">
        <f>DCF!G37</f>
        <v/>
      </c>
    </row>
    <row r="18">
      <c r="A18" s="7" t="inlineStr">
        <is>
          <t>less the change in working capital</t>
        </is>
      </c>
      <c r="C18" s="18">
        <f>DCF!C46</f>
        <v/>
      </c>
      <c r="D18" s="18">
        <f>DCF!D46</f>
        <v/>
      </c>
      <c r="E18" s="18">
        <f>DCF!E46</f>
        <v/>
      </c>
      <c r="F18" s="18">
        <f>DCF!F46</f>
        <v/>
      </c>
      <c r="G18" s="18">
        <f>DCF!G46</f>
        <v/>
      </c>
    </row>
    <row r="19">
      <c r="A19" s="15" t="inlineStr">
        <is>
          <t>FREE CASH FLOW TO THE FIRM</t>
        </is>
      </c>
      <c r="C19" s="37">
        <f>DCF!C47</f>
        <v/>
      </c>
      <c r="D19" s="37">
        <f>DCF!D47</f>
        <v/>
      </c>
      <c r="E19" s="37">
        <f>DCF!E47</f>
        <v/>
      </c>
      <c r="F19" s="37">
        <f>DCF!F47</f>
        <v/>
      </c>
      <c r="G19" s="37">
        <f>DCF!G47</f>
        <v/>
      </c>
    </row>
    <row r="20">
      <c r="A20" s="7" t="inlineStr">
        <is>
          <t>Forward cost of capital</t>
        </is>
      </c>
      <c r="C20" s="24">
        <f>DCF!C49</f>
        <v/>
      </c>
      <c r="D20" s="24">
        <f>DCF!D49</f>
        <v/>
      </c>
      <c r="E20" s="24">
        <f>DCF!E49</f>
        <v/>
      </c>
      <c r="F20" s="24">
        <f>DCF!F49</f>
        <v/>
      </c>
      <c r="G20" s="24">
        <f>DCF!G49</f>
        <v/>
      </c>
    </row>
    <row r="21">
      <c r="A21" s="7" t="inlineStr">
        <is>
          <t>Cumulative discount factor</t>
        </is>
      </c>
      <c r="C21" s="40">
        <f>DCF!C50</f>
        <v/>
      </c>
      <c r="D21" s="40">
        <f>DCF!D50</f>
        <v/>
      </c>
      <c r="E21" s="40">
        <f>DCF!E50</f>
        <v/>
      </c>
      <c r="F21" s="40">
        <f>DCF!F50</f>
        <v/>
      </c>
      <c r="G21" s="40">
        <f>DCF!G50</f>
        <v/>
      </c>
    </row>
    <row r="22">
      <c r="A22" s="15" t="inlineStr">
        <is>
          <t>PRESENT VALUE</t>
        </is>
      </c>
      <c r="C22" s="37">
        <f>DCF!C51</f>
        <v/>
      </c>
      <c r="D22" s="37">
        <f>DCF!D51</f>
        <v/>
      </c>
      <c r="E22" s="37">
        <f>DCF!E51</f>
        <v/>
      </c>
      <c r="F22" s="37">
        <f>DCF!F51</f>
        <v/>
      </c>
      <c r="G22" s="37">
        <f>DCF!G51</f>
        <v/>
      </c>
    </row>
    <row r="24">
      <c r="A24" s="11" t="inlineStr">
        <is>
          <t>PV of the explicit window</t>
        </is>
      </c>
      <c r="B24" s="41">
        <f>DCF!B52</f>
        <v/>
      </c>
      <c r="C24" s="13" t="n"/>
      <c r="D24" s="13" t="n"/>
      <c r="E24" s="13" t="n"/>
      <c r="F24" s="13" t="n"/>
      <c r="G24" s="13" t="n"/>
    </row>
    <row r="25">
      <c r="A25" s="15" t="inlineStr">
        <is>
          <t>PV of the terminal block</t>
        </is>
      </c>
      <c r="B25" s="37">
        <f>DCF!B56</f>
        <v/>
      </c>
    </row>
    <row r="27" ht="33" customHeight="1">
      <c r="A27" s="19" t="inlineStr">
        <is>
          <t>Two lines are shown as they are computed rather than as a conventional waterfall would order them: tax is struck on EBIT at the statutory rate before the profit share, and the employees' share is then taken off the taxed figure, which is the order the company's own statements follow.</t>
        </is>
      </c>
    </row>
  </sheetData>
  <mergeCells count="2">
    <mergeCell ref="A27:I27"/>
    <mergeCell ref="A2:G2"/>
  </mergeCells>
  <pageMargins left="0.75" right="0.75" top="1" bottom="1" header="0.5" footer="0.5"/>
</worksheet>
</file>

<file path=xl/worksheets/sheet12.xml><?xml version="1.0" encoding="utf-8"?>
<worksheet xmlns="http://schemas.openxmlformats.org/spreadsheetml/2006/main">
  <sheetPr>
    <tabColor rgb="001C3A36"/>
    <outlinePr summaryBelow="1" summaryRight="1"/>
    <pageSetUpPr/>
  </sheetPr>
  <dimension ref="A1:G19"/>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Summary financials — the base year and the five forecast years</t>
        </is>
      </c>
    </row>
    <row r="2" ht="32" customHeight="1">
      <c r="A2" s="5" t="inlineStr">
        <is>
          <t>The base column is the twelve months to 30 June 2026 built on the Income Statement sheet; the five forecast columns are the engine. Margins are outputs of the volume, price and cost-per-unit build, never inputs.</t>
        </is>
      </c>
    </row>
    <row r="3">
      <c r="A3" s="2" t="n"/>
      <c r="B3" s="2" t="n"/>
      <c r="C3" s="2" t="n"/>
      <c r="D3" s="2" t="n"/>
      <c r="E3" s="2" t="n"/>
      <c r="F3" s="2" t="n"/>
      <c r="G3" s="2" t="n"/>
    </row>
    <row r="5">
      <c r="A5" s="6" t="inlineStr">
        <is>
          <t>EGP mn</t>
        </is>
      </c>
      <c r="B5" s="6" t="inlineStr">
        <is>
          <t>Base year</t>
        </is>
      </c>
      <c r="C5" s="6" t="inlineStr">
        <is>
          <t>2026E</t>
        </is>
      </c>
      <c r="D5" s="6" t="inlineStr">
        <is>
          <t>2027E</t>
        </is>
      </c>
      <c r="E5" s="6" t="inlineStr">
        <is>
          <t>2028E</t>
        </is>
      </c>
      <c r="F5" s="6" t="inlineStr">
        <is>
          <t>2029E</t>
        </is>
      </c>
      <c r="G5" s="6" t="inlineStr">
        <is>
          <t>2030E</t>
        </is>
      </c>
    </row>
    <row r="6">
      <c r="A6" s="15" t="inlineStr">
        <is>
          <t>Revenue</t>
        </is>
      </c>
      <c r="B6" s="18">
        <f>'Income Statement'!B19</f>
        <v/>
      </c>
      <c r="C6" s="37">
        <f>DCF!C31</f>
        <v/>
      </c>
      <c r="D6" s="37">
        <f>DCF!D31</f>
        <v/>
      </c>
      <c r="E6" s="37">
        <f>DCF!E31</f>
        <v/>
      </c>
      <c r="F6" s="37">
        <f>DCF!F31</f>
        <v/>
      </c>
      <c r="G6" s="37">
        <f>DCF!G31</f>
        <v/>
      </c>
    </row>
    <row r="7">
      <c r="A7" s="7" t="inlineStr">
        <is>
          <t>Gross profit</t>
        </is>
      </c>
      <c r="B7" s="18">
        <f>'Income Statement'!B20</f>
        <v/>
      </c>
      <c r="C7" s="18">
        <f>DCF!C33</f>
        <v/>
      </c>
      <c r="D7" s="18">
        <f>DCF!D33</f>
        <v/>
      </c>
      <c r="E7" s="18">
        <f>DCF!E33</f>
        <v/>
      </c>
      <c r="F7" s="18">
        <f>DCF!F33</f>
        <v/>
      </c>
      <c r="G7" s="18">
        <f>DCF!G33</f>
        <v/>
      </c>
    </row>
    <row r="8">
      <c r="A8" s="7" t="inlineStr">
        <is>
          <t>Gross margin</t>
        </is>
      </c>
      <c r="B8" s="24">
        <f>'Income Statement'!B22</f>
        <v/>
      </c>
      <c r="C8" s="24">
        <f>DCF!C34</f>
        <v/>
      </c>
      <c r="D8" s="24">
        <f>DCF!D34</f>
        <v/>
      </c>
      <c r="E8" s="24">
        <f>DCF!E34</f>
        <v/>
      </c>
      <c r="F8" s="24">
        <f>DCF!F34</f>
        <v/>
      </c>
      <c r="G8" s="24">
        <f>DCF!G34</f>
        <v/>
      </c>
    </row>
    <row r="9">
      <c r="A9" s="15" t="inlineStr">
        <is>
          <t>EBITDA</t>
        </is>
      </c>
      <c r="B9" s="18">
        <f>'Fundamental Valuation'!B5</f>
        <v/>
      </c>
      <c r="C9" s="37">
        <f>DCF!C36</f>
        <v/>
      </c>
      <c r="D9" s="37">
        <f>DCF!D36</f>
        <v/>
      </c>
      <c r="E9" s="37">
        <f>DCF!E36</f>
        <v/>
      </c>
      <c r="F9" s="37">
        <f>DCF!F36</f>
        <v/>
      </c>
      <c r="G9" s="37">
        <f>DCF!G36</f>
        <v/>
      </c>
    </row>
    <row r="10">
      <c r="A10" s="7" t="inlineStr">
        <is>
          <t>EBIT</t>
        </is>
      </c>
      <c r="B10" s="18">
        <f>'Fundamental Valuation'!B5-'Income Statement'!B32</f>
        <v/>
      </c>
      <c r="C10" s="18">
        <f>DCF!C41</f>
        <v/>
      </c>
      <c r="D10" s="18">
        <f>DCF!D41</f>
        <v/>
      </c>
      <c r="E10" s="18">
        <f>DCF!E41</f>
        <v/>
      </c>
      <c r="F10" s="18">
        <f>DCF!F41</f>
        <v/>
      </c>
      <c r="G10" s="18">
        <f>DCF!G41</f>
        <v/>
      </c>
    </row>
    <row r="11">
      <c r="A11" s="7" t="inlineStr">
        <is>
          <t>NOPAT</t>
        </is>
      </c>
      <c r="C11" s="18">
        <f>DCF!C44</f>
        <v/>
      </c>
      <c r="D11" s="18">
        <f>DCF!D44</f>
        <v/>
      </c>
      <c r="E11" s="18">
        <f>DCF!E44</f>
        <v/>
      </c>
      <c r="F11" s="18">
        <f>DCF!F44</f>
        <v/>
      </c>
      <c r="G11" s="18">
        <f>DCF!G44</f>
        <v/>
      </c>
    </row>
    <row r="12">
      <c r="A12" s="7" t="inlineStr">
        <is>
          <t>Capital expenditure</t>
        </is>
      </c>
      <c r="B12" s="18">
        <f>'Income Statement'!B33</f>
        <v/>
      </c>
      <c r="C12" s="18">
        <f>DCF!C37</f>
        <v/>
      </c>
      <c r="D12" s="18">
        <f>DCF!D37</f>
        <v/>
      </c>
      <c r="E12" s="18">
        <f>DCF!E37</f>
        <v/>
      </c>
      <c r="F12" s="18">
        <f>DCF!F37</f>
        <v/>
      </c>
      <c r="G12" s="18">
        <f>DCF!G37</f>
        <v/>
      </c>
    </row>
    <row r="13">
      <c r="A13" s="15" t="inlineStr">
        <is>
          <t>Free cash flow to the firm</t>
        </is>
      </c>
      <c r="C13" s="37">
        <f>DCF!C47</f>
        <v/>
      </c>
      <c r="D13" s="37">
        <f>DCF!D47</f>
        <v/>
      </c>
      <c r="E13" s="37">
        <f>DCF!E47</f>
        <v/>
      </c>
      <c r="F13" s="37">
        <f>DCF!F47</f>
        <v/>
      </c>
      <c r="G13" s="37">
        <f>DCF!G47</f>
        <v/>
      </c>
    </row>
    <row r="15">
      <c r="A15" s="11" t="inlineStr">
        <is>
          <t>PER TONNE, EGP — the unit the plant actually runs on</t>
        </is>
      </c>
      <c r="B15" s="13" t="n"/>
      <c r="C15" s="13" t="n"/>
      <c r="D15" s="13" t="n"/>
      <c r="E15" s="13" t="n"/>
      <c r="F15" s="13" t="n"/>
      <c r="G15" s="13" t="n"/>
    </row>
    <row r="16">
      <c r="A16" s="7" t="inlineStr">
        <is>
          <t>Volume, million tonnes</t>
        </is>
      </c>
      <c r="C16" s="23">
        <f>DCF!C30</f>
        <v/>
      </c>
      <c r="D16" s="23">
        <f>DCF!D30</f>
        <v/>
      </c>
      <c r="E16" s="23">
        <f>DCF!E30</f>
        <v/>
      </c>
      <c r="F16" s="23">
        <f>DCF!F30</f>
        <v/>
      </c>
      <c r="G16" s="23">
        <f>DCF!G30</f>
        <v/>
      </c>
    </row>
    <row r="17">
      <c r="A17" s="7" t="inlineStr">
        <is>
          <t>Revenue per tonne</t>
        </is>
      </c>
      <c r="C17" s="18">
        <f>DCF!C31/DCF!C30</f>
        <v/>
      </c>
      <c r="D17" s="18">
        <f>DCF!D31/DCF!D30</f>
        <v/>
      </c>
      <c r="E17" s="18">
        <f>DCF!E31/DCF!E30</f>
        <v/>
      </c>
      <c r="F17" s="18">
        <f>DCF!F31/DCF!F30</f>
        <v/>
      </c>
      <c r="G17" s="18">
        <f>DCF!G31/DCF!G30</f>
        <v/>
      </c>
    </row>
    <row r="18">
      <c r="A18" s="7" t="inlineStr">
        <is>
          <t>Gross profit per tonne</t>
        </is>
      </c>
      <c r="C18" s="18">
        <f>DCF!C33/DCF!C30</f>
        <v/>
      </c>
      <c r="D18" s="18">
        <f>DCF!D33/DCF!D30</f>
        <v/>
      </c>
      <c r="E18" s="18">
        <f>DCF!E33/DCF!E30</f>
        <v/>
      </c>
      <c r="F18" s="18">
        <f>DCF!F33/DCF!F30</f>
        <v/>
      </c>
      <c r="G18" s="18">
        <f>DCF!G33/DCF!G30</f>
        <v/>
      </c>
    </row>
    <row r="19">
      <c r="A19" s="7" t="inlineStr">
        <is>
          <t>EBITDA per tonne</t>
        </is>
      </c>
      <c r="C19" s="18">
        <f>DCF!C36/DCF!C30</f>
        <v/>
      </c>
      <c r="D19" s="18">
        <f>DCF!D36/DCF!D30</f>
        <v/>
      </c>
      <c r="E19" s="18">
        <f>DCF!E36/DCF!E30</f>
        <v/>
      </c>
      <c r="F19" s="18">
        <f>DCF!F36/DCF!F30</f>
        <v/>
      </c>
      <c r="G19" s="18">
        <f>DCF!G36/DCF!G30</f>
        <v/>
      </c>
    </row>
  </sheetData>
  <mergeCells count="1">
    <mergeCell ref="A2:G2"/>
  </mergeCells>
  <pageMargins left="0.75" right="0.75" top="1" bottom="1" header="0.5" footer="0.5"/>
</worksheet>
</file>

<file path=xl/worksheets/sheet13.xml><?xml version="1.0" encoding="utf-8"?>
<worksheet xmlns="http://schemas.openxmlformats.org/spreadsheetml/2006/main">
  <sheetPr>
    <tabColor rgb="001C3A36"/>
    <outlinePr summaryBelow="1" summaryRight="1"/>
    <pageSetUpPr/>
  </sheetPr>
  <dimension ref="A1:I26"/>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The price distribution, and how often its bands have held</t>
        </is>
      </c>
    </row>
    <row r="2" ht="32" customHeight="1">
      <c r="A2" s="5" t="inlineStr">
        <is>
          <t>This is the price engine, not the valuation: an independent lens, shown beside the fundamental answer and never fed into it. The percentiles are produced by the engine and are read in here, like a figure off a filing.</t>
        </is>
      </c>
    </row>
    <row r="3">
      <c r="A3" s="2" t="n"/>
      <c r="B3" s="2" t="n"/>
      <c r="C3" s="2" t="n"/>
      <c r="D3" s="2" t="n"/>
      <c r="E3" s="2" t="n"/>
      <c r="F3" s="2" t="n"/>
    </row>
    <row r="5">
      <c r="A5" s="7" t="inlineStr">
        <is>
          <t>Anchor date</t>
        </is>
      </c>
      <c r="B5" s="42" t="inlineStr">
        <is>
          <t>2026-08-06</t>
        </is>
      </c>
    </row>
    <row r="6">
      <c r="A6" s="7" t="inlineStr">
        <is>
          <t>Anchor price, EGP</t>
        </is>
      </c>
      <c r="B6" s="8" t="n">
        <v>9.1</v>
      </c>
    </row>
    <row r="7">
      <c r="A7" s="7" t="inlineStr">
        <is>
          <t>Live risk-free used by the engine</t>
        </is>
      </c>
      <c r="B7" s="29" t="n">
        <v>0.195</v>
      </c>
    </row>
    <row r="8">
      <c r="A8" s="7" t="inlineStr">
        <is>
          <t>Dividend yield used by the engine</t>
        </is>
      </c>
      <c r="B8" s="29" t="n">
        <v>0.08790000000000001</v>
      </c>
    </row>
    <row r="9">
      <c r="A9" s="7" t="inlineStr">
        <is>
          <t>Tail parameter and width calibration (per-market fit)</t>
        </is>
      </c>
      <c r="B9" s="26" t="n">
        <v>6</v>
      </c>
      <c r="C9" s="28" t="n">
        <v>0.951</v>
      </c>
    </row>
    <row r="10">
      <c r="A10" s="7" t="inlineStr">
        <is>
          <t>Per-name width overlay applied</t>
        </is>
      </c>
      <c r="B10" s="28" t="n">
        <v>0.9877296081459667</v>
      </c>
    </row>
    <row r="12">
      <c r="A12" s="11" t="inlineStr">
        <is>
          <t>THE DISTRIBUTION, EGP PER SHARE</t>
        </is>
      </c>
      <c r="B12" s="13" t="n"/>
      <c r="C12" s="13" t="n"/>
      <c r="D12" s="13" t="n"/>
      <c r="E12" s="13" t="n"/>
      <c r="F12" s="13" t="n"/>
    </row>
    <row r="13">
      <c r="A13" s="6" t="inlineStr">
        <is>
          <t>Horizon</t>
        </is>
      </c>
      <c r="B13" s="6" t="inlineStr">
        <is>
          <t>p5</t>
        </is>
      </c>
      <c r="C13" s="6" t="inlineStr">
        <is>
          <t>p25</t>
        </is>
      </c>
      <c r="D13" s="6" t="inlineStr">
        <is>
          <t>p50</t>
        </is>
      </c>
      <c r="E13" s="6" t="inlineStr">
        <is>
          <t>p75</t>
        </is>
      </c>
      <c r="F13" s="6" t="inlineStr">
        <is>
          <t>p95</t>
        </is>
      </c>
    </row>
    <row r="14">
      <c r="A14" s="7" t="inlineStr">
        <is>
          <t>1M — grade date 2026-09-06</t>
        </is>
      </c>
      <c r="B14" s="8" t="n">
        <v>7.709561159148157</v>
      </c>
      <c r="C14" s="8" t="n">
        <v>8.598972959864378</v>
      </c>
      <c r="D14" s="8" t="n">
        <v>9.170972589675991</v>
      </c>
      <c r="E14" s="8" t="n">
        <v>9.785586992007069</v>
      </c>
      <c r="F14" s="8" t="n">
        <v>10.91362189019824</v>
      </c>
    </row>
    <row r="15">
      <c r="A15" s="7" t="inlineStr">
        <is>
          <t>3M — grade date 2026-11-08</t>
        </is>
      </c>
      <c r="B15" s="8" t="n">
        <v>6.901709500909541</v>
      </c>
      <c r="C15" s="8" t="n">
        <v>8.344230883407748</v>
      </c>
      <c r="D15" s="8" t="n">
        <v>9.329430138739404</v>
      </c>
      <c r="E15" s="8" t="n">
        <v>10.41934979174632</v>
      </c>
      <c r="F15" s="8" t="n">
        <v>12.60453843225594</v>
      </c>
    </row>
    <row r="17">
      <c r="A17" s="11" t="inlineStr">
        <is>
          <t>HOW OFTEN THE BANDS HAVE HELD, ON THIS NAME</t>
        </is>
      </c>
      <c r="B17" s="13" t="n"/>
      <c r="C17" s="13" t="n"/>
      <c r="D17" s="13" t="n"/>
      <c r="E17" s="13" t="n"/>
      <c r="F17" s="13" t="n"/>
    </row>
    <row r="18">
      <c r="A18" s="7" t="inlineStr">
        <is>
          <t>Resolved three-month windows scored</t>
        </is>
      </c>
      <c r="B18" s="27" t="n">
        <v>17</v>
      </c>
    </row>
    <row r="19">
      <c r="A19" s="7" t="inlineStr">
        <is>
          <t>First origin</t>
        </is>
      </c>
      <c r="B19" s="42" t="inlineStr">
        <is>
          <t>2022-04-05</t>
        </is>
      </c>
    </row>
    <row r="20">
      <c r="A20" s="7" t="inlineStr">
        <is>
          <t>Last origin</t>
        </is>
      </c>
      <c r="B20" s="42" t="inlineStr">
        <is>
          <t>2026-04-12</t>
        </is>
      </c>
    </row>
    <row r="21">
      <c r="A21" s="7" t="inlineStr">
        <is>
          <t>Inside the 50 per cent band</t>
        </is>
      </c>
      <c r="B21" s="31" t="n">
        <v>0.5294117647058824</v>
      </c>
    </row>
    <row r="22">
      <c r="A22" s="7" t="inlineStr">
        <is>
          <t>Inside the 80 per cent band</t>
        </is>
      </c>
      <c r="B22" s="31" t="n">
        <v>0.8823529411764706</v>
      </c>
    </row>
    <row r="23">
      <c r="A23" s="7" t="inlineStr">
        <is>
          <t>Inside the 90 per cent band</t>
        </is>
      </c>
      <c r="B23" s="31" t="n">
        <v>0.9411764705882353</v>
      </c>
    </row>
    <row r="24">
      <c r="A24" s="7" t="inlineStr">
        <is>
          <t>Mean probability-integral transform (0.5 is centred)</t>
        </is>
      </c>
      <c r="B24" s="28" t="n">
        <v>0.4612000000000001</v>
      </c>
    </row>
    <row r="26" ht="33" customHeight="1">
      <c r="A26" s="19" t="inlineStr">
        <is>
          <t>These bands are a record of what happened, not a forecast of the fundamental value. The fundamental study, this price distribution and the technical read are independent lenses: no output of one is an input to another, and they are shown side by side so that agreement between them is information rather than an echo.</t>
        </is>
      </c>
    </row>
  </sheetData>
  <mergeCells count="2">
    <mergeCell ref="A2:F2"/>
    <mergeCell ref="A26:I26"/>
  </mergeCells>
  <pageMargins left="0.75" right="0.75" top="1" bottom="1" header="0.5" footer="0.5"/>
</worksheet>
</file>

<file path=xl/worksheets/sheet14.xml><?xml version="1.0" encoding="utf-8"?>
<worksheet xmlns="http://schemas.openxmlformats.org/spreadsheetml/2006/main">
  <sheetPr>
    <tabColor rgb="001C3A36"/>
    <outlinePr summaryBelow="1" summaryRight="1"/>
    <pageSetUpPr/>
  </sheetPr>
  <dimension ref="A1:J1516"/>
  <sheetViews>
    <sheetView showGridLines="0" workbookViewId="0">
      <selection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Sensitivity — every grid point is the whole engine, again, in formulas</t>
        </is>
      </c>
    </row>
    <row r="2" ht="32" customHeight="1">
      <c r="A2" s="5" t="inlineStr">
        <is>
          <t>The previous edition pasted these rows because each point is a whole-model re-run and its builder could not express a re-run inside a grid. Three of the pasted rows turned out not to reproduce: a working-capital row whose grid was never sorted, a beta row whose centre did not return the base case, and a volume row whose label described a different scenario from the one it ran. None of that can happen here, because there is nothing to paste.</t>
        </is>
      </c>
    </row>
    <row r="3">
      <c r="A3" s="2" t="n"/>
      <c r="B3" s="2" t="n"/>
      <c r="C3" s="2" t="n"/>
      <c r="D3" s="2" t="n"/>
      <c r="E3" s="2" t="n"/>
      <c r="F3" s="2" t="n"/>
      <c r="G3" s="2" t="n"/>
      <c r="H3" s="2" t="n"/>
      <c r="I3" s="2" t="n"/>
    </row>
    <row r="4">
      <c r="A4" s="15" t="inlineStr">
        <is>
          <t>Summary — every cell points at its own live block below</t>
        </is>
      </c>
    </row>
    <row r="5">
      <c r="A5" s="11" t="inlineStr">
        <is>
          <t>Gross margin, shifted on every forecast year</t>
        </is>
      </c>
      <c r="B5" s="13" t="n"/>
      <c r="C5" s="13" t="n"/>
      <c r="D5" s="13" t="n"/>
      <c r="E5" s="13" t="n"/>
      <c r="F5" s="13" t="n"/>
      <c r="G5" s="13" t="n"/>
      <c r="H5" s="13" t="n"/>
      <c r="I5" s="13" t="n"/>
    </row>
    <row r="6">
      <c r="A6" s="7" t="inlineStr">
        <is>
          <t xml:space="preserve">   grid point 1: -1.0%</t>
        </is>
      </c>
      <c r="C6" s="29" t="n">
        <v>-0.01</v>
      </c>
      <c r="I6" s="22">
        <f>B95</f>
        <v/>
      </c>
    </row>
    <row r="7">
      <c r="A7" s="7" t="inlineStr">
        <is>
          <t xml:space="preserve">   grid point 2: -0.5%</t>
        </is>
      </c>
      <c r="C7" s="29" t="n">
        <v>-0.005</v>
      </c>
      <c r="I7" s="22">
        <f>B144</f>
        <v/>
      </c>
    </row>
    <row r="8">
      <c r="A8" s="7" t="inlineStr">
        <is>
          <t xml:space="preserve">   grid point 3: +0.0%</t>
        </is>
      </c>
      <c r="C8" s="29" t="n">
        <v>0</v>
      </c>
      <c r="I8" s="22">
        <f>B193</f>
        <v/>
      </c>
      <c r="J8" s="43">
        <f>B193-DCF!B65</f>
        <v/>
      </c>
    </row>
    <row r="9">
      <c r="A9" s="7" t="inlineStr">
        <is>
          <t xml:space="preserve">   grid point 4: +0.5%</t>
        </is>
      </c>
      <c r="C9" s="29" t="n">
        <v>0.005</v>
      </c>
      <c r="I9" s="22">
        <f>B242</f>
        <v/>
      </c>
    </row>
    <row r="10">
      <c r="A10" s="7" t="inlineStr">
        <is>
          <t xml:space="preserve">   grid point 5: +1.0%</t>
        </is>
      </c>
      <c r="C10" s="29" t="n">
        <v>0.01</v>
      </c>
      <c r="I10" s="22">
        <f>B291</f>
        <v/>
      </c>
    </row>
    <row r="12">
      <c r="A12" s="11" t="inlineStr">
        <is>
          <t>Volume growth path, as a multiple of the assumed path</t>
        </is>
      </c>
      <c r="B12" s="13" t="n"/>
      <c r="C12" s="13" t="n"/>
      <c r="D12" s="13" t="n"/>
      <c r="E12" s="13" t="n"/>
      <c r="F12" s="13" t="n"/>
      <c r="G12" s="13" t="n"/>
      <c r="H12" s="13" t="n"/>
      <c r="I12" s="13" t="n"/>
    </row>
    <row r="13">
      <c r="A13" s="7" t="inlineStr">
        <is>
          <t xml:space="preserve">   grid point 1: -6.0%</t>
        </is>
      </c>
      <c r="B13" s="26" t="n">
        <v>-0.06</v>
      </c>
      <c r="I13" s="22">
        <f>B340</f>
        <v/>
      </c>
    </row>
    <row r="14">
      <c r="A14" s="7" t="inlineStr">
        <is>
          <t xml:space="preserve">   grid point 2: -3.0%</t>
        </is>
      </c>
      <c r="B14" s="26" t="n">
        <v>-0.03</v>
      </c>
      <c r="I14" s="22">
        <f>B389</f>
        <v/>
      </c>
    </row>
    <row r="15">
      <c r="A15" s="7" t="inlineStr">
        <is>
          <t xml:space="preserve">   grid point 3: +0.0%</t>
        </is>
      </c>
      <c r="B15" s="26" t="n">
        <v>0</v>
      </c>
      <c r="I15" s="22">
        <f>B438</f>
        <v/>
      </c>
      <c r="J15" s="43">
        <f>B438-DCF!B65</f>
        <v/>
      </c>
    </row>
    <row r="16">
      <c r="A16" s="7" t="inlineStr">
        <is>
          <t xml:space="preserve">   grid point 4: +3.0%</t>
        </is>
      </c>
      <c r="B16" s="26" t="n">
        <v>0.03</v>
      </c>
      <c r="I16" s="22">
        <f>B487</f>
        <v/>
      </c>
    </row>
    <row r="17">
      <c r="A17" s="7" t="inlineStr">
        <is>
          <t xml:space="preserve">   grid point 5: +6.0%</t>
        </is>
      </c>
      <c r="B17" s="26" t="n">
        <v>0.06</v>
      </c>
      <c r="I17" s="22">
        <f>B536</f>
        <v/>
      </c>
    </row>
    <row r="19">
      <c r="A19" s="11" t="inlineStr">
        <is>
          <t>Realisation path, as a multiple of the assumed path</t>
        </is>
      </c>
      <c r="B19" s="13" t="n"/>
      <c r="C19" s="13" t="n"/>
      <c r="D19" s="13" t="n"/>
      <c r="E19" s="13" t="n"/>
      <c r="F19" s="13" t="n"/>
      <c r="G19" s="13" t="n"/>
      <c r="H19" s="13" t="n"/>
      <c r="I19" s="13" t="n"/>
    </row>
    <row r="20">
      <c r="A20" s="7" t="inlineStr">
        <is>
          <t xml:space="preserve">   grid point 1: 0.90x</t>
        </is>
      </c>
      <c r="D20" s="26" t="n">
        <v>0.9</v>
      </c>
      <c r="I20" s="22">
        <f>B585</f>
        <v/>
      </c>
    </row>
    <row r="21">
      <c r="A21" s="7" t="inlineStr">
        <is>
          <t xml:space="preserve">   grid point 2: 0.95x</t>
        </is>
      </c>
      <c r="D21" s="26" t="n">
        <v>0.95</v>
      </c>
      <c r="I21" s="22">
        <f>B634</f>
        <v/>
      </c>
    </row>
    <row r="22">
      <c r="A22" s="7" t="inlineStr">
        <is>
          <t xml:space="preserve">   grid point 3: 1.00x</t>
        </is>
      </c>
      <c r="D22" s="26" t="n">
        <v>1</v>
      </c>
      <c r="I22" s="22">
        <f>B683</f>
        <v/>
      </c>
      <c r="J22" s="43">
        <f>B683-DCF!B65</f>
        <v/>
      </c>
    </row>
    <row r="23">
      <c r="A23" s="7" t="inlineStr">
        <is>
          <t xml:space="preserve">   grid point 4: 1.05x</t>
        </is>
      </c>
      <c r="D23" s="26" t="n">
        <v>1.05</v>
      </c>
      <c r="I23" s="22">
        <f>B732</f>
        <v/>
      </c>
    </row>
    <row r="24">
      <c r="A24" s="7" t="inlineStr">
        <is>
          <t xml:space="preserve">   grid point 5: 1.10x</t>
        </is>
      </c>
      <c r="D24" s="26" t="n">
        <v>1.1</v>
      </c>
      <c r="I24" s="22">
        <f>B781</f>
        <v/>
      </c>
    </row>
    <row r="26">
      <c r="A26" s="11" t="inlineStr">
        <is>
          <t>Beta</t>
        </is>
      </c>
      <c r="B26" s="13" t="n"/>
      <c r="C26" s="13" t="n"/>
      <c r="D26" s="13" t="n"/>
      <c r="E26" s="13" t="n"/>
      <c r="F26" s="13" t="n"/>
      <c r="G26" s="13" t="n"/>
      <c r="H26" s="13" t="n"/>
      <c r="I26" s="13" t="n"/>
    </row>
    <row r="27">
      <c r="A27" s="7" t="inlineStr">
        <is>
          <t xml:space="preserve">   grid point 1: 0.6000</t>
        </is>
      </c>
      <c r="F27" s="29" t="n">
        <v>0.24556</v>
      </c>
      <c r="G27" s="29" t="n">
        <v>0.161982185805472</v>
      </c>
      <c r="I27" s="22">
        <f>B830</f>
        <v/>
      </c>
    </row>
    <row r="28">
      <c r="A28" s="7" t="inlineStr">
        <is>
          <t xml:space="preserve">   grid point 2: 0.8000</t>
        </is>
      </c>
      <c r="F28" s="29" t="n">
        <v>0.26438</v>
      </c>
      <c r="G28" s="29" t="n">
        <v>0.1745821858054719</v>
      </c>
      <c r="I28" s="22">
        <f>B879</f>
        <v/>
      </c>
    </row>
    <row r="29">
      <c r="A29" s="7" t="inlineStr">
        <is>
          <t xml:space="preserve">   grid point 3: 0.9063</t>
        </is>
      </c>
      <c r="F29" s="29" t="n">
        <v>0.2743872044180305</v>
      </c>
      <c r="G29" s="29" t="n">
        <v>0.1812820144806677</v>
      </c>
      <c r="I29" s="22">
        <f>B928</f>
        <v/>
      </c>
      <c r="J29" s="43">
        <f>B928-DCF!B65</f>
        <v/>
      </c>
    </row>
    <row r="30">
      <c r="A30" s="7" t="inlineStr">
        <is>
          <t xml:space="preserve">   grid point 4: 1.1500</t>
        </is>
      </c>
      <c r="F30" s="29" t="n">
        <v>0.297315</v>
      </c>
      <c r="G30" s="29" t="n">
        <v>0.196632185805472</v>
      </c>
      <c r="I30" s="22">
        <f>B977</f>
        <v/>
      </c>
    </row>
    <row r="31">
      <c r="A31" s="7" t="inlineStr">
        <is>
          <t xml:space="preserve">   grid point 5: 1.3000</t>
        </is>
      </c>
      <c r="F31" s="29" t="n">
        <v>0.31143</v>
      </c>
      <c r="G31" s="29" t="n">
        <v>0.206082185805472</v>
      </c>
      <c r="I31" s="22">
        <f>B1026</f>
        <v/>
      </c>
    </row>
    <row r="33">
      <c r="A33" s="11" t="inlineStr">
        <is>
          <t>Working-capital cycle, as a multiple of the solved days</t>
        </is>
      </c>
      <c r="B33" s="13" t="n"/>
      <c r="C33" s="13" t="n"/>
      <c r="D33" s="13" t="n"/>
      <c r="E33" s="13" t="n"/>
      <c r="F33" s="13" t="n"/>
      <c r="G33" s="13" t="n"/>
      <c r="H33" s="13" t="n"/>
      <c r="I33" s="13" t="n"/>
    </row>
    <row r="34">
      <c r="A34" s="7" t="inlineStr">
        <is>
          <t xml:space="preserve">   grid point 1: 0.50x</t>
        </is>
      </c>
      <c r="E34" s="26" t="n">
        <v>0.5</v>
      </c>
      <c r="I34" s="22">
        <f>B1075</f>
        <v/>
      </c>
    </row>
    <row r="35">
      <c r="A35" s="7" t="inlineStr">
        <is>
          <t xml:space="preserve">   grid point 2: 0.75x</t>
        </is>
      </c>
      <c r="E35" s="26" t="n">
        <v>0.75</v>
      </c>
      <c r="I35" s="22">
        <f>B1124</f>
        <v/>
      </c>
    </row>
    <row r="36">
      <c r="A36" s="7" t="inlineStr">
        <is>
          <t xml:space="preserve">   grid point 3: 1.00x</t>
        </is>
      </c>
      <c r="E36" s="26" t="n">
        <v>1</v>
      </c>
      <c r="I36" s="22">
        <f>B1173</f>
        <v/>
      </c>
      <c r="J36" s="43">
        <f>B1173-DCF!B65</f>
        <v/>
      </c>
    </row>
    <row r="37">
      <c r="A37" s="7" t="inlineStr">
        <is>
          <t xml:space="preserve">   grid point 4: 1.25x</t>
        </is>
      </c>
      <c r="E37" s="26" t="n">
        <v>1.25</v>
      </c>
      <c r="I37" s="22">
        <f>B1222</f>
        <v/>
      </c>
    </row>
    <row r="38">
      <c r="A38" s="7" t="inlineStr">
        <is>
          <t xml:space="preserve">   grid point 5: 1.50x</t>
        </is>
      </c>
      <c r="E38" s="26" t="n">
        <v>1.5</v>
      </c>
      <c r="I38" s="22">
        <f>B1271</f>
        <v/>
      </c>
    </row>
    <row r="40">
      <c r="A40" s="11" t="inlineStr">
        <is>
          <t>Terminal growth</t>
        </is>
      </c>
      <c r="B40" s="13" t="n"/>
      <c r="C40" s="13" t="n"/>
      <c r="D40" s="13" t="n"/>
      <c r="E40" s="13" t="n"/>
      <c r="F40" s="13" t="n"/>
      <c r="G40" s="13" t="n"/>
      <c r="H40" s="13" t="n"/>
      <c r="I40" s="13" t="n"/>
    </row>
    <row r="41">
      <c r="A41" s="7" t="inlineStr">
        <is>
          <t xml:space="preserve">   grid point 1: 3.0%</t>
        </is>
      </c>
      <c r="H41" s="29" t="n">
        <v>0.03</v>
      </c>
      <c r="I41" s="22">
        <f>B1320</f>
        <v/>
      </c>
    </row>
    <row r="42">
      <c r="A42" s="7" t="inlineStr">
        <is>
          <t xml:space="preserve">   grid point 2: 4.0%</t>
        </is>
      </c>
      <c r="H42" s="29" t="n">
        <v>0.04</v>
      </c>
      <c r="I42" s="22">
        <f>B1369</f>
        <v/>
      </c>
    </row>
    <row r="43">
      <c r="A43" s="7" t="inlineStr">
        <is>
          <t xml:space="preserve">   grid point 3: 5.0%</t>
        </is>
      </c>
      <c r="H43" s="29" t="n">
        <v>0.05</v>
      </c>
      <c r="I43" s="22">
        <f>B1418</f>
        <v/>
      </c>
    </row>
    <row r="44">
      <c r="A44" s="7" t="inlineStr">
        <is>
          <t xml:space="preserve">   grid point 4: 6.0%</t>
        </is>
      </c>
      <c r="H44" s="29" t="n">
        <v>0.06</v>
      </c>
      <c r="I44" s="22">
        <f>B1467</f>
        <v/>
      </c>
    </row>
    <row r="45">
      <c r="A45" s="7" t="inlineStr">
        <is>
          <t xml:space="preserve">   grid point 5: 7.0%</t>
        </is>
      </c>
      <c r="H45" s="29" t="n">
        <v>0.07000000000000001</v>
      </c>
      <c r="I45" s="22">
        <f>B1516</f>
        <v/>
      </c>
      <c r="J45" s="43">
        <f>B1516-DCF!B65</f>
        <v/>
      </c>
    </row>
    <row r="47">
      <c r="A47" s="7" t="inlineStr">
        <is>
          <t>GATE — every row must return the base case at its own base point</t>
        </is>
      </c>
    </row>
    <row r="49">
      <c r="A49" s="6" t="inlineStr">
        <is>
          <t>Gross margin, shifted on every forecast year — -1.0%</t>
        </is>
      </c>
      <c r="B49" s="6" t="inlineStr">
        <is>
          <t>2026E</t>
        </is>
      </c>
      <c r="C49" s="6" t="inlineStr">
        <is>
          <t>2027E</t>
        </is>
      </c>
      <c r="D49" s="6" t="inlineStr">
        <is>
          <t>2028E</t>
        </is>
      </c>
      <c r="E49" s="6" t="inlineStr">
        <is>
          <t>2029E</t>
        </is>
      </c>
      <c r="F49" s="6" t="inlineStr">
        <is>
          <t>2030E</t>
        </is>
      </c>
    </row>
    <row r="50">
      <c r="A50" s="7" t="inlineStr">
        <is>
          <t>Inflation index, cumulative</t>
        </is>
      </c>
      <c r="C50" s="23">
        <f>Assumptions!$B$167</f>
        <v/>
      </c>
      <c r="D50" s="23">
        <f>C50*Assumptions!$B$168</f>
        <v/>
      </c>
      <c r="E50" s="23">
        <f>D50*Assumptions!$B$169</f>
        <v/>
      </c>
      <c r="F50" s="23">
        <f>E50*Assumptions!$B$170</f>
        <v/>
      </c>
      <c r="G50" s="23">
        <f>F50*Assumptions!$B$171</f>
        <v/>
      </c>
    </row>
    <row r="51">
      <c r="A51" s="7" t="inlineStr">
        <is>
          <t>Realisation index, cumulative</t>
        </is>
      </c>
      <c r="C51" s="23">
        <f>(1+Assumptions!$B$122*DCF!$B$8)</f>
        <v/>
      </c>
      <c r="D51" s="23">
        <f>C51*(1+Assumptions!$B$123*DCF!$B$8)</f>
        <v/>
      </c>
      <c r="E51" s="23">
        <f>D51*(1+Assumptions!$B$124*DCF!$B$8)</f>
        <v/>
      </c>
      <c r="F51" s="23">
        <f>E51*(1+Assumptions!$B$125*DCF!$B$8)</f>
        <v/>
      </c>
      <c r="G51" s="23">
        <f>F51*(1+Assumptions!$B$126*DCF!$B$8)</f>
        <v/>
      </c>
    </row>
    <row r="52">
      <c r="A52" s="7" t="inlineStr">
        <is>
          <t xml:space="preserve">  Volume — Base and special oils, mn t</t>
        </is>
      </c>
      <c r="C52" s="23">
        <f>'Segments'!E6*(1+Assumptions!$B$127+DCF!$B$6)</f>
        <v/>
      </c>
      <c r="D52" s="23">
        <f>C52*(1+Assumptions!$B$128+DCF!$B$6)</f>
        <v/>
      </c>
      <c r="E52" s="23">
        <f>D52*(1+Assumptions!$B$129+DCF!$B$6)</f>
        <v/>
      </c>
      <c r="F52" s="23">
        <f>E52*(1+Assumptions!$B$130+DCF!$B$6)</f>
        <v/>
      </c>
      <c r="G52" s="23">
        <f>F52*(1+Assumptions!$B$131+DCF!$B$6)</f>
        <v/>
      </c>
    </row>
    <row r="53">
      <c r="A53" s="7" t="inlineStr">
        <is>
          <t xml:space="preserve">  Volume — Paraffin wax, mn t</t>
        </is>
      </c>
      <c r="C53" s="23">
        <f>'Segments'!E7*(1+Assumptions!$B$132+DCF!$B$6)</f>
        <v/>
      </c>
      <c r="D53" s="23">
        <f>C53*(1+Assumptions!$B$133+DCF!$B$6)</f>
        <v/>
      </c>
      <c r="E53" s="23">
        <f>D53*(1+Assumptions!$B$134+DCF!$B$6)</f>
        <v/>
      </c>
      <c r="F53" s="23">
        <f>E53*(1+Assumptions!$B$135+DCF!$B$6)</f>
        <v/>
      </c>
      <c r="G53" s="23">
        <f>F53*(1+Assumptions!$B$136+DCF!$B$6)</f>
        <v/>
      </c>
    </row>
    <row r="54">
      <c r="A54" s="7" t="inlineStr">
        <is>
          <t xml:space="preserve">  Volume — Gas oil, mn t</t>
        </is>
      </c>
      <c r="C54" s="23">
        <f>'Segments'!E8*(1+Assumptions!$B$137+DCF!$B$6)</f>
        <v/>
      </c>
      <c r="D54" s="23">
        <f>C54*(1+Assumptions!$B$138+DCF!$B$6)</f>
        <v/>
      </c>
      <c r="E54" s="23">
        <f>D54*(1+Assumptions!$B$139+DCF!$B$6)</f>
        <v/>
      </c>
      <c r="F54" s="23">
        <f>E54*(1+Assumptions!$B$140+DCF!$B$6)</f>
        <v/>
      </c>
      <c r="G54" s="23">
        <f>F54*(1+Assumptions!$B$141+DCF!$B$6)</f>
        <v/>
      </c>
    </row>
    <row r="55">
      <c r="A55" s="7" t="inlineStr">
        <is>
          <t xml:space="preserve">  Volume — Naphtha, mn t</t>
        </is>
      </c>
      <c r="C55" s="23">
        <f>'Segments'!E9*(1+Assumptions!$B$142+DCF!$B$6)</f>
        <v/>
      </c>
      <c r="D55" s="23">
        <f>C55*(1+Assumptions!$B$143+DCF!$B$6)</f>
        <v/>
      </c>
      <c r="E55" s="23">
        <f>D55*(1+Assumptions!$B$144+DCF!$B$6)</f>
        <v/>
      </c>
      <c r="F55" s="23">
        <f>E55*(1+Assumptions!$B$145+DCF!$B$6)</f>
        <v/>
      </c>
      <c r="G55" s="23">
        <f>F55*(1+Assumptions!$B$146+DCF!$B$6)</f>
        <v/>
      </c>
    </row>
    <row r="56">
      <c r="A56" s="7" t="inlineStr">
        <is>
          <t xml:space="preserve">  Volume — Liquefied petroleum gas, mn t</t>
        </is>
      </c>
      <c r="C56" s="23">
        <f>'Segments'!E10*(1+Assumptions!$B$147+DCF!$B$6)</f>
        <v/>
      </c>
      <c r="D56" s="23">
        <f>C56*(1+Assumptions!$B$148+DCF!$B$6)</f>
        <v/>
      </c>
      <c r="E56" s="23">
        <f>D56*(1+Assumptions!$B$149+DCF!$B$6)</f>
        <v/>
      </c>
      <c r="F56" s="23">
        <f>E56*(1+Assumptions!$B$150+DCF!$B$6)</f>
        <v/>
      </c>
      <c r="G56" s="23">
        <f>F56*(1+Assumptions!$B$151+DCF!$B$6)</f>
        <v/>
      </c>
    </row>
    <row r="57">
      <c r="A57" s="7" t="inlineStr">
        <is>
          <t xml:space="preserve">  Volume — Fuel oil (mix), mn t</t>
        </is>
      </c>
      <c r="C57" s="23">
        <f>'Segments'!E11*(1+Assumptions!$B$152+DCF!$B$6)</f>
        <v/>
      </c>
      <c r="D57" s="23">
        <f>C57*(1+Assumptions!$B$153+DCF!$B$6)</f>
        <v/>
      </c>
      <c r="E57" s="23">
        <f>D57*(1+Assumptions!$B$154+DCF!$B$6)</f>
        <v/>
      </c>
      <c r="F57" s="23">
        <f>E57*(1+Assumptions!$B$155+DCF!$B$6)</f>
        <v/>
      </c>
      <c r="G57" s="23">
        <f>F57*(1+Assumptions!$B$156+DCF!$B$6)</f>
        <v/>
      </c>
    </row>
    <row r="58">
      <c r="A58" s="7" t="inlineStr">
        <is>
          <t xml:space="preserve">  Volume — Heavy fuel oil, mn t</t>
        </is>
      </c>
      <c r="C58" s="23">
        <f>'Segments'!E12*(1+Assumptions!$B$157+DCF!$B$6)</f>
        <v/>
      </c>
      <c r="D58" s="23">
        <f>C58*(1+Assumptions!$B$158+DCF!$B$6)</f>
        <v/>
      </c>
      <c r="E58" s="23">
        <f>D58*(1+Assumptions!$B$159+DCF!$B$6)</f>
        <v/>
      </c>
      <c r="F58" s="23">
        <f>E58*(1+Assumptions!$B$160+DCF!$B$6)</f>
        <v/>
      </c>
      <c r="G58" s="23">
        <f>F58*(1+Assumptions!$B$161+DCF!$B$6)</f>
        <v/>
      </c>
    </row>
    <row r="59">
      <c r="A59" s="7" t="inlineStr">
        <is>
          <t xml:space="preserve">  Volume — Waste, mn t</t>
        </is>
      </c>
      <c r="C59" s="23">
        <f>'Segments'!E13*(1+Assumptions!$B$162+DCF!$B$6)</f>
        <v/>
      </c>
      <c r="D59" s="23">
        <f>C59*(1+Assumptions!$B$163+DCF!$B$6)</f>
        <v/>
      </c>
      <c r="E59" s="23">
        <f>D59*(1+Assumptions!$B$164+DCF!$B$6)</f>
        <v/>
      </c>
      <c r="F59" s="23">
        <f>E59*(1+Assumptions!$B$165+DCF!$B$6)</f>
        <v/>
      </c>
      <c r="G59" s="23">
        <f>F59*(1+Assumptions!$B$166+DCF!$B$6)</f>
        <v/>
      </c>
    </row>
    <row r="60">
      <c r="A60" s="15" t="inlineStr">
        <is>
          <t>Total volume, mn t</t>
        </is>
      </c>
      <c r="C60" s="36">
        <f>SUM(C52:C59)</f>
        <v/>
      </c>
      <c r="D60" s="36">
        <f>SUM(D52:D59)</f>
        <v/>
      </c>
      <c r="E60" s="36">
        <f>SUM(E52:E59)</f>
        <v/>
      </c>
      <c r="F60" s="36">
        <f>SUM(F52:F59)</f>
        <v/>
      </c>
      <c r="G60" s="36">
        <f>SUM(G52:G59)</f>
        <v/>
      </c>
    </row>
    <row r="61">
      <c r="A61" s="15" t="inlineStr">
        <is>
          <t>REVENUE</t>
        </is>
      </c>
      <c r="C61" s="37">
        <f>C52*'Segments'!$F$6*C51+C53*'Segments'!$F$7*C51+C54*'Segments'!$F$8*C51+C55*'Segments'!$F$9*C51+C56*'Segments'!$F$10*C51+C57*'Segments'!$F$11*C51+C58*'Segments'!$F$12*C51+C59*'Segments'!$F$13*C51</f>
        <v/>
      </c>
      <c r="D61" s="37">
        <f>D52*'Segments'!$F$6*D51+D53*'Segments'!$F$7*D51+D54*'Segments'!$F$8*D51+D55*'Segments'!$F$9*D51+D56*'Segments'!$F$10*D51+D57*'Segments'!$F$11*D51+D58*'Segments'!$F$12*D51+D59*'Segments'!$F$13*D51</f>
        <v/>
      </c>
      <c r="E61" s="37">
        <f>E52*'Segments'!$F$6*E51+E53*'Segments'!$F$7*E51+E54*'Segments'!$F$8*E51+E55*'Segments'!$F$9*E51+E56*'Segments'!$F$10*E51+E57*'Segments'!$F$11*E51+E58*'Segments'!$F$12*E51+E59*'Segments'!$F$13*E51</f>
        <v/>
      </c>
      <c r="F61" s="37">
        <f>F52*'Segments'!$F$6*F51+F53*'Segments'!$F$7*F51+F54*'Segments'!$F$8*F51+F55*'Segments'!$F$9*F51+F56*'Segments'!$F$10*F51+F57*'Segments'!$F$11*F51+F58*'Segments'!$F$12*F51+F59*'Segments'!$F$13*F51</f>
        <v/>
      </c>
      <c r="G61" s="37">
        <f>G52*'Segments'!$F$6*G51+G53*'Segments'!$F$7*G51+G54*'Segments'!$F$8*G51+G55*'Segments'!$F$9*G51+G56*'Segments'!$F$10*G51+G57*'Segments'!$F$11*G51+G58*'Segments'!$F$12*G51+G59*'Segments'!$F$13*G51</f>
        <v/>
      </c>
    </row>
    <row r="62">
      <c r="A62" s="7" t="inlineStr">
        <is>
          <t>Cost of sales</t>
        </is>
      </c>
      <c r="C62" s="18">
        <f>C52*('Segments'!$D$27*C51*Assumptions!$B$109+'Segments'!$B$27*(0.4983251709*C51+0.4357405005*C51+0.0330936548*C51+0.0328406739))+C53*('Segments'!$D$28*C51*Assumptions!$B$109+'Segments'!$B$28*(0.4983251709*C51+0.4357405005*C51+0.0330936548*C51+0.0328406739))+C54*('Segments'!$D$29*C51*Assumptions!$B$109+'Segments'!$B$29*(0.4983251709*C51+0.4357405005*C51+0.0330936548*C51+0.0328406739))+C55*('Segments'!$D$30*C51*Assumptions!$B$109+'Segments'!$B$30*(0.4983251709*C51+0.4357405005*C51+0.0330936548*C51+0.0328406739))+C56*('Segments'!$D$31*C51*Assumptions!$B$109+'Segments'!$B$31*(0.4983251709*C51+0.4357405005*C51+0.0330936548*C51+0.0328406739))+C57*('Segments'!$D$32*C51*Assumptions!$B$109+'Segments'!$B$32*(0.4983251709*C51+0.4357405005*C51+0.0330936548*C51+0.0328406739))+C58*('Segments'!$D$33*C51*Assumptions!$B$109+'Segments'!$B$33*(0.4983251709*C51+0.4357405005*C51+0.0330936548*C51+0.0328406739))+C59*('Segments'!$D$34*C51*Assumptions!$B$109+'Segments'!$B$34*(0.4983251709*C51+0.4357405005*C51+0.0330936548*C51+0.0328406739))</f>
        <v/>
      </c>
      <c r="D62" s="18">
        <f>D52*('Segments'!$D$27*D51*Assumptions!$B$109+'Segments'!$B$27*(0.4983251709*D51+0.4357405005*D51+0.0330936548*D51+0.0328406739))+D53*('Segments'!$D$28*D51*Assumptions!$B$109+'Segments'!$B$28*(0.4983251709*D51+0.4357405005*D51+0.0330936548*D51+0.0328406739))+D54*('Segments'!$D$29*D51*Assumptions!$B$109+'Segments'!$B$29*(0.4983251709*D51+0.4357405005*D51+0.0330936548*D51+0.0328406739))+D55*('Segments'!$D$30*D51*Assumptions!$B$109+'Segments'!$B$30*(0.4983251709*D51+0.4357405005*D51+0.0330936548*D51+0.0328406739))+D56*('Segments'!$D$31*D51*Assumptions!$B$109+'Segments'!$B$31*(0.4983251709*D51+0.4357405005*D51+0.0330936548*D51+0.0328406739))+D57*('Segments'!$D$32*D51*Assumptions!$B$109+'Segments'!$B$32*(0.4983251709*D51+0.4357405005*D51+0.0330936548*D51+0.0328406739))+D58*('Segments'!$D$33*D51*Assumptions!$B$109+'Segments'!$B$33*(0.4983251709*D51+0.4357405005*D51+0.0330936548*D51+0.0328406739))+D59*('Segments'!$D$34*D51*Assumptions!$B$109+'Segments'!$B$34*(0.4983251709*D51+0.4357405005*D51+0.0330936548*D51+0.0328406739))</f>
        <v/>
      </c>
      <c r="E62" s="18">
        <f>E52*('Segments'!$D$27*E51*Assumptions!$B$109+'Segments'!$B$27*(0.4983251709*E51+0.4357405005*E51+0.0330936548*E51+0.0328406739))+E53*('Segments'!$D$28*E51*Assumptions!$B$109+'Segments'!$B$28*(0.4983251709*E51+0.4357405005*E51+0.0330936548*E51+0.0328406739))+E54*('Segments'!$D$29*E51*Assumptions!$B$109+'Segments'!$B$29*(0.4983251709*E51+0.4357405005*E51+0.0330936548*E51+0.0328406739))+E55*('Segments'!$D$30*E51*Assumptions!$B$109+'Segments'!$B$30*(0.4983251709*E51+0.4357405005*E51+0.0330936548*E51+0.0328406739))+E56*('Segments'!$D$31*E51*Assumptions!$B$109+'Segments'!$B$31*(0.4983251709*E51+0.4357405005*E51+0.0330936548*E51+0.0328406739))+E57*('Segments'!$D$32*E51*Assumptions!$B$109+'Segments'!$B$32*(0.4983251709*E51+0.4357405005*E51+0.0330936548*E51+0.0328406739))+E58*('Segments'!$D$33*E51*Assumptions!$B$109+'Segments'!$B$33*(0.4983251709*E51+0.4357405005*E51+0.0330936548*E51+0.0328406739))+E59*('Segments'!$D$34*E51*Assumptions!$B$109+'Segments'!$B$34*(0.4983251709*E51+0.4357405005*E51+0.0330936548*E51+0.0328406739))</f>
        <v/>
      </c>
      <c r="F62" s="18">
        <f>F52*('Segments'!$D$27*F51*Assumptions!$B$109+'Segments'!$B$27*(0.4983251709*F51+0.4357405005*F51+0.0330936548*F51+0.0328406739))+F53*('Segments'!$D$28*F51*Assumptions!$B$109+'Segments'!$B$28*(0.4983251709*F51+0.4357405005*F51+0.0330936548*F51+0.0328406739))+F54*('Segments'!$D$29*F51*Assumptions!$B$109+'Segments'!$B$29*(0.4983251709*F51+0.4357405005*F51+0.0330936548*F51+0.0328406739))+F55*('Segments'!$D$30*F51*Assumptions!$B$109+'Segments'!$B$30*(0.4983251709*F51+0.4357405005*F51+0.0330936548*F51+0.0328406739))+F56*('Segments'!$D$31*F51*Assumptions!$B$109+'Segments'!$B$31*(0.4983251709*F51+0.4357405005*F51+0.0330936548*F51+0.0328406739))+F57*('Segments'!$D$32*F51*Assumptions!$B$109+'Segments'!$B$32*(0.4983251709*F51+0.4357405005*F51+0.0330936548*F51+0.0328406739))+F58*('Segments'!$D$33*F51*Assumptions!$B$109+'Segments'!$B$33*(0.4983251709*F51+0.4357405005*F51+0.0330936548*F51+0.0328406739))+F59*('Segments'!$D$34*F51*Assumptions!$B$109+'Segments'!$B$34*(0.4983251709*F51+0.4357405005*F51+0.0330936548*F51+0.0328406739))</f>
        <v/>
      </c>
      <c r="G62" s="18">
        <f>G52*('Segments'!$D$27*G51*Assumptions!$B$109+'Segments'!$B$27*(0.4983251709*G51+0.4357405005*G51+0.0330936548*G51+0.0328406739))+G53*('Segments'!$D$28*G51*Assumptions!$B$109+'Segments'!$B$28*(0.4983251709*G51+0.4357405005*G51+0.0330936548*G51+0.0328406739))+G54*('Segments'!$D$29*G51*Assumptions!$B$109+'Segments'!$B$29*(0.4983251709*G51+0.4357405005*G51+0.0330936548*G51+0.0328406739))+G55*('Segments'!$D$30*G51*Assumptions!$B$109+'Segments'!$B$30*(0.4983251709*G51+0.4357405005*G51+0.0330936548*G51+0.0328406739))+G56*('Segments'!$D$31*G51*Assumptions!$B$109+'Segments'!$B$31*(0.4983251709*G51+0.4357405005*G51+0.0330936548*G51+0.0328406739))+G57*('Segments'!$D$32*G51*Assumptions!$B$109+'Segments'!$B$32*(0.4983251709*G51+0.4357405005*G51+0.0330936548*G51+0.0328406739))+G58*('Segments'!$D$33*G51*Assumptions!$B$109+'Segments'!$B$33*(0.4983251709*G51+0.4357405005*G51+0.0330936548*G51+0.0328406739))+G59*('Segments'!$D$34*G51*Assumptions!$B$109+'Segments'!$B$34*(0.4983251709*G51+0.4357405005*G51+0.0330936548*G51+0.0328406739))</f>
        <v/>
      </c>
    </row>
    <row r="63">
      <c r="A63" s="15" t="inlineStr">
        <is>
          <t>GROSS PROFIT</t>
        </is>
      </c>
      <c r="C63" s="37">
        <f>C61-C62+$C$6*C61</f>
        <v/>
      </c>
      <c r="D63" s="37">
        <f>D61-D62+$C$6*D61</f>
        <v/>
      </c>
      <c r="E63" s="37">
        <f>E61-E62+$C$6*E61</f>
        <v/>
      </c>
      <c r="F63" s="37">
        <f>F61-F62+$C$6*F61</f>
        <v/>
      </c>
      <c r="G63" s="37">
        <f>G61-G62+$C$6*G61</f>
        <v/>
      </c>
    </row>
    <row r="64">
      <c r="A64" s="7" t="inlineStr">
        <is>
          <t>Gross margin</t>
        </is>
      </c>
      <c r="C64" s="24">
        <f>C63/C61</f>
        <v/>
      </c>
      <c r="D64" s="24">
        <f>D63/D61</f>
        <v/>
      </c>
      <c r="E64" s="24">
        <f>E63/E61</f>
        <v/>
      </c>
      <c r="F64" s="24">
        <f>F63/F61</f>
        <v/>
      </c>
      <c r="G64" s="24">
        <f>G63/G61</f>
        <v/>
      </c>
    </row>
    <row r="65">
      <c r="A65" s="7" t="inlineStr">
        <is>
          <t>Operating expense</t>
        </is>
      </c>
      <c r="C65" s="18">
        <f>('Income Statement'!$B$28*C50)+('Income Statement'!$B$29*C50*C60/'Segments'!$E$14)+('Income Statement'!$B$30*C50)+('Income Statement'!$B$31*C50)</f>
        <v/>
      </c>
      <c r="D65" s="18">
        <f>('Income Statement'!$B$28*D50)+('Income Statement'!$B$29*D50*D60/'Segments'!$E$14)+('Income Statement'!$B$30*D50)+('Income Statement'!$B$31*D50)</f>
        <v/>
      </c>
      <c r="E65" s="18">
        <f>('Income Statement'!$B$28*E50)+('Income Statement'!$B$29*E50*E60/'Segments'!$E$14)+('Income Statement'!$B$30*E50)+('Income Statement'!$B$31*E50)</f>
        <v/>
      </c>
      <c r="F65" s="18">
        <f>('Income Statement'!$B$28*F50)+('Income Statement'!$B$29*F50*F60/'Segments'!$E$14)+('Income Statement'!$B$30*F50)+('Income Statement'!$B$31*F50)</f>
        <v/>
      </c>
      <c r="G65" s="18">
        <f>('Income Statement'!$B$28*G50)+('Income Statement'!$B$29*G50*G60/'Segments'!$E$14)+('Income Statement'!$B$30*G50)+('Income Statement'!$B$31*G50)</f>
        <v/>
      </c>
    </row>
    <row r="66">
      <c r="A66" s="15" t="inlineStr">
        <is>
          <t>EBITDA</t>
        </is>
      </c>
      <c r="C66" s="37">
        <f>C63-C65</f>
        <v/>
      </c>
      <c r="D66" s="37">
        <f>D63-D65</f>
        <v/>
      </c>
      <c r="E66" s="37">
        <f>E63-E65</f>
        <v/>
      </c>
      <c r="F66" s="37">
        <f>F63-F65</f>
        <v/>
      </c>
      <c r="G66" s="37">
        <f>G63-G65</f>
        <v/>
      </c>
    </row>
    <row r="67">
      <c r="A67" s="7" t="inlineStr">
        <is>
          <t>Capital expenditure — maintenance + growth</t>
        </is>
      </c>
      <c r="C67" s="18">
        <f>'Income Statement'!$B$43*C50+MAX(C60-'Segments'!$E$14,0)*2100.379938*C50</f>
        <v/>
      </c>
      <c r="D67" s="18">
        <f>'Income Statement'!$B$43*D50+MAX(D60-C60,0)*2100.379938*D50</f>
        <v/>
      </c>
      <c r="E67" s="18">
        <f>'Income Statement'!$B$43*E50+MAX(E60-D60,0)*2100.379938*E50</f>
        <v/>
      </c>
      <c r="F67" s="18">
        <f>'Income Statement'!$B$43*F50+MAX(F60-E60,0)*2100.379938*F50</f>
        <v/>
      </c>
      <c r="G67" s="18">
        <f>'Income Statement'!$B$43*G50+MAX(G60-F60,0)*2100.379938*G50</f>
        <v/>
      </c>
    </row>
    <row r="68">
      <c r="A68" s="7" t="inlineStr">
        <is>
          <t>Fixed assets at cost, closing</t>
        </is>
      </c>
      <c r="C68" s="18">
        <f>(Assumptions!$B$91+Assumptions!$B$92)/10^6+C67</f>
        <v/>
      </c>
      <c r="D68" s="18">
        <f>C68+D67</f>
        <v/>
      </c>
      <c r="E68" s="18">
        <f>D68+E67</f>
        <v/>
      </c>
      <c r="F68" s="18">
        <f>E68+F67</f>
        <v/>
      </c>
      <c r="G68" s="18">
        <f>F68+G67</f>
        <v/>
      </c>
    </row>
    <row r="69">
      <c r="A69" s="7" t="inlineStr">
        <is>
          <t>Depreciation — rolls off the asset register</t>
        </is>
      </c>
      <c r="C69" s="18">
        <f>(Assumptions!$B$91+Assumptions!$B$92)/10^6/'Income Statement'!$B$42</f>
        <v/>
      </c>
      <c r="D69" s="18">
        <f>C68/'Income Statement'!$B$42</f>
        <v/>
      </c>
      <c r="E69" s="18">
        <f>D68/'Income Statement'!$B$42</f>
        <v/>
      </c>
      <c r="F69" s="18">
        <f>E68/'Income Statement'!$B$42</f>
        <v/>
      </c>
      <c r="G69" s="18">
        <f>F68/'Income Statement'!$B$42</f>
        <v/>
      </c>
    </row>
    <row r="70">
      <c r="A70" s="7" t="inlineStr">
        <is>
          <t>Fixed assets, net book, closing</t>
        </is>
      </c>
      <c r="C70" s="18">
        <f>(Assumptions!$B$90+Assumptions!$B$92)/10^6+C67-C69</f>
        <v/>
      </c>
      <c r="D70" s="18">
        <f>C70+D67-D69</f>
        <v/>
      </c>
      <c r="E70" s="18">
        <f>D70+E67-E69</f>
        <v/>
      </c>
      <c r="F70" s="18">
        <f>E70+F67-F69</f>
        <v/>
      </c>
      <c r="G70" s="18">
        <f>F70+G67-G69</f>
        <v/>
      </c>
    </row>
    <row r="71">
      <c r="A71" s="15" t="inlineStr">
        <is>
          <t>EBIT</t>
        </is>
      </c>
      <c r="C71" s="37">
        <f>C66-C69</f>
        <v/>
      </c>
      <c r="D71" s="37">
        <f>D66-D69</f>
        <v/>
      </c>
      <c r="E71" s="37">
        <f>E66-E69</f>
        <v/>
      </c>
      <c r="F71" s="37">
        <f>F66-F69</f>
        <v/>
      </c>
      <c r="G71" s="37">
        <f>G66-G69</f>
        <v/>
      </c>
    </row>
    <row r="72">
      <c r="A72" s="7" t="inlineStr">
        <is>
          <t>NOPAT before the profit share</t>
        </is>
      </c>
      <c r="C72" s="18">
        <f>C71*(1-Assumptions!$B$108)</f>
        <v/>
      </c>
      <c r="D72" s="18">
        <f>D71*(1-Assumptions!$B$108)</f>
        <v/>
      </c>
      <c r="E72" s="18">
        <f>E71*(1-Assumptions!$B$108)</f>
        <v/>
      </c>
      <c r="F72" s="18">
        <f>F71*(1-Assumptions!$B$108)</f>
        <v/>
      </c>
      <c r="G72" s="18">
        <f>G71*(1-Assumptions!$B$108)</f>
        <v/>
      </c>
    </row>
    <row r="73">
      <c r="A73" s="7" t="inlineStr">
        <is>
          <t xml:space="preserve">  less employees' profit share and board bonuses</t>
        </is>
      </c>
      <c r="C73" s="18">
        <f>MAX(C72,0)*'Income Statement'!$B$40</f>
        <v/>
      </c>
      <c r="D73" s="18">
        <f>MAX(D72,0)*'Income Statement'!$B$40</f>
        <v/>
      </c>
      <c r="E73" s="18">
        <f>MAX(E72,0)*'Income Statement'!$B$40</f>
        <v/>
      </c>
      <c r="F73" s="18">
        <f>MAX(F72,0)*'Income Statement'!$B$40</f>
        <v/>
      </c>
      <c r="G73" s="18">
        <f>MAX(G72,0)*'Income Statement'!$B$40</f>
        <v/>
      </c>
    </row>
    <row r="74">
      <c r="A74" s="15" t="inlineStr">
        <is>
          <t>NOPAT</t>
        </is>
      </c>
      <c r="C74" s="37">
        <f>C72-C73</f>
        <v/>
      </c>
      <c r="D74" s="37">
        <f>D72-D73</f>
        <v/>
      </c>
      <c r="E74" s="37">
        <f>E72-E73</f>
        <v/>
      </c>
      <c r="F74" s="37">
        <f>F72-F73</f>
        <v/>
      </c>
      <c r="G74" s="37">
        <f>G72-G73</f>
        <v/>
      </c>
    </row>
    <row r="75">
      <c r="A75" s="7" t="inlineStr">
        <is>
          <t>Net working capital — on days</t>
        </is>
      </c>
      <c r="C75" s="18">
        <f>'Income Statement'!$B$44*DCF!$B$9/365*C62+'Income Statement'!$B$45*DCF!$B$9/365*C61-'Income Statement'!$B$46*DCF!$B$9/365*C62</f>
        <v/>
      </c>
      <c r="D75" s="18">
        <f>'Income Statement'!$B$44*DCF!$B$9/365*D62+'Income Statement'!$B$45*DCF!$B$9/365*D61-'Income Statement'!$B$46*DCF!$B$9/365*D62</f>
        <v/>
      </c>
      <c r="E75" s="18">
        <f>'Income Statement'!$B$44*DCF!$B$9/365*E62+'Income Statement'!$B$45*DCF!$B$9/365*E61-'Income Statement'!$B$46*DCF!$B$9/365*E62</f>
        <v/>
      </c>
      <c r="F75" s="18">
        <f>'Income Statement'!$B$44*DCF!$B$9/365*F62+'Income Statement'!$B$45*DCF!$B$9/365*F61-'Income Statement'!$B$46*DCF!$B$9/365*F62</f>
        <v/>
      </c>
      <c r="G75" s="18">
        <f>'Income Statement'!$B$44*DCF!$B$9/365*G62+'Income Statement'!$B$45*DCF!$B$9/365*G61-'Income Statement'!$B$46*DCF!$B$9/365*G62</f>
        <v/>
      </c>
    </row>
    <row r="76">
      <c r="A76" s="7" t="inlineStr">
        <is>
          <t xml:space="preserve">  change in working capital</t>
        </is>
      </c>
      <c r="C76" s="18">
        <f>C75-('Income Statement'!$B$44/365*'Income Statement'!$B$21+'Income Statement'!$B$45/365*'Income Statement'!$B$19-'Income Statement'!$B$46/365*'Income Statement'!$B$21)</f>
        <v/>
      </c>
      <c r="D76" s="18">
        <f>D75-C75</f>
        <v/>
      </c>
      <c r="E76" s="18">
        <f>E75-D75</f>
        <v/>
      </c>
      <c r="F76" s="18">
        <f>F75-E75</f>
        <v/>
      </c>
      <c r="G76" s="18">
        <f>G75-F75</f>
        <v/>
      </c>
    </row>
    <row r="77">
      <c r="A77" s="15" t="inlineStr">
        <is>
          <t>FREE CASH FLOW TO THE FIRM</t>
        </is>
      </c>
      <c r="C77" s="37">
        <f>C74+C69-C67-C76</f>
        <v/>
      </c>
      <c r="D77" s="37">
        <f>D74+D69-D67-D76</f>
        <v/>
      </c>
      <c r="E77" s="37">
        <f>E74+E69-E67-E76</f>
        <v/>
      </c>
      <c r="F77" s="37">
        <f>F74+F69-F67-F76</f>
        <v/>
      </c>
      <c r="G77" s="37">
        <f>G74+G69-G67-G76</f>
        <v/>
      </c>
    </row>
    <row r="78">
      <c r="A78" s="7" t="inlineStr">
        <is>
          <t>Glide fraction</t>
        </is>
      </c>
      <c r="C78" s="23">
        <f>0.0000000000</f>
        <v/>
      </c>
      <c r="D78" s="23">
        <f>0.5166487648</f>
        <v/>
      </c>
      <c r="E78" s="23">
        <f>0.7314715360</f>
        <v/>
      </c>
      <c r="F78" s="23">
        <f>0.8925886144</f>
        <v/>
      </c>
      <c r="G78" s="23">
        <f>1.0000000000</f>
        <v/>
      </c>
    </row>
    <row r="79">
      <c r="A79" s="7" t="inlineStr">
        <is>
          <t>Forward cost of capital</t>
        </is>
      </c>
      <c r="C79" s="24">
        <f>DCF!$B$14-(DCF!$B$14-DCF!$B$17)*C78</f>
        <v/>
      </c>
      <c r="D79" s="24">
        <f>DCF!$B$14-(DCF!$B$14-DCF!$B$17)*D78</f>
        <v/>
      </c>
      <c r="E79" s="24">
        <f>DCF!$B$14-(DCF!$B$14-DCF!$B$17)*E78</f>
        <v/>
      </c>
      <c r="F79" s="24">
        <f>DCF!$B$14-(DCF!$B$14-DCF!$B$17)*F78</f>
        <v/>
      </c>
      <c r="G79" s="24">
        <f>DCF!$B$14-(DCF!$B$14-DCF!$B$17)*G78</f>
        <v/>
      </c>
    </row>
    <row r="80">
      <c r="A80" s="7" t="inlineStr">
        <is>
          <t>Cumulative discount factor</t>
        </is>
      </c>
      <c r="C80" s="40">
        <f>1/(1+C79)</f>
        <v/>
      </c>
      <c r="D80" s="40">
        <f>C80/(1+D79)</f>
        <v/>
      </c>
      <c r="E80" s="40">
        <f>D80/(1+E79)</f>
        <v/>
      </c>
      <c r="F80" s="40">
        <f>E80/(1+F79)</f>
        <v/>
      </c>
      <c r="G80" s="40">
        <f>F80/(1+G79)</f>
        <v/>
      </c>
    </row>
    <row r="81">
      <c r="A81" s="7" t="inlineStr">
        <is>
          <t>Present value</t>
        </is>
      </c>
      <c r="C81" s="18">
        <f>C77*C80</f>
        <v/>
      </c>
      <c r="D81" s="18">
        <f>D77*D80</f>
        <v/>
      </c>
      <c r="E81" s="18">
        <f>E77*E80</f>
        <v/>
      </c>
      <c r="F81" s="18">
        <f>F77*F80</f>
        <v/>
      </c>
      <c r="G81" s="18">
        <f>G77*G80</f>
        <v/>
      </c>
    </row>
    <row r="82">
      <c r="A82" s="15" t="inlineStr">
        <is>
          <t>PV of the explicit window</t>
        </is>
      </c>
      <c r="B82" s="37">
        <f>SUM(C81:G81)</f>
        <v/>
      </c>
      <c r="C82" s="18">
        <f>C75+C68</f>
        <v/>
      </c>
      <c r="D82" s="18">
        <f>D75+D68</f>
        <v/>
      </c>
      <c r="E82" s="18">
        <f>E75+E68</f>
        <v/>
      </c>
      <c r="F82" s="18">
        <f>F75+F68</f>
        <v/>
      </c>
      <c r="G82" s="18">
        <f>G75+G68</f>
        <v/>
      </c>
    </row>
    <row r="83">
      <c r="A83" s="7" t="inlineStr">
        <is>
          <t>Terminal return on invested capital, at REPLACEMENT cost</t>
        </is>
      </c>
      <c r="B83" s="24">
        <f>G74*(1+Assumptions!$B$110)/G82</f>
        <v/>
      </c>
    </row>
    <row r="84">
      <c r="A84" s="7" t="inlineStr">
        <is>
          <t>Required reinvestment = growth / return</t>
        </is>
      </c>
      <c r="B84" s="24">
        <f>MIN(Assumptions!$B$110/B83,0.95)</f>
        <v/>
      </c>
    </row>
    <row r="85">
      <c r="A85" s="7" t="inlineStr">
        <is>
          <t>Terminal value</t>
        </is>
      </c>
      <c r="B85" s="18">
        <f>G74*(1+Assumptions!$B$110)*(1-B84)/MAX(DCF!$B$17-Assumptions!$B$110,0.02)</f>
        <v/>
      </c>
    </row>
    <row r="86">
      <c r="A86" s="7" t="inlineStr">
        <is>
          <t>PV of the terminal block</t>
        </is>
      </c>
      <c r="B86" s="18">
        <f>B85*G80</f>
        <v/>
      </c>
    </row>
    <row r="87">
      <c r="A87" s="15" t="inlineStr">
        <is>
          <t>ENTERPRISE VALUE</t>
        </is>
      </c>
      <c r="B87" s="37">
        <f>B82+B86</f>
        <v/>
      </c>
    </row>
    <row r="88">
      <c r="A88" s="7" t="inlineStr">
        <is>
          <t>plus net cash</t>
        </is>
      </c>
      <c r="B88" s="18">
        <f>(Assumptions!$B$100-Assumptions!$B$103-Assumptions!$B$104)/10^6</f>
        <v/>
      </c>
    </row>
    <row r="89">
      <c r="A89" s="7" t="inlineStr">
        <is>
          <t>Enterprise value including cash</t>
        </is>
      </c>
      <c r="B89" s="18">
        <f>B87+B88</f>
        <v/>
      </c>
    </row>
    <row r="90">
      <c r="A90" s="7" t="inlineStr">
        <is>
          <t>less minority — on the WHOLE enterprise, cash included</t>
        </is>
      </c>
      <c r="B90" s="18">
        <f>B89*'Income Statement'!$B$41</f>
        <v/>
      </c>
    </row>
    <row r="91">
      <c r="A91" s="7" t="inlineStr">
        <is>
          <t>less the tax-disputes provision</t>
        </is>
      </c>
      <c r="B91" s="18">
        <f>Assumptions!$B$99/10^6</f>
        <v/>
      </c>
    </row>
    <row r="92">
      <c r="A92" s="7" t="inlineStr">
        <is>
          <t>less dividends payable — declared, out of working capital</t>
        </is>
      </c>
      <c r="B92" s="18">
        <f>Assumptions!$B$98/10^6</f>
        <v/>
      </c>
    </row>
    <row r="93">
      <c r="A93" s="7" t="inlineStr">
        <is>
          <t>plus non-operating investments and pledged deposits</t>
        </is>
      </c>
      <c r="B93" s="18">
        <f>(Assumptions!$B$102+Assumptions!$B$101)/10^6</f>
        <v/>
      </c>
    </row>
    <row r="94">
      <c r="A94" s="15" t="inlineStr">
        <is>
          <t>EQUITY ATTRIBUTABLE</t>
        </is>
      </c>
      <c r="B94" s="37">
        <f>B89-B90-B91-B92+B93</f>
        <v/>
      </c>
    </row>
    <row r="95">
      <c r="A95" s="15" t="inlineStr">
        <is>
          <t>VALUE PER SHARE, EGP</t>
        </is>
      </c>
      <c r="B95" s="22">
        <f>B94/Assumptions!$B$8</f>
        <v/>
      </c>
    </row>
    <row r="98">
      <c r="A98" s="6" t="inlineStr">
        <is>
          <t>Gross margin, shifted on every forecast year — -0.5%</t>
        </is>
      </c>
      <c r="B98" s="6" t="inlineStr">
        <is>
          <t>2026E</t>
        </is>
      </c>
      <c r="C98" s="6" t="inlineStr">
        <is>
          <t>2027E</t>
        </is>
      </c>
      <c r="D98" s="6" t="inlineStr">
        <is>
          <t>2028E</t>
        </is>
      </c>
      <c r="E98" s="6" t="inlineStr">
        <is>
          <t>2029E</t>
        </is>
      </c>
      <c r="F98" s="6" t="inlineStr">
        <is>
          <t>2030E</t>
        </is>
      </c>
    </row>
    <row r="99">
      <c r="A99" s="7" t="inlineStr">
        <is>
          <t>Inflation index, cumulative</t>
        </is>
      </c>
      <c r="C99" s="23">
        <f>Assumptions!$B$167</f>
        <v/>
      </c>
      <c r="D99" s="23">
        <f>C99*Assumptions!$B$168</f>
        <v/>
      </c>
      <c r="E99" s="23">
        <f>D99*Assumptions!$B$169</f>
        <v/>
      </c>
      <c r="F99" s="23">
        <f>E99*Assumptions!$B$170</f>
        <v/>
      </c>
      <c r="G99" s="23">
        <f>F99*Assumptions!$B$171</f>
        <v/>
      </c>
    </row>
    <row r="100">
      <c r="A100" s="7" t="inlineStr">
        <is>
          <t>Realisation index, cumulative</t>
        </is>
      </c>
      <c r="C100" s="23">
        <f>(1+Assumptions!$B$122*DCF!$B$8)</f>
        <v/>
      </c>
      <c r="D100" s="23">
        <f>C100*(1+Assumptions!$B$123*DCF!$B$8)</f>
        <v/>
      </c>
      <c r="E100" s="23">
        <f>D100*(1+Assumptions!$B$124*DCF!$B$8)</f>
        <v/>
      </c>
      <c r="F100" s="23">
        <f>E100*(1+Assumptions!$B$125*DCF!$B$8)</f>
        <v/>
      </c>
      <c r="G100" s="23">
        <f>F100*(1+Assumptions!$B$126*DCF!$B$8)</f>
        <v/>
      </c>
    </row>
    <row r="101">
      <c r="A101" s="7" t="inlineStr">
        <is>
          <t xml:space="preserve">  Volume — Base and special oils, mn t</t>
        </is>
      </c>
      <c r="C101" s="23">
        <f>'Segments'!E6*(1+Assumptions!$B$127+DCF!$B$6)</f>
        <v/>
      </c>
      <c r="D101" s="23">
        <f>C101*(1+Assumptions!$B$128+DCF!$B$6)</f>
        <v/>
      </c>
      <c r="E101" s="23">
        <f>D101*(1+Assumptions!$B$129+DCF!$B$6)</f>
        <v/>
      </c>
      <c r="F101" s="23">
        <f>E101*(1+Assumptions!$B$130+DCF!$B$6)</f>
        <v/>
      </c>
      <c r="G101" s="23">
        <f>F101*(1+Assumptions!$B$131+DCF!$B$6)</f>
        <v/>
      </c>
    </row>
    <row r="102">
      <c r="A102" s="7" t="inlineStr">
        <is>
          <t xml:space="preserve">  Volume — Paraffin wax, mn t</t>
        </is>
      </c>
      <c r="C102" s="23">
        <f>'Segments'!E7*(1+Assumptions!$B$132+DCF!$B$6)</f>
        <v/>
      </c>
      <c r="D102" s="23">
        <f>C102*(1+Assumptions!$B$133+DCF!$B$6)</f>
        <v/>
      </c>
      <c r="E102" s="23">
        <f>D102*(1+Assumptions!$B$134+DCF!$B$6)</f>
        <v/>
      </c>
      <c r="F102" s="23">
        <f>E102*(1+Assumptions!$B$135+DCF!$B$6)</f>
        <v/>
      </c>
      <c r="G102" s="23">
        <f>F102*(1+Assumptions!$B$136+DCF!$B$6)</f>
        <v/>
      </c>
    </row>
    <row r="103">
      <c r="A103" s="7" t="inlineStr">
        <is>
          <t xml:space="preserve">  Volume — Gas oil, mn t</t>
        </is>
      </c>
      <c r="C103" s="23">
        <f>'Segments'!E8*(1+Assumptions!$B$137+DCF!$B$6)</f>
        <v/>
      </c>
      <c r="D103" s="23">
        <f>C103*(1+Assumptions!$B$138+DCF!$B$6)</f>
        <v/>
      </c>
      <c r="E103" s="23">
        <f>D103*(1+Assumptions!$B$139+DCF!$B$6)</f>
        <v/>
      </c>
      <c r="F103" s="23">
        <f>E103*(1+Assumptions!$B$140+DCF!$B$6)</f>
        <v/>
      </c>
      <c r="G103" s="23">
        <f>F103*(1+Assumptions!$B$141+DCF!$B$6)</f>
        <v/>
      </c>
    </row>
    <row r="104">
      <c r="A104" s="7" t="inlineStr">
        <is>
          <t xml:space="preserve">  Volume — Naphtha, mn t</t>
        </is>
      </c>
      <c r="C104" s="23">
        <f>'Segments'!E9*(1+Assumptions!$B$142+DCF!$B$6)</f>
        <v/>
      </c>
      <c r="D104" s="23">
        <f>C104*(1+Assumptions!$B$143+DCF!$B$6)</f>
        <v/>
      </c>
      <c r="E104" s="23">
        <f>D104*(1+Assumptions!$B$144+DCF!$B$6)</f>
        <v/>
      </c>
      <c r="F104" s="23">
        <f>E104*(1+Assumptions!$B$145+DCF!$B$6)</f>
        <v/>
      </c>
      <c r="G104" s="23">
        <f>F104*(1+Assumptions!$B$146+DCF!$B$6)</f>
        <v/>
      </c>
    </row>
    <row r="105">
      <c r="A105" s="7" t="inlineStr">
        <is>
          <t xml:space="preserve">  Volume — Liquefied petroleum gas, mn t</t>
        </is>
      </c>
      <c r="C105" s="23">
        <f>'Segments'!E10*(1+Assumptions!$B$147+DCF!$B$6)</f>
        <v/>
      </c>
      <c r="D105" s="23">
        <f>C105*(1+Assumptions!$B$148+DCF!$B$6)</f>
        <v/>
      </c>
      <c r="E105" s="23">
        <f>D105*(1+Assumptions!$B$149+DCF!$B$6)</f>
        <v/>
      </c>
      <c r="F105" s="23">
        <f>E105*(1+Assumptions!$B$150+DCF!$B$6)</f>
        <v/>
      </c>
      <c r="G105" s="23">
        <f>F105*(1+Assumptions!$B$151+DCF!$B$6)</f>
        <v/>
      </c>
    </row>
    <row r="106">
      <c r="A106" s="7" t="inlineStr">
        <is>
          <t xml:space="preserve">  Volume — Fuel oil (mix), mn t</t>
        </is>
      </c>
      <c r="C106" s="23">
        <f>'Segments'!E11*(1+Assumptions!$B$152+DCF!$B$6)</f>
        <v/>
      </c>
      <c r="D106" s="23">
        <f>C106*(1+Assumptions!$B$153+DCF!$B$6)</f>
        <v/>
      </c>
      <c r="E106" s="23">
        <f>D106*(1+Assumptions!$B$154+DCF!$B$6)</f>
        <v/>
      </c>
      <c r="F106" s="23">
        <f>E106*(1+Assumptions!$B$155+DCF!$B$6)</f>
        <v/>
      </c>
      <c r="G106" s="23">
        <f>F106*(1+Assumptions!$B$156+DCF!$B$6)</f>
        <v/>
      </c>
    </row>
    <row r="107">
      <c r="A107" s="7" t="inlineStr">
        <is>
          <t xml:space="preserve">  Volume — Heavy fuel oil, mn t</t>
        </is>
      </c>
      <c r="C107" s="23">
        <f>'Segments'!E12*(1+Assumptions!$B$157+DCF!$B$6)</f>
        <v/>
      </c>
      <c r="D107" s="23">
        <f>C107*(1+Assumptions!$B$158+DCF!$B$6)</f>
        <v/>
      </c>
      <c r="E107" s="23">
        <f>D107*(1+Assumptions!$B$159+DCF!$B$6)</f>
        <v/>
      </c>
      <c r="F107" s="23">
        <f>E107*(1+Assumptions!$B$160+DCF!$B$6)</f>
        <v/>
      </c>
      <c r="G107" s="23">
        <f>F107*(1+Assumptions!$B$161+DCF!$B$6)</f>
        <v/>
      </c>
    </row>
    <row r="108">
      <c r="A108" s="7" t="inlineStr">
        <is>
          <t xml:space="preserve">  Volume — Waste, mn t</t>
        </is>
      </c>
      <c r="C108" s="23">
        <f>'Segments'!E13*(1+Assumptions!$B$162+DCF!$B$6)</f>
        <v/>
      </c>
      <c r="D108" s="23">
        <f>C108*(1+Assumptions!$B$163+DCF!$B$6)</f>
        <v/>
      </c>
      <c r="E108" s="23">
        <f>D108*(1+Assumptions!$B$164+DCF!$B$6)</f>
        <v/>
      </c>
      <c r="F108" s="23">
        <f>E108*(1+Assumptions!$B$165+DCF!$B$6)</f>
        <v/>
      </c>
      <c r="G108" s="23">
        <f>F108*(1+Assumptions!$B$166+DCF!$B$6)</f>
        <v/>
      </c>
    </row>
    <row r="109">
      <c r="A109" s="15" t="inlineStr">
        <is>
          <t>Total volume, mn t</t>
        </is>
      </c>
      <c r="C109" s="36">
        <f>SUM(C101:C108)</f>
        <v/>
      </c>
      <c r="D109" s="36">
        <f>SUM(D101:D108)</f>
        <v/>
      </c>
      <c r="E109" s="36">
        <f>SUM(E101:E108)</f>
        <v/>
      </c>
      <c r="F109" s="36">
        <f>SUM(F101:F108)</f>
        <v/>
      </c>
      <c r="G109" s="36">
        <f>SUM(G101:G108)</f>
        <v/>
      </c>
    </row>
    <row r="110">
      <c r="A110" s="15" t="inlineStr">
        <is>
          <t>REVENUE</t>
        </is>
      </c>
      <c r="C110" s="37">
        <f>C101*'Segments'!$F$6*C100+C102*'Segments'!$F$7*C100+C103*'Segments'!$F$8*C100+C104*'Segments'!$F$9*C100+C105*'Segments'!$F$10*C100+C106*'Segments'!$F$11*C100+C107*'Segments'!$F$12*C100+C108*'Segments'!$F$13*C100</f>
        <v/>
      </c>
      <c r="D110" s="37">
        <f>D101*'Segments'!$F$6*D100+D102*'Segments'!$F$7*D100+D103*'Segments'!$F$8*D100+D104*'Segments'!$F$9*D100+D105*'Segments'!$F$10*D100+D106*'Segments'!$F$11*D100+D107*'Segments'!$F$12*D100+D108*'Segments'!$F$13*D100</f>
        <v/>
      </c>
      <c r="E110" s="37">
        <f>E101*'Segments'!$F$6*E100+E102*'Segments'!$F$7*E100+E103*'Segments'!$F$8*E100+E104*'Segments'!$F$9*E100+E105*'Segments'!$F$10*E100+E106*'Segments'!$F$11*E100+E107*'Segments'!$F$12*E100+E108*'Segments'!$F$13*E100</f>
        <v/>
      </c>
      <c r="F110" s="37">
        <f>F101*'Segments'!$F$6*F100+F102*'Segments'!$F$7*F100+F103*'Segments'!$F$8*F100+F104*'Segments'!$F$9*F100+F105*'Segments'!$F$10*F100+F106*'Segments'!$F$11*F100+F107*'Segments'!$F$12*F100+F108*'Segments'!$F$13*F100</f>
        <v/>
      </c>
      <c r="G110" s="37">
        <f>G101*'Segments'!$F$6*G100+G102*'Segments'!$F$7*G100+G103*'Segments'!$F$8*G100+G104*'Segments'!$F$9*G100+G105*'Segments'!$F$10*G100+G106*'Segments'!$F$11*G100+G107*'Segments'!$F$12*G100+G108*'Segments'!$F$13*G100</f>
        <v/>
      </c>
    </row>
    <row r="111">
      <c r="A111" s="7" t="inlineStr">
        <is>
          <t>Cost of sales</t>
        </is>
      </c>
      <c r="C111" s="18">
        <f>C101*('Segments'!$D$27*C100*Assumptions!$B$109+'Segments'!$B$27*(0.4983251709*C100+0.4357405005*C100+0.0330936548*C100+0.0328406739))+C102*('Segments'!$D$28*C100*Assumptions!$B$109+'Segments'!$B$28*(0.4983251709*C100+0.4357405005*C100+0.0330936548*C100+0.0328406739))+C103*('Segments'!$D$29*C100*Assumptions!$B$109+'Segments'!$B$29*(0.4983251709*C100+0.4357405005*C100+0.0330936548*C100+0.0328406739))+C104*('Segments'!$D$30*C100*Assumptions!$B$109+'Segments'!$B$30*(0.4983251709*C100+0.4357405005*C100+0.0330936548*C100+0.0328406739))+C105*('Segments'!$D$31*C100*Assumptions!$B$109+'Segments'!$B$31*(0.4983251709*C100+0.4357405005*C100+0.0330936548*C100+0.0328406739))+C106*('Segments'!$D$32*C100*Assumptions!$B$109+'Segments'!$B$32*(0.4983251709*C100+0.4357405005*C100+0.0330936548*C100+0.0328406739))+C107*('Segments'!$D$33*C100*Assumptions!$B$109+'Segments'!$B$33*(0.4983251709*C100+0.4357405005*C100+0.0330936548*C100+0.0328406739))+C108*('Segments'!$D$34*C100*Assumptions!$B$109+'Segments'!$B$34*(0.4983251709*C100+0.4357405005*C100+0.0330936548*C100+0.0328406739))</f>
        <v/>
      </c>
      <c r="D111" s="18">
        <f>D101*('Segments'!$D$27*D100*Assumptions!$B$109+'Segments'!$B$27*(0.4983251709*D100+0.4357405005*D100+0.0330936548*D100+0.0328406739))+D102*('Segments'!$D$28*D100*Assumptions!$B$109+'Segments'!$B$28*(0.4983251709*D100+0.4357405005*D100+0.0330936548*D100+0.0328406739))+D103*('Segments'!$D$29*D100*Assumptions!$B$109+'Segments'!$B$29*(0.4983251709*D100+0.4357405005*D100+0.0330936548*D100+0.0328406739))+D104*('Segments'!$D$30*D100*Assumptions!$B$109+'Segments'!$B$30*(0.4983251709*D100+0.4357405005*D100+0.0330936548*D100+0.0328406739))+D105*('Segments'!$D$31*D100*Assumptions!$B$109+'Segments'!$B$31*(0.4983251709*D100+0.4357405005*D100+0.0330936548*D100+0.0328406739))+D106*('Segments'!$D$32*D100*Assumptions!$B$109+'Segments'!$B$32*(0.4983251709*D100+0.4357405005*D100+0.0330936548*D100+0.0328406739))+D107*('Segments'!$D$33*D100*Assumptions!$B$109+'Segments'!$B$33*(0.4983251709*D100+0.4357405005*D100+0.0330936548*D100+0.0328406739))+D108*('Segments'!$D$34*D100*Assumptions!$B$109+'Segments'!$B$34*(0.4983251709*D100+0.4357405005*D100+0.0330936548*D100+0.0328406739))</f>
        <v/>
      </c>
      <c r="E111" s="18">
        <f>E101*('Segments'!$D$27*E100*Assumptions!$B$109+'Segments'!$B$27*(0.4983251709*E100+0.4357405005*E100+0.0330936548*E100+0.0328406739))+E102*('Segments'!$D$28*E100*Assumptions!$B$109+'Segments'!$B$28*(0.4983251709*E100+0.4357405005*E100+0.0330936548*E100+0.0328406739))+E103*('Segments'!$D$29*E100*Assumptions!$B$109+'Segments'!$B$29*(0.4983251709*E100+0.4357405005*E100+0.0330936548*E100+0.0328406739))+E104*('Segments'!$D$30*E100*Assumptions!$B$109+'Segments'!$B$30*(0.4983251709*E100+0.4357405005*E100+0.0330936548*E100+0.0328406739))+E105*('Segments'!$D$31*E100*Assumptions!$B$109+'Segments'!$B$31*(0.4983251709*E100+0.4357405005*E100+0.0330936548*E100+0.0328406739))+E106*('Segments'!$D$32*E100*Assumptions!$B$109+'Segments'!$B$32*(0.4983251709*E100+0.4357405005*E100+0.0330936548*E100+0.0328406739))+E107*('Segments'!$D$33*E100*Assumptions!$B$109+'Segments'!$B$33*(0.4983251709*E100+0.4357405005*E100+0.0330936548*E100+0.0328406739))+E108*('Segments'!$D$34*E100*Assumptions!$B$109+'Segments'!$B$34*(0.4983251709*E100+0.4357405005*E100+0.0330936548*E100+0.0328406739))</f>
        <v/>
      </c>
      <c r="F111" s="18">
        <f>F101*('Segments'!$D$27*F100*Assumptions!$B$109+'Segments'!$B$27*(0.4983251709*F100+0.4357405005*F100+0.0330936548*F100+0.0328406739))+F102*('Segments'!$D$28*F100*Assumptions!$B$109+'Segments'!$B$28*(0.4983251709*F100+0.4357405005*F100+0.0330936548*F100+0.0328406739))+F103*('Segments'!$D$29*F100*Assumptions!$B$109+'Segments'!$B$29*(0.4983251709*F100+0.4357405005*F100+0.0330936548*F100+0.0328406739))+F104*('Segments'!$D$30*F100*Assumptions!$B$109+'Segments'!$B$30*(0.4983251709*F100+0.4357405005*F100+0.0330936548*F100+0.0328406739))+F105*('Segments'!$D$31*F100*Assumptions!$B$109+'Segments'!$B$31*(0.4983251709*F100+0.4357405005*F100+0.0330936548*F100+0.0328406739))+F106*('Segments'!$D$32*F100*Assumptions!$B$109+'Segments'!$B$32*(0.4983251709*F100+0.4357405005*F100+0.0330936548*F100+0.0328406739))+F107*('Segments'!$D$33*F100*Assumptions!$B$109+'Segments'!$B$33*(0.4983251709*F100+0.4357405005*F100+0.0330936548*F100+0.0328406739))+F108*('Segments'!$D$34*F100*Assumptions!$B$109+'Segments'!$B$34*(0.4983251709*F100+0.4357405005*F100+0.0330936548*F100+0.0328406739))</f>
        <v/>
      </c>
      <c r="G111" s="18">
        <f>G101*('Segments'!$D$27*G100*Assumptions!$B$109+'Segments'!$B$27*(0.4983251709*G100+0.4357405005*G100+0.0330936548*G100+0.0328406739))+G102*('Segments'!$D$28*G100*Assumptions!$B$109+'Segments'!$B$28*(0.4983251709*G100+0.4357405005*G100+0.0330936548*G100+0.0328406739))+G103*('Segments'!$D$29*G100*Assumptions!$B$109+'Segments'!$B$29*(0.4983251709*G100+0.4357405005*G100+0.0330936548*G100+0.0328406739))+G104*('Segments'!$D$30*G100*Assumptions!$B$109+'Segments'!$B$30*(0.4983251709*G100+0.4357405005*G100+0.0330936548*G100+0.0328406739))+G105*('Segments'!$D$31*G100*Assumptions!$B$109+'Segments'!$B$31*(0.4983251709*G100+0.4357405005*G100+0.0330936548*G100+0.0328406739))+G106*('Segments'!$D$32*G100*Assumptions!$B$109+'Segments'!$B$32*(0.4983251709*G100+0.4357405005*G100+0.0330936548*G100+0.0328406739))+G107*('Segments'!$D$33*G100*Assumptions!$B$109+'Segments'!$B$33*(0.4983251709*G100+0.4357405005*G100+0.0330936548*G100+0.0328406739))+G108*('Segments'!$D$34*G100*Assumptions!$B$109+'Segments'!$B$34*(0.4983251709*G100+0.4357405005*G100+0.0330936548*G100+0.0328406739))</f>
        <v/>
      </c>
    </row>
    <row r="112">
      <c r="A112" s="15" t="inlineStr">
        <is>
          <t>GROSS PROFIT</t>
        </is>
      </c>
      <c r="C112" s="37">
        <f>C110-C111+$C$7*C110</f>
        <v/>
      </c>
      <c r="D112" s="37">
        <f>D110-D111+$C$7*D110</f>
        <v/>
      </c>
      <c r="E112" s="37">
        <f>E110-E111+$C$7*E110</f>
        <v/>
      </c>
      <c r="F112" s="37">
        <f>F110-F111+$C$7*F110</f>
        <v/>
      </c>
      <c r="G112" s="37">
        <f>G110-G111+$C$7*G110</f>
        <v/>
      </c>
    </row>
    <row r="113">
      <c r="A113" s="7" t="inlineStr">
        <is>
          <t>Gross margin</t>
        </is>
      </c>
      <c r="C113" s="24">
        <f>C112/C110</f>
        <v/>
      </c>
      <c r="D113" s="24">
        <f>D112/D110</f>
        <v/>
      </c>
      <c r="E113" s="24">
        <f>E112/E110</f>
        <v/>
      </c>
      <c r="F113" s="24">
        <f>F112/F110</f>
        <v/>
      </c>
      <c r="G113" s="24">
        <f>G112/G110</f>
        <v/>
      </c>
    </row>
    <row r="114">
      <c r="A114" s="7" t="inlineStr">
        <is>
          <t>Operating expense</t>
        </is>
      </c>
      <c r="C114" s="18">
        <f>('Income Statement'!$B$28*C99)+('Income Statement'!$B$29*C99*C109/'Segments'!$E$14)+('Income Statement'!$B$30*C99)+('Income Statement'!$B$31*C99)</f>
        <v/>
      </c>
      <c r="D114" s="18">
        <f>('Income Statement'!$B$28*D99)+('Income Statement'!$B$29*D99*D109/'Segments'!$E$14)+('Income Statement'!$B$30*D99)+('Income Statement'!$B$31*D99)</f>
        <v/>
      </c>
      <c r="E114" s="18">
        <f>('Income Statement'!$B$28*E99)+('Income Statement'!$B$29*E99*E109/'Segments'!$E$14)+('Income Statement'!$B$30*E99)+('Income Statement'!$B$31*E99)</f>
        <v/>
      </c>
      <c r="F114" s="18">
        <f>('Income Statement'!$B$28*F99)+('Income Statement'!$B$29*F99*F109/'Segments'!$E$14)+('Income Statement'!$B$30*F99)+('Income Statement'!$B$31*F99)</f>
        <v/>
      </c>
      <c r="G114" s="18">
        <f>('Income Statement'!$B$28*G99)+('Income Statement'!$B$29*G99*G109/'Segments'!$E$14)+('Income Statement'!$B$30*G99)+('Income Statement'!$B$31*G99)</f>
        <v/>
      </c>
    </row>
    <row r="115">
      <c r="A115" s="15" t="inlineStr">
        <is>
          <t>EBITDA</t>
        </is>
      </c>
      <c r="C115" s="37">
        <f>C112-C114</f>
        <v/>
      </c>
      <c r="D115" s="37">
        <f>D112-D114</f>
        <v/>
      </c>
      <c r="E115" s="37">
        <f>E112-E114</f>
        <v/>
      </c>
      <c r="F115" s="37">
        <f>F112-F114</f>
        <v/>
      </c>
      <c r="G115" s="37">
        <f>G112-G114</f>
        <v/>
      </c>
    </row>
    <row r="116">
      <c r="A116" s="7" t="inlineStr">
        <is>
          <t>Capital expenditure — maintenance + growth</t>
        </is>
      </c>
      <c r="C116" s="18">
        <f>'Income Statement'!$B$43*C99+MAX(C109-'Segments'!$E$14,0)*2100.379938*C99</f>
        <v/>
      </c>
      <c r="D116" s="18">
        <f>'Income Statement'!$B$43*D99+MAX(D109-C109,0)*2100.379938*D99</f>
        <v/>
      </c>
      <c r="E116" s="18">
        <f>'Income Statement'!$B$43*E99+MAX(E109-D109,0)*2100.379938*E99</f>
        <v/>
      </c>
      <c r="F116" s="18">
        <f>'Income Statement'!$B$43*F99+MAX(F109-E109,0)*2100.379938*F99</f>
        <v/>
      </c>
      <c r="G116" s="18">
        <f>'Income Statement'!$B$43*G99+MAX(G109-F109,0)*2100.379938*G99</f>
        <v/>
      </c>
    </row>
    <row r="117">
      <c r="A117" s="7" t="inlineStr">
        <is>
          <t>Fixed assets at cost, closing</t>
        </is>
      </c>
      <c r="C117" s="18">
        <f>(Assumptions!$B$91+Assumptions!$B$92)/10^6+C116</f>
        <v/>
      </c>
      <c r="D117" s="18">
        <f>C117+D116</f>
        <v/>
      </c>
      <c r="E117" s="18">
        <f>D117+E116</f>
        <v/>
      </c>
      <c r="F117" s="18">
        <f>E117+F116</f>
        <v/>
      </c>
      <c r="G117" s="18">
        <f>F117+G116</f>
        <v/>
      </c>
    </row>
    <row r="118">
      <c r="A118" s="7" t="inlineStr">
        <is>
          <t>Depreciation — rolls off the asset register</t>
        </is>
      </c>
      <c r="C118" s="18">
        <f>(Assumptions!$B$91+Assumptions!$B$92)/10^6/'Income Statement'!$B$42</f>
        <v/>
      </c>
      <c r="D118" s="18">
        <f>C117/'Income Statement'!$B$42</f>
        <v/>
      </c>
      <c r="E118" s="18">
        <f>D117/'Income Statement'!$B$42</f>
        <v/>
      </c>
      <c r="F118" s="18">
        <f>E117/'Income Statement'!$B$42</f>
        <v/>
      </c>
      <c r="G118" s="18">
        <f>F117/'Income Statement'!$B$42</f>
        <v/>
      </c>
    </row>
    <row r="119">
      <c r="A119" s="7" t="inlineStr">
        <is>
          <t>Fixed assets, net book, closing</t>
        </is>
      </c>
      <c r="C119" s="18">
        <f>(Assumptions!$B$90+Assumptions!$B$92)/10^6+C116-C118</f>
        <v/>
      </c>
      <c r="D119" s="18">
        <f>C119+D116-D118</f>
        <v/>
      </c>
      <c r="E119" s="18">
        <f>D119+E116-E118</f>
        <v/>
      </c>
      <c r="F119" s="18">
        <f>E119+F116-F118</f>
        <v/>
      </c>
      <c r="G119" s="18">
        <f>F119+G116-G118</f>
        <v/>
      </c>
    </row>
    <row r="120">
      <c r="A120" s="15" t="inlineStr">
        <is>
          <t>EBIT</t>
        </is>
      </c>
      <c r="C120" s="37">
        <f>C115-C118</f>
        <v/>
      </c>
      <c r="D120" s="37">
        <f>D115-D118</f>
        <v/>
      </c>
      <c r="E120" s="37">
        <f>E115-E118</f>
        <v/>
      </c>
      <c r="F120" s="37">
        <f>F115-F118</f>
        <v/>
      </c>
      <c r="G120" s="37">
        <f>G115-G118</f>
        <v/>
      </c>
    </row>
    <row r="121">
      <c r="A121" s="7" t="inlineStr">
        <is>
          <t>NOPAT before the profit share</t>
        </is>
      </c>
      <c r="C121" s="18">
        <f>C120*(1-Assumptions!$B$108)</f>
        <v/>
      </c>
      <c r="D121" s="18">
        <f>D120*(1-Assumptions!$B$108)</f>
        <v/>
      </c>
      <c r="E121" s="18">
        <f>E120*(1-Assumptions!$B$108)</f>
        <v/>
      </c>
      <c r="F121" s="18">
        <f>F120*(1-Assumptions!$B$108)</f>
        <v/>
      </c>
      <c r="G121" s="18">
        <f>G120*(1-Assumptions!$B$108)</f>
        <v/>
      </c>
    </row>
    <row r="122">
      <c r="A122" s="7" t="inlineStr">
        <is>
          <t xml:space="preserve">  less employees' profit share and board bonuses</t>
        </is>
      </c>
      <c r="C122" s="18">
        <f>MAX(C121,0)*'Income Statement'!$B$40</f>
        <v/>
      </c>
      <c r="D122" s="18">
        <f>MAX(D121,0)*'Income Statement'!$B$40</f>
        <v/>
      </c>
      <c r="E122" s="18">
        <f>MAX(E121,0)*'Income Statement'!$B$40</f>
        <v/>
      </c>
      <c r="F122" s="18">
        <f>MAX(F121,0)*'Income Statement'!$B$40</f>
        <v/>
      </c>
      <c r="G122" s="18">
        <f>MAX(G121,0)*'Income Statement'!$B$40</f>
        <v/>
      </c>
    </row>
    <row r="123">
      <c r="A123" s="15" t="inlineStr">
        <is>
          <t>NOPAT</t>
        </is>
      </c>
      <c r="C123" s="37">
        <f>C121-C122</f>
        <v/>
      </c>
      <c r="D123" s="37">
        <f>D121-D122</f>
        <v/>
      </c>
      <c r="E123" s="37">
        <f>E121-E122</f>
        <v/>
      </c>
      <c r="F123" s="37">
        <f>F121-F122</f>
        <v/>
      </c>
      <c r="G123" s="37">
        <f>G121-G122</f>
        <v/>
      </c>
    </row>
    <row r="124">
      <c r="A124" s="7" t="inlineStr">
        <is>
          <t>Net working capital — on days</t>
        </is>
      </c>
      <c r="C124" s="18">
        <f>'Income Statement'!$B$44*DCF!$B$9/365*C111+'Income Statement'!$B$45*DCF!$B$9/365*C110-'Income Statement'!$B$46*DCF!$B$9/365*C111</f>
        <v/>
      </c>
      <c r="D124" s="18">
        <f>'Income Statement'!$B$44*DCF!$B$9/365*D111+'Income Statement'!$B$45*DCF!$B$9/365*D110-'Income Statement'!$B$46*DCF!$B$9/365*D111</f>
        <v/>
      </c>
      <c r="E124" s="18">
        <f>'Income Statement'!$B$44*DCF!$B$9/365*E111+'Income Statement'!$B$45*DCF!$B$9/365*E110-'Income Statement'!$B$46*DCF!$B$9/365*E111</f>
        <v/>
      </c>
      <c r="F124" s="18">
        <f>'Income Statement'!$B$44*DCF!$B$9/365*F111+'Income Statement'!$B$45*DCF!$B$9/365*F110-'Income Statement'!$B$46*DCF!$B$9/365*F111</f>
        <v/>
      </c>
      <c r="G124" s="18">
        <f>'Income Statement'!$B$44*DCF!$B$9/365*G111+'Income Statement'!$B$45*DCF!$B$9/365*G110-'Income Statement'!$B$46*DCF!$B$9/365*G111</f>
        <v/>
      </c>
    </row>
    <row r="125">
      <c r="A125" s="7" t="inlineStr">
        <is>
          <t xml:space="preserve">  change in working capital</t>
        </is>
      </c>
      <c r="C125" s="18">
        <f>C124-('Income Statement'!$B$44/365*'Income Statement'!$B$21+'Income Statement'!$B$45/365*'Income Statement'!$B$19-'Income Statement'!$B$46/365*'Income Statement'!$B$21)</f>
        <v/>
      </c>
      <c r="D125" s="18">
        <f>D124-C124</f>
        <v/>
      </c>
      <c r="E125" s="18">
        <f>E124-D124</f>
        <v/>
      </c>
      <c r="F125" s="18">
        <f>F124-E124</f>
        <v/>
      </c>
      <c r="G125" s="18">
        <f>G124-F124</f>
        <v/>
      </c>
    </row>
    <row r="126">
      <c r="A126" s="15" t="inlineStr">
        <is>
          <t>FREE CASH FLOW TO THE FIRM</t>
        </is>
      </c>
      <c r="C126" s="37">
        <f>C123+C118-C116-C125</f>
        <v/>
      </c>
      <c r="D126" s="37">
        <f>D123+D118-D116-D125</f>
        <v/>
      </c>
      <c r="E126" s="37">
        <f>E123+E118-E116-E125</f>
        <v/>
      </c>
      <c r="F126" s="37">
        <f>F123+F118-F116-F125</f>
        <v/>
      </c>
      <c r="G126" s="37">
        <f>G123+G118-G116-G125</f>
        <v/>
      </c>
    </row>
    <row r="127">
      <c r="A127" s="7" t="inlineStr">
        <is>
          <t>Glide fraction</t>
        </is>
      </c>
      <c r="C127" s="23">
        <f>0.0000000000</f>
        <v/>
      </c>
      <c r="D127" s="23">
        <f>0.5166487648</f>
        <v/>
      </c>
      <c r="E127" s="23">
        <f>0.7314715360</f>
        <v/>
      </c>
      <c r="F127" s="23">
        <f>0.8925886144</f>
        <v/>
      </c>
      <c r="G127" s="23">
        <f>1.0000000000</f>
        <v/>
      </c>
    </row>
    <row r="128">
      <c r="A128" s="7" t="inlineStr">
        <is>
          <t>Forward cost of capital</t>
        </is>
      </c>
      <c r="C128" s="24">
        <f>DCF!$B$14-(DCF!$B$14-DCF!$B$17)*C127</f>
        <v/>
      </c>
      <c r="D128" s="24">
        <f>DCF!$B$14-(DCF!$B$14-DCF!$B$17)*D127</f>
        <v/>
      </c>
      <c r="E128" s="24">
        <f>DCF!$B$14-(DCF!$B$14-DCF!$B$17)*E127</f>
        <v/>
      </c>
      <c r="F128" s="24">
        <f>DCF!$B$14-(DCF!$B$14-DCF!$B$17)*F127</f>
        <v/>
      </c>
      <c r="G128" s="24">
        <f>DCF!$B$14-(DCF!$B$14-DCF!$B$17)*G127</f>
        <v/>
      </c>
    </row>
    <row r="129">
      <c r="A129" s="7" t="inlineStr">
        <is>
          <t>Cumulative discount factor</t>
        </is>
      </c>
      <c r="C129" s="40">
        <f>1/(1+C128)</f>
        <v/>
      </c>
      <c r="D129" s="40">
        <f>C129/(1+D128)</f>
        <v/>
      </c>
      <c r="E129" s="40">
        <f>D129/(1+E128)</f>
        <v/>
      </c>
      <c r="F129" s="40">
        <f>E129/(1+F128)</f>
        <v/>
      </c>
      <c r="G129" s="40">
        <f>F129/(1+G128)</f>
        <v/>
      </c>
    </row>
    <row r="130">
      <c r="A130" s="7" t="inlineStr">
        <is>
          <t>Present value</t>
        </is>
      </c>
      <c r="C130" s="18">
        <f>C126*C129</f>
        <v/>
      </c>
      <c r="D130" s="18">
        <f>D126*D129</f>
        <v/>
      </c>
      <c r="E130" s="18">
        <f>E126*E129</f>
        <v/>
      </c>
      <c r="F130" s="18">
        <f>F126*F129</f>
        <v/>
      </c>
      <c r="G130" s="18">
        <f>G126*G129</f>
        <v/>
      </c>
    </row>
    <row r="131">
      <c r="A131" s="15" t="inlineStr">
        <is>
          <t>PV of the explicit window</t>
        </is>
      </c>
      <c r="B131" s="37">
        <f>SUM(C130:G130)</f>
        <v/>
      </c>
      <c r="C131" s="18">
        <f>C124+C117</f>
        <v/>
      </c>
      <c r="D131" s="18">
        <f>D124+D117</f>
        <v/>
      </c>
      <c r="E131" s="18">
        <f>E124+E117</f>
        <v/>
      </c>
      <c r="F131" s="18">
        <f>F124+F117</f>
        <v/>
      </c>
      <c r="G131" s="18">
        <f>G124+G117</f>
        <v/>
      </c>
    </row>
    <row r="132">
      <c r="A132" s="7" t="inlineStr">
        <is>
          <t>Terminal return on invested capital, at REPLACEMENT cost</t>
        </is>
      </c>
      <c r="B132" s="24">
        <f>G123*(1+Assumptions!$B$110)/G131</f>
        <v/>
      </c>
    </row>
    <row r="133">
      <c r="A133" s="7" t="inlineStr">
        <is>
          <t>Required reinvestment = growth / return</t>
        </is>
      </c>
      <c r="B133" s="24">
        <f>MIN(Assumptions!$B$110/B132,0.95)</f>
        <v/>
      </c>
    </row>
    <row r="134">
      <c r="A134" s="7" t="inlineStr">
        <is>
          <t>Terminal value</t>
        </is>
      </c>
      <c r="B134" s="18">
        <f>G123*(1+Assumptions!$B$110)*(1-B133)/MAX(DCF!$B$17-Assumptions!$B$110,0.02)</f>
        <v/>
      </c>
    </row>
    <row r="135">
      <c r="A135" s="7" t="inlineStr">
        <is>
          <t>PV of the terminal block</t>
        </is>
      </c>
      <c r="B135" s="18">
        <f>B134*G129</f>
        <v/>
      </c>
    </row>
    <row r="136">
      <c r="A136" s="15" t="inlineStr">
        <is>
          <t>ENTERPRISE VALUE</t>
        </is>
      </c>
      <c r="B136" s="37">
        <f>B131+B135</f>
        <v/>
      </c>
    </row>
    <row r="137">
      <c r="A137" s="7" t="inlineStr">
        <is>
          <t>plus net cash</t>
        </is>
      </c>
      <c r="B137" s="18">
        <f>(Assumptions!$B$100-Assumptions!$B$103-Assumptions!$B$104)/10^6</f>
        <v/>
      </c>
    </row>
    <row r="138">
      <c r="A138" s="7" t="inlineStr">
        <is>
          <t>Enterprise value including cash</t>
        </is>
      </c>
      <c r="B138" s="18">
        <f>B136+B137</f>
        <v/>
      </c>
    </row>
    <row r="139">
      <c r="A139" s="7" t="inlineStr">
        <is>
          <t>less minority — on the WHOLE enterprise, cash included</t>
        </is>
      </c>
      <c r="B139" s="18">
        <f>B138*'Income Statement'!$B$41</f>
        <v/>
      </c>
    </row>
    <row r="140">
      <c r="A140" s="7" t="inlineStr">
        <is>
          <t>less the tax-disputes provision</t>
        </is>
      </c>
      <c r="B140" s="18">
        <f>Assumptions!$B$99/10^6</f>
        <v/>
      </c>
    </row>
    <row r="141">
      <c r="A141" s="7" t="inlineStr">
        <is>
          <t>less dividends payable — declared, out of working capital</t>
        </is>
      </c>
      <c r="B141" s="18">
        <f>Assumptions!$B$98/10^6</f>
        <v/>
      </c>
    </row>
    <row r="142">
      <c r="A142" s="7" t="inlineStr">
        <is>
          <t>plus non-operating investments and pledged deposits</t>
        </is>
      </c>
      <c r="B142" s="18">
        <f>(Assumptions!$B$102+Assumptions!$B$101)/10^6</f>
        <v/>
      </c>
    </row>
    <row r="143">
      <c r="A143" s="15" t="inlineStr">
        <is>
          <t>EQUITY ATTRIBUTABLE</t>
        </is>
      </c>
      <c r="B143" s="37">
        <f>B138-B139-B140-B141+B142</f>
        <v/>
      </c>
    </row>
    <row r="144">
      <c r="A144" s="15" t="inlineStr">
        <is>
          <t>VALUE PER SHARE, EGP</t>
        </is>
      </c>
      <c r="B144" s="22">
        <f>B143/Assumptions!$B$8</f>
        <v/>
      </c>
    </row>
    <row r="147">
      <c r="A147" s="6" t="inlineStr">
        <is>
          <t>Gross margin, shifted on every forecast year — +0.0%</t>
        </is>
      </c>
      <c r="B147" s="6" t="inlineStr">
        <is>
          <t>2026E</t>
        </is>
      </c>
      <c r="C147" s="6" t="inlineStr">
        <is>
          <t>2027E</t>
        </is>
      </c>
      <c r="D147" s="6" t="inlineStr">
        <is>
          <t>2028E</t>
        </is>
      </c>
      <c r="E147" s="6" t="inlineStr">
        <is>
          <t>2029E</t>
        </is>
      </c>
      <c r="F147" s="6" t="inlineStr">
        <is>
          <t>2030E</t>
        </is>
      </c>
    </row>
    <row r="148">
      <c r="A148" s="7" t="inlineStr">
        <is>
          <t>Inflation index, cumulative</t>
        </is>
      </c>
      <c r="C148" s="23">
        <f>Assumptions!$B$167</f>
        <v/>
      </c>
      <c r="D148" s="23">
        <f>C148*Assumptions!$B$168</f>
        <v/>
      </c>
      <c r="E148" s="23">
        <f>D148*Assumptions!$B$169</f>
        <v/>
      </c>
      <c r="F148" s="23">
        <f>E148*Assumptions!$B$170</f>
        <v/>
      </c>
      <c r="G148" s="23">
        <f>F148*Assumptions!$B$171</f>
        <v/>
      </c>
    </row>
    <row r="149">
      <c r="A149" s="7" t="inlineStr">
        <is>
          <t>Realisation index, cumulative</t>
        </is>
      </c>
      <c r="C149" s="23">
        <f>(1+Assumptions!$B$122*DCF!$B$8)</f>
        <v/>
      </c>
      <c r="D149" s="23">
        <f>C149*(1+Assumptions!$B$123*DCF!$B$8)</f>
        <v/>
      </c>
      <c r="E149" s="23">
        <f>D149*(1+Assumptions!$B$124*DCF!$B$8)</f>
        <v/>
      </c>
      <c r="F149" s="23">
        <f>E149*(1+Assumptions!$B$125*DCF!$B$8)</f>
        <v/>
      </c>
      <c r="G149" s="23">
        <f>F149*(1+Assumptions!$B$126*DCF!$B$8)</f>
        <v/>
      </c>
    </row>
    <row r="150">
      <c r="A150" s="7" t="inlineStr">
        <is>
          <t xml:space="preserve">  Volume — Base and special oils, mn t</t>
        </is>
      </c>
      <c r="C150" s="23">
        <f>'Segments'!E6*(1+Assumptions!$B$127+DCF!$B$6)</f>
        <v/>
      </c>
      <c r="D150" s="23">
        <f>C150*(1+Assumptions!$B$128+DCF!$B$6)</f>
        <v/>
      </c>
      <c r="E150" s="23">
        <f>D150*(1+Assumptions!$B$129+DCF!$B$6)</f>
        <v/>
      </c>
      <c r="F150" s="23">
        <f>E150*(1+Assumptions!$B$130+DCF!$B$6)</f>
        <v/>
      </c>
      <c r="G150" s="23">
        <f>F150*(1+Assumptions!$B$131+DCF!$B$6)</f>
        <v/>
      </c>
    </row>
    <row r="151">
      <c r="A151" s="7" t="inlineStr">
        <is>
          <t xml:space="preserve">  Volume — Paraffin wax, mn t</t>
        </is>
      </c>
      <c r="C151" s="23">
        <f>'Segments'!E7*(1+Assumptions!$B$132+DCF!$B$6)</f>
        <v/>
      </c>
      <c r="D151" s="23">
        <f>C151*(1+Assumptions!$B$133+DCF!$B$6)</f>
        <v/>
      </c>
      <c r="E151" s="23">
        <f>D151*(1+Assumptions!$B$134+DCF!$B$6)</f>
        <v/>
      </c>
      <c r="F151" s="23">
        <f>E151*(1+Assumptions!$B$135+DCF!$B$6)</f>
        <v/>
      </c>
      <c r="G151" s="23">
        <f>F151*(1+Assumptions!$B$136+DCF!$B$6)</f>
        <v/>
      </c>
    </row>
    <row r="152">
      <c r="A152" s="7" t="inlineStr">
        <is>
          <t xml:space="preserve">  Volume — Gas oil, mn t</t>
        </is>
      </c>
      <c r="C152" s="23">
        <f>'Segments'!E8*(1+Assumptions!$B$137+DCF!$B$6)</f>
        <v/>
      </c>
      <c r="D152" s="23">
        <f>C152*(1+Assumptions!$B$138+DCF!$B$6)</f>
        <v/>
      </c>
      <c r="E152" s="23">
        <f>D152*(1+Assumptions!$B$139+DCF!$B$6)</f>
        <v/>
      </c>
      <c r="F152" s="23">
        <f>E152*(1+Assumptions!$B$140+DCF!$B$6)</f>
        <v/>
      </c>
      <c r="G152" s="23">
        <f>F152*(1+Assumptions!$B$141+DCF!$B$6)</f>
        <v/>
      </c>
    </row>
    <row r="153">
      <c r="A153" s="7" t="inlineStr">
        <is>
          <t xml:space="preserve">  Volume — Naphtha, mn t</t>
        </is>
      </c>
      <c r="C153" s="23">
        <f>'Segments'!E9*(1+Assumptions!$B$142+DCF!$B$6)</f>
        <v/>
      </c>
      <c r="D153" s="23">
        <f>C153*(1+Assumptions!$B$143+DCF!$B$6)</f>
        <v/>
      </c>
      <c r="E153" s="23">
        <f>D153*(1+Assumptions!$B$144+DCF!$B$6)</f>
        <v/>
      </c>
      <c r="F153" s="23">
        <f>E153*(1+Assumptions!$B$145+DCF!$B$6)</f>
        <v/>
      </c>
      <c r="G153" s="23">
        <f>F153*(1+Assumptions!$B$146+DCF!$B$6)</f>
        <v/>
      </c>
    </row>
    <row r="154">
      <c r="A154" s="7" t="inlineStr">
        <is>
          <t xml:space="preserve">  Volume — Liquefied petroleum gas, mn t</t>
        </is>
      </c>
      <c r="C154" s="23">
        <f>'Segments'!E10*(1+Assumptions!$B$147+DCF!$B$6)</f>
        <v/>
      </c>
      <c r="D154" s="23">
        <f>C154*(1+Assumptions!$B$148+DCF!$B$6)</f>
        <v/>
      </c>
      <c r="E154" s="23">
        <f>D154*(1+Assumptions!$B$149+DCF!$B$6)</f>
        <v/>
      </c>
      <c r="F154" s="23">
        <f>E154*(1+Assumptions!$B$150+DCF!$B$6)</f>
        <v/>
      </c>
      <c r="G154" s="23">
        <f>F154*(1+Assumptions!$B$151+DCF!$B$6)</f>
        <v/>
      </c>
    </row>
    <row r="155">
      <c r="A155" s="7" t="inlineStr">
        <is>
          <t xml:space="preserve">  Volume — Fuel oil (mix), mn t</t>
        </is>
      </c>
      <c r="C155" s="23">
        <f>'Segments'!E11*(1+Assumptions!$B$152+DCF!$B$6)</f>
        <v/>
      </c>
      <c r="D155" s="23">
        <f>C155*(1+Assumptions!$B$153+DCF!$B$6)</f>
        <v/>
      </c>
      <c r="E155" s="23">
        <f>D155*(1+Assumptions!$B$154+DCF!$B$6)</f>
        <v/>
      </c>
      <c r="F155" s="23">
        <f>E155*(1+Assumptions!$B$155+DCF!$B$6)</f>
        <v/>
      </c>
      <c r="G155" s="23">
        <f>F155*(1+Assumptions!$B$156+DCF!$B$6)</f>
        <v/>
      </c>
    </row>
    <row r="156">
      <c r="A156" s="7" t="inlineStr">
        <is>
          <t xml:space="preserve">  Volume — Heavy fuel oil, mn t</t>
        </is>
      </c>
      <c r="C156" s="23">
        <f>'Segments'!E12*(1+Assumptions!$B$157+DCF!$B$6)</f>
        <v/>
      </c>
      <c r="D156" s="23">
        <f>C156*(1+Assumptions!$B$158+DCF!$B$6)</f>
        <v/>
      </c>
      <c r="E156" s="23">
        <f>D156*(1+Assumptions!$B$159+DCF!$B$6)</f>
        <v/>
      </c>
      <c r="F156" s="23">
        <f>E156*(1+Assumptions!$B$160+DCF!$B$6)</f>
        <v/>
      </c>
      <c r="G156" s="23">
        <f>F156*(1+Assumptions!$B$161+DCF!$B$6)</f>
        <v/>
      </c>
    </row>
    <row r="157">
      <c r="A157" s="7" t="inlineStr">
        <is>
          <t xml:space="preserve">  Volume — Waste, mn t</t>
        </is>
      </c>
      <c r="C157" s="23">
        <f>'Segments'!E13*(1+Assumptions!$B$162+DCF!$B$6)</f>
        <v/>
      </c>
      <c r="D157" s="23">
        <f>C157*(1+Assumptions!$B$163+DCF!$B$6)</f>
        <v/>
      </c>
      <c r="E157" s="23">
        <f>D157*(1+Assumptions!$B$164+DCF!$B$6)</f>
        <v/>
      </c>
      <c r="F157" s="23">
        <f>E157*(1+Assumptions!$B$165+DCF!$B$6)</f>
        <v/>
      </c>
      <c r="G157" s="23">
        <f>F157*(1+Assumptions!$B$166+DCF!$B$6)</f>
        <v/>
      </c>
    </row>
    <row r="158">
      <c r="A158" s="15" t="inlineStr">
        <is>
          <t>Total volume, mn t</t>
        </is>
      </c>
      <c r="C158" s="36">
        <f>SUM(C150:C157)</f>
        <v/>
      </c>
      <c r="D158" s="36">
        <f>SUM(D150:D157)</f>
        <v/>
      </c>
      <c r="E158" s="36">
        <f>SUM(E150:E157)</f>
        <v/>
      </c>
      <c r="F158" s="36">
        <f>SUM(F150:F157)</f>
        <v/>
      </c>
      <c r="G158" s="36">
        <f>SUM(G150:G157)</f>
        <v/>
      </c>
    </row>
    <row r="159">
      <c r="A159" s="15" t="inlineStr">
        <is>
          <t>REVENUE</t>
        </is>
      </c>
      <c r="C159" s="37">
        <f>C150*'Segments'!$F$6*C149+C151*'Segments'!$F$7*C149+C152*'Segments'!$F$8*C149+C153*'Segments'!$F$9*C149+C154*'Segments'!$F$10*C149+C155*'Segments'!$F$11*C149+C156*'Segments'!$F$12*C149+C157*'Segments'!$F$13*C149</f>
        <v/>
      </c>
      <c r="D159" s="37">
        <f>D150*'Segments'!$F$6*D149+D151*'Segments'!$F$7*D149+D152*'Segments'!$F$8*D149+D153*'Segments'!$F$9*D149+D154*'Segments'!$F$10*D149+D155*'Segments'!$F$11*D149+D156*'Segments'!$F$12*D149+D157*'Segments'!$F$13*D149</f>
        <v/>
      </c>
      <c r="E159" s="37">
        <f>E150*'Segments'!$F$6*E149+E151*'Segments'!$F$7*E149+E152*'Segments'!$F$8*E149+E153*'Segments'!$F$9*E149+E154*'Segments'!$F$10*E149+E155*'Segments'!$F$11*E149+E156*'Segments'!$F$12*E149+E157*'Segments'!$F$13*E149</f>
        <v/>
      </c>
      <c r="F159" s="37">
        <f>F150*'Segments'!$F$6*F149+F151*'Segments'!$F$7*F149+F152*'Segments'!$F$8*F149+F153*'Segments'!$F$9*F149+F154*'Segments'!$F$10*F149+F155*'Segments'!$F$11*F149+F156*'Segments'!$F$12*F149+F157*'Segments'!$F$13*F149</f>
        <v/>
      </c>
      <c r="G159" s="37">
        <f>G150*'Segments'!$F$6*G149+G151*'Segments'!$F$7*G149+G152*'Segments'!$F$8*G149+G153*'Segments'!$F$9*G149+G154*'Segments'!$F$10*G149+G155*'Segments'!$F$11*G149+G156*'Segments'!$F$12*G149+G157*'Segments'!$F$13*G149</f>
        <v/>
      </c>
    </row>
    <row r="160">
      <c r="A160" s="7" t="inlineStr">
        <is>
          <t>Cost of sales</t>
        </is>
      </c>
      <c r="C160" s="18">
        <f>C150*('Segments'!$D$27*C149*Assumptions!$B$109+'Segments'!$B$27*(0.4983251709*C149+0.4357405005*C149+0.0330936548*C149+0.0328406739))+C151*('Segments'!$D$28*C149*Assumptions!$B$109+'Segments'!$B$28*(0.4983251709*C149+0.4357405005*C149+0.0330936548*C149+0.0328406739))+C152*('Segments'!$D$29*C149*Assumptions!$B$109+'Segments'!$B$29*(0.4983251709*C149+0.4357405005*C149+0.0330936548*C149+0.0328406739))+C153*('Segments'!$D$30*C149*Assumptions!$B$109+'Segments'!$B$30*(0.4983251709*C149+0.4357405005*C149+0.0330936548*C149+0.0328406739))+C154*('Segments'!$D$31*C149*Assumptions!$B$109+'Segments'!$B$31*(0.4983251709*C149+0.4357405005*C149+0.0330936548*C149+0.0328406739))+C155*('Segments'!$D$32*C149*Assumptions!$B$109+'Segments'!$B$32*(0.4983251709*C149+0.4357405005*C149+0.0330936548*C149+0.0328406739))+C156*('Segments'!$D$33*C149*Assumptions!$B$109+'Segments'!$B$33*(0.4983251709*C149+0.4357405005*C149+0.0330936548*C149+0.0328406739))+C157*('Segments'!$D$34*C149*Assumptions!$B$109+'Segments'!$B$34*(0.4983251709*C149+0.4357405005*C149+0.0330936548*C149+0.0328406739))</f>
        <v/>
      </c>
      <c r="D160" s="18">
        <f>D150*('Segments'!$D$27*D149*Assumptions!$B$109+'Segments'!$B$27*(0.4983251709*D149+0.4357405005*D149+0.0330936548*D149+0.0328406739))+D151*('Segments'!$D$28*D149*Assumptions!$B$109+'Segments'!$B$28*(0.4983251709*D149+0.4357405005*D149+0.0330936548*D149+0.0328406739))+D152*('Segments'!$D$29*D149*Assumptions!$B$109+'Segments'!$B$29*(0.4983251709*D149+0.4357405005*D149+0.0330936548*D149+0.0328406739))+D153*('Segments'!$D$30*D149*Assumptions!$B$109+'Segments'!$B$30*(0.4983251709*D149+0.4357405005*D149+0.0330936548*D149+0.0328406739))+D154*('Segments'!$D$31*D149*Assumptions!$B$109+'Segments'!$B$31*(0.4983251709*D149+0.4357405005*D149+0.0330936548*D149+0.0328406739))+D155*('Segments'!$D$32*D149*Assumptions!$B$109+'Segments'!$B$32*(0.4983251709*D149+0.4357405005*D149+0.0330936548*D149+0.0328406739))+D156*('Segments'!$D$33*D149*Assumptions!$B$109+'Segments'!$B$33*(0.4983251709*D149+0.4357405005*D149+0.0330936548*D149+0.0328406739))+D157*('Segments'!$D$34*D149*Assumptions!$B$109+'Segments'!$B$34*(0.4983251709*D149+0.4357405005*D149+0.0330936548*D149+0.0328406739))</f>
        <v/>
      </c>
      <c r="E160" s="18">
        <f>E150*('Segments'!$D$27*E149*Assumptions!$B$109+'Segments'!$B$27*(0.4983251709*E149+0.4357405005*E149+0.0330936548*E149+0.0328406739))+E151*('Segments'!$D$28*E149*Assumptions!$B$109+'Segments'!$B$28*(0.4983251709*E149+0.4357405005*E149+0.0330936548*E149+0.0328406739))+E152*('Segments'!$D$29*E149*Assumptions!$B$109+'Segments'!$B$29*(0.4983251709*E149+0.4357405005*E149+0.0330936548*E149+0.0328406739))+E153*('Segments'!$D$30*E149*Assumptions!$B$109+'Segments'!$B$30*(0.4983251709*E149+0.4357405005*E149+0.0330936548*E149+0.0328406739))+E154*('Segments'!$D$31*E149*Assumptions!$B$109+'Segments'!$B$31*(0.4983251709*E149+0.4357405005*E149+0.0330936548*E149+0.0328406739))+E155*('Segments'!$D$32*E149*Assumptions!$B$109+'Segments'!$B$32*(0.4983251709*E149+0.4357405005*E149+0.0330936548*E149+0.0328406739))+E156*('Segments'!$D$33*E149*Assumptions!$B$109+'Segments'!$B$33*(0.4983251709*E149+0.4357405005*E149+0.0330936548*E149+0.0328406739))+E157*('Segments'!$D$34*E149*Assumptions!$B$109+'Segments'!$B$34*(0.4983251709*E149+0.4357405005*E149+0.0330936548*E149+0.0328406739))</f>
        <v/>
      </c>
      <c r="F160" s="18">
        <f>F150*('Segments'!$D$27*F149*Assumptions!$B$109+'Segments'!$B$27*(0.4983251709*F149+0.4357405005*F149+0.0330936548*F149+0.0328406739))+F151*('Segments'!$D$28*F149*Assumptions!$B$109+'Segments'!$B$28*(0.4983251709*F149+0.4357405005*F149+0.0330936548*F149+0.0328406739))+F152*('Segments'!$D$29*F149*Assumptions!$B$109+'Segments'!$B$29*(0.4983251709*F149+0.4357405005*F149+0.0330936548*F149+0.0328406739))+F153*('Segments'!$D$30*F149*Assumptions!$B$109+'Segments'!$B$30*(0.4983251709*F149+0.4357405005*F149+0.0330936548*F149+0.0328406739))+F154*('Segments'!$D$31*F149*Assumptions!$B$109+'Segments'!$B$31*(0.4983251709*F149+0.4357405005*F149+0.0330936548*F149+0.0328406739))+F155*('Segments'!$D$32*F149*Assumptions!$B$109+'Segments'!$B$32*(0.4983251709*F149+0.4357405005*F149+0.0330936548*F149+0.0328406739))+F156*('Segments'!$D$33*F149*Assumptions!$B$109+'Segments'!$B$33*(0.4983251709*F149+0.4357405005*F149+0.0330936548*F149+0.0328406739))+F157*('Segments'!$D$34*F149*Assumptions!$B$109+'Segments'!$B$34*(0.4983251709*F149+0.4357405005*F149+0.0330936548*F149+0.0328406739))</f>
        <v/>
      </c>
      <c r="G160" s="18">
        <f>G150*('Segments'!$D$27*G149*Assumptions!$B$109+'Segments'!$B$27*(0.4983251709*G149+0.4357405005*G149+0.0330936548*G149+0.0328406739))+G151*('Segments'!$D$28*G149*Assumptions!$B$109+'Segments'!$B$28*(0.4983251709*G149+0.4357405005*G149+0.0330936548*G149+0.0328406739))+G152*('Segments'!$D$29*G149*Assumptions!$B$109+'Segments'!$B$29*(0.4983251709*G149+0.4357405005*G149+0.0330936548*G149+0.0328406739))+G153*('Segments'!$D$30*G149*Assumptions!$B$109+'Segments'!$B$30*(0.4983251709*G149+0.4357405005*G149+0.0330936548*G149+0.0328406739))+G154*('Segments'!$D$31*G149*Assumptions!$B$109+'Segments'!$B$31*(0.4983251709*G149+0.4357405005*G149+0.0330936548*G149+0.0328406739))+G155*('Segments'!$D$32*G149*Assumptions!$B$109+'Segments'!$B$32*(0.4983251709*G149+0.4357405005*G149+0.0330936548*G149+0.0328406739))+G156*('Segments'!$D$33*G149*Assumptions!$B$109+'Segments'!$B$33*(0.4983251709*G149+0.4357405005*G149+0.0330936548*G149+0.0328406739))+G157*('Segments'!$D$34*G149*Assumptions!$B$109+'Segments'!$B$34*(0.4983251709*G149+0.4357405005*G149+0.0330936548*G149+0.0328406739))</f>
        <v/>
      </c>
    </row>
    <row r="161">
      <c r="A161" s="15" t="inlineStr">
        <is>
          <t>GROSS PROFIT</t>
        </is>
      </c>
      <c r="C161" s="37">
        <f>C159-C160+$C$8*C159</f>
        <v/>
      </c>
      <c r="D161" s="37">
        <f>D159-D160+$C$8*D159</f>
        <v/>
      </c>
      <c r="E161" s="37">
        <f>E159-E160+$C$8*E159</f>
        <v/>
      </c>
      <c r="F161" s="37">
        <f>F159-F160+$C$8*F159</f>
        <v/>
      </c>
      <c r="G161" s="37">
        <f>G159-G160+$C$8*G159</f>
        <v/>
      </c>
    </row>
    <row r="162">
      <c r="A162" s="7" t="inlineStr">
        <is>
          <t>Gross margin</t>
        </is>
      </c>
      <c r="C162" s="24">
        <f>C161/C159</f>
        <v/>
      </c>
      <c r="D162" s="24">
        <f>D161/D159</f>
        <v/>
      </c>
      <c r="E162" s="24">
        <f>E161/E159</f>
        <v/>
      </c>
      <c r="F162" s="24">
        <f>F161/F159</f>
        <v/>
      </c>
      <c r="G162" s="24">
        <f>G161/G159</f>
        <v/>
      </c>
    </row>
    <row r="163">
      <c r="A163" s="7" t="inlineStr">
        <is>
          <t>Operating expense</t>
        </is>
      </c>
      <c r="C163" s="18">
        <f>('Income Statement'!$B$28*C148)+('Income Statement'!$B$29*C148*C158/'Segments'!$E$14)+('Income Statement'!$B$30*C148)+('Income Statement'!$B$31*C148)</f>
        <v/>
      </c>
      <c r="D163" s="18">
        <f>('Income Statement'!$B$28*D148)+('Income Statement'!$B$29*D148*D158/'Segments'!$E$14)+('Income Statement'!$B$30*D148)+('Income Statement'!$B$31*D148)</f>
        <v/>
      </c>
      <c r="E163" s="18">
        <f>('Income Statement'!$B$28*E148)+('Income Statement'!$B$29*E148*E158/'Segments'!$E$14)+('Income Statement'!$B$30*E148)+('Income Statement'!$B$31*E148)</f>
        <v/>
      </c>
      <c r="F163" s="18">
        <f>('Income Statement'!$B$28*F148)+('Income Statement'!$B$29*F148*F158/'Segments'!$E$14)+('Income Statement'!$B$30*F148)+('Income Statement'!$B$31*F148)</f>
        <v/>
      </c>
      <c r="G163" s="18">
        <f>('Income Statement'!$B$28*G148)+('Income Statement'!$B$29*G148*G158/'Segments'!$E$14)+('Income Statement'!$B$30*G148)+('Income Statement'!$B$31*G148)</f>
        <v/>
      </c>
    </row>
    <row r="164">
      <c r="A164" s="15" t="inlineStr">
        <is>
          <t>EBITDA</t>
        </is>
      </c>
      <c r="C164" s="37">
        <f>C161-C163</f>
        <v/>
      </c>
      <c r="D164" s="37">
        <f>D161-D163</f>
        <v/>
      </c>
      <c r="E164" s="37">
        <f>E161-E163</f>
        <v/>
      </c>
      <c r="F164" s="37">
        <f>F161-F163</f>
        <v/>
      </c>
      <c r="G164" s="37">
        <f>G161-G163</f>
        <v/>
      </c>
    </row>
    <row r="165">
      <c r="A165" s="7" t="inlineStr">
        <is>
          <t>Capital expenditure — maintenance + growth</t>
        </is>
      </c>
      <c r="C165" s="18">
        <f>'Income Statement'!$B$43*C148+MAX(C158-'Segments'!$E$14,0)*2100.379938*C148</f>
        <v/>
      </c>
      <c r="D165" s="18">
        <f>'Income Statement'!$B$43*D148+MAX(D158-C158,0)*2100.379938*D148</f>
        <v/>
      </c>
      <c r="E165" s="18">
        <f>'Income Statement'!$B$43*E148+MAX(E158-D158,0)*2100.379938*E148</f>
        <v/>
      </c>
      <c r="F165" s="18">
        <f>'Income Statement'!$B$43*F148+MAX(F158-E158,0)*2100.379938*F148</f>
        <v/>
      </c>
      <c r="G165" s="18">
        <f>'Income Statement'!$B$43*G148+MAX(G158-F158,0)*2100.379938*G148</f>
        <v/>
      </c>
    </row>
    <row r="166">
      <c r="A166" s="7" t="inlineStr">
        <is>
          <t>Fixed assets at cost, closing</t>
        </is>
      </c>
      <c r="C166" s="18">
        <f>(Assumptions!$B$91+Assumptions!$B$92)/10^6+C165</f>
        <v/>
      </c>
      <c r="D166" s="18">
        <f>C166+D165</f>
        <v/>
      </c>
      <c r="E166" s="18">
        <f>D166+E165</f>
        <v/>
      </c>
      <c r="F166" s="18">
        <f>E166+F165</f>
        <v/>
      </c>
      <c r="G166" s="18">
        <f>F166+G165</f>
        <v/>
      </c>
    </row>
    <row r="167">
      <c r="A167" s="7" t="inlineStr">
        <is>
          <t>Depreciation — rolls off the asset register</t>
        </is>
      </c>
      <c r="C167" s="18">
        <f>(Assumptions!$B$91+Assumptions!$B$92)/10^6/'Income Statement'!$B$42</f>
        <v/>
      </c>
      <c r="D167" s="18">
        <f>C166/'Income Statement'!$B$42</f>
        <v/>
      </c>
      <c r="E167" s="18">
        <f>D166/'Income Statement'!$B$42</f>
        <v/>
      </c>
      <c r="F167" s="18">
        <f>E166/'Income Statement'!$B$42</f>
        <v/>
      </c>
      <c r="G167" s="18">
        <f>F166/'Income Statement'!$B$42</f>
        <v/>
      </c>
    </row>
    <row r="168">
      <c r="A168" s="7" t="inlineStr">
        <is>
          <t>Fixed assets, net book, closing</t>
        </is>
      </c>
      <c r="C168" s="18">
        <f>(Assumptions!$B$90+Assumptions!$B$92)/10^6+C165-C167</f>
        <v/>
      </c>
      <c r="D168" s="18">
        <f>C168+D165-D167</f>
        <v/>
      </c>
      <c r="E168" s="18">
        <f>D168+E165-E167</f>
        <v/>
      </c>
      <c r="F168" s="18">
        <f>E168+F165-F167</f>
        <v/>
      </c>
      <c r="G168" s="18">
        <f>F168+G165-G167</f>
        <v/>
      </c>
    </row>
    <row r="169">
      <c r="A169" s="15" t="inlineStr">
        <is>
          <t>EBIT</t>
        </is>
      </c>
      <c r="C169" s="37">
        <f>C164-C167</f>
        <v/>
      </c>
      <c r="D169" s="37">
        <f>D164-D167</f>
        <v/>
      </c>
      <c r="E169" s="37">
        <f>E164-E167</f>
        <v/>
      </c>
      <c r="F169" s="37">
        <f>F164-F167</f>
        <v/>
      </c>
      <c r="G169" s="37">
        <f>G164-G167</f>
        <v/>
      </c>
    </row>
    <row r="170">
      <c r="A170" s="7" t="inlineStr">
        <is>
          <t>NOPAT before the profit share</t>
        </is>
      </c>
      <c r="C170" s="18">
        <f>C169*(1-Assumptions!$B$108)</f>
        <v/>
      </c>
      <c r="D170" s="18">
        <f>D169*(1-Assumptions!$B$108)</f>
        <v/>
      </c>
      <c r="E170" s="18">
        <f>E169*(1-Assumptions!$B$108)</f>
        <v/>
      </c>
      <c r="F170" s="18">
        <f>F169*(1-Assumptions!$B$108)</f>
        <v/>
      </c>
      <c r="G170" s="18">
        <f>G169*(1-Assumptions!$B$108)</f>
        <v/>
      </c>
    </row>
    <row r="171">
      <c r="A171" s="7" t="inlineStr">
        <is>
          <t xml:space="preserve">  less employees' profit share and board bonuses</t>
        </is>
      </c>
      <c r="C171" s="18">
        <f>MAX(C170,0)*'Income Statement'!$B$40</f>
        <v/>
      </c>
      <c r="D171" s="18">
        <f>MAX(D170,0)*'Income Statement'!$B$40</f>
        <v/>
      </c>
      <c r="E171" s="18">
        <f>MAX(E170,0)*'Income Statement'!$B$40</f>
        <v/>
      </c>
      <c r="F171" s="18">
        <f>MAX(F170,0)*'Income Statement'!$B$40</f>
        <v/>
      </c>
      <c r="G171" s="18">
        <f>MAX(G170,0)*'Income Statement'!$B$40</f>
        <v/>
      </c>
    </row>
    <row r="172">
      <c r="A172" s="15" t="inlineStr">
        <is>
          <t>NOPAT</t>
        </is>
      </c>
      <c r="C172" s="37">
        <f>C170-C171</f>
        <v/>
      </c>
      <c r="D172" s="37">
        <f>D170-D171</f>
        <v/>
      </c>
      <c r="E172" s="37">
        <f>E170-E171</f>
        <v/>
      </c>
      <c r="F172" s="37">
        <f>F170-F171</f>
        <v/>
      </c>
      <c r="G172" s="37">
        <f>G170-G171</f>
        <v/>
      </c>
    </row>
    <row r="173">
      <c r="A173" s="7" t="inlineStr">
        <is>
          <t>Net working capital — on days</t>
        </is>
      </c>
      <c r="C173" s="18">
        <f>'Income Statement'!$B$44*DCF!$B$9/365*C160+'Income Statement'!$B$45*DCF!$B$9/365*C159-'Income Statement'!$B$46*DCF!$B$9/365*C160</f>
        <v/>
      </c>
      <c r="D173" s="18">
        <f>'Income Statement'!$B$44*DCF!$B$9/365*D160+'Income Statement'!$B$45*DCF!$B$9/365*D159-'Income Statement'!$B$46*DCF!$B$9/365*D160</f>
        <v/>
      </c>
      <c r="E173" s="18">
        <f>'Income Statement'!$B$44*DCF!$B$9/365*E160+'Income Statement'!$B$45*DCF!$B$9/365*E159-'Income Statement'!$B$46*DCF!$B$9/365*E160</f>
        <v/>
      </c>
      <c r="F173" s="18">
        <f>'Income Statement'!$B$44*DCF!$B$9/365*F160+'Income Statement'!$B$45*DCF!$B$9/365*F159-'Income Statement'!$B$46*DCF!$B$9/365*F160</f>
        <v/>
      </c>
      <c r="G173" s="18">
        <f>'Income Statement'!$B$44*DCF!$B$9/365*G160+'Income Statement'!$B$45*DCF!$B$9/365*G159-'Income Statement'!$B$46*DCF!$B$9/365*G160</f>
        <v/>
      </c>
    </row>
    <row r="174">
      <c r="A174" s="7" t="inlineStr">
        <is>
          <t xml:space="preserve">  change in working capital</t>
        </is>
      </c>
      <c r="C174" s="18">
        <f>C173-('Income Statement'!$B$44/365*'Income Statement'!$B$21+'Income Statement'!$B$45/365*'Income Statement'!$B$19-'Income Statement'!$B$46/365*'Income Statement'!$B$21)</f>
        <v/>
      </c>
      <c r="D174" s="18">
        <f>D173-C173</f>
        <v/>
      </c>
      <c r="E174" s="18">
        <f>E173-D173</f>
        <v/>
      </c>
      <c r="F174" s="18">
        <f>F173-E173</f>
        <v/>
      </c>
      <c r="G174" s="18">
        <f>G173-F173</f>
        <v/>
      </c>
    </row>
    <row r="175">
      <c r="A175" s="15" t="inlineStr">
        <is>
          <t>FREE CASH FLOW TO THE FIRM</t>
        </is>
      </c>
      <c r="C175" s="37">
        <f>C172+C167-C165-C174</f>
        <v/>
      </c>
      <c r="D175" s="37">
        <f>D172+D167-D165-D174</f>
        <v/>
      </c>
      <c r="E175" s="37">
        <f>E172+E167-E165-E174</f>
        <v/>
      </c>
      <c r="F175" s="37">
        <f>F172+F167-F165-F174</f>
        <v/>
      </c>
      <c r="G175" s="37">
        <f>G172+G167-G165-G174</f>
        <v/>
      </c>
    </row>
    <row r="176">
      <c r="A176" s="7" t="inlineStr">
        <is>
          <t>Glide fraction</t>
        </is>
      </c>
      <c r="C176" s="23">
        <f>0.0000000000</f>
        <v/>
      </c>
      <c r="D176" s="23">
        <f>0.5166487648</f>
        <v/>
      </c>
      <c r="E176" s="23">
        <f>0.7314715360</f>
        <v/>
      </c>
      <c r="F176" s="23">
        <f>0.8925886144</f>
        <v/>
      </c>
      <c r="G176" s="23">
        <f>1.0000000000</f>
        <v/>
      </c>
    </row>
    <row r="177">
      <c r="A177" s="7" t="inlineStr">
        <is>
          <t>Forward cost of capital</t>
        </is>
      </c>
      <c r="C177" s="24">
        <f>DCF!$B$14-(DCF!$B$14-DCF!$B$17)*C176</f>
        <v/>
      </c>
      <c r="D177" s="24">
        <f>DCF!$B$14-(DCF!$B$14-DCF!$B$17)*D176</f>
        <v/>
      </c>
      <c r="E177" s="24">
        <f>DCF!$B$14-(DCF!$B$14-DCF!$B$17)*E176</f>
        <v/>
      </c>
      <c r="F177" s="24">
        <f>DCF!$B$14-(DCF!$B$14-DCF!$B$17)*F176</f>
        <v/>
      </c>
      <c r="G177" s="24">
        <f>DCF!$B$14-(DCF!$B$14-DCF!$B$17)*G176</f>
        <v/>
      </c>
    </row>
    <row r="178">
      <c r="A178" s="7" t="inlineStr">
        <is>
          <t>Cumulative discount factor</t>
        </is>
      </c>
      <c r="C178" s="40">
        <f>1/(1+C177)</f>
        <v/>
      </c>
      <c r="D178" s="40">
        <f>C178/(1+D177)</f>
        <v/>
      </c>
      <c r="E178" s="40">
        <f>D178/(1+E177)</f>
        <v/>
      </c>
      <c r="F178" s="40">
        <f>E178/(1+F177)</f>
        <v/>
      </c>
      <c r="G178" s="40">
        <f>F178/(1+G177)</f>
        <v/>
      </c>
    </row>
    <row r="179">
      <c r="A179" s="7" t="inlineStr">
        <is>
          <t>Present value</t>
        </is>
      </c>
      <c r="C179" s="18">
        <f>C175*C178</f>
        <v/>
      </c>
      <c r="D179" s="18">
        <f>D175*D178</f>
        <v/>
      </c>
      <c r="E179" s="18">
        <f>E175*E178</f>
        <v/>
      </c>
      <c r="F179" s="18">
        <f>F175*F178</f>
        <v/>
      </c>
      <c r="G179" s="18">
        <f>G175*G178</f>
        <v/>
      </c>
    </row>
    <row r="180">
      <c r="A180" s="15" t="inlineStr">
        <is>
          <t>PV of the explicit window</t>
        </is>
      </c>
      <c r="B180" s="37">
        <f>SUM(C179:G179)</f>
        <v/>
      </c>
      <c r="C180" s="18">
        <f>C173+C166</f>
        <v/>
      </c>
      <c r="D180" s="18">
        <f>D173+D166</f>
        <v/>
      </c>
      <c r="E180" s="18">
        <f>E173+E166</f>
        <v/>
      </c>
      <c r="F180" s="18">
        <f>F173+F166</f>
        <v/>
      </c>
      <c r="G180" s="18">
        <f>G173+G166</f>
        <v/>
      </c>
    </row>
    <row r="181">
      <c r="A181" s="7" t="inlineStr">
        <is>
          <t>Terminal return on invested capital, at REPLACEMENT cost</t>
        </is>
      </c>
      <c r="B181" s="24">
        <f>G172*(1+Assumptions!$B$110)/G180</f>
        <v/>
      </c>
    </row>
    <row r="182">
      <c r="A182" s="7" t="inlineStr">
        <is>
          <t>Required reinvestment = growth / return</t>
        </is>
      </c>
      <c r="B182" s="24">
        <f>MIN(Assumptions!$B$110/B181,0.95)</f>
        <v/>
      </c>
    </row>
    <row r="183">
      <c r="A183" s="7" t="inlineStr">
        <is>
          <t>Terminal value</t>
        </is>
      </c>
      <c r="B183" s="18">
        <f>G172*(1+Assumptions!$B$110)*(1-B182)/MAX(DCF!$B$17-Assumptions!$B$110,0.02)</f>
        <v/>
      </c>
    </row>
    <row r="184">
      <c r="A184" s="7" t="inlineStr">
        <is>
          <t>PV of the terminal block</t>
        </is>
      </c>
      <c r="B184" s="18">
        <f>B183*G178</f>
        <v/>
      </c>
    </row>
    <row r="185">
      <c r="A185" s="15" t="inlineStr">
        <is>
          <t>ENTERPRISE VALUE</t>
        </is>
      </c>
      <c r="B185" s="37">
        <f>B180+B184</f>
        <v/>
      </c>
    </row>
    <row r="186">
      <c r="A186" s="7" t="inlineStr">
        <is>
          <t>plus net cash</t>
        </is>
      </c>
      <c r="B186" s="18">
        <f>(Assumptions!$B$100-Assumptions!$B$103-Assumptions!$B$104)/10^6</f>
        <v/>
      </c>
    </row>
    <row r="187">
      <c r="A187" s="7" t="inlineStr">
        <is>
          <t>Enterprise value including cash</t>
        </is>
      </c>
      <c r="B187" s="18">
        <f>B185+B186</f>
        <v/>
      </c>
    </row>
    <row r="188">
      <c r="A188" s="7" t="inlineStr">
        <is>
          <t>less minority — on the WHOLE enterprise, cash included</t>
        </is>
      </c>
      <c r="B188" s="18">
        <f>B187*'Income Statement'!$B$41</f>
        <v/>
      </c>
    </row>
    <row r="189">
      <c r="A189" s="7" t="inlineStr">
        <is>
          <t>less the tax-disputes provision</t>
        </is>
      </c>
      <c r="B189" s="18">
        <f>Assumptions!$B$99/10^6</f>
        <v/>
      </c>
    </row>
    <row r="190">
      <c r="A190" s="7" t="inlineStr">
        <is>
          <t>less dividends payable — declared, out of working capital</t>
        </is>
      </c>
      <c r="B190" s="18">
        <f>Assumptions!$B$98/10^6</f>
        <v/>
      </c>
    </row>
    <row r="191">
      <c r="A191" s="7" t="inlineStr">
        <is>
          <t>plus non-operating investments and pledged deposits</t>
        </is>
      </c>
      <c r="B191" s="18">
        <f>(Assumptions!$B$102+Assumptions!$B$101)/10^6</f>
        <v/>
      </c>
    </row>
    <row r="192">
      <c r="A192" s="15" t="inlineStr">
        <is>
          <t>EQUITY ATTRIBUTABLE</t>
        </is>
      </c>
      <c r="B192" s="37">
        <f>B187-B188-B189-B190+B191</f>
        <v/>
      </c>
    </row>
    <row r="193">
      <c r="A193" s="15" t="inlineStr">
        <is>
          <t>VALUE PER SHARE, EGP</t>
        </is>
      </c>
      <c r="B193" s="22">
        <f>B192/Assumptions!$B$8</f>
        <v/>
      </c>
    </row>
    <row r="196">
      <c r="A196" s="6" t="inlineStr">
        <is>
          <t>Gross margin, shifted on every forecast year — +0.5%</t>
        </is>
      </c>
      <c r="B196" s="6" t="inlineStr">
        <is>
          <t>2026E</t>
        </is>
      </c>
      <c r="C196" s="6" t="inlineStr">
        <is>
          <t>2027E</t>
        </is>
      </c>
      <c r="D196" s="6" t="inlineStr">
        <is>
          <t>2028E</t>
        </is>
      </c>
      <c r="E196" s="6" t="inlineStr">
        <is>
          <t>2029E</t>
        </is>
      </c>
      <c r="F196" s="6" t="inlineStr">
        <is>
          <t>2030E</t>
        </is>
      </c>
    </row>
    <row r="197">
      <c r="A197" s="7" t="inlineStr">
        <is>
          <t>Inflation index, cumulative</t>
        </is>
      </c>
      <c r="C197" s="23">
        <f>Assumptions!$B$167</f>
        <v/>
      </c>
      <c r="D197" s="23">
        <f>C197*Assumptions!$B$168</f>
        <v/>
      </c>
      <c r="E197" s="23">
        <f>D197*Assumptions!$B$169</f>
        <v/>
      </c>
      <c r="F197" s="23">
        <f>E197*Assumptions!$B$170</f>
        <v/>
      </c>
      <c r="G197" s="23">
        <f>F197*Assumptions!$B$171</f>
        <v/>
      </c>
    </row>
    <row r="198">
      <c r="A198" s="7" t="inlineStr">
        <is>
          <t>Realisation index, cumulative</t>
        </is>
      </c>
      <c r="C198" s="23">
        <f>(1+Assumptions!$B$122*DCF!$B$8)</f>
        <v/>
      </c>
      <c r="D198" s="23">
        <f>C198*(1+Assumptions!$B$123*DCF!$B$8)</f>
        <v/>
      </c>
      <c r="E198" s="23">
        <f>D198*(1+Assumptions!$B$124*DCF!$B$8)</f>
        <v/>
      </c>
      <c r="F198" s="23">
        <f>E198*(1+Assumptions!$B$125*DCF!$B$8)</f>
        <v/>
      </c>
      <c r="G198" s="23">
        <f>F198*(1+Assumptions!$B$126*DCF!$B$8)</f>
        <v/>
      </c>
    </row>
    <row r="199">
      <c r="A199" s="7" t="inlineStr">
        <is>
          <t xml:space="preserve">  Volume — Base and special oils, mn t</t>
        </is>
      </c>
      <c r="C199" s="23">
        <f>'Segments'!E6*(1+Assumptions!$B$127+DCF!$B$6)</f>
        <v/>
      </c>
      <c r="D199" s="23">
        <f>C199*(1+Assumptions!$B$128+DCF!$B$6)</f>
        <v/>
      </c>
      <c r="E199" s="23">
        <f>D199*(1+Assumptions!$B$129+DCF!$B$6)</f>
        <v/>
      </c>
      <c r="F199" s="23">
        <f>E199*(1+Assumptions!$B$130+DCF!$B$6)</f>
        <v/>
      </c>
      <c r="G199" s="23">
        <f>F199*(1+Assumptions!$B$131+DCF!$B$6)</f>
        <v/>
      </c>
    </row>
    <row r="200">
      <c r="A200" s="7" t="inlineStr">
        <is>
          <t xml:space="preserve">  Volume — Paraffin wax, mn t</t>
        </is>
      </c>
      <c r="C200" s="23">
        <f>'Segments'!E7*(1+Assumptions!$B$132+DCF!$B$6)</f>
        <v/>
      </c>
      <c r="D200" s="23">
        <f>C200*(1+Assumptions!$B$133+DCF!$B$6)</f>
        <v/>
      </c>
      <c r="E200" s="23">
        <f>D200*(1+Assumptions!$B$134+DCF!$B$6)</f>
        <v/>
      </c>
      <c r="F200" s="23">
        <f>E200*(1+Assumptions!$B$135+DCF!$B$6)</f>
        <v/>
      </c>
      <c r="G200" s="23">
        <f>F200*(1+Assumptions!$B$136+DCF!$B$6)</f>
        <v/>
      </c>
    </row>
    <row r="201">
      <c r="A201" s="7" t="inlineStr">
        <is>
          <t xml:space="preserve">  Volume — Gas oil, mn t</t>
        </is>
      </c>
      <c r="C201" s="23">
        <f>'Segments'!E8*(1+Assumptions!$B$137+DCF!$B$6)</f>
        <v/>
      </c>
      <c r="D201" s="23">
        <f>C201*(1+Assumptions!$B$138+DCF!$B$6)</f>
        <v/>
      </c>
      <c r="E201" s="23">
        <f>D201*(1+Assumptions!$B$139+DCF!$B$6)</f>
        <v/>
      </c>
      <c r="F201" s="23">
        <f>E201*(1+Assumptions!$B$140+DCF!$B$6)</f>
        <v/>
      </c>
      <c r="G201" s="23">
        <f>F201*(1+Assumptions!$B$141+DCF!$B$6)</f>
        <v/>
      </c>
    </row>
    <row r="202">
      <c r="A202" s="7" t="inlineStr">
        <is>
          <t xml:space="preserve">  Volume — Naphtha, mn t</t>
        </is>
      </c>
      <c r="C202" s="23">
        <f>'Segments'!E9*(1+Assumptions!$B$142+DCF!$B$6)</f>
        <v/>
      </c>
      <c r="D202" s="23">
        <f>C202*(1+Assumptions!$B$143+DCF!$B$6)</f>
        <v/>
      </c>
      <c r="E202" s="23">
        <f>D202*(1+Assumptions!$B$144+DCF!$B$6)</f>
        <v/>
      </c>
      <c r="F202" s="23">
        <f>E202*(1+Assumptions!$B$145+DCF!$B$6)</f>
        <v/>
      </c>
      <c r="G202" s="23">
        <f>F202*(1+Assumptions!$B$146+DCF!$B$6)</f>
        <v/>
      </c>
    </row>
    <row r="203">
      <c r="A203" s="7" t="inlineStr">
        <is>
          <t xml:space="preserve">  Volume — Liquefied petroleum gas, mn t</t>
        </is>
      </c>
      <c r="C203" s="23">
        <f>'Segments'!E10*(1+Assumptions!$B$147+DCF!$B$6)</f>
        <v/>
      </c>
      <c r="D203" s="23">
        <f>C203*(1+Assumptions!$B$148+DCF!$B$6)</f>
        <v/>
      </c>
      <c r="E203" s="23">
        <f>D203*(1+Assumptions!$B$149+DCF!$B$6)</f>
        <v/>
      </c>
      <c r="F203" s="23">
        <f>E203*(1+Assumptions!$B$150+DCF!$B$6)</f>
        <v/>
      </c>
      <c r="G203" s="23">
        <f>F203*(1+Assumptions!$B$151+DCF!$B$6)</f>
        <v/>
      </c>
    </row>
    <row r="204">
      <c r="A204" s="7" t="inlineStr">
        <is>
          <t xml:space="preserve">  Volume — Fuel oil (mix), mn t</t>
        </is>
      </c>
      <c r="C204" s="23">
        <f>'Segments'!E11*(1+Assumptions!$B$152+DCF!$B$6)</f>
        <v/>
      </c>
      <c r="D204" s="23">
        <f>C204*(1+Assumptions!$B$153+DCF!$B$6)</f>
        <v/>
      </c>
      <c r="E204" s="23">
        <f>D204*(1+Assumptions!$B$154+DCF!$B$6)</f>
        <v/>
      </c>
      <c r="F204" s="23">
        <f>E204*(1+Assumptions!$B$155+DCF!$B$6)</f>
        <v/>
      </c>
      <c r="G204" s="23">
        <f>F204*(1+Assumptions!$B$156+DCF!$B$6)</f>
        <v/>
      </c>
    </row>
    <row r="205">
      <c r="A205" s="7" t="inlineStr">
        <is>
          <t xml:space="preserve">  Volume — Heavy fuel oil, mn t</t>
        </is>
      </c>
      <c r="C205" s="23">
        <f>'Segments'!E12*(1+Assumptions!$B$157+DCF!$B$6)</f>
        <v/>
      </c>
      <c r="D205" s="23">
        <f>C205*(1+Assumptions!$B$158+DCF!$B$6)</f>
        <v/>
      </c>
      <c r="E205" s="23">
        <f>D205*(1+Assumptions!$B$159+DCF!$B$6)</f>
        <v/>
      </c>
      <c r="F205" s="23">
        <f>E205*(1+Assumptions!$B$160+DCF!$B$6)</f>
        <v/>
      </c>
      <c r="G205" s="23">
        <f>F205*(1+Assumptions!$B$161+DCF!$B$6)</f>
        <v/>
      </c>
    </row>
    <row r="206">
      <c r="A206" s="7" t="inlineStr">
        <is>
          <t xml:space="preserve">  Volume — Waste, mn t</t>
        </is>
      </c>
      <c r="C206" s="23">
        <f>'Segments'!E13*(1+Assumptions!$B$162+DCF!$B$6)</f>
        <v/>
      </c>
      <c r="D206" s="23">
        <f>C206*(1+Assumptions!$B$163+DCF!$B$6)</f>
        <v/>
      </c>
      <c r="E206" s="23">
        <f>D206*(1+Assumptions!$B$164+DCF!$B$6)</f>
        <v/>
      </c>
      <c r="F206" s="23">
        <f>E206*(1+Assumptions!$B$165+DCF!$B$6)</f>
        <v/>
      </c>
      <c r="G206" s="23">
        <f>F206*(1+Assumptions!$B$166+DCF!$B$6)</f>
        <v/>
      </c>
    </row>
    <row r="207">
      <c r="A207" s="15" t="inlineStr">
        <is>
          <t>Total volume, mn t</t>
        </is>
      </c>
      <c r="C207" s="36">
        <f>SUM(C199:C206)</f>
        <v/>
      </c>
      <c r="D207" s="36">
        <f>SUM(D199:D206)</f>
        <v/>
      </c>
      <c r="E207" s="36">
        <f>SUM(E199:E206)</f>
        <v/>
      </c>
      <c r="F207" s="36">
        <f>SUM(F199:F206)</f>
        <v/>
      </c>
      <c r="G207" s="36">
        <f>SUM(G199:G206)</f>
        <v/>
      </c>
    </row>
    <row r="208">
      <c r="A208" s="15" t="inlineStr">
        <is>
          <t>REVENUE</t>
        </is>
      </c>
      <c r="C208" s="37">
        <f>C199*'Segments'!$F$6*C198+C200*'Segments'!$F$7*C198+C201*'Segments'!$F$8*C198+C202*'Segments'!$F$9*C198+C203*'Segments'!$F$10*C198+C204*'Segments'!$F$11*C198+C205*'Segments'!$F$12*C198+C206*'Segments'!$F$13*C198</f>
        <v/>
      </c>
      <c r="D208" s="37">
        <f>D199*'Segments'!$F$6*D198+D200*'Segments'!$F$7*D198+D201*'Segments'!$F$8*D198+D202*'Segments'!$F$9*D198+D203*'Segments'!$F$10*D198+D204*'Segments'!$F$11*D198+D205*'Segments'!$F$12*D198+D206*'Segments'!$F$13*D198</f>
        <v/>
      </c>
      <c r="E208" s="37">
        <f>E199*'Segments'!$F$6*E198+E200*'Segments'!$F$7*E198+E201*'Segments'!$F$8*E198+E202*'Segments'!$F$9*E198+E203*'Segments'!$F$10*E198+E204*'Segments'!$F$11*E198+E205*'Segments'!$F$12*E198+E206*'Segments'!$F$13*E198</f>
        <v/>
      </c>
      <c r="F208" s="37">
        <f>F199*'Segments'!$F$6*F198+F200*'Segments'!$F$7*F198+F201*'Segments'!$F$8*F198+F202*'Segments'!$F$9*F198+F203*'Segments'!$F$10*F198+F204*'Segments'!$F$11*F198+F205*'Segments'!$F$12*F198+F206*'Segments'!$F$13*F198</f>
        <v/>
      </c>
      <c r="G208" s="37">
        <f>G199*'Segments'!$F$6*G198+G200*'Segments'!$F$7*G198+G201*'Segments'!$F$8*G198+G202*'Segments'!$F$9*G198+G203*'Segments'!$F$10*G198+G204*'Segments'!$F$11*G198+G205*'Segments'!$F$12*G198+G206*'Segments'!$F$13*G198</f>
        <v/>
      </c>
    </row>
    <row r="209">
      <c r="A209" s="7" t="inlineStr">
        <is>
          <t>Cost of sales</t>
        </is>
      </c>
      <c r="C209" s="18">
        <f>C199*('Segments'!$D$27*C198*Assumptions!$B$109+'Segments'!$B$27*(0.4983251709*C198+0.4357405005*C198+0.0330936548*C198+0.0328406739))+C200*('Segments'!$D$28*C198*Assumptions!$B$109+'Segments'!$B$28*(0.4983251709*C198+0.4357405005*C198+0.0330936548*C198+0.0328406739))+C201*('Segments'!$D$29*C198*Assumptions!$B$109+'Segments'!$B$29*(0.4983251709*C198+0.4357405005*C198+0.0330936548*C198+0.0328406739))+C202*('Segments'!$D$30*C198*Assumptions!$B$109+'Segments'!$B$30*(0.4983251709*C198+0.4357405005*C198+0.0330936548*C198+0.0328406739))+C203*('Segments'!$D$31*C198*Assumptions!$B$109+'Segments'!$B$31*(0.4983251709*C198+0.4357405005*C198+0.0330936548*C198+0.0328406739))+C204*('Segments'!$D$32*C198*Assumptions!$B$109+'Segments'!$B$32*(0.4983251709*C198+0.4357405005*C198+0.0330936548*C198+0.0328406739))+C205*('Segments'!$D$33*C198*Assumptions!$B$109+'Segments'!$B$33*(0.4983251709*C198+0.4357405005*C198+0.0330936548*C198+0.0328406739))+C206*('Segments'!$D$34*C198*Assumptions!$B$109+'Segments'!$B$34*(0.4983251709*C198+0.4357405005*C198+0.0330936548*C198+0.0328406739))</f>
        <v/>
      </c>
      <c r="D209" s="18">
        <f>D199*('Segments'!$D$27*D198*Assumptions!$B$109+'Segments'!$B$27*(0.4983251709*D198+0.4357405005*D198+0.0330936548*D198+0.0328406739))+D200*('Segments'!$D$28*D198*Assumptions!$B$109+'Segments'!$B$28*(0.4983251709*D198+0.4357405005*D198+0.0330936548*D198+0.0328406739))+D201*('Segments'!$D$29*D198*Assumptions!$B$109+'Segments'!$B$29*(0.4983251709*D198+0.4357405005*D198+0.0330936548*D198+0.0328406739))+D202*('Segments'!$D$30*D198*Assumptions!$B$109+'Segments'!$B$30*(0.4983251709*D198+0.4357405005*D198+0.0330936548*D198+0.0328406739))+D203*('Segments'!$D$31*D198*Assumptions!$B$109+'Segments'!$B$31*(0.4983251709*D198+0.4357405005*D198+0.0330936548*D198+0.0328406739))+D204*('Segments'!$D$32*D198*Assumptions!$B$109+'Segments'!$B$32*(0.4983251709*D198+0.4357405005*D198+0.0330936548*D198+0.0328406739))+D205*('Segments'!$D$33*D198*Assumptions!$B$109+'Segments'!$B$33*(0.4983251709*D198+0.4357405005*D198+0.0330936548*D198+0.0328406739))+D206*('Segments'!$D$34*D198*Assumptions!$B$109+'Segments'!$B$34*(0.4983251709*D198+0.4357405005*D198+0.0330936548*D198+0.0328406739))</f>
        <v/>
      </c>
      <c r="E209" s="18">
        <f>E199*('Segments'!$D$27*E198*Assumptions!$B$109+'Segments'!$B$27*(0.4983251709*E198+0.4357405005*E198+0.0330936548*E198+0.0328406739))+E200*('Segments'!$D$28*E198*Assumptions!$B$109+'Segments'!$B$28*(0.4983251709*E198+0.4357405005*E198+0.0330936548*E198+0.0328406739))+E201*('Segments'!$D$29*E198*Assumptions!$B$109+'Segments'!$B$29*(0.4983251709*E198+0.4357405005*E198+0.0330936548*E198+0.0328406739))+E202*('Segments'!$D$30*E198*Assumptions!$B$109+'Segments'!$B$30*(0.4983251709*E198+0.4357405005*E198+0.0330936548*E198+0.0328406739))+E203*('Segments'!$D$31*E198*Assumptions!$B$109+'Segments'!$B$31*(0.4983251709*E198+0.4357405005*E198+0.0330936548*E198+0.0328406739))+E204*('Segments'!$D$32*E198*Assumptions!$B$109+'Segments'!$B$32*(0.4983251709*E198+0.4357405005*E198+0.0330936548*E198+0.0328406739))+E205*('Segments'!$D$33*E198*Assumptions!$B$109+'Segments'!$B$33*(0.4983251709*E198+0.4357405005*E198+0.0330936548*E198+0.0328406739))+E206*('Segments'!$D$34*E198*Assumptions!$B$109+'Segments'!$B$34*(0.4983251709*E198+0.4357405005*E198+0.0330936548*E198+0.0328406739))</f>
        <v/>
      </c>
      <c r="F209" s="18">
        <f>F199*('Segments'!$D$27*F198*Assumptions!$B$109+'Segments'!$B$27*(0.4983251709*F198+0.4357405005*F198+0.0330936548*F198+0.0328406739))+F200*('Segments'!$D$28*F198*Assumptions!$B$109+'Segments'!$B$28*(0.4983251709*F198+0.4357405005*F198+0.0330936548*F198+0.0328406739))+F201*('Segments'!$D$29*F198*Assumptions!$B$109+'Segments'!$B$29*(0.4983251709*F198+0.4357405005*F198+0.0330936548*F198+0.0328406739))+F202*('Segments'!$D$30*F198*Assumptions!$B$109+'Segments'!$B$30*(0.4983251709*F198+0.4357405005*F198+0.0330936548*F198+0.0328406739))+F203*('Segments'!$D$31*F198*Assumptions!$B$109+'Segments'!$B$31*(0.4983251709*F198+0.4357405005*F198+0.0330936548*F198+0.0328406739))+F204*('Segments'!$D$32*F198*Assumptions!$B$109+'Segments'!$B$32*(0.4983251709*F198+0.4357405005*F198+0.0330936548*F198+0.0328406739))+F205*('Segments'!$D$33*F198*Assumptions!$B$109+'Segments'!$B$33*(0.4983251709*F198+0.4357405005*F198+0.0330936548*F198+0.0328406739))+F206*('Segments'!$D$34*F198*Assumptions!$B$109+'Segments'!$B$34*(0.4983251709*F198+0.4357405005*F198+0.0330936548*F198+0.0328406739))</f>
        <v/>
      </c>
      <c r="G209" s="18">
        <f>G199*('Segments'!$D$27*G198*Assumptions!$B$109+'Segments'!$B$27*(0.4983251709*G198+0.4357405005*G198+0.0330936548*G198+0.0328406739))+G200*('Segments'!$D$28*G198*Assumptions!$B$109+'Segments'!$B$28*(0.4983251709*G198+0.4357405005*G198+0.0330936548*G198+0.0328406739))+G201*('Segments'!$D$29*G198*Assumptions!$B$109+'Segments'!$B$29*(0.4983251709*G198+0.4357405005*G198+0.0330936548*G198+0.0328406739))+G202*('Segments'!$D$30*G198*Assumptions!$B$109+'Segments'!$B$30*(0.4983251709*G198+0.4357405005*G198+0.0330936548*G198+0.0328406739))+G203*('Segments'!$D$31*G198*Assumptions!$B$109+'Segments'!$B$31*(0.4983251709*G198+0.4357405005*G198+0.0330936548*G198+0.0328406739))+G204*('Segments'!$D$32*G198*Assumptions!$B$109+'Segments'!$B$32*(0.4983251709*G198+0.4357405005*G198+0.0330936548*G198+0.0328406739))+G205*('Segments'!$D$33*G198*Assumptions!$B$109+'Segments'!$B$33*(0.4983251709*G198+0.4357405005*G198+0.0330936548*G198+0.0328406739))+G206*('Segments'!$D$34*G198*Assumptions!$B$109+'Segments'!$B$34*(0.4983251709*G198+0.4357405005*G198+0.0330936548*G198+0.0328406739))</f>
        <v/>
      </c>
    </row>
    <row r="210">
      <c r="A210" s="15" t="inlineStr">
        <is>
          <t>GROSS PROFIT</t>
        </is>
      </c>
      <c r="C210" s="37">
        <f>C208-C209+$C$9*C208</f>
        <v/>
      </c>
      <c r="D210" s="37">
        <f>D208-D209+$C$9*D208</f>
        <v/>
      </c>
      <c r="E210" s="37">
        <f>E208-E209+$C$9*E208</f>
        <v/>
      </c>
      <c r="F210" s="37">
        <f>F208-F209+$C$9*F208</f>
        <v/>
      </c>
      <c r="G210" s="37">
        <f>G208-G209+$C$9*G208</f>
        <v/>
      </c>
    </row>
    <row r="211">
      <c r="A211" s="7" t="inlineStr">
        <is>
          <t>Gross margin</t>
        </is>
      </c>
      <c r="C211" s="24">
        <f>C210/C208</f>
        <v/>
      </c>
      <c r="D211" s="24">
        <f>D210/D208</f>
        <v/>
      </c>
      <c r="E211" s="24">
        <f>E210/E208</f>
        <v/>
      </c>
      <c r="F211" s="24">
        <f>F210/F208</f>
        <v/>
      </c>
      <c r="G211" s="24">
        <f>G210/G208</f>
        <v/>
      </c>
    </row>
    <row r="212">
      <c r="A212" s="7" t="inlineStr">
        <is>
          <t>Operating expense</t>
        </is>
      </c>
      <c r="C212" s="18">
        <f>('Income Statement'!$B$28*C197)+('Income Statement'!$B$29*C197*C207/'Segments'!$E$14)+('Income Statement'!$B$30*C197)+('Income Statement'!$B$31*C197)</f>
        <v/>
      </c>
      <c r="D212" s="18">
        <f>('Income Statement'!$B$28*D197)+('Income Statement'!$B$29*D197*D207/'Segments'!$E$14)+('Income Statement'!$B$30*D197)+('Income Statement'!$B$31*D197)</f>
        <v/>
      </c>
      <c r="E212" s="18">
        <f>('Income Statement'!$B$28*E197)+('Income Statement'!$B$29*E197*E207/'Segments'!$E$14)+('Income Statement'!$B$30*E197)+('Income Statement'!$B$31*E197)</f>
        <v/>
      </c>
      <c r="F212" s="18">
        <f>('Income Statement'!$B$28*F197)+('Income Statement'!$B$29*F197*F207/'Segments'!$E$14)+('Income Statement'!$B$30*F197)+('Income Statement'!$B$31*F197)</f>
        <v/>
      </c>
      <c r="G212" s="18">
        <f>('Income Statement'!$B$28*G197)+('Income Statement'!$B$29*G197*G207/'Segments'!$E$14)+('Income Statement'!$B$30*G197)+('Income Statement'!$B$31*G197)</f>
        <v/>
      </c>
    </row>
    <row r="213">
      <c r="A213" s="15" t="inlineStr">
        <is>
          <t>EBITDA</t>
        </is>
      </c>
      <c r="C213" s="37">
        <f>C210-C212</f>
        <v/>
      </c>
      <c r="D213" s="37">
        <f>D210-D212</f>
        <v/>
      </c>
      <c r="E213" s="37">
        <f>E210-E212</f>
        <v/>
      </c>
      <c r="F213" s="37">
        <f>F210-F212</f>
        <v/>
      </c>
      <c r="G213" s="37">
        <f>G210-G212</f>
        <v/>
      </c>
    </row>
    <row r="214">
      <c r="A214" s="7" t="inlineStr">
        <is>
          <t>Capital expenditure — maintenance + growth</t>
        </is>
      </c>
      <c r="C214" s="18">
        <f>'Income Statement'!$B$43*C197+MAX(C207-'Segments'!$E$14,0)*2100.379938*C197</f>
        <v/>
      </c>
      <c r="D214" s="18">
        <f>'Income Statement'!$B$43*D197+MAX(D207-C207,0)*2100.379938*D197</f>
        <v/>
      </c>
      <c r="E214" s="18">
        <f>'Income Statement'!$B$43*E197+MAX(E207-D207,0)*2100.379938*E197</f>
        <v/>
      </c>
      <c r="F214" s="18">
        <f>'Income Statement'!$B$43*F197+MAX(F207-E207,0)*2100.379938*F197</f>
        <v/>
      </c>
      <c r="G214" s="18">
        <f>'Income Statement'!$B$43*G197+MAX(G207-F207,0)*2100.379938*G197</f>
        <v/>
      </c>
    </row>
    <row r="215">
      <c r="A215" s="7" t="inlineStr">
        <is>
          <t>Fixed assets at cost, closing</t>
        </is>
      </c>
      <c r="C215" s="18">
        <f>(Assumptions!$B$91+Assumptions!$B$92)/10^6+C214</f>
        <v/>
      </c>
      <c r="D215" s="18">
        <f>C215+D214</f>
        <v/>
      </c>
      <c r="E215" s="18">
        <f>D215+E214</f>
        <v/>
      </c>
      <c r="F215" s="18">
        <f>E215+F214</f>
        <v/>
      </c>
      <c r="G215" s="18">
        <f>F215+G214</f>
        <v/>
      </c>
    </row>
    <row r="216">
      <c r="A216" s="7" t="inlineStr">
        <is>
          <t>Depreciation — rolls off the asset register</t>
        </is>
      </c>
      <c r="C216" s="18">
        <f>(Assumptions!$B$91+Assumptions!$B$92)/10^6/'Income Statement'!$B$42</f>
        <v/>
      </c>
      <c r="D216" s="18">
        <f>C215/'Income Statement'!$B$42</f>
        <v/>
      </c>
      <c r="E216" s="18">
        <f>D215/'Income Statement'!$B$42</f>
        <v/>
      </c>
      <c r="F216" s="18">
        <f>E215/'Income Statement'!$B$42</f>
        <v/>
      </c>
      <c r="G216" s="18">
        <f>F215/'Income Statement'!$B$42</f>
        <v/>
      </c>
    </row>
    <row r="217">
      <c r="A217" s="7" t="inlineStr">
        <is>
          <t>Fixed assets, net book, closing</t>
        </is>
      </c>
      <c r="C217" s="18">
        <f>(Assumptions!$B$90+Assumptions!$B$92)/10^6+C214-C216</f>
        <v/>
      </c>
      <c r="D217" s="18">
        <f>C217+D214-D216</f>
        <v/>
      </c>
      <c r="E217" s="18">
        <f>D217+E214-E216</f>
        <v/>
      </c>
      <c r="F217" s="18">
        <f>E217+F214-F216</f>
        <v/>
      </c>
      <c r="G217" s="18">
        <f>F217+G214-G216</f>
        <v/>
      </c>
    </row>
    <row r="218">
      <c r="A218" s="15" t="inlineStr">
        <is>
          <t>EBIT</t>
        </is>
      </c>
      <c r="C218" s="37">
        <f>C213-C216</f>
        <v/>
      </c>
      <c r="D218" s="37">
        <f>D213-D216</f>
        <v/>
      </c>
      <c r="E218" s="37">
        <f>E213-E216</f>
        <v/>
      </c>
      <c r="F218" s="37">
        <f>F213-F216</f>
        <v/>
      </c>
      <c r="G218" s="37">
        <f>G213-G216</f>
        <v/>
      </c>
    </row>
    <row r="219">
      <c r="A219" s="7" t="inlineStr">
        <is>
          <t>NOPAT before the profit share</t>
        </is>
      </c>
      <c r="C219" s="18">
        <f>C218*(1-Assumptions!$B$108)</f>
        <v/>
      </c>
      <c r="D219" s="18">
        <f>D218*(1-Assumptions!$B$108)</f>
        <v/>
      </c>
      <c r="E219" s="18">
        <f>E218*(1-Assumptions!$B$108)</f>
        <v/>
      </c>
      <c r="F219" s="18">
        <f>F218*(1-Assumptions!$B$108)</f>
        <v/>
      </c>
      <c r="G219" s="18">
        <f>G218*(1-Assumptions!$B$108)</f>
        <v/>
      </c>
    </row>
    <row r="220">
      <c r="A220" s="7" t="inlineStr">
        <is>
          <t xml:space="preserve">  less employees' profit share and board bonuses</t>
        </is>
      </c>
      <c r="C220" s="18">
        <f>MAX(C219,0)*'Income Statement'!$B$40</f>
        <v/>
      </c>
      <c r="D220" s="18">
        <f>MAX(D219,0)*'Income Statement'!$B$40</f>
        <v/>
      </c>
      <c r="E220" s="18">
        <f>MAX(E219,0)*'Income Statement'!$B$40</f>
        <v/>
      </c>
      <c r="F220" s="18">
        <f>MAX(F219,0)*'Income Statement'!$B$40</f>
        <v/>
      </c>
      <c r="G220" s="18">
        <f>MAX(G219,0)*'Income Statement'!$B$40</f>
        <v/>
      </c>
    </row>
    <row r="221">
      <c r="A221" s="15" t="inlineStr">
        <is>
          <t>NOPAT</t>
        </is>
      </c>
      <c r="C221" s="37">
        <f>C219-C220</f>
        <v/>
      </c>
      <c r="D221" s="37">
        <f>D219-D220</f>
        <v/>
      </c>
      <c r="E221" s="37">
        <f>E219-E220</f>
        <v/>
      </c>
      <c r="F221" s="37">
        <f>F219-F220</f>
        <v/>
      </c>
      <c r="G221" s="37">
        <f>G219-G220</f>
        <v/>
      </c>
    </row>
    <row r="222">
      <c r="A222" s="7" t="inlineStr">
        <is>
          <t>Net working capital — on days</t>
        </is>
      </c>
      <c r="C222" s="18">
        <f>'Income Statement'!$B$44*DCF!$B$9/365*C209+'Income Statement'!$B$45*DCF!$B$9/365*C208-'Income Statement'!$B$46*DCF!$B$9/365*C209</f>
        <v/>
      </c>
      <c r="D222" s="18">
        <f>'Income Statement'!$B$44*DCF!$B$9/365*D209+'Income Statement'!$B$45*DCF!$B$9/365*D208-'Income Statement'!$B$46*DCF!$B$9/365*D209</f>
        <v/>
      </c>
      <c r="E222" s="18">
        <f>'Income Statement'!$B$44*DCF!$B$9/365*E209+'Income Statement'!$B$45*DCF!$B$9/365*E208-'Income Statement'!$B$46*DCF!$B$9/365*E209</f>
        <v/>
      </c>
      <c r="F222" s="18">
        <f>'Income Statement'!$B$44*DCF!$B$9/365*F209+'Income Statement'!$B$45*DCF!$B$9/365*F208-'Income Statement'!$B$46*DCF!$B$9/365*F209</f>
        <v/>
      </c>
      <c r="G222" s="18">
        <f>'Income Statement'!$B$44*DCF!$B$9/365*G209+'Income Statement'!$B$45*DCF!$B$9/365*G208-'Income Statement'!$B$46*DCF!$B$9/365*G209</f>
        <v/>
      </c>
    </row>
    <row r="223">
      <c r="A223" s="7" t="inlineStr">
        <is>
          <t xml:space="preserve">  change in working capital</t>
        </is>
      </c>
      <c r="C223" s="18">
        <f>C222-('Income Statement'!$B$44/365*'Income Statement'!$B$21+'Income Statement'!$B$45/365*'Income Statement'!$B$19-'Income Statement'!$B$46/365*'Income Statement'!$B$21)</f>
        <v/>
      </c>
      <c r="D223" s="18">
        <f>D222-C222</f>
        <v/>
      </c>
      <c r="E223" s="18">
        <f>E222-D222</f>
        <v/>
      </c>
      <c r="F223" s="18">
        <f>F222-E222</f>
        <v/>
      </c>
      <c r="G223" s="18">
        <f>G222-F222</f>
        <v/>
      </c>
    </row>
    <row r="224">
      <c r="A224" s="15" t="inlineStr">
        <is>
          <t>FREE CASH FLOW TO THE FIRM</t>
        </is>
      </c>
      <c r="C224" s="37">
        <f>C221+C216-C214-C223</f>
        <v/>
      </c>
      <c r="D224" s="37">
        <f>D221+D216-D214-D223</f>
        <v/>
      </c>
      <c r="E224" s="37">
        <f>E221+E216-E214-E223</f>
        <v/>
      </c>
      <c r="F224" s="37">
        <f>F221+F216-F214-F223</f>
        <v/>
      </c>
      <c r="G224" s="37">
        <f>G221+G216-G214-G223</f>
        <v/>
      </c>
    </row>
    <row r="225">
      <c r="A225" s="7" t="inlineStr">
        <is>
          <t>Glide fraction</t>
        </is>
      </c>
      <c r="C225" s="23">
        <f>0.0000000000</f>
        <v/>
      </c>
      <c r="D225" s="23">
        <f>0.5166487648</f>
        <v/>
      </c>
      <c r="E225" s="23">
        <f>0.7314715360</f>
        <v/>
      </c>
      <c r="F225" s="23">
        <f>0.8925886144</f>
        <v/>
      </c>
      <c r="G225" s="23">
        <f>1.0000000000</f>
        <v/>
      </c>
    </row>
    <row r="226">
      <c r="A226" s="7" t="inlineStr">
        <is>
          <t>Forward cost of capital</t>
        </is>
      </c>
      <c r="C226" s="24">
        <f>DCF!$B$14-(DCF!$B$14-DCF!$B$17)*C225</f>
        <v/>
      </c>
      <c r="D226" s="24">
        <f>DCF!$B$14-(DCF!$B$14-DCF!$B$17)*D225</f>
        <v/>
      </c>
      <c r="E226" s="24">
        <f>DCF!$B$14-(DCF!$B$14-DCF!$B$17)*E225</f>
        <v/>
      </c>
      <c r="F226" s="24">
        <f>DCF!$B$14-(DCF!$B$14-DCF!$B$17)*F225</f>
        <v/>
      </c>
      <c r="G226" s="24">
        <f>DCF!$B$14-(DCF!$B$14-DCF!$B$17)*G225</f>
        <v/>
      </c>
    </row>
    <row r="227">
      <c r="A227" s="7" t="inlineStr">
        <is>
          <t>Cumulative discount factor</t>
        </is>
      </c>
      <c r="C227" s="40">
        <f>1/(1+C226)</f>
        <v/>
      </c>
      <c r="D227" s="40">
        <f>C227/(1+D226)</f>
        <v/>
      </c>
      <c r="E227" s="40">
        <f>D227/(1+E226)</f>
        <v/>
      </c>
      <c r="F227" s="40">
        <f>E227/(1+F226)</f>
        <v/>
      </c>
      <c r="G227" s="40">
        <f>F227/(1+G226)</f>
        <v/>
      </c>
    </row>
    <row r="228">
      <c r="A228" s="7" t="inlineStr">
        <is>
          <t>Present value</t>
        </is>
      </c>
      <c r="C228" s="18">
        <f>C224*C227</f>
        <v/>
      </c>
      <c r="D228" s="18">
        <f>D224*D227</f>
        <v/>
      </c>
      <c r="E228" s="18">
        <f>E224*E227</f>
        <v/>
      </c>
      <c r="F228" s="18">
        <f>F224*F227</f>
        <v/>
      </c>
      <c r="G228" s="18">
        <f>G224*G227</f>
        <v/>
      </c>
    </row>
    <row r="229">
      <c r="A229" s="15" t="inlineStr">
        <is>
          <t>PV of the explicit window</t>
        </is>
      </c>
      <c r="B229" s="37">
        <f>SUM(C228:G228)</f>
        <v/>
      </c>
      <c r="C229" s="18">
        <f>C222+C215</f>
        <v/>
      </c>
      <c r="D229" s="18">
        <f>D222+D215</f>
        <v/>
      </c>
      <c r="E229" s="18">
        <f>E222+E215</f>
        <v/>
      </c>
      <c r="F229" s="18">
        <f>F222+F215</f>
        <v/>
      </c>
      <c r="G229" s="18">
        <f>G222+G215</f>
        <v/>
      </c>
    </row>
    <row r="230">
      <c r="A230" s="7" t="inlineStr">
        <is>
          <t>Terminal return on invested capital, at REPLACEMENT cost</t>
        </is>
      </c>
      <c r="B230" s="24">
        <f>G221*(1+Assumptions!$B$110)/G229</f>
        <v/>
      </c>
    </row>
    <row r="231">
      <c r="A231" s="7" t="inlineStr">
        <is>
          <t>Required reinvestment = growth / return</t>
        </is>
      </c>
      <c r="B231" s="24">
        <f>MIN(Assumptions!$B$110/B230,0.95)</f>
        <v/>
      </c>
    </row>
    <row r="232">
      <c r="A232" s="7" t="inlineStr">
        <is>
          <t>Terminal value</t>
        </is>
      </c>
      <c r="B232" s="18">
        <f>G221*(1+Assumptions!$B$110)*(1-B231)/MAX(DCF!$B$17-Assumptions!$B$110,0.02)</f>
        <v/>
      </c>
    </row>
    <row r="233">
      <c r="A233" s="7" t="inlineStr">
        <is>
          <t>PV of the terminal block</t>
        </is>
      </c>
      <c r="B233" s="18">
        <f>B232*G227</f>
        <v/>
      </c>
    </row>
    <row r="234">
      <c r="A234" s="15" t="inlineStr">
        <is>
          <t>ENTERPRISE VALUE</t>
        </is>
      </c>
      <c r="B234" s="37">
        <f>B229+B233</f>
        <v/>
      </c>
    </row>
    <row r="235">
      <c r="A235" s="7" t="inlineStr">
        <is>
          <t>plus net cash</t>
        </is>
      </c>
      <c r="B235" s="18">
        <f>(Assumptions!$B$100-Assumptions!$B$103-Assumptions!$B$104)/10^6</f>
        <v/>
      </c>
    </row>
    <row r="236">
      <c r="A236" s="7" t="inlineStr">
        <is>
          <t>Enterprise value including cash</t>
        </is>
      </c>
      <c r="B236" s="18">
        <f>B234+B235</f>
        <v/>
      </c>
    </row>
    <row r="237">
      <c r="A237" s="7" t="inlineStr">
        <is>
          <t>less minority — on the WHOLE enterprise, cash included</t>
        </is>
      </c>
      <c r="B237" s="18">
        <f>B236*'Income Statement'!$B$41</f>
        <v/>
      </c>
    </row>
    <row r="238">
      <c r="A238" s="7" t="inlineStr">
        <is>
          <t>less the tax-disputes provision</t>
        </is>
      </c>
      <c r="B238" s="18">
        <f>Assumptions!$B$99/10^6</f>
        <v/>
      </c>
    </row>
    <row r="239">
      <c r="A239" s="7" t="inlineStr">
        <is>
          <t>less dividends payable — declared, out of working capital</t>
        </is>
      </c>
      <c r="B239" s="18">
        <f>Assumptions!$B$98/10^6</f>
        <v/>
      </c>
    </row>
    <row r="240">
      <c r="A240" s="7" t="inlineStr">
        <is>
          <t>plus non-operating investments and pledged deposits</t>
        </is>
      </c>
      <c r="B240" s="18">
        <f>(Assumptions!$B$102+Assumptions!$B$101)/10^6</f>
        <v/>
      </c>
    </row>
    <row r="241">
      <c r="A241" s="15" t="inlineStr">
        <is>
          <t>EQUITY ATTRIBUTABLE</t>
        </is>
      </c>
      <c r="B241" s="37">
        <f>B236-B237-B238-B239+B240</f>
        <v/>
      </c>
    </row>
    <row r="242">
      <c r="A242" s="15" t="inlineStr">
        <is>
          <t>VALUE PER SHARE, EGP</t>
        </is>
      </c>
      <c r="B242" s="22">
        <f>B241/Assumptions!$B$8</f>
        <v/>
      </c>
    </row>
    <row r="245">
      <c r="A245" s="6" t="inlineStr">
        <is>
          <t>Gross margin, shifted on every forecast year — +1.0%</t>
        </is>
      </c>
      <c r="B245" s="6" t="inlineStr">
        <is>
          <t>2026E</t>
        </is>
      </c>
      <c r="C245" s="6" t="inlineStr">
        <is>
          <t>2027E</t>
        </is>
      </c>
      <c r="D245" s="6" t="inlineStr">
        <is>
          <t>2028E</t>
        </is>
      </c>
      <c r="E245" s="6" t="inlineStr">
        <is>
          <t>2029E</t>
        </is>
      </c>
      <c r="F245" s="6" t="inlineStr">
        <is>
          <t>2030E</t>
        </is>
      </c>
    </row>
    <row r="246">
      <c r="A246" s="7" t="inlineStr">
        <is>
          <t>Inflation index, cumulative</t>
        </is>
      </c>
      <c r="C246" s="23">
        <f>Assumptions!$B$167</f>
        <v/>
      </c>
      <c r="D246" s="23">
        <f>C246*Assumptions!$B$168</f>
        <v/>
      </c>
      <c r="E246" s="23">
        <f>D246*Assumptions!$B$169</f>
        <v/>
      </c>
      <c r="F246" s="23">
        <f>E246*Assumptions!$B$170</f>
        <v/>
      </c>
      <c r="G246" s="23">
        <f>F246*Assumptions!$B$171</f>
        <v/>
      </c>
    </row>
    <row r="247">
      <c r="A247" s="7" t="inlineStr">
        <is>
          <t>Realisation index, cumulative</t>
        </is>
      </c>
      <c r="C247" s="23">
        <f>(1+Assumptions!$B$122*DCF!$B$8)</f>
        <v/>
      </c>
      <c r="D247" s="23">
        <f>C247*(1+Assumptions!$B$123*DCF!$B$8)</f>
        <v/>
      </c>
      <c r="E247" s="23">
        <f>D247*(1+Assumptions!$B$124*DCF!$B$8)</f>
        <v/>
      </c>
      <c r="F247" s="23">
        <f>E247*(1+Assumptions!$B$125*DCF!$B$8)</f>
        <v/>
      </c>
      <c r="G247" s="23">
        <f>F247*(1+Assumptions!$B$126*DCF!$B$8)</f>
        <v/>
      </c>
    </row>
    <row r="248">
      <c r="A248" s="7" t="inlineStr">
        <is>
          <t xml:space="preserve">  Volume — Base and special oils, mn t</t>
        </is>
      </c>
      <c r="C248" s="23">
        <f>'Segments'!E6*(1+Assumptions!$B$127+DCF!$B$6)</f>
        <v/>
      </c>
      <c r="D248" s="23">
        <f>C248*(1+Assumptions!$B$128+DCF!$B$6)</f>
        <v/>
      </c>
      <c r="E248" s="23">
        <f>D248*(1+Assumptions!$B$129+DCF!$B$6)</f>
        <v/>
      </c>
      <c r="F248" s="23">
        <f>E248*(1+Assumptions!$B$130+DCF!$B$6)</f>
        <v/>
      </c>
      <c r="G248" s="23">
        <f>F248*(1+Assumptions!$B$131+DCF!$B$6)</f>
        <v/>
      </c>
    </row>
    <row r="249">
      <c r="A249" s="7" t="inlineStr">
        <is>
          <t xml:space="preserve">  Volume — Paraffin wax, mn t</t>
        </is>
      </c>
      <c r="C249" s="23">
        <f>'Segments'!E7*(1+Assumptions!$B$132+DCF!$B$6)</f>
        <v/>
      </c>
      <c r="D249" s="23">
        <f>C249*(1+Assumptions!$B$133+DCF!$B$6)</f>
        <v/>
      </c>
      <c r="E249" s="23">
        <f>D249*(1+Assumptions!$B$134+DCF!$B$6)</f>
        <v/>
      </c>
      <c r="F249" s="23">
        <f>E249*(1+Assumptions!$B$135+DCF!$B$6)</f>
        <v/>
      </c>
      <c r="G249" s="23">
        <f>F249*(1+Assumptions!$B$136+DCF!$B$6)</f>
        <v/>
      </c>
    </row>
    <row r="250">
      <c r="A250" s="7" t="inlineStr">
        <is>
          <t xml:space="preserve">  Volume — Gas oil, mn t</t>
        </is>
      </c>
      <c r="C250" s="23">
        <f>'Segments'!E8*(1+Assumptions!$B$137+DCF!$B$6)</f>
        <v/>
      </c>
      <c r="D250" s="23">
        <f>C250*(1+Assumptions!$B$138+DCF!$B$6)</f>
        <v/>
      </c>
      <c r="E250" s="23">
        <f>D250*(1+Assumptions!$B$139+DCF!$B$6)</f>
        <v/>
      </c>
      <c r="F250" s="23">
        <f>E250*(1+Assumptions!$B$140+DCF!$B$6)</f>
        <v/>
      </c>
      <c r="G250" s="23">
        <f>F250*(1+Assumptions!$B$141+DCF!$B$6)</f>
        <v/>
      </c>
    </row>
    <row r="251">
      <c r="A251" s="7" t="inlineStr">
        <is>
          <t xml:space="preserve">  Volume — Naphtha, mn t</t>
        </is>
      </c>
      <c r="C251" s="23">
        <f>'Segments'!E9*(1+Assumptions!$B$142+DCF!$B$6)</f>
        <v/>
      </c>
      <c r="D251" s="23">
        <f>C251*(1+Assumptions!$B$143+DCF!$B$6)</f>
        <v/>
      </c>
      <c r="E251" s="23">
        <f>D251*(1+Assumptions!$B$144+DCF!$B$6)</f>
        <v/>
      </c>
      <c r="F251" s="23">
        <f>E251*(1+Assumptions!$B$145+DCF!$B$6)</f>
        <v/>
      </c>
      <c r="G251" s="23">
        <f>F251*(1+Assumptions!$B$146+DCF!$B$6)</f>
        <v/>
      </c>
    </row>
    <row r="252">
      <c r="A252" s="7" t="inlineStr">
        <is>
          <t xml:space="preserve">  Volume — Liquefied petroleum gas, mn t</t>
        </is>
      </c>
      <c r="C252" s="23">
        <f>'Segments'!E10*(1+Assumptions!$B$147+DCF!$B$6)</f>
        <v/>
      </c>
      <c r="D252" s="23">
        <f>C252*(1+Assumptions!$B$148+DCF!$B$6)</f>
        <v/>
      </c>
      <c r="E252" s="23">
        <f>D252*(1+Assumptions!$B$149+DCF!$B$6)</f>
        <v/>
      </c>
      <c r="F252" s="23">
        <f>E252*(1+Assumptions!$B$150+DCF!$B$6)</f>
        <v/>
      </c>
      <c r="G252" s="23">
        <f>F252*(1+Assumptions!$B$151+DCF!$B$6)</f>
        <v/>
      </c>
    </row>
    <row r="253">
      <c r="A253" s="7" t="inlineStr">
        <is>
          <t xml:space="preserve">  Volume — Fuel oil (mix), mn t</t>
        </is>
      </c>
      <c r="C253" s="23">
        <f>'Segments'!E11*(1+Assumptions!$B$152+DCF!$B$6)</f>
        <v/>
      </c>
      <c r="D253" s="23">
        <f>C253*(1+Assumptions!$B$153+DCF!$B$6)</f>
        <v/>
      </c>
      <c r="E253" s="23">
        <f>D253*(1+Assumptions!$B$154+DCF!$B$6)</f>
        <v/>
      </c>
      <c r="F253" s="23">
        <f>E253*(1+Assumptions!$B$155+DCF!$B$6)</f>
        <v/>
      </c>
      <c r="G253" s="23">
        <f>F253*(1+Assumptions!$B$156+DCF!$B$6)</f>
        <v/>
      </c>
    </row>
    <row r="254">
      <c r="A254" s="7" t="inlineStr">
        <is>
          <t xml:space="preserve">  Volume — Heavy fuel oil, mn t</t>
        </is>
      </c>
      <c r="C254" s="23">
        <f>'Segments'!E12*(1+Assumptions!$B$157+DCF!$B$6)</f>
        <v/>
      </c>
      <c r="D254" s="23">
        <f>C254*(1+Assumptions!$B$158+DCF!$B$6)</f>
        <v/>
      </c>
      <c r="E254" s="23">
        <f>D254*(1+Assumptions!$B$159+DCF!$B$6)</f>
        <v/>
      </c>
      <c r="F254" s="23">
        <f>E254*(1+Assumptions!$B$160+DCF!$B$6)</f>
        <v/>
      </c>
      <c r="G254" s="23">
        <f>F254*(1+Assumptions!$B$161+DCF!$B$6)</f>
        <v/>
      </c>
    </row>
    <row r="255">
      <c r="A255" s="7" t="inlineStr">
        <is>
          <t xml:space="preserve">  Volume — Waste, mn t</t>
        </is>
      </c>
      <c r="C255" s="23">
        <f>'Segments'!E13*(1+Assumptions!$B$162+DCF!$B$6)</f>
        <v/>
      </c>
      <c r="D255" s="23">
        <f>C255*(1+Assumptions!$B$163+DCF!$B$6)</f>
        <v/>
      </c>
      <c r="E255" s="23">
        <f>D255*(1+Assumptions!$B$164+DCF!$B$6)</f>
        <v/>
      </c>
      <c r="F255" s="23">
        <f>E255*(1+Assumptions!$B$165+DCF!$B$6)</f>
        <v/>
      </c>
      <c r="G255" s="23">
        <f>F255*(1+Assumptions!$B$166+DCF!$B$6)</f>
        <v/>
      </c>
    </row>
    <row r="256">
      <c r="A256" s="15" t="inlineStr">
        <is>
          <t>Total volume, mn t</t>
        </is>
      </c>
      <c r="C256" s="36">
        <f>SUM(C248:C255)</f>
        <v/>
      </c>
      <c r="D256" s="36">
        <f>SUM(D248:D255)</f>
        <v/>
      </c>
      <c r="E256" s="36">
        <f>SUM(E248:E255)</f>
        <v/>
      </c>
      <c r="F256" s="36">
        <f>SUM(F248:F255)</f>
        <v/>
      </c>
      <c r="G256" s="36">
        <f>SUM(G248:G255)</f>
        <v/>
      </c>
    </row>
    <row r="257">
      <c r="A257" s="15" t="inlineStr">
        <is>
          <t>REVENUE</t>
        </is>
      </c>
      <c r="C257" s="37">
        <f>C248*'Segments'!$F$6*C247+C249*'Segments'!$F$7*C247+C250*'Segments'!$F$8*C247+C251*'Segments'!$F$9*C247+C252*'Segments'!$F$10*C247+C253*'Segments'!$F$11*C247+C254*'Segments'!$F$12*C247+C255*'Segments'!$F$13*C247</f>
        <v/>
      </c>
      <c r="D257" s="37">
        <f>D248*'Segments'!$F$6*D247+D249*'Segments'!$F$7*D247+D250*'Segments'!$F$8*D247+D251*'Segments'!$F$9*D247+D252*'Segments'!$F$10*D247+D253*'Segments'!$F$11*D247+D254*'Segments'!$F$12*D247+D255*'Segments'!$F$13*D247</f>
        <v/>
      </c>
      <c r="E257" s="37">
        <f>E248*'Segments'!$F$6*E247+E249*'Segments'!$F$7*E247+E250*'Segments'!$F$8*E247+E251*'Segments'!$F$9*E247+E252*'Segments'!$F$10*E247+E253*'Segments'!$F$11*E247+E254*'Segments'!$F$12*E247+E255*'Segments'!$F$13*E247</f>
        <v/>
      </c>
      <c r="F257" s="37">
        <f>F248*'Segments'!$F$6*F247+F249*'Segments'!$F$7*F247+F250*'Segments'!$F$8*F247+F251*'Segments'!$F$9*F247+F252*'Segments'!$F$10*F247+F253*'Segments'!$F$11*F247+F254*'Segments'!$F$12*F247+F255*'Segments'!$F$13*F247</f>
        <v/>
      </c>
      <c r="G257" s="37">
        <f>G248*'Segments'!$F$6*G247+G249*'Segments'!$F$7*G247+G250*'Segments'!$F$8*G247+G251*'Segments'!$F$9*G247+G252*'Segments'!$F$10*G247+G253*'Segments'!$F$11*G247+G254*'Segments'!$F$12*G247+G255*'Segments'!$F$13*G247</f>
        <v/>
      </c>
    </row>
    <row r="258">
      <c r="A258" s="7" t="inlineStr">
        <is>
          <t>Cost of sales</t>
        </is>
      </c>
      <c r="C258" s="18">
        <f>C248*('Segments'!$D$27*C247*Assumptions!$B$109+'Segments'!$B$27*(0.4983251709*C247+0.4357405005*C247+0.0330936548*C247+0.0328406739))+C249*('Segments'!$D$28*C247*Assumptions!$B$109+'Segments'!$B$28*(0.4983251709*C247+0.4357405005*C247+0.0330936548*C247+0.0328406739))+C250*('Segments'!$D$29*C247*Assumptions!$B$109+'Segments'!$B$29*(0.4983251709*C247+0.4357405005*C247+0.0330936548*C247+0.0328406739))+C251*('Segments'!$D$30*C247*Assumptions!$B$109+'Segments'!$B$30*(0.4983251709*C247+0.4357405005*C247+0.0330936548*C247+0.0328406739))+C252*('Segments'!$D$31*C247*Assumptions!$B$109+'Segments'!$B$31*(0.4983251709*C247+0.4357405005*C247+0.0330936548*C247+0.0328406739))+C253*('Segments'!$D$32*C247*Assumptions!$B$109+'Segments'!$B$32*(0.4983251709*C247+0.4357405005*C247+0.0330936548*C247+0.0328406739))+C254*('Segments'!$D$33*C247*Assumptions!$B$109+'Segments'!$B$33*(0.4983251709*C247+0.4357405005*C247+0.0330936548*C247+0.0328406739))+C255*('Segments'!$D$34*C247*Assumptions!$B$109+'Segments'!$B$34*(0.4983251709*C247+0.4357405005*C247+0.0330936548*C247+0.0328406739))</f>
        <v/>
      </c>
      <c r="D258" s="18">
        <f>D248*('Segments'!$D$27*D247*Assumptions!$B$109+'Segments'!$B$27*(0.4983251709*D247+0.4357405005*D247+0.0330936548*D247+0.0328406739))+D249*('Segments'!$D$28*D247*Assumptions!$B$109+'Segments'!$B$28*(0.4983251709*D247+0.4357405005*D247+0.0330936548*D247+0.0328406739))+D250*('Segments'!$D$29*D247*Assumptions!$B$109+'Segments'!$B$29*(0.4983251709*D247+0.4357405005*D247+0.0330936548*D247+0.0328406739))+D251*('Segments'!$D$30*D247*Assumptions!$B$109+'Segments'!$B$30*(0.4983251709*D247+0.4357405005*D247+0.0330936548*D247+0.0328406739))+D252*('Segments'!$D$31*D247*Assumptions!$B$109+'Segments'!$B$31*(0.4983251709*D247+0.4357405005*D247+0.0330936548*D247+0.0328406739))+D253*('Segments'!$D$32*D247*Assumptions!$B$109+'Segments'!$B$32*(0.4983251709*D247+0.4357405005*D247+0.0330936548*D247+0.0328406739))+D254*('Segments'!$D$33*D247*Assumptions!$B$109+'Segments'!$B$33*(0.4983251709*D247+0.4357405005*D247+0.0330936548*D247+0.0328406739))+D255*('Segments'!$D$34*D247*Assumptions!$B$109+'Segments'!$B$34*(0.4983251709*D247+0.4357405005*D247+0.0330936548*D247+0.0328406739))</f>
        <v/>
      </c>
      <c r="E258" s="18">
        <f>E248*('Segments'!$D$27*E247*Assumptions!$B$109+'Segments'!$B$27*(0.4983251709*E247+0.4357405005*E247+0.0330936548*E247+0.0328406739))+E249*('Segments'!$D$28*E247*Assumptions!$B$109+'Segments'!$B$28*(0.4983251709*E247+0.4357405005*E247+0.0330936548*E247+0.0328406739))+E250*('Segments'!$D$29*E247*Assumptions!$B$109+'Segments'!$B$29*(0.4983251709*E247+0.4357405005*E247+0.0330936548*E247+0.0328406739))+E251*('Segments'!$D$30*E247*Assumptions!$B$109+'Segments'!$B$30*(0.4983251709*E247+0.4357405005*E247+0.0330936548*E247+0.0328406739))+E252*('Segments'!$D$31*E247*Assumptions!$B$109+'Segments'!$B$31*(0.4983251709*E247+0.4357405005*E247+0.0330936548*E247+0.0328406739))+E253*('Segments'!$D$32*E247*Assumptions!$B$109+'Segments'!$B$32*(0.4983251709*E247+0.4357405005*E247+0.0330936548*E247+0.0328406739))+E254*('Segments'!$D$33*E247*Assumptions!$B$109+'Segments'!$B$33*(0.4983251709*E247+0.4357405005*E247+0.0330936548*E247+0.0328406739))+E255*('Segments'!$D$34*E247*Assumptions!$B$109+'Segments'!$B$34*(0.4983251709*E247+0.4357405005*E247+0.0330936548*E247+0.0328406739))</f>
        <v/>
      </c>
      <c r="F258" s="18">
        <f>F248*('Segments'!$D$27*F247*Assumptions!$B$109+'Segments'!$B$27*(0.4983251709*F247+0.4357405005*F247+0.0330936548*F247+0.0328406739))+F249*('Segments'!$D$28*F247*Assumptions!$B$109+'Segments'!$B$28*(0.4983251709*F247+0.4357405005*F247+0.0330936548*F247+0.0328406739))+F250*('Segments'!$D$29*F247*Assumptions!$B$109+'Segments'!$B$29*(0.4983251709*F247+0.4357405005*F247+0.0330936548*F247+0.0328406739))+F251*('Segments'!$D$30*F247*Assumptions!$B$109+'Segments'!$B$30*(0.4983251709*F247+0.4357405005*F247+0.0330936548*F247+0.0328406739))+F252*('Segments'!$D$31*F247*Assumptions!$B$109+'Segments'!$B$31*(0.4983251709*F247+0.4357405005*F247+0.0330936548*F247+0.0328406739))+F253*('Segments'!$D$32*F247*Assumptions!$B$109+'Segments'!$B$32*(0.4983251709*F247+0.4357405005*F247+0.0330936548*F247+0.0328406739))+F254*('Segments'!$D$33*F247*Assumptions!$B$109+'Segments'!$B$33*(0.4983251709*F247+0.4357405005*F247+0.0330936548*F247+0.0328406739))+F255*('Segments'!$D$34*F247*Assumptions!$B$109+'Segments'!$B$34*(0.4983251709*F247+0.4357405005*F247+0.0330936548*F247+0.0328406739))</f>
        <v/>
      </c>
      <c r="G258" s="18">
        <f>G248*('Segments'!$D$27*G247*Assumptions!$B$109+'Segments'!$B$27*(0.4983251709*G247+0.4357405005*G247+0.0330936548*G247+0.0328406739))+G249*('Segments'!$D$28*G247*Assumptions!$B$109+'Segments'!$B$28*(0.4983251709*G247+0.4357405005*G247+0.0330936548*G247+0.0328406739))+G250*('Segments'!$D$29*G247*Assumptions!$B$109+'Segments'!$B$29*(0.4983251709*G247+0.4357405005*G247+0.0330936548*G247+0.0328406739))+G251*('Segments'!$D$30*G247*Assumptions!$B$109+'Segments'!$B$30*(0.4983251709*G247+0.4357405005*G247+0.0330936548*G247+0.0328406739))+G252*('Segments'!$D$31*G247*Assumptions!$B$109+'Segments'!$B$31*(0.4983251709*G247+0.4357405005*G247+0.0330936548*G247+0.0328406739))+G253*('Segments'!$D$32*G247*Assumptions!$B$109+'Segments'!$B$32*(0.4983251709*G247+0.4357405005*G247+0.0330936548*G247+0.0328406739))+G254*('Segments'!$D$33*G247*Assumptions!$B$109+'Segments'!$B$33*(0.4983251709*G247+0.4357405005*G247+0.0330936548*G247+0.0328406739))+G255*('Segments'!$D$34*G247*Assumptions!$B$109+'Segments'!$B$34*(0.4983251709*G247+0.4357405005*G247+0.0330936548*G247+0.0328406739))</f>
        <v/>
      </c>
    </row>
    <row r="259">
      <c r="A259" s="15" t="inlineStr">
        <is>
          <t>GROSS PROFIT</t>
        </is>
      </c>
      <c r="C259" s="37">
        <f>C257-C258+$C$10*C257</f>
        <v/>
      </c>
      <c r="D259" s="37">
        <f>D257-D258+$C$10*D257</f>
        <v/>
      </c>
      <c r="E259" s="37">
        <f>E257-E258+$C$10*E257</f>
        <v/>
      </c>
      <c r="F259" s="37">
        <f>F257-F258+$C$10*F257</f>
        <v/>
      </c>
      <c r="G259" s="37">
        <f>G257-G258+$C$10*G257</f>
        <v/>
      </c>
    </row>
    <row r="260">
      <c r="A260" s="7" t="inlineStr">
        <is>
          <t>Gross margin</t>
        </is>
      </c>
      <c r="C260" s="24">
        <f>C259/C257</f>
        <v/>
      </c>
      <c r="D260" s="24">
        <f>D259/D257</f>
        <v/>
      </c>
      <c r="E260" s="24">
        <f>E259/E257</f>
        <v/>
      </c>
      <c r="F260" s="24">
        <f>F259/F257</f>
        <v/>
      </c>
      <c r="G260" s="24">
        <f>G259/G257</f>
        <v/>
      </c>
    </row>
    <row r="261">
      <c r="A261" s="7" t="inlineStr">
        <is>
          <t>Operating expense</t>
        </is>
      </c>
      <c r="C261" s="18">
        <f>('Income Statement'!$B$28*C246)+('Income Statement'!$B$29*C246*C256/'Segments'!$E$14)+('Income Statement'!$B$30*C246)+('Income Statement'!$B$31*C246)</f>
        <v/>
      </c>
      <c r="D261" s="18">
        <f>('Income Statement'!$B$28*D246)+('Income Statement'!$B$29*D246*D256/'Segments'!$E$14)+('Income Statement'!$B$30*D246)+('Income Statement'!$B$31*D246)</f>
        <v/>
      </c>
      <c r="E261" s="18">
        <f>('Income Statement'!$B$28*E246)+('Income Statement'!$B$29*E246*E256/'Segments'!$E$14)+('Income Statement'!$B$30*E246)+('Income Statement'!$B$31*E246)</f>
        <v/>
      </c>
      <c r="F261" s="18">
        <f>('Income Statement'!$B$28*F246)+('Income Statement'!$B$29*F246*F256/'Segments'!$E$14)+('Income Statement'!$B$30*F246)+('Income Statement'!$B$31*F246)</f>
        <v/>
      </c>
      <c r="G261" s="18">
        <f>('Income Statement'!$B$28*G246)+('Income Statement'!$B$29*G246*G256/'Segments'!$E$14)+('Income Statement'!$B$30*G246)+('Income Statement'!$B$31*G246)</f>
        <v/>
      </c>
    </row>
    <row r="262">
      <c r="A262" s="15" t="inlineStr">
        <is>
          <t>EBITDA</t>
        </is>
      </c>
      <c r="C262" s="37">
        <f>C259-C261</f>
        <v/>
      </c>
      <c r="D262" s="37">
        <f>D259-D261</f>
        <v/>
      </c>
      <c r="E262" s="37">
        <f>E259-E261</f>
        <v/>
      </c>
      <c r="F262" s="37">
        <f>F259-F261</f>
        <v/>
      </c>
      <c r="G262" s="37">
        <f>G259-G261</f>
        <v/>
      </c>
    </row>
    <row r="263">
      <c r="A263" s="7" t="inlineStr">
        <is>
          <t>Capital expenditure — maintenance + growth</t>
        </is>
      </c>
      <c r="C263" s="18">
        <f>'Income Statement'!$B$43*C246+MAX(C256-'Segments'!$E$14,0)*2100.379938*C246</f>
        <v/>
      </c>
      <c r="D263" s="18">
        <f>'Income Statement'!$B$43*D246+MAX(D256-C256,0)*2100.379938*D246</f>
        <v/>
      </c>
      <c r="E263" s="18">
        <f>'Income Statement'!$B$43*E246+MAX(E256-D256,0)*2100.379938*E246</f>
        <v/>
      </c>
      <c r="F263" s="18">
        <f>'Income Statement'!$B$43*F246+MAX(F256-E256,0)*2100.379938*F246</f>
        <v/>
      </c>
      <c r="G263" s="18">
        <f>'Income Statement'!$B$43*G246+MAX(G256-F256,0)*2100.379938*G246</f>
        <v/>
      </c>
    </row>
    <row r="264">
      <c r="A264" s="7" t="inlineStr">
        <is>
          <t>Fixed assets at cost, closing</t>
        </is>
      </c>
      <c r="C264" s="18">
        <f>(Assumptions!$B$91+Assumptions!$B$92)/10^6+C263</f>
        <v/>
      </c>
      <c r="D264" s="18">
        <f>C264+D263</f>
        <v/>
      </c>
      <c r="E264" s="18">
        <f>D264+E263</f>
        <v/>
      </c>
      <c r="F264" s="18">
        <f>E264+F263</f>
        <v/>
      </c>
      <c r="G264" s="18">
        <f>F264+G263</f>
        <v/>
      </c>
    </row>
    <row r="265">
      <c r="A265" s="7" t="inlineStr">
        <is>
          <t>Depreciation — rolls off the asset register</t>
        </is>
      </c>
      <c r="C265" s="18">
        <f>(Assumptions!$B$91+Assumptions!$B$92)/10^6/'Income Statement'!$B$42</f>
        <v/>
      </c>
      <c r="D265" s="18">
        <f>C264/'Income Statement'!$B$42</f>
        <v/>
      </c>
      <c r="E265" s="18">
        <f>D264/'Income Statement'!$B$42</f>
        <v/>
      </c>
      <c r="F265" s="18">
        <f>E264/'Income Statement'!$B$42</f>
        <v/>
      </c>
      <c r="G265" s="18">
        <f>F264/'Income Statement'!$B$42</f>
        <v/>
      </c>
    </row>
    <row r="266">
      <c r="A266" s="7" t="inlineStr">
        <is>
          <t>Fixed assets, net book, closing</t>
        </is>
      </c>
      <c r="C266" s="18">
        <f>(Assumptions!$B$90+Assumptions!$B$92)/10^6+C263-C265</f>
        <v/>
      </c>
      <c r="D266" s="18">
        <f>C266+D263-D265</f>
        <v/>
      </c>
      <c r="E266" s="18">
        <f>D266+E263-E265</f>
        <v/>
      </c>
      <c r="F266" s="18">
        <f>E266+F263-F265</f>
        <v/>
      </c>
      <c r="G266" s="18">
        <f>F266+G263-G265</f>
        <v/>
      </c>
    </row>
    <row r="267">
      <c r="A267" s="15" t="inlineStr">
        <is>
          <t>EBIT</t>
        </is>
      </c>
      <c r="C267" s="37">
        <f>C262-C265</f>
        <v/>
      </c>
      <c r="D267" s="37">
        <f>D262-D265</f>
        <v/>
      </c>
      <c r="E267" s="37">
        <f>E262-E265</f>
        <v/>
      </c>
      <c r="F267" s="37">
        <f>F262-F265</f>
        <v/>
      </c>
      <c r="G267" s="37">
        <f>G262-G265</f>
        <v/>
      </c>
    </row>
    <row r="268">
      <c r="A268" s="7" t="inlineStr">
        <is>
          <t>NOPAT before the profit share</t>
        </is>
      </c>
      <c r="C268" s="18">
        <f>C267*(1-Assumptions!$B$108)</f>
        <v/>
      </c>
      <c r="D268" s="18">
        <f>D267*(1-Assumptions!$B$108)</f>
        <v/>
      </c>
      <c r="E268" s="18">
        <f>E267*(1-Assumptions!$B$108)</f>
        <v/>
      </c>
      <c r="F268" s="18">
        <f>F267*(1-Assumptions!$B$108)</f>
        <v/>
      </c>
      <c r="G268" s="18">
        <f>G267*(1-Assumptions!$B$108)</f>
        <v/>
      </c>
    </row>
    <row r="269">
      <c r="A269" s="7" t="inlineStr">
        <is>
          <t xml:space="preserve">  less employees' profit share and board bonuses</t>
        </is>
      </c>
      <c r="C269" s="18">
        <f>MAX(C268,0)*'Income Statement'!$B$40</f>
        <v/>
      </c>
      <c r="D269" s="18">
        <f>MAX(D268,0)*'Income Statement'!$B$40</f>
        <v/>
      </c>
      <c r="E269" s="18">
        <f>MAX(E268,0)*'Income Statement'!$B$40</f>
        <v/>
      </c>
      <c r="F269" s="18">
        <f>MAX(F268,0)*'Income Statement'!$B$40</f>
        <v/>
      </c>
      <c r="G269" s="18">
        <f>MAX(G268,0)*'Income Statement'!$B$40</f>
        <v/>
      </c>
    </row>
    <row r="270">
      <c r="A270" s="15" t="inlineStr">
        <is>
          <t>NOPAT</t>
        </is>
      </c>
      <c r="C270" s="37">
        <f>C268-C269</f>
        <v/>
      </c>
      <c r="D270" s="37">
        <f>D268-D269</f>
        <v/>
      </c>
      <c r="E270" s="37">
        <f>E268-E269</f>
        <v/>
      </c>
      <c r="F270" s="37">
        <f>F268-F269</f>
        <v/>
      </c>
      <c r="G270" s="37">
        <f>G268-G269</f>
        <v/>
      </c>
    </row>
    <row r="271">
      <c r="A271" s="7" t="inlineStr">
        <is>
          <t>Net working capital — on days</t>
        </is>
      </c>
      <c r="C271" s="18">
        <f>'Income Statement'!$B$44*DCF!$B$9/365*C258+'Income Statement'!$B$45*DCF!$B$9/365*C257-'Income Statement'!$B$46*DCF!$B$9/365*C258</f>
        <v/>
      </c>
      <c r="D271" s="18">
        <f>'Income Statement'!$B$44*DCF!$B$9/365*D258+'Income Statement'!$B$45*DCF!$B$9/365*D257-'Income Statement'!$B$46*DCF!$B$9/365*D258</f>
        <v/>
      </c>
      <c r="E271" s="18">
        <f>'Income Statement'!$B$44*DCF!$B$9/365*E258+'Income Statement'!$B$45*DCF!$B$9/365*E257-'Income Statement'!$B$46*DCF!$B$9/365*E258</f>
        <v/>
      </c>
      <c r="F271" s="18">
        <f>'Income Statement'!$B$44*DCF!$B$9/365*F258+'Income Statement'!$B$45*DCF!$B$9/365*F257-'Income Statement'!$B$46*DCF!$B$9/365*F258</f>
        <v/>
      </c>
      <c r="G271" s="18">
        <f>'Income Statement'!$B$44*DCF!$B$9/365*G258+'Income Statement'!$B$45*DCF!$B$9/365*G257-'Income Statement'!$B$46*DCF!$B$9/365*G258</f>
        <v/>
      </c>
    </row>
    <row r="272">
      <c r="A272" s="7" t="inlineStr">
        <is>
          <t xml:space="preserve">  change in working capital</t>
        </is>
      </c>
      <c r="C272" s="18">
        <f>C271-('Income Statement'!$B$44/365*'Income Statement'!$B$21+'Income Statement'!$B$45/365*'Income Statement'!$B$19-'Income Statement'!$B$46/365*'Income Statement'!$B$21)</f>
        <v/>
      </c>
      <c r="D272" s="18">
        <f>D271-C271</f>
        <v/>
      </c>
      <c r="E272" s="18">
        <f>E271-D271</f>
        <v/>
      </c>
      <c r="F272" s="18">
        <f>F271-E271</f>
        <v/>
      </c>
      <c r="G272" s="18">
        <f>G271-F271</f>
        <v/>
      </c>
    </row>
    <row r="273">
      <c r="A273" s="15" t="inlineStr">
        <is>
          <t>FREE CASH FLOW TO THE FIRM</t>
        </is>
      </c>
      <c r="C273" s="37">
        <f>C270+C265-C263-C272</f>
        <v/>
      </c>
      <c r="D273" s="37">
        <f>D270+D265-D263-D272</f>
        <v/>
      </c>
      <c r="E273" s="37">
        <f>E270+E265-E263-E272</f>
        <v/>
      </c>
      <c r="F273" s="37">
        <f>F270+F265-F263-F272</f>
        <v/>
      </c>
      <c r="G273" s="37">
        <f>G270+G265-G263-G272</f>
        <v/>
      </c>
    </row>
    <row r="274">
      <c r="A274" s="7" t="inlineStr">
        <is>
          <t>Glide fraction</t>
        </is>
      </c>
      <c r="C274" s="23">
        <f>0.0000000000</f>
        <v/>
      </c>
      <c r="D274" s="23">
        <f>0.5166487648</f>
        <v/>
      </c>
      <c r="E274" s="23">
        <f>0.7314715360</f>
        <v/>
      </c>
      <c r="F274" s="23">
        <f>0.8925886144</f>
        <v/>
      </c>
      <c r="G274" s="23">
        <f>1.0000000000</f>
        <v/>
      </c>
    </row>
    <row r="275">
      <c r="A275" s="7" t="inlineStr">
        <is>
          <t>Forward cost of capital</t>
        </is>
      </c>
      <c r="C275" s="24">
        <f>DCF!$B$14-(DCF!$B$14-DCF!$B$17)*C274</f>
        <v/>
      </c>
      <c r="D275" s="24">
        <f>DCF!$B$14-(DCF!$B$14-DCF!$B$17)*D274</f>
        <v/>
      </c>
      <c r="E275" s="24">
        <f>DCF!$B$14-(DCF!$B$14-DCF!$B$17)*E274</f>
        <v/>
      </c>
      <c r="F275" s="24">
        <f>DCF!$B$14-(DCF!$B$14-DCF!$B$17)*F274</f>
        <v/>
      </c>
      <c r="G275" s="24">
        <f>DCF!$B$14-(DCF!$B$14-DCF!$B$17)*G274</f>
        <v/>
      </c>
    </row>
    <row r="276">
      <c r="A276" s="7" t="inlineStr">
        <is>
          <t>Cumulative discount factor</t>
        </is>
      </c>
      <c r="C276" s="40">
        <f>1/(1+C275)</f>
        <v/>
      </c>
      <c r="D276" s="40">
        <f>C276/(1+D275)</f>
        <v/>
      </c>
      <c r="E276" s="40">
        <f>D276/(1+E275)</f>
        <v/>
      </c>
      <c r="F276" s="40">
        <f>E276/(1+F275)</f>
        <v/>
      </c>
      <c r="G276" s="40">
        <f>F276/(1+G275)</f>
        <v/>
      </c>
    </row>
    <row r="277">
      <c r="A277" s="7" t="inlineStr">
        <is>
          <t>Present value</t>
        </is>
      </c>
      <c r="C277" s="18">
        <f>C273*C276</f>
        <v/>
      </c>
      <c r="D277" s="18">
        <f>D273*D276</f>
        <v/>
      </c>
      <c r="E277" s="18">
        <f>E273*E276</f>
        <v/>
      </c>
      <c r="F277" s="18">
        <f>F273*F276</f>
        <v/>
      </c>
      <c r="G277" s="18">
        <f>G273*G276</f>
        <v/>
      </c>
    </row>
    <row r="278">
      <c r="A278" s="15" t="inlineStr">
        <is>
          <t>PV of the explicit window</t>
        </is>
      </c>
      <c r="B278" s="37">
        <f>SUM(C277:G277)</f>
        <v/>
      </c>
      <c r="C278" s="18">
        <f>C271+C264</f>
        <v/>
      </c>
      <c r="D278" s="18">
        <f>D271+D264</f>
        <v/>
      </c>
      <c r="E278" s="18">
        <f>E271+E264</f>
        <v/>
      </c>
      <c r="F278" s="18">
        <f>F271+F264</f>
        <v/>
      </c>
      <c r="G278" s="18">
        <f>G271+G264</f>
        <v/>
      </c>
    </row>
    <row r="279">
      <c r="A279" s="7" t="inlineStr">
        <is>
          <t>Terminal return on invested capital, at REPLACEMENT cost</t>
        </is>
      </c>
      <c r="B279" s="24">
        <f>G270*(1+Assumptions!$B$110)/G278</f>
        <v/>
      </c>
    </row>
    <row r="280">
      <c r="A280" s="7" t="inlineStr">
        <is>
          <t>Required reinvestment = growth / return</t>
        </is>
      </c>
      <c r="B280" s="24">
        <f>MIN(Assumptions!$B$110/B279,0.95)</f>
        <v/>
      </c>
    </row>
    <row r="281">
      <c r="A281" s="7" t="inlineStr">
        <is>
          <t>Terminal value</t>
        </is>
      </c>
      <c r="B281" s="18">
        <f>G270*(1+Assumptions!$B$110)*(1-B280)/MAX(DCF!$B$17-Assumptions!$B$110,0.02)</f>
        <v/>
      </c>
    </row>
    <row r="282">
      <c r="A282" s="7" t="inlineStr">
        <is>
          <t>PV of the terminal block</t>
        </is>
      </c>
      <c r="B282" s="18">
        <f>B281*G276</f>
        <v/>
      </c>
    </row>
    <row r="283">
      <c r="A283" s="15" t="inlineStr">
        <is>
          <t>ENTERPRISE VALUE</t>
        </is>
      </c>
      <c r="B283" s="37">
        <f>B278+B282</f>
        <v/>
      </c>
    </row>
    <row r="284">
      <c r="A284" s="7" t="inlineStr">
        <is>
          <t>plus net cash</t>
        </is>
      </c>
      <c r="B284" s="18">
        <f>(Assumptions!$B$100-Assumptions!$B$103-Assumptions!$B$104)/10^6</f>
        <v/>
      </c>
    </row>
    <row r="285">
      <c r="A285" s="7" t="inlineStr">
        <is>
          <t>Enterprise value including cash</t>
        </is>
      </c>
      <c r="B285" s="18">
        <f>B283+B284</f>
        <v/>
      </c>
    </row>
    <row r="286">
      <c r="A286" s="7" t="inlineStr">
        <is>
          <t>less minority — on the WHOLE enterprise, cash included</t>
        </is>
      </c>
      <c r="B286" s="18">
        <f>B285*'Income Statement'!$B$41</f>
        <v/>
      </c>
    </row>
    <row r="287">
      <c r="A287" s="7" t="inlineStr">
        <is>
          <t>less the tax-disputes provision</t>
        </is>
      </c>
      <c r="B287" s="18">
        <f>Assumptions!$B$99/10^6</f>
        <v/>
      </c>
    </row>
    <row r="288">
      <c r="A288" s="7" t="inlineStr">
        <is>
          <t>less dividends payable — declared, out of working capital</t>
        </is>
      </c>
      <c r="B288" s="18">
        <f>Assumptions!$B$98/10^6</f>
        <v/>
      </c>
    </row>
    <row r="289">
      <c r="A289" s="7" t="inlineStr">
        <is>
          <t>plus non-operating investments and pledged deposits</t>
        </is>
      </c>
      <c r="B289" s="18">
        <f>(Assumptions!$B$102+Assumptions!$B$101)/10^6</f>
        <v/>
      </c>
    </row>
    <row r="290">
      <c r="A290" s="15" t="inlineStr">
        <is>
          <t>EQUITY ATTRIBUTABLE</t>
        </is>
      </c>
      <c r="B290" s="37">
        <f>B285-B286-B287-B288+B289</f>
        <v/>
      </c>
    </row>
    <row r="291">
      <c r="A291" s="15" t="inlineStr">
        <is>
          <t>VALUE PER SHARE, EGP</t>
        </is>
      </c>
      <c r="B291" s="22">
        <f>B290/Assumptions!$B$8</f>
        <v/>
      </c>
    </row>
    <row r="294">
      <c r="A294" s="6" t="inlineStr">
        <is>
          <t>Volume growth path, as a multiple of the assumed path — -6.0%</t>
        </is>
      </c>
      <c r="B294" s="6" t="inlineStr">
        <is>
          <t>2026E</t>
        </is>
      </c>
      <c r="C294" s="6" t="inlineStr">
        <is>
          <t>2027E</t>
        </is>
      </c>
      <c r="D294" s="6" t="inlineStr">
        <is>
          <t>2028E</t>
        </is>
      </c>
      <c r="E294" s="6" t="inlineStr">
        <is>
          <t>2029E</t>
        </is>
      </c>
      <c r="F294" s="6" t="inlineStr">
        <is>
          <t>2030E</t>
        </is>
      </c>
    </row>
    <row r="295">
      <c r="A295" s="7" t="inlineStr">
        <is>
          <t>Inflation index, cumulative</t>
        </is>
      </c>
      <c r="C295" s="23">
        <f>Assumptions!$B$167</f>
        <v/>
      </c>
      <c r="D295" s="23">
        <f>C295*Assumptions!$B$168</f>
        <v/>
      </c>
      <c r="E295" s="23">
        <f>D295*Assumptions!$B$169</f>
        <v/>
      </c>
      <c r="F295" s="23">
        <f>E295*Assumptions!$B$170</f>
        <v/>
      </c>
      <c r="G295" s="23">
        <f>F295*Assumptions!$B$171</f>
        <v/>
      </c>
    </row>
    <row r="296">
      <c r="A296" s="7" t="inlineStr">
        <is>
          <t>Realisation index, cumulative</t>
        </is>
      </c>
      <c r="C296" s="23">
        <f>(1+Assumptions!$B$122*DCF!$B$8)</f>
        <v/>
      </c>
      <c r="D296" s="23">
        <f>C296*(1+Assumptions!$B$123*DCF!$B$8)</f>
        <v/>
      </c>
      <c r="E296" s="23">
        <f>D296*(1+Assumptions!$B$124*DCF!$B$8)</f>
        <v/>
      </c>
      <c r="F296" s="23">
        <f>E296*(1+Assumptions!$B$125*DCF!$B$8)</f>
        <v/>
      </c>
      <c r="G296" s="23">
        <f>F296*(1+Assumptions!$B$126*DCF!$B$8)</f>
        <v/>
      </c>
    </row>
    <row r="297">
      <c r="A297" s="7" t="inlineStr">
        <is>
          <t xml:space="preserve">  Volume — Base and special oils, mn t</t>
        </is>
      </c>
      <c r="C297" s="23">
        <f>'Segments'!E6*(1+Assumptions!$B$127+$B$13)</f>
        <v/>
      </c>
      <c r="D297" s="23">
        <f>C297*(1+Assumptions!$B$128+$B$13)</f>
        <v/>
      </c>
      <c r="E297" s="23">
        <f>D297*(1+Assumptions!$B$129+$B$13)</f>
        <v/>
      </c>
      <c r="F297" s="23">
        <f>E297*(1+Assumptions!$B$130+$B$13)</f>
        <v/>
      </c>
      <c r="G297" s="23">
        <f>F297*(1+Assumptions!$B$131+$B$13)</f>
        <v/>
      </c>
    </row>
    <row r="298">
      <c r="A298" s="7" t="inlineStr">
        <is>
          <t xml:space="preserve">  Volume — Paraffin wax, mn t</t>
        </is>
      </c>
      <c r="C298" s="23">
        <f>'Segments'!E7*(1+Assumptions!$B$132+$B$13)</f>
        <v/>
      </c>
      <c r="D298" s="23">
        <f>C298*(1+Assumptions!$B$133+$B$13)</f>
        <v/>
      </c>
      <c r="E298" s="23">
        <f>D298*(1+Assumptions!$B$134+$B$13)</f>
        <v/>
      </c>
      <c r="F298" s="23">
        <f>E298*(1+Assumptions!$B$135+$B$13)</f>
        <v/>
      </c>
      <c r="G298" s="23">
        <f>F298*(1+Assumptions!$B$136+$B$13)</f>
        <v/>
      </c>
    </row>
    <row r="299">
      <c r="A299" s="7" t="inlineStr">
        <is>
          <t xml:space="preserve">  Volume — Gas oil, mn t</t>
        </is>
      </c>
      <c r="C299" s="23">
        <f>'Segments'!E8*(1+Assumptions!$B$137+$B$13)</f>
        <v/>
      </c>
      <c r="D299" s="23">
        <f>C299*(1+Assumptions!$B$138+$B$13)</f>
        <v/>
      </c>
      <c r="E299" s="23">
        <f>D299*(1+Assumptions!$B$139+$B$13)</f>
        <v/>
      </c>
      <c r="F299" s="23">
        <f>E299*(1+Assumptions!$B$140+$B$13)</f>
        <v/>
      </c>
      <c r="G299" s="23">
        <f>F299*(1+Assumptions!$B$141+$B$13)</f>
        <v/>
      </c>
    </row>
    <row r="300">
      <c r="A300" s="7" t="inlineStr">
        <is>
          <t xml:space="preserve">  Volume — Naphtha, mn t</t>
        </is>
      </c>
      <c r="C300" s="23">
        <f>'Segments'!E9*(1+Assumptions!$B$142+$B$13)</f>
        <v/>
      </c>
      <c r="D300" s="23">
        <f>C300*(1+Assumptions!$B$143+$B$13)</f>
        <v/>
      </c>
      <c r="E300" s="23">
        <f>D300*(1+Assumptions!$B$144+$B$13)</f>
        <v/>
      </c>
      <c r="F300" s="23">
        <f>E300*(1+Assumptions!$B$145+$B$13)</f>
        <v/>
      </c>
      <c r="G300" s="23">
        <f>F300*(1+Assumptions!$B$146+$B$13)</f>
        <v/>
      </c>
    </row>
    <row r="301">
      <c r="A301" s="7" t="inlineStr">
        <is>
          <t xml:space="preserve">  Volume — Liquefied petroleum gas, mn t</t>
        </is>
      </c>
      <c r="C301" s="23">
        <f>'Segments'!E10*(1+Assumptions!$B$147+$B$13)</f>
        <v/>
      </c>
      <c r="D301" s="23">
        <f>C301*(1+Assumptions!$B$148+$B$13)</f>
        <v/>
      </c>
      <c r="E301" s="23">
        <f>D301*(1+Assumptions!$B$149+$B$13)</f>
        <v/>
      </c>
      <c r="F301" s="23">
        <f>E301*(1+Assumptions!$B$150+$B$13)</f>
        <v/>
      </c>
      <c r="G301" s="23">
        <f>F301*(1+Assumptions!$B$151+$B$13)</f>
        <v/>
      </c>
    </row>
    <row r="302">
      <c r="A302" s="7" t="inlineStr">
        <is>
          <t xml:space="preserve">  Volume — Fuel oil (mix), mn t</t>
        </is>
      </c>
      <c r="C302" s="23">
        <f>'Segments'!E11*(1+Assumptions!$B$152+$B$13)</f>
        <v/>
      </c>
      <c r="D302" s="23">
        <f>C302*(1+Assumptions!$B$153+$B$13)</f>
        <v/>
      </c>
      <c r="E302" s="23">
        <f>D302*(1+Assumptions!$B$154+$B$13)</f>
        <v/>
      </c>
      <c r="F302" s="23">
        <f>E302*(1+Assumptions!$B$155+$B$13)</f>
        <v/>
      </c>
      <c r="G302" s="23">
        <f>F302*(1+Assumptions!$B$156+$B$13)</f>
        <v/>
      </c>
    </row>
    <row r="303">
      <c r="A303" s="7" t="inlineStr">
        <is>
          <t xml:space="preserve">  Volume — Heavy fuel oil, mn t</t>
        </is>
      </c>
      <c r="C303" s="23">
        <f>'Segments'!E12*(1+Assumptions!$B$157+$B$13)</f>
        <v/>
      </c>
      <c r="D303" s="23">
        <f>C303*(1+Assumptions!$B$158+$B$13)</f>
        <v/>
      </c>
      <c r="E303" s="23">
        <f>D303*(1+Assumptions!$B$159+$B$13)</f>
        <v/>
      </c>
      <c r="F303" s="23">
        <f>E303*(1+Assumptions!$B$160+$B$13)</f>
        <v/>
      </c>
      <c r="G303" s="23">
        <f>F303*(1+Assumptions!$B$161+$B$13)</f>
        <v/>
      </c>
    </row>
    <row r="304">
      <c r="A304" s="7" t="inlineStr">
        <is>
          <t xml:space="preserve">  Volume — Waste, mn t</t>
        </is>
      </c>
      <c r="C304" s="23">
        <f>'Segments'!E13*(1+Assumptions!$B$162+$B$13)</f>
        <v/>
      </c>
      <c r="D304" s="23">
        <f>C304*(1+Assumptions!$B$163+$B$13)</f>
        <v/>
      </c>
      <c r="E304" s="23">
        <f>D304*(1+Assumptions!$B$164+$B$13)</f>
        <v/>
      </c>
      <c r="F304" s="23">
        <f>E304*(1+Assumptions!$B$165+$B$13)</f>
        <v/>
      </c>
      <c r="G304" s="23">
        <f>F304*(1+Assumptions!$B$166+$B$13)</f>
        <v/>
      </c>
    </row>
    <row r="305">
      <c r="A305" s="15" t="inlineStr">
        <is>
          <t>Total volume, mn t</t>
        </is>
      </c>
      <c r="C305" s="36">
        <f>SUM(C297:C304)</f>
        <v/>
      </c>
      <c r="D305" s="36">
        <f>SUM(D297:D304)</f>
        <v/>
      </c>
      <c r="E305" s="36">
        <f>SUM(E297:E304)</f>
        <v/>
      </c>
      <c r="F305" s="36">
        <f>SUM(F297:F304)</f>
        <v/>
      </c>
      <c r="G305" s="36">
        <f>SUM(G297:G304)</f>
        <v/>
      </c>
    </row>
    <row r="306">
      <c r="A306" s="15" t="inlineStr">
        <is>
          <t>REVENUE</t>
        </is>
      </c>
      <c r="C306" s="37">
        <f>C297*'Segments'!$F$6*C296+C298*'Segments'!$F$7*C296+C299*'Segments'!$F$8*C296+C300*'Segments'!$F$9*C296+C301*'Segments'!$F$10*C296+C302*'Segments'!$F$11*C296+C303*'Segments'!$F$12*C296+C304*'Segments'!$F$13*C296</f>
        <v/>
      </c>
      <c r="D306" s="37">
        <f>D297*'Segments'!$F$6*D296+D298*'Segments'!$F$7*D296+D299*'Segments'!$F$8*D296+D300*'Segments'!$F$9*D296+D301*'Segments'!$F$10*D296+D302*'Segments'!$F$11*D296+D303*'Segments'!$F$12*D296+D304*'Segments'!$F$13*D296</f>
        <v/>
      </c>
      <c r="E306" s="37">
        <f>E297*'Segments'!$F$6*E296+E298*'Segments'!$F$7*E296+E299*'Segments'!$F$8*E296+E300*'Segments'!$F$9*E296+E301*'Segments'!$F$10*E296+E302*'Segments'!$F$11*E296+E303*'Segments'!$F$12*E296+E304*'Segments'!$F$13*E296</f>
        <v/>
      </c>
      <c r="F306" s="37">
        <f>F297*'Segments'!$F$6*F296+F298*'Segments'!$F$7*F296+F299*'Segments'!$F$8*F296+F300*'Segments'!$F$9*F296+F301*'Segments'!$F$10*F296+F302*'Segments'!$F$11*F296+F303*'Segments'!$F$12*F296+F304*'Segments'!$F$13*F296</f>
        <v/>
      </c>
      <c r="G306" s="37">
        <f>G297*'Segments'!$F$6*G296+G298*'Segments'!$F$7*G296+G299*'Segments'!$F$8*G296+G300*'Segments'!$F$9*G296+G301*'Segments'!$F$10*G296+G302*'Segments'!$F$11*G296+G303*'Segments'!$F$12*G296+G304*'Segments'!$F$13*G296</f>
        <v/>
      </c>
    </row>
    <row r="307">
      <c r="A307" s="7" t="inlineStr">
        <is>
          <t>Cost of sales</t>
        </is>
      </c>
      <c r="C307" s="18">
        <f>C297*('Segments'!$D$27*C296*Assumptions!$B$109+'Segments'!$B$27*(0.4983251709*C296+0.4357405005*C296+0.0330936548*C296+0.0328406739))+C298*('Segments'!$D$28*C296*Assumptions!$B$109+'Segments'!$B$28*(0.4983251709*C296+0.4357405005*C296+0.0330936548*C296+0.0328406739))+C299*('Segments'!$D$29*C296*Assumptions!$B$109+'Segments'!$B$29*(0.4983251709*C296+0.4357405005*C296+0.0330936548*C296+0.0328406739))+C300*('Segments'!$D$30*C296*Assumptions!$B$109+'Segments'!$B$30*(0.4983251709*C296+0.4357405005*C296+0.0330936548*C296+0.0328406739))+C301*('Segments'!$D$31*C296*Assumptions!$B$109+'Segments'!$B$31*(0.4983251709*C296+0.4357405005*C296+0.0330936548*C296+0.0328406739))+C302*('Segments'!$D$32*C296*Assumptions!$B$109+'Segments'!$B$32*(0.4983251709*C296+0.4357405005*C296+0.0330936548*C296+0.0328406739))+C303*('Segments'!$D$33*C296*Assumptions!$B$109+'Segments'!$B$33*(0.4983251709*C296+0.4357405005*C296+0.0330936548*C296+0.0328406739))+C304*('Segments'!$D$34*C296*Assumptions!$B$109+'Segments'!$B$34*(0.4983251709*C296+0.4357405005*C296+0.0330936548*C296+0.0328406739))</f>
        <v/>
      </c>
      <c r="D307" s="18">
        <f>D297*('Segments'!$D$27*D296*Assumptions!$B$109+'Segments'!$B$27*(0.4983251709*D296+0.4357405005*D296+0.0330936548*D296+0.0328406739))+D298*('Segments'!$D$28*D296*Assumptions!$B$109+'Segments'!$B$28*(0.4983251709*D296+0.4357405005*D296+0.0330936548*D296+0.0328406739))+D299*('Segments'!$D$29*D296*Assumptions!$B$109+'Segments'!$B$29*(0.4983251709*D296+0.4357405005*D296+0.0330936548*D296+0.0328406739))+D300*('Segments'!$D$30*D296*Assumptions!$B$109+'Segments'!$B$30*(0.4983251709*D296+0.4357405005*D296+0.0330936548*D296+0.0328406739))+D301*('Segments'!$D$31*D296*Assumptions!$B$109+'Segments'!$B$31*(0.4983251709*D296+0.4357405005*D296+0.0330936548*D296+0.0328406739))+D302*('Segments'!$D$32*D296*Assumptions!$B$109+'Segments'!$B$32*(0.4983251709*D296+0.4357405005*D296+0.0330936548*D296+0.0328406739))+D303*('Segments'!$D$33*D296*Assumptions!$B$109+'Segments'!$B$33*(0.4983251709*D296+0.4357405005*D296+0.0330936548*D296+0.0328406739))+D304*('Segments'!$D$34*D296*Assumptions!$B$109+'Segments'!$B$34*(0.4983251709*D296+0.4357405005*D296+0.0330936548*D296+0.0328406739))</f>
        <v/>
      </c>
      <c r="E307" s="18">
        <f>E297*('Segments'!$D$27*E296*Assumptions!$B$109+'Segments'!$B$27*(0.4983251709*E296+0.4357405005*E296+0.0330936548*E296+0.0328406739))+E298*('Segments'!$D$28*E296*Assumptions!$B$109+'Segments'!$B$28*(0.4983251709*E296+0.4357405005*E296+0.0330936548*E296+0.0328406739))+E299*('Segments'!$D$29*E296*Assumptions!$B$109+'Segments'!$B$29*(0.4983251709*E296+0.4357405005*E296+0.0330936548*E296+0.0328406739))+E300*('Segments'!$D$30*E296*Assumptions!$B$109+'Segments'!$B$30*(0.4983251709*E296+0.4357405005*E296+0.0330936548*E296+0.0328406739))+E301*('Segments'!$D$31*E296*Assumptions!$B$109+'Segments'!$B$31*(0.4983251709*E296+0.4357405005*E296+0.0330936548*E296+0.0328406739))+E302*('Segments'!$D$32*E296*Assumptions!$B$109+'Segments'!$B$32*(0.4983251709*E296+0.4357405005*E296+0.0330936548*E296+0.0328406739))+E303*('Segments'!$D$33*E296*Assumptions!$B$109+'Segments'!$B$33*(0.4983251709*E296+0.4357405005*E296+0.0330936548*E296+0.0328406739))+E304*('Segments'!$D$34*E296*Assumptions!$B$109+'Segments'!$B$34*(0.4983251709*E296+0.4357405005*E296+0.0330936548*E296+0.0328406739))</f>
        <v/>
      </c>
      <c r="F307" s="18">
        <f>F297*('Segments'!$D$27*F296*Assumptions!$B$109+'Segments'!$B$27*(0.4983251709*F296+0.4357405005*F296+0.0330936548*F296+0.0328406739))+F298*('Segments'!$D$28*F296*Assumptions!$B$109+'Segments'!$B$28*(0.4983251709*F296+0.4357405005*F296+0.0330936548*F296+0.0328406739))+F299*('Segments'!$D$29*F296*Assumptions!$B$109+'Segments'!$B$29*(0.4983251709*F296+0.4357405005*F296+0.0330936548*F296+0.0328406739))+F300*('Segments'!$D$30*F296*Assumptions!$B$109+'Segments'!$B$30*(0.4983251709*F296+0.4357405005*F296+0.0330936548*F296+0.0328406739))+F301*('Segments'!$D$31*F296*Assumptions!$B$109+'Segments'!$B$31*(0.4983251709*F296+0.4357405005*F296+0.0330936548*F296+0.0328406739))+F302*('Segments'!$D$32*F296*Assumptions!$B$109+'Segments'!$B$32*(0.4983251709*F296+0.4357405005*F296+0.0330936548*F296+0.0328406739))+F303*('Segments'!$D$33*F296*Assumptions!$B$109+'Segments'!$B$33*(0.4983251709*F296+0.4357405005*F296+0.0330936548*F296+0.0328406739))+F304*('Segments'!$D$34*F296*Assumptions!$B$109+'Segments'!$B$34*(0.4983251709*F296+0.4357405005*F296+0.0330936548*F296+0.0328406739))</f>
        <v/>
      </c>
      <c r="G307" s="18">
        <f>G297*('Segments'!$D$27*G296*Assumptions!$B$109+'Segments'!$B$27*(0.4983251709*G296+0.4357405005*G296+0.0330936548*G296+0.0328406739))+G298*('Segments'!$D$28*G296*Assumptions!$B$109+'Segments'!$B$28*(0.4983251709*G296+0.4357405005*G296+0.0330936548*G296+0.0328406739))+G299*('Segments'!$D$29*G296*Assumptions!$B$109+'Segments'!$B$29*(0.4983251709*G296+0.4357405005*G296+0.0330936548*G296+0.0328406739))+G300*('Segments'!$D$30*G296*Assumptions!$B$109+'Segments'!$B$30*(0.4983251709*G296+0.4357405005*G296+0.0330936548*G296+0.0328406739))+G301*('Segments'!$D$31*G296*Assumptions!$B$109+'Segments'!$B$31*(0.4983251709*G296+0.4357405005*G296+0.0330936548*G296+0.0328406739))+G302*('Segments'!$D$32*G296*Assumptions!$B$109+'Segments'!$B$32*(0.4983251709*G296+0.4357405005*G296+0.0330936548*G296+0.0328406739))+G303*('Segments'!$D$33*G296*Assumptions!$B$109+'Segments'!$B$33*(0.4983251709*G296+0.4357405005*G296+0.0330936548*G296+0.0328406739))+G304*('Segments'!$D$34*G296*Assumptions!$B$109+'Segments'!$B$34*(0.4983251709*G296+0.4357405005*G296+0.0330936548*G296+0.0328406739))</f>
        <v/>
      </c>
    </row>
    <row r="308">
      <c r="A308" s="15" t="inlineStr">
        <is>
          <t>GROSS PROFIT</t>
        </is>
      </c>
      <c r="C308" s="37">
        <f>C306-C307+DCF!$B$7*C306</f>
        <v/>
      </c>
      <c r="D308" s="37">
        <f>D306-D307+DCF!$B$7*D306</f>
        <v/>
      </c>
      <c r="E308" s="37">
        <f>E306-E307+DCF!$B$7*E306</f>
        <v/>
      </c>
      <c r="F308" s="37">
        <f>F306-F307+DCF!$B$7*F306</f>
        <v/>
      </c>
      <c r="G308" s="37">
        <f>G306-G307+DCF!$B$7*G306</f>
        <v/>
      </c>
    </row>
    <row r="309">
      <c r="A309" s="7" t="inlineStr">
        <is>
          <t>Gross margin</t>
        </is>
      </c>
      <c r="C309" s="24">
        <f>C308/C306</f>
        <v/>
      </c>
      <c r="D309" s="24">
        <f>D308/D306</f>
        <v/>
      </c>
      <c r="E309" s="24">
        <f>E308/E306</f>
        <v/>
      </c>
      <c r="F309" s="24">
        <f>F308/F306</f>
        <v/>
      </c>
      <c r="G309" s="24">
        <f>G308/G306</f>
        <v/>
      </c>
    </row>
    <row r="310">
      <c r="A310" s="7" t="inlineStr">
        <is>
          <t>Operating expense</t>
        </is>
      </c>
      <c r="C310" s="18">
        <f>('Income Statement'!$B$28*C295)+('Income Statement'!$B$29*C295*C305/'Segments'!$E$14)+('Income Statement'!$B$30*C295)+('Income Statement'!$B$31*C295)</f>
        <v/>
      </c>
      <c r="D310" s="18">
        <f>('Income Statement'!$B$28*D295)+('Income Statement'!$B$29*D295*D305/'Segments'!$E$14)+('Income Statement'!$B$30*D295)+('Income Statement'!$B$31*D295)</f>
        <v/>
      </c>
      <c r="E310" s="18">
        <f>('Income Statement'!$B$28*E295)+('Income Statement'!$B$29*E295*E305/'Segments'!$E$14)+('Income Statement'!$B$30*E295)+('Income Statement'!$B$31*E295)</f>
        <v/>
      </c>
      <c r="F310" s="18">
        <f>('Income Statement'!$B$28*F295)+('Income Statement'!$B$29*F295*F305/'Segments'!$E$14)+('Income Statement'!$B$30*F295)+('Income Statement'!$B$31*F295)</f>
        <v/>
      </c>
      <c r="G310" s="18">
        <f>('Income Statement'!$B$28*G295)+('Income Statement'!$B$29*G295*G305/'Segments'!$E$14)+('Income Statement'!$B$30*G295)+('Income Statement'!$B$31*G295)</f>
        <v/>
      </c>
    </row>
    <row r="311">
      <c r="A311" s="15" t="inlineStr">
        <is>
          <t>EBITDA</t>
        </is>
      </c>
      <c r="C311" s="37">
        <f>C308-C310</f>
        <v/>
      </c>
      <c r="D311" s="37">
        <f>D308-D310</f>
        <v/>
      </c>
      <c r="E311" s="37">
        <f>E308-E310</f>
        <v/>
      </c>
      <c r="F311" s="37">
        <f>F308-F310</f>
        <v/>
      </c>
      <c r="G311" s="37">
        <f>G308-G310</f>
        <v/>
      </c>
    </row>
    <row r="312">
      <c r="A312" s="7" t="inlineStr">
        <is>
          <t>Capital expenditure — maintenance + growth</t>
        </is>
      </c>
      <c r="C312" s="18">
        <f>'Income Statement'!$B$43*C295+MAX(C305-'Segments'!$E$14,0)*2100.379938*C295</f>
        <v/>
      </c>
      <c r="D312" s="18">
        <f>'Income Statement'!$B$43*D295+MAX(D305-C305,0)*2100.379938*D295</f>
        <v/>
      </c>
      <c r="E312" s="18">
        <f>'Income Statement'!$B$43*E295+MAX(E305-D305,0)*2100.379938*E295</f>
        <v/>
      </c>
      <c r="F312" s="18">
        <f>'Income Statement'!$B$43*F295+MAX(F305-E305,0)*2100.379938*F295</f>
        <v/>
      </c>
      <c r="G312" s="18">
        <f>'Income Statement'!$B$43*G295+MAX(G305-F305,0)*2100.379938*G295</f>
        <v/>
      </c>
    </row>
    <row r="313">
      <c r="A313" s="7" t="inlineStr">
        <is>
          <t>Fixed assets at cost, closing</t>
        </is>
      </c>
      <c r="C313" s="18">
        <f>(Assumptions!$B$91+Assumptions!$B$92)/10^6+C312</f>
        <v/>
      </c>
      <c r="D313" s="18">
        <f>C313+D312</f>
        <v/>
      </c>
      <c r="E313" s="18">
        <f>D313+E312</f>
        <v/>
      </c>
      <c r="F313" s="18">
        <f>E313+F312</f>
        <v/>
      </c>
      <c r="G313" s="18">
        <f>F313+G312</f>
        <v/>
      </c>
    </row>
    <row r="314">
      <c r="A314" s="7" t="inlineStr">
        <is>
          <t>Depreciation — rolls off the asset register</t>
        </is>
      </c>
      <c r="C314" s="18">
        <f>(Assumptions!$B$91+Assumptions!$B$92)/10^6/'Income Statement'!$B$42</f>
        <v/>
      </c>
      <c r="D314" s="18">
        <f>C313/'Income Statement'!$B$42</f>
        <v/>
      </c>
      <c r="E314" s="18">
        <f>D313/'Income Statement'!$B$42</f>
        <v/>
      </c>
      <c r="F314" s="18">
        <f>E313/'Income Statement'!$B$42</f>
        <v/>
      </c>
      <c r="G314" s="18">
        <f>F313/'Income Statement'!$B$42</f>
        <v/>
      </c>
    </row>
    <row r="315">
      <c r="A315" s="7" t="inlineStr">
        <is>
          <t>Fixed assets, net book, closing</t>
        </is>
      </c>
      <c r="C315" s="18">
        <f>(Assumptions!$B$90+Assumptions!$B$92)/10^6+C312-C314</f>
        <v/>
      </c>
      <c r="D315" s="18">
        <f>C315+D312-D314</f>
        <v/>
      </c>
      <c r="E315" s="18">
        <f>D315+E312-E314</f>
        <v/>
      </c>
      <c r="F315" s="18">
        <f>E315+F312-F314</f>
        <v/>
      </c>
      <c r="G315" s="18">
        <f>F315+G312-G314</f>
        <v/>
      </c>
    </row>
    <row r="316">
      <c r="A316" s="15" t="inlineStr">
        <is>
          <t>EBIT</t>
        </is>
      </c>
      <c r="C316" s="37">
        <f>C311-C314</f>
        <v/>
      </c>
      <c r="D316" s="37">
        <f>D311-D314</f>
        <v/>
      </c>
      <c r="E316" s="37">
        <f>E311-E314</f>
        <v/>
      </c>
      <c r="F316" s="37">
        <f>F311-F314</f>
        <v/>
      </c>
      <c r="G316" s="37">
        <f>G311-G314</f>
        <v/>
      </c>
    </row>
    <row r="317">
      <c r="A317" s="7" t="inlineStr">
        <is>
          <t>NOPAT before the profit share</t>
        </is>
      </c>
      <c r="C317" s="18">
        <f>C316*(1-Assumptions!$B$108)</f>
        <v/>
      </c>
      <c r="D317" s="18">
        <f>D316*(1-Assumptions!$B$108)</f>
        <v/>
      </c>
      <c r="E317" s="18">
        <f>E316*(1-Assumptions!$B$108)</f>
        <v/>
      </c>
      <c r="F317" s="18">
        <f>F316*(1-Assumptions!$B$108)</f>
        <v/>
      </c>
      <c r="G317" s="18">
        <f>G316*(1-Assumptions!$B$108)</f>
        <v/>
      </c>
    </row>
    <row r="318">
      <c r="A318" s="7" t="inlineStr">
        <is>
          <t xml:space="preserve">  less employees' profit share and board bonuses</t>
        </is>
      </c>
      <c r="C318" s="18">
        <f>MAX(C317,0)*'Income Statement'!$B$40</f>
        <v/>
      </c>
      <c r="D318" s="18">
        <f>MAX(D317,0)*'Income Statement'!$B$40</f>
        <v/>
      </c>
      <c r="E318" s="18">
        <f>MAX(E317,0)*'Income Statement'!$B$40</f>
        <v/>
      </c>
      <c r="F318" s="18">
        <f>MAX(F317,0)*'Income Statement'!$B$40</f>
        <v/>
      </c>
      <c r="G318" s="18">
        <f>MAX(G317,0)*'Income Statement'!$B$40</f>
        <v/>
      </c>
    </row>
    <row r="319">
      <c r="A319" s="15" t="inlineStr">
        <is>
          <t>NOPAT</t>
        </is>
      </c>
      <c r="C319" s="37">
        <f>C317-C318</f>
        <v/>
      </c>
      <c r="D319" s="37">
        <f>D317-D318</f>
        <v/>
      </c>
      <c r="E319" s="37">
        <f>E317-E318</f>
        <v/>
      </c>
      <c r="F319" s="37">
        <f>F317-F318</f>
        <v/>
      </c>
      <c r="G319" s="37">
        <f>G317-G318</f>
        <v/>
      </c>
    </row>
    <row r="320">
      <c r="A320" s="7" t="inlineStr">
        <is>
          <t>Net working capital — on days</t>
        </is>
      </c>
      <c r="C320" s="18">
        <f>'Income Statement'!$B$44*DCF!$B$9/365*C307+'Income Statement'!$B$45*DCF!$B$9/365*C306-'Income Statement'!$B$46*DCF!$B$9/365*C307</f>
        <v/>
      </c>
      <c r="D320" s="18">
        <f>'Income Statement'!$B$44*DCF!$B$9/365*D307+'Income Statement'!$B$45*DCF!$B$9/365*D306-'Income Statement'!$B$46*DCF!$B$9/365*D307</f>
        <v/>
      </c>
      <c r="E320" s="18">
        <f>'Income Statement'!$B$44*DCF!$B$9/365*E307+'Income Statement'!$B$45*DCF!$B$9/365*E306-'Income Statement'!$B$46*DCF!$B$9/365*E307</f>
        <v/>
      </c>
      <c r="F320" s="18">
        <f>'Income Statement'!$B$44*DCF!$B$9/365*F307+'Income Statement'!$B$45*DCF!$B$9/365*F306-'Income Statement'!$B$46*DCF!$B$9/365*F307</f>
        <v/>
      </c>
      <c r="G320" s="18">
        <f>'Income Statement'!$B$44*DCF!$B$9/365*G307+'Income Statement'!$B$45*DCF!$B$9/365*G306-'Income Statement'!$B$46*DCF!$B$9/365*G307</f>
        <v/>
      </c>
    </row>
    <row r="321">
      <c r="A321" s="7" t="inlineStr">
        <is>
          <t xml:space="preserve">  change in working capital</t>
        </is>
      </c>
      <c r="C321" s="18">
        <f>C320-('Income Statement'!$B$44/365*'Income Statement'!$B$21+'Income Statement'!$B$45/365*'Income Statement'!$B$19-'Income Statement'!$B$46/365*'Income Statement'!$B$21)</f>
        <v/>
      </c>
      <c r="D321" s="18">
        <f>D320-C320</f>
        <v/>
      </c>
      <c r="E321" s="18">
        <f>E320-D320</f>
        <v/>
      </c>
      <c r="F321" s="18">
        <f>F320-E320</f>
        <v/>
      </c>
      <c r="G321" s="18">
        <f>G320-F320</f>
        <v/>
      </c>
    </row>
    <row r="322">
      <c r="A322" s="15" t="inlineStr">
        <is>
          <t>FREE CASH FLOW TO THE FIRM</t>
        </is>
      </c>
      <c r="C322" s="37">
        <f>C319+C314-C312-C321</f>
        <v/>
      </c>
      <c r="D322" s="37">
        <f>D319+D314-D312-D321</f>
        <v/>
      </c>
      <c r="E322" s="37">
        <f>E319+E314-E312-E321</f>
        <v/>
      </c>
      <c r="F322" s="37">
        <f>F319+F314-F312-F321</f>
        <v/>
      </c>
      <c r="G322" s="37">
        <f>G319+G314-G312-G321</f>
        <v/>
      </c>
    </row>
    <row r="323">
      <c r="A323" s="7" t="inlineStr">
        <is>
          <t>Glide fraction</t>
        </is>
      </c>
      <c r="C323" s="23">
        <f>0.0000000000</f>
        <v/>
      </c>
      <c r="D323" s="23">
        <f>0.5166487648</f>
        <v/>
      </c>
      <c r="E323" s="23">
        <f>0.7314715360</f>
        <v/>
      </c>
      <c r="F323" s="23">
        <f>0.8925886144</f>
        <v/>
      </c>
      <c r="G323" s="23">
        <f>1.0000000000</f>
        <v/>
      </c>
    </row>
    <row r="324">
      <c r="A324" s="7" t="inlineStr">
        <is>
          <t>Forward cost of capital</t>
        </is>
      </c>
      <c r="C324" s="24">
        <f>DCF!$B$14-(DCF!$B$14-DCF!$B$17)*C323</f>
        <v/>
      </c>
      <c r="D324" s="24">
        <f>DCF!$B$14-(DCF!$B$14-DCF!$B$17)*D323</f>
        <v/>
      </c>
      <c r="E324" s="24">
        <f>DCF!$B$14-(DCF!$B$14-DCF!$B$17)*E323</f>
        <v/>
      </c>
      <c r="F324" s="24">
        <f>DCF!$B$14-(DCF!$B$14-DCF!$B$17)*F323</f>
        <v/>
      </c>
      <c r="G324" s="24">
        <f>DCF!$B$14-(DCF!$B$14-DCF!$B$17)*G323</f>
        <v/>
      </c>
    </row>
    <row r="325">
      <c r="A325" s="7" t="inlineStr">
        <is>
          <t>Cumulative discount factor</t>
        </is>
      </c>
      <c r="C325" s="40">
        <f>1/(1+C324)</f>
        <v/>
      </c>
      <c r="D325" s="40">
        <f>C325/(1+D324)</f>
        <v/>
      </c>
      <c r="E325" s="40">
        <f>D325/(1+E324)</f>
        <v/>
      </c>
      <c r="F325" s="40">
        <f>E325/(1+F324)</f>
        <v/>
      </c>
      <c r="G325" s="40">
        <f>F325/(1+G324)</f>
        <v/>
      </c>
    </row>
    <row r="326">
      <c r="A326" s="7" t="inlineStr">
        <is>
          <t>Present value</t>
        </is>
      </c>
      <c r="C326" s="18">
        <f>C322*C325</f>
        <v/>
      </c>
      <c r="D326" s="18">
        <f>D322*D325</f>
        <v/>
      </c>
      <c r="E326" s="18">
        <f>E322*E325</f>
        <v/>
      </c>
      <c r="F326" s="18">
        <f>F322*F325</f>
        <v/>
      </c>
      <c r="G326" s="18">
        <f>G322*G325</f>
        <v/>
      </c>
    </row>
    <row r="327">
      <c r="A327" s="15" t="inlineStr">
        <is>
          <t>PV of the explicit window</t>
        </is>
      </c>
      <c r="B327" s="37">
        <f>SUM(C326:G326)</f>
        <v/>
      </c>
      <c r="C327" s="18">
        <f>C320+C313</f>
        <v/>
      </c>
      <c r="D327" s="18">
        <f>D320+D313</f>
        <v/>
      </c>
      <c r="E327" s="18">
        <f>E320+E313</f>
        <v/>
      </c>
      <c r="F327" s="18">
        <f>F320+F313</f>
        <v/>
      </c>
      <c r="G327" s="18">
        <f>G320+G313</f>
        <v/>
      </c>
    </row>
    <row r="328">
      <c r="A328" s="7" t="inlineStr">
        <is>
          <t>Terminal return on invested capital, at REPLACEMENT cost</t>
        </is>
      </c>
      <c r="B328" s="24">
        <f>G319*(1+Assumptions!$B$110)/G327</f>
        <v/>
      </c>
    </row>
    <row r="329">
      <c r="A329" s="7" t="inlineStr">
        <is>
          <t>Required reinvestment = growth / return</t>
        </is>
      </c>
      <c r="B329" s="24">
        <f>MIN(Assumptions!$B$110/B328,0.95)</f>
        <v/>
      </c>
    </row>
    <row r="330">
      <c r="A330" s="7" t="inlineStr">
        <is>
          <t>Terminal value</t>
        </is>
      </c>
      <c r="B330" s="18">
        <f>G319*(1+Assumptions!$B$110)*(1-B329)/MAX(DCF!$B$17-Assumptions!$B$110,0.02)</f>
        <v/>
      </c>
    </row>
    <row r="331">
      <c r="A331" s="7" t="inlineStr">
        <is>
          <t>PV of the terminal block</t>
        </is>
      </c>
      <c r="B331" s="18">
        <f>B330*G325</f>
        <v/>
      </c>
    </row>
    <row r="332">
      <c r="A332" s="15" t="inlineStr">
        <is>
          <t>ENTERPRISE VALUE</t>
        </is>
      </c>
      <c r="B332" s="37">
        <f>B327+B331</f>
        <v/>
      </c>
    </row>
    <row r="333">
      <c r="A333" s="7" t="inlineStr">
        <is>
          <t>plus net cash</t>
        </is>
      </c>
      <c r="B333" s="18">
        <f>(Assumptions!$B$100-Assumptions!$B$103-Assumptions!$B$104)/10^6</f>
        <v/>
      </c>
    </row>
    <row r="334">
      <c r="A334" s="7" t="inlineStr">
        <is>
          <t>Enterprise value including cash</t>
        </is>
      </c>
      <c r="B334" s="18">
        <f>B332+B333</f>
        <v/>
      </c>
    </row>
    <row r="335">
      <c r="A335" s="7" t="inlineStr">
        <is>
          <t>less minority — on the WHOLE enterprise, cash included</t>
        </is>
      </c>
      <c r="B335" s="18">
        <f>B334*'Income Statement'!$B$41</f>
        <v/>
      </c>
    </row>
    <row r="336">
      <c r="A336" s="7" t="inlineStr">
        <is>
          <t>less the tax-disputes provision</t>
        </is>
      </c>
      <c r="B336" s="18">
        <f>Assumptions!$B$99/10^6</f>
        <v/>
      </c>
    </row>
    <row r="337">
      <c r="A337" s="7" t="inlineStr">
        <is>
          <t>less dividends payable — declared, out of working capital</t>
        </is>
      </c>
      <c r="B337" s="18">
        <f>Assumptions!$B$98/10^6</f>
        <v/>
      </c>
    </row>
    <row r="338">
      <c r="A338" s="7" t="inlineStr">
        <is>
          <t>plus non-operating investments and pledged deposits</t>
        </is>
      </c>
      <c r="B338" s="18">
        <f>(Assumptions!$B$102+Assumptions!$B$101)/10^6</f>
        <v/>
      </c>
    </row>
    <row r="339">
      <c r="A339" s="15" t="inlineStr">
        <is>
          <t>EQUITY ATTRIBUTABLE</t>
        </is>
      </c>
      <c r="B339" s="37">
        <f>B334-B335-B336-B337+B338</f>
        <v/>
      </c>
    </row>
    <row r="340">
      <c r="A340" s="15" t="inlineStr">
        <is>
          <t>VALUE PER SHARE, EGP</t>
        </is>
      </c>
      <c r="B340" s="22">
        <f>B339/Assumptions!$B$8</f>
        <v/>
      </c>
    </row>
    <row r="343">
      <c r="A343" s="6" t="inlineStr">
        <is>
          <t>Volume growth path, as a multiple of the assumed path — -3.0%</t>
        </is>
      </c>
      <c r="B343" s="6" t="inlineStr">
        <is>
          <t>2026E</t>
        </is>
      </c>
      <c r="C343" s="6" t="inlineStr">
        <is>
          <t>2027E</t>
        </is>
      </c>
      <c r="D343" s="6" t="inlineStr">
        <is>
          <t>2028E</t>
        </is>
      </c>
      <c r="E343" s="6" t="inlineStr">
        <is>
          <t>2029E</t>
        </is>
      </c>
      <c r="F343" s="6" t="inlineStr">
        <is>
          <t>2030E</t>
        </is>
      </c>
    </row>
    <row r="344">
      <c r="A344" s="7" t="inlineStr">
        <is>
          <t>Inflation index, cumulative</t>
        </is>
      </c>
      <c r="C344" s="23">
        <f>Assumptions!$B$167</f>
        <v/>
      </c>
      <c r="D344" s="23">
        <f>C344*Assumptions!$B$168</f>
        <v/>
      </c>
      <c r="E344" s="23">
        <f>D344*Assumptions!$B$169</f>
        <v/>
      </c>
      <c r="F344" s="23">
        <f>E344*Assumptions!$B$170</f>
        <v/>
      </c>
      <c r="G344" s="23">
        <f>F344*Assumptions!$B$171</f>
        <v/>
      </c>
    </row>
    <row r="345">
      <c r="A345" s="7" t="inlineStr">
        <is>
          <t>Realisation index, cumulative</t>
        </is>
      </c>
      <c r="C345" s="23">
        <f>(1+Assumptions!$B$122*DCF!$B$8)</f>
        <v/>
      </c>
      <c r="D345" s="23">
        <f>C345*(1+Assumptions!$B$123*DCF!$B$8)</f>
        <v/>
      </c>
      <c r="E345" s="23">
        <f>D345*(1+Assumptions!$B$124*DCF!$B$8)</f>
        <v/>
      </c>
      <c r="F345" s="23">
        <f>E345*(1+Assumptions!$B$125*DCF!$B$8)</f>
        <v/>
      </c>
      <c r="G345" s="23">
        <f>F345*(1+Assumptions!$B$126*DCF!$B$8)</f>
        <v/>
      </c>
    </row>
    <row r="346">
      <c r="A346" s="7" t="inlineStr">
        <is>
          <t xml:space="preserve">  Volume — Base and special oils, mn t</t>
        </is>
      </c>
      <c r="C346" s="23">
        <f>'Segments'!E6*(1+Assumptions!$B$127+$B$14)</f>
        <v/>
      </c>
      <c r="D346" s="23">
        <f>C346*(1+Assumptions!$B$128+$B$14)</f>
        <v/>
      </c>
      <c r="E346" s="23">
        <f>D346*(1+Assumptions!$B$129+$B$14)</f>
        <v/>
      </c>
      <c r="F346" s="23">
        <f>E346*(1+Assumptions!$B$130+$B$14)</f>
        <v/>
      </c>
      <c r="G346" s="23">
        <f>F346*(1+Assumptions!$B$131+$B$14)</f>
        <v/>
      </c>
    </row>
    <row r="347">
      <c r="A347" s="7" t="inlineStr">
        <is>
          <t xml:space="preserve">  Volume — Paraffin wax, mn t</t>
        </is>
      </c>
      <c r="C347" s="23">
        <f>'Segments'!E7*(1+Assumptions!$B$132+$B$14)</f>
        <v/>
      </c>
      <c r="D347" s="23">
        <f>C347*(1+Assumptions!$B$133+$B$14)</f>
        <v/>
      </c>
      <c r="E347" s="23">
        <f>D347*(1+Assumptions!$B$134+$B$14)</f>
        <v/>
      </c>
      <c r="F347" s="23">
        <f>E347*(1+Assumptions!$B$135+$B$14)</f>
        <v/>
      </c>
      <c r="G347" s="23">
        <f>F347*(1+Assumptions!$B$136+$B$14)</f>
        <v/>
      </c>
    </row>
    <row r="348">
      <c r="A348" s="7" t="inlineStr">
        <is>
          <t xml:space="preserve">  Volume — Gas oil, mn t</t>
        </is>
      </c>
      <c r="C348" s="23">
        <f>'Segments'!E8*(1+Assumptions!$B$137+$B$14)</f>
        <v/>
      </c>
      <c r="D348" s="23">
        <f>C348*(1+Assumptions!$B$138+$B$14)</f>
        <v/>
      </c>
      <c r="E348" s="23">
        <f>D348*(1+Assumptions!$B$139+$B$14)</f>
        <v/>
      </c>
      <c r="F348" s="23">
        <f>E348*(1+Assumptions!$B$140+$B$14)</f>
        <v/>
      </c>
      <c r="G348" s="23">
        <f>F348*(1+Assumptions!$B$141+$B$14)</f>
        <v/>
      </c>
    </row>
    <row r="349">
      <c r="A349" s="7" t="inlineStr">
        <is>
          <t xml:space="preserve">  Volume — Naphtha, mn t</t>
        </is>
      </c>
      <c r="C349" s="23">
        <f>'Segments'!E9*(1+Assumptions!$B$142+$B$14)</f>
        <v/>
      </c>
      <c r="D349" s="23">
        <f>C349*(1+Assumptions!$B$143+$B$14)</f>
        <v/>
      </c>
      <c r="E349" s="23">
        <f>D349*(1+Assumptions!$B$144+$B$14)</f>
        <v/>
      </c>
      <c r="F349" s="23">
        <f>E349*(1+Assumptions!$B$145+$B$14)</f>
        <v/>
      </c>
      <c r="G349" s="23">
        <f>F349*(1+Assumptions!$B$146+$B$14)</f>
        <v/>
      </c>
    </row>
    <row r="350">
      <c r="A350" s="7" t="inlineStr">
        <is>
          <t xml:space="preserve">  Volume — Liquefied petroleum gas, mn t</t>
        </is>
      </c>
      <c r="C350" s="23">
        <f>'Segments'!E10*(1+Assumptions!$B$147+$B$14)</f>
        <v/>
      </c>
      <c r="D350" s="23">
        <f>C350*(1+Assumptions!$B$148+$B$14)</f>
        <v/>
      </c>
      <c r="E350" s="23">
        <f>D350*(1+Assumptions!$B$149+$B$14)</f>
        <v/>
      </c>
      <c r="F350" s="23">
        <f>E350*(1+Assumptions!$B$150+$B$14)</f>
        <v/>
      </c>
      <c r="G350" s="23">
        <f>F350*(1+Assumptions!$B$151+$B$14)</f>
        <v/>
      </c>
    </row>
    <row r="351">
      <c r="A351" s="7" t="inlineStr">
        <is>
          <t xml:space="preserve">  Volume — Fuel oil (mix), mn t</t>
        </is>
      </c>
      <c r="C351" s="23">
        <f>'Segments'!E11*(1+Assumptions!$B$152+$B$14)</f>
        <v/>
      </c>
      <c r="D351" s="23">
        <f>C351*(1+Assumptions!$B$153+$B$14)</f>
        <v/>
      </c>
      <c r="E351" s="23">
        <f>D351*(1+Assumptions!$B$154+$B$14)</f>
        <v/>
      </c>
      <c r="F351" s="23">
        <f>E351*(1+Assumptions!$B$155+$B$14)</f>
        <v/>
      </c>
      <c r="G351" s="23">
        <f>F351*(1+Assumptions!$B$156+$B$14)</f>
        <v/>
      </c>
    </row>
    <row r="352">
      <c r="A352" s="7" t="inlineStr">
        <is>
          <t xml:space="preserve">  Volume — Heavy fuel oil, mn t</t>
        </is>
      </c>
      <c r="C352" s="23">
        <f>'Segments'!E12*(1+Assumptions!$B$157+$B$14)</f>
        <v/>
      </c>
      <c r="D352" s="23">
        <f>C352*(1+Assumptions!$B$158+$B$14)</f>
        <v/>
      </c>
      <c r="E352" s="23">
        <f>D352*(1+Assumptions!$B$159+$B$14)</f>
        <v/>
      </c>
      <c r="F352" s="23">
        <f>E352*(1+Assumptions!$B$160+$B$14)</f>
        <v/>
      </c>
      <c r="G352" s="23">
        <f>F352*(1+Assumptions!$B$161+$B$14)</f>
        <v/>
      </c>
    </row>
    <row r="353">
      <c r="A353" s="7" t="inlineStr">
        <is>
          <t xml:space="preserve">  Volume — Waste, mn t</t>
        </is>
      </c>
      <c r="C353" s="23">
        <f>'Segments'!E13*(1+Assumptions!$B$162+$B$14)</f>
        <v/>
      </c>
      <c r="D353" s="23">
        <f>C353*(1+Assumptions!$B$163+$B$14)</f>
        <v/>
      </c>
      <c r="E353" s="23">
        <f>D353*(1+Assumptions!$B$164+$B$14)</f>
        <v/>
      </c>
      <c r="F353" s="23">
        <f>E353*(1+Assumptions!$B$165+$B$14)</f>
        <v/>
      </c>
      <c r="G353" s="23">
        <f>F353*(1+Assumptions!$B$166+$B$14)</f>
        <v/>
      </c>
    </row>
    <row r="354">
      <c r="A354" s="15" t="inlineStr">
        <is>
          <t>Total volume, mn t</t>
        </is>
      </c>
      <c r="C354" s="36">
        <f>SUM(C346:C353)</f>
        <v/>
      </c>
      <c r="D354" s="36">
        <f>SUM(D346:D353)</f>
        <v/>
      </c>
      <c r="E354" s="36">
        <f>SUM(E346:E353)</f>
        <v/>
      </c>
      <c r="F354" s="36">
        <f>SUM(F346:F353)</f>
        <v/>
      </c>
      <c r="G354" s="36">
        <f>SUM(G346:G353)</f>
        <v/>
      </c>
    </row>
    <row r="355">
      <c r="A355" s="15" t="inlineStr">
        <is>
          <t>REVENUE</t>
        </is>
      </c>
      <c r="C355" s="37">
        <f>C346*'Segments'!$F$6*C345+C347*'Segments'!$F$7*C345+C348*'Segments'!$F$8*C345+C349*'Segments'!$F$9*C345+C350*'Segments'!$F$10*C345+C351*'Segments'!$F$11*C345+C352*'Segments'!$F$12*C345+C353*'Segments'!$F$13*C345</f>
        <v/>
      </c>
      <c r="D355" s="37">
        <f>D346*'Segments'!$F$6*D345+D347*'Segments'!$F$7*D345+D348*'Segments'!$F$8*D345+D349*'Segments'!$F$9*D345+D350*'Segments'!$F$10*D345+D351*'Segments'!$F$11*D345+D352*'Segments'!$F$12*D345+D353*'Segments'!$F$13*D345</f>
        <v/>
      </c>
      <c r="E355" s="37">
        <f>E346*'Segments'!$F$6*E345+E347*'Segments'!$F$7*E345+E348*'Segments'!$F$8*E345+E349*'Segments'!$F$9*E345+E350*'Segments'!$F$10*E345+E351*'Segments'!$F$11*E345+E352*'Segments'!$F$12*E345+E353*'Segments'!$F$13*E345</f>
        <v/>
      </c>
      <c r="F355" s="37">
        <f>F346*'Segments'!$F$6*F345+F347*'Segments'!$F$7*F345+F348*'Segments'!$F$8*F345+F349*'Segments'!$F$9*F345+F350*'Segments'!$F$10*F345+F351*'Segments'!$F$11*F345+F352*'Segments'!$F$12*F345+F353*'Segments'!$F$13*F345</f>
        <v/>
      </c>
      <c r="G355" s="37">
        <f>G346*'Segments'!$F$6*G345+G347*'Segments'!$F$7*G345+G348*'Segments'!$F$8*G345+G349*'Segments'!$F$9*G345+G350*'Segments'!$F$10*G345+G351*'Segments'!$F$11*G345+G352*'Segments'!$F$12*G345+G353*'Segments'!$F$13*G345</f>
        <v/>
      </c>
    </row>
    <row r="356">
      <c r="A356" s="7" t="inlineStr">
        <is>
          <t>Cost of sales</t>
        </is>
      </c>
      <c r="C356" s="18">
        <f>C346*('Segments'!$D$27*C345*Assumptions!$B$109+'Segments'!$B$27*(0.4983251709*C345+0.4357405005*C345+0.0330936548*C345+0.0328406739))+C347*('Segments'!$D$28*C345*Assumptions!$B$109+'Segments'!$B$28*(0.4983251709*C345+0.4357405005*C345+0.0330936548*C345+0.0328406739))+C348*('Segments'!$D$29*C345*Assumptions!$B$109+'Segments'!$B$29*(0.4983251709*C345+0.4357405005*C345+0.0330936548*C345+0.0328406739))+C349*('Segments'!$D$30*C345*Assumptions!$B$109+'Segments'!$B$30*(0.4983251709*C345+0.4357405005*C345+0.0330936548*C345+0.0328406739))+C350*('Segments'!$D$31*C345*Assumptions!$B$109+'Segments'!$B$31*(0.4983251709*C345+0.4357405005*C345+0.0330936548*C345+0.0328406739))+C351*('Segments'!$D$32*C345*Assumptions!$B$109+'Segments'!$B$32*(0.4983251709*C345+0.4357405005*C345+0.0330936548*C345+0.0328406739))+C352*('Segments'!$D$33*C345*Assumptions!$B$109+'Segments'!$B$33*(0.4983251709*C345+0.4357405005*C345+0.0330936548*C345+0.0328406739))+C353*('Segments'!$D$34*C345*Assumptions!$B$109+'Segments'!$B$34*(0.4983251709*C345+0.4357405005*C345+0.0330936548*C345+0.0328406739))</f>
        <v/>
      </c>
      <c r="D356" s="18">
        <f>D346*('Segments'!$D$27*D345*Assumptions!$B$109+'Segments'!$B$27*(0.4983251709*D345+0.4357405005*D345+0.0330936548*D345+0.0328406739))+D347*('Segments'!$D$28*D345*Assumptions!$B$109+'Segments'!$B$28*(0.4983251709*D345+0.4357405005*D345+0.0330936548*D345+0.0328406739))+D348*('Segments'!$D$29*D345*Assumptions!$B$109+'Segments'!$B$29*(0.4983251709*D345+0.4357405005*D345+0.0330936548*D345+0.0328406739))+D349*('Segments'!$D$30*D345*Assumptions!$B$109+'Segments'!$B$30*(0.4983251709*D345+0.4357405005*D345+0.0330936548*D345+0.0328406739))+D350*('Segments'!$D$31*D345*Assumptions!$B$109+'Segments'!$B$31*(0.4983251709*D345+0.4357405005*D345+0.0330936548*D345+0.0328406739))+D351*('Segments'!$D$32*D345*Assumptions!$B$109+'Segments'!$B$32*(0.4983251709*D345+0.4357405005*D345+0.0330936548*D345+0.0328406739))+D352*('Segments'!$D$33*D345*Assumptions!$B$109+'Segments'!$B$33*(0.4983251709*D345+0.4357405005*D345+0.0330936548*D345+0.0328406739))+D353*('Segments'!$D$34*D345*Assumptions!$B$109+'Segments'!$B$34*(0.4983251709*D345+0.4357405005*D345+0.0330936548*D345+0.0328406739))</f>
        <v/>
      </c>
      <c r="E356" s="18">
        <f>E346*('Segments'!$D$27*E345*Assumptions!$B$109+'Segments'!$B$27*(0.4983251709*E345+0.4357405005*E345+0.0330936548*E345+0.0328406739))+E347*('Segments'!$D$28*E345*Assumptions!$B$109+'Segments'!$B$28*(0.4983251709*E345+0.4357405005*E345+0.0330936548*E345+0.0328406739))+E348*('Segments'!$D$29*E345*Assumptions!$B$109+'Segments'!$B$29*(0.4983251709*E345+0.4357405005*E345+0.0330936548*E345+0.0328406739))+E349*('Segments'!$D$30*E345*Assumptions!$B$109+'Segments'!$B$30*(0.4983251709*E345+0.4357405005*E345+0.0330936548*E345+0.0328406739))+E350*('Segments'!$D$31*E345*Assumptions!$B$109+'Segments'!$B$31*(0.4983251709*E345+0.4357405005*E345+0.0330936548*E345+0.0328406739))+E351*('Segments'!$D$32*E345*Assumptions!$B$109+'Segments'!$B$32*(0.4983251709*E345+0.4357405005*E345+0.0330936548*E345+0.0328406739))+E352*('Segments'!$D$33*E345*Assumptions!$B$109+'Segments'!$B$33*(0.4983251709*E345+0.4357405005*E345+0.0330936548*E345+0.0328406739))+E353*('Segments'!$D$34*E345*Assumptions!$B$109+'Segments'!$B$34*(0.4983251709*E345+0.4357405005*E345+0.0330936548*E345+0.0328406739))</f>
        <v/>
      </c>
      <c r="F356" s="18">
        <f>F346*('Segments'!$D$27*F345*Assumptions!$B$109+'Segments'!$B$27*(0.4983251709*F345+0.4357405005*F345+0.0330936548*F345+0.0328406739))+F347*('Segments'!$D$28*F345*Assumptions!$B$109+'Segments'!$B$28*(0.4983251709*F345+0.4357405005*F345+0.0330936548*F345+0.0328406739))+F348*('Segments'!$D$29*F345*Assumptions!$B$109+'Segments'!$B$29*(0.4983251709*F345+0.4357405005*F345+0.0330936548*F345+0.0328406739))+F349*('Segments'!$D$30*F345*Assumptions!$B$109+'Segments'!$B$30*(0.4983251709*F345+0.4357405005*F345+0.0330936548*F345+0.0328406739))+F350*('Segments'!$D$31*F345*Assumptions!$B$109+'Segments'!$B$31*(0.4983251709*F345+0.4357405005*F345+0.0330936548*F345+0.0328406739))+F351*('Segments'!$D$32*F345*Assumptions!$B$109+'Segments'!$B$32*(0.4983251709*F345+0.4357405005*F345+0.0330936548*F345+0.0328406739))+F352*('Segments'!$D$33*F345*Assumptions!$B$109+'Segments'!$B$33*(0.4983251709*F345+0.4357405005*F345+0.0330936548*F345+0.0328406739))+F353*('Segments'!$D$34*F345*Assumptions!$B$109+'Segments'!$B$34*(0.4983251709*F345+0.4357405005*F345+0.0330936548*F345+0.0328406739))</f>
        <v/>
      </c>
      <c r="G356" s="18">
        <f>G346*('Segments'!$D$27*G345*Assumptions!$B$109+'Segments'!$B$27*(0.4983251709*G345+0.4357405005*G345+0.0330936548*G345+0.0328406739))+G347*('Segments'!$D$28*G345*Assumptions!$B$109+'Segments'!$B$28*(0.4983251709*G345+0.4357405005*G345+0.0330936548*G345+0.0328406739))+G348*('Segments'!$D$29*G345*Assumptions!$B$109+'Segments'!$B$29*(0.4983251709*G345+0.4357405005*G345+0.0330936548*G345+0.0328406739))+G349*('Segments'!$D$30*G345*Assumptions!$B$109+'Segments'!$B$30*(0.4983251709*G345+0.4357405005*G345+0.0330936548*G345+0.0328406739))+G350*('Segments'!$D$31*G345*Assumptions!$B$109+'Segments'!$B$31*(0.4983251709*G345+0.4357405005*G345+0.0330936548*G345+0.0328406739))+G351*('Segments'!$D$32*G345*Assumptions!$B$109+'Segments'!$B$32*(0.4983251709*G345+0.4357405005*G345+0.0330936548*G345+0.0328406739))+G352*('Segments'!$D$33*G345*Assumptions!$B$109+'Segments'!$B$33*(0.4983251709*G345+0.4357405005*G345+0.0330936548*G345+0.0328406739))+G353*('Segments'!$D$34*G345*Assumptions!$B$109+'Segments'!$B$34*(0.4983251709*G345+0.4357405005*G345+0.0330936548*G345+0.0328406739))</f>
        <v/>
      </c>
    </row>
    <row r="357">
      <c r="A357" s="15" t="inlineStr">
        <is>
          <t>GROSS PROFIT</t>
        </is>
      </c>
      <c r="C357" s="37">
        <f>C355-C356+DCF!$B$7*C355</f>
        <v/>
      </c>
      <c r="D357" s="37">
        <f>D355-D356+DCF!$B$7*D355</f>
        <v/>
      </c>
      <c r="E357" s="37">
        <f>E355-E356+DCF!$B$7*E355</f>
        <v/>
      </c>
      <c r="F357" s="37">
        <f>F355-F356+DCF!$B$7*F355</f>
        <v/>
      </c>
      <c r="G357" s="37">
        <f>G355-G356+DCF!$B$7*G355</f>
        <v/>
      </c>
    </row>
    <row r="358">
      <c r="A358" s="7" t="inlineStr">
        <is>
          <t>Gross margin</t>
        </is>
      </c>
      <c r="C358" s="24">
        <f>C357/C355</f>
        <v/>
      </c>
      <c r="D358" s="24">
        <f>D357/D355</f>
        <v/>
      </c>
      <c r="E358" s="24">
        <f>E357/E355</f>
        <v/>
      </c>
      <c r="F358" s="24">
        <f>F357/F355</f>
        <v/>
      </c>
      <c r="G358" s="24">
        <f>G357/G355</f>
        <v/>
      </c>
    </row>
    <row r="359">
      <c r="A359" s="7" t="inlineStr">
        <is>
          <t>Operating expense</t>
        </is>
      </c>
      <c r="C359" s="18">
        <f>('Income Statement'!$B$28*C344)+('Income Statement'!$B$29*C344*C354/'Segments'!$E$14)+('Income Statement'!$B$30*C344)+('Income Statement'!$B$31*C344)</f>
        <v/>
      </c>
      <c r="D359" s="18">
        <f>('Income Statement'!$B$28*D344)+('Income Statement'!$B$29*D344*D354/'Segments'!$E$14)+('Income Statement'!$B$30*D344)+('Income Statement'!$B$31*D344)</f>
        <v/>
      </c>
      <c r="E359" s="18">
        <f>('Income Statement'!$B$28*E344)+('Income Statement'!$B$29*E344*E354/'Segments'!$E$14)+('Income Statement'!$B$30*E344)+('Income Statement'!$B$31*E344)</f>
        <v/>
      </c>
      <c r="F359" s="18">
        <f>('Income Statement'!$B$28*F344)+('Income Statement'!$B$29*F344*F354/'Segments'!$E$14)+('Income Statement'!$B$30*F344)+('Income Statement'!$B$31*F344)</f>
        <v/>
      </c>
      <c r="G359" s="18">
        <f>('Income Statement'!$B$28*G344)+('Income Statement'!$B$29*G344*G354/'Segments'!$E$14)+('Income Statement'!$B$30*G344)+('Income Statement'!$B$31*G344)</f>
        <v/>
      </c>
    </row>
    <row r="360">
      <c r="A360" s="15" t="inlineStr">
        <is>
          <t>EBITDA</t>
        </is>
      </c>
      <c r="C360" s="37">
        <f>C357-C359</f>
        <v/>
      </c>
      <c r="D360" s="37">
        <f>D357-D359</f>
        <v/>
      </c>
      <c r="E360" s="37">
        <f>E357-E359</f>
        <v/>
      </c>
      <c r="F360" s="37">
        <f>F357-F359</f>
        <v/>
      </c>
      <c r="G360" s="37">
        <f>G357-G359</f>
        <v/>
      </c>
    </row>
    <row r="361">
      <c r="A361" s="7" t="inlineStr">
        <is>
          <t>Capital expenditure — maintenance + growth</t>
        </is>
      </c>
      <c r="C361" s="18">
        <f>'Income Statement'!$B$43*C344+MAX(C354-'Segments'!$E$14,0)*2100.379938*C344</f>
        <v/>
      </c>
      <c r="D361" s="18">
        <f>'Income Statement'!$B$43*D344+MAX(D354-C354,0)*2100.379938*D344</f>
        <v/>
      </c>
      <c r="E361" s="18">
        <f>'Income Statement'!$B$43*E344+MAX(E354-D354,0)*2100.379938*E344</f>
        <v/>
      </c>
      <c r="F361" s="18">
        <f>'Income Statement'!$B$43*F344+MAX(F354-E354,0)*2100.379938*F344</f>
        <v/>
      </c>
      <c r="G361" s="18">
        <f>'Income Statement'!$B$43*G344+MAX(G354-F354,0)*2100.379938*G344</f>
        <v/>
      </c>
    </row>
    <row r="362">
      <c r="A362" s="7" t="inlineStr">
        <is>
          <t>Fixed assets at cost, closing</t>
        </is>
      </c>
      <c r="C362" s="18">
        <f>(Assumptions!$B$91+Assumptions!$B$92)/10^6+C361</f>
        <v/>
      </c>
      <c r="D362" s="18">
        <f>C362+D361</f>
        <v/>
      </c>
      <c r="E362" s="18">
        <f>D362+E361</f>
        <v/>
      </c>
      <c r="F362" s="18">
        <f>E362+F361</f>
        <v/>
      </c>
      <c r="G362" s="18">
        <f>F362+G361</f>
        <v/>
      </c>
    </row>
    <row r="363">
      <c r="A363" s="7" t="inlineStr">
        <is>
          <t>Depreciation — rolls off the asset register</t>
        </is>
      </c>
      <c r="C363" s="18">
        <f>(Assumptions!$B$91+Assumptions!$B$92)/10^6/'Income Statement'!$B$42</f>
        <v/>
      </c>
      <c r="D363" s="18">
        <f>C362/'Income Statement'!$B$42</f>
        <v/>
      </c>
      <c r="E363" s="18">
        <f>D362/'Income Statement'!$B$42</f>
        <v/>
      </c>
      <c r="F363" s="18">
        <f>E362/'Income Statement'!$B$42</f>
        <v/>
      </c>
      <c r="G363" s="18">
        <f>F362/'Income Statement'!$B$42</f>
        <v/>
      </c>
    </row>
    <row r="364">
      <c r="A364" s="7" t="inlineStr">
        <is>
          <t>Fixed assets, net book, closing</t>
        </is>
      </c>
      <c r="C364" s="18">
        <f>(Assumptions!$B$90+Assumptions!$B$92)/10^6+C361-C363</f>
        <v/>
      </c>
      <c r="D364" s="18">
        <f>C364+D361-D363</f>
        <v/>
      </c>
      <c r="E364" s="18">
        <f>D364+E361-E363</f>
        <v/>
      </c>
      <c r="F364" s="18">
        <f>E364+F361-F363</f>
        <v/>
      </c>
      <c r="G364" s="18">
        <f>F364+G361-G363</f>
        <v/>
      </c>
    </row>
    <row r="365">
      <c r="A365" s="15" t="inlineStr">
        <is>
          <t>EBIT</t>
        </is>
      </c>
      <c r="C365" s="37">
        <f>C360-C363</f>
        <v/>
      </c>
      <c r="D365" s="37">
        <f>D360-D363</f>
        <v/>
      </c>
      <c r="E365" s="37">
        <f>E360-E363</f>
        <v/>
      </c>
      <c r="F365" s="37">
        <f>F360-F363</f>
        <v/>
      </c>
      <c r="G365" s="37">
        <f>G360-G363</f>
        <v/>
      </c>
    </row>
    <row r="366">
      <c r="A366" s="7" t="inlineStr">
        <is>
          <t>NOPAT before the profit share</t>
        </is>
      </c>
      <c r="C366" s="18">
        <f>C365*(1-Assumptions!$B$108)</f>
        <v/>
      </c>
      <c r="D366" s="18">
        <f>D365*(1-Assumptions!$B$108)</f>
        <v/>
      </c>
      <c r="E366" s="18">
        <f>E365*(1-Assumptions!$B$108)</f>
        <v/>
      </c>
      <c r="F366" s="18">
        <f>F365*(1-Assumptions!$B$108)</f>
        <v/>
      </c>
      <c r="G366" s="18">
        <f>G365*(1-Assumptions!$B$108)</f>
        <v/>
      </c>
    </row>
    <row r="367">
      <c r="A367" s="7" t="inlineStr">
        <is>
          <t xml:space="preserve">  less employees' profit share and board bonuses</t>
        </is>
      </c>
      <c r="C367" s="18">
        <f>MAX(C366,0)*'Income Statement'!$B$40</f>
        <v/>
      </c>
      <c r="D367" s="18">
        <f>MAX(D366,0)*'Income Statement'!$B$40</f>
        <v/>
      </c>
      <c r="E367" s="18">
        <f>MAX(E366,0)*'Income Statement'!$B$40</f>
        <v/>
      </c>
      <c r="F367" s="18">
        <f>MAX(F366,0)*'Income Statement'!$B$40</f>
        <v/>
      </c>
      <c r="G367" s="18">
        <f>MAX(G366,0)*'Income Statement'!$B$40</f>
        <v/>
      </c>
    </row>
    <row r="368">
      <c r="A368" s="15" t="inlineStr">
        <is>
          <t>NOPAT</t>
        </is>
      </c>
      <c r="C368" s="37">
        <f>C366-C367</f>
        <v/>
      </c>
      <c r="D368" s="37">
        <f>D366-D367</f>
        <v/>
      </c>
      <c r="E368" s="37">
        <f>E366-E367</f>
        <v/>
      </c>
      <c r="F368" s="37">
        <f>F366-F367</f>
        <v/>
      </c>
      <c r="G368" s="37">
        <f>G366-G367</f>
        <v/>
      </c>
    </row>
    <row r="369">
      <c r="A369" s="7" t="inlineStr">
        <is>
          <t>Net working capital — on days</t>
        </is>
      </c>
      <c r="C369" s="18">
        <f>'Income Statement'!$B$44*DCF!$B$9/365*C356+'Income Statement'!$B$45*DCF!$B$9/365*C355-'Income Statement'!$B$46*DCF!$B$9/365*C356</f>
        <v/>
      </c>
      <c r="D369" s="18">
        <f>'Income Statement'!$B$44*DCF!$B$9/365*D356+'Income Statement'!$B$45*DCF!$B$9/365*D355-'Income Statement'!$B$46*DCF!$B$9/365*D356</f>
        <v/>
      </c>
      <c r="E369" s="18">
        <f>'Income Statement'!$B$44*DCF!$B$9/365*E356+'Income Statement'!$B$45*DCF!$B$9/365*E355-'Income Statement'!$B$46*DCF!$B$9/365*E356</f>
        <v/>
      </c>
      <c r="F369" s="18">
        <f>'Income Statement'!$B$44*DCF!$B$9/365*F356+'Income Statement'!$B$45*DCF!$B$9/365*F355-'Income Statement'!$B$46*DCF!$B$9/365*F356</f>
        <v/>
      </c>
      <c r="G369" s="18">
        <f>'Income Statement'!$B$44*DCF!$B$9/365*G356+'Income Statement'!$B$45*DCF!$B$9/365*G355-'Income Statement'!$B$46*DCF!$B$9/365*G356</f>
        <v/>
      </c>
    </row>
    <row r="370">
      <c r="A370" s="7" t="inlineStr">
        <is>
          <t xml:space="preserve">  change in working capital</t>
        </is>
      </c>
      <c r="C370" s="18">
        <f>C369-('Income Statement'!$B$44/365*'Income Statement'!$B$21+'Income Statement'!$B$45/365*'Income Statement'!$B$19-'Income Statement'!$B$46/365*'Income Statement'!$B$21)</f>
        <v/>
      </c>
      <c r="D370" s="18">
        <f>D369-C369</f>
        <v/>
      </c>
      <c r="E370" s="18">
        <f>E369-D369</f>
        <v/>
      </c>
      <c r="F370" s="18">
        <f>F369-E369</f>
        <v/>
      </c>
      <c r="G370" s="18">
        <f>G369-F369</f>
        <v/>
      </c>
    </row>
    <row r="371">
      <c r="A371" s="15" t="inlineStr">
        <is>
          <t>FREE CASH FLOW TO THE FIRM</t>
        </is>
      </c>
      <c r="C371" s="37">
        <f>C368+C363-C361-C370</f>
        <v/>
      </c>
      <c r="D371" s="37">
        <f>D368+D363-D361-D370</f>
        <v/>
      </c>
      <c r="E371" s="37">
        <f>E368+E363-E361-E370</f>
        <v/>
      </c>
      <c r="F371" s="37">
        <f>F368+F363-F361-F370</f>
        <v/>
      </c>
      <c r="G371" s="37">
        <f>G368+G363-G361-G370</f>
        <v/>
      </c>
    </row>
    <row r="372">
      <c r="A372" s="7" t="inlineStr">
        <is>
          <t>Glide fraction</t>
        </is>
      </c>
      <c r="C372" s="23">
        <f>0.0000000000</f>
        <v/>
      </c>
      <c r="D372" s="23">
        <f>0.5166487648</f>
        <v/>
      </c>
      <c r="E372" s="23">
        <f>0.7314715360</f>
        <v/>
      </c>
      <c r="F372" s="23">
        <f>0.8925886144</f>
        <v/>
      </c>
      <c r="G372" s="23">
        <f>1.0000000000</f>
        <v/>
      </c>
    </row>
    <row r="373">
      <c r="A373" s="7" t="inlineStr">
        <is>
          <t>Forward cost of capital</t>
        </is>
      </c>
      <c r="C373" s="24">
        <f>DCF!$B$14-(DCF!$B$14-DCF!$B$17)*C372</f>
        <v/>
      </c>
      <c r="D373" s="24">
        <f>DCF!$B$14-(DCF!$B$14-DCF!$B$17)*D372</f>
        <v/>
      </c>
      <c r="E373" s="24">
        <f>DCF!$B$14-(DCF!$B$14-DCF!$B$17)*E372</f>
        <v/>
      </c>
      <c r="F373" s="24">
        <f>DCF!$B$14-(DCF!$B$14-DCF!$B$17)*F372</f>
        <v/>
      </c>
      <c r="G373" s="24">
        <f>DCF!$B$14-(DCF!$B$14-DCF!$B$17)*G372</f>
        <v/>
      </c>
    </row>
    <row r="374">
      <c r="A374" s="7" t="inlineStr">
        <is>
          <t>Cumulative discount factor</t>
        </is>
      </c>
      <c r="C374" s="40">
        <f>1/(1+C373)</f>
        <v/>
      </c>
      <c r="D374" s="40">
        <f>C374/(1+D373)</f>
        <v/>
      </c>
      <c r="E374" s="40">
        <f>D374/(1+E373)</f>
        <v/>
      </c>
      <c r="F374" s="40">
        <f>E374/(1+F373)</f>
        <v/>
      </c>
      <c r="G374" s="40">
        <f>F374/(1+G373)</f>
        <v/>
      </c>
    </row>
    <row r="375">
      <c r="A375" s="7" t="inlineStr">
        <is>
          <t>Present value</t>
        </is>
      </c>
      <c r="C375" s="18">
        <f>C371*C374</f>
        <v/>
      </c>
      <c r="D375" s="18">
        <f>D371*D374</f>
        <v/>
      </c>
      <c r="E375" s="18">
        <f>E371*E374</f>
        <v/>
      </c>
      <c r="F375" s="18">
        <f>F371*F374</f>
        <v/>
      </c>
      <c r="G375" s="18">
        <f>G371*G374</f>
        <v/>
      </c>
    </row>
    <row r="376">
      <c r="A376" s="15" t="inlineStr">
        <is>
          <t>PV of the explicit window</t>
        </is>
      </c>
      <c r="B376" s="37">
        <f>SUM(C375:G375)</f>
        <v/>
      </c>
      <c r="C376" s="18">
        <f>C369+C362</f>
        <v/>
      </c>
      <c r="D376" s="18">
        <f>D369+D362</f>
        <v/>
      </c>
      <c r="E376" s="18">
        <f>E369+E362</f>
        <v/>
      </c>
      <c r="F376" s="18">
        <f>F369+F362</f>
        <v/>
      </c>
      <c r="G376" s="18">
        <f>G369+G362</f>
        <v/>
      </c>
    </row>
    <row r="377">
      <c r="A377" s="7" t="inlineStr">
        <is>
          <t>Terminal return on invested capital, at REPLACEMENT cost</t>
        </is>
      </c>
      <c r="B377" s="24">
        <f>G368*(1+Assumptions!$B$110)/G376</f>
        <v/>
      </c>
    </row>
    <row r="378">
      <c r="A378" s="7" t="inlineStr">
        <is>
          <t>Required reinvestment = growth / return</t>
        </is>
      </c>
      <c r="B378" s="24">
        <f>MIN(Assumptions!$B$110/B377,0.95)</f>
        <v/>
      </c>
    </row>
    <row r="379">
      <c r="A379" s="7" t="inlineStr">
        <is>
          <t>Terminal value</t>
        </is>
      </c>
      <c r="B379" s="18">
        <f>G368*(1+Assumptions!$B$110)*(1-B378)/MAX(DCF!$B$17-Assumptions!$B$110,0.02)</f>
        <v/>
      </c>
    </row>
    <row r="380">
      <c r="A380" s="7" t="inlineStr">
        <is>
          <t>PV of the terminal block</t>
        </is>
      </c>
      <c r="B380" s="18">
        <f>B379*G374</f>
        <v/>
      </c>
    </row>
    <row r="381">
      <c r="A381" s="15" t="inlineStr">
        <is>
          <t>ENTERPRISE VALUE</t>
        </is>
      </c>
      <c r="B381" s="37">
        <f>B376+B380</f>
        <v/>
      </c>
    </row>
    <row r="382">
      <c r="A382" s="7" t="inlineStr">
        <is>
          <t>plus net cash</t>
        </is>
      </c>
      <c r="B382" s="18">
        <f>(Assumptions!$B$100-Assumptions!$B$103-Assumptions!$B$104)/10^6</f>
        <v/>
      </c>
    </row>
    <row r="383">
      <c r="A383" s="7" t="inlineStr">
        <is>
          <t>Enterprise value including cash</t>
        </is>
      </c>
      <c r="B383" s="18">
        <f>B381+B382</f>
        <v/>
      </c>
    </row>
    <row r="384">
      <c r="A384" s="7" t="inlineStr">
        <is>
          <t>less minority — on the WHOLE enterprise, cash included</t>
        </is>
      </c>
      <c r="B384" s="18">
        <f>B383*'Income Statement'!$B$41</f>
        <v/>
      </c>
    </row>
    <row r="385">
      <c r="A385" s="7" t="inlineStr">
        <is>
          <t>less the tax-disputes provision</t>
        </is>
      </c>
      <c r="B385" s="18">
        <f>Assumptions!$B$99/10^6</f>
        <v/>
      </c>
    </row>
    <row r="386">
      <c r="A386" s="7" t="inlineStr">
        <is>
          <t>less dividends payable — declared, out of working capital</t>
        </is>
      </c>
      <c r="B386" s="18">
        <f>Assumptions!$B$98/10^6</f>
        <v/>
      </c>
    </row>
    <row r="387">
      <c r="A387" s="7" t="inlineStr">
        <is>
          <t>plus non-operating investments and pledged deposits</t>
        </is>
      </c>
      <c r="B387" s="18">
        <f>(Assumptions!$B$102+Assumptions!$B$101)/10^6</f>
        <v/>
      </c>
    </row>
    <row r="388">
      <c r="A388" s="15" t="inlineStr">
        <is>
          <t>EQUITY ATTRIBUTABLE</t>
        </is>
      </c>
      <c r="B388" s="37">
        <f>B383-B384-B385-B386+B387</f>
        <v/>
      </c>
    </row>
    <row r="389">
      <c r="A389" s="15" t="inlineStr">
        <is>
          <t>VALUE PER SHARE, EGP</t>
        </is>
      </c>
      <c r="B389" s="22">
        <f>B388/Assumptions!$B$8</f>
        <v/>
      </c>
    </row>
    <row r="392">
      <c r="A392" s="6" t="inlineStr">
        <is>
          <t>Volume growth path, as a multiple of the assumed path — +0.0%</t>
        </is>
      </c>
      <c r="B392" s="6" t="inlineStr">
        <is>
          <t>2026E</t>
        </is>
      </c>
      <c r="C392" s="6" t="inlineStr">
        <is>
          <t>2027E</t>
        </is>
      </c>
      <c r="D392" s="6" t="inlineStr">
        <is>
          <t>2028E</t>
        </is>
      </c>
      <c r="E392" s="6" t="inlineStr">
        <is>
          <t>2029E</t>
        </is>
      </c>
      <c r="F392" s="6" t="inlineStr">
        <is>
          <t>2030E</t>
        </is>
      </c>
    </row>
    <row r="393">
      <c r="A393" s="7" t="inlineStr">
        <is>
          <t>Inflation index, cumulative</t>
        </is>
      </c>
      <c r="C393" s="23">
        <f>Assumptions!$B$167</f>
        <v/>
      </c>
      <c r="D393" s="23">
        <f>C393*Assumptions!$B$168</f>
        <v/>
      </c>
      <c r="E393" s="23">
        <f>D393*Assumptions!$B$169</f>
        <v/>
      </c>
      <c r="F393" s="23">
        <f>E393*Assumptions!$B$170</f>
        <v/>
      </c>
      <c r="G393" s="23">
        <f>F393*Assumptions!$B$171</f>
        <v/>
      </c>
    </row>
    <row r="394">
      <c r="A394" s="7" t="inlineStr">
        <is>
          <t>Realisation index, cumulative</t>
        </is>
      </c>
      <c r="C394" s="23">
        <f>(1+Assumptions!$B$122*DCF!$B$8)</f>
        <v/>
      </c>
      <c r="D394" s="23">
        <f>C394*(1+Assumptions!$B$123*DCF!$B$8)</f>
        <v/>
      </c>
      <c r="E394" s="23">
        <f>D394*(1+Assumptions!$B$124*DCF!$B$8)</f>
        <v/>
      </c>
      <c r="F394" s="23">
        <f>E394*(1+Assumptions!$B$125*DCF!$B$8)</f>
        <v/>
      </c>
      <c r="G394" s="23">
        <f>F394*(1+Assumptions!$B$126*DCF!$B$8)</f>
        <v/>
      </c>
    </row>
    <row r="395">
      <c r="A395" s="7" t="inlineStr">
        <is>
          <t xml:space="preserve">  Volume — Base and special oils, mn t</t>
        </is>
      </c>
      <c r="C395" s="23">
        <f>'Segments'!E6*(1+Assumptions!$B$127+$B$15)</f>
        <v/>
      </c>
      <c r="D395" s="23">
        <f>C395*(1+Assumptions!$B$128+$B$15)</f>
        <v/>
      </c>
      <c r="E395" s="23">
        <f>D395*(1+Assumptions!$B$129+$B$15)</f>
        <v/>
      </c>
      <c r="F395" s="23">
        <f>E395*(1+Assumptions!$B$130+$B$15)</f>
        <v/>
      </c>
      <c r="G395" s="23">
        <f>F395*(1+Assumptions!$B$131+$B$15)</f>
        <v/>
      </c>
    </row>
    <row r="396">
      <c r="A396" s="7" t="inlineStr">
        <is>
          <t xml:space="preserve">  Volume — Paraffin wax, mn t</t>
        </is>
      </c>
      <c r="C396" s="23">
        <f>'Segments'!E7*(1+Assumptions!$B$132+$B$15)</f>
        <v/>
      </c>
      <c r="D396" s="23">
        <f>C396*(1+Assumptions!$B$133+$B$15)</f>
        <v/>
      </c>
      <c r="E396" s="23">
        <f>D396*(1+Assumptions!$B$134+$B$15)</f>
        <v/>
      </c>
      <c r="F396" s="23">
        <f>E396*(1+Assumptions!$B$135+$B$15)</f>
        <v/>
      </c>
      <c r="G396" s="23">
        <f>F396*(1+Assumptions!$B$136+$B$15)</f>
        <v/>
      </c>
    </row>
    <row r="397">
      <c r="A397" s="7" t="inlineStr">
        <is>
          <t xml:space="preserve">  Volume — Gas oil, mn t</t>
        </is>
      </c>
      <c r="C397" s="23">
        <f>'Segments'!E8*(1+Assumptions!$B$137+$B$15)</f>
        <v/>
      </c>
      <c r="D397" s="23">
        <f>C397*(1+Assumptions!$B$138+$B$15)</f>
        <v/>
      </c>
      <c r="E397" s="23">
        <f>D397*(1+Assumptions!$B$139+$B$15)</f>
        <v/>
      </c>
      <c r="F397" s="23">
        <f>E397*(1+Assumptions!$B$140+$B$15)</f>
        <v/>
      </c>
      <c r="G397" s="23">
        <f>F397*(1+Assumptions!$B$141+$B$15)</f>
        <v/>
      </c>
    </row>
    <row r="398">
      <c r="A398" s="7" t="inlineStr">
        <is>
          <t xml:space="preserve">  Volume — Naphtha, mn t</t>
        </is>
      </c>
      <c r="C398" s="23">
        <f>'Segments'!E9*(1+Assumptions!$B$142+$B$15)</f>
        <v/>
      </c>
      <c r="D398" s="23">
        <f>C398*(1+Assumptions!$B$143+$B$15)</f>
        <v/>
      </c>
      <c r="E398" s="23">
        <f>D398*(1+Assumptions!$B$144+$B$15)</f>
        <v/>
      </c>
      <c r="F398" s="23">
        <f>E398*(1+Assumptions!$B$145+$B$15)</f>
        <v/>
      </c>
      <c r="G398" s="23">
        <f>F398*(1+Assumptions!$B$146+$B$15)</f>
        <v/>
      </c>
    </row>
    <row r="399">
      <c r="A399" s="7" t="inlineStr">
        <is>
          <t xml:space="preserve">  Volume — Liquefied petroleum gas, mn t</t>
        </is>
      </c>
      <c r="C399" s="23">
        <f>'Segments'!E10*(1+Assumptions!$B$147+$B$15)</f>
        <v/>
      </c>
      <c r="D399" s="23">
        <f>C399*(1+Assumptions!$B$148+$B$15)</f>
        <v/>
      </c>
      <c r="E399" s="23">
        <f>D399*(1+Assumptions!$B$149+$B$15)</f>
        <v/>
      </c>
      <c r="F399" s="23">
        <f>E399*(1+Assumptions!$B$150+$B$15)</f>
        <v/>
      </c>
      <c r="G399" s="23">
        <f>F399*(1+Assumptions!$B$151+$B$15)</f>
        <v/>
      </c>
    </row>
    <row r="400">
      <c r="A400" s="7" t="inlineStr">
        <is>
          <t xml:space="preserve">  Volume — Fuel oil (mix), mn t</t>
        </is>
      </c>
      <c r="C400" s="23">
        <f>'Segments'!E11*(1+Assumptions!$B$152+$B$15)</f>
        <v/>
      </c>
      <c r="D400" s="23">
        <f>C400*(1+Assumptions!$B$153+$B$15)</f>
        <v/>
      </c>
      <c r="E400" s="23">
        <f>D400*(1+Assumptions!$B$154+$B$15)</f>
        <v/>
      </c>
      <c r="F400" s="23">
        <f>E400*(1+Assumptions!$B$155+$B$15)</f>
        <v/>
      </c>
      <c r="G400" s="23">
        <f>F400*(1+Assumptions!$B$156+$B$15)</f>
        <v/>
      </c>
    </row>
    <row r="401">
      <c r="A401" s="7" t="inlineStr">
        <is>
          <t xml:space="preserve">  Volume — Heavy fuel oil, mn t</t>
        </is>
      </c>
      <c r="C401" s="23">
        <f>'Segments'!E12*(1+Assumptions!$B$157+$B$15)</f>
        <v/>
      </c>
      <c r="D401" s="23">
        <f>C401*(1+Assumptions!$B$158+$B$15)</f>
        <v/>
      </c>
      <c r="E401" s="23">
        <f>D401*(1+Assumptions!$B$159+$B$15)</f>
        <v/>
      </c>
      <c r="F401" s="23">
        <f>E401*(1+Assumptions!$B$160+$B$15)</f>
        <v/>
      </c>
      <c r="G401" s="23">
        <f>F401*(1+Assumptions!$B$161+$B$15)</f>
        <v/>
      </c>
    </row>
    <row r="402">
      <c r="A402" s="7" t="inlineStr">
        <is>
          <t xml:space="preserve">  Volume — Waste, mn t</t>
        </is>
      </c>
      <c r="C402" s="23">
        <f>'Segments'!E13*(1+Assumptions!$B$162+$B$15)</f>
        <v/>
      </c>
      <c r="D402" s="23">
        <f>C402*(1+Assumptions!$B$163+$B$15)</f>
        <v/>
      </c>
      <c r="E402" s="23">
        <f>D402*(1+Assumptions!$B$164+$B$15)</f>
        <v/>
      </c>
      <c r="F402" s="23">
        <f>E402*(1+Assumptions!$B$165+$B$15)</f>
        <v/>
      </c>
      <c r="G402" s="23">
        <f>F402*(1+Assumptions!$B$166+$B$15)</f>
        <v/>
      </c>
    </row>
    <row r="403">
      <c r="A403" s="15" t="inlineStr">
        <is>
          <t>Total volume, mn t</t>
        </is>
      </c>
      <c r="C403" s="36">
        <f>SUM(C395:C402)</f>
        <v/>
      </c>
      <c r="D403" s="36">
        <f>SUM(D395:D402)</f>
        <v/>
      </c>
      <c r="E403" s="36">
        <f>SUM(E395:E402)</f>
        <v/>
      </c>
      <c r="F403" s="36">
        <f>SUM(F395:F402)</f>
        <v/>
      </c>
      <c r="G403" s="36">
        <f>SUM(G395:G402)</f>
        <v/>
      </c>
    </row>
    <row r="404">
      <c r="A404" s="15" t="inlineStr">
        <is>
          <t>REVENUE</t>
        </is>
      </c>
      <c r="C404" s="37">
        <f>C395*'Segments'!$F$6*C394+C396*'Segments'!$F$7*C394+C397*'Segments'!$F$8*C394+C398*'Segments'!$F$9*C394+C399*'Segments'!$F$10*C394+C400*'Segments'!$F$11*C394+C401*'Segments'!$F$12*C394+C402*'Segments'!$F$13*C394</f>
        <v/>
      </c>
      <c r="D404" s="37">
        <f>D395*'Segments'!$F$6*D394+D396*'Segments'!$F$7*D394+D397*'Segments'!$F$8*D394+D398*'Segments'!$F$9*D394+D399*'Segments'!$F$10*D394+D400*'Segments'!$F$11*D394+D401*'Segments'!$F$12*D394+D402*'Segments'!$F$13*D394</f>
        <v/>
      </c>
      <c r="E404" s="37">
        <f>E395*'Segments'!$F$6*E394+E396*'Segments'!$F$7*E394+E397*'Segments'!$F$8*E394+E398*'Segments'!$F$9*E394+E399*'Segments'!$F$10*E394+E400*'Segments'!$F$11*E394+E401*'Segments'!$F$12*E394+E402*'Segments'!$F$13*E394</f>
        <v/>
      </c>
      <c r="F404" s="37">
        <f>F395*'Segments'!$F$6*F394+F396*'Segments'!$F$7*F394+F397*'Segments'!$F$8*F394+F398*'Segments'!$F$9*F394+F399*'Segments'!$F$10*F394+F400*'Segments'!$F$11*F394+F401*'Segments'!$F$12*F394+F402*'Segments'!$F$13*F394</f>
        <v/>
      </c>
      <c r="G404" s="37">
        <f>G395*'Segments'!$F$6*G394+G396*'Segments'!$F$7*G394+G397*'Segments'!$F$8*G394+G398*'Segments'!$F$9*G394+G399*'Segments'!$F$10*G394+G400*'Segments'!$F$11*G394+G401*'Segments'!$F$12*G394+G402*'Segments'!$F$13*G394</f>
        <v/>
      </c>
    </row>
    <row r="405">
      <c r="A405" s="7" t="inlineStr">
        <is>
          <t>Cost of sales</t>
        </is>
      </c>
      <c r="C405" s="18">
        <f>C395*('Segments'!$D$27*C394*Assumptions!$B$109+'Segments'!$B$27*(0.4983251709*C394+0.4357405005*C394+0.0330936548*C394+0.0328406739))+C396*('Segments'!$D$28*C394*Assumptions!$B$109+'Segments'!$B$28*(0.4983251709*C394+0.4357405005*C394+0.0330936548*C394+0.0328406739))+C397*('Segments'!$D$29*C394*Assumptions!$B$109+'Segments'!$B$29*(0.4983251709*C394+0.4357405005*C394+0.0330936548*C394+0.0328406739))+C398*('Segments'!$D$30*C394*Assumptions!$B$109+'Segments'!$B$30*(0.4983251709*C394+0.4357405005*C394+0.0330936548*C394+0.0328406739))+C399*('Segments'!$D$31*C394*Assumptions!$B$109+'Segments'!$B$31*(0.4983251709*C394+0.4357405005*C394+0.0330936548*C394+0.0328406739))+C400*('Segments'!$D$32*C394*Assumptions!$B$109+'Segments'!$B$32*(0.4983251709*C394+0.4357405005*C394+0.0330936548*C394+0.0328406739))+C401*('Segments'!$D$33*C394*Assumptions!$B$109+'Segments'!$B$33*(0.4983251709*C394+0.4357405005*C394+0.0330936548*C394+0.0328406739))+C402*('Segments'!$D$34*C394*Assumptions!$B$109+'Segments'!$B$34*(0.4983251709*C394+0.4357405005*C394+0.0330936548*C394+0.0328406739))</f>
        <v/>
      </c>
      <c r="D405" s="18">
        <f>D395*('Segments'!$D$27*D394*Assumptions!$B$109+'Segments'!$B$27*(0.4983251709*D394+0.4357405005*D394+0.0330936548*D394+0.0328406739))+D396*('Segments'!$D$28*D394*Assumptions!$B$109+'Segments'!$B$28*(0.4983251709*D394+0.4357405005*D394+0.0330936548*D394+0.0328406739))+D397*('Segments'!$D$29*D394*Assumptions!$B$109+'Segments'!$B$29*(0.4983251709*D394+0.4357405005*D394+0.0330936548*D394+0.0328406739))+D398*('Segments'!$D$30*D394*Assumptions!$B$109+'Segments'!$B$30*(0.4983251709*D394+0.4357405005*D394+0.0330936548*D394+0.0328406739))+D399*('Segments'!$D$31*D394*Assumptions!$B$109+'Segments'!$B$31*(0.4983251709*D394+0.4357405005*D394+0.0330936548*D394+0.0328406739))+D400*('Segments'!$D$32*D394*Assumptions!$B$109+'Segments'!$B$32*(0.4983251709*D394+0.4357405005*D394+0.0330936548*D394+0.0328406739))+D401*('Segments'!$D$33*D394*Assumptions!$B$109+'Segments'!$B$33*(0.4983251709*D394+0.4357405005*D394+0.0330936548*D394+0.0328406739))+D402*('Segments'!$D$34*D394*Assumptions!$B$109+'Segments'!$B$34*(0.4983251709*D394+0.4357405005*D394+0.0330936548*D394+0.0328406739))</f>
        <v/>
      </c>
      <c r="E405" s="18">
        <f>E395*('Segments'!$D$27*E394*Assumptions!$B$109+'Segments'!$B$27*(0.4983251709*E394+0.4357405005*E394+0.0330936548*E394+0.0328406739))+E396*('Segments'!$D$28*E394*Assumptions!$B$109+'Segments'!$B$28*(0.4983251709*E394+0.4357405005*E394+0.0330936548*E394+0.0328406739))+E397*('Segments'!$D$29*E394*Assumptions!$B$109+'Segments'!$B$29*(0.4983251709*E394+0.4357405005*E394+0.0330936548*E394+0.0328406739))+E398*('Segments'!$D$30*E394*Assumptions!$B$109+'Segments'!$B$30*(0.4983251709*E394+0.4357405005*E394+0.0330936548*E394+0.0328406739))+E399*('Segments'!$D$31*E394*Assumptions!$B$109+'Segments'!$B$31*(0.4983251709*E394+0.4357405005*E394+0.0330936548*E394+0.0328406739))+E400*('Segments'!$D$32*E394*Assumptions!$B$109+'Segments'!$B$32*(0.4983251709*E394+0.4357405005*E394+0.0330936548*E394+0.0328406739))+E401*('Segments'!$D$33*E394*Assumptions!$B$109+'Segments'!$B$33*(0.4983251709*E394+0.4357405005*E394+0.0330936548*E394+0.0328406739))+E402*('Segments'!$D$34*E394*Assumptions!$B$109+'Segments'!$B$34*(0.4983251709*E394+0.4357405005*E394+0.0330936548*E394+0.0328406739))</f>
        <v/>
      </c>
      <c r="F405" s="18">
        <f>F395*('Segments'!$D$27*F394*Assumptions!$B$109+'Segments'!$B$27*(0.4983251709*F394+0.4357405005*F394+0.0330936548*F394+0.0328406739))+F396*('Segments'!$D$28*F394*Assumptions!$B$109+'Segments'!$B$28*(0.4983251709*F394+0.4357405005*F394+0.0330936548*F394+0.0328406739))+F397*('Segments'!$D$29*F394*Assumptions!$B$109+'Segments'!$B$29*(0.4983251709*F394+0.4357405005*F394+0.0330936548*F394+0.0328406739))+F398*('Segments'!$D$30*F394*Assumptions!$B$109+'Segments'!$B$30*(0.4983251709*F394+0.4357405005*F394+0.0330936548*F394+0.0328406739))+F399*('Segments'!$D$31*F394*Assumptions!$B$109+'Segments'!$B$31*(0.4983251709*F394+0.4357405005*F394+0.0330936548*F394+0.0328406739))+F400*('Segments'!$D$32*F394*Assumptions!$B$109+'Segments'!$B$32*(0.4983251709*F394+0.4357405005*F394+0.0330936548*F394+0.0328406739))+F401*('Segments'!$D$33*F394*Assumptions!$B$109+'Segments'!$B$33*(0.4983251709*F394+0.4357405005*F394+0.0330936548*F394+0.0328406739))+F402*('Segments'!$D$34*F394*Assumptions!$B$109+'Segments'!$B$34*(0.4983251709*F394+0.4357405005*F394+0.0330936548*F394+0.0328406739))</f>
        <v/>
      </c>
      <c r="G405" s="18">
        <f>G395*('Segments'!$D$27*G394*Assumptions!$B$109+'Segments'!$B$27*(0.4983251709*G394+0.4357405005*G394+0.0330936548*G394+0.0328406739))+G396*('Segments'!$D$28*G394*Assumptions!$B$109+'Segments'!$B$28*(0.4983251709*G394+0.4357405005*G394+0.0330936548*G394+0.0328406739))+G397*('Segments'!$D$29*G394*Assumptions!$B$109+'Segments'!$B$29*(0.4983251709*G394+0.4357405005*G394+0.0330936548*G394+0.0328406739))+G398*('Segments'!$D$30*G394*Assumptions!$B$109+'Segments'!$B$30*(0.4983251709*G394+0.4357405005*G394+0.0330936548*G394+0.0328406739))+G399*('Segments'!$D$31*G394*Assumptions!$B$109+'Segments'!$B$31*(0.4983251709*G394+0.4357405005*G394+0.0330936548*G394+0.0328406739))+G400*('Segments'!$D$32*G394*Assumptions!$B$109+'Segments'!$B$32*(0.4983251709*G394+0.4357405005*G394+0.0330936548*G394+0.0328406739))+G401*('Segments'!$D$33*G394*Assumptions!$B$109+'Segments'!$B$33*(0.4983251709*G394+0.4357405005*G394+0.0330936548*G394+0.0328406739))+G402*('Segments'!$D$34*G394*Assumptions!$B$109+'Segments'!$B$34*(0.4983251709*G394+0.4357405005*G394+0.0330936548*G394+0.0328406739))</f>
        <v/>
      </c>
    </row>
    <row r="406">
      <c r="A406" s="15" t="inlineStr">
        <is>
          <t>GROSS PROFIT</t>
        </is>
      </c>
      <c r="C406" s="37">
        <f>C404-C405+DCF!$B$7*C404</f>
        <v/>
      </c>
      <c r="D406" s="37">
        <f>D404-D405+DCF!$B$7*D404</f>
        <v/>
      </c>
      <c r="E406" s="37">
        <f>E404-E405+DCF!$B$7*E404</f>
        <v/>
      </c>
      <c r="F406" s="37">
        <f>F404-F405+DCF!$B$7*F404</f>
        <v/>
      </c>
      <c r="G406" s="37">
        <f>G404-G405+DCF!$B$7*G404</f>
        <v/>
      </c>
    </row>
    <row r="407">
      <c r="A407" s="7" t="inlineStr">
        <is>
          <t>Gross margin</t>
        </is>
      </c>
      <c r="C407" s="24">
        <f>C406/C404</f>
        <v/>
      </c>
      <c r="D407" s="24">
        <f>D406/D404</f>
        <v/>
      </c>
      <c r="E407" s="24">
        <f>E406/E404</f>
        <v/>
      </c>
      <c r="F407" s="24">
        <f>F406/F404</f>
        <v/>
      </c>
      <c r="G407" s="24">
        <f>G406/G404</f>
        <v/>
      </c>
    </row>
    <row r="408">
      <c r="A408" s="7" t="inlineStr">
        <is>
          <t>Operating expense</t>
        </is>
      </c>
      <c r="C408" s="18">
        <f>('Income Statement'!$B$28*C393)+('Income Statement'!$B$29*C393*C403/'Segments'!$E$14)+('Income Statement'!$B$30*C393)+('Income Statement'!$B$31*C393)</f>
        <v/>
      </c>
      <c r="D408" s="18">
        <f>('Income Statement'!$B$28*D393)+('Income Statement'!$B$29*D393*D403/'Segments'!$E$14)+('Income Statement'!$B$30*D393)+('Income Statement'!$B$31*D393)</f>
        <v/>
      </c>
      <c r="E408" s="18">
        <f>('Income Statement'!$B$28*E393)+('Income Statement'!$B$29*E393*E403/'Segments'!$E$14)+('Income Statement'!$B$30*E393)+('Income Statement'!$B$31*E393)</f>
        <v/>
      </c>
      <c r="F408" s="18">
        <f>('Income Statement'!$B$28*F393)+('Income Statement'!$B$29*F393*F403/'Segments'!$E$14)+('Income Statement'!$B$30*F393)+('Income Statement'!$B$31*F393)</f>
        <v/>
      </c>
      <c r="G408" s="18">
        <f>('Income Statement'!$B$28*G393)+('Income Statement'!$B$29*G393*G403/'Segments'!$E$14)+('Income Statement'!$B$30*G393)+('Income Statement'!$B$31*G393)</f>
        <v/>
      </c>
    </row>
    <row r="409">
      <c r="A409" s="15" t="inlineStr">
        <is>
          <t>EBITDA</t>
        </is>
      </c>
      <c r="C409" s="37">
        <f>C406-C408</f>
        <v/>
      </c>
      <c r="D409" s="37">
        <f>D406-D408</f>
        <v/>
      </c>
      <c r="E409" s="37">
        <f>E406-E408</f>
        <v/>
      </c>
      <c r="F409" s="37">
        <f>F406-F408</f>
        <v/>
      </c>
      <c r="G409" s="37">
        <f>G406-G408</f>
        <v/>
      </c>
    </row>
    <row r="410">
      <c r="A410" s="7" t="inlineStr">
        <is>
          <t>Capital expenditure — maintenance + growth</t>
        </is>
      </c>
      <c r="C410" s="18">
        <f>'Income Statement'!$B$43*C393+MAX(C403-'Segments'!$E$14,0)*2100.379938*C393</f>
        <v/>
      </c>
      <c r="D410" s="18">
        <f>'Income Statement'!$B$43*D393+MAX(D403-C403,0)*2100.379938*D393</f>
        <v/>
      </c>
      <c r="E410" s="18">
        <f>'Income Statement'!$B$43*E393+MAX(E403-D403,0)*2100.379938*E393</f>
        <v/>
      </c>
      <c r="F410" s="18">
        <f>'Income Statement'!$B$43*F393+MAX(F403-E403,0)*2100.379938*F393</f>
        <v/>
      </c>
      <c r="G410" s="18">
        <f>'Income Statement'!$B$43*G393+MAX(G403-F403,0)*2100.379938*G393</f>
        <v/>
      </c>
    </row>
    <row r="411">
      <c r="A411" s="7" t="inlineStr">
        <is>
          <t>Fixed assets at cost, closing</t>
        </is>
      </c>
      <c r="C411" s="18">
        <f>(Assumptions!$B$91+Assumptions!$B$92)/10^6+C410</f>
        <v/>
      </c>
      <c r="D411" s="18">
        <f>C411+D410</f>
        <v/>
      </c>
      <c r="E411" s="18">
        <f>D411+E410</f>
        <v/>
      </c>
      <c r="F411" s="18">
        <f>E411+F410</f>
        <v/>
      </c>
      <c r="G411" s="18">
        <f>F411+G410</f>
        <v/>
      </c>
    </row>
    <row r="412">
      <c r="A412" s="7" t="inlineStr">
        <is>
          <t>Depreciation — rolls off the asset register</t>
        </is>
      </c>
      <c r="C412" s="18">
        <f>(Assumptions!$B$91+Assumptions!$B$92)/10^6/'Income Statement'!$B$42</f>
        <v/>
      </c>
      <c r="D412" s="18">
        <f>C411/'Income Statement'!$B$42</f>
        <v/>
      </c>
      <c r="E412" s="18">
        <f>D411/'Income Statement'!$B$42</f>
        <v/>
      </c>
      <c r="F412" s="18">
        <f>E411/'Income Statement'!$B$42</f>
        <v/>
      </c>
      <c r="G412" s="18">
        <f>F411/'Income Statement'!$B$42</f>
        <v/>
      </c>
    </row>
    <row r="413">
      <c r="A413" s="7" t="inlineStr">
        <is>
          <t>Fixed assets, net book, closing</t>
        </is>
      </c>
      <c r="C413" s="18">
        <f>(Assumptions!$B$90+Assumptions!$B$92)/10^6+C410-C412</f>
        <v/>
      </c>
      <c r="D413" s="18">
        <f>C413+D410-D412</f>
        <v/>
      </c>
      <c r="E413" s="18">
        <f>D413+E410-E412</f>
        <v/>
      </c>
      <c r="F413" s="18">
        <f>E413+F410-F412</f>
        <v/>
      </c>
      <c r="G413" s="18">
        <f>F413+G410-G412</f>
        <v/>
      </c>
    </row>
    <row r="414">
      <c r="A414" s="15" t="inlineStr">
        <is>
          <t>EBIT</t>
        </is>
      </c>
      <c r="C414" s="37">
        <f>C409-C412</f>
        <v/>
      </c>
      <c r="D414" s="37">
        <f>D409-D412</f>
        <v/>
      </c>
      <c r="E414" s="37">
        <f>E409-E412</f>
        <v/>
      </c>
      <c r="F414" s="37">
        <f>F409-F412</f>
        <v/>
      </c>
      <c r="G414" s="37">
        <f>G409-G412</f>
        <v/>
      </c>
    </row>
    <row r="415">
      <c r="A415" s="7" t="inlineStr">
        <is>
          <t>NOPAT before the profit share</t>
        </is>
      </c>
      <c r="C415" s="18">
        <f>C414*(1-Assumptions!$B$108)</f>
        <v/>
      </c>
      <c r="D415" s="18">
        <f>D414*(1-Assumptions!$B$108)</f>
        <v/>
      </c>
      <c r="E415" s="18">
        <f>E414*(1-Assumptions!$B$108)</f>
        <v/>
      </c>
      <c r="F415" s="18">
        <f>F414*(1-Assumptions!$B$108)</f>
        <v/>
      </c>
      <c r="G415" s="18">
        <f>G414*(1-Assumptions!$B$108)</f>
        <v/>
      </c>
    </row>
    <row r="416">
      <c r="A416" s="7" t="inlineStr">
        <is>
          <t xml:space="preserve">  less employees' profit share and board bonuses</t>
        </is>
      </c>
      <c r="C416" s="18">
        <f>MAX(C415,0)*'Income Statement'!$B$40</f>
        <v/>
      </c>
      <c r="D416" s="18">
        <f>MAX(D415,0)*'Income Statement'!$B$40</f>
        <v/>
      </c>
      <c r="E416" s="18">
        <f>MAX(E415,0)*'Income Statement'!$B$40</f>
        <v/>
      </c>
      <c r="F416" s="18">
        <f>MAX(F415,0)*'Income Statement'!$B$40</f>
        <v/>
      </c>
      <c r="G416" s="18">
        <f>MAX(G415,0)*'Income Statement'!$B$40</f>
        <v/>
      </c>
    </row>
    <row r="417">
      <c r="A417" s="15" t="inlineStr">
        <is>
          <t>NOPAT</t>
        </is>
      </c>
      <c r="C417" s="37">
        <f>C415-C416</f>
        <v/>
      </c>
      <c r="D417" s="37">
        <f>D415-D416</f>
        <v/>
      </c>
      <c r="E417" s="37">
        <f>E415-E416</f>
        <v/>
      </c>
      <c r="F417" s="37">
        <f>F415-F416</f>
        <v/>
      </c>
      <c r="G417" s="37">
        <f>G415-G416</f>
        <v/>
      </c>
    </row>
    <row r="418">
      <c r="A418" s="7" t="inlineStr">
        <is>
          <t>Net working capital — on days</t>
        </is>
      </c>
      <c r="C418" s="18">
        <f>'Income Statement'!$B$44*DCF!$B$9/365*C405+'Income Statement'!$B$45*DCF!$B$9/365*C404-'Income Statement'!$B$46*DCF!$B$9/365*C405</f>
        <v/>
      </c>
      <c r="D418" s="18">
        <f>'Income Statement'!$B$44*DCF!$B$9/365*D405+'Income Statement'!$B$45*DCF!$B$9/365*D404-'Income Statement'!$B$46*DCF!$B$9/365*D405</f>
        <v/>
      </c>
      <c r="E418" s="18">
        <f>'Income Statement'!$B$44*DCF!$B$9/365*E405+'Income Statement'!$B$45*DCF!$B$9/365*E404-'Income Statement'!$B$46*DCF!$B$9/365*E405</f>
        <v/>
      </c>
      <c r="F418" s="18">
        <f>'Income Statement'!$B$44*DCF!$B$9/365*F405+'Income Statement'!$B$45*DCF!$B$9/365*F404-'Income Statement'!$B$46*DCF!$B$9/365*F405</f>
        <v/>
      </c>
      <c r="G418" s="18">
        <f>'Income Statement'!$B$44*DCF!$B$9/365*G405+'Income Statement'!$B$45*DCF!$B$9/365*G404-'Income Statement'!$B$46*DCF!$B$9/365*G405</f>
        <v/>
      </c>
    </row>
    <row r="419">
      <c r="A419" s="7" t="inlineStr">
        <is>
          <t xml:space="preserve">  change in working capital</t>
        </is>
      </c>
      <c r="C419" s="18">
        <f>C418-('Income Statement'!$B$44/365*'Income Statement'!$B$21+'Income Statement'!$B$45/365*'Income Statement'!$B$19-'Income Statement'!$B$46/365*'Income Statement'!$B$21)</f>
        <v/>
      </c>
      <c r="D419" s="18">
        <f>D418-C418</f>
        <v/>
      </c>
      <c r="E419" s="18">
        <f>E418-D418</f>
        <v/>
      </c>
      <c r="F419" s="18">
        <f>F418-E418</f>
        <v/>
      </c>
      <c r="G419" s="18">
        <f>G418-F418</f>
        <v/>
      </c>
    </row>
    <row r="420">
      <c r="A420" s="15" t="inlineStr">
        <is>
          <t>FREE CASH FLOW TO THE FIRM</t>
        </is>
      </c>
      <c r="C420" s="37">
        <f>C417+C412-C410-C419</f>
        <v/>
      </c>
      <c r="D420" s="37">
        <f>D417+D412-D410-D419</f>
        <v/>
      </c>
      <c r="E420" s="37">
        <f>E417+E412-E410-E419</f>
        <v/>
      </c>
      <c r="F420" s="37">
        <f>F417+F412-F410-F419</f>
        <v/>
      </c>
      <c r="G420" s="37">
        <f>G417+G412-G410-G419</f>
        <v/>
      </c>
    </row>
    <row r="421">
      <c r="A421" s="7" t="inlineStr">
        <is>
          <t>Glide fraction</t>
        </is>
      </c>
      <c r="C421" s="23">
        <f>0.0000000000</f>
        <v/>
      </c>
      <c r="D421" s="23">
        <f>0.5166487648</f>
        <v/>
      </c>
      <c r="E421" s="23">
        <f>0.7314715360</f>
        <v/>
      </c>
      <c r="F421" s="23">
        <f>0.8925886144</f>
        <v/>
      </c>
      <c r="G421" s="23">
        <f>1.0000000000</f>
        <v/>
      </c>
    </row>
    <row r="422">
      <c r="A422" s="7" t="inlineStr">
        <is>
          <t>Forward cost of capital</t>
        </is>
      </c>
      <c r="C422" s="24">
        <f>DCF!$B$14-(DCF!$B$14-DCF!$B$17)*C421</f>
        <v/>
      </c>
      <c r="D422" s="24">
        <f>DCF!$B$14-(DCF!$B$14-DCF!$B$17)*D421</f>
        <v/>
      </c>
      <c r="E422" s="24">
        <f>DCF!$B$14-(DCF!$B$14-DCF!$B$17)*E421</f>
        <v/>
      </c>
      <c r="F422" s="24">
        <f>DCF!$B$14-(DCF!$B$14-DCF!$B$17)*F421</f>
        <v/>
      </c>
      <c r="G422" s="24">
        <f>DCF!$B$14-(DCF!$B$14-DCF!$B$17)*G421</f>
        <v/>
      </c>
    </row>
    <row r="423">
      <c r="A423" s="7" t="inlineStr">
        <is>
          <t>Cumulative discount factor</t>
        </is>
      </c>
      <c r="C423" s="40">
        <f>1/(1+C422)</f>
        <v/>
      </c>
      <c r="D423" s="40">
        <f>C423/(1+D422)</f>
        <v/>
      </c>
      <c r="E423" s="40">
        <f>D423/(1+E422)</f>
        <v/>
      </c>
      <c r="F423" s="40">
        <f>E423/(1+F422)</f>
        <v/>
      </c>
      <c r="G423" s="40">
        <f>F423/(1+G422)</f>
        <v/>
      </c>
    </row>
    <row r="424">
      <c r="A424" s="7" t="inlineStr">
        <is>
          <t>Present value</t>
        </is>
      </c>
      <c r="C424" s="18">
        <f>C420*C423</f>
        <v/>
      </c>
      <c r="D424" s="18">
        <f>D420*D423</f>
        <v/>
      </c>
      <c r="E424" s="18">
        <f>E420*E423</f>
        <v/>
      </c>
      <c r="F424" s="18">
        <f>F420*F423</f>
        <v/>
      </c>
      <c r="G424" s="18">
        <f>G420*G423</f>
        <v/>
      </c>
    </row>
    <row r="425">
      <c r="A425" s="15" t="inlineStr">
        <is>
          <t>PV of the explicit window</t>
        </is>
      </c>
      <c r="B425" s="37">
        <f>SUM(C424:G424)</f>
        <v/>
      </c>
      <c r="C425" s="18">
        <f>C418+C411</f>
        <v/>
      </c>
      <c r="D425" s="18">
        <f>D418+D411</f>
        <v/>
      </c>
      <c r="E425" s="18">
        <f>E418+E411</f>
        <v/>
      </c>
      <c r="F425" s="18">
        <f>F418+F411</f>
        <v/>
      </c>
      <c r="G425" s="18">
        <f>G418+G411</f>
        <v/>
      </c>
    </row>
    <row r="426">
      <c r="A426" s="7" t="inlineStr">
        <is>
          <t>Terminal return on invested capital, at REPLACEMENT cost</t>
        </is>
      </c>
      <c r="B426" s="24">
        <f>G417*(1+Assumptions!$B$110)/G425</f>
        <v/>
      </c>
    </row>
    <row r="427">
      <c r="A427" s="7" t="inlineStr">
        <is>
          <t>Required reinvestment = growth / return</t>
        </is>
      </c>
      <c r="B427" s="24">
        <f>MIN(Assumptions!$B$110/B426,0.95)</f>
        <v/>
      </c>
    </row>
    <row r="428">
      <c r="A428" s="7" t="inlineStr">
        <is>
          <t>Terminal value</t>
        </is>
      </c>
      <c r="B428" s="18">
        <f>G417*(1+Assumptions!$B$110)*(1-B427)/MAX(DCF!$B$17-Assumptions!$B$110,0.02)</f>
        <v/>
      </c>
    </row>
    <row r="429">
      <c r="A429" s="7" t="inlineStr">
        <is>
          <t>PV of the terminal block</t>
        </is>
      </c>
      <c r="B429" s="18">
        <f>B428*G423</f>
        <v/>
      </c>
    </row>
    <row r="430">
      <c r="A430" s="15" t="inlineStr">
        <is>
          <t>ENTERPRISE VALUE</t>
        </is>
      </c>
      <c r="B430" s="37">
        <f>B425+B429</f>
        <v/>
      </c>
    </row>
    <row r="431">
      <c r="A431" s="7" t="inlineStr">
        <is>
          <t>plus net cash</t>
        </is>
      </c>
      <c r="B431" s="18">
        <f>(Assumptions!$B$100-Assumptions!$B$103-Assumptions!$B$104)/10^6</f>
        <v/>
      </c>
    </row>
    <row r="432">
      <c r="A432" s="7" t="inlineStr">
        <is>
          <t>Enterprise value including cash</t>
        </is>
      </c>
      <c r="B432" s="18">
        <f>B430+B431</f>
        <v/>
      </c>
    </row>
    <row r="433">
      <c r="A433" s="7" t="inlineStr">
        <is>
          <t>less minority — on the WHOLE enterprise, cash included</t>
        </is>
      </c>
      <c r="B433" s="18">
        <f>B432*'Income Statement'!$B$41</f>
        <v/>
      </c>
    </row>
    <row r="434">
      <c r="A434" s="7" t="inlineStr">
        <is>
          <t>less the tax-disputes provision</t>
        </is>
      </c>
      <c r="B434" s="18">
        <f>Assumptions!$B$99/10^6</f>
        <v/>
      </c>
    </row>
    <row r="435">
      <c r="A435" s="7" t="inlineStr">
        <is>
          <t>less dividends payable — declared, out of working capital</t>
        </is>
      </c>
      <c r="B435" s="18">
        <f>Assumptions!$B$98/10^6</f>
        <v/>
      </c>
    </row>
    <row r="436">
      <c r="A436" s="7" t="inlineStr">
        <is>
          <t>plus non-operating investments and pledged deposits</t>
        </is>
      </c>
      <c r="B436" s="18">
        <f>(Assumptions!$B$102+Assumptions!$B$101)/10^6</f>
        <v/>
      </c>
    </row>
    <row r="437">
      <c r="A437" s="15" t="inlineStr">
        <is>
          <t>EQUITY ATTRIBUTABLE</t>
        </is>
      </c>
      <c r="B437" s="37">
        <f>B432-B433-B434-B435+B436</f>
        <v/>
      </c>
    </row>
    <row r="438">
      <c r="A438" s="15" t="inlineStr">
        <is>
          <t>VALUE PER SHARE, EGP</t>
        </is>
      </c>
      <c r="B438" s="22">
        <f>B437/Assumptions!$B$8</f>
        <v/>
      </c>
    </row>
    <row r="441">
      <c r="A441" s="6" t="inlineStr">
        <is>
          <t>Volume growth path, as a multiple of the assumed path — +3.0%</t>
        </is>
      </c>
      <c r="B441" s="6" t="inlineStr">
        <is>
          <t>2026E</t>
        </is>
      </c>
      <c r="C441" s="6" t="inlineStr">
        <is>
          <t>2027E</t>
        </is>
      </c>
      <c r="D441" s="6" t="inlineStr">
        <is>
          <t>2028E</t>
        </is>
      </c>
      <c r="E441" s="6" t="inlineStr">
        <is>
          <t>2029E</t>
        </is>
      </c>
      <c r="F441" s="6" t="inlineStr">
        <is>
          <t>2030E</t>
        </is>
      </c>
    </row>
    <row r="442">
      <c r="A442" s="7" t="inlineStr">
        <is>
          <t>Inflation index, cumulative</t>
        </is>
      </c>
      <c r="C442" s="23">
        <f>Assumptions!$B$167</f>
        <v/>
      </c>
      <c r="D442" s="23">
        <f>C442*Assumptions!$B$168</f>
        <v/>
      </c>
      <c r="E442" s="23">
        <f>D442*Assumptions!$B$169</f>
        <v/>
      </c>
      <c r="F442" s="23">
        <f>E442*Assumptions!$B$170</f>
        <v/>
      </c>
      <c r="G442" s="23">
        <f>F442*Assumptions!$B$171</f>
        <v/>
      </c>
    </row>
    <row r="443">
      <c r="A443" s="7" t="inlineStr">
        <is>
          <t>Realisation index, cumulative</t>
        </is>
      </c>
      <c r="C443" s="23">
        <f>(1+Assumptions!$B$122*DCF!$B$8)</f>
        <v/>
      </c>
      <c r="D443" s="23">
        <f>C443*(1+Assumptions!$B$123*DCF!$B$8)</f>
        <v/>
      </c>
      <c r="E443" s="23">
        <f>D443*(1+Assumptions!$B$124*DCF!$B$8)</f>
        <v/>
      </c>
      <c r="F443" s="23">
        <f>E443*(1+Assumptions!$B$125*DCF!$B$8)</f>
        <v/>
      </c>
      <c r="G443" s="23">
        <f>F443*(1+Assumptions!$B$126*DCF!$B$8)</f>
        <v/>
      </c>
    </row>
    <row r="444">
      <c r="A444" s="7" t="inlineStr">
        <is>
          <t xml:space="preserve">  Volume — Base and special oils, mn t</t>
        </is>
      </c>
      <c r="C444" s="23">
        <f>'Segments'!E6*(1+Assumptions!$B$127+$B$16)</f>
        <v/>
      </c>
      <c r="D444" s="23">
        <f>C444*(1+Assumptions!$B$128+$B$16)</f>
        <v/>
      </c>
      <c r="E444" s="23">
        <f>D444*(1+Assumptions!$B$129+$B$16)</f>
        <v/>
      </c>
      <c r="F444" s="23">
        <f>E444*(1+Assumptions!$B$130+$B$16)</f>
        <v/>
      </c>
      <c r="G444" s="23">
        <f>F444*(1+Assumptions!$B$131+$B$16)</f>
        <v/>
      </c>
    </row>
    <row r="445">
      <c r="A445" s="7" t="inlineStr">
        <is>
          <t xml:space="preserve">  Volume — Paraffin wax, mn t</t>
        </is>
      </c>
      <c r="C445" s="23">
        <f>'Segments'!E7*(1+Assumptions!$B$132+$B$16)</f>
        <v/>
      </c>
      <c r="D445" s="23">
        <f>C445*(1+Assumptions!$B$133+$B$16)</f>
        <v/>
      </c>
      <c r="E445" s="23">
        <f>D445*(1+Assumptions!$B$134+$B$16)</f>
        <v/>
      </c>
      <c r="F445" s="23">
        <f>E445*(1+Assumptions!$B$135+$B$16)</f>
        <v/>
      </c>
      <c r="G445" s="23">
        <f>F445*(1+Assumptions!$B$136+$B$16)</f>
        <v/>
      </c>
    </row>
    <row r="446">
      <c r="A446" s="7" t="inlineStr">
        <is>
          <t xml:space="preserve">  Volume — Gas oil, mn t</t>
        </is>
      </c>
      <c r="C446" s="23">
        <f>'Segments'!E8*(1+Assumptions!$B$137+$B$16)</f>
        <v/>
      </c>
      <c r="D446" s="23">
        <f>C446*(1+Assumptions!$B$138+$B$16)</f>
        <v/>
      </c>
      <c r="E446" s="23">
        <f>D446*(1+Assumptions!$B$139+$B$16)</f>
        <v/>
      </c>
      <c r="F446" s="23">
        <f>E446*(1+Assumptions!$B$140+$B$16)</f>
        <v/>
      </c>
      <c r="G446" s="23">
        <f>F446*(1+Assumptions!$B$141+$B$16)</f>
        <v/>
      </c>
    </row>
    <row r="447">
      <c r="A447" s="7" t="inlineStr">
        <is>
          <t xml:space="preserve">  Volume — Naphtha, mn t</t>
        </is>
      </c>
      <c r="C447" s="23">
        <f>'Segments'!E9*(1+Assumptions!$B$142+$B$16)</f>
        <v/>
      </c>
      <c r="D447" s="23">
        <f>C447*(1+Assumptions!$B$143+$B$16)</f>
        <v/>
      </c>
      <c r="E447" s="23">
        <f>D447*(1+Assumptions!$B$144+$B$16)</f>
        <v/>
      </c>
      <c r="F447" s="23">
        <f>E447*(1+Assumptions!$B$145+$B$16)</f>
        <v/>
      </c>
      <c r="G447" s="23">
        <f>F447*(1+Assumptions!$B$146+$B$16)</f>
        <v/>
      </c>
    </row>
    <row r="448">
      <c r="A448" s="7" t="inlineStr">
        <is>
          <t xml:space="preserve">  Volume — Liquefied petroleum gas, mn t</t>
        </is>
      </c>
      <c r="C448" s="23">
        <f>'Segments'!E10*(1+Assumptions!$B$147+$B$16)</f>
        <v/>
      </c>
      <c r="D448" s="23">
        <f>C448*(1+Assumptions!$B$148+$B$16)</f>
        <v/>
      </c>
      <c r="E448" s="23">
        <f>D448*(1+Assumptions!$B$149+$B$16)</f>
        <v/>
      </c>
      <c r="F448" s="23">
        <f>E448*(1+Assumptions!$B$150+$B$16)</f>
        <v/>
      </c>
      <c r="G448" s="23">
        <f>F448*(1+Assumptions!$B$151+$B$16)</f>
        <v/>
      </c>
    </row>
    <row r="449">
      <c r="A449" s="7" t="inlineStr">
        <is>
          <t xml:space="preserve">  Volume — Fuel oil (mix), mn t</t>
        </is>
      </c>
      <c r="C449" s="23">
        <f>'Segments'!E11*(1+Assumptions!$B$152+$B$16)</f>
        <v/>
      </c>
      <c r="D449" s="23">
        <f>C449*(1+Assumptions!$B$153+$B$16)</f>
        <v/>
      </c>
      <c r="E449" s="23">
        <f>D449*(1+Assumptions!$B$154+$B$16)</f>
        <v/>
      </c>
      <c r="F449" s="23">
        <f>E449*(1+Assumptions!$B$155+$B$16)</f>
        <v/>
      </c>
      <c r="G449" s="23">
        <f>F449*(1+Assumptions!$B$156+$B$16)</f>
        <v/>
      </c>
    </row>
    <row r="450">
      <c r="A450" s="7" t="inlineStr">
        <is>
          <t xml:space="preserve">  Volume — Heavy fuel oil, mn t</t>
        </is>
      </c>
      <c r="C450" s="23">
        <f>'Segments'!E12*(1+Assumptions!$B$157+$B$16)</f>
        <v/>
      </c>
      <c r="D450" s="23">
        <f>C450*(1+Assumptions!$B$158+$B$16)</f>
        <v/>
      </c>
      <c r="E450" s="23">
        <f>D450*(1+Assumptions!$B$159+$B$16)</f>
        <v/>
      </c>
      <c r="F450" s="23">
        <f>E450*(1+Assumptions!$B$160+$B$16)</f>
        <v/>
      </c>
      <c r="G450" s="23">
        <f>F450*(1+Assumptions!$B$161+$B$16)</f>
        <v/>
      </c>
    </row>
    <row r="451">
      <c r="A451" s="7" t="inlineStr">
        <is>
          <t xml:space="preserve">  Volume — Waste, mn t</t>
        </is>
      </c>
      <c r="C451" s="23">
        <f>'Segments'!E13*(1+Assumptions!$B$162+$B$16)</f>
        <v/>
      </c>
      <c r="D451" s="23">
        <f>C451*(1+Assumptions!$B$163+$B$16)</f>
        <v/>
      </c>
      <c r="E451" s="23">
        <f>D451*(1+Assumptions!$B$164+$B$16)</f>
        <v/>
      </c>
      <c r="F451" s="23">
        <f>E451*(1+Assumptions!$B$165+$B$16)</f>
        <v/>
      </c>
      <c r="G451" s="23">
        <f>F451*(1+Assumptions!$B$166+$B$16)</f>
        <v/>
      </c>
    </row>
    <row r="452">
      <c r="A452" s="15" t="inlineStr">
        <is>
          <t>Total volume, mn t</t>
        </is>
      </c>
      <c r="C452" s="36">
        <f>SUM(C444:C451)</f>
        <v/>
      </c>
      <c r="D452" s="36">
        <f>SUM(D444:D451)</f>
        <v/>
      </c>
      <c r="E452" s="36">
        <f>SUM(E444:E451)</f>
        <v/>
      </c>
      <c r="F452" s="36">
        <f>SUM(F444:F451)</f>
        <v/>
      </c>
      <c r="G452" s="36">
        <f>SUM(G444:G451)</f>
        <v/>
      </c>
    </row>
    <row r="453">
      <c r="A453" s="15" t="inlineStr">
        <is>
          <t>REVENUE</t>
        </is>
      </c>
      <c r="C453" s="37">
        <f>C444*'Segments'!$F$6*C443+C445*'Segments'!$F$7*C443+C446*'Segments'!$F$8*C443+C447*'Segments'!$F$9*C443+C448*'Segments'!$F$10*C443+C449*'Segments'!$F$11*C443+C450*'Segments'!$F$12*C443+C451*'Segments'!$F$13*C443</f>
        <v/>
      </c>
      <c r="D453" s="37">
        <f>D444*'Segments'!$F$6*D443+D445*'Segments'!$F$7*D443+D446*'Segments'!$F$8*D443+D447*'Segments'!$F$9*D443+D448*'Segments'!$F$10*D443+D449*'Segments'!$F$11*D443+D450*'Segments'!$F$12*D443+D451*'Segments'!$F$13*D443</f>
        <v/>
      </c>
      <c r="E453" s="37">
        <f>E444*'Segments'!$F$6*E443+E445*'Segments'!$F$7*E443+E446*'Segments'!$F$8*E443+E447*'Segments'!$F$9*E443+E448*'Segments'!$F$10*E443+E449*'Segments'!$F$11*E443+E450*'Segments'!$F$12*E443+E451*'Segments'!$F$13*E443</f>
        <v/>
      </c>
      <c r="F453" s="37">
        <f>F444*'Segments'!$F$6*F443+F445*'Segments'!$F$7*F443+F446*'Segments'!$F$8*F443+F447*'Segments'!$F$9*F443+F448*'Segments'!$F$10*F443+F449*'Segments'!$F$11*F443+F450*'Segments'!$F$12*F443+F451*'Segments'!$F$13*F443</f>
        <v/>
      </c>
      <c r="G453" s="37">
        <f>G444*'Segments'!$F$6*G443+G445*'Segments'!$F$7*G443+G446*'Segments'!$F$8*G443+G447*'Segments'!$F$9*G443+G448*'Segments'!$F$10*G443+G449*'Segments'!$F$11*G443+G450*'Segments'!$F$12*G443+G451*'Segments'!$F$13*G443</f>
        <v/>
      </c>
    </row>
    <row r="454">
      <c r="A454" s="7" t="inlineStr">
        <is>
          <t>Cost of sales</t>
        </is>
      </c>
      <c r="C454" s="18">
        <f>C444*('Segments'!$D$27*C443*Assumptions!$B$109+'Segments'!$B$27*(0.4983251709*C443+0.4357405005*C443+0.0330936548*C443+0.0328406739))+C445*('Segments'!$D$28*C443*Assumptions!$B$109+'Segments'!$B$28*(0.4983251709*C443+0.4357405005*C443+0.0330936548*C443+0.0328406739))+C446*('Segments'!$D$29*C443*Assumptions!$B$109+'Segments'!$B$29*(0.4983251709*C443+0.4357405005*C443+0.0330936548*C443+0.0328406739))+C447*('Segments'!$D$30*C443*Assumptions!$B$109+'Segments'!$B$30*(0.4983251709*C443+0.4357405005*C443+0.0330936548*C443+0.0328406739))+C448*('Segments'!$D$31*C443*Assumptions!$B$109+'Segments'!$B$31*(0.4983251709*C443+0.4357405005*C443+0.0330936548*C443+0.0328406739))+C449*('Segments'!$D$32*C443*Assumptions!$B$109+'Segments'!$B$32*(0.4983251709*C443+0.4357405005*C443+0.0330936548*C443+0.0328406739))+C450*('Segments'!$D$33*C443*Assumptions!$B$109+'Segments'!$B$33*(0.4983251709*C443+0.4357405005*C443+0.0330936548*C443+0.0328406739))+C451*('Segments'!$D$34*C443*Assumptions!$B$109+'Segments'!$B$34*(0.4983251709*C443+0.4357405005*C443+0.0330936548*C443+0.0328406739))</f>
        <v/>
      </c>
      <c r="D454" s="18">
        <f>D444*('Segments'!$D$27*D443*Assumptions!$B$109+'Segments'!$B$27*(0.4983251709*D443+0.4357405005*D443+0.0330936548*D443+0.0328406739))+D445*('Segments'!$D$28*D443*Assumptions!$B$109+'Segments'!$B$28*(0.4983251709*D443+0.4357405005*D443+0.0330936548*D443+0.0328406739))+D446*('Segments'!$D$29*D443*Assumptions!$B$109+'Segments'!$B$29*(0.4983251709*D443+0.4357405005*D443+0.0330936548*D443+0.0328406739))+D447*('Segments'!$D$30*D443*Assumptions!$B$109+'Segments'!$B$30*(0.4983251709*D443+0.4357405005*D443+0.0330936548*D443+0.0328406739))+D448*('Segments'!$D$31*D443*Assumptions!$B$109+'Segments'!$B$31*(0.4983251709*D443+0.4357405005*D443+0.0330936548*D443+0.0328406739))+D449*('Segments'!$D$32*D443*Assumptions!$B$109+'Segments'!$B$32*(0.4983251709*D443+0.4357405005*D443+0.0330936548*D443+0.0328406739))+D450*('Segments'!$D$33*D443*Assumptions!$B$109+'Segments'!$B$33*(0.4983251709*D443+0.4357405005*D443+0.0330936548*D443+0.0328406739))+D451*('Segments'!$D$34*D443*Assumptions!$B$109+'Segments'!$B$34*(0.4983251709*D443+0.4357405005*D443+0.0330936548*D443+0.0328406739))</f>
        <v/>
      </c>
      <c r="E454" s="18">
        <f>E444*('Segments'!$D$27*E443*Assumptions!$B$109+'Segments'!$B$27*(0.4983251709*E443+0.4357405005*E443+0.0330936548*E443+0.0328406739))+E445*('Segments'!$D$28*E443*Assumptions!$B$109+'Segments'!$B$28*(0.4983251709*E443+0.4357405005*E443+0.0330936548*E443+0.0328406739))+E446*('Segments'!$D$29*E443*Assumptions!$B$109+'Segments'!$B$29*(0.4983251709*E443+0.4357405005*E443+0.0330936548*E443+0.0328406739))+E447*('Segments'!$D$30*E443*Assumptions!$B$109+'Segments'!$B$30*(0.4983251709*E443+0.4357405005*E443+0.0330936548*E443+0.0328406739))+E448*('Segments'!$D$31*E443*Assumptions!$B$109+'Segments'!$B$31*(0.4983251709*E443+0.4357405005*E443+0.0330936548*E443+0.0328406739))+E449*('Segments'!$D$32*E443*Assumptions!$B$109+'Segments'!$B$32*(0.4983251709*E443+0.4357405005*E443+0.0330936548*E443+0.0328406739))+E450*('Segments'!$D$33*E443*Assumptions!$B$109+'Segments'!$B$33*(0.4983251709*E443+0.4357405005*E443+0.0330936548*E443+0.0328406739))+E451*('Segments'!$D$34*E443*Assumptions!$B$109+'Segments'!$B$34*(0.4983251709*E443+0.4357405005*E443+0.0330936548*E443+0.0328406739))</f>
        <v/>
      </c>
      <c r="F454" s="18">
        <f>F444*('Segments'!$D$27*F443*Assumptions!$B$109+'Segments'!$B$27*(0.4983251709*F443+0.4357405005*F443+0.0330936548*F443+0.0328406739))+F445*('Segments'!$D$28*F443*Assumptions!$B$109+'Segments'!$B$28*(0.4983251709*F443+0.4357405005*F443+0.0330936548*F443+0.0328406739))+F446*('Segments'!$D$29*F443*Assumptions!$B$109+'Segments'!$B$29*(0.4983251709*F443+0.4357405005*F443+0.0330936548*F443+0.0328406739))+F447*('Segments'!$D$30*F443*Assumptions!$B$109+'Segments'!$B$30*(0.4983251709*F443+0.4357405005*F443+0.0330936548*F443+0.0328406739))+F448*('Segments'!$D$31*F443*Assumptions!$B$109+'Segments'!$B$31*(0.4983251709*F443+0.4357405005*F443+0.0330936548*F443+0.0328406739))+F449*('Segments'!$D$32*F443*Assumptions!$B$109+'Segments'!$B$32*(0.4983251709*F443+0.4357405005*F443+0.0330936548*F443+0.0328406739))+F450*('Segments'!$D$33*F443*Assumptions!$B$109+'Segments'!$B$33*(0.4983251709*F443+0.4357405005*F443+0.0330936548*F443+0.0328406739))+F451*('Segments'!$D$34*F443*Assumptions!$B$109+'Segments'!$B$34*(0.4983251709*F443+0.4357405005*F443+0.0330936548*F443+0.0328406739))</f>
        <v/>
      </c>
      <c r="G454" s="18">
        <f>G444*('Segments'!$D$27*G443*Assumptions!$B$109+'Segments'!$B$27*(0.4983251709*G443+0.4357405005*G443+0.0330936548*G443+0.0328406739))+G445*('Segments'!$D$28*G443*Assumptions!$B$109+'Segments'!$B$28*(0.4983251709*G443+0.4357405005*G443+0.0330936548*G443+0.0328406739))+G446*('Segments'!$D$29*G443*Assumptions!$B$109+'Segments'!$B$29*(0.4983251709*G443+0.4357405005*G443+0.0330936548*G443+0.0328406739))+G447*('Segments'!$D$30*G443*Assumptions!$B$109+'Segments'!$B$30*(0.4983251709*G443+0.4357405005*G443+0.0330936548*G443+0.0328406739))+G448*('Segments'!$D$31*G443*Assumptions!$B$109+'Segments'!$B$31*(0.4983251709*G443+0.4357405005*G443+0.0330936548*G443+0.0328406739))+G449*('Segments'!$D$32*G443*Assumptions!$B$109+'Segments'!$B$32*(0.4983251709*G443+0.4357405005*G443+0.0330936548*G443+0.0328406739))+G450*('Segments'!$D$33*G443*Assumptions!$B$109+'Segments'!$B$33*(0.4983251709*G443+0.4357405005*G443+0.0330936548*G443+0.0328406739))+G451*('Segments'!$D$34*G443*Assumptions!$B$109+'Segments'!$B$34*(0.4983251709*G443+0.4357405005*G443+0.0330936548*G443+0.0328406739))</f>
        <v/>
      </c>
    </row>
    <row r="455">
      <c r="A455" s="15" t="inlineStr">
        <is>
          <t>GROSS PROFIT</t>
        </is>
      </c>
      <c r="C455" s="37">
        <f>C453-C454+DCF!$B$7*C453</f>
        <v/>
      </c>
      <c r="D455" s="37">
        <f>D453-D454+DCF!$B$7*D453</f>
        <v/>
      </c>
      <c r="E455" s="37">
        <f>E453-E454+DCF!$B$7*E453</f>
        <v/>
      </c>
      <c r="F455" s="37">
        <f>F453-F454+DCF!$B$7*F453</f>
        <v/>
      </c>
      <c r="G455" s="37">
        <f>G453-G454+DCF!$B$7*G453</f>
        <v/>
      </c>
    </row>
    <row r="456">
      <c r="A456" s="7" t="inlineStr">
        <is>
          <t>Gross margin</t>
        </is>
      </c>
      <c r="C456" s="24">
        <f>C455/C453</f>
        <v/>
      </c>
      <c r="D456" s="24">
        <f>D455/D453</f>
        <v/>
      </c>
      <c r="E456" s="24">
        <f>E455/E453</f>
        <v/>
      </c>
      <c r="F456" s="24">
        <f>F455/F453</f>
        <v/>
      </c>
      <c r="G456" s="24">
        <f>G455/G453</f>
        <v/>
      </c>
    </row>
    <row r="457">
      <c r="A457" s="7" t="inlineStr">
        <is>
          <t>Operating expense</t>
        </is>
      </c>
      <c r="C457" s="18">
        <f>('Income Statement'!$B$28*C442)+('Income Statement'!$B$29*C442*C452/'Segments'!$E$14)+('Income Statement'!$B$30*C442)+('Income Statement'!$B$31*C442)</f>
        <v/>
      </c>
      <c r="D457" s="18">
        <f>('Income Statement'!$B$28*D442)+('Income Statement'!$B$29*D442*D452/'Segments'!$E$14)+('Income Statement'!$B$30*D442)+('Income Statement'!$B$31*D442)</f>
        <v/>
      </c>
      <c r="E457" s="18">
        <f>('Income Statement'!$B$28*E442)+('Income Statement'!$B$29*E442*E452/'Segments'!$E$14)+('Income Statement'!$B$30*E442)+('Income Statement'!$B$31*E442)</f>
        <v/>
      </c>
      <c r="F457" s="18">
        <f>('Income Statement'!$B$28*F442)+('Income Statement'!$B$29*F442*F452/'Segments'!$E$14)+('Income Statement'!$B$30*F442)+('Income Statement'!$B$31*F442)</f>
        <v/>
      </c>
      <c r="G457" s="18">
        <f>('Income Statement'!$B$28*G442)+('Income Statement'!$B$29*G442*G452/'Segments'!$E$14)+('Income Statement'!$B$30*G442)+('Income Statement'!$B$31*G442)</f>
        <v/>
      </c>
    </row>
    <row r="458">
      <c r="A458" s="15" t="inlineStr">
        <is>
          <t>EBITDA</t>
        </is>
      </c>
      <c r="C458" s="37">
        <f>C455-C457</f>
        <v/>
      </c>
      <c r="D458" s="37">
        <f>D455-D457</f>
        <v/>
      </c>
      <c r="E458" s="37">
        <f>E455-E457</f>
        <v/>
      </c>
      <c r="F458" s="37">
        <f>F455-F457</f>
        <v/>
      </c>
      <c r="G458" s="37">
        <f>G455-G457</f>
        <v/>
      </c>
    </row>
    <row r="459">
      <c r="A459" s="7" t="inlineStr">
        <is>
          <t>Capital expenditure — maintenance + growth</t>
        </is>
      </c>
      <c r="C459" s="18">
        <f>'Income Statement'!$B$43*C442+MAX(C452-'Segments'!$E$14,0)*2100.379938*C442</f>
        <v/>
      </c>
      <c r="D459" s="18">
        <f>'Income Statement'!$B$43*D442+MAX(D452-C452,0)*2100.379938*D442</f>
        <v/>
      </c>
      <c r="E459" s="18">
        <f>'Income Statement'!$B$43*E442+MAX(E452-D452,0)*2100.379938*E442</f>
        <v/>
      </c>
      <c r="F459" s="18">
        <f>'Income Statement'!$B$43*F442+MAX(F452-E452,0)*2100.379938*F442</f>
        <v/>
      </c>
      <c r="G459" s="18">
        <f>'Income Statement'!$B$43*G442+MAX(G452-F452,0)*2100.379938*G442</f>
        <v/>
      </c>
    </row>
    <row r="460">
      <c r="A460" s="7" t="inlineStr">
        <is>
          <t>Fixed assets at cost, closing</t>
        </is>
      </c>
      <c r="C460" s="18">
        <f>(Assumptions!$B$91+Assumptions!$B$92)/10^6+C459</f>
        <v/>
      </c>
      <c r="D460" s="18">
        <f>C460+D459</f>
        <v/>
      </c>
      <c r="E460" s="18">
        <f>D460+E459</f>
        <v/>
      </c>
      <c r="F460" s="18">
        <f>E460+F459</f>
        <v/>
      </c>
      <c r="G460" s="18">
        <f>F460+G459</f>
        <v/>
      </c>
    </row>
    <row r="461">
      <c r="A461" s="7" t="inlineStr">
        <is>
          <t>Depreciation — rolls off the asset register</t>
        </is>
      </c>
      <c r="C461" s="18">
        <f>(Assumptions!$B$91+Assumptions!$B$92)/10^6/'Income Statement'!$B$42</f>
        <v/>
      </c>
      <c r="D461" s="18">
        <f>C460/'Income Statement'!$B$42</f>
        <v/>
      </c>
      <c r="E461" s="18">
        <f>D460/'Income Statement'!$B$42</f>
        <v/>
      </c>
      <c r="F461" s="18">
        <f>E460/'Income Statement'!$B$42</f>
        <v/>
      </c>
      <c r="G461" s="18">
        <f>F460/'Income Statement'!$B$42</f>
        <v/>
      </c>
    </row>
    <row r="462">
      <c r="A462" s="7" t="inlineStr">
        <is>
          <t>Fixed assets, net book, closing</t>
        </is>
      </c>
      <c r="C462" s="18">
        <f>(Assumptions!$B$90+Assumptions!$B$92)/10^6+C459-C461</f>
        <v/>
      </c>
      <c r="D462" s="18">
        <f>C462+D459-D461</f>
        <v/>
      </c>
      <c r="E462" s="18">
        <f>D462+E459-E461</f>
        <v/>
      </c>
      <c r="F462" s="18">
        <f>E462+F459-F461</f>
        <v/>
      </c>
      <c r="G462" s="18">
        <f>F462+G459-G461</f>
        <v/>
      </c>
    </row>
    <row r="463">
      <c r="A463" s="15" t="inlineStr">
        <is>
          <t>EBIT</t>
        </is>
      </c>
      <c r="C463" s="37">
        <f>C458-C461</f>
        <v/>
      </c>
      <c r="D463" s="37">
        <f>D458-D461</f>
        <v/>
      </c>
      <c r="E463" s="37">
        <f>E458-E461</f>
        <v/>
      </c>
      <c r="F463" s="37">
        <f>F458-F461</f>
        <v/>
      </c>
      <c r="G463" s="37">
        <f>G458-G461</f>
        <v/>
      </c>
    </row>
    <row r="464">
      <c r="A464" s="7" t="inlineStr">
        <is>
          <t>NOPAT before the profit share</t>
        </is>
      </c>
      <c r="C464" s="18">
        <f>C463*(1-Assumptions!$B$108)</f>
        <v/>
      </c>
      <c r="D464" s="18">
        <f>D463*(1-Assumptions!$B$108)</f>
        <v/>
      </c>
      <c r="E464" s="18">
        <f>E463*(1-Assumptions!$B$108)</f>
        <v/>
      </c>
      <c r="F464" s="18">
        <f>F463*(1-Assumptions!$B$108)</f>
        <v/>
      </c>
      <c r="G464" s="18">
        <f>G463*(1-Assumptions!$B$108)</f>
        <v/>
      </c>
    </row>
    <row r="465">
      <c r="A465" s="7" t="inlineStr">
        <is>
          <t xml:space="preserve">  less employees' profit share and board bonuses</t>
        </is>
      </c>
      <c r="C465" s="18">
        <f>MAX(C464,0)*'Income Statement'!$B$40</f>
        <v/>
      </c>
      <c r="D465" s="18">
        <f>MAX(D464,0)*'Income Statement'!$B$40</f>
        <v/>
      </c>
      <c r="E465" s="18">
        <f>MAX(E464,0)*'Income Statement'!$B$40</f>
        <v/>
      </c>
      <c r="F465" s="18">
        <f>MAX(F464,0)*'Income Statement'!$B$40</f>
        <v/>
      </c>
      <c r="G465" s="18">
        <f>MAX(G464,0)*'Income Statement'!$B$40</f>
        <v/>
      </c>
    </row>
    <row r="466">
      <c r="A466" s="15" t="inlineStr">
        <is>
          <t>NOPAT</t>
        </is>
      </c>
      <c r="C466" s="37">
        <f>C464-C465</f>
        <v/>
      </c>
      <c r="D466" s="37">
        <f>D464-D465</f>
        <v/>
      </c>
      <c r="E466" s="37">
        <f>E464-E465</f>
        <v/>
      </c>
      <c r="F466" s="37">
        <f>F464-F465</f>
        <v/>
      </c>
      <c r="G466" s="37">
        <f>G464-G465</f>
        <v/>
      </c>
    </row>
    <row r="467">
      <c r="A467" s="7" t="inlineStr">
        <is>
          <t>Net working capital — on days</t>
        </is>
      </c>
      <c r="C467" s="18">
        <f>'Income Statement'!$B$44*DCF!$B$9/365*C454+'Income Statement'!$B$45*DCF!$B$9/365*C453-'Income Statement'!$B$46*DCF!$B$9/365*C454</f>
        <v/>
      </c>
      <c r="D467" s="18">
        <f>'Income Statement'!$B$44*DCF!$B$9/365*D454+'Income Statement'!$B$45*DCF!$B$9/365*D453-'Income Statement'!$B$46*DCF!$B$9/365*D454</f>
        <v/>
      </c>
      <c r="E467" s="18">
        <f>'Income Statement'!$B$44*DCF!$B$9/365*E454+'Income Statement'!$B$45*DCF!$B$9/365*E453-'Income Statement'!$B$46*DCF!$B$9/365*E454</f>
        <v/>
      </c>
      <c r="F467" s="18">
        <f>'Income Statement'!$B$44*DCF!$B$9/365*F454+'Income Statement'!$B$45*DCF!$B$9/365*F453-'Income Statement'!$B$46*DCF!$B$9/365*F454</f>
        <v/>
      </c>
      <c r="G467" s="18">
        <f>'Income Statement'!$B$44*DCF!$B$9/365*G454+'Income Statement'!$B$45*DCF!$B$9/365*G453-'Income Statement'!$B$46*DCF!$B$9/365*G454</f>
        <v/>
      </c>
    </row>
    <row r="468">
      <c r="A468" s="7" t="inlineStr">
        <is>
          <t xml:space="preserve">  change in working capital</t>
        </is>
      </c>
      <c r="C468" s="18">
        <f>C467-('Income Statement'!$B$44/365*'Income Statement'!$B$21+'Income Statement'!$B$45/365*'Income Statement'!$B$19-'Income Statement'!$B$46/365*'Income Statement'!$B$21)</f>
        <v/>
      </c>
      <c r="D468" s="18">
        <f>D467-C467</f>
        <v/>
      </c>
      <c r="E468" s="18">
        <f>E467-D467</f>
        <v/>
      </c>
      <c r="F468" s="18">
        <f>F467-E467</f>
        <v/>
      </c>
      <c r="G468" s="18">
        <f>G467-F467</f>
        <v/>
      </c>
    </row>
    <row r="469">
      <c r="A469" s="15" t="inlineStr">
        <is>
          <t>FREE CASH FLOW TO THE FIRM</t>
        </is>
      </c>
      <c r="C469" s="37">
        <f>C466+C461-C459-C468</f>
        <v/>
      </c>
      <c r="D469" s="37">
        <f>D466+D461-D459-D468</f>
        <v/>
      </c>
      <c r="E469" s="37">
        <f>E466+E461-E459-E468</f>
        <v/>
      </c>
      <c r="F469" s="37">
        <f>F466+F461-F459-F468</f>
        <v/>
      </c>
      <c r="G469" s="37">
        <f>G466+G461-G459-G468</f>
        <v/>
      </c>
    </row>
    <row r="470">
      <c r="A470" s="7" t="inlineStr">
        <is>
          <t>Glide fraction</t>
        </is>
      </c>
      <c r="C470" s="23">
        <f>0.0000000000</f>
        <v/>
      </c>
      <c r="D470" s="23">
        <f>0.5166487648</f>
        <v/>
      </c>
      <c r="E470" s="23">
        <f>0.7314715360</f>
        <v/>
      </c>
      <c r="F470" s="23">
        <f>0.8925886144</f>
        <v/>
      </c>
      <c r="G470" s="23">
        <f>1.0000000000</f>
        <v/>
      </c>
    </row>
    <row r="471">
      <c r="A471" s="7" t="inlineStr">
        <is>
          <t>Forward cost of capital</t>
        </is>
      </c>
      <c r="C471" s="24">
        <f>DCF!$B$14-(DCF!$B$14-DCF!$B$17)*C470</f>
        <v/>
      </c>
      <c r="D471" s="24">
        <f>DCF!$B$14-(DCF!$B$14-DCF!$B$17)*D470</f>
        <v/>
      </c>
      <c r="E471" s="24">
        <f>DCF!$B$14-(DCF!$B$14-DCF!$B$17)*E470</f>
        <v/>
      </c>
      <c r="F471" s="24">
        <f>DCF!$B$14-(DCF!$B$14-DCF!$B$17)*F470</f>
        <v/>
      </c>
      <c r="G471" s="24">
        <f>DCF!$B$14-(DCF!$B$14-DCF!$B$17)*G470</f>
        <v/>
      </c>
    </row>
    <row r="472">
      <c r="A472" s="7" t="inlineStr">
        <is>
          <t>Cumulative discount factor</t>
        </is>
      </c>
      <c r="C472" s="40">
        <f>1/(1+C471)</f>
        <v/>
      </c>
      <c r="D472" s="40">
        <f>C472/(1+D471)</f>
        <v/>
      </c>
      <c r="E472" s="40">
        <f>D472/(1+E471)</f>
        <v/>
      </c>
      <c r="F472" s="40">
        <f>E472/(1+F471)</f>
        <v/>
      </c>
      <c r="G472" s="40">
        <f>F472/(1+G471)</f>
        <v/>
      </c>
    </row>
    <row r="473">
      <c r="A473" s="7" t="inlineStr">
        <is>
          <t>Present value</t>
        </is>
      </c>
      <c r="C473" s="18">
        <f>C469*C472</f>
        <v/>
      </c>
      <c r="D473" s="18">
        <f>D469*D472</f>
        <v/>
      </c>
      <c r="E473" s="18">
        <f>E469*E472</f>
        <v/>
      </c>
      <c r="F473" s="18">
        <f>F469*F472</f>
        <v/>
      </c>
      <c r="G473" s="18">
        <f>G469*G472</f>
        <v/>
      </c>
    </row>
    <row r="474">
      <c r="A474" s="15" t="inlineStr">
        <is>
          <t>PV of the explicit window</t>
        </is>
      </c>
      <c r="B474" s="37">
        <f>SUM(C473:G473)</f>
        <v/>
      </c>
      <c r="C474" s="18">
        <f>C467+C460</f>
        <v/>
      </c>
      <c r="D474" s="18">
        <f>D467+D460</f>
        <v/>
      </c>
      <c r="E474" s="18">
        <f>E467+E460</f>
        <v/>
      </c>
      <c r="F474" s="18">
        <f>F467+F460</f>
        <v/>
      </c>
      <c r="G474" s="18">
        <f>G467+G460</f>
        <v/>
      </c>
    </row>
    <row r="475">
      <c r="A475" s="7" t="inlineStr">
        <is>
          <t>Terminal return on invested capital, at REPLACEMENT cost</t>
        </is>
      </c>
      <c r="B475" s="24">
        <f>G466*(1+Assumptions!$B$110)/G474</f>
        <v/>
      </c>
    </row>
    <row r="476">
      <c r="A476" s="7" t="inlineStr">
        <is>
          <t>Required reinvestment = growth / return</t>
        </is>
      </c>
      <c r="B476" s="24">
        <f>MIN(Assumptions!$B$110/B475,0.95)</f>
        <v/>
      </c>
    </row>
    <row r="477">
      <c r="A477" s="7" t="inlineStr">
        <is>
          <t>Terminal value</t>
        </is>
      </c>
      <c r="B477" s="18">
        <f>G466*(1+Assumptions!$B$110)*(1-B476)/MAX(DCF!$B$17-Assumptions!$B$110,0.02)</f>
        <v/>
      </c>
    </row>
    <row r="478">
      <c r="A478" s="7" t="inlineStr">
        <is>
          <t>PV of the terminal block</t>
        </is>
      </c>
      <c r="B478" s="18">
        <f>B477*G472</f>
        <v/>
      </c>
    </row>
    <row r="479">
      <c r="A479" s="15" t="inlineStr">
        <is>
          <t>ENTERPRISE VALUE</t>
        </is>
      </c>
      <c r="B479" s="37">
        <f>B474+B478</f>
        <v/>
      </c>
    </row>
    <row r="480">
      <c r="A480" s="7" t="inlineStr">
        <is>
          <t>plus net cash</t>
        </is>
      </c>
      <c r="B480" s="18">
        <f>(Assumptions!$B$100-Assumptions!$B$103-Assumptions!$B$104)/10^6</f>
        <v/>
      </c>
    </row>
    <row r="481">
      <c r="A481" s="7" t="inlineStr">
        <is>
          <t>Enterprise value including cash</t>
        </is>
      </c>
      <c r="B481" s="18">
        <f>B479+B480</f>
        <v/>
      </c>
    </row>
    <row r="482">
      <c r="A482" s="7" t="inlineStr">
        <is>
          <t>less minority — on the WHOLE enterprise, cash included</t>
        </is>
      </c>
      <c r="B482" s="18">
        <f>B481*'Income Statement'!$B$41</f>
        <v/>
      </c>
    </row>
    <row r="483">
      <c r="A483" s="7" t="inlineStr">
        <is>
          <t>less the tax-disputes provision</t>
        </is>
      </c>
      <c r="B483" s="18">
        <f>Assumptions!$B$99/10^6</f>
        <v/>
      </c>
    </row>
    <row r="484">
      <c r="A484" s="7" t="inlineStr">
        <is>
          <t>less dividends payable — declared, out of working capital</t>
        </is>
      </c>
      <c r="B484" s="18">
        <f>Assumptions!$B$98/10^6</f>
        <v/>
      </c>
    </row>
    <row r="485">
      <c r="A485" s="7" t="inlineStr">
        <is>
          <t>plus non-operating investments and pledged deposits</t>
        </is>
      </c>
      <c r="B485" s="18">
        <f>(Assumptions!$B$102+Assumptions!$B$101)/10^6</f>
        <v/>
      </c>
    </row>
    <row r="486">
      <c r="A486" s="15" t="inlineStr">
        <is>
          <t>EQUITY ATTRIBUTABLE</t>
        </is>
      </c>
      <c r="B486" s="37">
        <f>B481-B482-B483-B484+B485</f>
        <v/>
      </c>
    </row>
    <row r="487">
      <c r="A487" s="15" t="inlineStr">
        <is>
          <t>VALUE PER SHARE, EGP</t>
        </is>
      </c>
      <c r="B487" s="22">
        <f>B486/Assumptions!$B$8</f>
        <v/>
      </c>
    </row>
    <row r="490">
      <c r="A490" s="6" t="inlineStr">
        <is>
          <t>Volume growth path, as a multiple of the assumed path — +6.0%</t>
        </is>
      </c>
      <c r="B490" s="6" t="inlineStr">
        <is>
          <t>2026E</t>
        </is>
      </c>
      <c r="C490" s="6" t="inlineStr">
        <is>
          <t>2027E</t>
        </is>
      </c>
      <c r="D490" s="6" t="inlineStr">
        <is>
          <t>2028E</t>
        </is>
      </c>
      <c r="E490" s="6" t="inlineStr">
        <is>
          <t>2029E</t>
        </is>
      </c>
      <c r="F490" s="6" t="inlineStr">
        <is>
          <t>2030E</t>
        </is>
      </c>
    </row>
    <row r="491">
      <c r="A491" s="7" t="inlineStr">
        <is>
          <t>Inflation index, cumulative</t>
        </is>
      </c>
      <c r="C491" s="23">
        <f>Assumptions!$B$167</f>
        <v/>
      </c>
      <c r="D491" s="23">
        <f>C491*Assumptions!$B$168</f>
        <v/>
      </c>
      <c r="E491" s="23">
        <f>D491*Assumptions!$B$169</f>
        <v/>
      </c>
      <c r="F491" s="23">
        <f>E491*Assumptions!$B$170</f>
        <v/>
      </c>
      <c r="G491" s="23">
        <f>F491*Assumptions!$B$171</f>
        <v/>
      </c>
    </row>
    <row r="492">
      <c r="A492" s="7" t="inlineStr">
        <is>
          <t>Realisation index, cumulative</t>
        </is>
      </c>
      <c r="C492" s="23">
        <f>(1+Assumptions!$B$122*DCF!$B$8)</f>
        <v/>
      </c>
      <c r="D492" s="23">
        <f>C492*(1+Assumptions!$B$123*DCF!$B$8)</f>
        <v/>
      </c>
      <c r="E492" s="23">
        <f>D492*(1+Assumptions!$B$124*DCF!$B$8)</f>
        <v/>
      </c>
      <c r="F492" s="23">
        <f>E492*(1+Assumptions!$B$125*DCF!$B$8)</f>
        <v/>
      </c>
      <c r="G492" s="23">
        <f>F492*(1+Assumptions!$B$126*DCF!$B$8)</f>
        <v/>
      </c>
    </row>
    <row r="493">
      <c r="A493" s="7" t="inlineStr">
        <is>
          <t xml:space="preserve">  Volume — Base and special oils, mn t</t>
        </is>
      </c>
      <c r="C493" s="23">
        <f>'Segments'!E6*(1+Assumptions!$B$127+$B$17)</f>
        <v/>
      </c>
      <c r="D493" s="23">
        <f>C493*(1+Assumptions!$B$128+$B$17)</f>
        <v/>
      </c>
      <c r="E493" s="23">
        <f>D493*(1+Assumptions!$B$129+$B$17)</f>
        <v/>
      </c>
      <c r="F493" s="23">
        <f>E493*(1+Assumptions!$B$130+$B$17)</f>
        <v/>
      </c>
      <c r="G493" s="23">
        <f>F493*(1+Assumptions!$B$131+$B$17)</f>
        <v/>
      </c>
    </row>
    <row r="494">
      <c r="A494" s="7" t="inlineStr">
        <is>
          <t xml:space="preserve">  Volume — Paraffin wax, mn t</t>
        </is>
      </c>
      <c r="C494" s="23">
        <f>'Segments'!E7*(1+Assumptions!$B$132+$B$17)</f>
        <v/>
      </c>
      <c r="D494" s="23">
        <f>C494*(1+Assumptions!$B$133+$B$17)</f>
        <v/>
      </c>
      <c r="E494" s="23">
        <f>D494*(1+Assumptions!$B$134+$B$17)</f>
        <v/>
      </c>
      <c r="F494" s="23">
        <f>E494*(1+Assumptions!$B$135+$B$17)</f>
        <v/>
      </c>
      <c r="G494" s="23">
        <f>F494*(1+Assumptions!$B$136+$B$17)</f>
        <v/>
      </c>
    </row>
    <row r="495">
      <c r="A495" s="7" t="inlineStr">
        <is>
          <t xml:space="preserve">  Volume — Gas oil, mn t</t>
        </is>
      </c>
      <c r="C495" s="23">
        <f>'Segments'!E8*(1+Assumptions!$B$137+$B$17)</f>
        <v/>
      </c>
      <c r="D495" s="23">
        <f>C495*(1+Assumptions!$B$138+$B$17)</f>
        <v/>
      </c>
      <c r="E495" s="23">
        <f>D495*(1+Assumptions!$B$139+$B$17)</f>
        <v/>
      </c>
      <c r="F495" s="23">
        <f>E495*(1+Assumptions!$B$140+$B$17)</f>
        <v/>
      </c>
      <c r="G495" s="23">
        <f>F495*(1+Assumptions!$B$141+$B$17)</f>
        <v/>
      </c>
    </row>
    <row r="496">
      <c r="A496" s="7" t="inlineStr">
        <is>
          <t xml:space="preserve">  Volume — Naphtha, mn t</t>
        </is>
      </c>
      <c r="C496" s="23">
        <f>'Segments'!E9*(1+Assumptions!$B$142+$B$17)</f>
        <v/>
      </c>
      <c r="D496" s="23">
        <f>C496*(1+Assumptions!$B$143+$B$17)</f>
        <v/>
      </c>
      <c r="E496" s="23">
        <f>D496*(1+Assumptions!$B$144+$B$17)</f>
        <v/>
      </c>
      <c r="F496" s="23">
        <f>E496*(1+Assumptions!$B$145+$B$17)</f>
        <v/>
      </c>
      <c r="G496" s="23">
        <f>F496*(1+Assumptions!$B$146+$B$17)</f>
        <v/>
      </c>
    </row>
    <row r="497">
      <c r="A497" s="7" t="inlineStr">
        <is>
          <t xml:space="preserve">  Volume — Liquefied petroleum gas, mn t</t>
        </is>
      </c>
      <c r="C497" s="23">
        <f>'Segments'!E10*(1+Assumptions!$B$147+$B$17)</f>
        <v/>
      </c>
      <c r="D497" s="23">
        <f>C497*(1+Assumptions!$B$148+$B$17)</f>
        <v/>
      </c>
      <c r="E497" s="23">
        <f>D497*(1+Assumptions!$B$149+$B$17)</f>
        <v/>
      </c>
      <c r="F497" s="23">
        <f>E497*(1+Assumptions!$B$150+$B$17)</f>
        <v/>
      </c>
      <c r="G497" s="23">
        <f>F497*(1+Assumptions!$B$151+$B$17)</f>
        <v/>
      </c>
    </row>
    <row r="498">
      <c r="A498" s="7" t="inlineStr">
        <is>
          <t xml:space="preserve">  Volume — Fuel oil (mix), mn t</t>
        </is>
      </c>
      <c r="C498" s="23">
        <f>'Segments'!E11*(1+Assumptions!$B$152+$B$17)</f>
        <v/>
      </c>
      <c r="D498" s="23">
        <f>C498*(1+Assumptions!$B$153+$B$17)</f>
        <v/>
      </c>
      <c r="E498" s="23">
        <f>D498*(1+Assumptions!$B$154+$B$17)</f>
        <v/>
      </c>
      <c r="F498" s="23">
        <f>E498*(1+Assumptions!$B$155+$B$17)</f>
        <v/>
      </c>
      <c r="G498" s="23">
        <f>F498*(1+Assumptions!$B$156+$B$17)</f>
        <v/>
      </c>
    </row>
    <row r="499">
      <c r="A499" s="7" t="inlineStr">
        <is>
          <t xml:space="preserve">  Volume — Heavy fuel oil, mn t</t>
        </is>
      </c>
      <c r="C499" s="23">
        <f>'Segments'!E12*(1+Assumptions!$B$157+$B$17)</f>
        <v/>
      </c>
      <c r="D499" s="23">
        <f>C499*(1+Assumptions!$B$158+$B$17)</f>
        <v/>
      </c>
      <c r="E499" s="23">
        <f>D499*(1+Assumptions!$B$159+$B$17)</f>
        <v/>
      </c>
      <c r="F499" s="23">
        <f>E499*(1+Assumptions!$B$160+$B$17)</f>
        <v/>
      </c>
      <c r="G499" s="23">
        <f>F499*(1+Assumptions!$B$161+$B$17)</f>
        <v/>
      </c>
    </row>
    <row r="500">
      <c r="A500" s="7" t="inlineStr">
        <is>
          <t xml:space="preserve">  Volume — Waste, mn t</t>
        </is>
      </c>
      <c r="C500" s="23">
        <f>'Segments'!E13*(1+Assumptions!$B$162+$B$17)</f>
        <v/>
      </c>
      <c r="D500" s="23">
        <f>C500*(1+Assumptions!$B$163+$B$17)</f>
        <v/>
      </c>
      <c r="E500" s="23">
        <f>D500*(1+Assumptions!$B$164+$B$17)</f>
        <v/>
      </c>
      <c r="F500" s="23">
        <f>E500*(1+Assumptions!$B$165+$B$17)</f>
        <v/>
      </c>
      <c r="G500" s="23">
        <f>F500*(1+Assumptions!$B$166+$B$17)</f>
        <v/>
      </c>
    </row>
    <row r="501">
      <c r="A501" s="15" t="inlineStr">
        <is>
          <t>Total volume, mn t</t>
        </is>
      </c>
      <c r="C501" s="36">
        <f>SUM(C493:C500)</f>
        <v/>
      </c>
      <c r="D501" s="36">
        <f>SUM(D493:D500)</f>
        <v/>
      </c>
      <c r="E501" s="36">
        <f>SUM(E493:E500)</f>
        <v/>
      </c>
      <c r="F501" s="36">
        <f>SUM(F493:F500)</f>
        <v/>
      </c>
      <c r="G501" s="36">
        <f>SUM(G493:G500)</f>
        <v/>
      </c>
    </row>
    <row r="502">
      <c r="A502" s="15" t="inlineStr">
        <is>
          <t>REVENUE</t>
        </is>
      </c>
      <c r="C502" s="37">
        <f>C493*'Segments'!$F$6*C492+C494*'Segments'!$F$7*C492+C495*'Segments'!$F$8*C492+C496*'Segments'!$F$9*C492+C497*'Segments'!$F$10*C492+C498*'Segments'!$F$11*C492+C499*'Segments'!$F$12*C492+C500*'Segments'!$F$13*C492</f>
        <v/>
      </c>
      <c r="D502" s="37">
        <f>D493*'Segments'!$F$6*D492+D494*'Segments'!$F$7*D492+D495*'Segments'!$F$8*D492+D496*'Segments'!$F$9*D492+D497*'Segments'!$F$10*D492+D498*'Segments'!$F$11*D492+D499*'Segments'!$F$12*D492+D500*'Segments'!$F$13*D492</f>
        <v/>
      </c>
      <c r="E502" s="37">
        <f>E493*'Segments'!$F$6*E492+E494*'Segments'!$F$7*E492+E495*'Segments'!$F$8*E492+E496*'Segments'!$F$9*E492+E497*'Segments'!$F$10*E492+E498*'Segments'!$F$11*E492+E499*'Segments'!$F$12*E492+E500*'Segments'!$F$13*E492</f>
        <v/>
      </c>
      <c r="F502" s="37">
        <f>F493*'Segments'!$F$6*F492+F494*'Segments'!$F$7*F492+F495*'Segments'!$F$8*F492+F496*'Segments'!$F$9*F492+F497*'Segments'!$F$10*F492+F498*'Segments'!$F$11*F492+F499*'Segments'!$F$12*F492+F500*'Segments'!$F$13*F492</f>
        <v/>
      </c>
      <c r="G502" s="37">
        <f>G493*'Segments'!$F$6*G492+G494*'Segments'!$F$7*G492+G495*'Segments'!$F$8*G492+G496*'Segments'!$F$9*G492+G497*'Segments'!$F$10*G492+G498*'Segments'!$F$11*G492+G499*'Segments'!$F$12*G492+G500*'Segments'!$F$13*G492</f>
        <v/>
      </c>
    </row>
    <row r="503">
      <c r="A503" s="7" t="inlineStr">
        <is>
          <t>Cost of sales</t>
        </is>
      </c>
      <c r="C503" s="18">
        <f>C493*('Segments'!$D$27*C492*Assumptions!$B$109+'Segments'!$B$27*(0.4983251709*C492+0.4357405005*C492+0.0330936548*C492+0.0328406739))+C494*('Segments'!$D$28*C492*Assumptions!$B$109+'Segments'!$B$28*(0.4983251709*C492+0.4357405005*C492+0.0330936548*C492+0.0328406739))+C495*('Segments'!$D$29*C492*Assumptions!$B$109+'Segments'!$B$29*(0.4983251709*C492+0.4357405005*C492+0.0330936548*C492+0.0328406739))+C496*('Segments'!$D$30*C492*Assumptions!$B$109+'Segments'!$B$30*(0.4983251709*C492+0.4357405005*C492+0.0330936548*C492+0.0328406739))+C497*('Segments'!$D$31*C492*Assumptions!$B$109+'Segments'!$B$31*(0.4983251709*C492+0.4357405005*C492+0.0330936548*C492+0.0328406739))+C498*('Segments'!$D$32*C492*Assumptions!$B$109+'Segments'!$B$32*(0.4983251709*C492+0.4357405005*C492+0.0330936548*C492+0.0328406739))+C499*('Segments'!$D$33*C492*Assumptions!$B$109+'Segments'!$B$33*(0.4983251709*C492+0.4357405005*C492+0.0330936548*C492+0.0328406739))+C500*('Segments'!$D$34*C492*Assumptions!$B$109+'Segments'!$B$34*(0.4983251709*C492+0.4357405005*C492+0.0330936548*C492+0.0328406739))</f>
        <v/>
      </c>
      <c r="D503" s="18">
        <f>D493*('Segments'!$D$27*D492*Assumptions!$B$109+'Segments'!$B$27*(0.4983251709*D492+0.4357405005*D492+0.0330936548*D492+0.0328406739))+D494*('Segments'!$D$28*D492*Assumptions!$B$109+'Segments'!$B$28*(0.4983251709*D492+0.4357405005*D492+0.0330936548*D492+0.0328406739))+D495*('Segments'!$D$29*D492*Assumptions!$B$109+'Segments'!$B$29*(0.4983251709*D492+0.4357405005*D492+0.0330936548*D492+0.0328406739))+D496*('Segments'!$D$30*D492*Assumptions!$B$109+'Segments'!$B$30*(0.4983251709*D492+0.4357405005*D492+0.0330936548*D492+0.0328406739))+D497*('Segments'!$D$31*D492*Assumptions!$B$109+'Segments'!$B$31*(0.4983251709*D492+0.4357405005*D492+0.0330936548*D492+0.0328406739))+D498*('Segments'!$D$32*D492*Assumptions!$B$109+'Segments'!$B$32*(0.4983251709*D492+0.4357405005*D492+0.0330936548*D492+0.0328406739))+D499*('Segments'!$D$33*D492*Assumptions!$B$109+'Segments'!$B$33*(0.4983251709*D492+0.4357405005*D492+0.0330936548*D492+0.0328406739))+D500*('Segments'!$D$34*D492*Assumptions!$B$109+'Segments'!$B$34*(0.4983251709*D492+0.4357405005*D492+0.0330936548*D492+0.0328406739))</f>
        <v/>
      </c>
      <c r="E503" s="18">
        <f>E493*('Segments'!$D$27*E492*Assumptions!$B$109+'Segments'!$B$27*(0.4983251709*E492+0.4357405005*E492+0.0330936548*E492+0.0328406739))+E494*('Segments'!$D$28*E492*Assumptions!$B$109+'Segments'!$B$28*(0.4983251709*E492+0.4357405005*E492+0.0330936548*E492+0.0328406739))+E495*('Segments'!$D$29*E492*Assumptions!$B$109+'Segments'!$B$29*(0.4983251709*E492+0.4357405005*E492+0.0330936548*E492+0.0328406739))+E496*('Segments'!$D$30*E492*Assumptions!$B$109+'Segments'!$B$30*(0.4983251709*E492+0.4357405005*E492+0.0330936548*E492+0.0328406739))+E497*('Segments'!$D$31*E492*Assumptions!$B$109+'Segments'!$B$31*(0.4983251709*E492+0.4357405005*E492+0.0330936548*E492+0.0328406739))+E498*('Segments'!$D$32*E492*Assumptions!$B$109+'Segments'!$B$32*(0.4983251709*E492+0.4357405005*E492+0.0330936548*E492+0.0328406739))+E499*('Segments'!$D$33*E492*Assumptions!$B$109+'Segments'!$B$33*(0.4983251709*E492+0.4357405005*E492+0.0330936548*E492+0.0328406739))+E500*('Segments'!$D$34*E492*Assumptions!$B$109+'Segments'!$B$34*(0.4983251709*E492+0.4357405005*E492+0.0330936548*E492+0.0328406739))</f>
        <v/>
      </c>
      <c r="F503" s="18">
        <f>F493*('Segments'!$D$27*F492*Assumptions!$B$109+'Segments'!$B$27*(0.4983251709*F492+0.4357405005*F492+0.0330936548*F492+0.0328406739))+F494*('Segments'!$D$28*F492*Assumptions!$B$109+'Segments'!$B$28*(0.4983251709*F492+0.4357405005*F492+0.0330936548*F492+0.0328406739))+F495*('Segments'!$D$29*F492*Assumptions!$B$109+'Segments'!$B$29*(0.4983251709*F492+0.4357405005*F492+0.0330936548*F492+0.0328406739))+F496*('Segments'!$D$30*F492*Assumptions!$B$109+'Segments'!$B$30*(0.4983251709*F492+0.4357405005*F492+0.0330936548*F492+0.0328406739))+F497*('Segments'!$D$31*F492*Assumptions!$B$109+'Segments'!$B$31*(0.4983251709*F492+0.4357405005*F492+0.0330936548*F492+0.0328406739))+F498*('Segments'!$D$32*F492*Assumptions!$B$109+'Segments'!$B$32*(0.4983251709*F492+0.4357405005*F492+0.0330936548*F492+0.0328406739))+F499*('Segments'!$D$33*F492*Assumptions!$B$109+'Segments'!$B$33*(0.4983251709*F492+0.4357405005*F492+0.0330936548*F492+0.0328406739))+F500*('Segments'!$D$34*F492*Assumptions!$B$109+'Segments'!$B$34*(0.4983251709*F492+0.4357405005*F492+0.0330936548*F492+0.0328406739))</f>
        <v/>
      </c>
      <c r="G503" s="18">
        <f>G493*('Segments'!$D$27*G492*Assumptions!$B$109+'Segments'!$B$27*(0.4983251709*G492+0.4357405005*G492+0.0330936548*G492+0.0328406739))+G494*('Segments'!$D$28*G492*Assumptions!$B$109+'Segments'!$B$28*(0.4983251709*G492+0.4357405005*G492+0.0330936548*G492+0.0328406739))+G495*('Segments'!$D$29*G492*Assumptions!$B$109+'Segments'!$B$29*(0.4983251709*G492+0.4357405005*G492+0.0330936548*G492+0.0328406739))+G496*('Segments'!$D$30*G492*Assumptions!$B$109+'Segments'!$B$30*(0.4983251709*G492+0.4357405005*G492+0.0330936548*G492+0.0328406739))+G497*('Segments'!$D$31*G492*Assumptions!$B$109+'Segments'!$B$31*(0.4983251709*G492+0.4357405005*G492+0.0330936548*G492+0.0328406739))+G498*('Segments'!$D$32*G492*Assumptions!$B$109+'Segments'!$B$32*(0.4983251709*G492+0.4357405005*G492+0.0330936548*G492+0.0328406739))+G499*('Segments'!$D$33*G492*Assumptions!$B$109+'Segments'!$B$33*(0.4983251709*G492+0.4357405005*G492+0.0330936548*G492+0.0328406739))+G500*('Segments'!$D$34*G492*Assumptions!$B$109+'Segments'!$B$34*(0.4983251709*G492+0.4357405005*G492+0.0330936548*G492+0.0328406739))</f>
        <v/>
      </c>
    </row>
    <row r="504">
      <c r="A504" s="15" t="inlineStr">
        <is>
          <t>GROSS PROFIT</t>
        </is>
      </c>
      <c r="C504" s="37">
        <f>C502-C503+DCF!$B$7*C502</f>
        <v/>
      </c>
      <c r="D504" s="37">
        <f>D502-D503+DCF!$B$7*D502</f>
        <v/>
      </c>
      <c r="E504" s="37">
        <f>E502-E503+DCF!$B$7*E502</f>
        <v/>
      </c>
      <c r="F504" s="37">
        <f>F502-F503+DCF!$B$7*F502</f>
        <v/>
      </c>
      <c r="G504" s="37">
        <f>G502-G503+DCF!$B$7*G502</f>
        <v/>
      </c>
    </row>
    <row r="505">
      <c r="A505" s="7" t="inlineStr">
        <is>
          <t>Gross margin</t>
        </is>
      </c>
      <c r="C505" s="24">
        <f>C504/C502</f>
        <v/>
      </c>
      <c r="D505" s="24">
        <f>D504/D502</f>
        <v/>
      </c>
      <c r="E505" s="24">
        <f>E504/E502</f>
        <v/>
      </c>
      <c r="F505" s="24">
        <f>F504/F502</f>
        <v/>
      </c>
      <c r="G505" s="24">
        <f>G504/G502</f>
        <v/>
      </c>
    </row>
    <row r="506">
      <c r="A506" s="7" t="inlineStr">
        <is>
          <t>Operating expense</t>
        </is>
      </c>
      <c r="C506" s="18">
        <f>('Income Statement'!$B$28*C491)+('Income Statement'!$B$29*C491*C501/'Segments'!$E$14)+('Income Statement'!$B$30*C491)+('Income Statement'!$B$31*C491)</f>
        <v/>
      </c>
      <c r="D506" s="18">
        <f>('Income Statement'!$B$28*D491)+('Income Statement'!$B$29*D491*D501/'Segments'!$E$14)+('Income Statement'!$B$30*D491)+('Income Statement'!$B$31*D491)</f>
        <v/>
      </c>
      <c r="E506" s="18">
        <f>('Income Statement'!$B$28*E491)+('Income Statement'!$B$29*E491*E501/'Segments'!$E$14)+('Income Statement'!$B$30*E491)+('Income Statement'!$B$31*E491)</f>
        <v/>
      </c>
      <c r="F506" s="18">
        <f>('Income Statement'!$B$28*F491)+('Income Statement'!$B$29*F491*F501/'Segments'!$E$14)+('Income Statement'!$B$30*F491)+('Income Statement'!$B$31*F491)</f>
        <v/>
      </c>
      <c r="G506" s="18">
        <f>('Income Statement'!$B$28*G491)+('Income Statement'!$B$29*G491*G501/'Segments'!$E$14)+('Income Statement'!$B$30*G491)+('Income Statement'!$B$31*G491)</f>
        <v/>
      </c>
    </row>
    <row r="507">
      <c r="A507" s="15" t="inlineStr">
        <is>
          <t>EBITDA</t>
        </is>
      </c>
      <c r="C507" s="37">
        <f>C504-C506</f>
        <v/>
      </c>
      <c r="D507" s="37">
        <f>D504-D506</f>
        <v/>
      </c>
      <c r="E507" s="37">
        <f>E504-E506</f>
        <v/>
      </c>
      <c r="F507" s="37">
        <f>F504-F506</f>
        <v/>
      </c>
      <c r="G507" s="37">
        <f>G504-G506</f>
        <v/>
      </c>
    </row>
    <row r="508">
      <c r="A508" s="7" t="inlineStr">
        <is>
          <t>Capital expenditure — maintenance + growth</t>
        </is>
      </c>
      <c r="C508" s="18">
        <f>'Income Statement'!$B$43*C491+MAX(C501-'Segments'!$E$14,0)*2100.379938*C491</f>
        <v/>
      </c>
      <c r="D508" s="18">
        <f>'Income Statement'!$B$43*D491+MAX(D501-C501,0)*2100.379938*D491</f>
        <v/>
      </c>
      <c r="E508" s="18">
        <f>'Income Statement'!$B$43*E491+MAX(E501-D501,0)*2100.379938*E491</f>
        <v/>
      </c>
      <c r="F508" s="18">
        <f>'Income Statement'!$B$43*F491+MAX(F501-E501,0)*2100.379938*F491</f>
        <v/>
      </c>
      <c r="G508" s="18">
        <f>'Income Statement'!$B$43*G491+MAX(G501-F501,0)*2100.379938*G491</f>
        <v/>
      </c>
    </row>
    <row r="509">
      <c r="A509" s="7" t="inlineStr">
        <is>
          <t>Fixed assets at cost, closing</t>
        </is>
      </c>
      <c r="C509" s="18">
        <f>(Assumptions!$B$91+Assumptions!$B$92)/10^6+C508</f>
        <v/>
      </c>
      <c r="D509" s="18">
        <f>C509+D508</f>
        <v/>
      </c>
      <c r="E509" s="18">
        <f>D509+E508</f>
        <v/>
      </c>
      <c r="F509" s="18">
        <f>E509+F508</f>
        <v/>
      </c>
      <c r="G509" s="18">
        <f>F509+G508</f>
        <v/>
      </c>
    </row>
    <row r="510">
      <c r="A510" s="7" t="inlineStr">
        <is>
          <t>Depreciation — rolls off the asset register</t>
        </is>
      </c>
      <c r="C510" s="18">
        <f>(Assumptions!$B$91+Assumptions!$B$92)/10^6/'Income Statement'!$B$42</f>
        <v/>
      </c>
      <c r="D510" s="18">
        <f>C509/'Income Statement'!$B$42</f>
        <v/>
      </c>
      <c r="E510" s="18">
        <f>D509/'Income Statement'!$B$42</f>
        <v/>
      </c>
      <c r="F510" s="18">
        <f>E509/'Income Statement'!$B$42</f>
        <v/>
      </c>
      <c r="G510" s="18">
        <f>F509/'Income Statement'!$B$42</f>
        <v/>
      </c>
    </row>
    <row r="511">
      <c r="A511" s="7" t="inlineStr">
        <is>
          <t>Fixed assets, net book, closing</t>
        </is>
      </c>
      <c r="C511" s="18">
        <f>(Assumptions!$B$90+Assumptions!$B$92)/10^6+C508-C510</f>
        <v/>
      </c>
      <c r="D511" s="18">
        <f>C511+D508-D510</f>
        <v/>
      </c>
      <c r="E511" s="18">
        <f>D511+E508-E510</f>
        <v/>
      </c>
      <c r="F511" s="18">
        <f>E511+F508-F510</f>
        <v/>
      </c>
      <c r="G511" s="18">
        <f>F511+G508-G510</f>
        <v/>
      </c>
    </row>
    <row r="512">
      <c r="A512" s="15" t="inlineStr">
        <is>
          <t>EBIT</t>
        </is>
      </c>
      <c r="C512" s="37">
        <f>C507-C510</f>
        <v/>
      </c>
      <c r="D512" s="37">
        <f>D507-D510</f>
        <v/>
      </c>
      <c r="E512" s="37">
        <f>E507-E510</f>
        <v/>
      </c>
      <c r="F512" s="37">
        <f>F507-F510</f>
        <v/>
      </c>
      <c r="G512" s="37">
        <f>G507-G510</f>
        <v/>
      </c>
    </row>
    <row r="513">
      <c r="A513" s="7" t="inlineStr">
        <is>
          <t>NOPAT before the profit share</t>
        </is>
      </c>
      <c r="C513" s="18">
        <f>C512*(1-Assumptions!$B$108)</f>
        <v/>
      </c>
      <c r="D513" s="18">
        <f>D512*(1-Assumptions!$B$108)</f>
        <v/>
      </c>
      <c r="E513" s="18">
        <f>E512*(1-Assumptions!$B$108)</f>
        <v/>
      </c>
      <c r="F513" s="18">
        <f>F512*(1-Assumptions!$B$108)</f>
        <v/>
      </c>
      <c r="G513" s="18">
        <f>G512*(1-Assumptions!$B$108)</f>
        <v/>
      </c>
    </row>
    <row r="514">
      <c r="A514" s="7" t="inlineStr">
        <is>
          <t xml:space="preserve">  less employees' profit share and board bonuses</t>
        </is>
      </c>
      <c r="C514" s="18">
        <f>MAX(C513,0)*'Income Statement'!$B$40</f>
        <v/>
      </c>
      <c r="D514" s="18">
        <f>MAX(D513,0)*'Income Statement'!$B$40</f>
        <v/>
      </c>
      <c r="E514" s="18">
        <f>MAX(E513,0)*'Income Statement'!$B$40</f>
        <v/>
      </c>
      <c r="F514" s="18">
        <f>MAX(F513,0)*'Income Statement'!$B$40</f>
        <v/>
      </c>
      <c r="G514" s="18">
        <f>MAX(G513,0)*'Income Statement'!$B$40</f>
        <v/>
      </c>
    </row>
    <row r="515">
      <c r="A515" s="15" t="inlineStr">
        <is>
          <t>NOPAT</t>
        </is>
      </c>
      <c r="C515" s="37">
        <f>C513-C514</f>
        <v/>
      </c>
      <c r="D515" s="37">
        <f>D513-D514</f>
        <v/>
      </c>
      <c r="E515" s="37">
        <f>E513-E514</f>
        <v/>
      </c>
      <c r="F515" s="37">
        <f>F513-F514</f>
        <v/>
      </c>
      <c r="G515" s="37">
        <f>G513-G514</f>
        <v/>
      </c>
    </row>
    <row r="516">
      <c r="A516" s="7" t="inlineStr">
        <is>
          <t>Net working capital — on days</t>
        </is>
      </c>
      <c r="C516" s="18">
        <f>'Income Statement'!$B$44*DCF!$B$9/365*C503+'Income Statement'!$B$45*DCF!$B$9/365*C502-'Income Statement'!$B$46*DCF!$B$9/365*C503</f>
        <v/>
      </c>
      <c r="D516" s="18">
        <f>'Income Statement'!$B$44*DCF!$B$9/365*D503+'Income Statement'!$B$45*DCF!$B$9/365*D502-'Income Statement'!$B$46*DCF!$B$9/365*D503</f>
        <v/>
      </c>
      <c r="E516" s="18">
        <f>'Income Statement'!$B$44*DCF!$B$9/365*E503+'Income Statement'!$B$45*DCF!$B$9/365*E502-'Income Statement'!$B$46*DCF!$B$9/365*E503</f>
        <v/>
      </c>
      <c r="F516" s="18">
        <f>'Income Statement'!$B$44*DCF!$B$9/365*F503+'Income Statement'!$B$45*DCF!$B$9/365*F502-'Income Statement'!$B$46*DCF!$B$9/365*F503</f>
        <v/>
      </c>
      <c r="G516" s="18">
        <f>'Income Statement'!$B$44*DCF!$B$9/365*G503+'Income Statement'!$B$45*DCF!$B$9/365*G502-'Income Statement'!$B$46*DCF!$B$9/365*G503</f>
        <v/>
      </c>
    </row>
    <row r="517">
      <c r="A517" s="7" t="inlineStr">
        <is>
          <t xml:space="preserve">  change in working capital</t>
        </is>
      </c>
      <c r="C517" s="18">
        <f>C516-('Income Statement'!$B$44/365*'Income Statement'!$B$21+'Income Statement'!$B$45/365*'Income Statement'!$B$19-'Income Statement'!$B$46/365*'Income Statement'!$B$21)</f>
        <v/>
      </c>
      <c r="D517" s="18">
        <f>D516-C516</f>
        <v/>
      </c>
      <c r="E517" s="18">
        <f>E516-D516</f>
        <v/>
      </c>
      <c r="F517" s="18">
        <f>F516-E516</f>
        <v/>
      </c>
      <c r="G517" s="18">
        <f>G516-F516</f>
        <v/>
      </c>
    </row>
    <row r="518">
      <c r="A518" s="15" t="inlineStr">
        <is>
          <t>FREE CASH FLOW TO THE FIRM</t>
        </is>
      </c>
      <c r="C518" s="37">
        <f>C515+C510-C508-C517</f>
        <v/>
      </c>
      <c r="D518" s="37">
        <f>D515+D510-D508-D517</f>
        <v/>
      </c>
      <c r="E518" s="37">
        <f>E515+E510-E508-E517</f>
        <v/>
      </c>
      <c r="F518" s="37">
        <f>F515+F510-F508-F517</f>
        <v/>
      </c>
      <c r="G518" s="37">
        <f>G515+G510-G508-G517</f>
        <v/>
      </c>
    </row>
    <row r="519">
      <c r="A519" s="7" t="inlineStr">
        <is>
          <t>Glide fraction</t>
        </is>
      </c>
      <c r="C519" s="23">
        <f>0.0000000000</f>
        <v/>
      </c>
      <c r="D519" s="23">
        <f>0.5166487648</f>
        <v/>
      </c>
      <c r="E519" s="23">
        <f>0.7314715360</f>
        <v/>
      </c>
      <c r="F519" s="23">
        <f>0.8925886144</f>
        <v/>
      </c>
      <c r="G519" s="23">
        <f>1.0000000000</f>
        <v/>
      </c>
    </row>
    <row r="520">
      <c r="A520" s="7" t="inlineStr">
        <is>
          <t>Forward cost of capital</t>
        </is>
      </c>
      <c r="C520" s="24">
        <f>DCF!$B$14-(DCF!$B$14-DCF!$B$17)*C519</f>
        <v/>
      </c>
      <c r="D520" s="24">
        <f>DCF!$B$14-(DCF!$B$14-DCF!$B$17)*D519</f>
        <v/>
      </c>
      <c r="E520" s="24">
        <f>DCF!$B$14-(DCF!$B$14-DCF!$B$17)*E519</f>
        <v/>
      </c>
      <c r="F520" s="24">
        <f>DCF!$B$14-(DCF!$B$14-DCF!$B$17)*F519</f>
        <v/>
      </c>
      <c r="G520" s="24">
        <f>DCF!$B$14-(DCF!$B$14-DCF!$B$17)*G519</f>
        <v/>
      </c>
    </row>
    <row r="521">
      <c r="A521" s="7" t="inlineStr">
        <is>
          <t>Cumulative discount factor</t>
        </is>
      </c>
      <c r="C521" s="40">
        <f>1/(1+C520)</f>
        <v/>
      </c>
      <c r="D521" s="40">
        <f>C521/(1+D520)</f>
        <v/>
      </c>
      <c r="E521" s="40">
        <f>D521/(1+E520)</f>
        <v/>
      </c>
      <c r="F521" s="40">
        <f>E521/(1+F520)</f>
        <v/>
      </c>
      <c r="G521" s="40">
        <f>F521/(1+G520)</f>
        <v/>
      </c>
    </row>
    <row r="522">
      <c r="A522" s="7" t="inlineStr">
        <is>
          <t>Present value</t>
        </is>
      </c>
      <c r="C522" s="18">
        <f>C518*C521</f>
        <v/>
      </c>
      <c r="D522" s="18">
        <f>D518*D521</f>
        <v/>
      </c>
      <c r="E522" s="18">
        <f>E518*E521</f>
        <v/>
      </c>
      <c r="F522" s="18">
        <f>F518*F521</f>
        <v/>
      </c>
      <c r="G522" s="18">
        <f>G518*G521</f>
        <v/>
      </c>
    </row>
    <row r="523">
      <c r="A523" s="15" t="inlineStr">
        <is>
          <t>PV of the explicit window</t>
        </is>
      </c>
      <c r="B523" s="37">
        <f>SUM(C522:G522)</f>
        <v/>
      </c>
      <c r="C523" s="18">
        <f>C516+C509</f>
        <v/>
      </c>
      <c r="D523" s="18">
        <f>D516+D509</f>
        <v/>
      </c>
      <c r="E523" s="18">
        <f>E516+E509</f>
        <v/>
      </c>
      <c r="F523" s="18">
        <f>F516+F509</f>
        <v/>
      </c>
      <c r="G523" s="18">
        <f>G516+G509</f>
        <v/>
      </c>
    </row>
    <row r="524">
      <c r="A524" s="7" t="inlineStr">
        <is>
          <t>Terminal return on invested capital, at REPLACEMENT cost</t>
        </is>
      </c>
      <c r="B524" s="24">
        <f>G515*(1+Assumptions!$B$110)/G523</f>
        <v/>
      </c>
    </row>
    <row r="525">
      <c r="A525" s="7" t="inlineStr">
        <is>
          <t>Required reinvestment = growth / return</t>
        </is>
      </c>
      <c r="B525" s="24">
        <f>MIN(Assumptions!$B$110/B524,0.95)</f>
        <v/>
      </c>
    </row>
    <row r="526">
      <c r="A526" s="7" t="inlineStr">
        <is>
          <t>Terminal value</t>
        </is>
      </c>
      <c r="B526" s="18">
        <f>G515*(1+Assumptions!$B$110)*(1-B525)/MAX(DCF!$B$17-Assumptions!$B$110,0.02)</f>
        <v/>
      </c>
    </row>
    <row r="527">
      <c r="A527" s="7" t="inlineStr">
        <is>
          <t>PV of the terminal block</t>
        </is>
      </c>
      <c r="B527" s="18">
        <f>B526*G521</f>
        <v/>
      </c>
    </row>
    <row r="528">
      <c r="A528" s="15" t="inlineStr">
        <is>
          <t>ENTERPRISE VALUE</t>
        </is>
      </c>
      <c r="B528" s="37">
        <f>B523+B527</f>
        <v/>
      </c>
    </row>
    <row r="529">
      <c r="A529" s="7" t="inlineStr">
        <is>
          <t>plus net cash</t>
        </is>
      </c>
      <c r="B529" s="18">
        <f>(Assumptions!$B$100-Assumptions!$B$103-Assumptions!$B$104)/10^6</f>
        <v/>
      </c>
    </row>
    <row r="530">
      <c r="A530" s="7" t="inlineStr">
        <is>
          <t>Enterprise value including cash</t>
        </is>
      </c>
      <c r="B530" s="18">
        <f>B528+B529</f>
        <v/>
      </c>
    </row>
    <row r="531">
      <c r="A531" s="7" t="inlineStr">
        <is>
          <t>less minority — on the WHOLE enterprise, cash included</t>
        </is>
      </c>
      <c r="B531" s="18">
        <f>B530*'Income Statement'!$B$41</f>
        <v/>
      </c>
    </row>
    <row r="532">
      <c r="A532" s="7" t="inlineStr">
        <is>
          <t>less the tax-disputes provision</t>
        </is>
      </c>
      <c r="B532" s="18">
        <f>Assumptions!$B$99/10^6</f>
        <v/>
      </c>
    </row>
    <row r="533">
      <c r="A533" s="7" t="inlineStr">
        <is>
          <t>less dividends payable — declared, out of working capital</t>
        </is>
      </c>
      <c r="B533" s="18">
        <f>Assumptions!$B$98/10^6</f>
        <v/>
      </c>
    </row>
    <row r="534">
      <c r="A534" s="7" t="inlineStr">
        <is>
          <t>plus non-operating investments and pledged deposits</t>
        </is>
      </c>
      <c r="B534" s="18">
        <f>(Assumptions!$B$102+Assumptions!$B$101)/10^6</f>
        <v/>
      </c>
    </row>
    <row r="535">
      <c r="A535" s="15" t="inlineStr">
        <is>
          <t>EQUITY ATTRIBUTABLE</t>
        </is>
      </c>
      <c r="B535" s="37">
        <f>B530-B531-B532-B533+B534</f>
        <v/>
      </c>
    </row>
    <row r="536">
      <c r="A536" s="15" t="inlineStr">
        <is>
          <t>VALUE PER SHARE, EGP</t>
        </is>
      </c>
      <c r="B536" s="22">
        <f>B535/Assumptions!$B$8</f>
        <v/>
      </c>
    </row>
    <row r="539">
      <c r="A539" s="6" t="inlineStr">
        <is>
          <t>Realisation path, as a multiple of the assumed path — 0.90x</t>
        </is>
      </c>
      <c r="B539" s="6" t="inlineStr">
        <is>
          <t>2026E</t>
        </is>
      </c>
      <c r="C539" s="6" t="inlineStr">
        <is>
          <t>2027E</t>
        </is>
      </c>
      <c r="D539" s="6" t="inlineStr">
        <is>
          <t>2028E</t>
        </is>
      </c>
      <c r="E539" s="6" t="inlineStr">
        <is>
          <t>2029E</t>
        </is>
      </c>
      <c r="F539" s="6" t="inlineStr">
        <is>
          <t>2030E</t>
        </is>
      </c>
    </row>
    <row r="540">
      <c r="A540" s="7" t="inlineStr">
        <is>
          <t>Inflation index, cumulative</t>
        </is>
      </c>
      <c r="C540" s="23">
        <f>Assumptions!$B$167</f>
        <v/>
      </c>
      <c r="D540" s="23">
        <f>C540*Assumptions!$B$168</f>
        <v/>
      </c>
      <c r="E540" s="23">
        <f>D540*Assumptions!$B$169</f>
        <v/>
      </c>
      <c r="F540" s="23">
        <f>E540*Assumptions!$B$170</f>
        <v/>
      </c>
      <c r="G540" s="23">
        <f>F540*Assumptions!$B$171</f>
        <v/>
      </c>
    </row>
    <row r="541">
      <c r="A541" s="7" t="inlineStr">
        <is>
          <t>Realisation index, cumulative</t>
        </is>
      </c>
      <c r="C541" s="23">
        <f>(1+Assumptions!$B$122*$D$20)</f>
        <v/>
      </c>
      <c r="D541" s="23">
        <f>C541*(1+Assumptions!$B$123*$D$20)</f>
        <v/>
      </c>
      <c r="E541" s="23">
        <f>D541*(1+Assumptions!$B$124*$D$20)</f>
        <v/>
      </c>
      <c r="F541" s="23">
        <f>E541*(1+Assumptions!$B$125*$D$20)</f>
        <v/>
      </c>
      <c r="G541" s="23">
        <f>F541*(1+Assumptions!$B$126*$D$20)</f>
        <v/>
      </c>
    </row>
    <row r="542">
      <c r="A542" s="7" t="inlineStr">
        <is>
          <t xml:space="preserve">  Volume — Base and special oils, mn t</t>
        </is>
      </c>
      <c r="C542" s="23">
        <f>'Segments'!E6*(1+Assumptions!$B$127+DCF!$B$6)</f>
        <v/>
      </c>
      <c r="D542" s="23">
        <f>C542*(1+Assumptions!$B$128+DCF!$B$6)</f>
        <v/>
      </c>
      <c r="E542" s="23">
        <f>D542*(1+Assumptions!$B$129+DCF!$B$6)</f>
        <v/>
      </c>
      <c r="F542" s="23">
        <f>E542*(1+Assumptions!$B$130+DCF!$B$6)</f>
        <v/>
      </c>
      <c r="G542" s="23">
        <f>F542*(1+Assumptions!$B$131+DCF!$B$6)</f>
        <v/>
      </c>
    </row>
    <row r="543">
      <c r="A543" s="7" t="inlineStr">
        <is>
          <t xml:space="preserve">  Volume — Paraffin wax, mn t</t>
        </is>
      </c>
      <c r="C543" s="23">
        <f>'Segments'!E7*(1+Assumptions!$B$132+DCF!$B$6)</f>
        <v/>
      </c>
      <c r="D543" s="23">
        <f>C543*(1+Assumptions!$B$133+DCF!$B$6)</f>
        <v/>
      </c>
      <c r="E543" s="23">
        <f>D543*(1+Assumptions!$B$134+DCF!$B$6)</f>
        <v/>
      </c>
      <c r="F543" s="23">
        <f>E543*(1+Assumptions!$B$135+DCF!$B$6)</f>
        <v/>
      </c>
      <c r="G543" s="23">
        <f>F543*(1+Assumptions!$B$136+DCF!$B$6)</f>
        <v/>
      </c>
    </row>
    <row r="544">
      <c r="A544" s="7" t="inlineStr">
        <is>
          <t xml:space="preserve">  Volume — Gas oil, mn t</t>
        </is>
      </c>
      <c r="C544" s="23">
        <f>'Segments'!E8*(1+Assumptions!$B$137+DCF!$B$6)</f>
        <v/>
      </c>
      <c r="D544" s="23">
        <f>C544*(1+Assumptions!$B$138+DCF!$B$6)</f>
        <v/>
      </c>
      <c r="E544" s="23">
        <f>D544*(1+Assumptions!$B$139+DCF!$B$6)</f>
        <v/>
      </c>
      <c r="F544" s="23">
        <f>E544*(1+Assumptions!$B$140+DCF!$B$6)</f>
        <v/>
      </c>
      <c r="G544" s="23">
        <f>F544*(1+Assumptions!$B$141+DCF!$B$6)</f>
        <v/>
      </c>
    </row>
    <row r="545">
      <c r="A545" s="7" t="inlineStr">
        <is>
          <t xml:space="preserve">  Volume — Naphtha, mn t</t>
        </is>
      </c>
      <c r="C545" s="23">
        <f>'Segments'!E9*(1+Assumptions!$B$142+DCF!$B$6)</f>
        <v/>
      </c>
      <c r="D545" s="23">
        <f>C545*(1+Assumptions!$B$143+DCF!$B$6)</f>
        <v/>
      </c>
      <c r="E545" s="23">
        <f>D545*(1+Assumptions!$B$144+DCF!$B$6)</f>
        <v/>
      </c>
      <c r="F545" s="23">
        <f>E545*(1+Assumptions!$B$145+DCF!$B$6)</f>
        <v/>
      </c>
      <c r="G545" s="23">
        <f>F545*(1+Assumptions!$B$146+DCF!$B$6)</f>
        <v/>
      </c>
    </row>
    <row r="546">
      <c r="A546" s="7" t="inlineStr">
        <is>
          <t xml:space="preserve">  Volume — Liquefied petroleum gas, mn t</t>
        </is>
      </c>
      <c r="C546" s="23">
        <f>'Segments'!E10*(1+Assumptions!$B$147+DCF!$B$6)</f>
        <v/>
      </c>
      <c r="D546" s="23">
        <f>C546*(1+Assumptions!$B$148+DCF!$B$6)</f>
        <v/>
      </c>
      <c r="E546" s="23">
        <f>D546*(1+Assumptions!$B$149+DCF!$B$6)</f>
        <v/>
      </c>
      <c r="F546" s="23">
        <f>E546*(1+Assumptions!$B$150+DCF!$B$6)</f>
        <v/>
      </c>
      <c r="G546" s="23">
        <f>F546*(1+Assumptions!$B$151+DCF!$B$6)</f>
        <v/>
      </c>
    </row>
    <row r="547">
      <c r="A547" s="7" t="inlineStr">
        <is>
          <t xml:space="preserve">  Volume — Fuel oil (mix), mn t</t>
        </is>
      </c>
      <c r="C547" s="23">
        <f>'Segments'!E11*(1+Assumptions!$B$152+DCF!$B$6)</f>
        <v/>
      </c>
      <c r="D547" s="23">
        <f>C547*(1+Assumptions!$B$153+DCF!$B$6)</f>
        <v/>
      </c>
      <c r="E547" s="23">
        <f>D547*(1+Assumptions!$B$154+DCF!$B$6)</f>
        <v/>
      </c>
      <c r="F547" s="23">
        <f>E547*(1+Assumptions!$B$155+DCF!$B$6)</f>
        <v/>
      </c>
      <c r="G547" s="23">
        <f>F547*(1+Assumptions!$B$156+DCF!$B$6)</f>
        <v/>
      </c>
    </row>
    <row r="548">
      <c r="A548" s="7" t="inlineStr">
        <is>
          <t xml:space="preserve">  Volume — Heavy fuel oil, mn t</t>
        </is>
      </c>
      <c r="C548" s="23">
        <f>'Segments'!E12*(1+Assumptions!$B$157+DCF!$B$6)</f>
        <v/>
      </c>
      <c r="D548" s="23">
        <f>C548*(1+Assumptions!$B$158+DCF!$B$6)</f>
        <v/>
      </c>
      <c r="E548" s="23">
        <f>D548*(1+Assumptions!$B$159+DCF!$B$6)</f>
        <v/>
      </c>
      <c r="F548" s="23">
        <f>E548*(1+Assumptions!$B$160+DCF!$B$6)</f>
        <v/>
      </c>
      <c r="G548" s="23">
        <f>F548*(1+Assumptions!$B$161+DCF!$B$6)</f>
        <v/>
      </c>
    </row>
    <row r="549">
      <c r="A549" s="7" t="inlineStr">
        <is>
          <t xml:space="preserve">  Volume — Waste, mn t</t>
        </is>
      </c>
      <c r="C549" s="23">
        <f>'Segments'!E13*(1+Assumptions!$B$162+DCF!$B$6)</f>
        <v/>
      </c>
      <c r="D549" s="23">
        <f>C549*(1+Assumptions!$B$163+DCF!$B$6)</f>
        <v/>
      </c>
      <c r="E549" s="23">
        <f>D549*(1+Assumptions!$B$164+DCF!$B$6)</f>
        <v/>
      </c>
      <c r="F549" s="23">
        <f>E549*(1+Assumptions!$B$165+DCF!$B$6)</f>
        <v/>
      </c>
      <c r="G549" s="23">
        <f>F549*(1+Assumptions!$B$166+DCF!$B$6)</f>
        <v/>
      </c>
    </row>
    <row r="550">
      <c r="A550" s="15" t="inlineStr">
        <is>
          <t>Total volume, mn t</t>
        </is>
      </c>
      <c r="C550" s="36">
        <f>SUM(C542:C549)</f>
        <v/>
      </c>
      <c r="D550" s="36">
        <f>SUM(D542:D549)</f>
        <v/>
      </c>
      <c r="E550" s="36">
        <f>SUM(E542:E549)</f>
        <v/>
      </c>
      <c r="F550" s="36">
        <f>SUM(F542:F549)</f>
        <v/>
      </c>
      <c r="G550" s="36">
        <f>SUM(G542:G549)</f>
        <v/>
      </c>
    </row>
    <row r="551">
      <c r="A551" s="15" t="inlineStr">
        <is>
          <t>REVENUE</t>
        </is>
      </c>
      <c r="C551" s="37">
        <f>C542*'Segments'!$F$6*C541+C543*'Segments'!$F$7*C541+C544*'Segments'!$F$8*C541+C545*'Segments'!$F$9*C541+C546*'Segments'!$F$10*C541+C547*'Segments'!$F$11*C541+C548*'Segments'!$F$12*C541+C549*'Segments'!$F$13*C541</f>
        <v/>
      </c>
      <c r="D551" s="37">
        <f>D542*'Segments'!$F$6*D541+D543*'Segments'!$F$7*D541+D544*'Segments'!$F$8*D541+D545*'Segments'!$F$9*D541+D546*'Segments'!$F$10*D541+D547*'Segments'!$F$11*D541+D548*'Segments'!$F$12*D541+D549*'Segments'!$F$13*D541</f>
        <v/>
      </c>
      <c r="E551" s="37">
        <f>E542*'Segments'!$F$6*E541+E543*'Segments'!$F$7*E541+E544*'Segments'!$F$8*E541+E545*'Segments'!$F$9*E541+E546*'Segments'!$F$10*E541+E547*'Segments'!$F$11*E541+E548*'Segments'!$F$12*E541+E549*'Segments'!$F$13*E541</f>
        <v/>
      </c>
      <c r="F551" s="37">
        <f>F542*'Segments'!$F$6*F541+F543*'Segments'!$F$7*F541+F544*'Segments'!$F$8*F541+F545*'Segments'!$F$9*F541+F546*'Segments'!$F$10*F541+F547*'Segments'!$F$11*F541+F548*'Segments'!$F$12*F541+F549*'Segments'!$F$13*F541</f>
        <v/>
      </c>
      <c r="G551" s="37">
        <f>G542*'Segments'!$F$6*G541+G543*'Segments'!$F$7*G541+G544*'Segments'!$F$8*G541+G545*'Segments'!$F$9*G541+G546*'Segments'!$F$10*G541+G547*'Segments'!$F$11*G541+G548*'Segments'!$F$12*G541+G549*'Segments'!$F$13*G541</f>
        <v/>
      </c>
    </row>
    <row r="552">
      <c r="A552" s="7" t="inlineStr">
        <is>
          <t>Cost of sales</t>
        </is>
      </c>
      <c r="C552" s="18">
        <f>C542*('Segments'!$D$27*C541*Assumptions!$B$109+'Segments'!$B$27*(0.4983251709*C541+0.4357405005*C541+0.0330936548*C541+0.0328406739))+C543*('Segments'!$D$28*C541*Assumptions!$B$109+'Segments'!$B$28*(0.4983251709*C541+0.4357405005*C541+0.0330936548*C541+0.0328406739))+C544*('Segments'!$D$29*C541*Assumptions!$B$109+'Segments'!$B$29*(0.4983251709*C541+0.4357405005*C541+0.0330936548*C541+0.0328406739))+C545*('Segments'!$D$30*C541*Assumptions!$B$109+'Segments'!$B$30*(0.4983251709*C541+0.4357405005*C541+0.0330936548*C541+0.0328406739))+C546*('Segments'!$D$31*C541*Assumptions!$B$109+'Segments'!$B$31*(0.4983251709*C541+0.4357405005*C541+0.0330936548*C541+0.0328406739))+C547*('Segments'!$D$32*C541*Assumptions!$B$109+'Segments'!$B$32*(0.4983251709*C541+0.4357405005*C541+0.0330936548*C541+0.0328406739))+C548*('Segments'!$D$33*C541*Assumptions!$B$109+'Segments'!$B$33*(0.4983251709*C541+0.4357405005*C541+0.0330936548*C541+0.0328406739))+C549*('Segments'!$D$34*C541*Assumptions!$B$109+'Segments'!$B$34*(0.4983251709*C541+0.4357405005*C541+0.0330936548*C541+0.0328406739))</f>
        <v/>
      </c>
      <c r="D552" s="18">
        <f>D542*('Segments'!$D$27*D541*Assumptions!$B$109+'Segments'!$B$27*(0.4983251709*D541+0.4357405005*D541+0.0330936548*D541+0.0328406739))+D543*('Segments'!$D$28*D541*Assumptions!$B$109+'Segments'!$B$28*(0.4983251709*D541+0.4357405005*D541+0.0330936548*D541+0.0328406739))+D544*('Segments'!$D$29*D541*Assumptions!$B$109+'Segments'!$B$29*(0.4983251709*D541+0.4357405005*D541+0.0330936548*D541+0.0328406739))+D545*('Segments'!$D$30*D541*Assumptions!$B$109+'Segments'!$B$30*(0.4983251709*D541+0.4357405005*D541+0.0330936548*D541+0.0328406739))+D546*('Segments'!$D$31*D541*Assumptions!$B$109+'Segments'!$B$31*(0.4983251709*D541+0.4357405005*D541+0.0330936548*D541+0.0328406739))+D547*('Segments'!$D$32*D541*Assumptions!$B$109+'Segments'!$B$32*(0.4983251709*D541+0.4357405005*D541+0.0330936548*D541+0.0328406739))+D548*('Segments'!$D$33*D541*Assumptions!$B$109+'Segments'!$B$33*(0.4983251709*D541+0.4357405005*D541+0.0330936548*D541+0.0328406739))+D549*('Segments'!$D$34*D541*Assumptions!$B$109+'Segments'!$B$34*(0.4983251709*D541+0.4357405005*D541+0.0330936548*D541+0.0328406739))</f>
        <v/>
      </c>
      <c r="E552" s="18">
        <f>E542*('Segments'!$D$27*E541*Assumptions!$B$109+'Segments'!$B$27*(0.4983251709*E541+0.4357405005*E541+0.0330936548*E541+0.0328406739))+E543*('Segments'!$D$28*E541*Assumptions!$B$109+'Segments'!$B$28*(0.4983251709*E541+0.4357405005*E541+0.0330936548*E541+0.0328406739))+E544*('Segments'!$D$29*E541*Assumptions!$B$109+'Segments'!$B$29*(0.4983251709*E541+0.4357405005*E541+0.0330936548*E541+0.0328406739))+E545*('Segments'!$D$30*E541*Assumptions!$B$109+'Segments'!$B$30*(0.4983251709*E541+0.4357405005*E541+0.0330936548*E541+0.0328406739))+E546*('Segments'!$D$31*E541*Assumptions!$B$109+'Segments'!$B$31*(0.4983251709*E541+0.4357405005*E541+0.0330936548*E541+0.0328406739))+E547*('Segments'!$D$32*E541*Assumptions!$B$109+'Segments'!$B$32*(0.4983251709*E541+0.4357405005*E541+0.0330936548*E541+0.0328406739))+E548*('Segments'!$D$33*E541*Assumptions!$B$109+'Segments'!$B$33*(0.4983251709*E541+0.4357405005*E541+0.0330936548*E541+0.0328406739))+E549*('Segments'!$D$34*E541*Assumptions!$B$109+'Segments'!$B$34*(0.4983251709*E541+0.4357405005*E541+0.0330936548*E541+0.0328406739))</f>
        <v/>
      </c>
      <c r="F552" s="18">
        <f>F542*('Segments'!$D$27*F541*Assumptions!$B$109+'Segments'!$B$27*(0.4983251709*F541+0.4357405005*F541+0.0330936548*F541+0.0328406739))+F543*('Segments'!$D$28*F541*Assumptions!$B$109+'Segments'!$B$28*(0.4983251709*F541+0.4357405005*F541+0.0330936548*F541+0.0328406739))+F544*('Segments'!$D$29*F541*Assumptions!$B$109+'Segments'!$B$29*(0.4983251709*F541+0.4357405005*F541+0.0330936548*F541+0.0328406739))+F545*('Segments'!$D$30*F541*Assumptions!$B$109+'Segments'!$B$30*(0.4983251709*F541+0.4357405005*F541+0.0330936548*F541+0.0328406739))+F546*('Segments'!$D$31*F541*Assumptions!$B$109+'Segments'!$B$31*(0.4983251709*F541+0.4357405005*F541+0.0330936548*F541+0.0328406739))+F547*('Segments'!$D$32*F541*Assumptions!$B$109+'Segments'!$B$32*(0.4983251709*F541+0.4357405005*F541+0.0330936548*F541+0.0328406739))+F548*('Segments'!$D$33*F541*Assumptions!$B$109+'Segments'!$B$33*(0.4983251709*F541+0.4357405005*F541+0.0330936548*F541+0.0328406739))+F549*('Segments'!$D$34*F541*Assumptions!$B$109+'Segments'!$B$34*(0.4983251709*F541+0.4357405005*F541+0.0330936548*F541+0.0328406739))</f>
        <v/>
      </c>
      <c r="G552" s="18">
        <f>G542*('Segments'!$D$27*G541*Assumptions!$B$109+'Segments'!$B$27*(0.4983251709*G541+0.4357405005*G541+0.0330936548*G541+0.0328406739))+G543*('Segments'!$D$28*G541*Assumptions!$B$109+'Segments'!$B$28*(0.4983251709*G541+0.4357405005*G541+0.0330936548*G541+0.0328406739))+G544*('Segments'!$D$29*G541*Assumptions!$B$109+'Segments'!$B$29*(0.4983251709*G541+0.4357405005*G541+0.0330936548*G541+0.0328406739))+G545*('Segments'!$D$30*G541*Assumptions!$B$109+'Segments'!$B$30*(0.4983251709*G541+0.4357405005*G541+0.0330936548*G541+0.0328406739))+G546*('Segments'!$D$31*G541*Assumptions!$B$109+'Segments'!$B$31*(0.4983251709*G541+0.4357405005*G541+0.0330936548*G541+0.0328406739))+G547*('Segments'!$D$32*G541*Assumptions!$B$109+'Segments'!$B$32*(0.4983251709*G541+0.4357405005*G541+0.0330936548*G541+0.0328406739))+G548*('Segments'!$D$33*G541*Assumptions!$B$109+'Segments'!$B$33*(0.4983251709*G541+0.4357405005*G541+0.0330936548*G541+0.0328406739))+G549*('Segments'!$D$34*G541*Assumptions!$B$109+'Segments'!$B$34*(0.4983251709*G541+0.4357405005*G541+0.0330936548*G541+0.0328406739))</f>
        <v/>
      </c>
    </row>
    <row r="553">
      <c r="A553" s="15" t="inlineStr">
        <is>
          <t>GROSS PROFIT</t>
        </is>
      </c>
      <c r="C553" s="37">
        <f>C551-C552+DCF!$B$7*C551</f>
        <v/>
      </c>
      <c r="D553" s="37">
        <f>D551-D552+DCF!$B$7*D551</f>
        <v/>
      </c>
      <c r="E553" s="37">
        <f>E551-E552+DCF!$B$7*E551</f>
        <v/>
      </c>
      <c r="F553" s="37">
        <f>F551-F552+DCF!$B$7*F551</f>
        <v/>
      </c>
      <c r="G553" s="37">
        <f>G551-G552+DCF!$B$7*G551</f>
        <v/>
      </c>
    </row>
    <row r="554">
      <c r="A554" s="7" t="inlineStr">
        <is>
          <t>Gross margin</t>
        </is>
      </c>
      <c r="C554" s="24">
        <f>C553/C551</f>
        <v/>
      </c>
      <c r="D554" s="24">
        <f>D553/D551</f>
        <v/>
      </c>
      <c r="E554" s="24">
        <f>E553/E551</f>
        <v/>
      </c>
      <c r="F554" s="24">
        <f>F553/F551</f>
        <v/>
      </c>
      <c r="G554" s="24">
        <f>G553/G551</f>
        <v/>
      </c>
    </row>
    <row r="555">
      <c r="A555" s="7" t="inlineStr">
        <is>
          <t>Operating expense</t>
        </is>
      </c>
      <c r="C555" s="18">
        <f>('Income Statement'!$B$28*C540)+('Income Statement'!$B$29*C540*C550/'Segments'!$E$14)+('Income Statement'!$B$30*C540)+('Income Statement'!$B$31*C540)</f>
        <v/>
      </c>
      <c r="D555" s="18">
        <f>('Income Statement'!$B$28*D540)+('Income Statement'!$B$29*D540*D550/'Segments'!$E$14)+('Income Statement'!$B$30*D540)+('Income Statement'!$B$31*D540)</f>
        <v/>
      </c>
      <c r="E555" s="18">
        <f>('Income Statement'!$B$28*E540)+('Income Statement'!$B$29*E540*E550/'Segments'!$E$14)+('Income Statement'!$B$30*E540)+('Income Statement'!$B$31*E540)</f>
        <v/>
      </c>
      <c r="F555" s="18">
        <f>('Income Statement'!$B$28*F540)+('Income Statement'!$B$29*F540*F550/'Segments'!$E$14)+('Income Statement'!$B$30*F540)+('Income Statement'!$B$31*F540)</f>
        <v/>
      </c>
      <c r="G555" s="18">
        <f>('Income Statement'!$B$28*G540)+('Income Statement'!$B$29*G540*G550/'Segments'!$E$14)+('Income Statement'!$B$30*G540)+('Income Statement'!$B$31*G540)</f>
        <v/>
      </c>
    </row>
    <row r="556">
      <c r="A556" s="15" t="inlineStr">
        <is>
          <t>EBITDA</t>
        </is>
      </c>
      <c r="C556" s="37">
        <f>C553-C555</f>
        <v/>
      </c>
      <c r="D556" s="37">
        <f>D553-D555</f>
        <v/>
      </c>
      <c r="E556" s="37">
        <f>E553-E555</f>
        <v/>
      </c>
      <c r="F556" s="37">
        <f>F553-F555</f>
        <v/>
      </c>
      <c r="G556" s="37">
        <f>G553-G555</f>
        <v/>
      </c>
    </row>
    <row r="557">
      <c r="A557" s="7" t="inlineStr">
        <is>
          <t>Capital expenditure — maintenance + growth</t>
        </is>
      </c>
      <c r="C557" s="18">
        <f>'Income Statement'!$B$43*C540+MAX(C550-'Segments'!$E$14,0)*2100.379938*C540</f>
        <v/>
      </c>
      <c r="D557" s="18">
        <f>'Income Statement'!$B$43*D540+MAX(D550-C550,0)*2100.379938*D540</f>
        <v/>
      </c>
      <c r="E557" s="18">
        <f>'Income Statement'!$B$43*E540+MAX(E550-D550,0)*2100.379938*E540</f>
        <v/>
      </c>
      <c r="F557" s="18">
        <f>'Income Statement'!$B$43*F540+MAX(F550-E550,0)*2100.379938*F540</f>
        <v/>
      </c>
      <c r="G557" s="18">
        <f>'Income Statement'!$B$43*G540+MAX(G550-F550,0)*2100.379938*G540</f>
        <v/>
      </c>
    </row>
    <row r="558">
      <c r="A558" s="7" t="inlineStr">
        <is>
          <t>Fixed assets at cost, closing</t>
        </is>
      </c>
      <c r="C558" s="18">
        <f>(Assumptions!$B$91+Assumptions!$B$92)/10^6+C557</f>
        <v/>
      </c>
      <c r="D558" s="18">
        <f>C558+D557</f>
        <v/>
      </c>
      <c r="E558" s="18">
        <f>D558+E557</f>
        <v/>
      </c>
      <c r="F558" s="18">
        <f>E558+F557</f>
        <v/>
      </c>
      <c r="G558" s="18">
        <f>F558+G557</f>
        <v/>
      </c>
    </row>
    <row r="559">
      <c r="A559" s="7" t="inlineStr">
        <is>
          <t>Depreciation — rolls off the asset register</t>
        </is>
      </c>
      <c r="C559" s="18">
        <f>(Assumptions!$B$91+Assumptions!$B$92)/10^6/'Income Statement'!$B$42</f>
        <v/>
      </c>
      <c r="D559" s="18">
        <f>C558/'Income Statement'!$B$42</f>
        <v/>
      </c>
      <c r="E559" s="18">
        <f>D558/'Income Statement'!$B$42</f>
        <v/>
      </c>
      <c r="F559" s="18">
        <f>E558/'Income Statement'!$B$42</f>
        <v/>
      </c>
      <c r="G559" s="18">
        <f>F558/'Income Statement'!$B$42</f>
        <v/>
      </c>
    </row>
    <row r="560">
      <c r="A560" s="7" t="inlineStr">
        <is>
          <t>Fixed assets, net book, closing</t>
        </is>
      </c>
      <c r="C560" s="18">
        <f>(Assumptions!$B$90+Assumptions!$B$92)/10^6+C557-C559</f>
        <v/>
      </c>
      <c r="D560" s="18">
        <f>C560+D557-D559</f>
        <v/>
      </c>
      <c r="E560" s="18">
        <f>D560+E557-E559</f>
        <v/>
      </c>
      <c r="F560" s="18">
        <f>E560+F557-F559</f>
        <v/>
      </c>
      <c r="G560" s="18">
        <f>F560+G557-G559</f>
        <v/>
      </c>
    </row>
    <row r="561">
      <c r="A561" s="15" t="inlineStr">
        <is>
          <t>EBIT</t>
        </is>
      </c>
      <c r="C561" s="37">
        <f>C556-C559</f>
        <v/>
      </c>
      <c r="D561" s="37">
        <f>D556-D559</f>
        <v/>
      </c>
      <c r="E561" s="37">
        <f>E556-E559</f>
        <v/>
      </c>
      <c r="F561" s="37">
        <f>F556-F559</f>
        <v/>
      </c>
      <c r="G561" s="37">
        <f>G556-G559</f>
        <v/>
      </c>
    </row>
    <row r="562">
      <c r="A562" s="7" t="inlineStr">
        <is>
          <t>NOPAT before the profit share</t>
        </is>
      </c>
      <c r="C562" s="18">
        <f>C561*(1-Assumptions!$B$108)</f>
        <v/>
      </c>
      <c r="D562" s="18">
        <f>D561*(1-Assumptions!$B$108)</f>
        <v/>
      </c>
      <c r="E562" s="18">
        <f>E561*(1-Assumptions!$B$108)</f>
        <v/>
      </c>
      <c r="F562" s="18">
        <f>F561*(1-Assumptions!$B$108)</f>
        <v/>
      </c>
      <c r="G562" s="18">
        <f>G561*(1-Assumptions!$B$108)</f>
        <v/>
      </c>
    </row>
    <row r="563">
      <c r="A563" s="7" t="inlineStr">
        <is>
          <t xml:space="preserve">  less employees' profit share and board bonuses</t>
        </is>
      </c>
      <c r="C563" s="18">
        <f>MAX(C562,0)*'Income Statement'!$B$40</f>
        <v/>
      </c>
      <c r="D563" s="18">
        <f>MAX(D562,0)*'Income Statement'!$B$40</f>
        <v/>
      </c>
      <c r="E563" s="18">
        <f>MAX(E562,0)*'Income Statement'!$B$40</f>
        <v/>
      </c>
      <c r="F563" s="18">
        <f>MAX(F562,0)*'Income Statement'!$B$40</f>
        <v/>
      </c>
      <c r="G563" s="18">
        <f>MAX(G562,0)*'Income Statement'!$B$40</f>
        <v/>
      </c>
    </row>
    <row r="564">
      <c r="A564" s="15" t="inlineStr">
        <is>
          <t>NOPAT</t>
        </is>
      </c>
      <c r="C564" s="37">
        <f>C562-C563</f>
        <v/>
      </c>
      <c r="D564" s="37">
        <f>D562-D563</f>
        <v/>
      </c>
      <c r="E564" s="37">
        <f>E562-E563</f>
        <v/>
      </c>
      <c r="F564" s="37">
        <f>F562-F563</f>
        <v/>
      </c>
      <c r="G564" s="37">
        <f>G562-G563</f>
        <v/>
      </c>
    </row>
    <row r="565">
      <c r="A565" s="7" t="inlineStr">
        <is>
          <t>Net working capital — on days</t>
        </is>
      </c>
      <c r="C565" s="18">
        <f>'Income Statement'!$B$44*DCF!$B$9/365*C552+'Income Statement'!$B$45*DCF!$B$9/365*C551-'Income Statement'!$B$46*DCF!$B$9/365*C552</f>
        <v/>
      </c>
      <c r="D565" s="18">
        <f>'Income Statement'!$B$44*DCF!$B$9/365*D552+'Income Statement'!$B$45*DCF!$B$9/365*D551-'Income Statement'!$B$46*DCF!$B$9/365*D552</f>
        <v/>
      </c>
      <c r="E565" s="18">
        <f>'Income Statement'!$B$44*DCF!$B$9/365*E552+'Income Statement'!$B$45*DCF!$B$9/365*E551-'Income Statement'!$B$46*DCF!$B$9/365*E552</f>
        <v/>
      </c>
      <c r="F565" s="18">
        <f>'Income Statement'!$B$44*DCF!$B$9/365*F552+'Income Statement'!$B$45*DCF!$B$9/365*F551-'Income Statement'!$B$46*DCF!$B$9/365*F552</f>
        <v/>
      </c>
      <c r="G565" s="18">
        <f>'Income Statement'!$B$44*DCF!$B$9/365*G552+'Income Statement'!$B$45*DCF!$B$9/365*G551-'Income Statement'!$B$46*DCF!$B$9/365*G552</f>
        <v/>
      </c>
    </row>
    <row r="566">
      <c r="A566" s="7" t="inlineStr">
        <is>
          <t xml:space="preserve">  change in working capital</t>
        </is>
      </c>
      <c r="C566" s="18">
        <f>C565-('Income Statement'!$B$44/365*'Income Statement'!$B$21+'Income Statement'!$B$45/365*'Income Statement'!$B$19-'Income Statement'!$B$46/365*'Income Statement'!$B$21)</f>
        <v/>
      </c>
      <c r="D566" s="18">
        <f>D565-C565</f>
        <v/>
      </c>
      <c r="E566" s="18">
        <f>E565-D565</f>
        <v/>
      </c>
      <c r="F566" s="18">
        <f>F565-E565</f>
        <v/>
      </c>
      <c r="G566" s="18">
        <f>G565-F565</f>
        <v/>
      </c>
    </row>
    <row r="567">
      <c r="A567" s="15" t="inlineStr">
        <is>
          <t>FREE CASH FLOW TO THE FIRM</t>
        </is>
      </c>
      <c r="C567" s="37">
        <f>C564+C559-C557-C566</f>
        <v/>
      </c>
      <c r="D567" s="37">
        <f>D564+D559-D557-D566</f>
        <v/>
      </c>
      <c r="E567" s="37">
        <f>E564+E559-E557-E566</f>
        <v/>
      </c>
      <c r="F567" s="37">
        <f>F564+F559-F557-F566</f>
        <v/>
      </c>
      <c r="G567" s="37">
        <f>G564+G559-G557-G566</f>
        <v/>
      </c>
    </row>
    <row r="568">
      <c r="A568" s="7" t="inlineStr">
        <is>
          <t>Glide fraction</t>
        </is>
      </c>
      <c r="C568" s="23">
        <f>0.0000000000</f>
        <v/>
      </c>
      <c r="D568" s="23">
        <f>0.5166487648</f>
        <v/>
      </c>
      <c r="E568" s="23">
        <f>0.7314715360</f>
        <v/>
      </c>
      <c r="F568" s="23">
        <f>0.8925886144</f>
        <v/>
      </c>
      <c r="G568" s="23">
        <f>1.0000000000</f>
        <v/>
      </c>
    </row>
    <row r="569">
      <c r="A569" s="7" t="inlineStr">
        <is>
          <t>Forward cost of capital</t>
        </is>
      </c>
      <c r="C569" s="24">
        <f>DCF!$B$14-(DCF!$B$14-DCF!$B$17)*C568</f>
        <v/>
      </c>
      <c r="D569" s="24">
        <f>DCF!$B$14-(DCF!$B$14-DCF!$B$17)*D568</f>
        <v/>
      </c>
      <c r="E569" s="24">
        <f>DCF!$B$14-(DCF!$B$14-DCF!$B$17)*E568</f>
        <v/>
      </c>
      <c r="F569" s="24">
        <f>DCF!$B$14-(DCF!$B$14-DCF!$B$17)*F568</f>
        <v/>
      </c>
      <c r="G569" s="24">
        <f>DCF!$B$14-(DCF!$B$14-DCF!$B$17)*G568</f>
        <v/>
      </c>
    </row>
    <row r="570">
      <c r="A570" s="7" t="inlineStr">
        <is>
          <t>Cumulative discount factor</t>
        </is>
      </c>
      <c r="C570" s="40">
        <f>1/(1+C569)</f>
        <v/>
      </c>
      <c r="D570" s="40">
        <f>C570/(1+D569)</f>
        <v/>
      </c>
      <c r="E570" s="40">
        <f>D570/(1+E569)</f>
        <v/>
      </c>
      <c r="F570" s="40">
        <f>E570/(1+F569)</f>
        <v/>
      </c>
      <c r="G570" s="40">
        <f>F570/(1+G569)</f>
        <v/>
      </c>
    </row>
    <row r="571">
      <c r="A571" s="7" t="inlineStr">
        <is>
          <t>Present value</t>
        </is>
      </c>
      <c r="C571" s="18">
        <f>C567*C570</f>
        <v/>
      </c>
      <c r="D571" s="18">
        <f>D567*D570</f>
        <v/>
      </c>
      <c r="E571" s="18">
        <f>E567*E570</f>
        <v/>
      </c>
      <c r="F571" s="18">
        <f>F567*F570</f>
        <v/>
      </c>
      <c r="G571" s="18">
        <f>G567*G570</f>
        <v/>
      </c>
    </row>
    <row r="572">
      <c r="A572" s="15" t="inlineStr">
        <is>
          <t>PV of the explicit window</t>
        </is>
      </c>
      <c r="B572" s="37">
        <f>SUM(C571:G571)</f>
        <v/>
      </c>
      <c r="C572" s="18">
        <f>C565+C558</f>
        <v/>
      </c>
      <c r="D572" s="18">
        <f>D565+D558</f>
        <v/>
      </c>
      <c r="E572" s="18">
        <f>E565+E558</f>
        <v/>
      </c>
      <c r="F572" s="18">
        <f>F565+F558</f>
        <v/>
      </c>
      <c r="G572" s="18">
        <f>G565+G558</f>
        <v/>
      </c>
    </row>
    <row r="573">
      <c r="A573" s="7" t="inlineStr">
        <is>
          <t>Terminal return on invested capital, at REPLACEMENT cost</t>
        </is>
      </c>
      <c r="B573" s="24">
        <f>G564*(1+Assumptions!$B$110)/G572</f>
        <v/>
      </c>
    </row>
    <row r="574">
      <c r="A574" s="7" t="inlineStr">
        <is>
          <t>Required reinvestment = growth / return</t>
        </is>
      </c>
      <c r="B574" s="24">
        <f>MIN(Assumptions!$B$110/B573,0.95)</f>
        <v/>
      </c>
    </row>
    <row r="575">
      <c r="A575" s="7" t="inlineStr">
        <is>
          <t>Terminal value</t>
        </is>
      </c>
      <c r="B575" s="18">
        <f>G564*(1+Assumptions!$B$110)*(1-B574)/MAX(DCF!$B$17-Assumptions!$B$110,0.02)</f>
        <v/>
      </c>
    </row>
    <row r="576">
      <c r="A576" s="7" t="inlineStr">
        <is>
          <t>PV of the terminal block</t>
        </is>
      </c>
      <c r="B576" s="18">
        <f>B575*G570</f>
        <v/>
      </c>
    </row>
    <row r="577">
      <c r="A577" s="15" t="inlineStr">
        <is>
          <t>ENTERPRISE VALUE</t>
        </is>
      </c>
      <c r="B577" s="37">
        <f>B572+B576</f>
        <v/>
      </c>
    </row>
    <row r="578">
      <c r="A578" s="7" t="inlineStr">
        <is>
          <t>plus net cash</t>
        </is>
      </c>
      <c r="B578" s="18">
        <f>(Assumptions!$B$100-Assumptions!$B$103-Assumptions!$B$104)/10^6</f>
        <v/>
      </c>
    </row>
    <row r="579">
      <c r="A579" s="7" t="inlineStr">
        <is>
          <t>Enterprise value including cash</t>
        </is>
      </c>
      <c r="B579" s="18">
        <f>B577+B578</f>
        <v/>
      </c>
    </row>
    <row r="580">
      <c r="A580" s="7" t="inlineStr">
        <is>
          <t>less minority — on the WHOLE enterprise, cash included</t>
        </is>
      </c>
      <c r="B580" s="18">
        <f>B579*'Income Statement'!$B$41</f>
        <v/>
      </c>
    </row>
    <row r="581">
      <c r="A581" s="7" t="inlineStr">
        <is>
          <t>less the tax-disputes provision</t>
        </is>
      </c>
      <c r="B581" s="18">
        <f>Assumptions!$B$99/10^6</f>
        <v/>
      </c>
    </row>
    <row r="582">
      <c r="A582" s="7" t="inlineStr">
        <is>
          <t>less dividends payable — declared, out of working capital</t>
        </is>
      </c>
      <c r="B582" s="18">
        <f>Assumptions!$B$98/10^6</f>
        <v/>
      </c>
    </row>
    <row r="583">
      <c r="A583" s="7" t="inlineStr">
        <is>
          <t>plus non-operating investments and pledged deposits</t>
        </is>
      </c>
      <c r="B583" s="18">
        <f>(Assumptions!$B$102+Assumptions!$B$101)/10^6</f>
        <v/>
      </c>
    </row>
    <row r="584">
      <c r="A584" s="15" t="inlineStr">
        <is>
          <t>EQUITY ATTRIBUTABLE</t>
        </is>
      </c>
      <c r="B584" s="37">
        <f>B579-B580-B581-B582+B583</f>
        <v/>
      </c>
    </row>
    <row r="585">
      <c r="A585" s="15" t="inlineStr">
        <is>
          <t>VALUE PER SHARE, EGP</t>
        </is>
      </c>
      <c r="B585" s="22">
        <f>B584/Assumptions!$B$8</f>
        <v/>
      </c>
    </row>
    <row r="588">
      <c r="A588" s="6" t="inlineStr">
        <is>
          <t>Realisation path, as a multiple of the assumed path — 0.95x</t>
        </is>
      </c>
      <c r="B588" s="6" t="inlineStr">
        <is>
          <t>2026E</t>
        </is>
      </c>
      <c r="C588" s="6" t="inlineStr">
        <is>
          <t>2027E</t>
        </is>
      </c>
      <c r="D588" s="6" t="inlineStr">
        <is>
          <t>2028E</t>
        </is>
      </c>
      <c r="E588" s="6" t="inlineStr">
        <is>
          <t>2029E</t>
        </is>
      </c>
      <c r="F588" s="6" t="inlineStr">
        <is>
          <t>2030E</t>
        </is>
      </c>
    </row>
    <row r="589">
      <c r="A589" s="7" t="inlineStr">
        <is>
          <t>Inflation index, cumulative</t>
        </is>
      </c>
      <c r="C589" s="23">
        <f>Assumptions!$B$167</f>
        <v/>
      </c>
      <c r="D589" s="23">
        <f>C589*Assumptions!$B$168</f>
        <v/>
      </c>
      <c r="E589" s="23">
        <f>D589*Assumptions!$B$169</f>
        <v/>
      </c>
      <c r="F589" s="23">
        <f>E589*Assumptions!$B$170</f>
        <v/>
      </c>
      <c r="G589" s="23">
        <f>F589*Assumptions!$B$171</f>
        <v/>
      </c>
    </row>
    <row r="590">
      <c r="A590" s="7" t="inlineStr">
        <is>
          <t>Realisation index, cumulative</t>
        </is>
      </c>
      <c r="C590" s="23">
        <f>(1+Assumptions!$B$122*$D$21)</f>
        <v/>
      </c>
      <c r="D590" s="23">
        <f>C590*(1+Assumptions!$B$123*$D$21)</f>
        <v/>
      </c>
      <c r="E590" s="23">
        <f>D590*(1+Assumptions!$B$124*$D$21)</f>
        <v/>
      </c>
      <c r="F590" s="23">
        <f>E590*(1+Assumptions!$B$125*$D$21)</f>
        <v/>
      </c>
      <c r="G590" s="23">
        <f>F590*(1+Assumptions!$B$126*$D$21)</f>
        <v/>
      </c>
    </row>
    <row r="591">
      <c r="A591" s="7" t="inlineStr">
        <is>
          <t xml:space="preserve">  Volume — Base and special oils, mn t</t>
        </is>
      </c>
      <c r="C591" s="23">
        <f>'Segments'!E6*(1+Assumptions!$B$127+DCF!$B$6)</f>
        <v/>
      </c>
      <c r="D591" s="23">
        <f>C591*(1+Assumptions!$B$128+DCF!$B$6)</f>
        <v/>
      </c>
      <c r="E591" s="23">
        <f>D591*(1+Assumptions!$B$129+DCF!$B$6)</f>
        <v/>
      </c>
      <c r="F591" s="23">
        <f>E591*(1+Assumptions!$B$130+DCF!$B$6)</f>
        <v/>
      </c>
      <c r="G591" s="23">
        <f>F591*(1+Assumptions!$B$131+DCF!$B$6)</f>
        <v/>
      </c>
    </row>
    <row r="592">
      <c r="A592" s="7" t="inlineStr">
        <is>
          <t xml:space="preserve">  Volume — Paraffin wax, mn t</t>
        </is>
      </c>
      <c r="C592" s="23">
        <f>'Segments'!E7*(1+Assumptions!$B$132+DCF!$B$6)</f>
        <v/>
      </c>
      <c r="D592" s="23">
        <f>C592*(1+Assumptions!$B$133+DCF!$B$6)</f>
        <v/>
      </c>
      <c r="E592" s="23">
        <f>D592*(1+Assumptions!$B$134+DCF!$B$6)</f>
        <v/>
      </c>
      <c r="F592" s="23">
        <f>E592*(1+Assumptions!$B$135+DCF!$B$6)</f>
        <v/>
      </c>
      <c r="G592" s="23">
        <f>F592*(1+Assumptions!$B$136+DCF!$B$6)</f>
        <v/>
      </c>
    </row>
    <row r="593">
      <c r="A593" s="7" t="inlineStr">
        <is>
          <t xml:space="preserve">  Volume — Gas oil, mn t</t>
        </is>
      </c>
      <c r="C593" s="23">
        <f>'Segments'!E8*(1+Assumptions!$B$137+DCF!$B$6)</f>
        <v/>
      </c>
      <c r="D593" s="23">
        <f>C593*(1+Assumptions!$B$138+DCF!$B$6)</f>
        <v/>
      </c>
      <c r="E593" s="23">
        <f>D593*(1+Assumptions!$B$139+DCF!$B$6)</f>
        <v/>
      </c>
      <c r="F593" s="23">
        <f>E593*(1+Assumptions!$B$140+DCF!$B$6)</f>
        <v/>
      </c>
      <c r="G593" s="23">
        <f>F593*(1+Assumptions!$B$141+DCF!$B$6)</f>
        <v/>
      </c>
    </row>
    <row r="594">
      <c r="A594" s="7" t="inlineStr">
        <is>
          <t xml:space="preserve">  Volume — Naphtha, mn t</t>
        </is>
      </c>
      <c r="C594" s="23">
        <f>'Segments'!E9*(1+Assumptions!$B$142+DCF!$B$6)</f>
        <v/>
      </c>
      <c r="D594" s="23">
        <f>C594*(1+Assumptions!$B$143+DCF!$B$6)</f>
        <v/>
      </c>
      <c r="E594" s="23">
        <f>D594*(1+Assumptions!$B$144+DCF!$B$6)</f>
        <v/>
      </c>
      <c r="F594" s="23">
        <f>E594*(1+Assumptions!$B$145+DCF!$B$6)</f>
        <v/>
      </c>
      <c r="G594" s="23">
        <f>F594*(1+Assumptions!$B$146+DCF!$B$6)</f>
        <v/>
      </c>
    </row>
    <row r="595">
      <c r="A595" s="7" t="inlineStr">
        <is>
          <t xml:space="preserve">  Volume — Liquefied petroleum gas, mn t</t>
        </is>
      </c>
      <c r="C595" s="23">
        <f>'Segments'!E10*(1+Assumptions!$B$147+DCF!$B$6)</f>
        <v/>
      </c>
      <c r="D595" s="23">
        <f>C595*(1+Assumptions!$B$148+DCF!$B$6)</f>
        <v/>
      </c>
      <c r="E595" s="23">
        <f>D595*(1+Assumptions!$B$149+DCF!$B$6)</f>
        <v/>
      </c>
      <c r="F595" s="23">
        <f>E595*(1+Assumptions!$B$150+DCF!$B$6)</f>
        <v/>
      </c>
      <c r="G595" s="23">
        <f>F595*(1+Assumptions!$B$151+DCF!$B$6)</f>
        <v/>
      </c>
    </row>
    <row r="596">
      <c r="A596" s="7" t="inlineStr">
        <is>
          <t xml:space="preserve">  Volume — Fuel oil (mix), mn t</t>
        </is>
      </c>
      <c r="C596" s="23">
        <f>'Segments'!E11*(1+Assumptions!$B$152+DCF!$B$6)</f>
        <v/>
      </c>
      <c r="D596" s="23">
        <f>C596*(1+Assumptions!$B$153+DCF!$B$6)</f>
        <v/>
      </c>
      <c r="E596" s="23">
        <f>D596*(1+Assumptions!$B$154+DCF!$B$6)</f>
        <v/>
      </c>
      <c r="F596" s="23">
        <f>E596*(1+Assumptions!$B$155+DCF!$B$6)</f>
        <v/>
      </c>
      <c r="G596" s="23">
        <f>F596*(1+Assumptions!$B$156+DCF!$B$6)</f>
        <v/>
      </c>
    </row>
    <row r="597">
      <c r="A597" s="7" t="inlineStr">
        <is>
          <t xml:space="preserve">  Volume — Heavy fuel oil, mn t</t>
        </is>
      </c>
      <c r="C597" s="23">
        <f>'Segments'!E12*(1+Assumptions!$B$157+DCF!$B$6)</f>
        <v/>
      </c>
      <c r="D597" s="23">
        <f>C597*(1+Assumptions!$B$158+DCF!$B$6)</f>
        <v/>
      </c>
      <c r="E597" s="23">
        <f>D597*(1+Assumptions!$B$159+DCF!$B$6)</f>
        <v/>
      </c>
      <c r="F597" s="23">
        <f>E597*(1+Assumptions!$B$160+DCF!$B$6)</f>
        <v/>
      </c>
      <c r="G597" s="23">
        <f>F597*(1+Assumptions!$B$161+DCF!$B$6)</f>
        <v/>
      </c>
    </row>
    <row r="598">
      <c r="A598" s="7" t="inlineStr">
        <is>
          <t xml:space="preserve">  Volume — Waste, mn t</t>
        </is>
      </c>
      <c r="C598" s="23">
        <f>'Segments'!E13*(1+Assumptions!$B$162+DCF!$B$6)</f>
        <v/>
      </c>
      <c r="D598" s="23">
        <f>C598*(1+Assumptions!$B$163+DCF!$B$6)</f>
        <v/>
      </c>
      <c r="E598" s="23">
        <f>D598*(1+Assumptions!$B$164+DCF!$B$6)</f>
        <v/>
      </c>
      <c r="F598" s="23">
        <f>E598*(1+Assumptions!$B$165+DCF!$B$6)</f>
        <v/>
      </c>
      <c r="G598" s="23">
        <f>F598*(1+Assumptions!$B$166+DCF!$B$6)</f>
        <v/>
      </c>
    </row>
    <row r="599">
      <c r="A599" s="15" t="inlineStr">
        <is>
          <t>Total volume, mn t</t>
        </is>
      </c>
      <c r="C599" s="36">
        <f>SUM(C591:C598)</f>
        <v/>
      </c>
      <c r="D599" s="36">
        <f>SUM(D591:D598)</f>
        <v/>
      </c>
      <c r="E599" s="36">
        <f>SUM(E591:E598)</f>
        <v/>
      </c>
      <c r="F599" s="36">
        <f>SUM(F591:F598)</f>
        <v/>
      </c>
      <c r="G599" s="36">
        <f>SUM(G591:G598)</f>
        <v/>
      </c>
    </row>
    <row r="600">
      <c r="A600" s="15" t="inlineStr">
        <is>
          <t>REVENUE</t>
        </is>
      </c>
      <c r="C600" s="37">
        <f>C591*'Segments'!$F$6*C590+C592*'Segments'!$F$7*C590+C593*'Segments'!$F$8*C590+C594*'Segments'!$F$9*C590+C595*'Segments'!$F$10*C590+C596*'Segments'!$F$11*C590+C597*'Segments'!$F$12*C590+C598*'Segments'!$F$13*C590</f>
        <v/>
      </c>
      <c r="D600" s="37">
        <f>D591*'Segments'!$F$6*D590+D592*'Segments'!$F$7*D590+D593*'Segments'!$F$8*D590+D594*'Segments'!$F$9*D590+D595*'Segments'!$F$10*D590+D596*'Segments'!$F$11*D590+D597*'Segments'!$F$12*D590+D598*'Segments'!$F$13*D590</f>
        <v/>
      </c>
      <c r="E600" s="37">
        <f>E591*'Segments'!$F$6*E590+E592*'Segments'!$F$7*E590+E593*'Segments'!$F$8*E590+E594*'Segments'!$F$9*E590+E595*'Segments'!$F$10*E590+E596*'Segments'!$F$11*E590+E597*'Segments'!$F$12*E590+E598*'Segments'!$F$13*E590</f>
        <v/>
      </c>
      <c r="F600" s="37">
        <f>F591*'Segments'!$F$6*F590+F592*'Segments'!$F$7*F590+F593*'Segments'!$F$8*F590+F594*'Segments'!$F$9*F590+F595*'Segments'!$F$10*F590+F596*'Segments'!$F$11*F590+F597*'Segments'!$F$12*F590+F598*'Segments'!$F$13*F590</f>
        <v/>
      </c>
      <c r="G600" s="37">
        <f>G591*'Segments'!$F$6*G590+G592*'Segments'!$F$7*G590+G593*'Segments'!$F$8*G590+G594*'Segments'!$F$9*G590+G595*'Segments'!$F$10*G590+G596*'Segments'!$F$11*G590+G597*'Segments'!$F$12*G590+G598*'Segments'!$F$13*G590</f>
        <v/>
      </c>
    </row>
    <row r="601">
      <c r="A601" s="7" t="inlineStr">
        <is>
          <t>Cost of sales</t>
        </is>
      </c>
      <c r="C601" s="18">
        <f>C591*('Segments'!$D$27*C590*Assumptions!$B$109+'Segments'!$B$27*(0.4983251709*C590+0.4357405005*C590+0.0330936548*C590+0.0328406739))+C592*('Segments'!$D$28*C590*Assumptions!$B$109+'Segments'!$B$28*(0.4983251709*C590+0.4357405005*C590+0.0330936548*C590+0.0328406739))+C593*('Segments'!$D$29*C590*Assumptions!$B$109+'Segments'!$B$29*(0.4983251709*C590+0.4357405005*C590+0.0330936548*C590+0.0328406739))+C594*('Segments'!$D$30*C590*Assumptions!$B$109+'Segments'!$B$30*(0.4983251709*C590+0.4357405005*C590+0.0330936548*C590+0.0328406739))+C595*('Segments'!$D$31*C590*Assumptions!$B$109+'Segments'!$B$31*(0.4983251709*C590+0.4357405005*C590+0.0330936548*C590+0.0328406739))+C596*('Segments'!$D$32*C590*Assumptions!$B$109+'Segments'!$B$32*(0.4983251709*C590+0.4357405005*C590+0.0330936548*C590+0.0328406739))+C597*('Segments'!$D$33*C590*Assumptions!$B$109+'Segments'!$B$33*(0.4983251709*C590+0.4357405005*C590+0.0330936548*C590+0.0328406739))+C598*('Segments'!$D$34*C590*Assumptions!$B$109+'Segments'!$B$34*(0.4983251709*C590+0.4357405005*C590+0.0330936548*C590+0.0328406739))</f>
        <v/>
      </c>
      <c r="D601" s="18">
        <f>D591*('Segments'!$D$27*D590*Assumptions!$B$109+'Segments'!$B$27*(0.4983251709*D590+0.4357405005*D590+0.0330936548*D590+0.0328406739))+D592*('Segments'!$D$28*D590*Assumptions!$B$109+'Segments'!$B$28*(0.4983251709*D590+0.4357405005*D590+0.0330936548*D590+0.0328406739))+D593*('Segments'!$D$29*D590*Assumptions!$B$109+'Segments'!$B$29*(0.4983251709*D590+0.4357405005*D590+0.0330936548*D590+0.0328406739))+D594*('Segments'!$D$30*D590*Assumptions!$B$109+'Segments'!$B$30*(0.4983251709*D590+0.4357405005*D590+0.0330936548*D590+0.0328406739))+D595*('Segments'!$D$31*D590*Assumptions!$B$109+'Segments'!$B$31*(0.4983251709*D590+0.4357405005*D590+0.0330936548*D590+0.0328406739))+D596*('Segments'!$D$32*D590*Assumptions!$B$109+'Segments'!$B$32*(0.4983251709*D590+0.4357405005*D590+0.0330936548*D590+0.0328406739))+D597*('Segments'!$D$33*D590*Assumptions!$B$109+'Segments'!$B$33*(0.4983251709*D590+0.4357405005*D590+0.0330936548*D590+0.0328406739))+D598*('Segments'!$D$34*D590*Assumptions!$B$109+'Segments'!$B$34*(0.4983251709*D590+0.4357405005*D590+0.0330936548*D590+0.0328406739))</f>
        <v/>
      </c>
      <c r="E601" s="18">
        <f>E591*('Segments'!$D$27*E590*Assumptions!$B$109+'Segments'!$B$27*(0.4983251709*E590+0.4357405005*E590+0.0330936548*E590+0.0328406739))+E592*('Segments'!$D$28*E590*Assumptions!$B$109+'Segments'!$B$28*(0.4983251709*E590+0.4357405005*E590+0.0330936548*E590+0.0328406739))+E593*('Segments'!$D$29*E590*Assumptions!$B$109+'Segments'!$B$29*(0.4983251709*E590+0.4357405005*E590+0.0330936548*E590+0.0328406739))+E594*('Segments'!$D$30*E590*Assumptions!$B$109+'Segments'!$B$30*(0.4983251709*E590+0.4357405005*E590+0.0330936548*E590+0.0328406739))+E595*('Segments'!$D$31*E590*Assumptions!$B$109+'Segments'!$B$31*(0.4983251709*E590+0.4357405005*E590+0.0330936548*E590+0.0328406739))+E596*('Segments'!$D$32*E590*Assumptions!$B$109+'Segments'!$B$32*(0.4983251709*E590+0.4357405005*E590+0.0330936548*E590+0.0328406739))+E597*('Segments'!$D$33*E590*Assumptions!$B$109+'Segments'!$B$33*(0.4983251709*E590+0.4357405005*E590+0.0330936548*E590+0.0328406739))+E598*('Segments'!$D$34*E590*Assumptions!$B$109+'Segments'!$B$34*(0.4983251709*E590+0.4357405005*E590+0.0330936548*E590+0.0328406739))</f>
        <v/>
      </c>
      <c r="F601" s="18">
        <f>F591*('Segments'!$D$27*F590*Assumptions!$B$109+'Segments'!$B$27*(0.4983251709*F590+0.4357405005*F590+0.0330936548*F590+0.0328406739))+F592*('Segments'!$D$28*F590*Assumptions!$B$109+'Segments'!$B$28*(0.4983251709*F590+0.4357405005*F590+0.0330936548*F590+0.0328406739))+F593*('Segments'!$D$29*F590*Assumptions!$B$109+'Segments'!$B$29*(0.4983251709*F590+0.4357405005*F590+0.0330936548*F590+0.0328406739))+F594*('Segments'!$D$30*F590*Assumptions!$B$109+'Segments'!$B$30*(0.4983251709*F590+0.4357405005*F590+0.0330936548*F590+0.0328406739))+F595*('Segments'!$D$31*F590*Assumptions!$B$109+'Segments'!$B$31*(0.4983251709*F590+0.4357405005*F590+0.0330936548*F590+0.0328406739))+F596*('Segments'!$D$32*F590*Assumptions!$B$109+'Segments'!$B$32*(0.4983251709*F590+0.4357405005*F590+0.0330936548*F590+0.0328406739))+F597*('Segments'!$D$33*F590*Assumptions!$B$109+'Segments'!$B$33*(0.4983251709*F590+0.4357405005*F590+0.0330936548*F590+0.0328406739))+F598*('Segments'!$D$34*F590*Assumptions!$B$109+'Segments'!$B$34*(0.4983251709*F590+0.4357405005*F590+0.0330936548*F590+0.0328406739))</f>
        <v/>
      </c>
      <c r="G601" s="18">
        <f>G591*('Segments'!$D$27*G590*Assumptions!$B$109+'Segments'!$B$27*(0.4983251709*G590+0.4357405005*G590+0.0330936548*G590+0.0328406739))+G592*('Segments'!$D$28*G590*Assumptions!$B$109+'Segments'!$B$28*(0.4983251709*G590+0.4357405005*G590+0.0330936548*G590+0.0328406739))+G593*('Segments'!$D$29*G590*Assumptions!$B$109+'Segments'!$B$29*(0.4983251709*G590+0.4357405005*G590+0.0330936548*G590+0.0328406739))+G594*('Segments'!$D$30*G590*Assumptions!$B$109+'Segments'!$B$30*(0.4983251709*G590+0.4357405005*G590+0.0330936548*G590+0.0328406739))+G595*('Segments'!$D$31*G590*Assumptions!$B$109+'Segments'!$B$31*(0.4983251709*G590+0.4357405005*G590+0.0330936548*G590+0.0328406739))+G596*('Segments'!$D$32*G590*Assumptions!$B$109+'Segments'!$B$32*(0.4983251709*G590+0.4357405005*G590+0.0330936548*G590+0.0328406739))+G597*('Segments'!$D$33*G590*Assumptions!$B$109+'Segments'!$B$33*(0.4983251709*G590+0.4357405005*G590+0.0330936548*G590+0.0328406739))+G598*('Segments'!$D$34*G590*Assumptions!$B$109+'Segments'!$B$34*(0.4983251709*G590+0.4357405005*G590+0.0330936548*G590+0.0328406739))</f>
        <v/>
      </c>
    </row>
    <row r="602">
      <c r="A602" s="15" t="inlineStr">
        <is>
          <t>GROSS PROFIT</t>
        </is>
      </c>
      <c r="C602" s="37">
        <f>C600-C601+DCF!$B$7*C600</f>
        <v/>
      </c>
      <c r="D602" s="37">
        <f>D600-D601+DCF!$B$7*D600</f>
        <v/>
      </c>
      <c r="E602" s="37">
        <f>E600-E601+DCF!$B$7*E600</f>
        <v/>
      </c>
      <c r="F602" s="37">
        <f>F600-F601+DCF!$B$7*F600</f>
        <v/>
      </c>
      <c r="G602" s="37">
        <f>G600-G601+DCF!$B$7*G600</f>
        <v/>
      </c>
    </row>
    <row r="603">
      <c r="A603" s="7" t="inlineStr">
        <is>
          <t>Gross margin</t>
        </is>
      </c>
      <c r="C603" s="24">
        <f>C602/C600</f>
        <v/>
      </c>
      <c r="D603" s="24">
        <f>D602/D600</f>
        <v/>
      </c>
      <c r="E603" s="24">
        <f>E602/E600</f>
        <v/>
      </c>
      <c r="F603" s="24">
        <f>F602/F600</f>
        <v/>
      </c>
      <c r="G603" s="24">
        <f>G602/G600</f>
        <v/>
      </c>
    </row>
    <row r="604">
      <c r="A604" s="7" t="inlineStr">
        <is>
          <t>Operating expense</t>
        </is>
      </c>
      <c r="C604" s="18">
        <f>('Income Statement'!$B$28*C589)+('Income Statement'!$B$29*C589*C599/'Segments'!$E$14)+('Income Statement'!$B$30*C589)+('Income Statement'!$B$31*C589)</f>
        <v/>
      </c>
      <c r="D604" s="18">
        <f>('Income Statement'!$B$28*D589)+('Income Statement'!$B$29*D589*D599/'Segments'!$E$14)+('Income Statement'!$B$30*D589)+('Income Statement'!$B$31*D589)</f>
        <v/>
      </c>
      <c r="E604" s="18">
        <f>('Income Statement'!$B$28*E589)+('Income Statement'!$B$29*E589*E599/'Segments'!$E$14)+('Income Statement'!$B$30*E589)+('Income Statement'!$B$31*E589)</f>
        <v/>
      </c>
      <c r="F604" s="18">
        <f>('Income Statement'!$B$28*F589)+('Income Statement'!$B$29*F589*F599/'Segments'!$E$14)+('Income Statement'!$B$30*F589)+('Income Statement'!$B$31*F589)</f>
        <v/>
      </c>
      <c r="G604" s="18">
        <f>('Income Statement'!$B$28*G589)+('Income Statement'!$B$29*G589*G599/'Segments'!$E$14)+('Income Statement'!$B$30*G589)+('Income Statement'!$B$31*G589)</f>
        <v/>
      </c>
    </row>
    <row r="605">
      <c r="A605" s="15" t="inlineStr">
        <is>
          <t>EBITDA</t>
        </is>
      </c>
      <c r="C605" s="37">
        <f>C602-C604</f>
        <v/>
      </c>
      <c r="D605" s="37">
        <f>D602-D604</f>
        <v/>
      </c>
      <c r="E605" s="37">
        <f>E602-E604</f>
        <v/>
      </c>
      <c r="F605" s="37">
        <f>F602-F604</f>
        <v/>
      </c>
      <c r="G605" s="37">
        <f>G602-G604</f>
        <v/>
      </c>
    </row>
    <row r="606">
      <c r="A606" s="7" t="inlineStr">
        <is>
          <t>Capital expenditure — maintenance + growth</t>
        </is>
      </c>
      <c r="C606" s="18">
        <f>'Income Statement'!$B$43*C589+MAX(C599-'Segments'!$E$14,0)*2100.379938*C589</f>
        <v/>
      </c>
      <c r="D606" s="18">
        <f>'Income Statement'!$B$43*D589+MAX(D599-C599,0)*2100.379938*D589</f>
        <v/>
      </c>
      <c r="E606" s="18">
        <f>'Income Statement'!$B$43*E589+MAX(E599-D599,0)*2100.379938*E589</f>
        <v/>
      </c>
      <c r="F606" s="18">
        <f>'Income Statement'!$B$43*F589+MAX(F599-E599,0)*2100.379938*F589</f>
        <v/>
      </c>
      <c r="G606" s="18">
        <f>'Income Statement'!$B$43*G589+MAX(G599-F599,0)*2100.379938*G589</f>
        <v/>
      </c>
    </row>
    <row r="607">
      <c r="A607" s="7" t="inlineStr">
        <is>
          <t>Fixed assets at cost, closing</t>
        </is>
      </c>
      <c r="C607" s="18">
        <f>(Assumptions!$B$91+Assumptions!$B$92)/10^6+C606</f>
        <v/>
      </c>
      <c r="D607" s="18">
        <f>C607+D606</f>
        <v/>
      </c>
      <c r="E607" s="18">
        <f>D607+E606</f>
        <v/>
      </c>
      <c r="F607" s="18">
        <f>E607+F606</f>
        <v/>
      </c>
      <c r="G607" s="18">
        <f>F607+G606</f>
        <v/>
      </c>
    </row>
    <row r="608">
      <c r="A608" s="7" t="inlineStr">
        <is>
          <t>Depreciation — rolls off the asset register</t>
        </is>
      </c>
      <c r="C608" s="18">
        <f>(Assumptions!$B$91+Assumptions!$B$92)/10^6/'Income Statement'!$B$42</f>
        <v/>
      </c>
      <c r="D608" s="18">
        <f>C607/'Income Statement'!$B$42</f>
        <v/>
      </c>
      <c r="E608" s="18">
        <f>D607/'Income Statement'!$B$42</f>
        <v/>
      </c>
      <c r="F608" s="18">
        <f>E607/'Income Statement'!$B$42</f>
        <v/>
      </c>
      <c r="G608" s="18">
        <f>F607/'Income Statement'!$B$42</f>
        <v/>
      </c>
    </row>
    <row r="609">
      <c r="A609" s="7" t="inlineStr">
        <is>
          <t>Fixed assets, net book, closing</t>
        </is>
      </c>
      <c r="C609" s="18">
        <f>(Assumptions!$B$90+Assumptions!$B$92)/10^6+C606-C608</f>
        <v/>
      </c>
      <c r="D609" s="18">
        <f>C609+D606-D608</f>
        <v/>
      </c>
      <c r="E609" s="18">
        <f>D609+E606-E608</f>
        <v/>
      </c>
      <c r="F609" s="18">
        <f>E609+F606-F608</f>
        <v/>
      </c>
      <c r="G609" s="18">
        <f>F609+G606-G608</f>
        <v/>
      </c>
    </row>
    <row r="610">
      <c r="A610" s="15" t="inlineStr">
        <is>
          <t>EBIT</t>
        </is>
      </c>
      <c r="C610" s="37">
        <f>C605-C608</f>
        <v/>
      </c>
      <c r="D610" s="37">
        <f>D605-D608</f>
        <v/>
      </c>
      <c r="E610" s="37">
        <f>E605-E608</f>
        <v/>
      </c>
      <c r="F610" s="37">
        <f>F605-F608</f>
        <v/>
      </c>
      <c r="G610" s="37">
        <f>G605-G608</f>
        <v/>
      </c>
    </row>
    <row r="611">
      <c r="A611" s="7" t="inlineStr">
        <is>
          <t>NOPAT before the profit share</t>
        </is>
      </c>
      <c r="C611" s="18">
        <f>C610*(1-Assumptions!$B$108)</f>
        <v/>
      </c>
      <c r="D611" s="18">
        <f>D610*(1-Assumptions!$B$108)</f>
        <v/>
      </c>
      <c r="E611" s="18">
        <f>E610*(1-Assumptions!$B$108)</f>
        <v/>
      </c>
      <c r="F611" s="18">
        <f>F610*(1-Assumptions!$B$108)</f>
        <v/>
      </c>
      <c r="G611" s="18">
        <f>G610*(1-Assumptions!$B$108)</f>
        <v/>
      </c>
    </row>
    <row r="612">
      <c r="A612" s="7" t="inlineStr">
        <is>
          <t xml:space="preserve">  less employees' profit share and board bonuses</t>
        </is>
      </c>
      <c r="C612" s="18">
        <f>MAX(C611,0)*'Income Statement'!$B$40</f>
        <v/>
      </c>
      <c r="D612" s="18">
        <f>MAX(D611,0)*'Income Statement'!$B$40</f>
        <v/>
      </c>
      <c r="E612" s="18">
        <f>MAX(E611,0)*'Income Statement'!$B$40</f>
        <v/>
      </c>
      <c r="F612" s="18">
        <f>MAX(F611,0)*'Income Statement'!$B$40</f>
        <v/>
      </c>
      <c r="G612" s="18">
        <f>MAX(G611,0)*'Income Statement'!$B$40</f>
        <v/>
      </c>
    </row>
    <row r="613">
      <c r="A613" s="15" t="inlineStr">
        <is>
          <t>NOPAT</t>
        </is>
      </c>
      <c r="C613" s="37">
        <f>C611-C612</f>
        <v/>
      </c>
      <c r="D613" s="37">
        <f>D611-D612</f>
        <v/>
      </c>
      <c r="E613" s="37">
        <f>E611-E612</f>
        <v/>
      </c>
      <c r="F613" s="37">
        <f>F611-F612</f>
        <v/>
      </c>
      <c r="G613" s="37">
        <f>G611-G612</f>
        <v/>
      </c>
    </row>
    <row r="614">
      <c r="A614" s="7" t="inlineStr">
        <is>
          <t>Net working capital — on days</t>
        </is>
      </c>
      <c r="C614" s="18">
        <f>'Income Statement'!$B$44*DCF!$B$9/365*C601+'Income Statement'!$B$45*DCF!$B$9/365*C600-'Income Statement'!$B$46*DCF!$B$9/365*C601</f>
        <v/>
      </c>
      <c r="D614" s="18">
        <f>'Income Statement'!$B$44*DCF!$B$9/365*D601+'Income Statement'!$B$45*DCF!$B$9/365*D600-'Income Statement'!$B$46*DCF!$B$9/365*D601</f>
        <v/>
      </c>
      <c r="E614" s="18">
        <f>'Income Statement'!$B$44*DCF!$B$9/365*E601+'Income Statement'!$B$45*DCF!$B$9/365*E600-'Income Statement'!$B$46*DCF!$B$9/365*E601</f>
        <v/>
      </c>
      <c r="F614" s="18">
        <f>'Income Statement'!$B$44*DCF!$B$9/365*F601+'Income Statement'!$B$45*DCF!$B$9/365*F600-'Income Statement'!$B$46*DCF!$B$9/365*F601</f>
        <v/>
      </c>
      <c r="G614" s="18">
        <f>'Income Statement'!$B$44*DCF!$B$9/365*G601+'Income Statement'!$B$45*DCF!$B$9/365*G600-'Income Statement'!$B$46*DCF!$B$9/365*G601</f>
        <v/>
      </c>
    </row>
    <row r="615">
      <c r="A615" s="7" t="inlineStr">
        <is>
          <t xml:space="preserve">  change in working capital</t>
        </is>
      </c>
      <c r="C615" s="18">
        <f>C614-('Income Statement'!$B$44/365*'Income Statement'!$B$21+'Income Statement'!$B$45/365*'Income Statement'!$B$19-'Income Statement'!$B$46/365*'Income Statement'!$B$21)</f>
        <v/>
      </c>
      <c r="D615" s="18">
        <f>D614-C614</f>
        <v/>
      </c>
      <c r="E615" s="18">
        <f>E614-D614</f>
        <v/>
      </c>
      <c r="F615" s="18">
        <f>F614-E614</f>
        <v/>
      </c>
      <c r="G615" s="18">
        <f>G614-F614</f>
        <v/>
      </c>
    </row>
    <row r="616">
      <c r="A616" s="15" t="inlineStr">
        <is>
          <t>FREE CASH FLOW TO THE FIRM</t>
        </is>
      </c>
      <c r="C616" s="37">
        <f>C613+C608-C606-C615</f>
        <v/>
      </c>
      <c r="D616" s="37">
        <f>D613+D608-D606-D615</f>
        <v/>
      </c>
      <c r="E616" s="37">
        <f>E613+E608-E606-E615</f>
        <v/>
      </c>
      <c r="F616" s="37">
        <f>F613+F608-F606-F615</f>
        <v/>
      </c>
      <c r="G616" s="37">
        <f>G613+G608-G606-G615</f>
        <v/>
      </c>
    </row>
    <row r="617">
      <c r="A617" s="7" t="inlineStr">
        <is>
          <t>Glide fraction</t>
        </is>
      </c>
      <c r="C617" s="23">
        <f>0.0000000000</f>
        <v/>
      </c>
      <c r="D617" s="23">
        <f>0.5166487648</f>
        <v/>
      </c>
      <c r="E617" s="23">
        <f>0.7314715360</f>
        <v/>
      </c>
      <c r="F617" s="23">
        <f>0.8925886144</f>
        <v/>
      </c>
      <c r="G617" s="23">
        <f>1.0000000000</f>
        <v/>
      </c>
    </row>
    <row r="618">
      <c r="A618" s="7" t="inlineStr">
        <is>
          <t>Forward cost of capital</t>
        </is>
      </c>
      <c r="C618" s="24">
        <f>DCF!$B$14-(DCF!$B$14-DCF!$B$17)*C617</f>
        <v/>
      </c>
      <c r="D618" s="24">
        <f>DCF!$B$14-(DCF!$B$14-DCF!$B$17)*D617</f>
        <v/>
      </c>
      <c r="E618" s="24">
        <f>DCF!$B$14-(DCF!$B$14-DCF!$B$17)*E617</f>
        <v/>
      </c>
      <c r="F618" s="24">
        <f>DCF!$B$14-(DCF!$B$14-DCF!$B$17)*F617</f>
        <v/>
      </c>
      <c r="G618" s="24">
        <f>DCF!$B$14-(DCF!$B$14-DCF!$B$17)*G617</f>
        <v/>
      </c>
    </row>
    <row r="619">
      <c r="A619" s="7" t="inlineStr">
        <is>
          <t>Cumulative discount factor</t>
        </is>
      </c>
      <c r="C619" s="40">
        <f>1/(1+C618)</f>
        <v/>
      </c>
      <c r="D619" s="40">
        <f>C619/(1+D618)</f>
        <v/>
      </c>
      <c r="E619" s="40">
        <f>D619/(1+E618)</f>
        <v/>
      </c>
      <c r="F619" s="40">
        <f>E619/(1+F618)</f>
        <v/>
      </c>
      <c r="G619" s="40">
        <f>F619/(1+G618)</f>
        <v/>
      </c>
    </row>
    <row r="620">
      <c r="A620" s="7" t="inlineStr">
        <is>
          <t>Present value</t>
        </is>
      </c>
      <c r="C620" s="18">
        <f>C616*C619</f>
        <v/>
      </c>
      <c r="D620" s="18">
        <f>D616*D619</f>
        <v/>
      </c>
      <c r="E620" s="18">
        <f>E616*E619</f>
        <v/>
      </c>
      <c r="F620" s="18">
        <f>F616*F619</f>
        <v/>
      </c>
      <c r="G620" s="18">
        <f>G616*G619</f>
        <v/>
      </c>
    </row>
    <row r="621">
      <c r="A621" s="15" t="inlineStr">
        <is>
          <t>PV of the explicit window</t>
        </is>
      </c>
      <c r="B621" s="37">
        <f>SUM(C620:G620)</f>
        <v/>
      </c>
      <c r="C621" s="18">
        <f>C614+C607</f>
        <v/>
      </c>
      <c r="D621" s="18">
        <f>D614+D607</f>
        <v/>
      </c>
      <c r="E621" s="18">
        <f>E614+E607</f>
        <v/>
      </c>
      <c r="F621" s="18">
        <f>F614+F607</f>
        <v/>
      </c>
      <c r="G621" s="18">
        <f>G614+G607</f>
        <v/>
      </c>
    </row>
    <row r="622">
      <c r="A622" s="7" t="inlineStr">
        <is>
          <t>Terminal return on invested capital, at REPLACEMENT cost</t>
        </is>
      </c>
      <c r="B622" s="24">
        <f>G613*(1+Assumptions!$B$110)/G621</f>
        <v/>
      </c>
    </row>
    <row r="623">
      <c r="A623" s="7" t="inlineStr">
        <is>
          <t>Required reinvestment = growth / return</t>
        </is>
      </c>
      <c r="B623" s="24">
        <f>MIN(Assumptions!$B$110/B622,0.95)</f>
        <v/>
      </c>
    </row>
    <row r="624">
      <c r="A624" s="7" t="inlineStr">
        <is>
          <t>Terminal value</t>
        </is>
      </c>
      <c r="B624" s="18">
        <f>G613*(1+Assumptions!$B$110)*(1-B623)/MAX(DCF!$B$17-Assumptions!$B$110,0.02)</f>
        <v/>
      </c>
    </row>
    <row r="625">
      <c r="A625" s="7" t="inlineStr">
        <is>
          <t>PV of the terminal block</t>
        </is>
      </c>
      <c r="B625" s="18">
        <f>B624*G619</f>
        <v/>
      </c>
    </row>
    <row r="626">
      <c r="A626" s="15" t="inlineStr">
        <is>
          <t>ENTERPRISE VALUE</t>
        </is>
      </c>
      <c r="B626" s="37">
        <f>B621+B625</f>
        <v/>
      </c>
    </row>
    <row r="627">
      <c r="A627" s="7" t="inlineStr">
        <is>
          <t>plus net cash</t>
        </is>
      </c>
      <c r="B627" s="18">
        <f>(Assumptions!$B$100-Assumptions!$B$103-Assumptions!$B$104)/10^6</f>
        <v/>
      </c>
    </row>
    <row r="628">
      <c r="A628" s="7" t="inlineStr">
        <is>
          <t>Enterprise value including cash</t>
        </is>
      </c>
      <c r="B628" s="18">
        <f>B626+B627</f>
        <v/>
      </c>
    </row>
    <row r="629">
      <c r="A629" s="7" t="inlineStr">
        <is>
          <t>less minority — on the WHOLE enterprise, cash included</t>
        </is>
      </c>
      <c r="B629" s="18">
        <f>B628*'Income Statement'!$B$41</f>
        <v/>
      </c>
    </row>
    <row r="630">
      <c r="A630" s="7" t="inlineStr">
        <is>
          <t>less the tax-disputes provision</t>
        </is>
      </c>
      <c r="B630" s="18">
        <f>Assumptions!$B$99/10^6</f>
        <v/>
      </c>
    </row>
    <row r="631">
      <c r="A631" s="7" t="inlineStr">
        <is>
          <t>less dividends payable — declared, out of working capital</t>
        </is>
      </c>
      <c r="B631" s="18">
        <f>Assumptions!$B$98/10^6</f>
        <v/>
      </c>
    </row>
    <row r="632">
      <c r="A632" s="7" t="inlineStr">
        <is>
          <t>plus non-operating investments and pledged deposits</t>
        </is>
      </c>
      <c r="B632" s="18">
        <f>(Assumptions!$B$102+Assumptions!$B$101)/10^6</f>
        <v/>
      </c>
    </row>
    <row r="633">
      <c r="A633" s="15" t="inlineStr">
        <is>
          <t>EQUITY ATTRIBUTABLE</t>
        </is>
      </c>
      <c r="B633" s="37">
        <f>B628-B629-B630-B631+B632</f>
        <v/>
      </c>
    </row>
    <row r="634">
      <c r="A634" s="15" t="inlineStr">
        <is>
          <t>VALUE PER SHARE, EGP</t>
        </is>
      </c>
      <c r="B634" s="22">
        <f>B633/Assumptions!$B$8</f>
        <v/>
      </c>
    </row>
    <row r="637">
      <c r="A637" s="6" t="inlineStr">
        <is>
          <t>Realisation path, as a multiple of the assumed path — 1.00x</t>
        </is>
      </c>
      <c r="B637" s="6" t="inlineStr">
        <is>
          <t>2026E</t>
        </is>
      </c>
      <c r="C637" s="6" t="inlineStr">
        <is>
          <t>2027E</t>
        </is>
      </c>
      <c r="D637" s="6" t="inlineStr">
        <is>
          <t>2028E</t>
        </is>
      </c>
      <c r="E637" s="6" t="inlineStr">
        <is>
          <t>2029E</t>
        </is>
      </c>
      <c r="F637" s="6" t="inlineStr">
        <is>
          <t>2030E</t>
        </is>
      </c>
    </row>
    <row r="638">
      <c r="A638" s="7" t="inlineStr">
        <is>
          <t>Inflation index, cumulative</t>
        </is>
      </c>
      <c r="C638" s="23">
        <f>Assumptions!$B$167</f>
        <v/>
      </c>
      <c r="D638" s="23">
        <f>C638*Assumptions!$B$168</f>
        <v/>
      </c>
      <c r="E638" s="23">
        <f>D638*Assumptions!$B$169</f>
        <v/>
      </c>
      <c r="F638" s="23">
        <f>E638*Assumptions!$B$170</f>
        <v/>
      </c>
      <c r="G638" s="23">
        <f>F638*Assumptions!$B$171</f>
        <v/>
      </c>
    </row>
    <row r="639">
      <c r="A639" s="7" t="inlineStr">
        <is>
          <t>Realisation index, cumulative</t>
        </is>
      </c>
      <c r="C639" s="23">
        <f>(1+Assumptions!$B$122*$D$22)</f>
        <v/>
      </c>
      <c r="D639" s="23">
        <f>C639*(1+Assumptions!$B$123*$D$22)</f>
        <v/>
      </c>
      <c r="E639" s="23">
        <f>D639*(1+Assumptions!$B$124*$D$22)</f>
        <v/>
      </c>
      <c r="F639" s="23">
        <f>E639*(1+Assumptions!$B$125*$D$22)</f>
        <v/>
      </c>
      <c r="G639" s="23">
        <f>F639*(1+Assumptions!$B$126*$D$22)</f>
        <v/>
      </c>
    </row>
    <row r="640">
      <c r="A640" s="7" t="inlineStr">
        <is>
          <t xml:space="preserve">  Volume — Base and special oils, mn t</t>
        </is>
      </c>
      <c r="C640" s="23">
        <f>'Segments'!E6*(1+Assumptions!$B$127+DCF!$B$6)</f>
        <v/>
      </c>
      <c r="D640" s="23">
        <f>C640*(1+Assumptions!$B$128+DCF!$B$6)</f>
        <v/>
      </c>
      <c r="E640" s="23">
        <f>D640*(1+Assumptions!$B$129+DCF!$B$6)</f>
        <v/>
      </c>
      <c r="F640" s="23">
        <f>E640*(1+Assumptions!$B$130+DCF!$B$6)</f>
        <v/>
      </c>
      <c r="G640" s="23">
        <f>F640*(1+Assumptions!$B$131+DCF!$B$6)</f>
        <v/>
      </c>
    </row>
    <row r="641">
      <c r="A641" s="7" t="inlineStr">
        <is>
          <t xml:space="preserve">  Volume — Paraffin wax, mn t</t>
        </is>
      </c>
      <c r="C641" s="23">
        <f>'Segments'!E7*(1+Assumptions!$B$132+DCF!$B$6)</f>
        <v/>
      </c>
      <c r="D641" s="23">
        <f>C641*(1+Assumptions!$B$133+DCF!$B$6)</f>
        <v/>
      </c>
      <c r="E641" s="23">
        <f>D641*(1+Assumptions!$B$134+DCF!$B$6)</f>
        <v/>
      </c>
      <c r="F641" s="23">
        <f>E641*(1+Assumptions!$B$135+DCF!$B$6)</f>
        <v/>
      </c>
      <c r="G641" s="23">
        <f>F641*(1+Assumptions!$B$136+DCF!$B$6)</f>
        <v/>
      </c>
    </row>
    <row r="642">
      <c r="A642" s="7" t="inlineStr">
        <is>
          <t xml:space="preserve">  Volume — Gas oil, mn t</t>
        </is>
      </c>
      <c r="C642" s="23">
        <f>'Segments'!E8*(1+Assumptions!$B$137+DCF!$B$6)</f>
        <v/>
      </c>
      <c r="D642" s="23">
        <f>C642*(1+Assumptions!$B$138+DCF!$B$6)</f>
        <v/>
      </c>
      <c r="E642" s="23">
        <f>D642*(1+Assumptions!$B$139+DCF!$B$6)</f>
        <v/>
      </c>
      <c r="F642" s="23">
        <f>E642*(1+Assumptions!$B$140+DCF!$B$6)</f>
        <v/>
      </c>
      <c r="G642" s="23">
        <f>F642*(1+Assumptions!$B$141+DCF!$B$6)</f>
        <v/>
      </c>
    </row>
    <row r="643">
      <c r="A643" s="7" t="inlineStr">
        <is>
          <t xml:space="preserve">  Volume — Naphtha, mn t</t>
        </is>
      </c>
      <c r="C643" s="23">
        <f>'Segments'!E9*(1+Assumptions!$B$142+DCF!$B$6)</f>
        <v/>
      </c>
      <c r="D643" s="23">
        <f>C643*(1+Assumptions!$B$143+DCF!$B$6)</f>
        <v/>
      </c>
      <c r="E643" s="23">
        <f>D643*(1+Assumptions!$B$144+DCF!$B$6)</f>
        <v/>
      </c>
      <c r="F643" s="23">
        <f>E643*(1+Assumptions!$B$145+DCF!$B$6)</f>
        <v/>
      </c>
      <c r="G643" s="23">
        <f>F643*(1+Assumptions!$B$146+DCF!$B$6)</f>
        <v/>
      </c>
    </row>
    <row r="644">
      <c r="A644" s="7" t="inlineStr">
        <is>
          <t xml:space="preserve">  Volume — Liquefied petroleum gas, mn t</t>
        </is>
      </c>
      <c r="C644" s="23">
        <f>'Segments'!E10*(1+Assumptions!$B$147+DCF!$B$6)</f>
        <v/>
      </c>
      <c r="D644" s="23">
        <f>C644*(1+Assumptions!$B$148+DCF!$B$6)</f>
        <v/>
      </c>
      <c r="E644" s="23">
        <f>D644*(1+Assumptions!$B$149+DCF!$B$6)</f>
        <v/>
      </c>
      <c r="F644" s="23">
        <f>E644*(1+Assumptions!$B$150+DCF!$B$6)</f>
        <v/>
      </c>
      <c r="G644" s="23">
        <f>F644*(1+Assumptions!$B$151+DCF!$B$6)</f>
        <v/>
      </c>
    </row>
    <row r="645">
      <c r="A645" s="7" t="inlineStr">
        <is>
          <t xml:space="preserve">  Volume — Fuel oil (mix), mn t</t>
        </is>
      </c>
      <c r="C645" s="23">
        <f>'Segments'!E11*(1+Assumptions!$B$152+DCF!$B$6)</f>
        <v/>
      </c>
      <c r="D645" s="23">
        <f>C645*(1+Assumptions!$B$153+DCF!$B$6)</f>
        <v/>
      </c>
      <c r="E645" s="23">
        <f>D645*(1+Assumptions!$B$154+DCF!$B$6)</f>
        <v/>
      </c>
      <c r="F645" s="23">
        <f>E645*(1+Assumptions!$B$155+DCF!$B$6)</f>
        <v/>
      </c>
      <c r="G645" s="23">
        <f>F645*(1+Assumptions!$B$156+DCF!$B$6)</f>
        <v/>
      </c>
    </row>
    <row r="646">
      <c r="A646" s="7" t="inlineStr">
        <is>
          <t xml:space="preserve">  Volume — Heavy fuel oil, mn t</t>
        </is>
      </c>
      <c r="C646" s="23">
        <f>'Segments'!E12*(1+Assumptions!$B$157+DCF!$B$6)</f>
        <v/>
      </c>
      <c r="D646" s="23">
        <f>C646*(1+Assumptions!$B$158+DCF!$B$6)</f>
        <v/>
      </c>
      <c r="E646" s="23">
        <f>D646*(1+Assumptions!$B$159+DCF!$B$6)</f>
        <v/>
      </c>
      <c r="F646" s="23">
        <f>E646*(1+Assumptions!$B$160+DCF!$B$6)</f>
        <v/>
      </c>
      <c r="G646" s="23">
        <f>F646*(1+Assumptions!$B$161+DCF!$B$6)</f>
        <v/>
      </c>
    </row>
    <row r="647">
      <c r="A647" s="7" t="inlineStr">
        <is>
          <t xml:space="preserve">  Volume — Waste, mn t</t>
        </is>
      </c>
      <c r="C647" s="23">
        <f>'Segments'!E13*(1+Assumptions!$B$162+DCF!$B$6)</f>
        <v/>
      </c>
      <c r="D647" s="23">
        <f>C647*(1+Assumptions!$B$163+DCF!$B$6)</f>
        <v/>
      </c>
      <c r="E647" s="23">
        <f>D647*(1+Assumptions!$B$164+DCF!$B$6)</f>
        <v/>
      </c>
      <c r="F647" s="23">
        <f>E647*(1+Assumptions!$B$165+DCF!$B$6)</f>
        <v/>
      </c>
      <c r="G647" s="23">
        <f>F647*(1+Assumptions!$B$166+DCF!$B$6)</f>
        <v/>
      </c>
    </row>
    <row r="648">
      <c r="A648" s="15" t="inlineStr">
        <is>
          <t>Total volume, mn t</t>
        </is>
      </c>
      <c r="C648" s="36">
        <f>SUM(C640:C647)</f>
        <v/>
      </c>
      <c r="D648" s="36">
        <f>SUM(D640:D647)</f>
        <v/>
      </c>
      <c r="E648" s="36">
        <f>SUM(E640:E647)</f>
        <v/>
      </c>
      <c r="F648" s="36">
        <f>SUM(F640:F647)</f>
        <v/>
      </c>
      <c r="G648" s="36">
        <f>SUM(G640:G647)</f>
        <v/>
      </c>
    </row>
    <row r="649">
      <c r="A649" s="15" t="inlineStr">
        <is>
          <t>REVENUE</t>
        </is>
      </c>
      <c r="C649" s="37">
        <f>C640*'Segments'!$F$6*C639+C641*'Segments'!$F$7*C639+C642*'Segments'!$F$8*C639+C643*'Segments'!$F$9*C639+C644*'Segments'!$F$10*C639+C645*'Segments'!$F$11*C639+C646*'Segments'!$F$12*C639+C647*'Segments'!$F$13*C639</f>
        <v/>
      </c>
      <c r="D649" s="37">
        <f>D640*'Segments'!$F$6*D639+D641*'Segments'!$F$7*D639+D642*'Segments'!$F$8*D639+D643*'Segments'!$F$9*D639+D644*'Segments'!$F$10*D639+D645*'Segments'!$F$11*D639+D646*'Segments'!$F$12*D639+D647*'Segments'!$F$13*D639</f>
        <v/>
      </c>
      <c r="E649" s="37">
        <f>E640*'Segments'!$F$6*E639+E641*'Segments'!$F$7*E639+E642*'Segments'!$F$8*E639+E643*'Segments'!$F$9*E639+E644*'Segments'!$F$10*E639+E645*'Segments'!$F$11*E639+E646*'Segments'!$F$12*E639+E647*'Segments'!$F$13*E639</f>
        <v/>
      </c>
      <c r="F649" s="37">
        <f>F640*'Segments'!$F$6*F639+F641*'Segments'!$F$7*F639+F642*'Segments'!$F$8*F639+F643*'Segments'!$F$9*F639+F644*'Segments'!$F$10*F639+F645*'Segments'!$F$11*F639+F646*'Segments'!$F$12*F639+F647*'Segments'!$F$13*F639</f>
        <v/>
      </c>
      <c r="G649" s="37">
        <f>G640*'Segments'!$F$6*G639+G641*'Segments'!$F$7*G639+G642*'Segments'!$F$8*G639+G643*'Segments'!$F$9*G639+G644*'Segments'!$F$10*G639+G645*'Segments'!$F$11*G639+G646*'Segments'!$F$12*G639+G647*'Segments'!$F$13*G639</f>
        <v/>
      </c>
    </row>
    <row r="650">
      <c r="A650" s="7" t="inlineStr">
        <is>
          <t>Cost of sales</t>
        </is>
      </c>
      <c r="C650" s="18">
        <f>C640*('Segments'!$D$27*C639*Assumptions!$B$109+'Segments'!$B$27*(0.4983251709*C639+0.4357405005*C639+0.0330936548*C639+0.0328406739))+C641*('Segments'!$D$28*C639*Assumptions!$B$109+'Segments'!$B$28*(0.4983251709*C639+0.4357405005*C639+0.0330936548*C639+0.0328406739))+C642*('Segments'!$D$29*C639*Assumptions!$B$109+'Segments'!$B$29*(0.4983251709*C639+0.4357405005*C639+0.0330936548*C639+0.0328406739))+C643*('Segments'!$D$30*C639*Assumptions!$B$109+'Segments'!$B$30*(0.4983251709*C639+0.4357405005*C639+0.0330936548*C639+0.0328406739))+C644*('Segments'!$D$31*C639*Assumptions!$B$109+'Segments'!$B$31*(0.4983251709*C639+0.4357405005*C639+0.0330936548*C639+0.0328406739))+C645*('Segments'!$D$32*C639*Assumptions!$B$109+'Segments'!$B$32*(0.4983251709*C639+0.4357405005*C639+0.0330936548*C639+0.0328406739))+C646*('Segments'!$D$33*C639*Assumptions!$B$109+'Segments'!$B$33*(0.4983251709*C639+0.4357405005*C639+0.0330936548*C639+0.0328406739))+C647*('Segments'!$D$34*C639*Assumptions!$B$109+'Segments'!$B$34*(0.4983251709*C639+0.4357405005*C639+0.0330936548*C639+0.0328406739))</f>
        <v/>
      </c>
      <c r="D650" s="18">
        <f>D640*('Segments'!$D$27*D639*Assumptions!$B$109+'Segments'!$B$27*(0.4983251709*D639+0.4357405005*D639+0.0330936548*D639+0.0328406739))+D641*('Segments'!$D$28*D639*Assumptions!$B$109+'Segments'!$B$28*(0.4983251709*D639+0.4357405005*D639+0.0330936548*D639+0.0328406739))+D642*('Segments'!$D$29*D639*Assumptions!$B$109+'Segments'!$B$29*(0.4983251709*D639+0.4357405005*D639+0.0330936548*D639+0.0328406739))+D643*('Segments'!$D$30*D639*Assumptions!$B$109+'Segments'!$B$30*(0.4983251709*D639+0.4357405005*D639+0.0330936548*D639+0.0328406739))+D644*('Segments'!$D$31*D639*Assumptions!$B$109+'Segments'!$B$31*(0.4983251709*D639+0.4357405005*D639+0.0330936548*D639+0.0328406739))+D645*('Segments'!$D$32*D639*Assumptions!$B$109+'Segments'!$B$32*(0.4983251709*D639+0.4357405005*D639+0.0330936548*D639+0.0328406739))+D646*('Segments'!$D$33*D639*Assumptions!$B$109+'Segments'!$B$33*(0.4983251709*D639+0.4357405005*D639+0.0330936548*D639+0.0328406739))+D647*('Segments'!$D$34*D639*Assumptions!$B$109+'Segments'!$B$34*(0.4983251709*D639+0.4357405005*D639+0.0330936548*D639+0.0328406739))</f>
        <v/>
      </c>
      <c r="E650" s="18">
        <f>E640*('Segments'!$D$27*E639*Assumptions!$B$109+'Segments'!$B$27*(0.4983251709*E639+0.4357405005*E639+0.0330936548*E639+0.0328406739))+E641*('Segments'!$D$28*E639*Assumptions!$B$109+'Segments'!$B$28*(0.4983251709*E639+0.4357405005*E639+0.0330936548*E639+0.0328406739))+E642*('Segments'!$D$29*E639*Assumptions!$B$109+'Segments'!$B$29*(0.4983251709*E639+0.4357405005*E639+0.0330936548*E639+0.0328406739))+E643*('Segments'!$D$30*E639*Assumptions!$B$109+'Segments'!$B$30*(0.4983251709*E639+0.4357405005*E639+0.0330936548*E639+0.0328406739))+E644*('Segments'!$D$31*E639*Assumptions!$B$109+'Segments'!$B$31*(0.4983251709*E639+0.4357405005*E639+0.0330936548*E639+0.0328406739))+E645*('Segments'!$D$32*E639*Assumptions!$B$109+'Segments'!$B$32*(0.4983251709*E639+0.4357405005*E639+0.0330936548*E639+0.0328406739))+E646*('Segments'!$D$33*E639*Assumptions!$B$109+'Segments'!$B$33*(0.4983251709*E639+0.4357405005*E639+0.0330936548*E639+0.0328406739))+E647*('Segments'!$D$34*E639*Assumptions!$B$109+'Segments'!$B$34*(0.4983251709*E639+0.4357405005*E639+0.0330936548*E639+0.0328406739))</f>
        <v/>
      </c>
      <c r="F650" s="18">
        <f>F640*('Segments'!$D$27*F639*Assumptions!$B$109+'Segments'!$B$27*(0.4983251709*F639+0.4357405005*F639+0.0330936548*F639+0.0328406739))+F641*('Segments'!$D$28*F639*Assumptions!$B$109+'Segments'!$B$28*(0.4983251709*F639+0.4357405005*F639+0.0330936548*F639+0.0328406739))+F642*('Segments'!$D$29*F639*Assumptions!$B$109+'Segments'!$B$29*(0.4983251709*F639+0.4357405005*F639+0.0330936548*F639+0.0328406739))+F643*('Segments'!$D$30*F639*Assumptions!$B$109+'Segments'!$B$30*(0.4983251709*F639+0.4357405005*F639+0.0330936548*F639+0.0328406739))+F644*('Segments'!$D$31*F639*Assumptions!$B$109+'Segments'!$B$31*(0.4983251709*F639+0.4357405005*F639+0.0330936548*F639+0.0328406739))+F645*('Segments'!$D$32*F639*Assumptions!$B$109+'Segments'!$B$32*(0.4983251709*F639+0.4357405005*F639+0.0330936548*F639+0.0328406739))+F646*('Segments'!$D$33*F639*Assumptions!$B$109+'Segments'!$B$33*(0.4983251709*F639+0.4357405005*F639+0.0330936548*F639+0.0328406739))+F647*('Segments'!$D$34*F639*Assumptions!$B$109+'Segments'!$B$34*(0.4983251709*F639+0.4357405005*F639+0.0330936548*F639+0.0328406739))</f>
        <v/>
      </c>
      <c r="G650" s="18">
        <f>G640*('Segments'!$D$27*G639*Assumptions!$B$109+'Segments'!$B$27*(0.4983251709*G639+0.4357405005*G639+0.0330936548*G639+0.0328406739))+G641*('Segments'!$D$28*G639*Assumptions!$B$109+'Segments'!$B$28*(0.4983251709*G639+0.4357405005*G639+0.0330936548*G639+0.0328406739))+G642*('Segments'!$D$29*G639*Assumptions!$B$109+'Segments'!$B$29*(0.4983251709*G639+0.4357405005*G639+0.0330936548*G639+0.0328406739))+G643*('Segments'!$D$30*G639*Assumptions!$B$109+'Segments'!$B$30*(0.4983251709*G639+0.4357405005*G639+0.0330936548*G639+0.0328406739))+G644*('Segments'!$D$31*G639*Assumptions!$B$109+'Segments'!$B$31*(0.4983251709*G639+0.4357405005*G639+0.0330936548*G639+0.0328406739))+G645*('Segments'!$D$32*G639*Assumptions!$B$109+'Segments'!$B$32*(0.4983251709*G639+0.4357405005*G639+0.0330936548*G639+0.0328406739))+G646*('Segments'!$D$33*G639*Assumptions!$B$109+'Segments'!$B$33*(0.4983251709*G639+0.4357405005*G639+0.0330936548*G639+0.0328406739))+G647*('Segments'!$D$34*G639*Assumptions!$B$109+'Segments'!$B$34*(0.4983251709*G639+0.4357405005*G639+0.0330936548*G639+0.0328406739))</f>
        <v/>
      </c>
    </row>
    <row r="651">
      <c r="A651" s="15" t="inlineStr">
        <is>
          <t>GROSS PROFIT</t>
        </is>
      </c>
      <c r="C651" s="37">
        <f>C649-C650+DCF!$B$7*C649</f>
        <v/>
      </c>
      <c r="D651" s="37">
        <f>D649-D650+DCF!$B$7*D649</f>
        <v/>
      </c>
      <c r="E651" s="37">
        <f>E649-E650+DCF!$B$7*E649</f>
        <v/>
      </c>
      <c r="F651" s="37">
        <f>F649-F650+DCF!$B$7*F649</f>
        <v/>
      </c>
      <c r="G651" s="37">
        <f>G649-G650+DCF!$B$7*G649</f>
        <v/>
      </c>
    </row>
    <row r="652">
      <c r="A652" s="7" t="inlineStr">
        <is>
          <t>Gross margin</t>
        </is>
      </c>
      <c r="C652" s="24">
        <f>C651/C649</f>
        <v/>
      </c>
      <c r="D652" s="24">
        <f>D651/D649</f>
        <v/>
      </c>
      <c r="E652" s="24">
        <f>E651/E649</f>
        <v/>
      </c>
      <c r="F652" s="24">
        <f>F651/F649</f>
        <v/>
      </c>
      <c r="G652" s="24">
        <f>G651/G649</f>
        <v/>
      </c>
    </row>
    <row r="653">
      <c r="A653" s="7" t="inlineStr">
        <is>
          <t>Operating expense</t>
        </is>
      </c>
      <c r="C653" s="18">
        <f>('Income Statement'!$B$28*C638)+('Income Statement'!$B$29*C638*C648/'Segments'!$E$14)+('Income Statement'!$B$30*C638)+('Income Statement'!$B$31*C638)</f>
        <v/>
      </c>
      <c r="D653" s="18">
        <f>('Income Statement'!$B$28*D638)+('Income Statement'!$B$29*D638*D648/'Segments'!$E$14)+('Income Statement'!$B$30*D638)+('Income Statement'!$B$31*D638)</f>
        <v/>
      </c>
      <c r="E653" s="18">
        <f>('Income Statement'!$B$28*E638)+('Income Statement'!$B$29*E638*E648/'Segments'!$E$14)+('Income Statement'!$B$30*E638)+('Income Statement'!$B$31*E638)</f>
        <v/>
      </c>
      <c r="F653" s="18">
        <f>('Income Statement'!$B$28*F638)+('Income Statement'!$B$29*F638*F648/'Segments'!$E$14)+('Income Statement'!$B$30*F638)+('Income Statement'!$B$31*F638)</f>
        <v/>
      </c>
      <c r="G653" s="18">
        <f>('Income Statement'!$B$28*G638)+('Income Statement'!$B$29*G638*G648/'Segments'!$E$14)+('Income Statement'!$B$30*G638)+('Income Statement'!$B$31*G638)</f>
        <v/>
      </c>
    </row>
    <row r="654">
      <c r="A654" s="15" t="inlineStr">
        <is>
          <t>EBITDA</t>
        </is>
      </c>
      <c r="C654" s="37">
        <f>C651-C653</f>
        <v/>
      </c>
      <c r="D654" s="37">
        <f>D651-D653</f>
        <v/>
      </c>
      <c r="E654" s="37">
        <f>E651-E653</f>
        <v/>
      </c>
      <c r="F654" s="37">
        <f>F651-F653</f>
        <v/>
      </c>
      <c r="G654" s="37">
        <f>G651-G653</f>
        <v/>
      </c>
    </row>
    <row r="655">
      <c r="A655" s="7" t="inlineStr">
        <is>
          <t>Capital expenditure — maintenance + growth</t>
        </is>
      </c>
      <c r="C655" s="18">
        <f>'Income Statement'!$B$43*C638+MAX(C648-'Segments'!$E$14,0)*2100.379938*C638</f>
        <v/>
      </c>
      <c r="D655" s="18">
        <f>'Income Statement'!$B$43*D638+MAX(D648-C648,0)*2100.379938*D638</f>
        <v/>
      </c>
      <c r="E655" s="18">
        <f>'Income Statement'!$B$43*E638+MAX(E648-D648,0)*2100.379938*E638</f>
        <v/>
      </c>
      <c r="F655" s="18">
        <f>'Income Statement'!$B$43*F638+MAX(F648-E648,0)*2100.379938*F638</f>
        <v/>
      </c>
      <c r="G655" s="18">
        <f>'Income Statement'!$B$43*G638+MAX(G648-F648,0)*2100.379938*G638</f>
        <v/>
      </c>
    </row>
    <row r="656">
      <c r="A656" s="7" t="inlineStr">
        <is>
          <t>Fixed assets at cost, closing</t>
        </is>
      </c>
      <c r="C656" s="18">
        <f>(Assumptions!$B$91+Assumptions!$B$92)/10^6+C655</f>
        <v/>
      </c>
      <c r="D656" s="18">
        <f>C656+D655</f>
        <v/>
      </c>
      <c r="E656" s="18">
        <f>D656+E655</f>
        <v/>
      </c>
      <c r="F656" s="18">
        <f>E656+F655</f>
        <v/>
      </c>
      <c r="G656" s="18">
        <f>F656+G655</f>
        <v/>
      </c>
    </row>
    <row r="657">
      <c r="A657" s="7" t="inlineStr">
        <is>
          <t>Depreciation — rolls off the asset register</t>
        </is>
      </c>
      <c r="C657" s="18">
        <f>(Assumptions!$B$91+Assumptions!$B$92)/10^6/'Income Statement'!$B$42</f>
        <v/>
      </c>
      <c r="D657" s="18">
        <f>C656/'Income Statement'!$B$42</f>
        <v/>
      </c>
      <c r="E657" s="18">
        <f>D656/'Income Statement'!$B$42</f>
        <v/>
      </c>
      <c r="F657" s="18">
        <f>E656/'Income Statement'!$B$42</f>
        <v/>
      </c>
      <c r="G657" s="18">
        <f>F656/'Income Statement'!$B$42</f>
        <v/>
      </c>
    </row>
    <row r="658">
      <c r="A658" s="7" t="inlineStr">
        <is>
          <t>Fixed assets, net book, closing</t>
        </is>
      </c>
      <c r="C658" s="18">
        <f>(Assumptions!$B$90+Assumptions!$B$92)/10^6+C655-C657</f>
        <v/>
      </c>
      <c r="D658" s="18">
        <f>C658+D655-D657</f>
        <v/>
      </c>
      <c r="E658" s="18">
        <f>D658+E655-E657</f>
        <v/>
      </c>
      <c r="F658" s="18">
        <f>E658+F655-F657</f>
        <v/>
      </c>
      <c r="G658" s="18">
        <f>F658+G655-G657</f>
        <v/>
      </c>
    </row>
    <row r="659">
      <c r="A659" s="15" t="inlineStr">
        <is>
          <t>EBIT</t>
        </is>
      </c>
      <c r="C659" s="37">
        <f>C654-C657</f>
        <v/>
      </c>
      <c r="D659" s="37">
        <f>D654-D657</f>
        <v/>
      </c>
      <c r="E659" s="37">
        <f>E654-E657</f>
        <v/>
      </c>
      <c r="F659" s="37">
        <f>F654-F657</f>
        <v/>
      </c>
      <c r="G659" s="37">
        <f>G654-G657</f>
        <v/>
      </c>
    </row>
    <row r="660">
      <c r="A660" s="7" t="inlineStr">
        <is>
          <t>NOPAT before the profit share</t>
        </is>
      </c>
      <c r="C660" s="18">
        <f>C659*(1-Assumptions!$B$108)</f>
        <v/>
      </c>
      <c r="D660" s="18">
        <f>D659*(1-Assumptions!$B$108)</f>
        <v/>
      </c>
      <c r="E660" s="18">
        <f>E659*(1-Assumptions!$B$108)</f>
        <v/>
      </c>
      <c r="F660" s="18">
        <f>F659*(1-Assumptions!$B$108)</f>
        <v/>
      </c>
      <c r="G660" s="18">
        <f>G659*(1-Assumptions!$B$108)</f>
        <v/>
      </c>
    </row>
    <row r="661">
      <c r="A661" s="7" t="inlineStr">
        <is>
          <t xml:space="preserve">  less employees' profit share and board bonuses</t>
        </is>
      </c>
      <c r="C661" s="18">
        <f>MAX(C660,0)*'Income Statement'!$B$40</f>
        <v/>
      </c>
      <c r="D661" s="18">
        <f>MAX(D660,0)*'Income Statement'!$B$40</f>
        <v/>
      </c>
      <c r="E661" s="18">
        <f>MAX(E660,0)*'Income Statement'!$B$40</f>
        <v/>
      </c>
      <c r="F661" s="18">
        <f>MAX(F660,0)*'Income Statement'!$B$40</f>
        <v/>
      </c>
      <c r="G661" s="18">
        <f>MAX(G660,0)*'Income Statement'!$B$40</f>
        <v/>
      </c>
    </row>
    <row r="662">
      <c r="A662" s="15" t="inlineStr">
        <is>
          <t>NOPAT</t>
        </is>
      </c>
      <c r="C662" s="37">
        <f>C660-C661</f>
        <v/>
      </c>
      <c r="D662" s="37">
        <f>D660-D661</f>
        <v/>
      </c>
      <c r="E662" s="37">
        <f>E660-E661</f>
        <v/>
      </c>
      <c r="F662" s="37">
        <f>F660-F661</f>
        <v/>
      </c>
      <c r="G662" s="37">
        <f>G660-G661</f>
        <v/>
      </c>
    </row>
    <row r="663">
      <c r="A663" s="7" t="inlineStr">
        <is>
          <t>Net working capital — on days</t>
        </is>
      </c>
      <c r="C663" s="18">
        <f>'Income Statement'!$B$44*DCF!$B$9/365*C650+'Income Statement'!$B$45*DCF!$B$9/365*C649-'Income Statement'!$B$46*DCF!$B$9/365*C650</f>
        <v/>
      </c>
      <c r="D663" s="18">
        <f>'Income Statement'!$B$44*DCF!$B$9/365*D650+'Income Statement'!$B$45*DCF!$B$9/365*D649-'Income Statement'!$B$46*DCF!$B$9/365*D650</f>
        <v/>
      </c>
      <c r="E663" s="18">
        <f>'Income Statement'!$B$44*DCF!$B$9/365*E650+'Income Statement'!$B$45*DCF!$B$9/365*E649-'Income Statement'!$B$46*DCF!$B$9/365*E650</f>
        <v/>
      </c>
      <c r="F663" s="18">
        <f>'Income Statement'!$B$44*DCF!$B$9/365*F650+'Income Statement'!$B$45*DCF!$B$9/365*F649-'Income Statement'!$B$46*DCF!$B$9/365*F650</f>
        <v/>
      </c>
      <c r="G663" s="18">
        <f>'Income Statement'!$B$44*DCF!$B$9/365*G650+'Income Statement'!$B$45*DCF!$B$9/365*G649-'Income Statement'!$B$46*DCF!$B$9/365*G650</f>
        <v/>
      </c>
    </row>
    <row r="664">
      <c r="A664" s="7" t="inlineStr">
        <is>
          <t xml:space="preserve">  change in working capital</t>
        </is>
      </c>
      <c r="C664" s="18">
        <f>C663-('Income Statement'!$B$44/365*'Income Statement'!$B$21+'Income Statement'!$B$45/365*'Income Statement'!$B$19-'Income Statement'!$B$46/365*'Income Statement'!$B$21)</f>
        <v/>
      </c>
      <c r="D664" s="18">
        <f>D663-C663</f>
        <v/>
      </c>
      <c r="E664" s="18">
        <f>E663-D663</f>
        <v/>
      </c>
      <c r="F664" s="18">
        <f>F663-E663</f>
        <v/>
      </c>
      <c r="G664" s="18">
        <f>G663-F663</f>
        <v/>
      </c>
    </row>
    <row r="665">
      <c r="A665" s="15" t="inlineStr">
        <is>
          <t>FREE CASH FLOW TO THE FIRM</t>
        </is>
      </c>
      <c r="C665" s="37">
        <f>C662+C657-C655-C664</f>
        <v/>
      </c>
      <c r="D665" s="37">
        <f>D662+D657-D655-D664</f>
        <v/>
      </c>
      <c r="E665" s="37">
        <f>E662+E657-E655-E664</f>
        <v/>
      </c>
      <c r="F665" s="37">
        <f>F662+F657-F655-F664</f>
        <v/>
      </c>
      <c r="G665" s="37">
        <f>G662+G657-G655-G664</f>
        <v/>
      </c>
    </row>
    <row r="666">
      <c r="A666" s="7" t="inlineStr">
        <is>
          <t>Glide fraction</t>
        </is>
      </c>
      <c r="C666" s="23">
        <f>0.0000000000</f>
        <v/>
      </c>
      <c r="D666" s="23">
        <f>0.5166487648</f>
        <v/>
      </c>
      <c r="E666" s="23">
        <f>0.7314715360</f>
        <v/>
      </c>
      <c r="F666" s="23">
        <f>0.8925886144</f>
        <v/>
      </c>
      <c r="G666" s="23">
        <f>1.0000000000</f>
        <v/>
      </c>
    </row>
    <row r="667">
      <c r="A667" s="7" t="inlineStr">
        <is>
          <t>Forward cost of capital</t>
        </is>
      </c>
      <c r="C667" s="24">
        <f>DCF!$B$14-(DCF!$B$14-DCF!$B$17)*C666</f>
        <v/>
      </c>
      <c r="D667" s="24">
        <f>DCF!$B$14-(DCF!$B$14-DCF!$B$17)*D666</f>
        <v/>
      </c>
      <c r="E667" s="24">
        <f>DCF!$B$14-(DCF!$B$14-DCF!$B$17)*E666</f>
        <v/>
      </c>
      <c r="F667" s="24">
        <f>DCF!$B$14-(DCF!$B$14-DCF!$B$17)*F666</f>
        <v/>
      </c>
      <c r="G667" s="24">
        <f>DCF!$B$14-(DCF!$B$14-DCF!$B$17)*G666</f>
        <v/>
      </c>
    </row>
    <row r="668">
      <c r="A668" s="7" t="inlineStr">
        <is>
          <t>Cumulative discount factor</t>
        </is>
      </c>
      <c r="C668" s="40">
        <f>1/(1+C667)</f>
        <v/>
      </c>
      <c r="D668" s="40">
        <f>C668/(1+D667)</f>
        <v/>
      </c>
      <c r="E668" s="40">
        <f>D668/(1+E667)</f>
        <v/>
      </c>
      <c r="F668" s="40">
        <f>E668/(1+F667)</f>
        <v/>
      </c>
      <c r="G668" s="40">
        <f>F668/(1+G667)</f>
        <v/>
      </c>
    </row>
    <row r="669">
      <c r="A669" s="7" t="inlineStr">
        <is>
          <t>Present value</t>
        </is>
      </c>
      <c r="C669" s="18">
        <f>C665*C668</f>
        <v/>
      </c>
      <c r="D669" s="18">
        <f>D665*D668</f>
        <v/>
      </c>
      <c r="E669" s="18">
        <f>E665*E668</f>
        <v/>
      </c>
      <c r="F669" s="18">
        <f>F665*F668</f>
        <v/>
      </c>
      <c r="G669" s="18">
        <f>G665*G668</f>
        <v/>
      </c>
    </row>
    <row r="670">
      <c r="A670" s="15" t="inlineStr">
        <is>
          <t>PV of the explicit window</t>
        </is>
      </c>
      <c r="B670" s="37">
        <f>SUM(C669:G669)</f>
        <v/>
      </c>
      <c r="C670" s="18">
        <f>C663+C656</f>
        <v/>
      </c>
      <c r="D670" s="18">
        <f>D663+D656</f>
        <v/>
      </c>
      <c r="E670" s="18">
        <f>E663+E656</f>
        <v/>
      </c>
      <c r="F670" s="18">
        <f>F663+F656</f>
        <v/>
      </c>
      <c r="G670" s="18">
        <f>G663+G656</f>
        <v/>
      </c>
    </row>
    <row r="671">
      <c r="A671" s="7" t="inlineStr">
        <is>
          <t>Terminal return on invested capital, at REPLACEMENT cost</t>
        </is>
      </c>
      <c r="B671" s="24">
        <f>G662*(1+Assumptions!$B$110)/G670</f>
        <v/>
      </c>
    </row>
    <row r="672">
      <c r="A672" s="7" t="inlineStr">
        <is>
          <t>Required reinvestment = growth / return</t>
        </is>
      </c>
      <c r="B672" s="24">
        <f>MIN(Assumptions!$B$110/B671,0.95)</f>
        <v/>
      </c>
    </row>
    <row r="673">
      <c r="A673" s="7" t="inlineStr">
        <is>
          <t>Terminal value</t>
        </is>
      </c>
      <c r="B673" s="18">
        <f>G662*(1+Assumptions!$B$110)*(1-B672)/MAX(DCF!$B$17-Assumptions!$B$110,0.02)</f>
        <v/>
      </c>
    </row>
    <row r="674">
      <c r="A674" s="7" t="inlineStr">
        <is>
          <t>PV of the terminal block</t>
        </is>
      </c>
      <c r="B674" s="18">
        <f>B673*G668</f>
        <v/>
      </c>
    </row>
    <row r="675">
      <c r="A675" s="15" t="inlineStr">
        <is>
          <t>ENTERPRISE VALUE</t>
        </is>
      </c>
      <c r="B675" s="37">
        <f>B670+B674</f>
        <v/>
      </c>
    </row>
    <row r="676">
      <c r="A676" s="7" t="inlineStr">
        <is>
          <t>plus net cash</t>
        </is>
      </c>
      <c r="B676" s="18">
        <f>(Assumptions!$B$100-Assumptions!$B$103-Assumptions!$B$104)/10^6</f>
        <v/>
      </c>
    </row>
    <row r="677">
      <c r="A677" s="7" t="inlineStr">
        <is>
          <t>Enterprise value including cash</t>
        </is>
      </c>
      <c r="B677" s="18">
        <f>B675+B676</f>
        <v/>
      </c>
    </row>
    <row r="678">
      <c r="A678" s="7" t="inlineStr">
        <is>
          <t>less minority — on the WHOLE enterprise, cash included</t>
        </is>
      </c>
      <c r="B678" s="18">
        <f>B677*'Income Statement'!$B$41</f>
        <v/>
      </c>
    </row>
    <row r="679">
      <c r="A679" s="7" t="inlineStr">
        <is>
          <t>less the tax-disputes provision</t>
        </is>
      </c>
      <c r="B679" s="18">
        <f>Assumptions!$B$99/10^6</f>
        <v/>
      </c>
    </row>
    <row r="680">
      <c r="A680" s="7" t="inlineStr">
        <is>
          <t>less dividends payable — declared, out of working capital</t>
        </is>
      </c>
      <c r="B680" s="18">
        <f>Assumptions!$B$98/10^6</f>
        <v/>
      </c>
    </row>
    <row r="681">
      <c r="A681" s="7" t="inlineStr">
        <is>
          <t>plus non-operating investments and pledged deposits</t>
        </is>
      </c>
      <c r="B681" s="18">
        <f>(Assumptions!$B$102+Assumptions!$B$101)/10^6</f>
        <v/>
      </c>
    </row>
    <row r="682">
      <c r="A682" s="15" t="inlineStr">
        <is>
          <t>EQUITY ATTRIBUTABLE</t>
        </is>
      </c>
      <c r="B682" s="37">
        <f>B677-B678-B679-B680+B681</f>
        <v/>
      </c>
    </row>
    <row r="683">
      <c r="A683" s="15" t="inlineStr">
        <is>
          <t>VALUE PER SHARE, EGP</t>
        </is>
      </c>
      <c r="B683" s="22">
        <f>B682/Assumptions!$B$8</f>
        <v/>
      </c>
    </row>
    <row r="686">
      <c r="A686" s="6" t="inlineStr">
        <is>
          <t>Realisation path, as a multiple of the assumed path — 1.05x</t>
        </is>
      </c>
      <c r="B686" s="6" t="inlineStr">
        <is>
          <t>2026E</t>
        </is>
      </c>
      <c r="C686" s="6" t="inlineStr">
        <is>
          <t>2027E</t>
        </is>
      </c>
      <c r="D686" s="6" t="inlineStr">
        <is>
          <t>2028E</t>
        </is>
      </c>
      <c r="E686" s="6" t="inlineStr">
        <is>
          <t>2029E</t>
        </is>
      </c>
      <c r="F686" s="6" t="inlineStr">
        <is>
          <t>2030E</t>
        </is>
      </c>
    </row>
    <row r="687">
      <c r="A687" s="7" t="inlineStr">
        <is>
          <t>Inflation index, cumulative</t>
        </is>
      </c>
      <c r="C687" s="23">
        <f>Assumptions!$B$167</f>
        <v/>
      </c>
      <c r="D687" s="23">
        <f>C687*Assumptions!$B$168</f>
        <v/>
      </c>
      <c r="E687" s="23">
        <f>D687*Assumptions!$B$169</f>
        <v/>
      </c>
      <c r="F687" s="23">
        <f>E687*Assumptions!$B$170</f>
        <v/>
      </c>
      <c r="G687" s="23">
        <f>F687*Assumptions!$B$171</f>
        <v/>
      </c>
    </row>
    <row r="688">
      <c r="A688" s="7" t="inlineStr">
        <is>
          <t>Realisation index, cumulative</t>
        </is>
      </c>
      <c r="C688" s="23">
        <f>(1+Assumptions!$B$122*$D$23)</f>
        <v/>
      </c>
      <c r="D688" s="23">
        <f>C688*(1+Assumptions!$B$123*$D$23)</f>
        <v/>
      </c>
      <c r="E688" s="23">
        <f>D688*(1+Assumptions!$B$124*$D$23)</f>
        <v/>
      </c>
      <c r="F688" s="23">
        <f>E688*(1+Assumptions!$B$125*$D$23)</f>
        <v/>
      </c>
      <c r="G688" s="23">
        <f>F688*(1+Assumptions!$B$126*$D$23)</f>
        <v/>
      </c>
    </row>
    <row r="689">
      <c r="A689" s="7" t="inlineStr">
        <is>
          <t xml:space="preserve">  Volume — Base and special oils, mn t</t>
        </is>
      </c>
      <c r="C689" s="23">
        <f>'Segments'!E6*(1+Assumptions!$B$127+DCF!$B$6)</f>
        <v/>
      </c>
      <c r="D689" s="23">
        <f>C689*(1+Assumptions!$B$128+DCF!$B$6)</f>
        <v/>
      </c>
      <c r="E689" s="23">
        <f>D689*(1+Assumptions!$B$129+DCF!$B$6)</f>
        <v/>
      </c>
      <c r="F689" s="23">
        <f>E689*(1+Assumptions!$B$130+DCF!$B$6)</f>
        <v/>
      </c>
      <c r="G689" s="23">
        <f>F689*(1+Assumptions!$B$131+DCF!$B$6)</f>
        <v/>
      </c>
    </row>
    <row r="690">
      <c r="A690" s="7" t="inlineStr">
        <is>
          <t xml:space="preserve">  Volume — Paraffin wax, mn t</t>
        </is>
      </c>
      <c r="C690" s="23">
        <f>'Segments'!E7*(1+Assumptions!$B$132+DCF!$B$6)</f>
        <v/>
      </c>
      <c r="D690" s="23">
        <f>C690*(1+Assumptions!$B$133+DCF!$B$6)</f>
        <v/>
      </c>
      <c r="E690" s="23">
        <f>D690*(1+Assumptions!$B$134+DCF!$B$6)</f>
        <v/>
      </c>
      <c r="F690" s="23">
        <f>E690*(1+Assumptions!$B$135+DCF!$B$6)</f>
        <v/>
      </c>
      <c r="G690" s="23">
        <f>F690*(1+Assumptions!$B$136+DCF!$B$6)</f>
        <v/>
      </c>
    </row>
    <row r="691">
      <c r="A691" s="7" t="inlineStr">
        <is>
          <t xml:space="preserve">  Volume — Gas oil, mn t</t>
        </is>
      </c>
      <c r="C691" s="23">
        <f>'Segments'!E8*(1+Assumptions!$B$137+DCF!$B$6)</f>
        <v/>
      </c>
      <c r="D691" s="23">
        <f>C691*(1+Assumptions!$B$138+DCF!$B$6)</f>
        <v/>
      </c>
      <c r="E691" s="23">
        <f>D691*(1+Assumptions!$B$139+DCF!$B$6)</f>
        <v/>
      </c>
      <c r="F691" s="23">
        <f>E691*(1+Assumptions!$B$140+DCF!$B$6)</f>
        <v/>
      </c>
      <c r="G691" s="23">
        <f>F691*(1+Assumptions!$B$141+DCF!$B$6)</f>
        <v/>
      </c>
    </row>
    <row r="692">
      <c r="A692" s="7" t="inlineStr">
        <is>
          <t xml:space="preserve">  Volume — Naphtha, mn t</t>
        </is>
      </c>
      <c r="C692" s="23">
        <f>'Segments'!E9*(1+Assumptions!$B$142+DCF!$B$6)</f>
        <v/>
      </c>
      <c r="D692" s="23">
        <f>C692*(1+Assumptions!$B$143+DCF!$B$6)</f>
        <v/>
      </c>
      <c r="E692" s="23">
        <f>D692*(1+Assumptions!$B$144+DCF!$B$6)</f>
        <v/>
      </c>
      <c r="F692" s="23">
        <f>E692*(1+Assumptions!$B$145+DCF!$B$6)</f>
        <v/>
      </c>
      <c r="G692" s="23">
        <f>F692*(1+Assumptions!$B$146+DCF!$B$6)</f>
        <v/>
      </c>
    </row>
    <row r="693">
      <c r="A693" s="7" t="inlineStr">
        <is>
          <t xml:space="preserve">  Volume — Liquefied petroleum gas, mn t</t>
        </is>
      </c>
      <c r="C693" s="23">
        <f>'Segments'!E10*(1+Assumptions!$B$147+DCF!$B$6)</f>
        <v/>
      </c>
      <c r="D693" s="23">
        <f>C693*(1+Assumptions!$B$148+DCF!$B$6)</f>
        <v/>
      </c>
      <c r="E693" s="23">
        <f>D693*(1+Assumptions!$B$149+DCF!$B$6)</f>
        <v/>
      </c>
      <c r="F693" s="23">
        <f>E693*(1+Assumptions!$B$150+DCF!$B$6)</f>
        <v/>
      </c>
      <c r="G693" s="23">
        <f>F693*(1+Assumptions!$B$151+DCF!$B$6)</f>
        <v/>
      </c>
    </row>
    <row r="694">
      <c r="A694" s="7" t="inlineStr">
        <is>
          <t xml:space="preserve">  Volume — Fuel oil (mix), mn t</t>
        </is>
      </c>
      <c r="C694" s="23">
        <f>'Segments'!E11*(1+Assumptions!$B$152+DCF!$B$6)</f>
        <v/>
      </c>
      <c r="D694" s="23">
        <f>C694*(1+Assumptions!$B$153+DCF!$B$6)</f>
        <v/>
      </c>
      <c r="E694" s="23">
        <f>D694*(1+Assumptions!$B$154+DCF!$B$6)</f>
        <v/>
      </c>
      <c r="F694" s="23">
        <f>E694*(1+Assumptions!$B$155+DCF!$B$6)</f>
        <v/>
      </c>
      <c r="G694" s="23">
        <f>F694*(1+Assumptions!$B$156+DCF!$B$6)</f>
        <v/>
      </c>
    </row>
    <row r="695">
      <c r="A695" s="7" t="inlineStr">
        <is>
          <t xml:space="preserve">  Volume — Heavy fuel oil, mn t</t>
        </is>
      </c>
      <c r="C695" s="23">
        <f>'Segments'!E12*(1+Assumptions!$B$157+DCF!$B$6)</f>
        <v/>
      </c>
      <c r="D695" s="23">
        <f>C695*(1+Assumptions!$B$158+DCF!$B$6)</f>
        <v/>
      </c>
      <c r="E695" s="23">
        <f>D695*(1+Assumptions!$B$159+DCF!$B$6)</f>
        <v/>
      </c>
      <c r="F695" s="23">
        <f>E695*(1+Assumptions!$B$160+DCF!$B$6)</f>
        <v/>
      </c>
      <c r="G695" s="23">
        <f>F695*(1+Assumptions!$B$161+DCF!$B$6)</f>
        <v/>
      </c>
    </row>
    <row r="696">
      <c r="A696" s="7" t="inlineStr">
        <is>
          <t xml:space="preserve">  Volume — Waste, mn t</t>
        </is>
      </c>
      <c r="C696" s="23">
        <f>'Segments'!E13*(1+Assumptions!$B$162+DCF!$B$6)</f>
        <v/>
      </c>
      <c r="D696" s="23">
        <f>C696*(1+Assumptions!$B$163+DCF!$B$6)</f>
        <v/>
      </c>
      <c r="E696" s="23">
        <f>D696*(1+Assumptions!$B$164+DCF!$B$6)</f>
        <v/>
      </c>
      <c r="F696" s="23">
        <f>E696*(1+Assumptions!$B$165+DCF!$B$6)</f>
        <v/>
      </c>
      <c r="G696" s="23">
        <f>F696*(1+Assumptions!$B$166+DCF!$B$6)</f>
        <v/>
      </c>
    </row>
    <row r="697">
      <c r="A697" s="15" t="inlineStr">
        <is>
          <t>Total volume, mn t</t>
        </is>
      </c>
      <c r="C697" s="36">
        <f>SUM(C689:C696)</f>
        <v/>
      </c>
      <c r="D697" s="36">
        <f>SUM(D689:D696)</f>
        <v/>
      </c>
      <c r="E697" s="36">
        <f>SUM(E689:E696)</f>
        <v/>
      </c>
      <c r="F697" s="36">
        <f>SUM(F689:F696)</f>
        <v/>
      </c>
      <c r="G697" s="36">
        <f>SUM(G689:G696)</f>
        <v/>
      </c>
    </row>
    <row r="698">
      <c r="A698" s="15" t="inlineStr">
        <is>
          <t>REVENUE</t>
        </is>
      </c>
      <c r="C698" s="37">
        <f>C689*'Segments'!$F$6*C688+C690*'Segments'!$F$7*C688+C691*'Segments'!$F$8*C688+C692*'Segments'!$F$9*C688+C693*'Segments'!$F$10*C688+C694*'Segments'!$F$11*C688+C695*'Segments'!$F$12*C688+C696*'Segments'!$F$13*C688</f>
        <v/>
      </c>
      <c r="D698" s="37">
        <f>D689*'Segments'!$F$6*D688+D690*'Segments'!$F$7*D688+D691*'Segments'!$F$8*D688+D692*'Segments'!$F$9*D688+D693*'Segments'!$F$10*D688+D694*'Segments'!$F$11*D688+D695*'Segments'!$F$12*D688+D696*'Segments'!$F$13*D688</f>
        <v/>
      </c>
      <c r="E698" s="37">
        <f>E689*'Segments'!$F$6*E688+E690*'Segments'!$F$7*E688+E691*'Segments'!$F$8*E688+E692*'Segments'!$F$9*E688+E693*'Segments'!$F$10*E688+E694*'Segments'!$F$11*E688+E695*'Segments'!$F$12*E688+E696*'Segments'!$F$13*E688</f>
        <v/>
      </c>
      <c r="F698" s="37">
        <f>F689*'Segments'!$F$6*F688+F690*'Segments'!$F$7*F688+F691*'Segments'!$F$8*F688+F692*'Segments'!$F$9*F688+F693*'Segments'!$F$10*F688+F694*'Segments'!$F$11*F688+F695*'Segments'!$F$12*F688+F696*'Segments'!$F$13*F688</f>
        <v/>
      </c>
      <c r="G698" s="37">
        <f>G689*'Segments'!$F$6*G688+G690*'Segments'!$F$7*G688+G691*'Segments'!$F$8*G688+G692*'Segments'!$F$9*G688+G693*'Segments'!$F$10*G688+G694*'Segments'!$F$11*G688+G695*'Segments'!$F$12*G688+G696*'Segments'!$F$13*G688</f>
        <v/>
      </c>
    </row>
    <row r="699">
      <c r="A699" s="7" t="inlineStr">
        <is>
          <t>Cost of sales</t>
        </is>
      </c>
      <c r="C699" s="18">
        <f>C689*('Segments'!$D$27*C688*Assumptions!$B$109+'Segments'!$B$27*(0.4983251709*C688+0.4357405005*C688+0.0330936548*C688+0.0328406739))+C690*('Segments'!$D$28*C688*Assumptions!$B$109+'Segments'!$B$28*(0.4983251709*C688+0.4357405005*C688+0.0330936548*C688+0.0328406739))+C691*('Segments'!$D$29*C688*Assumptions!$B$109+'Segments'!$B$29*(0.4983251709*C688+0.4357405005*C688+0.0330936548*C688+0.0328406739))+C692*('Segments'!$D$30*C688*Assumptions!$B$109+'Segments'!$B$30*(0.4983251709*C688+0.4357405005*C688+0.0330936548*C688+0.0328406739))+C693*('Segments'!$D$31*C688*Assumptions!$B$109+'Segments'!$B$31*(0.4983251709*C688+0.4357405005*C688+0.0330936548*C688+0.0328406739))+C694*('Segments'!$D$32*C688*Assumptions!$B$109+'Segments'!$B$32*(0.4983251709*C688+0.4357405005*C688+0.0330936548*C688+0.0328406739))+C695*('Segments'!$D$33*C688*Assumptions!$B$109+'Segments'!$B$33*(0.4983251709*C688+0.4357405005*C688+0.0330936548*C688+0.0328406739))+C696*('Segments'!$D$34*C688*Assumptions!$B$109+'Segments'!$B$34*(0.4983251709*C688+0.4357405005*C688+0.0330936548*C688+0.0328406739))</f>
        <v/>
      </c>
      <c r="D699" s="18">
        <f>D689*('Segments'!$D$27*D688*Assumptions!$B$109+'Segments'!$B$27*(0.4983251709*D688+0.4357405005*D688+0.0330936548*D688+0.0328406739))+D690*('Segments'!$D$28*D688*Assumptions!$B$109+'Segments'!$B$28*(0.4983251709*D688+0.4357405005*D688+0.0330936548*D688+0.0328406739))+D691*('Segments'!$D$29*D688*Assumptions!$B$109+'Segments'!$B$29*(0.4983251709*D688+0.4357405005*D688+0.0330936548*D688+0.0328406739))+D692*('Segments'!$D$30*D688*Assumptions!$B$109+'Segments'!$B$30*(0.4983251709*D688+0.4357405005*D688+0.0330936548*D688+0.0328406739))+D693*('Segments'!$D$31*D688*Assumptions!$B$109+'Segments'!$B$31*(0.4983251709*D688+0.4357405005*D688+0.0330936548*D688+0.0328406739))+D694*('Segments'!$D$32*D688*Assumptions!$B$109+'Segments'!$B$32*(0.4983251709*D688+0.4357405005*D688+0.0330936548*D688+0.0328406739))+D695*('Segments'!$D$33*D688*Assumptions!$B$109+'Segments'!$B$33*(0.4983251709*D688+0.4357405005*D688+0.0330936548*D688+0.0328406739))+D696*('Segments'!$D$34*D688*Assumptions!$B$109+'Segments'!$B$34*(0.4983251709*D688+0.4357405005*D688+0.0330936548*D688+0.0328406739))</f>
        <v/>
      </c>
      <c r="E699" s="18">
        <f>E689*('Segments'!$D$27*E688*Assumptions!$B$109+'Segments'!$B$27*(0.4983251709*E688+0.4357405005*E688+0.0330936548*E688+0.0328406739))+E690*('Segments'!$D$28*E688*Assumptions!$B$109+'Segments'!$B$28*(0.4983251709*E688+0.4357405005*E688+0.0330936548*E688+0.0328406739))+E691*('Segments'!$D$29*E688*Assumptions!$B$109+'Segments'!$B$29*(0.4983251709*E688+0.4357405005*E688+0.0330936548*E688+0.0328406739))+E692*('Segments'!$D$30*E688*Assumptions!$B$109+'Segments'!$B$30*(0.4983251709*E688+0.4357405005*E688+0.0330936548*E688+0.0328406739))+E693*('Segments'!$D$31*E688*Assumptions!$B$109+'Segments'!$B$31*(0.4983251709*E688+0.4357405005*E688+0.0330936548*E688+0.0328406739))+E694*('Segments'!$D$32*E688*Assumptions!$B$109+'Segments'!$B$32*(0.4983251709*E688+0.4357405005*E688+0.0330936548*E688+0.0328406739))+E695*('Segments'!$D$33*E688*Assumptions!$B$109+'Segments'!$B$33*(0.4983251709*E688+0.4357405005*E688+0.0330936548*E688+0.0328406739))+E696*('Segments'!$D$34*E688*Assumptions!$B$109+'Segments'!$B$34*(0.4983251709*E688+0.4357405005*E688+0.0330936548*E688+0.0328406739))</f>
        <v/>
      </c>
      <c r="F699" s="18">
        <f>F689*('Segments'!$D$27*F688*Assumptions!$B$109+'Segments'!$B$27*(0.4983251709*F688+0.4357405005*F688+0.0330936548*F688+0.0328406739))+F690*('Segments'!$D$28*F688*Assumptions!$B$109+'Segments'!$B$28*(0.4983251709*F688+0.4357405005*F688+0.0330936548*F688+0.0328406739))+F691*('Segments'!$D$29*F688*Assumptions!$B$109+'Segments'!$B$29*(0.4983251709*F688+0.4357405005*F688+0.0330936548*F688+0.0328406739))+F692*('Segments'!$D$30*F688*Assumptions!$B$109+'Segments'!$B$30*(0.4983251709*F688+0.4357405005*F688+0.0330936548*F688+0.0328406739))+F693*('Segments'!$D$31*F688*Assumptions!$B$109+'Segments'!$B$31*(0.4983251709*F688+0.4357405005*F688+0.0330936548*F688+0.0328406739))+F694*('Segments'!$D$32*F688*Assumptions!$B$109+'Segments'!$B$32*(0.4983251709*F688+0.4357405005*F688+0.0330936548*F688+0.0328406739))+F695*('Segments'!$D$33*F688*Assumptions!$B$109+'Segments'!$B$33*(0.4983251709*F688+0.4357405005*F688+0.0330936548*F688+0.0328406739))+F696*('Segments'!$D$34*F688*Assumptions!$B$109+'Segments'!$B$34*(0.4983251709*F688+0.4357405005*F688+0.0330936548*F688+0.0328406739))</f>
        <v/>
      </c>
      <c r="G699" s="18">
        <f>G689*('Segments'!$D$27*G688*Assumptions!$B$109+'Segments'!$B$27*(0.4983251709*G688+0.4357405005*G688+0.0330936548*G688+0.0328406739))+G690*('Segments'!$D$28*G688*Assumptions!$B$109+'Segments'!$B$28*(0.4983251709*G688+0.4357405005*G688+0.0330936548*G688+0.0328406739))+G691*('Segments'!$D$29*G688*Assumptions!$B$109+'Segments'!$B$29*(0.4983251709*G688+0.4357405005*G688+0.0330936548*G688+0.0328406739))+G692*('Segments'!$D$30*G688*Assumptions!$B$109+'Segments'!$B$30*(0.4983251709*G688+0.4357405005*G688+0.0330936548*G688+0.0328406739))+G693*('Segments'!$D$31*G688*Assumptions!$B$109+'Segments'!$B$31*(0.4983251709*G688+0.4357405005*G688+0.0330936548*G688+0.0328406739))+G694*('Segments'!$D$32*G688*Assumptions!$B$109+'Segments'!$B$32*(0.4983251709*G688+0.4357405005*G688+0.0330936548*G688+0.0328406739))+G695*('Segments'!$D$33*G688*Assumptions!$B$109+'Segments'!$B$33*(0.4983251709*G688+0.4357405005*G688+0.0330936548*G688+0.0328406739))+G696*('Segments'!$D$34*G688*Assumptions!$B$109+'Segments'!$B$34*(0.4983251709*G688+0.4357405005*G688+0.0330936548*G688+0.0328406739))</f>
        <v/>
      </c>
    </row>
    <row r="700">
      <c r="A700" s="15" t="inlineStr">
        <is>
          <t>GROSS PROFIT</t>
        </is>
      </c>
      <c r="C700" s="37">
        <f>C698-C699+DCF!$B$7*C698</f>
        <v/>
      </c>
      <c r="D700" s="37">
        <f>D698-D699+DCF!$B$7*D698</f>
        <v/>
      </c>
      <c r="E700" s="37">
        <f>E698-E699+DCF!$B$7*E698</f>
        <v/>
      </c>
      <c r="F700" s="37">
        <f>F698-F699+DCF!$B$7*F698</f>
        <v/>
      </c>
      <c r="G700" s="37">
        <f>G698-G699+DCF!$B$7*G698</f>
        <v/>
      </c>
    </row>
    <row r="701">
      <c r="A701" s="7" t="inlineStr">
        <is>
          <t>Gross margin</t>
        </is>
      </c>
      <c r="C701" s="24">
        <f>C700/C698</f>
        <v/>
      </c>
      <c r="D701" s="24">
        <f>D700/D698</f>
        <v/>
      </c>
      <c r="E701" s="24">
        <f>E700/E698</f>
        <v/>
      </c>
      <c r="F701" s="24">
        <f>F700/F698</f>
        <v/>
      </c>
      <c r="G701" s="24">
        <f>G700/G698</f>
        <v/>
      </c>
    </row>
    <row r="702">
      <c r="A702" s="7" t="inlineStr">
        <is>
          <t>Operating expense</t>
        </is>
      </c>
      <c r="C702" s="18">
        <f>('Income Statement'!$B$28*C687)+('Income Statement'!$B$29*C687*C697/'Segments'!$E$14)+('Income Statement'!$B$30*C687)+('Income Statement'!$B$31*C687)</f>
        <v/>
      </c>
      <c r="D702" s="18">
        <f>('Income Statement'!$B$28*D687)+('Income Statement'!$B$29*D687*D697/'Segments'!$E$14)+('Income Statement'!$B$30*D687)+('Income Statement'!$B$31*D687)</f>
        <v/>
      </c>
      <c r="E702" s="18">
        <f>('Income Statement'!$B$28*E687)+('Income Statement'!$B$29*E687*E697/'Segments'!$E$14)+('Income Statement'!$B$30*E687)+('Income Statement'!$B$31*E687)</f>
        <v/>
      </c>
      <c r="F702" s="18">
        <f>('Income Statement'!$B$28*F687)+('Income Statement'!$B$29*F687*F697/'Segments'!$E$14)+('Income Statement'!$B$30*F687)+('Income Statement'!$B$31*F687)</f>
        <v/>
      </c>
      <c r="G702" s="18">
        <f>('Income Statement'!$B$28*G687)+('Income Statement'!$B$29*G687*G697/'Segments'!$E$14)+('Income Statement'!$B$30*G687)+('Income Statement'!$B$31*G687)</f>
        <v/>
      </c>
    </row>
    <row r="703">
      <c r="A703" s="15" t="inlineStr">
        <is>
          <t>EBITDA</t>
        </is>
      </c>
      <c r="C703" s="37">
        <f>C700-C702</f>
        <v/>
      </c>
      <c r="D703" s="37">
        <f>D700-D702</f>
        <v/>
      </c>
      <c r="E703" s="37">
        <f>E700-E702</f>
        <v/>
      </c>
      <c r="F703" s="37">
        <f>F700-F702</f>
        <v/>
      </c>
      <c r="G703" s="37">
        <f>G700-G702</f>
        <v/>
      </c>
    </row>
    <row r="704">
      <c r="A704" s="7" t="inlineStr">
        <is>
          <t>Capital expenditure — maintenance + growth</t>
        </is>
      </c>
      <c r="C704" s="18">
        <f>'Income Statement'!$B$43*C687+MAX(C697-'Segments'!$E$14,0)*2100.379938*C687</f>
        <v/>
      </c>
      <c r="D704" s="18">
        <f>'Income Statement'!$B$43*D687+MAX(D697-C697,0)*2100.379938*D687</f>
        <v/>
      </c>
      <c r="E704" s="18">
        <f>'Income Statement'!$B$43*E687+MAX(E697-D697,0)*2100.379938*E687</f>
        <v/>
      </c>
      <c r="F704" s="18">
        <f>'Income Statement'!$B$43*F687+MAX(F697-E697,0)*2100.379938*F687</f>
        <v/>
      </c>
      <c r="G704" s="18">
        <f>'Income Statement'!$B$43*G687+MAX(G697-F697,0)*2100.379938*G687</f>
        <v/>
      </c>
    </row>
    <row r="705">
      <c r="A705" s="7" t="inlineStr">
        <is>
          <t>Fixed assets at cost, closing</t>
        </is>
      </c>
      <c r="C705" s="18">
        <f>(Assumptions!$B$91+Assumptions!$B$92)/10^6+C704</f>
        <v/>
      </c>
      <c r="D705" s="18">
        <f>C705+D704</f>
        <v/>
      </c>
      <c r="E705" s="18">
        <f>D705+E704</f>
        <v/>
      </c>
      <c r="F705" s="18">
        <f>E705+F704</f>
        <v/>
      </c>
      <c r="G705" s="18">
        <f>F705+G704</f>
        <v/>
      </c>
    </row>
    <row r="706">
      <c r="A706" s="7" t="inlineStr">
        <is>
          <t>Depreciation — rolls off the asset register</t>
        </is>
      </c>
      <c r="C706" s="18">
        <f>(Assumptions!$B$91+Assumptions!$B$92)/10^6/'Income Statement'!$B$42</f>
        <v/>
      </c>
      <c r="D706" s="18">
        <f>C705/'Income Statement'!$B$42</f>
        <v/>
      </c>
      <c r="E706" s="18">
        <f>D705/'Income Statement'!$B$42</f>
        <v/>
      </c>
      <c r="F706" s="18">
        <f>E705/'Income Statement'!$B$42</f>
        <v/>
      </c>
      <c r="G706" s="18">
        <f>F705/'Income Statement'!$B$42</f>
        <v/>
      </c>
    </row>
    <row r="707">
      <c r="A707" s="7" t="inlineStr">
        <is>
          <t>Fixed assets, net book, closing</t>
        </is>
      </c>
      <c r="C707" s="18">
        <f>(Assumptions!$B$90+Assumptions!$B$92)/10^6+C704-C706</f>
        <v/>
      </c>
      <c r="D707" s="18">
        <f>C707+D704-D706</f>
        <v/>
      </c>
      <c r="E707" s="18">
        <f>D707+E704-E706</f>
        <v/>
      </c>
      <c r="F707" s="18">
        <f>E707+F704-F706</f>
        <v/>
      </c>
      <c r="G707" s="18">
        <f>F707+G704-G706</f>
        <v/>
      </c>
    </row>
    <row r="708">
      <c r="A708" s="15" t="inlineStr">
        <is>
          <t>EBIT</t>
        </is>
      </c>
      <c r="C708" s="37">
        <f>C703-C706</f>
        <v/>
      </c>
      <c r="D708" s="37">
        <f>D703-D706</f>
        <v/>
      </c>
      <c r="E708" s="37">
        <f>E703-E706</f>
        <v/>
      </c>
      <c r="F708" s="37">
        <f>F703-F706</f>
        <v/>
      </c>
      <c r="G708" s="37">
        <f>G703-G706</f>
        <v/>
      </c>
    </row>
    <row r="709">
      <c r="A709" s="7" t="inlineStr">
        <is>
          <t>NOPAT before the profit share</t>
        </is>
      </c>
      <c r="C709" s="18">
        <f>C708*(1-Assumptions!$B$108)</f>
        <v/>
      </c>
      <c r="D709" s="18">
        <f>D708*(1-Assumptions!$B$108)</f>
        <v/>
      </c>
      <c r="E709" s="18">
        <f>E708*(1-Assumptions!$B$108)</f>
        <v/>
      </c>
      <c r="F709" s="18">
        <f>F708*(1-Assumptions!$B$108)</f>
        <v/>
      </c>
      <c r="G709" s="18">
        <f>G708*(1-Assumptions!$B$108)</f>
        <v/>
      </c>
    </row>
    <row r="710">
      <c r="A710" s="7" t="inlineStr">
        <is>
          <t xml:space="preserve">  less employees' profit share and board bonuses</t>
        </is>
      </c>
      <c r="C710" s="18">
        <f>MAX(C709,0)*'Income Statement'!$B$40</f>
        <v/>
      </c>
      <c r="D710" s="18">
        <f>MAX(D709,0)*'Income Statement'!$B$40</f>
        <v/>
      </c>
      <c r="E710" s="18">
        <f>MAX(E709,0)*'Income Statement'!$B$40</f>
        <v/>
      </c>
      <c r="F710" s="18">
        <f>MAX(F709,0)*'Income Statement'!$B$40</f>
        <v/>
      </c>
      <c r="G710" s="18">
        <f>MAX(G709,0)*'Income Statement'!$B$40</f>
        <v/>
      </c>
    </row>
    <row r="711">
      <c r="A711" s="15" t="inlineStr">
        <is>
          <t>NOPAT</t>
        </is>
      </c>
      <c r="C711" s="37">
        <f>C709-C710</f>
        <v/>
      </c>
      <c r="D711" s="37">
        <f>D709-D710</f>
        <v/>
      </c>
      <c r="E711" s="37">
        <f>E709-E710</f>
        <v/>
      </c>
      <c r="F711" s="37">
        <f>F709-F710</f>
        <v/>
      </c>
      <c r="G711" s="37">
        <f>G709-G710</f>
        <v/>
      </c>
    </row>
    <row r="712">
      <c r="A712" s="7" t="inlineStr">
        <is>
          <t>Net working capital — on days</t>
        </is>
      </c>
      <c r="C712" s="18">
        <f>'Income Statement'!$B$44*DCF!$B$9/365*C699+'Income Statement'!$B$45*DCF!$B$9/365*C698-'Income Statement'!$B$46*DCF!$B$9/365*C699</f>
        <v/>
      </c>
      <c r="D712" s="18">
        <f>'Income Statement'!$B$44*DCF!$B$9/365*D699+'Income Statement'!$B$45*DCF!$B$9/365*D698-'Income Statement'!$B$46*DCF!$B$9/365*D699</f>
        <v/>
      </c>
      <c r="E712" s="18">
        <f>'Income Statement'!$B$44*DCF!$B$9/365*E699+'Income Statement'!$B$45*DCF!$B$9/365*E698-'Income Statement'!$B$46*DCF!$B$9/365*E699</f>
        <v/>
      </c>
      <c r="F712" s="18">
        <f>'Income Statement'!$B$44*DCF!$B$9/365*F699+'Income Statement'!$B$45*DCF!$B$9/365*F698-'Income Statement'!$B$46*DCF!$B$9/365*F699</f>
        <v/>
      </c>
      <c r="G712" s="18">
        <f>'Income Statement'!$B$44*DCF!$B$9/365*G699+'Income Statement'!$B$45*DCF!$B$9/365*G698-'Income Statement'!$B$46*DCF!$B$9/365*G699</f>
        <v/>
      </c>
    </row>
    <row r="713">
      <c r="A713" s="7" t="inlineStr">
        <is>
          <t xml:space="preserve">  change in working capital</t>
        </is>
      </c>
      <c r="C713" s="18">
        <f>C712-('Income Statement'!$B$44/365*'Income Statement'!$B$21+'Income Statement'!$B$45/365*'Income Statement'!$B$19-'Income Statement'!$B$46/365*'Income Statement'!$B$21)</f>
        <v/>
      </c>
      <c r="D713" s="18">
        <f>D712-C712</f>
        <v/>
      </c>
      <c r="E713" s="18">
        <f>E712-D712</f>
        <v/>
      </c>
      <c r="F713" s="18">
        <f>F712-E712</f>
        <v/>
      </c>
      <c r="G713" s="18">
        <f>G712-F712</f>
        <v/>
      </c>
    </row>
    <row r="714">
      <c r="A714" s="15" t="inlineStr">
        <is>
          <t>FREE CASH FLOW TO THE FIRM</t>
        </is>
      </c>
      <c r="C714" s="37">
        <f>C711+C706-C704-C713</f>
        <v/>
      </c>
      <c r="D714" s="37">
        <f>D711+D706-D704-D713</f>
        <v/>
      </c>
      <c r="E714" s="37">
        <f>E711+E706-E704-E713</f>
        <v/>
      </c>
      <c r="F714" s="37">
        <f>F711+F706-F704-F713</f>
        <v/>
      </c>
      <c r="G714" s="37">
        <f>G711+G706-G704-G713</f>
        <v/>
      </c>
    </row>
    <row r="715">
      <c r="A715" s="7" t="inlineStr">
        <is>
          <t>Glide fraction</t>
        </is>
      </c>
      <c r="C715" s="23">
        <f>0.0000000000</f>
        <v/>
      </c>
      <c r="D715" s="23">
        <f>0.5166487648</f>
        <v/>
      </c>
      <c r="E715" s="23">
        <f>0.7314715360</f>
        <v/>
      </c>
      <c r="F715" s="23">
        <f>0.8925886144</f>
        <v/>
      </c>
      <c r="G715" s="23">
        <f>1.0000000000</f>
        <v/>
      </c>
    </row>
    <row r="716">
      <c r="A716" s="7" t="inlineStr">
        <is>
          <t>Forward cost of capital</t>
        </is>
      </c>
      <c r="C716" s="24">
        <f>DCF!$B$14-(DCF!$B$14-DCF!$B$17)*C715</f>
        <v/>
      </c>
      <c r="D716" s="24">
        <f>DCF!$B$14-(DCF!$B$14-DCF!$B$17)*D715</f>
        <v/>
      </c>
      <c r="E716" s="24">
        <f>DCF!$B$14-(DCF!$B$14-DCF!$B$17)*E715</f>
        <v/>
      </c>
      <c r="F716" s="24">
        <f>DCF!$B$14-(DCF!$B$14-DCF!$B$17)*F715</f>
        <v/>
      </c>
      <c r="G716" s="24">
        <f>DCF!$B$14-(DCF!$B$14-DCF!$B$17)*G715</f>
        <v/>
      </c>
    </row>
    <row r="717">
      <c r="A717" s="7" t="inlineStr">
        <is>
          <t>Cumulative discount factor</t>
        </is>
      </c>
      <c r="C717" s="40">
        <f>1/(1+C716)</f>
        <v/>
      </c>
      <c r="D717" s="40">
        <f>C717/(1+D716)</f>
        <v/>
      </c>
      <c r="E717" s="40">
        <f>D717/(1+E716)</f>
        <v/>
      </c>
      <c r="F717" s="40">
        <f>E717/(1+F716)</f>
        <v/>
      </c>
      <c r="G717" s="40">
        <f>F717/(1+G716)</f>
        <v/>
      </c>
    </row>
    <row r="718">
      <c r="A718" s="7" t="inlineStr">
        <is>
          <t>Present value</t>
        </is>
      </c>
      <c r="C718" s="18">
        <f>C714*C717</f>
        <v/>
      </c>
      <c r="D718" s="18">
        <f>D714*D717</f>
        <v/>
      </c>
      <c r="E718" s="18">
        <f>E714*E717</f>
        <v/>
      </c>
      <c r="F718" s="18">
        <f>F714*F717</f>
        <v/>
      </c>
      <c r="G718" s="18">
        <f>G714*G717</f>
        <v/>
      </c>
    </row>
    <row r="719">
      <c r="A719" s="15" t="inlineStr">
        <is>
          <t>PV of the explicit window</t>
        </is>
      </c>
      <c r="B719" s="37">
        <f>SUM(C718:G718)</f>
        <v/>
      </c>
      <c r="C719" s="18">
        <f>C712+C705</f>
        <v/>
      </c>
      <c r="D719" s="18">
        <f>D712+D705</f>
        <v/>
      </c>
      <c r="E719" s="18">
        <f>E712+E705</f>
        <v/>
      </c>
      <c r="F719" s="18">
        <f>F712+F705</f>
        <v/>
      </c>
      <c r="G719" s="18">
        <f>G712+G705</f>
        <v/>
      </c>
    </row>
    <row r="720">
      <c r="A720" s="7" t="inlineStr">
        <is>
          <t>Terminal return on invested capital, at REPLACEMENT cost</t>
        </is>
      </c>
      <c r="B720" s="24">
        <f>G711*(1+Assumptions!$B$110)/G719</f>
        <v/>
      </c>
    </row>
    <row r="721">
      <c r="A721" s="7" t="inlineStr">
        <is>
          <t>Required reinvestment = growth / return</t>
        </is>
      </c>
      <c r="B721" s="24">
        <f>MIN(Assumptions!$B$110/B720,0.95)</f>
        <v/>
      </c>
    </row>
    <row r="722">
      <c r="A722" s="7" t="inlineStr">
        <is>
          <t>Terminal value</t>
        </is>
      </c>
      <c r="B722" s="18">
        <f>G711*(1+Assumptions!$B$110)*(1-B721)/MAX(DCF!$B$17-Assumptions!$B$110,0.02)</f>
        <v/>
      </c>
    </row>
    <row r="723">
      <c r="A723" s="7" t="inlineStr">
        <is>
          <t>PV of the terminal block</t>
        </is>
      </c>
      <c r="B723" s="18">
        <f>B722*G717</f>
        <v/>
      </c>
    </row>
    <row r="724">
      <c r="A724" s="15" t="inlineStr">
        <is>
          <t>ENTERPRISE VALUE</t>
        </is>
      </c>
      <c r="B724" s="37">
        <f>B719+B723</f>
        <v/>
      </c>
    </row>
    <row r="725">
      <c r="A725" s="7" t="inlineStr">
        <is>
          <t>plus net cash</t>
        </is>
      </c>
      <c r="B725" s="18">
        <f>(Assumptions!$B$100-Assumptions!$B$103-Assumptions!$B$104)/10^6</f>
        <v/>
      </c>
    </row>
    <row r="726">
      <c r="A726" s="7" t="inlineStr">
        <is>
          <t>Enterprise value including cash</t>
        </is>
      </c>
      <c r="B726" s="18">
        <f>B724+B725</f>
        <v/>
      </c>
    </row>
    <row r="727">
      <c r="A727" s="7" t="inlineStr">
        <is>
          <t>less minority — on the WHOLE enterprise, cash included</t>
        </is>
      </c>
      <c r="B727" s="18">
        <f>B726*'Income Statement'!$B$41</f>
        <v/>
      </c>
    </row>
    <row r="728">
      <c r="A728" s="7" t="inlineStr">
        <is>
          <t>less the tax-disputes provision</t>
        </is>
      </c>
      <c r="B728" s="18">
        <f>Assumptions!$B$99/10^6</f>
        <v/>
      </c>
    </row>
    <row r="729">
      <c r="A729" s="7" t="inlineStr">
        <is>
          <t>less dividends payable — declared, out of working capital</t>
        </is>
      </c>
      <c r="B729" s="18">
        <f>Assumptions!$B$98/10^6</f>
        <v/>
      </c>
    </row>
    <row r="730">
      <c r="A730" s="7" t="inlineStr">
        <is>
          <t>plus non-operating investments and pledged deposits</t>
        </is>
      </c>
      <c r="B730" s="18">
        <f>(Assumptions!$B$102+Assumptions!$B$101)/10^6</f>
        <v/>
      </c>
    </row>
    <row r="731">
      <c r="A731" s="15" t="inlineStr">
        <is>
          <t>EQUITY ATTRIBUTABLE</t>
        </is>
      </c>
      <c r="B731" s="37">
        <f>B726-B727-B728-B729+B730</f>
        <v/>
      </c>
    </row>
    <row r="732">
      <c r="A732" s="15" t="inlineStr">
        <is>
          <t>VALUE PER SHARE, EGP</t>
        </is>
      </c>
      <c r="B732" s="22">
        <f>B731/Assumptions!$B$8</f>
        <v/>
      </c>
    </row>
    <row r="735">
      <c r="A735" s="6" t="inlineStr">
        <is>
          <t>Realisation path, as a multiple of the assumed path — 1.10x</t>
        </is>
      </c>
      <c r="B735" s="6" t="inlineStr">
        <is>
          <t>2026E</t>
        </is>
      </c>
      <c r="C735" s="6" t="inlineStr">
        <is>
          <t>2027E</t>
        </is>
      </c>
      <c r="D735" s="6" t="inlineStr">
        <is>
          <t>2028E</t>
        </is>
      </c>
      <c r="E735" s="6" t="inlineStr">
        <is>
          <t>2029E</t>
        </is>
      </c>
      <c r="F735" s="6" t="inlineStr">
        <is>
          <t>2030E</t>
        </is>
      </c>
    </row>
    <row r="736">
      <c r="A736" s="7" t="inlineStr">
        <is>
          <t>Inflation index, cumulative</t>
        </is>
      </c>
      <c r="C736" s="23">
        <f>Assumptions!$B$167</f>
        <v/>
      </c>
      <c r="D736" s="23">
        <f>C736*Assumptions!$B$168</f>
        <v/>
      </c>
      <c r="E736" s="23">
        <f>D736*Assumptions!$B$169</f>
        <v/>
      </c>
      <c r="F736" s="23">
        <f>E736*Assumptions!$B$170</f>
        <v/>
      </c>
      <c r="G736" s="23">
        <f>F736*Assumptions!$B$171</f>
        <v/>
      </c>
    </row>
    <row r="737">
      <c r="A737" s="7" t="inlineStr">
        <is>
          <t>Realisation index, cumulative</t>
        </is>
      </c>
      <c r="C737" s="23">
        <f>(1+Assumptions!$B$122*$D$24)</f>
        <v/>
      </c>
      <c r="D737" s="23">
        <f>C737*(1+Assumptions!$B$123*$D$24)</f>
        <v/>
      </c>
      <c r="E737" s="23">
        <f>D737*(1+Assumptions!$B$124*$D$24)</f>
        <v/>
      </c>
      <c r="F737" s="23">
        <f>E737*(1+Assumptions!$B$125*$D$24)</f>
        <v/>
      </c>
      <c r="G737" s="23">
        <f>F737*(1+Assumptions!$B$126*$D$24)</f>
        <v/>
      </c>
    </row>
    <row r="738">
      <c r="A738" s="7" t="inlineStr">
        <is>
          <t xml:space="preserve">  Volume — Base and special oils, mn t</t>
        </is>
      </c>
      <c r="C738" s="23">
        <f>'Segments'!E6*(1+Assumptions!$B$127+DCF!$B$6)</f>
        <v/>
      </c>
      <c r="D738" s="23">
        <f>C738*(1+Assumptions!$B$128+DCF!$B$6)</f>
        <v/>
      </c>
      <c r="E738" s="23">
        <f>D738*(1+Assumptions!$B$129+DCF!$B$6)</f>
        <v/>
      </c>
      <c r="F738" s="23">
        <f>E738*(1+Assumptions!$B$130+DCF!$B$6)</f>
        <v/>
      </c>
      <c r="G738" s="23">
        <f>F738*(1+Assumptions!$B$131+DCF!$B$6)</f>
        <v/>
      </c>
    </row>
    <row r="739">
      <c r="A739" s="7" t="inlineStr">
        <is>
          <t xml:space="preserve">  Volume — Paraffin wax, mn t</t>
        </is>
      </c>
      <c r="C739" s="23">
        <f>'Segments'!E7*(1+Assumptions!$B$132+DCF!$B$6)</f>
        <v/>
      </c>
      <c r="D739" s="23">
        <f>C739*(1+Assumptions!$B$133+DCF!$B$6)</f>
        <v/>
      </c>
      <c r="E739" s="23">
        <f>D739*(1+Assumptions!$B$134+DCF!$B$6)</f>
        <v/>
      </c>
      <c r="F739" s="23">
        <f>E739*(1+Assumptions!$B$135+DCF!$B$6)</f>
        <v/>
      </c>
      <c r="G739" s="23">
        <f>F739*(1+Assumptions!$B$136+DCF!$B$6)</f>
        <v/>
      </c>
    </row>
    <row r="740">
      <c r="A740" s="7" t="inlineStr">
        <is>
          <t xml:space="preserve">  Volume — Gas oil, mn t</t>
        </is>
      </c>
      <c r="C740" s="23">
        <f>'Segments'!E8*(1+Assumptions!$B$137+DCF!$B$6)</f>
        <v/>
      </c>
      <c r="D740" s="23">
        <f>C740*(1+Assumptions!$B$138+DCF!$B$6)</f>
        <v/>
      </c>
      <c r="E740" s="23">
        <f>D740*(1+Assumptions!$B$139+DCF!$B$6)</f>
        <v/>
      </c>
      <c r="F740" s="23">
        <f>E740*(1+Assumptions!$B$140+DCF!$B$6)</f>
        <v/>
      </c>
      <c r="G740" s="23">
        <f>F740*(1+Assumptions!$B$141+DCF!$B$6)</f>
        <v/>
      </c>
    </row>
    <row r="741">
      <c r="A741" s="7" t="inlineStr">
        <is>
          <t xml:space="preserve">  Volume — Naphtha, mn t</t>
        </is>
      </c>
      <c r="C741" s="23">
        <f>'Segments'!E9*(1+Assumptions!$B$142+DCF!$B$6)</f>
        <v/>
      </c>
      <c r="D741" s="23">
        <f>C741*(1+Assumptions!$B$143+DCF!$B$6)</f>
        <v/>
      </c>
      <c r="E741" s="23">
        <f>D741*(1+Assumptions!$B$144+DCF!$B$6)</f>
        <v/>
      </c>
      <c r="F741" s="23">
        <f>E741*(1+Assumptions!$B$145+DCF!$B$6)</f>
        <v/>
      </c>
      <c r="G741" s="23">
        <f>F741*(1+Assumptions!$B$146+DCF!$B$6)</f>
        <v/>
      </c>
    </row>
    <row r="742">
      <c r="A742" s="7" t="inlineStr">
        <is>
          <t xml:space="preserve">  Volume — Liquefied petroleum gas, mn t</t>
        </is>
      </c>
      <c r="C742" s="23">
        <f>'Segments'!E10*(1+Assumptions!$B$147+DCF!$B$6)</f>
        <v/>
      </c>
      <c r="D742" s="23">
        <f>C742*(1+Assumptions!$B$148+DCF!$B$6)</f>
        <v/>
      </c>
      <c r="E742" s="23">
        <f>D742*(1+Assumptions!$B$149+DCF!$B$6)</f>
        <v/>
      </c>
      <c r="F742" s="23">
        <f>E742*(1+Assumptions!$B$150+DCF!$B$6)</f>
        <v/>
      </c>
      <c r="G742" s="23">
        <f>F742*(1+Assumptions!$B$151+DCF!$B$6)</f>
        <v/>
      </c>
    </row>
    <row r="743">
      <c r="A743" s="7" t="inlineStr">
        <is>
          <t xml:space="preserve">  Volume — Fuel oil (mix), mn t</t>
        </is>
      </c>
      <c r="C743" s="23">
        <f>'Segments'!E11*(1+Assumptions!$B$152+DCF!$B$6)</f>
        <v/>
      </c>
      <c r="D743" s="23">
        <f>C743*(1+Assumptions!$B$153+DCF!$B$6)</f>
        <v/>
      </c>
      <c r="E743" s="23">
        <f>D743*(1+Assumptions!$B$154+DCF!$B$6)</f>
        <v/>
      </c>
      <c r="F743" s="23">
        <f>E743*(1+Assumptions!$B$155+DCF!$B$6)</f>
        <v/>
      </c>
      <c r="G743" s="23">
        <f>F743*(1+Assumptions!$B$156+DCF!$B$6)</f>
        <v/>
      </c>
    </row>
    <row r="744">
      <c r="A744" s="7" t="inlineStr">
        <is>
          <t xml:space="preserve">  Volume — Heavy fuel oil, mn t</t>
        </is>
      </c>
      <c r="C744" s="23">
        <f>'Segments'!E12*(1+Assumptions!$B$157+DCF!$B$6)</f>
        <v/>
      </c>
      <c r="D744" s="23">
        <f>C744*(1+Assumptions!$B$158+DCF!$B$6)</f>
        <v/>
      </c>
      <c r="E744" s="23">
        <f>D744*(1+Assumptions!$B$159+DCF!$B$6)</f>
        <v/>
      </c>
      <c r="F744" s="23">
        <f>E744*(1+Assumptions!$B$160+DCF!$B$6)</f>
        <v/>
      </c>
      <c r="G744" s="23">
        <f>F744*(1+Assumptions!$B$161+DCF!$B$6)</f>
        <v/>
      </c>
    </row>
    <row r="745">
      <c r="A745" s="7" t="inlineStr">
        <is>
          <t xml:space="preserve">  Volume — Waste, mn t</t>
        </is>
      </c>
      <c r="C745" s="23">
        <f>'Segments'!E13*(1+Assumptions!$B$162+DCF!$B$6)</f>
        <v/>
      </c>
      <c r="D745" s="23">
        <f>C745*(1+Assumptions!$B$163+DCF!$B$6)</f>
        <v/>
      </c>
      <c r="E745" s="23">
        <f>D745*(1+Assumptions!$B$164+DCF!$B$6)</f>
        <v/>
      </c>
      <c r="F745" s="23">
        <f>E745*(1+Assumptions!$B$165+DCF!$B$6)</f>
        <v/>
      </c>
      <c r="G745" s="23">
        <f>F745*(1+Assumptions!$B$166+DCF!$B$6)</f>
        <v/>
      </c>
    </row>
    <row r="746">
      <c r="A746" s="15" t="inlineStr">
        <is>
          <t>Total volume, mn t</t>
        </is>
      </c>
      <c r="C746" s="36">
        <f>SUM(C738:C745)</f>
        <v/>
      </c>
      <c r="D746" s="36">
        <f>SUM(D738:D745)</f>
        <v/>
      </c>
      <c r="E746" s="36">
        <f>SUM(E738:E745)</f>
        <v/>
      </c>
      <c r="F746" s="36">
        <f>SUM(F738:F745)</f>
        <v/>
      </c>
      <c r="G746" s="36">
        <f>SUM(G738:G745)</f>
        <v/>
      </c>
    </row>
    <row r="747">
      <c r="A747" s="15" t="inlineStr">
        <is>
          <t>REVENUE</t>
        </is>
      </c>
      <c r="C747" s="37">
        <f>C738*'Segments'!$F$6*C737+C739*'Segments'!$F$7*C737+C740*'Segments'!$F$8*C737+C741*'Segments'!$F$9*C737+C742*'Segments'!$F$10*C737+C743*'Segments'!$F$11*C737+C744*'Segments'!$F$12*C737+C745*'Segments'!$F$13*C737</f>
        <v/>
      </c>
      <c r="D747" s="37">
        <f>D738*'Segments'!$F$6*D737+D739*'Segments'!$F$7*D737+D740*'Segments'!$F$8*D737+D741*'Segments'!$F$9*D737+D742*'Segments'!$F$10*D737+D743*'Segments'!$F$11*D737+D744*'Segments'!$F$12*D737+D745*'Segments'!$F$13*D737</f>
        <v/>
      </c>
      <c r="E747" s="37">
        <f>E738*'Segments'!$F$6*E737+E739*'Segments'!$F$7*E737+E740*'Segments'!$F$8*E737+E741*'Segments'!$F$9*E737+E742*'Segments'!$F$10*E737+E743*'Segments'!$F$11*E737+E744*'Segments'!$F$12*E737+E745*'Segments'!$F$13*E737</f>
        <v/>
      </c>
      <c r="F747" s="37">
        <f>F738*'Segments'!$F$6*F737+F739*'Segments'!$F$7*F737+F740*'Segments'!$F$8*F737+F741*'Segments'!$F$9*F737+F742*'Segments'!$F$10*F737+F743*'Segments'!$F$11*F737+F744*'Segments'!$F$12*F737+F745*'Segments'!$F$13*F737</f>
        <v/>
      </c>
      <c r="G747" s="37">
        <f>G738*'Segments'!$F$6*G737+G739*'Segments'!$F$7*G737+G740*'Segments'!$F$8*G737+G741*'Segments'!$F$9*G737+G742*'Segments'!$F$10*G737+G743*'Segments'!$F$11*G737+G744*'Segments'!$F$12*G737+G745*'Segments'!$F$13*G737</f>
        <v/>
      </c>
    </row>
    <row r="748">
      <c r="A748" s="7" t="inlineStr">
        <is>
          <t>Cost of sales</t>
        </is>
      </c>
      <c r="C748" s="18">
        <f>C738*('Segments'!$D$27*C737*Assumptions!$B$109+'Segments'!$B$27*(0.4983251709*C737+0.4357405005*C737+0.0330936548*C737+0.0328406739))+C739*('Segments'!$D$28*C737*Assumptions!$B$109+'Segments'!$B$28*(0.4983251709*C737+0.4357405005*C737+0.0330936548*C737+0.0328406739))+C740*('Segments'!$D$29*C737*Assumptions!$B$109+'Segments'!$B$29*(0.4983251709*C737+0.4357405005*C737+0.0330936548*C737+0.0328406739))+C741*('Segments'!$D$30*C737*Assumptions!$B$109+'Segments'!$B$30*(0.4983251709*C737+0.4357405005*C737+0.0330936548*C737+0.0328406739))+C742*('Segments'!$D$31*C737*Assumptions!$B$109+'Segments'!$B$31*(0.4983251709*C737+0.4357405005*C737+0.0330936548*C737+0.0328406739))+C743*('Segments'!$D$32*C737*Assumptions!$B$109+'Segments'!$B$32*(0.4983251709*C737+0.4357405005*C737+0.0330936548*C737+0.0328406739))+C744*('Segments'!$D$33*C737*Assumptions!$B$109+'Segments'!$B$33*(0.4983251709*C737+0.4357405005*C737+0.0330936548*C737+0.0328406739))+C745*('Segments'!$D$34*C737*Assumptions!$B$109+'Segments'!$B$34*(0.4983251709*C737+0.4357405005*C737+0.0330936548*C737+0.0328406739))</f>
        <v/>
      </c>
      <c r="D748" s="18">
        <f>D738*('Segments'!$D$27*D737*Assumptions!$B$109+'Segments'!$B$27*(0.4983251709*D737+0.4357405005*D737+0.0330936548*D737+0.0328406739))+D739*('Segments'!$D$28*D737*Assumptions!$B$109+'Segments'!$B$28*(0.4983251709*D737+0.4357405005*D737+0.0330936548*D737+0.0328406739))+D740*('Segments'!$D$29*D737*Assumptions!$B$109+'Segments'!$B$29*(0.4983251709*D737+0.4357405005*D737+0.0330936548*D737+0.0328406739))+D741*('Segments'!$D$30*D737*Assumptions!$B$109+'Segments'!$B$30*(0.4983251709*D737+0.4357405005*D737+0.0330936548*D737+0.0328406739))+D742*('Segments'!$D$31*D737*Assumptions!$B$109+'Segments'!$B$31*(0.4983251709*D737+0.4357405005*D737+0.0330936548*D737+0.0328406739))+D743*('Segments'!$D$32*D737*Assumptions!$B$109+'Segments'!$B$32*(0.4983251709*D737+0.4357405005*D737+0.0330936548*D737+0.0328406739))+D744*('Segments'!$D$33*D737*Assumptions!$B$109+'Segments'!$B$33*(0.4983251709*D737+0.4357405005*D737+0.0330936548*D737+0.0328406739))+D745*('Segments'!$D$34*D737*Assumptions!$B$109+'Segments'!$B$34*(0.4983251709*D737+0.4357405005*D737+0.0330936548*D737+0.0328406739))</f>
        <v/>
      </c>
      <c r="E748" s="18">
        <f>E738*('Segments'!$D$27*E737*Assumptions!$B$109+'Segments'!$B$27*(0.4983251709*E737+0.4357405005*E737+0.0330936548*E737+0.0328406739))+E739*('Segments'!$D$28*E737*Assumptions!$B$109+'Segments'!$B$28*(0.4983251709*E737+0.4357405005*E737+0.0330936548*E737+0.0328406739))+E740*('Segments'!$D$29*E737*Assumptions!$B$109+'Segments'!$B$29*(0.4983251709*E737+0.4357405005*E737+0.0330936548*E737+0.0328406739))+E741*('Segments'!$D$30*E737*Assumptions!$B$109+'Segments'!$B$30*(0.4983251709*E737+0.4357405005*E737+0.0330936548*E737+0.0328406739))+E742*('Segments'!$D$31*E737*Assumptions!$B$109+'Segments'!$B$31*(0.4983251709*E737+0.4357405005*E737+0.0330936548*E737+0.0328406739))+E743*('Segments'!$D$32*E737*Assumptions!$B$109+'Segments'!$B$32*(0.4983251709*E737+0.4357405005*E737+0.0330936548*E737+0.0328406739))+E744*('Segments'!$D$33*E737*Assumptions!$B$109+'Segments'!$B$33*(0.4983251709*E737+0.4357405005*E737+0.0330936548*E737+0.0328406739))+E745*('Segments'!$D$34*E737*Assumptions!$B$109+'Segments'!$B$34*(0.4983251709*E737+0.4357405005*E737+0.0330936548*E737+0.0328406739))</f>
        <v/>
      </c>
      <c r="F748" s="18">
        <f>F738*('Segments'!$D$27*F737*Assumptions!$B$109+'Segments'!$B$27*(0.4983251709*F737+0.4357405005*F737+0.0330936548*F737+0.0328406739))+F739*('Segments'!$D$28*F737*Assumptions!$B$109+'Segments'!$B$28*(0.4983251709*F737+0.4357405005*F737+0.0330936548*F737+0.0328406739))+F740*('Segments'!$D$29*F737*Assumptions!$B$109+'Segments'!$B$29*(0.4983251709*F737+0.4357405005*F737+0.0330936548*F737+0.0328406739))+F741*('Segments'!$D$30*F737*Assumptions!$B$109+'Segments'!$B$30*(0.4983251709*F737+0.4357405005*F737+0.0330936548*F737+0.0328406739))+F742*('Segments'!$D$31*F737*Assumptions!$B$109+'Segments'!$B$31*(0.4983251709*F737+0.4357405005*F737+0.0330936548*F737+0.0328406739))+F743*('Segments'!$D$32*F737*Assumptions!$B$109+'Segments'!$B$32*(0.4983251709*F737+0.4357405005*F737+0.0330936548*F737+0.0328406739))+F744*('Segments'!$D$33*F737*Assumptions!$B$109+'Segments'!$B$33*(0.4983251709*F737+0.4357405005*F737+0.0330936548*F737+0.0328406739))+F745*('Segments'!$D$34*F737*Assumptions!$B$109+'Segments'!$B$34*(0.4983251709*F737+0.4357405005*F737+0.0330936548*F737+0.0328406739))</f>
        <v/>
      </c>
      <c r="G748" s="18">
        <f>G738*('Segments'!$D$27*G737*Assumptions!$B$109+'Segments'!$B$27*(0.4983251709*G737+0.4357405005*G737+0.0330936548*G737+0.0328406739))+G739*('Segments'!$D$28*G737*Assumptions!$B$109+'Segments'!$B$28*(0.4983251709*G737+0.4357405005*G737+0.0330936548*G737+0.0328406739))+G740*('Segments'!$D$29*G737*Assumptions!$B$109+'Segments'!$B$29*(0.4983251709*G737+0.4357405005*G737+0.0330936548*G737+0.0328406739))+G741*('Segments'!$D$30*G737*Assumptions!$B$109+'Segments'!$B$30*(0.4983251709*G737+0.4357405005*G737+0.0330936548*G737+0.0328406739))+G742*('Segments'!$D$31*G737*Assumptions!$B$109+'Segments'!$B$31*(0.4983251709*G737+0.4357405005*G737+0.0330936548*G737+0.0328406739))+G743*('Segments'!$D$32*G737*Assumptions!$B$109+'Segments'!$B$32*(0.4983251709*G737+0.4357405005*G737+0.0330936548*G737+0.0328406739))+G744*('Segments'!$D$33*G737*Assumptions!$B$109+'Segments'!$B$33*(0.4983251709*G737+0.4357405005*G737+0.0330936548*G737+0.0328406739))+G745*('Segments'!$D$34*G737*Assumptions!$B$109+'Segments'!$B$34*(0.4983251709*G737+0.4357405005*G737+0.0330936548*G737+0.0328406739))</f>
        <v/>
      </c>
    </row>
    <row r="749">
      <c r="A749" s="15" t="inlineStr">
        <is>
          <t>GROSS PROFIT</t>
        </is>
      </c>
      <c r="C749" s="37">
        <f>C747-C748+DCF!$B$7*C747</f>
        <v/>
      </c>
      <c r="D749" s="37">
        <f>D747-D748+DCF!$B$7*D747</f>
        <v/>
      </c>
      <c r="E749" s="37">
        <f>E747-E748+DCF!$B$7*E747</f>
        <v/>
      </c>
      <c r="F749" s="37">
        <f>F747-F748+DCF!$B$7*F747</f>
        <v/>
      </c>
      <c r="G749" s="37">
        <f>G747-G748+DCF!$B$7*G747</f>
        <v/>
      </c>
    </row>
    <row r="750">
      <c r="A750" s="7" t="inlineStr">
        <is>
          <t>Gross margin</t>
        </is>
      </c>
      <c r="C750" s="24">
        <f>C749/C747</f>
        <v/>
      </c>
      <c r="D750" s="24">
        <f>D749/D747</f>
        <v/>
      </c>
      <c r="E750" s="24">
        <f>E749/E747</f>
        <v/>
      </c>
      <c r="F750" s="24">
        <f>F749/F747</f>
        <v/>
      </c>
      <c r="G750" s="24">
        <f>G749/G747</f>
        <v/>
      </c>
    </row>
    <row r="751">
      <c r="A751" s="7" t="inlineStr">
        <is>
          <t>Operating expense</t>
        </is>
      </c>
      <c r="C751" s="18">
        <f>('Income Statement'!$B$28*C736)+('Income Statement'!$B$29*C736*C746/'Segments'!$E$14)+('Income Statement'!$B$30*C736)+('Income Statement'!$B$31*C736)</f>
        <v/>
      </c>
      <c r="D751" s="18">
        <f>('Income Statement'!$B$28*D736)+('Income Statement'!$B$29*D736*D746/'Segments'!$E$14)+('Income Statement'!$B$30*D736)+('Income Statement'!$B$31*D736)</f>
        <v/>
      </c>
      <c r="E751" s="18">
        <f>('Income Statement'!$B$28*E736)+('Income Statement'!$B$29*E736*E746/'Segments'!$E$14)+('Income Statement'!$B$30*E736)+('Income Statement'!$B$31*E736)</f>
        <v/>
      </c>
      <c r="F751" s="18">
        <f>('Income Statement'!$B$28*F736)+('Income Statement'!$B$29*F736*F746/'Segments'!$E$14)+('Income Statement'!$B$30*F736)+('Income Statement'!$B$31*F736)</f>
        <v/>
      </c>
      <c r="G751" s="18">
        <f>('Income Statement'!$B$28*G736)+('Income Statement'!$B$29*G736*G746/'Segments'!$E$14)+('Income Statement'!$B$30*G736)+('Income Statement'!$B$31*G736)</f>
        <v/>
      </c>
    </row>
    <row r="752">
      <c r="A752" s="15" t="inlineStr">
        <is>
          <t>EBITDA</t>
        </is>
      </c>
      <c r="C752" s="37">
        <f>C749-C751</f>
        <v/>
      </c>
      <c r="D752" s="37">
        <f>D749-D751</f>
        <v/>
      </c>
      <c r="E752" s="37">
        <f>E749-E751</f>
        <v/>
      </c>
      <c r="F752" s="37">
        <f>F749-F751</f>
        <v/>
      </c>
      <c r="G752" s="37">
        <f>G749-G751</f>
        <v/>
      </c>
    </row>
    <row r="753">
      <c r="A753" s="7" t="inlineStr">
        <is>
          <t>Capital expenditure — maintenance + growth</t>
        </is>
      </c>
      <c r="C753" s="18">
        <f>'Income Statement'!$B$43*C736+MAX(C746-'Segments'!$E$14,0)*2100.379938*C736</f>
        <v/>
      </c>
      <c r="D753" s="18">
        <f>'Income Statement'!$B$43*D736+MAX(D746-C746,0)*2100.379938*D736</f>
        <v/>
      </c>
      <c r="E753" s="18">
        <f>'Income Statement'!$B$43*E736+MAX(E746-D746,0)*2100.379938*E736</f>
        <v/>
      </c>
      <c r="F753" s="18">
        <f>'Income Statement'!$B$43*F736+MAX(F746-E746,0)*2100.379938*F736</f>
        <v/>
      </c>
      <c r="G753" s="18">
        <f>'Income Statement'!$B$43*G736+MAX(G746-F746,0)*2100.379938*G736</f>
        <v/>
      </c>
    </row>
    <row r="754">
      <c r="A754" s="7" t="inlineStr">
        <is>
          <t>Fixed assets at cost, closing</t>
        </is>
      </c>
      <c r="C754" s="18">
        <f>(Assumptions!$B$91+Assumptions!$B$92)/10^6+C753</f>
        <v/>
      </c>
      <c r="D754" s="18">
        <f>C754+D753</f>
        <v/>
      </c>
      <c r="E754" s="18">
        <f>D754+E753</f>
        <v/>
      </c>
      <c r="F754" s="18">
        <f>E754+F753</f>
        <v/>
      </c>
      <c r="G754" s="18">
        <f>F754+G753</f>
        <v/>
      </c>
    </row>
    <row r="755">
      <c r="A755" s="7" t="inlineStr">
        <is>
          <t>Depreciation — rolls off the asset register</t>
        </is>
      </c>
      <c r="C755" s="18">
        <f>(Assumptions!$B$91+Assumptions!$B$92)/10^6/'Income Statement'!$B$42</f>
        <v/>
      </c>
      <c r="D755" s="18">
        <f>C754/'Income Statement'!$B$42</f>
        <v/>
      </c>
      <c r="E755" s="18">
        <f>D754/'Income Statement'!$B$42</f>
        <v/>
      </c>
      <c r="F755" s="18">
        <f>E754/'Income Statement'!$B$42</f>
        <v/>
      </c>
      <c r="G755" s="18">
        <f>F754/'Income Statement'!$B$42</f>
        <v/>
      </c>
    </row>
    <row r="756">
      <c r="A756" s="7" t="inlineStr">
        <is>
          <t>Fixed assets, net book, closing</t>
        </is>
      </c>
      <c r="C756" s="18">
        <f>(Assumptions!$B$90+Assumptions!$B$92)/10^6+C753-C755</f>
        <v/>
      </c>
      <c r="D756" s="18">
        <f>C756+D753-D755</f>
        <v/>
      </c>
      <c r="E756" s="18">
        <f>D756+E753-E755</f>
        <v/>
      </c>
      <c r="F756" s="18">
        <f>E756+F753-F755</f>
        <v/>
      </c>
      <c r="G756" s="18">
        <f>F756+G753-G755</f>
        <v/>
      </c>
    </row>
    <row r="757">
      <c r="A757" s="15" t="inlineStr">
        <is>
          <t>EBIT</t>
        </is>
      </c>
      <c r="C757" s="37">
        <f>C752-C755</f>
        <v/>
      </c>
      <c r="D757" s="37">
        <f>D752-D755</f>
        <v/>
      </c>
      <c r="E757" s="37">
        <f>E752-E755</f>
        <v/>
      </c>
      <c r="F757" s="37">
        <f>F752-F755</f>
        <v/>
      </c>
      <c r="G757" s="37">
        <f>G752-G755</f>
        <v/>
      </c>
    </row>
    <row r="758">
      <c r="A758" s="7" t="inlineStr">
        <is>
          <t>NOPAT before the profit share</t>
        </is>
      </c>
      <c r="C758" s="18">
        <f>C757*(1-Assumptions!$B$108)</f>
        <v/>
      </c>
      <c r="D758" s="18">
        <f>D757*(1-Assumptions!$B$108)</f>
        <v/>
      </c>
      <c r="E758" s="18">
        <f>E757*(1-Assumptions!$B$108)</f>
        <v/>
      </c>
      <c r="F758" s="18">
        <f>F757*(1-Assumptions!$B$108)</f>
        <v/>
      </c>
      <c r="G758" s="18">
        <f>G757*(1-Assumptions!$B$108)</f>
        <v/>
      </c>
    </row>
    <row r="759">
      <c r="A759" s="7" t="inlineStr">
        <is>
          <t xml:space="preserve">  less employees' profit share and board bonuses</t>
        </is>
      </c>
      <c r="C759" s="18">
        <f>MAX(C758,0)*'Income Statement'!$B$40</f>
        <v/>
      </c>
      <c r="D759" s="18">
        <f>MAX(D758,0)*'Income Statement'!$B$40</f>
        <v/>
      </c>
      <c r="E759" s="18">
        <f>MAX(E758,0)*'Income Statement'!$B$40</f>
        <v/>
      </c>
      <c r="F759" s="18">
        <f>MAX(F758,0)*'Income Statement'!$B$40</f>
        <v/>
      </c>
      <c r="G759" s="18">
        <f>MAX(G758,0)*'Income Statement'!$B$40</f>
        <v/>
      </c>
    </row>
    <row r="760">
      <c r="A760" s="15" t="inlineStr">
        <is>
          <t>NOPAT</t>
        </is>
      </c>
      <c r="C760" s="37">
        <f>C758-C759</f>
        <v/>
      </c>
      <c r="D760" s="37">
        <f>D758-D759</f>
        <v/>
      </c>
      <c r="E760" s="37">
        <f>E758-E759</f>
        <v/>
      </c>
      <c r="F760" s="37">
        <f>F758-F759</f>
        <v/>
      </c>
      <c r="G760" s="37">
        <f>G758-G759</f>
        <v/>
      </c>
    </row>
    <row r="761">
      <c r="A761" s="7" t="inlineStr">
        <is>
          <t>Net working capital — on days</t>
        </is>
      </c>
      <c r="C761" s="18">
        <f>'Income Statement'!$B$44*DCF!$B$9/365*C748+'Income Statement'!$B$45*DCF!$B$9/365*C747-'Income Statement'!$B$46*DCF!$B$9/365*C748</f>
        <v/>
      </c>
      <c r="D761" s="18">
        <f>'Income Statement'!$B$44*DCF!$B$9/365*D748+'Income Statement'!$B$45*DCF!$B$9/365*D747-'Income Statement'!$B$46*DCF!$B$9/365*D748</f>
        <v/>
      </c>
      <c r="E761" s="18">
        <f>'Income Statement'!$B$44*DCF!$B$9/365*E748+'Income Statement'!$B$45*DCF!$B$9/365*E747-'Income Statement'!$B$46*DCF!$B$9/365*E748</f>
        <v/>
      </c>
      <c r="F761" s="18">
        <f>'Income Statement'!$B$44*DCF!$B$9/365*F748+'Income Statement'!$B$45*DCF!$B$9/365*F747-'Income Statement'!$B$46*DCF!$B$9/365*F748</f>
        <v/>
      </c>
      <c r="G761" s="18">
        <f>'Income Statement'!$B$44*DCF!$B$9/365*G748+'Income Statement'!$B$45*DCF!$B$9/365*G747-'Income Statement'!$B$46*DCF!$B$9/365*G748</f>
        <v/>
      </c>
    </row>
    <row r="762">
      <c r="A762" s="7" t="inlineStr">
        <is>
          <t xml:space="preserve">  change in working capital</t>
        </is>
      </c>
      <c r="C762" s="18">
        <f>C761-('Income Statement'!$B$44/365*'Income Statement'!$B$21+'Income Statement'!$B$45/365*'Income Statement'!$B$19-'Income Statement'!$B$46/365*'Income Statement'!$B$21)</f>
        <v/>
      </c>
      <c r="D762" s="18">
        <f>D761-C761</f>
        <v/>
      </c>
      <c r="E762" s="18">
        <f>E761-D761</f>
        <v/>
      </c>
      <c r="F762" s="18">
        <f>F761-E761</f>
        <v/>
      </c>
      <c r="G762" s="18">
        <f>G761-F761</f>
        <v/>
      </c>
    </row>
    <row r="763">
      <c r="A763" s="15" t="inlineStr">
        <is>
          <t>FREE CASH FLOW TO THE FIRM</t>
        </is>
      </c>
      <c r="C763" s="37">
        <f>C760+C755-C753-C762</f>
        <v/>
      </c>
      <c r="D763" s="37">
        <f>D760+D755-D753-D762</f>
        <v/>
      </c>
      <c r="E763" s="37">
        <f>E760+E755-E753-E762</f>
        <v/>
      </c>
      <c r="F763" s="37">
        <f>F760+F755-F753-F762</f>
        <v/>
      </c>
      <c r="G763" s="37">
        <f>G760+G755-G753-G762</f>
        <v/>
      </c>
    </row>
    <row r="764">
      <c r="A764" s="7" t="inlineStr">
        <is>
          <t>Glide fraction</t>
        </is>
      </c>
      <c r="C764" s="23">
        <f>0.0000000000</f>
        <v/>
      </c>
      <c r="D764" s="23">
        <f>0.5166487648</f>
        <v/>
      </c>
      <c r="E764" s="23">
        <f>0.7314715360</f>
        <v/>
      </c>
      <c r="F764" s="23">
        <f>0.8925886144</f>
        <v/>
      </c>
      <c r="G764" s="23">
        <f>1.0000000000</f>
        <v/>
      </c>
    </row>
    <row r="765">
      <c r="A765" s="7" t="inlineStr">
        <is>
          <t>Forward cost of capital</t>
        </is>
      </c>
      <c r="C765" s="24">
        <f>DCF!$B$14-(DCF!$B$14-DCF!$B$17)*C764</f>
        <v/>
      </c>
      <c r="D765" s="24">
        <f>DCF!$B$14-(DCF!$B$14-DCF!$B$17)*D764</f>
        <v/>
      </c>
      <c r="E765" s="24">
        <f>DCF!$B$14-(DCF!$B$14-DCF!$B$17)*E764</f>
        <v/>
      </c>
      <c r="F765" s="24">
        <f>DCF!$B$14-(DCF!$B$14-DCF!$B$17)*F764</f>
        <v/>
      </c>
      <c r="G765" s="24">
        <f>DCF!$B$14-(DCF!$B$14-DCF!$B$17)*G764</f>
        <v/>
      </c>
    </row>
    <row r="766">
      <c r="A766" s="7" t="inlineStr">
        <is>
          <t>Cumulative discount factor</t>
        </is>
      </c>
      <c r="C766" s="40">
        <f>1/(1+C765)</f>
        <v/>
      </c>
      <c r="D766" s="40">
        <f>C766/(1+D765)</f>
        <v/>
      </c>
      <c r="E766" s="40">
        <f>D766/(1+E765)</f>
        <v/>
      </c>
      <c r="F766" s="40">
        <f>E766/(1+F765)</f>
        <v/>
      </c>
      <c r="G766" s="40">
        <f>F766/(1+G765)</f>
        <v/>
      </c>
    </row>
    <row r="767">
      <c r="A767" s="7" t="inlineStr">
        <is>
          <t>Present value</t>
        </is>
      </c>
      <c r="C767" s="18">
        <f>C763*C766</f>
        <v/>
      </c>
      <c r="D767" s="18">
        <f>D763*D766</f>
        <v/>
      </c>
      <c r="E767" s="18">
        <f>E763*E766</f>
        <v/>
      </c>
      <c r="F767" s="18">
        <f>F763*F766</f>
        <v/>
      </c>
      <c r="G767" s="18">
        <f>G763*G766</f>
        <v/>
      </c>
    </row>
    <row r="768">
      <c r="A768" s="15" t="inlineStr">
        <is>
          <t>PV of the explicit window</t>
        </is>
      </c>
      <c r="B768" s="37">
        <f>SUM(C767:G767)</f>
        <v/>
      </c>
      <c r="C768" s="18">
        <f>C761+C754</f>
        <v/>
      </c>
      <c r="D768" s="18">
        <f>D761+D754</f>
        <v/>
      </c>
      <c r="E768" s="18">
        <f>E761+E754</f>
        <v/>
      </c>
      <c r="F768" s="18">
        <f>F761+F754</f>
        <v/>
      </c>
      <c r="G768" s="18">
        <f>G761+G754</f>
        <v/>
      </c>
    </row>
    <row r="769">
      <c r="A769" s="7" t="inlineStr">
        <is>
          <t>Terminal return on invested capital, at REPLACEMENT cost</t>
        </is>
      </c>
      <c r="B769" s="24">
        <f>G760*(1+Assumptions!$B$110)/G768</f>
        <v/>
      </c>
    </row>
    <row r="770">
      <c r="A770" s="7" t="inlineStr">
        <is>
          <t>Required reinvestment = growth / return</t>
        </is>
      </c>
      <c r="B770" s="24">
        <f>MIN(Assumptions!$B$110/B769,0.95)</f>
        <v/>
      </c>
    </row>
    <row r="771">
      <c r="A771" s="7" t="inlineStr">
        <is>
          <t>Terminal value</t>
        </is>
      </c>
      <c r="B771" s="18">
        <f>G760*(1+Assumptions!$B$110)*(1-B770)/MAX(DCF!$B$17-Assumptions!$B$110,0.02)</f>
        <v/>
      </c>
    </row>
    <row r="772">
      <c r="A772" s="7" t="inlineStr">
        <is>
          <t>PV of the terminal block</t>
        </is>
      </c>
      <c r="B772" s="18">
        <f>B771*G766</f>
        <v/>
      </c>
    </row>
    <row r="773">
      <c r="A773" s="15" t="inlineStr">
        <is>
          <t>ENTERPRISE VALUE</t>
        </is>
      </c>
      <c r="B773" s="37">
        <f>B768+B772</f>
        <v/>
      </c>
    </row>
    <row r="774">
      <c r="A774" s="7" t="inlineStr">
        <is>
          <t>plus net cash</t>
        </is>
      </c>
      <c r="B774" s="18">
        <f>(Assumptions!$B$100-Assumptions!$B$103-Assumptions!$B$104)/10^6</f>
        <v/>
      </c>
    </row>
    <row r="775">
      <c r="A775" s="7" t="inlineStr">
        <is>
          <t>Enterprise value including cash</t>
        </is>
      </c>
      <c r="B775" s="18">
        <f>B773+B774</f>
        <v/>
      </c>
    </row>
    <row r="776">
      <c r="A776" s="7" t="inlineStr">
        <is>
          <t>less minority — on the WHOLE enterprise, cash included</t>
        </is>
      </c>
      <c r="B776" s="18">
        <f>B775*'Income Statement'!$B$41</f>
        <v/>
      </c>
    </row>
    <row r="777">
      <c r="A777" s="7" t="inlineStr">
        <is>
          <t>less the tax-disputes provision</t>
        </is>
      </c>
      <c r="B777" s="18">
        <f>Assumptions!$B$99/10^6</f>
        <v/>
      </c>
    </row>
    <row r="778">
      <c r="A778" s="7" t="inlineStr">
        <is>
          <t>less dividends payable — declared, out of working capital</t>
        </is>
      </c>
      <c r="B778" s="18">
        <f>Assumptions!$B$98/10^6</f>
        <v/>
      </c>
    </row>
    <row r="779">
      <c r="A779" s="7" t="inlineStr">
        <is>
          <t>plus non-operating investments and pledged deposits</t>
        </is>
      </c>
      <c r="B779" s="18">
        <f>(Assumptions!$B$102+Assumptions!$B$101)/10^6</f>
        <v/>
      </c>
    </row>
    <row r="780">
      <c r="A780" s="15" t="inlineStr">
        <is>
          <t>EQUITY ATTRIBUTABLE</t>
        </is>
      </c>
      <c r="B780" s="37">
        <f>B775-B776-B777-B778+B779</f>
        <v/>
      </c>
    </row>
    <row r="781">
      <c r="A781" s="15" t="inlineStr">
        <is>
          <t>VALUE PER SHARE, EGP</t>
        </is>
      </c>
      <c r="B781" s="22">
        <f>B780/Assumptions!$B$8</f>
        <v/>
      </c>
    </row>
    <row r="784">
      <c r="A784" s="6" t="inlineStr">
        <is>
          <t>Beta — 0.6000</t>
        </is>
      </c>
      <c r="B784" s="6" t="inlineStr">
        <is>
          <t>2026E</t>
        </is>
      </c>
      <c r="C784" s="6" t="inlineStr">
        <is>
          <t>2027E</t>
        </is>
      </c>
      <c r="D784" s="6" t="inlineStr">
        <is>
          <t>2028E</t>
        </is>
      </c>
      <c r="E784" s="6" t="inlineStr">
        <is>
          <t>2029E</t>
        </is>
      </c>
      <c r="F784" s="6" t="inlineStr">
        <is>
          <t>2030E</t>
        </is>
      </c>
    </row>
    <row r="785">
      <c r="A785" s="7" t="inlineStr">
        <is>
          <t>Inflation index, cumulative</t>
        </is>
      </c>
      <c r="C785" s="23">
        <f>Assumptions!$B$167</f>
        <v/>
      </c>
      <c r="D785" s="23">
        <f>C785*Assumptions!$B$168</f>
        <v/>
      </c>
      <c r="E785" s="23">
        <f>D785*Assumptions!$B$169</f>
        <v/>
      </c>
      <c r="F785" s="23">
        <f>E785*Assumptions!$B$170</f>
        <v/>
      </c>
      <c r="G785" s="23">
        <f>F785*Assumptions!$B$171</f>
        <v/>
      </c>
    </row>
    <row r="786">
      <c r="A786" s="7" t="inlineStr">
        <is>
          <t>Realisation index, cumulative</t>
        </is>
      </c>
      <c r="C786" s="23">
        <f>(1+Assumptions!$B$122*DCF!$B$8)</f>
        <v/>
      </c>
      <c r="D786" s="23">
        <f>C786*(1+Assumptions!$B$123*DCF!$B$8)</f>
        <v/>
      </c>
      <c r="E786" s="23">
        <f>D786*(1+Assumptions!$B$124*DCF!$B$8)</f>
        <v/>
      </c>
      <c r="F786" s="23">
        <f>E786*(1+Assumptions!$B$125*DCF!$B$8)</f>
        <v/>
      </c>
      <c r="G786" s="23">
        <f>F786*(1+Assumptions!$B$126*DCF!$B$8)</f>
        <v/>
      </c>
    </row>
    <row r="787">
      <c r="A787" s="7" t="inlineStr">
        <is>
          <t xml:space="preserve">  Volume — Base and special oils, mn t</t>
        </is>
      </c>
      <c r="C787" s="23">
        <f>'Segments'!E6*(1+Assumptions!$B$127+DCF!$B$6)</f>
        <v/>
      </c>
      <c r="D787" s="23">
        <f>C787*(1+Assumptions!$B$128+DCF!$B$6)</f>
        <v/>
      </c>
      <c r="E787" s="23">
        <f>D787*(1+Assumptions!$B$129+DCF!$B$6)</f>
        <v/>
      </c>
      <c r="F787" s="23">
        <f>E787*(1+Assumptions!$B$130+DCF!$B$6)</f>
        <v/>
      </c>
      <c r="G787" s="23">
        <f>F787*(1+Assumptions!$B$131+DCF!$B$6)</f>
        <v/>
      </c>
    </row>
    <row r="788">
      <c r="A788" s="7" t="inlineStr">
        <is>
          <t xml:space="preserve">  Volume — Paraffin wax, mn t</t>
        </is>
      </c>
      <c r="C788" s="23">
        <f>'Segments'!E7*(1+Assumptions!$B$132+DCF!$B$6)</f>
        <v/>
      </c>
      <c r="D788" s="23">
        <f>C788*(1+Assumptions!$B$133+DCF!$B$6)</f>
        <v/>
      </c>
      <c r="E788" s="23">
        <f>D788*(1+Assumptions!$B$134+DCF!$B$6)</f>
        <v/>
      </c>
      <c r="F788" s="23">
        <f>E788*(1+Assumptions!$B$135+DCF!$B$6)</f>
        <v/>
      </c>
      <c r="G788" s="23">
        <f>F788*(1+Assumptions!$B$136+DCF!$B$6)</f>
        <v/>
      </c>
    </row>
    <row r="789">
      <c r="A789" s="7" t="inlineStr">
        <is>
          <t xml:space="preserve">  Volume — Gas oil, mn t</t>
        </is>
      </c>
      <c r="C789" s="23">
        <f>'Segments'!E8*(1+Assumptions!$B$137+DCF!$B$6)</f>
        <v/>
      </c>
      <c r="D789" s="23">
        <f>C789*(1+Assumptions!$B$138+DCF!$B$6)</f>
        <v/>
      </c>
      <c r="E789" s="23">
        <f>D789*(1+Assumptions!$B$139+DCF!$B$6)</f>
        <v/>
      </c>
      <c r="F789" s="23">
        <f>E789*(1+Assumptions!$B$140+DCF!$B$6)</f>
        <v/>
      </c>
      <c r="G789" s="23">
        <f>F789*(1+Assumptions!$B$141+DCF!$B$6)</f>
        <v/>
      </c>
    </row>
    <row r="790">
      <c r="A790" s="7" t="inlineStr">
        <is>
          <t xml:space="preserve">  Volume — Naphtha, mn t</t>
        </is>
      </c>
      <c r="C790" s="23">
        <f>'Segments'!E9*(1+Assumptions!$B$142+DCF!$B$6)</f>
        <v/>
      </c>
      <c r="D790" s="23">
        <f>C790*(1+Assumptions!$B$143+DCF!$B$6)</f>
        <v/>
      </c>
      <c r="E790" s="23">
        <f>D790*(1+Assumptions!$B$144+DCF!$B$6)</f>
        <v/>
      </c>
      <c r="F790" s="23">
        <f>E790*(1+Assumptions!$B$145+DCF!$B$6)</f>
        <v/>
      </c>
      <c r="G790" s="23">
        <f>F790*(1+Assumptions!$B$146+DCF!$B$6)</f>
        <v/>
      </c>
    </row>
    <row r="791">
      <c r="A791" s="7" t="inlineStr">
        <is>
          <t xml:space="preserve">  Volume — Liquefied petroleum gas, mn t</t>
        </is>
      </c>
      <c r="C791" s="23">
        <f>'Segments'!E10*(1+Assumptions!$B$147+DCF!$B$6)</f>
        <v/>
      </c>
      <c r="D791" s="23">
        <f>C791*(1+Assumptions!$B$148+DCF!$B$6)</f>
        <v/>
      </c>
      <c r="E791" s="23">
        <f>D791*(1+Assumptions!$B$149+DCF!$B$6)</f>
        <v/>
      </c>
      <c r="F791" s="23">
        <f>E791*(1+Assumptions!$B$150+DCF!$B$6)</f>
        <v/>
      </c>
      <c r="G791" s="23">
        <f>F791*(1+Assumptions!$B$151+DCF!$B$6)</f>
        <v/>
      </c>
    </row>
    <row r="792">
      <c r="A792" s="7" t="inlineStr">
        <is>
          <t xml:space="preserve">  Volume — Fuel oil (mix), mn t</t>
        </is>
      </c>
      <c r="C792" s="23">
        <f>'Segments'!E11*(1+Assumptions!$B$152+DCF!$B$6)</f>
        <v/>
      </c>
      <c r="D792" s="23">
        <f>C792*(1+Assumptions!$B$153+DCF!$B$6)</f>
        <v/>
      </c>
      <c r="E792" s="23">
        <f>D792*(1+Assumptions!$B$154+DCF!$B$6)</f>
        <v/>
      </c>
      <c r="F792" s="23">
        <f>E792*(1+Assumptions!$B$155+DCF!$B$6)</f>
        <v/>
      </c>
      <c r="G792" s="23">
        <f>F792*(1+Assumptions!$B$156+DCF!$B$6)</f>
        <v/>
      </c>
    </row>
    <row r="793">
      <c r="A793" s="7" t="inlineStr">
        <is>
          <t xml:space="preserve">  Volume — Heavy fuel oil, mn t</t>
        </is>
      </c>
      <c r="C793" s="23">
        <f>'Segments'!E12*(1+Assumptions!$B$157+DCF!$B$6)</f>
        <v/>
      </c>
      <c r="D793" s="23">
        <f>C793*(1+Assumptions!$B$158+DCF!$B$6)</f>
        <v/>
      </c>
      <c r="E793" s="23">
        <f>D793*(1+Assumptions!$B$159+DCF!$B$6)</f>
        <v/>
      </c>
      <c r="F793" s="23">
        <f>E793*(1+Assumptions!$B$160+DCF!$B$6)</f>
        <v/>
      </c>
      <c r="G793" s="23">
        <f>F793*(1+Assumptions!$B$161+DCF!$B$6)</f>
        <v/>
      </c>
    </row>
    <row r="794">
      <c r="A794" s="7" t="inlineStr">
        <is>
          <t xml:space="preserve">  Volume — Waste, mn t</t>
        </is>
      </c>
      <c r="C794" s="23">
        <f>'Segments'!E13*(1+Assumptions!$B$162+DCF!$B$6)</f>
        <v/>
      </c>
      <c r="D794" s="23">
        <f>C794*(1+Assumptions!$B$163+DCF!$B$6)</f>
        <v/>
      </c>
      <c r="E794" s="23">
        <f>D794*(1+Assumptions!$B$164+DCF!$B$6)</f>
        <v/>
      </c>
      <c r="F794" s="23">
        <f>E794*(1+Assumptions!$B$165+DCF!$B$6)</f>
        <v/>
      </c>
      <c r="G794" s="23">
        <f>F794*(1+Assumptions!$B$166+DCF!$B$6)</f>
        <v/>
      </c>
    </row>
    <row r="795">
      <c r="A795" s="15" t="inlineStr">
        <is>
          <t>Total volume, mn t</t>
        </is>
      </c>
      <c r="C795" s="36">
        <f>SUM(C787:C794)</f>
        <v/>
      </c>
      <c r="D795" s="36">
        <f>SUM(D787:D794)</f>
        <v/>
      </c>
      <c r="E795" s="36">
        <f>SUM(E787:E794)</f>
        <v/>
      </c>
      <c r="F795" s="36">
        <f>SUM(F787:F794)</f>
        <v/>
      </c>
      <c r="G795" s="36">
        <f>SUM(G787:G794)</f>
        <v/>
      </c>
    </row>
    <row r="796">
      <c r="A796" s="15" t="inlineStr">
        <is>
          <t>REVENUE</t>
        </is>
      </c>
      <c r="C796" s="37">
        <f>C787*'Segments'!$F$6*C786+C788*'Segments'!$F$7*C786+C789*'Segments'!$F$8*C786+C790*'Segments'!$F$9*C786+C791*'Segments'!$F$10*C786+C792*'Segments'!$F$11*C786+C793*'Segments'!$F$12*C786+C794*'Segments'!$F$13*C786</f>
        <v/>
      </c>
      <c r="D796" s="37">
        <f>D787*'Segments'!$F$6*D786+D788*'Segments'!$F$7*D786+D789*'Segments'!$F$8*D786+D790*'Segments'!$F$9*D786+D791*'Segments'!$F$10*D786+D792*'Segments'!$F$11*D786+D793*'Segments'!$F$12*D786+D794*'Segments'!$F$13*D786</f>
        <v/>
      </c>
      <c r="E796" s="37">
        <f>E787*'Segments'!$F$6*E786+E788*'Segments'!$F$7*E786+E789*'Segments'!$F$8*E786+E790*'Segments'!$F$9*E786+E791*'Segments'!$F$10*E786+E792*'Segments'!$F$11*E786+E793*'Segments'!$F$12*E786+E794*'Segments'!$F$13*E786</f>
        <v/>
      </c>
      <c r="F796" s="37">
        <f>F787*'Segments'!$F$6*F786+F788*'Segments'!$F$7*F786+F789*'Segments'!$F$8*F786+F790*'Segments'!$F$9*F786+F791*'Segments'!$F$10*F786+F792*'Segments'!$F$11*F786+F793*'Segments'!$F$12*F786+F794*'Segments'!$F$13*F786</f>
        <v/>
      </c>
      <c r="G796" s="37">
        <f>G787*'Segments'!$F$6*G786+G788*'Segments'!$F$7*G786+G789*'Segments'!$F$8*G786+G790*'Segments'!$F$9*G786+G791*'Segments'!$F$10*G786+G792*'Segments'!$F$11*G786+G793*'Segments'!$F$12*G786+G794*'Segments'!$F$13*G786</f>
        <v/>
      </c>
    </row>
    <row r="797">
      <c r="A797" s="7" t="inlineStr">
        <is>
          <t>Cost of sales</t>
        </is>
      </c>
      <c r="C797" s="18">
        <f>C787*('Segments'!$D$27*C786*Assumptions!$B$109+'Segments'!$B$27*(0.4983251709*C786+0.4357405005*C786+0.0330936548*C786+0.0328406739))+C788*('Segments'!$D$28*C786*Assumptions!$B$109+'Segments'!$B$28*(0.4983251709*C786+0.4357405005*C786+0.0330936548*C786+0.0328406739))+C789*('Segments'!$D$29*C786*Assumptions!$B$109+'Segments'!$B$29*(0.4983251709*C786+0.4357405005*C786+0.0330936548*C786+0.0328406739))+C790*('Segments'!$D$30*C786*Assumptions!$B$109+'Segments'!$B$30*(0.4983251709*C786+0.4357405005*C786+0.0330936548*C786+0.0328406739))+C791*('Segments'!$D$31*C786*Assumptions!$B$109+'Segments'!$B$31*(0.4983251709*C786+0.4357405005*C786+0.0330936548*C786+0.0328406739))+C792*('Segments'!$D$32*C786*Assumptions!$B$109+'Segments'!$B$32*(0.4983251709*C786+0.4357405005*C786+0.0330936548*C786+0.0328406739))+C793*('Segments'!$D$33*C786*Assumptions!$B$109+'Segments'!$B$33*(0.4983251709*C786+0.4357405005*C786+0.0330936548*C786+0.0328406739))+C794*('Segments'!$D$34*C786*Assumptions!$B$109+'Segments'!$B$34*(0.4983251709*C786+0.4357405005*C786+0.0330936548*C786+0.0328406739))</f>
        <v/>
      </c>
      <c r="D797" s="18">
        <f>D787*('Segments'!$D$27*D786*Assumptions!$B$109+'Segments'!$B$27*(0.4983251709*D786+0.4357405005*D786+0.0330936548*D786+0.0328406739))+D788*('Segments'!$D$28*D786*Assumptions!$B$109+'Segments'!$B$28*(0.4983251709*D786+0.4357405005*D786+0.0330936548*D786+0.0328406739))+D789*('Segments'!$D$29*D786*Assumptions!$B$109+'Segments'!$B$29*(0.4983251709*D786+0.4357405005*D786+0.0330936548*D786+0.0328406739))+D790*('Segments'!$D$30*D786*Assumptions!$B$109+'Segments'!$B$30*(0.4983251709*D786+0.4357405005*D786+0.0330936548*D786+0.0328406739))+D791*('Segments'!$D$31*D786*Assumptions!$B$109+'Segments'!$B$31*(0.4983251709*D786+0.4357405005*D786+0.0330936548*D786+0.0328406739))+D792*('Segments'!$D$32*D786*Assumptions!$B$109+'Segments'!$B$32*(0.4983251709*D786+0.4357405005*D786+0.0330936548*D786+0.0328406739))+D793*('Segments'!$D$33*D786*Assumptions!$B$109+'Segments'!$B$33*(0.4983251709*D786+0.4357405005*D786+0.0330936548*D786+0.0328406739))+D794*('Segments'!$D$34*D786*Assumptions!$B$109+'Segments'!$B$34*(0.4983251709*D786+0.4357405005*D786+0.0330936548*D786+0.0328406739))</f>
        <v/>
      </c>
      <c r="E797" s="18">
        <f>E787*('Segments'!$D$27*E786*Assumptions!$B$109+'Segments'!$B$27*(0.4983251709*E786+0.4357405005*E786+0.0330936548*E786+0.0328406739))+E788*('Segments'!$D$28*E786*Assumptions!$B$109+'Segments'!$B$28*(0.4983251709*E786+0.4357405005*E786+0.0330936548*E786+0.0328406739))+E789*('Segments'!$D$29*E786*Assumptions!$B$109+'Segments'!$B$29*(0.4983251709*E786+0.4357405005*E786+0.0330936548*E786+0.0328406739))+E790*('Segments'!$D$30*E786*Assumptions!$B$109+'Segments'!$B$30*(0.4983251709*E786+0.4357405005*E786+0.0330936548*E786+0.0328406739))+E791*('Segments'!$D$31*E786*Assumptions!$B$109+'Segments'!$B$31*(0.4983251709*E786+0.4357405005*E786+0.0330936548*E786+0.0328406739))+E792*('Segments'!$D$32*E786*Assumptions!$B$109+'Segments'!$B$32*(0.4983251709*E786+0.4357405005*E786+0.0330936548*E786+0.0328406739))+E793*('Segments'!$D$33*E786*Assumptions!$B$109+'Segments'!$B$33*(0.4983251709*E786+0.4357405005*E786+0.0330936548*E786+0.0328406739))+E794*('Segments'!$D$34*E786*Assumptions!$B$109+'Segments'!$B$34*(0.4983251709*E786+0.4357405005*E786+0.0330936548*E786+0.0328406739))</f>
        <v/>
      </c>
      <c r="F797" s="18">
        <f>F787*('Segments'!$D$27*F786*Assumptions!$B$109+'Segments'!$B$27*(0.4983251709*F786+0.4357405005*F786+0.0330936548*F786+0.0328406739))+F788*('Segments'!$D$28*F786*Assumptions!$B$109+'Segments'!$B$28*(0.4983251709*F786+0.4357405005*F786+0.0330936548*F786+0.0328406739))+F789*('Segments'!$D$29*F786*Assumptions!$B$109+'Segments'!$B$29*(0.4983251709*F786+0.4357405005*F786+0.0330936548*F786+0.0328406739))+F790*('Segments'!$D$30*F786*Assumptions!$B$109+'Segments'!$B$30*(0.4983251709*F786+0.4357405005*F786+0.0330936548*F786+0.0328406739))+F791*('Segments'!$D$31*F786*Assumptions!$B$109+'Segments'!$B$31*(0.4983251709*F786+0.4357405005*F786+0.0330936548*F786+0.0328406739))+F792*('Segments'!$D$32*F786*Assumptions!$B$109+'Segments'!$B$32*(0.4983251709*F786+0.4357405005*F786+0.0330936548*F786+0.0328406739))+F793*('Segments'!$D$33*F786*Assumptions!$B$109+'Segments'!$B$33*(0.4983251709*F786+0.4357405005*F786+0.0330936548*F786+0.0328406739))+F794*('Segments'!$D$34*F786*Assumptions!$B$109+'Segments'!$B$34*(0.4983251709*F786+0.4357405005*F786+0.0330936548*F786+0.0328406739))</f>
        <v/>
      </c>
      <c r="G797" s="18">
        <f>G787*('Segments'!$D$27*G786*Assumptions!$B$109+'Segments'!$B$27*(0.4983251709*G786+0.4357405005*G786+0.0330936548*G786+0.0328406739))+G788*('Segments'!$D$28*G786*Assumptions!$B$109+'Segments'!$B$28*(0.4983251709*G786+0.4357405005*G786+0.0330936548*G786+0.0328406739))+G789*('Segments'!$D$29*G786*Assumptions!$B$109+'Segments'!$B$29*(0.4983251709*G786+0.4357405005*G786+0.0330936548*G786+0.0328406739))+G790*('Segments'!$D$30*G786*Assumptions!$B$109+'Segments'!$B$30*(0.4983251709*G786+0.4357405005*G786+0.0330936548*G786+0.0328406739))+G791*('Segments'!$D$31*G786*Assumptions!$B$109+'Segments'!$B$31*(0.4983251709*G786+0.4357405005*G786+0.0330936548*G786+0.0328406739))+G792*('Segments'!$D$32*G786*Assumptions!$B$109+'Segments'!$B$32*(0.4983251709*G786+0.4357405005*G786+0.0330936548*G786+0.0328406739))+G793*('Segments'!$D$33*G786*Assumptions!$B$109+'Segments'!$B$33*(0.4983251709*G786+0.4357405005*G786+0.0330936548*G786+0.0328406739))+G794*('Segments'!$D$34*G786*Assumptions!$B$109+'Segments'!$B$34*(0.4983251709*G786+0.4357405005*G786+0.0330936548*G786+0.0328406739))</f>
        <v/>
      </c>
    </row>
    <row r="798">
      <c r="A798" s="15" t="inlineStr">
        <is>
          <t>GROSS PROFIT</t>
        </is>
      </c>
      <c r="C798" s="37">
        <f>C796-C797+DCF!$B$7*C796</f>
        <v/>
      </c>
      <c r="D798" s="37">
        <f>D796-D797+DCF!$B$7*D796</f>
        <v/>
      </c>
      <c r="E798" s="37">
        <f>E796-E797+DCF!$B$7*E796</f>
        <v/>
      </c>
      <c r="F798" s="37">
        <f>F796-F797+DCF!$B$7*F796</f>
        <v/>
      </c>
      <c r="G798" s="37">
        <f>G796-G797+DCF!$B$7*G796</f>
        <v/>
      </c>
    </row>
    <row r="799">
      <c r="A799" s="7" t="inlineStr">
        <is>
          <t>Gross margin</t>
        </is>
      </c>
      <c r="C799" s="24">
        <f>C798/C796</f>
        <v/>
      </c>
      <c r="D799" s="24">
        <f>D798/D796</f>
        <v/>
      </c>
      <c r="E799" s="24">
        <f>E798/E796</f>
        <v/>
      </c>
      <c r="F799" s="24">
        <f>F798/F796</f>
        <v/>
      </c>
      <c r="G799" s="24">
        <f>G798/G796</f>
        <v/>
      </c>
    </row>
    <row r="800">
      <c r="A800" s="7" t="inlineStr">
        <is>
          <t>Operating expense</t>
        </is>
      </c>
      <c r="C800" s="18">
        <f>('Income Statement'!$B$28*C785)+('Income Statement'!$B$29*C785*C795/'Segments'!$E$14)+('Income Statement'!$B$30*C785)+('Income Statement'!$B$31*C785)</f>
        <v/>
      </c>
      <c r="D800" s="18">
        <f>('Income Statement'!$B$28*D785)+('Income Statement'!$B$29*D785*D795/'Segments'!$E$14)+('Income Statement'!$B$30*D785)+('Income Statement'!$B$31*D785)</f>
        <v/>
      </c>
      <c r="E800" s="18">
        <f>('Income Statement'!$B$28*E785)+('Income Statement'!$B$29*E785*E795/'Segments'!$E$14)+('Income Statement'!$B$30*E785)+('Income Statement'!$B$31*E785)</f>
        <v/>
      </c>
      <c r="F800" s="18">
        <f>('Income Statement'!$B$28*F785)+('Income Statement'!$B$29*F785*F795/'Segments'!$E$14)+('Income Statement'!$B$30*F785)+('Income Statement'!$B$31*F785)</f>
        <v/>
      </c>
      <c r="G800" s="18">
        <f>('Income Statement'!$B$28*G785)+('Income Statement'!$B$29*G785*G795/'Segments'!$E$14)+('Income Statement'!$B$30*G785)+('Income Statement'!$B$31*G785)</f>
        <v/>
      </c>
    </row>
    <row r="801">
      <c r="A801" s="15" t="inlineStr">
        <is>
          <t>EBITDA</t>
        </is>
      </c>
      <c r="C801" s="37">
        <f>C798-C800</f>
        <v/>
      </c>
      <c r="D801" s="37">
        <f>D798-D800</f>
        <v/>
      </c>
      <c r="E801" s="37">
        <f>E798-E800</f>
        <v/>
      </c>
      <c r="F801" s="37">
        <f>F798-F800</f>
        <v/>
      </c>
      <c r="G801" s="37">
        <f>G798-G800</f>
        <v/>
      </c>
    </row>
    <row r="802">
      <c r="A802" s="7" t="inlineStr">
        <is>
          <t>Capital expenditure — maintenance + growth</t>
        </is>
      </c>
      <c r="C802" s="18">
        <f>'Income Statement'!$B$43*C785+MAX(C795-'Segments'!$E$14,0)*2100.379938*C785</f>
        <v/>
      </c>
      <c r="D802" s="18">
        <f>'Income Statement'!$B$43*D785+MAX(D795-C795,0)*2100.379938*D785</f>
        <v/>
      </c>
      <c r="E802" s="18">
        <f>'Income Statement'!$B$43*E785+MAX(E795-D795,0)*2100.379938*E785</f>
        <v/>
      </c>
      <c r="F802" s="18">
        <f>'Income Statement'!$B$43*F785+MAX(F795-E795,0)*2100.379938*F785</f>
        <v/>
      </c>
      <c r="G802" s="18">
        <f>'Income Statement'!$B$43*G785+MAX(G795-F795,0)*2100.379938*G785</f>
        <v/>
      </c>
    </row>
    <row r="803">
      <c r="A803" s="7" t="inlineStr">
        <is>
          <t>Fixed assets at cost, closing</t>
        </is>
      </c>
      <c r="C803" s="18">
        <f>(Assumptions!$B$91+Assumptions!$B$92)/10^6+C802</f>
        <v/>
      </c>
      <c r="D803" s="18">
        <f>C803+D802</f>
        <v/>
      </c>
      <c r="E803" s="18">
        <f>D803+E802</f>
        <v/>
      </c>
      <c r="F803" s="18">
        <f>E803+F802</f>
        <v/>
      </c>
      <c r="G803" s="18">
        <f>F803+G802</f>
        <v/>
      </c>
    </row>
    <row r="804">
      <c r="A804" s="7" t="inlineStr">
        <is>
          <t>Depreciation — rolls off the asset register</t>
        </is>
      </c>
      <c r="C804" s="18">
        <f>(Assumptions!$B$91+Assumptions!$B$92)/10^6/'Income Statement'!$B$42</f>
        <v/>
      </c>
      <c r="D804" s="18">
        <f>C803/'Income Statement'!$B$42</f>
        <v/>
      </c>
      <c r="E804" s="18">
        <f>D803/'Income Statement'!$B$42</f>
        <v/>
      </c>
      <c r="F804" s="18">
        <f>E803/'Income Statement'!$B$42</f>
        <v/>
      </c>
      <c r="G804" s="18">
        <f>F803/'Income Statement'!$B$42</f>
        <v/>
      </c>
    </row>
    <row r="805">
      <c r="A805" s="7" t="inlineStr">
        <is>
          <t>Fixed assets, net book, closing</t>
        </is>
      </c>
      <c r="C805" s="18">
        <f>(Assumptions!$B$90+Assumptions!$B$92)/10^6+C802-C804</f>
        <v/>
      </c>
      <c r="D805" s="18">
        <f>C805+D802-D804</f>
        <v/>
      </c>
      <c r="E805" s="18">
        <f>D805+E802-E804</f>
        <v/>
      </c>
      <c r="F805" s="18">
        <f>E805+F802-F804</f>
        <v/>
      </c>
      <c r="G805" s="18">
        <f>F805+G802-G804</f>
        <v/>
      </c>
    </row>
    <row r="806">
      <c r="A806" s="15" t="inlineStr">
        <is>
          <t>EBIT</t>
        </is>
      </c>
      <c r="C806" s="37">
        <f>C801-C804</f>
        <v/>
      </c>
      <c r="D806" s="37">
        <f>D801-D804</f>
        <v/>
      </c>
      <c r="E806" s="37">
        <f>E801-E804</f>
        <v/>
      </c>
      <c r="F806" s="37">
        <f>F801-F804</f>
        <v/>
      </c>
      <c r="G806" s="37">
        <f>G801-G804</f>
        <v/>
      </c>
    </row>
    <row r="807">
      <c r="A807" s="7" t="inlineStr">
        <is>
          <t>NOPAT before the profit share</t>
        </is>
      </c>
      <c r="C807" s="18">
        <f>C806*(1-Assumptions!$B$108)</f>
        <v/>
      </c>
      <c r="D807" s="18">
        <f>D806*(1-Assumptions!$B$108)</f>
        <v/>
      </c>
      <c r="E807" s="18">
        <f>E806*(1-Assumptions!$B$108)</f>
        <v/>
      </c>
      <c r="F807" s="18">
        <f>F806*(1-Assumptions!$B$108)</f>
        <v/>
      </c>
      <c r="G807" s="18">
        <f>G806*(1-Assumptions!$B$108)</f>
        <v/>
      </c>
    </row>
    <row r="808">
      <c r="A808" s="7" t="inlineStr">
        <is>
          <t xml:space="preserve">  less employees' profit share and board bonuses</t>
        </is>
      </c>
      <c r="C808" s="18">
        <f>MAX(C807,0)*'Income Statement'!$B$40</f>
        <v/>
      </c>
      <c r="D808" s="18">
        <f>MAX(D807,0)*'Income Statement'!$B$40</f>
        <v/>
      </c>
      <c r="E808" s="18">
        <f>MAX(E807,0)*'Income Statement'!$B$40</f>
        <v/>
      </c>
      <c r="F808" s="18">
        <f>MAX(F807,0)*'Income Statement'!$B$40</f>
        <v/>
      </c>
      <c r="G808" s="18">
        <f>MAX(G807,0)*'Income Statement'!$B$40</f>
        <v/>
      </c>
    </row>
    <row r="809">
      <c r="A809" s="15" t="inlineStr">
        <is>
          <t>NOPAT</t>
        </is>
      </c>
      <c r="C809" s="37">
        <f>C807-C808</f>
        <v/>
      </c>
      <c r="D809" s="37">
        <f>D807-D808</f>
        <v/>
      </c>
      <c r="E809" s="37">
        <f>E807-E808</f>
        <v/>
      </c>
      <c r="F809" s="37">
        <f>F807-F808</f>
        <v/>
      </c>
      <c r="G809" s="37">
        <f>G807-G808</f>
        <v/>
      </c>
    </row>
    <row r="810">
      <c r="A810" s="7" t="inlineStr">
        <is>
          <t>Net working capital — on days</t>
        </is>
      </c>
      <c r="C810" s="18">
        <f>'Income Statement'!$B$44*DCF!$B$9/365*C797+'Income Statement'!$B$45*DCF!$B$9/365*C796-'Income Statement'!$B$46*DCF!$B$9/365*C797</f>
        <v/>
      </c>
      <c r="D810" s="18">
        <f>'Income Statement'!$B$44*DCF!$B$9/365*D797+'Income Statement'!$B$45*DCF!$B$9/365*D796-'Income Statement'!$B$46*DCF!$B$9/365*D797</f>
        <v/>
      </c>
      <c r="E810" s="18">
        <f>'Income Statement'!$B$44*DCF!$B$9/365*E797+'Income Statement'!$B$45*DCF!$B$9/365*E796-'Income Statement'!$B$46*DCF!$B$9/365*E797</f>
        <v/>
      </c>
      <c r="F810" s="18">
        <f>'Income Statement'!$B$44*DCF!$B$9/365*F797+'Income Statement'!$B$45*DCF!$B$9/365*F796-'Income Statement'!$B$46*DCF!$B$9/365*F797</f>
        <v/>
      </c>
      <c r="G810" s="18">
        <f>'Income Statement'!$B$44*DCF!$B$9/365*G797+'Income Statement'!$B$45*DCF!$B$9/365*G796-'Income Statement'!$B$46*DCF!$B$9/365*G797</f>
        <v/>
      </c>
    </row>
    <row r="811">
      <c r="A811" s="7" t="inlineStr">
        <is>
          <t xml:space="preserve">  change in working capital</t>
        </is>
      </c>
      <c r="C811" s="18">
        <f>C810-('Income Statement'!$B$44/365*'Income Statement'!$B$21+'Income Statement'!$B$45/365*'Income Statement'!$B$19-'Income Statement'!$B$46/365*'Income Statement'!$B$21)</f>
        <v/>
      </c>
      <c r="D811" s="18">
        <f>D810-C810</f>
        <v/>
      </c>
      <c r="E811" s="18">
        <f>E810-D810</f>
        <v/>
      </c>
      <c r="F811" s="18">
        <f>F810-E810</f>
        <v/>
      </c>
      <c r="G811" s="18">
        <f>G810-F810</f>
        <v/>
      </c>
    </row>
    <row r="812">
      <c r="A812" s="15" t="inlineStr">
        <is>
          <t>FREE CASH FLOW TO THE FIRM</t>
        </is>
      </c>
      <c r="C812" s="37">
        <f>C809+C804-C802-C811</f>
        <v/>
      </c>
      <c r="D812" s="37">
        <f>D809+D804-D802-D811</f>
        <v/>
      </c>
      <c r="E812" s="37">
        <f>E809+E804-E802-E811</f>
        <v/>
      </c>
      <c r="F812" s="37">
        <f>F809+F804-F802-F811</f>
        <v/>
      </c>
      <c r="G812" s="37">
        <f>G809+G804-G802-G811</f>
        <v/>
      </c>
    </row>
    <row r="813">
      <c r="A813" s="7" t="inlineStr">
        <is>
          <t>Glide fraction</t>
        </is>
      </c>
      <c r="C813" s="23">
        <f>0.0000000000</f>
        <v/>
      </c>
      <c r="D813" s="23">
        <f>0.5166487648</f>
        <v/>
      </c>
      <c r="E813" s="23">
        <f>0.7314715360</f>
        <v/>
      </c>
      <c r="F813" s="23">
        <f>0.8925886144</f>
        <v/>
      </c>
      <c r="G813" s="23">
        <f>1.0000000000</f>
        <v/>
      </c>
    </row>
    <row r="814">
      <c r="A814" s="7" t="inlineStr">
        <is>
          <t>Forward cost of capital</t>
        </is>
      </c>
      <c r="C814" s="24">
        <f>$F$27-($F$27-$G$27)*C813</f>
        <v/>
      </c>
      <c r="D814" s="24">
        <f>$F$27-($F$27-$G$27)*D813</f>
        <v/>
      </c>
      <c r="E814" s="24">
        <f>$F$27-($F$27-$G$27)*E813</f>
        <v/>
      </c>
      <c r="F814" s="24">
        <f>$F$27-($F$27-$G$27)*F813</f>
        <v/>
      </c>
      <c r="G814" s="24">
        <f>$F$27-($F$27-$G$27)*G813</f>
        <v/>
      </c>
    </row>
    <row r="815">
      <c r="A815" s="7" t="inlineStr">
        <is>
          <t>Cumulative discount factor</t>
        </is>
      </c>
      <c r="C815" s="40">
        <f>1/(1+C814)</f>
        <v/>
      </c>
      <c r="D815" s="40">
        <f>C815/(1+D814)</f>
        <v/>
      </c>
      <c r="E815" s="40">
        <f>D815/(1+E814)</f>
        <v/>
      </c>
      <c r="F815" s="40">
        <f>E815/(1+F814)</f>
        <v/>
      </c>
      <c r="G815" s="40">
        <f>F815/(1+G814)</f>
        <v/>
      </c>
    </row>
    <row r="816">
      <c r="A816" s="7" t="inlineStr">
        <is>
          <t>Present value</t>
        </is>
      </c>
      <c r="C816" s="18">
        <f>C812*C815</f>
        <v/>
      </c>
      <c r="D816" s="18">
        <f>D812*D815</f>
        <v/>
      </c>
      <c r="E816" s="18">
        <f>E812*E815</f>
        <v/>
      </c>
      <c r="F816" s="18">
        <f>F812*F815</f>
        <v/>
      </c>
      <c r="G816" s="18">
        <f>G812*G815</f>
        <v/>
      </c>
    </row>
    <row r="817">
      <c r="A817" s="15" t="inlineStr">
        <is>
          <t>PV of the explicit window</t>
        </is>
      </c>
      <c r="B817" s="37">
        <f>SUM(C816:G816)</f>
        <v/>
      </c>
      <c r="C817" s="18">
        <f>C810+C803</f>
        <v/>
      </c>
      <c r="D817" s="18">
        <f>D810+D803</f>
        <v/>
      </c>
      <c r="E817" s="18">
        <f>E810+E803</f>
        <v/>
      </c>
      <c r="F817" s="18">
        <f>F810+F803</f>
        <v/>
      </c>
      <c r="G817" s="18">
        <f>G810+G803</f>
        <v/>
      </c>
    </row>
    <row r="818">
      <c r="A818" s="7" t="inlineStr">
        <is>
          <t>Terminal return on invested capital, at REPLACEMENT cost</t>
        </is>
      </c>
      <c r="B818" s="24">
        <f>G809*(1+Assumptions!$B$110)/G817</f>
        <v/>
      </c>
    </row>
    <row r="819">
      <c r="A819" s="7" t="inlineStr">
        <is>
          <t>Required reinvestment = growth / return</t>
        </is>
      </c>
      <c r="B819" s="24">
        <f>MIN(Assumptions!$B$110/B818,0.95)</f>
        <v/>
      </c>
    </row>
    <row r="820">
      <c r="A820" s="7" t="inlineStr">
        <is>
          <t>Terminal value</t>
        </is>
      </c>
      <c r="B820" s="18">
        <f>G809*(1+Assumptions!$B$110)*(1-B819)/MAX($G$27-Assumptions!$B$110,0.02)</f>
        <v/>
      </c>
    </row>
    <row r="821">
      <c r="A821" s="7" t="inlineStr">
        <is>
          <t>PV of the terminal block</t>
        </is>
      </c>
      <c r="B821" s="18">
        <f>B820*G815</f>
        <v/>
      </c>
    </row>
    <row r="822">
      <c r="A822" s="15" t="inlineStr">
        <is>
          <t>ENTERPRISE VALUE</t>
        </is>
      </c>
      <c r="B822" s="37">
        <f>B817+B821</f>
        <v/>
      </c>
    </row>
    <row r="823">
      <c r="A823" s="7" t="inlineStr">
        <is>
          <t>plus net cash</t>
        </is>
      </c>
      <c r="B823" s="18">
        <f>(Assumptions!$B$100-Assumptions!$B$103-Assumptions!$B$104)/10^6</f>
        <v/>
      </c>
    </row>
    <row r="824">
      <c r="A824" s="7" t="inlineStr">
        <is>
          <t>Enterprise value including cash</t>
        </is>
      </c>
      <c r="B824" s="18">
        <f>B822+B823</f>
        <v/>
      </c>
    </row>
    <row r="825">
      <c r="A825" s="7" t="inlineStr">
        <is>
          <t>less minority — on the WHOLE enterprise, cash included</t>
        </is>
      </c>
      <c r="B825" s="18">
        <f>B824*'Income Statement'!$B$41</f>
        <v/>
      </c>
    </row>
    <row r="826">
      <c r="A826" s="7" t="inlineStr">
        <is>
          <t>less the tax-disputes provision</t>
        </is>
      </c>
      <c r="B826" s="18">
        <f>Assumptions!$B$99/10^6</f>
        <v/>
      </c>
    </row>
    <row r="827">
      <c r="A827" s="7" t="inlineStr">
        <is>
          <t>less dividends payable — declared, out of working capital</t>
        </is>
      </c>
      <c r="B827" s="18">
        <f>Assumptions!$B$98/10^6</f>
        <v/>
      </c>
    </row>
    <row r="828">
      <c r="A828" s="7" t="inlineStr">
        <is>
          <t>plus non-operating investments and pledged deposits</t>
        </is>
      </c>
      <c r="B828" s="18">
        <f>(Assumptions!$B$102+Assumptions!$B$101)/10^6</f>
        <v/>
      </c>
    </row>
    <row r="829">
      <c r="A829" s="15" t="inlineStr">
        <is>
          <t>EQUITY ATTRIBUTABLE</t>
        </is>
      </c>
      <c r="B829" s="37">
        <f>B824-B825-B826-B827+B828</f>
        <v/>
      </c>
    </row>
    <row r="830">
      <c r="A830" s="15" t="inlineStr">
        <is>
          <t>VALUE PER SHARE, EGP</t>
        </is>
      </c>
      <c r="B830" s="22">
        <f>B829/Assumptions!$B$8</f>
        <v/>
      </c>
    </row>
    <row r="833">
      <c r="A833" s="6" t="inlineStr">
        <is>
          <t>Beta — 0.8000</t>
        </is>
      </c>
      <c r="B833" s="6" t="inlineStr">
        <is>
          <t>2026E</t>
        </is>
      </c>
      <c r="C833" s="6" t="inlineStr">
        <is>
          <t>2027E</t>
        </is>
      </c>
      <c r="D833" s="6" t="inlineStr">
        <is>
          <t>2028E</t>
        </is>
      </c>
      <c r="E833" s="6" t="inlineStr">
        <is>
          <t>2029E</t>
        </is>
      </c>
      <c r="F833" s="6" t="inlineStr">
        <is>
          <t>2030E</t>
        </is>
      </c>
    </row>
    <row r="834">
      <c r="A834" s="7" t="inlineStr">
        <is>
          <t>Inflation index, cumulative</t>
        </is>
      </c>
      <c r="C834" s="23">
        <f>Assumptions!$B$167</f>
        <v/>
      </c>
      <c r="D834" s="23">
        <f>C834*Assumptions!$B$168</f>
        <v/>
      </c>
      <c r="E834" s="23">
        <f>D834*Assumptions!$B$169</f>
        <v/>
      </c>
      <c r="F834" s="23">
        <f>E834*Assumptions!$B$170</f>
        <v/>
      </c>
      <c r="G834" s="23">
        <f>F834*Assumptions!$B$171</f>
        <v/>
      </c>
    </row>
    <row r="835">
      <c r="A835" s="7" t="inlineStr">
        <is>
          <t>Realisation index, cumulative</t>
        </is>
      </c>
      <c r="C835" s="23">
        <f>(1+Assumptions!$B$122*DCF!$B$8)</f>
        <v/>
      </c>
      <c r="D835" s="23">
        <f>C835*(1+Assumptions!$B$123*DCF!$B$8)</f>
        <v/>
      </c>
      <c r="E835" s="23">
        <f>D835*(1+Assumptions!$B$124*DCF!$B$8)</f>
        <v/>
      </c>
      <c r="F835" s="23">
        <f>E835*(1+Assumptions!$B$125*DCF!$B$8)</f>
        <v/>
      </c>
      <c r="G835" s="23">
        <f>F835*(1+Assumptions!$B$126*DCF!$B$8)</f>
        <v/>
      </c>
    </row>
    <row r="836">
      <c r="A836" s="7" t="inlineStr">
        <is>
          <t xml:space="preserve">  Volume — Base and special oils, mn t</t>
        </is>
      </c>
      <c r="C836" s="23">
        <f>'Segments'!E6*(1+Assumptions!$B$127+DCF!$B$6)</f>
        <v/>
      </c>
      <c r="D836" s="23">
        <f>C836*(1+Assumptions!$B$128+DCF!$B$6)</f>
        <v/>
      </c>
      <c r="E836" s="23">
        <f>D836*(1+Assumptions!$B$129+DCF!$B$6)</f>
        <v/>
      </c>
      <c r="F836" s="23">
        <f>E836*(1+Assumptions!$B$130+DCF!$B$6)</f>
        <v/>
      </c>
      <c r="G836" s="23">
        <f>F836*(1+Assumptions!$B$131+DCF!$B$6)</f>
        <v/>
      </c>
    </row>
    <row r="837">
      <c r="A837" s="7" t="inlineStr">
        <is>
          <t xml:space="preserve">  Volume — Paraffin wax, mn t</t>
        </is>
      </c>
      <c r="C837" s="23">
        <f>'Segments'!E7*(1+Assumptions!$B$132+DCF!$B$6)</f>
        <v/>
      </c>
      <c r="D837" s="23">
        <f>C837*(1+Assumptions!$B$133+DCF!$B$6)</f>
        <v/>
      </c>
      <c r="E837" s="23">
        <f>D837*(1+Assumptions!$B$134+DCF!$B$6)</f>
        <v/>
      </c>
      <c r="F837" s="23">
        <f>E837*(1+Assumptions!$B$135+DCF!$B$6)</f>
        <v/>
      </c>
      <c r="G837" s="23">
        <f>F837*(1+Assumptions!$B$136+DCF!$B$6)</f>
        <v/>
      </c>
    </row>
    <row r="838">
      <c r="A838" s="7" t="inlineStr">
        <is>
          <t xml:space="preserve">  Volume — Gas oil, mn t</t>
        </is>
      </c>
      <c r="C838" s="23">
        <f>'Segments'!E8*(1+Assumptions!$B$137+DCF!$B$6)</f>
        <v/>
      </c>
      <c r="D838" s="23">
        <f>C838*(1+Assumptions!$B$138+DCF!$B$6)</f>
        <v/>
      </c>
      <c r="E838" s="23">
        <f>D838*(1+Assumptions!$B$139+DCF!$B$6)</f>
        <v/>
      </c>
      <c r="F838" s="23">
        <f>E838*(1+Assumptions!$B$140+DCF!$B$6)</f>
        <v/>
      </c>
      <c r="G838" s="23">
        <f>F838*(1+Assumptions!$B$141+DCF!$B$6)</f>
        <v/>
      </c>
    </row>
    <row r="839">
      <c r="A839" s="7" t="inlineStr">
        <is>
          <t xml:space="preserve">  Volume — Naphtha, mn t</t>
        </is>
      </c>
      <c r="C839" s="23">
        <f>'Segments'!E9*(1+Assumptions!$B$142+DCF!$B$6)</f>
        <v/>
      </c>
      <c r="D839" s="23">
        <f>C839*(1+Assumptions!$B$143+DCF!$B$6)</f>
        <v/>
      </c>
      <c r="E839" s="23">
        <f>D839*(1+Assumptions!$B$144+DCF!$B$6)</f>
        <v/>
      </c>
      <c r="F839" s="23">
        <f>E839*(1+Assumptions!$B$145+DCF!$B$6)</f>
        <v/>
      </c>
      <c r="G839" s="23">
        <f>F839*(1+Assumptions!$B$146+DCF!$B$6)</f>
        <v/>
      </c>
    </row>
    <row r="840">
      <c r="A840" s="7" t="inlineStr">
        <is>
          <t xml:space="preserve">  Volume — Liquefied petroleum gas, mn t</t>
        </is>
      </c>
      <c r="C840" s="23">
        <f>'Segments'!E10*(1+Assumptions!$B$147+DCF!$B$6)</f>
        <v/>
      </c>
      <c r="D840" s="23">
        <f>C840*(1+Assumptions!$B$148+DCF!$B$6)</f>
        <v/>
      </c>
      <c r="E840" s="23">
        <f>D840*(1+Assumptions!$B$149+DCF!$B$6)</f>
        <v/>
      </c>
      <c r="F840" s="23">
        <f>E840*(1+Assumptions!$B$150+DCF!$B$6)</f>
        <v/>
      </c>
      <c r="G840" s="23">
        <f>F840*(1+Assumptions!$B$151+DCF!$B$6)</f>
        <v/>
      </c>
    </row>
    <row r="841">
      <c r="A841" s="7" t="inlineStr">
        <is>
          <t xml:space="preserve">  Volume — Fuel oil (mix), mn t</t>
        </is>
      </c>
      <c r="C841" s="23">
        <f>'Segments'!E11*(1+Assumptions!$B$152+DCF!$B$6)</f>
        <v/>
      </c>
      <c r="D841" s="23">
        <f>C841*(1+Assumptions!$B$153+DCF!$B$6)</f>
        <v/>
      </c>
      <c r="E841" s="23">
        <f>D841*(1+Assumptions!$B$154+DCF!$B$6)</f>
        <v/>
      </c>
      <c r="F841" s="23">
        <f>E841*(1+Assumptions!$B$155+DCF!$B$6)</f>
        <v/>
      </c>
      <c r="G841" s="23">
        <f>F841*(1+Assumptions!$B$156+DCF!$B$6)</f>
        <v/>
      </c>
    </row>
    <row r="842">
      <c r="A842" s="7" t="inlineStr">
        <is>
          <t xml:space="preserve">  Volume — Heavy fuel oil, mn t</t>
        </is>
      </c>
      <c r="C842" s="23">
        <f>'Segments'!E12*(1+Assumptions!$B$157+DCF!$B$6)</f>
        <v/>
      </c>
      <c r="D842" s="23">
        <f>C842*(1+Assumptions!$B$158+DCF!$B$6)</f>
        <v/>
      </c>
      <c r="E842" s="23">
        <f>D842*(1+Assumptions!$B$159+DCF!$B$6)</f>
        <v/>
      </c>
      <c r="F842" s="23">
        <f>E842*(1+Assumptions!$B$160+DCF!$B$6)</f>
        <v/>
      </c>
      <c r="G842" s="23">
        <f>F842*(1+Assumptions!$B$161+DCF!$B$6)</f>
        <v/>
      </c>
    </row>
    <row r="843">
      <c r="A843" s="7" t="inlineStr">
        <is>
          <t xml:space="preserve">  Volume — Waste, mn t</t>
        </is>
      </c>
      <c r="C843" s="23">
        <f>'Segments'!E13*(1+Assumptions!$B$162+DCF!$B$6)</f>
        <v/>
      </c>
      <c r="D843" s="23">
        <f>C843*(1+Assumptions!$B$163+DCF!$B$6)</f>
        <v/>
      </c>
      <c r="E843" s="23">
        <f>D843*(1+Assumptions!$B$164+DCF!$B$6)</f>
        <v/>
      </c>
      <c r="F843" s="23">
        <f>E843*(1+Assumptions!$B$165+DCF!$B$6)</f>
        <v/>
      </c>
      <c r="G843" s="23">
        <f>F843*(1+Assumptions!$B$166+DCF!$B$6)</f>
        <v/>
      </c>
    </row>
    <row r="844">
      <c r="A844" s="15" t="inlineStr">
        <is>
          <t>Total volume, mn t</t>
        </is>
      </c>
      <c r="C844" s="36">
        <f>SUM(C836:C843)</f>
        <v/>
      </c>
      <c r="D844" s="36">
        <f>SUM(D836:D843)</f>
        <v/>
      </c>
      <c r="E844" s="36">
        <f>SUM(E836:E843)</f>
        <v/>
      </c>
      <c r="F844" s="36">
        <f>SUM(F836:F843)</f>
        <v/>
      </c>
      <c r="G844" s="36">
        <f>SUM(G836:G843)</f>
        <v/>
      </c>
    </row>
    <row r="845">
      <c r="A845" s="15" t="inlineStr">
        <is>
          <t>REVENUE</t>
        </is>
      </c>
      <c r="C845" s="37">
        <f>C836*'Segments'!$F$6*C835+C837*'Segments'!$F$7*C835+C838*'Segments'!$F$8*C835+C839*'Segments'!$F$9*C835+C840*'Segments'!$F$10*C835+C841*'Segments'!$F$11*C835+C842*'Segments'!$F$12*C835+C843*'Segments'!$F$13*C835</f>
        <v/>
      </c>
      <c r="D845" s="37">
        <f>D836*'Segments'!$F$6*D835+D837*'Segments'!$F$7*D835+D838*'Segments'!$F$8*D835+D839*'Segments'!$F$9*D835+D840*'Segments'!$F$10*D835+D841*'Segments'!$F$11*D835+D842*'Segments'!$F$12*D835+D843*'Segments'!$F$13*D835</f>
        <v/>
      </c>
      <c r="E845" s="37">
        <f>E836*'Segments'!$F$6*E835+E837*'Segments'!$F$7*E835+E838*'Segments'!$F$8*E835+E839*'Segments'!$F$9*E835+E840*'Segments'!$F$10*E835+E841*'Segments'!$F$11*E835+E842*'Segments'!$F$12*E835+E843*'Segments'!$F$13*E835</f>
        <v/>
      </c>
      <c r="F845" s="37">
        <f>F836*'Segments'!$F$6*F835+F837*'Segments'!$F$7*F835+F838*'Segments'!$F$8*F835+F839*'Segments'!$F$9*F835+F840*'Segments'!$F$10*F835+F841*'Segments'!$F$11*F835+F842*'Segments'!$F$12*F835+F843*'Segments'!$F$13*F835</f>
        <v/>
      </c>
      <c r="G845" s="37">
        <f>G836*'Segments'!$F$6*G835+G837*'Segments'!$F$7*G835+G838*'Segments'!$F$8*G835+G839*'Segments'!$F$9*G835+G840*'Segments'!$F$10*G835+G841*'Segments'!$F$11*G835+G842*'Segments'!$F$12*G835+G843*'Segments'!$F$13*G835</f>
        <v/>
      </c>
    </row>
    <row r="846">
      <c r="A846" s="7" t="inlineStr">
        <is>
          <t>Cost of sales</t>
        </is>
      </c>
      <c r="C846" s="18">
        <f>C836*('Segments'!$D$27*C835*Assumptions!$B$109+'Segments'!$B$27*(0.4983251709*C835+0.4357405005*C835+0.0330936548*C835+0.0328406739))+C837*('Segments'!$D$28*C835*Assumptions!$B$109+'Segments'!$B$28*(0.4983251709*C835+0.4357405005*C835+0.0330936548*C835+0.0328406739))+C838*('Segments'!$D$29*C835*Assumptions!$B$109+'Segments'!$B$29*(0.4983251709*C835+0.4357405005*C835+0.0330936548*C835+0.0328406739))+C839*('Segments'!$D$30*C835*Assumptions!$B$109+'Segments'!$B$30*(0.4983251709*C835+0.4357405005*C835+0.0330936548*C835+0.0328406739))+C840*('Segments'!$D$31*C835*Assumptions!$B$109+'Segments'!$B$31*(0.4983251709*C835+0.4357405005*C835+0.0330936548*C835+0.0328406739))+C841*('Segments'!$D$32*C835*Assumptions!$B$109+'Segments'!$B$32*(0.4983251709*C835+0.4357405005*C835+0.0330936548*C835+0.0328406739))+C842*('Segments'!$D$33*C835*Assumptions!$B$109+'Segments'!$B$33*(0.4983251709*C835+0.4357405005*C835+0.0330936548*C835+0.0328406739))+C843*('Segments'!$D$34*C835*Assumptions!$B$109+'Segments'!$B$34*(0.4983251709*C835+0.4357405005*C835+0.0330936548*C835+0.0328406739))</f>
        <v/>
      </c>
      <c r="D846" s="18">
        <f>D836*('Segments'!$D$27*D835*Assumptions!$B$109+'Segments'!$B$27*(0.4983251709*D835+0.4357405005*D835+0.0330936548*D835+0.0328406739))+D837*('Segments'!$D$28*D835*Assumptions!$B$109+'Segments'!$B$28*(0.4983251709*D835+0.4357405005*D835+0.0330936548*D835+0.0328406739))+D838*('Segments'!$D$29*D835*Assumptions!$B$109+'Segments'!$B$29*(0.4983251709*D835+0.4357405005*D835+0.0330936548*D835+0.0328406739))+D839*('Segments'!$D$30*D835*Assumptions!$B$109+'Segments'!$B$30*(0.4983251709*D835+0.4357405005*D835+0.0330936548*D835+0.0328406739))+D840*('Segments'!$D$31*D835*Assumptions!$B$109+'Segments'!$B$31*(0.4983251709*D835+0.4357405005*D835+0.0330936548*D835+0.0328406739))+D841*('Segments'!$D$32*D835*Assumptions!$B$109+'Segments'!$B$32*(0.4983251709*D835+0.4357405005*D835+0.0330936548*D835+0.0328406739))+D842*('Segments'!$D$33*D835*Assumptions!$B$109+'Segments'!$B$33*(0.4983251709*D835+0.4357405005*D835+0.0330936548*D835+0.0328406739))+D843*('Segments'!$D$34*D835*Assumptions!$B$109+'Segments'!$B$34*(0.4983251709*D835+0.4357405005*D835+0.0330936548*D835+0.0328406739))</f>
        <v/>
      </c>
      <c r="E846" s="18">
        <f>E836*('Segments'!$D$27*E835*Assumptions!$B$109+'Segments'!$B$27*(0.4983251709*E835+0.4357405005*E835+0.0330936548*E835+0.0328406739))+E837*('Segments'!$D$28*E835*Assumptions!$B$109+'Segments'!$B$28*(0.4983251709*E835+0.4357405005*E835+0.0330936548*E835+0.0328406739))+E838*('Segments'!$D$29*E835*Assumptions!$B$109+'Segments'!$B$29*(0.4983251709*E835+0.4357405005*E835+0.0330936548*E835+0.0328406739))+E839*('Segments'!$D$30*E835*Assumptions!$B$109+'Segments'!$B$30*(0.4983251709*E835+0.4357405005*E835+0.0330936548*E835+0.0328406739))+E840*('Segments'!$D$31*E835*Assumptions!$B$109+'Segments'!$B$31*(0.4983251709*E835+0.4357405005*E835+0.0330936548*E835+0.0328406739))+E841*('Segments'!$D$32*E835*Assumptions!$B$109+'Segments'!$B$32*(0.4983251709*E835+0.4357405005*E835+0.0330936548*E835+0.0328406739))+E842*('Segments'!$D$33*E835*Assumptions!$B$109+'Segments'!$B$33*(0.4983251709*E835+0.4357405005*E835+0.0330936548*E835+0.0328406739))+E843*('Segments'!$D$34*E835*Assumptions!$B$109+'Segments'!$B$34*(0.4983251709*E835+0.4357405005*E835+0.0330936548*E835+0.0328406739))</f>
        <v/>
      </c>
      <c r="F846" s="18">
        <f>F836*('Segments'!$D$27*F835*Assumptions!$B$109+'Segments'!$B$27*(0.4983251709*F835+0.4357405005*F835+0.0330936548*F835+0.0328406739))+F837*('Segments'!$D$28*F835*Assumptions!$B$109+'Segments'!$B$28*(0.4983251709*F835+0.4357405005*F835+0.0330936548*F835+0.0328406739))+F838*('Segments'!$D$29*F835*Assumptions!$B$109+'Segments'!$B$29*(0.4983251709*F835+0.4357405005*F835+0.0330936548*F835+0.0328406739))+F839*('Segments'!$D$30*F835*Assumptions!$B$109+'Segments'!$B$30*(0.4983251709*F835+0.4357405005*F835+0.0330936548*F835+0.0328406739))+F840*('Segments'!$D$31*F835*Assumptions!$B$109+'Segments'!$B$31*(0.4983251709*F835+0.4357405005*F835+0.0330936548*F835+0.0328406739))+F841*('Segments'!$D$32*F835*Assumptions!$B$109+'Segments'!$B$32*(0.4983251709*F835+0.4357405005*F835+0.0330936548*F835+0.0328406739))+F842*('Segments'!$D$33*F835*Assumptions!$B$109+'Segments'!$B$33*(0.4983251709*F835+0.4357405005*F835+0.0330936548*F835+0.0328406739))+F843*('Segments'!$D$34*F835*Assumptions!$B$109+'Segments'!$B$34*(0.4983251709*F835+0.4357405005*F835+0.0330936548*F835+0.0328406739))</f>
        <v/>
      </c>
      <c r="G846" s="18">
        <f>G836*('Segments'!$D$27*G835*Assumptions!$B$109+'Segments'!$B$27*(0.4983251709*G835+0.4357405005*G835+0.0330936548*G835+0.0328406739))+G837*('Segments'!$D$28*G835*Assumptions!$B$109+'Segments'!$B$28*(0.4983251709*G835+0.4357405005*G835+0.0330936548*G835+0.0328406739))+G838*('Segments'!$D$29*G835*Assumptions!$B$109+'Segments'!$B$29*(0.4983251709*G835+0.4357405005*G835+0.0330936548*G835+0.0328406739))+G839*('Segments'!$D$30*G835*Assumptions!$B$109+'Segments'!$B$30*(0.4983251709*G835+0.4357405005*G835+0.0330936548*G835+0.0328406739))+G840*('Segments'!$D$31*G835*Assumptions!$B$109+'Segments'!$B$31*(0.4983251709*G835+0.4357405005*G835+0.0330936548*G835+0.0328406739))+G841*('Segments'!$D$32*G835*Assumptions!$B$109+'Segments'!$B$32*(0.4983251709*G835+0.4357405005*G835+0.0330936548*G835+0.0328406739))+G842*('Segments'!$D$33*G835*Assumptions!$B$109+'Segments'!$B$33*(0.4983251709*G835+0.4357405005*G835+0.0330936548*G835+0.0328406739))+G843*('Segments'!$D$34*G835*Assumptions!$B$109+'Segments'!$B$34*(0.4983251709*G835+0.4357405005*G835+0.0330936548*G835+0.0328406739))</f>
        <v/>
      </c>
    </row>
    <row r="847">
      <c r="A847" s="15" t="inlineStr">
        <is>
          <t>GROSS PROFIT</t>
        </is>
      </c>
      <c r="C847" s="37">
        <f>C845-C846+DCF!$B$7*C845</f>
        <v/>
      </c>
      <c r="D847" s="37">
        <f>D845-D846+DCF!$B$7*D845</f>
        <v/>
      </c>
      <c r="E847" s="37">
        <f>E845-E846+DCF!$B$7*E845</f>
        <v/>
      </c>
      <c r="F847" s="37">
        <f>F845-F846+DCF!$B$7*F845</f>
        <v/>
      </c>
      <c r="G847" s="37">
        <f>G845-G846+DCF!$B$7*G845</f>
        <v/>
      </c>
    </row>
    <row r="848">
      <c r="A848" s="7" t="inlineStr">
        <is>
          <t>Gross margin</t>
        </is>
      </c>
      <c r="C848" s="24">
        <f>C847/C845</f>
        <v/>
      </c>
      <c r="D848" s="24">
        <f>D847/D845</f>
        <v/>
      </c>
      <c r="E848" s="24">
        <f>E847/E845</f>
        <v/>
      </c>
      <c r="F848" s="24">
        <f>F847/F845</f>
        <v/>
      </c>
      <c r="G848" s="24">
        <f>G847/G845</f>
        <v/>
      </c>
    </row>
    <row r="849">
      <c r="A849" s="7" t="inlineStr">
        <is>
          <t>Operating expense</t>
        </is>
      </c>
      <c r="C849" s="18">
        <f>('Income Statement'!$B$28*C834)+('Income Statement'!$B$29*C834*C844/'Segments'!$E$14)+('Income Statement'!$B$30*C834)+('Income Statement'!$B$31*C834)</f>
        <v/>
      </c>
      <c r="D849" s="18">
        <f>('Income Statement'!$B$28*D834)+('Income Statement'!$B$29*D834*D844/'Segments'!$E$14)+('Income Statement'!$B$30*D834)+('Income Statement'!$B$31*D834)</f>
        <v/>
      </c>
      <c r="E849" s="18">
        <f>('Income Statement'!$B$28*E834)+('Income Statement'!$B$29*E834*E844/'Segments'!$E$14)+('Income Statement'!$B$30*E834)+('Income Statement'!$B$31*E834)</f>
        <v/>
      </c>
      <c r="F849" s="18">
        <f>('Income Statement'!$B$28*F834)+('Income Statement'!$B$29*F834*F844/'Segments'!$E$14)+('Income Statement'!$B$30*F834)+('Income Statement'!$B$31*F834)</f>
        <v/>
      </c>
      <c r="G849" s="18">
        <f>('Income Statement'!$B$28*G834)+('Income Statement'!$B$29*G834*G844/'Segments'!$E$14)+('Income Statement'!$B$30*G834)+('Income Statement'!$B$31*G834)</f>
        <v/>
      </c>
    </row>
    <row r="850">
      <c r="A850" s="15" t="inlineStr">
        <is>
          <t>EBITDA</t>
        </is>
      </c>
      <c r="C850" s="37">
        <f>C847-C849</f>
        <v/>
      </c>
      <c r="D850" s="37">
        <f>D847-D849</f>
        <v/>
      </c>
      <c r="E850" s="37">
        <f>E847-E849</f>
        <v/>
      </c>
      <c r="F850" s="37">
        <f>F847-F849</f>
        <v/>
      </c>
      <c r="G850" s="37">
        <f>G847-G849</f>
        <v/>
      </c>
    </row>
    <row r="851">
      <c r="A851" s="7" t="inlineStr">
        <is>
          <t>Capital expenditure — maintenance + growth</t>
        </is>
      </c>
      <c r="C851" s="18">
        <f>'Income Statement'!$B$43*C834+MAX(C844-'Segments'!$E$14,0)*2100.379938*C834</f>
        <v/>
      </c>
      <c r="D851" s="18">
        <f>'Income Statement'!$B$43*D834+MAX(D844-C844,0)*2100.379938*D834</f>
        <v/>
      </c>
      <c r="E851" s="18">
        <f>'Income Statement'!$B$43*E834+MAX(E844-D844,0)*2100.379938*E834</f>
        <v/>
      </c>
      <c r="F851" s="18">
        <f>'Income Statement'!$B$43*F834+MAX(F844-E844,0)*2100.379938*F834</f>
        <v/>
      </c>
      <c r="G851" s="18">
        <f>'Income Statement'!$B$43*G834+MAX(G844-F844,0)*2100.379938*G834</f>
        <v/>
      </c>
    </row>
    <row r="852">
      <c r="A852" s="7" t="inlineStr">
        <is>
          <t>Fixed assets at cost, closing</t>
        </is>
      </c>
      <c r="C852" s="18">
        <f>(Assumptions!$B$91+Assumptions!$B$92)/10^6+C851</f>
        <v/>
      </c>
      <c r="D852" s="18">
        <f>C852+D851</f>
        <v/>
      </c>
      <c r="E852" s="18">
        <f>D852+E851</f>
        <v/>
      </c>
      <c r="F852" s="18">
        <f>E852+F851</f>
        <v/>
      </c>
      <c r="G852" s="18">
        <f>F852+G851</f>
        <v/>
      </c>
    </row>
    <row r="853">
      <c r="A853" s="7" t="inlineStr">
        <is>
          <t>Depreciation — rolls off the asset register</t>
        </is>
      </c>
      <c r="C853" s="18">
        <f>(Assumptions!$B$91+Assumptions!$B$92)/10^6/'Income Statement'!$B$42</f>
        <v/>
      </c>
      <c r="D853" s="18">
        <f>C852/'Income Statement'!$B$42</f>
        <v/>
      </c>
      <c r="E853" s="18">
        <f>D852/'Income Statement'!$B$42</f>
        <v/>
      </c>
      <c r="F853" s="18">
        <f>E852/'Income Statement'!$B$42</f>
        <v/>
      </c>
      <c r="G853" s="18">
        <f>F852/'Income Statement'!$B$42</f>
        <v/>
      </c>
    </row>
    <row r="854">
      <c r="A854" s="7" t="inlineStr">
        <is>
          <t>Fixed assets, net book, closing</t>
        </is>
      </c>
      <c r="C854" s="18">
        <f>(Assumptions!$B$90+Assumptions!$B$92)/10^6+C851-C853</f>
        <v/>
      </c>
      <c r="D854" s="18">
        <f>C854+D851-D853</f>
        <v/>
      </c>
      <c r="E854" s="18">
        <f>D854+E851-E853</f>
        <v/>
      </c>
      <c r="F854" s="18">
        <f>E854+F851-F853</f>
        <v/>
      </c>
      <c r="G854" s="18">
        <f>F854+G851-G853</f>
        <v/>
      </c>
    </row>
    <row r="855">
      <c r="A855" s="15" t="inlineStr">
        <is>
          <t>EBIT</t>
        </is>
      </c>
      <c r="C855" s="37">
        <f>C850-C853</f>
        <v/>
      </c>
      <c r="D855" s="37">
        <f>D850-D853</f>
        <v/>
      </c>
      <c r="E855" s="37">
        <f>E850-E853</f>
        <v/>
      </c>
      <c r="F855" s="37">
        <f>F850-F853</f>
        <v/>
      </c>
      <c r="G855" s="37">
        <f>G850-G853</f>
        <v/>
      </c>
    </row>
    <row r="856">
      <c r="A856" s="7" t="inlineStr">
        <is>
          <t>NOPAT before the profit share</t>
        </is>
      </c>
      <c r="C856" s="18">
        <f>C855*(1-Assumptions!$B$108)</f>
        <v/>
      </c>
      <c r="D856" s="18">
        <f>D855*(1-Assumptions!$B$108)</f>
        <v/>
      </c>
      <c r="E856" s="18">
        <f>E855*(1-Assumptions!$B$108)</f>
        <v/>
      </c>
      <c r="F856" s="18">
        <f>F855*(1-Assumptions!$B$108)</f>
        <v/>
      </c>
      <c r="G856" s="18">
        <f>G855*(1-Assumptions!$B$108)</f>
        <v/>
      </c>
    </row>
    <row r="857">
      <c r="A857" s="7" t="inlineStr">
        <is>
          <t xml:space="preserve">  less employees' profit share and board bonuses</t>
        </is>
      </c>
      <c r="C857" s="18">
        <f>MAX(C856,0)*'Income Statement'!$B$40</f>
        <v/>
      </c>
      <c r="D857" s="18">
        <f>MAX(D856,0)*'Income Statement'!$B$40</f>
        <v/>
      </c>
      <c r="E857" s="18">
        <f>MAX(E856,0)*'Income Statement'!$B$40</f>
        <v/>
      </c>
      <c r="F857" s="18">
        <f>MAX(F856,0)*'Income Statement'!$B$40</f>
        <v/>
      </c>
      <c r="G857" s="18">
        <f>MAX(G856,0)*'Income Statement'!$B$40</f>
        <v/>
      </c>
    </row>
    <row r="858">
      <c r="A858" s="15" t="inlineStr">
        <is>
          <t>NOPAT</t>
        </is>
      </c>
      <c r="C858" s="37">
        <f>C856-C857</f>
        <v/>
      </c>
      <c r="D858" s="37">
        <f>D856-D857</f>
        <v/>
      </c>
      <c r="E858" s="37">
        <f>E856-E857</f>
        <v/>
      </c>
      <c r="F858" s="37">
        <f>F856-F857</f>
        <v/>
      </c>
      <c r="G858" s="37">
        <f>G856-G857</f>
        <v/>
      </c>
    </row>
    <row r="859">
      <c r="A859" s="7" t="inlineStr">
        <is>
          <t>Net working capital — on days</t>
        </is>
      </c>
      <c r="C859" s="18">
        <f>'Income Statement'!$B$44*DCF!$B$9/365*C846+'Income Statement'!$B$45*DCF!$B$9/365*C845-'Income Statement'!$B$46*DCF!$B$9/365*C846</f>
        <v/>
      </c>
      <c r="D859" s="18">
        <f>'Income Statement'!$B$44*DCF!$B$9/365*D846+'Income Statement'!$B$45*DCF!$B$9/365*D845-'Income Statement'!$B$46*DCF!$B$9/365*D846</f>
        <v/>
      </c>
      <c r="E859" s="18">
        <f>'Income Statement'!$B$44*DCF!$B$9/365*E846+'Income Statement'!$B$45*DCF!$B$9/365*E845-'Income Statement'!$B$46*DCF!$B$9/365*E846</f>
        <v/>
      </c>
      <c r="F859" s="18">
        <f>'Income Statement'!$B$44*DCF!$B$9/365*F846+'Income Statement'!$B$45*DCF!$B$9/365*F845-'Income Statement'!$B$46*DCF!$B$9/365*F846</f>
        <v/>
      </c>
      <c r="G859" s="18">
        <f>'Income Statement'!$B$44*DCF!$B$9/365*G846+'Income Statement'!$B$45*DCF!$B$9/365*G845-'Income Statement'!$B$46*DCF!$B$9/365*G846</f>
        <v/>
      </c>
    </row>
    <row r="860">
      <c r="A860" s="7" t="inlineStr">
        <is>
          <t xml:space="preserve">  change in working capital</t>
        </is>
      </c>
      <c r="C860" s="18">
        <f>C859-('Income Statement'!$B$44/365*'Income Statement'!$B$21+'Income Statement'!$B$45/365*'Income Statement'!$B$19-'Income Statement'!$B$46/365*'Income Statement'!$B$21)</f>
        <v/>
      </c>
      <c r="D860" s="18">
        <f>D859-C859</f>
        <v/>
      </c>
      <c r="E860" s="18">
        <f>E859-D859</f>
        <v/>
      </c>
      <c r="F860" s="18">
        <f>F859-E859</f>
        <v/>
      </c>
      <c r="G860" s="18">
        <f>G859-F859</f>
        <v/>
      </c>
    </row>
    <row r="861">
      <c r="A861" s="15" t="inlineStr">
        <is>
          <t>FREE CASH FLOW TO THE FIRM</t>
        </is>
      </c>
      <c r="C861" s="37">
        <f>C858+C853-C851-C860</f>
        <v/>
      </c>
      <c r="D861" s="37">
        <f>D858+D853-D851-D860</f>
        <v/>
      </c>
      <c r="E861" s="37">
        <f>E858+E853-E851-E860</f>
        <v/>
      </c>
      <c r="F861" s="37">
        <f>F858+F853-F851-F860</f>
        <v/>
      </c>
      <c r="G861" s="37">
        <f>G858+G853-G851-G860</f>
        <v/>
      </c>
    </row>
    <row r="862">
      <c r="A862" s="7" t="inlineStr">
        <is>
          <t>Glide fraction</t>
        </is>
      </c>
      <c r="C862" s="23">
        <f>0.0000000000</f>
        <v/>
      </c>
      <c r="D862" s="23">
        <f>0.5166487648</f>
        <v/>
      </c>
      <c r="E862" s="23">
        <f>0.7314715360</f>
        <v/>
      </c>
      <c r="F862" s="23">
        <f>0.8925886144</f>
        <v/>
      </c>
      <c r="G862" s="23">
        <f>1.0000000000</f>
        <v/>
      </c>
    </row>
    <row r="863">
      <c r="A863" s="7" t="inlineStr">
        <is>
          <t>Forward cost of capital</t>
        </is>
      </c>
      <c r="C863" s="24">
        <f>$F$28-($F$28-$G$28)*C862</f>
        <v/>
      </c>
      <c r="D863" s="24">
        <f>$F$28-($F$28-$G$28)*D862</f>
        <v/>
      </c>
      <c r="E863" s="24">
        <f>$F$28-($F$28-$G$28)*E862</f>
        <v/>
      </c>
      <c r="F863" s="24">
        <f>$F$28-($F$28-$G$28)*F862</f>
        <v/>
      </c>
      <c r="G863" s="24">
        <f>$F$28-($F$28-$G$28)*G862</f>
        <v/>
      </c>
    </row>
    <row r="864">
      <c r="A864" s="7" t="inlineStr">
        <is>
          <t>Cumulative discount factor</t>
        </is>
      </c>
      <c r="C864" s="40">
        <f>1/(1+C863)</f>
        <v/>
      </c>
      <c r="D864" s="40">
        <f>C864/(1+D863)</f>
        <v/>
      </c>
      <c r="E864" s="40">
        <f>D864/(1+E863)</f>
        <v/>
      </c>
      <c r="F864" s="40">
        <f>E864/(1+F863)</f>
        <v/>
      </c>
      <c r="G864" s="40">
        <f>F864/(1+G863)</f>
        <v/>
      </c>
    </row>
    <row r="865">
      <c r="A865" s="7" t="inlineStr">
        <is>
          <t>Present value</t>
        </is>
      </c>
      <c r="C865" s="18">
        <f>C861*C864</f>
        <v/>
      </c>
      <c r="D865" s="18">
        <f>D861*D864</f>
        <v/>
      </c>
      <c r="E865" s="18">
        <f>E861*E864</f>
        <v/>
      </c>
      <c r="F865" s="18">
        <f>F861*F864</f>
        <v/>
      </c>
      <c r="G865" s="18">
        <f>G861*G864</f>
        <v/>
      </c>
    </row>
    <row r="866">
      <c r="A866" s="15" t="inlineStr">
        <is>
          <t>PV of the explicit window</t>
        </is>
      </c>
      <c r="B866" s="37">
        <f>SUM(C865:G865)</f>
        <v/>
      </c>
      <c r="C866" s="18">
        <f>C859+C852</f>
        <v/>
      </c>
      <c r="D866" s="18">
        <f>D859+D852</f>
        <v/>
      </c>
      <c r="E866" s="18">
        <f>E859+E852</f>
        <v/>
      </c>
      <c r="F866" s="18">
        <f>F859+F852</f>
        <v/>
      </c>
      <c r="G866" s="18">
        <f>G859+G852</f>
        <v/>
      </c>
    </row>
    <row r="867">
      <c r="A867" s="7" t="inlineStr">
        <is>
          <t>Terminal return on invested capital, at REPLACEMENT cost</t>
        </is>
      </c>
      <c r="B867" s="24">
        <f>G858*(1+Assumptions!$B$110)/G866</f>
        <v/>
      </c>
    </row>
    <row r="868">
      <c r="A868" s="7" t="inlineStr">
        <is>
          <t>Required reinvestment = growth / return</t>
        </is>
      </c>
      <c r="B868" s="24">
        <f>MIN(Assumptions!$B$110/B867,0.95)</f>
        <v/>
      </c>
    </row>
    <row r="869">
      <c r="A869" s="7" t="inlineStr">
        <is>
          <t>Terminal value</t>
        </is>
      </c>
      <c r="B869" s="18">
        <f>G858*(1+Assumptions!$B$110)*(1-B868)/MAX($G$28-Assumptions!$B$110,0.02)</f>
        <v/>
      </c>
    </row>
    <row r="870">
      <c r="A870" s="7" t="inlineStr">
        <is>
          <t>PV of the terminal block</t>
        </is>
      </c>
      <c r="B870" s="18">
        <f>B869*G864</f>
        <v/>
      </c>
    </row>
    <row r="871">
      <c r="A871" s="15" t="inlineStr">
        <is>
          <t>ENTERPRISE VALUE</t>
        </is>
      </c>
      <c r="B871" s="37">
        <f>B866+B870</f>
        <v/>
      </c>
    </row>
    <row r="872">
      <c r="A872" s="7" t="inlineStr">
        <is>
          <t>plus net cash</t>
        </is>
      </c>
      <c r="B872" s="18">
        <f>(Assumptions!$B$100-Assumptions!$B$103-Assumptions!$B$104)/10^6</f>
        <v/>
      </c>
    </row>
    <row r="873">
      <c r="A873" s="7" t="inlineStr">
        <is>
          <t>Enterprise value including cash</t>
        </is>
      </c>
      <c r="B873" s="18">
        <f>B871+B872</f>
        <v/>
      </c>
    </row>
    <row r="874">
      <c r="A874" s="7" t="inlineStr">
        <is>
          <t>less minority — on the WHOLE enterprise, cash included</t>
        </is>
      </c>
      <c r="B874" s="18">
        <f>B873*'Income Statement'!$B$41</f>
        <v/>
      </c>
    </row>
    <row r="875">
      <c r="A875" s="7" t="inlineStr">
        <is>
          <t>less the tax-disputes provision</t>
        </is>
      </c>
      <c r="B875" s="18">
        <f>Assumptions!$B$99/10^6</f>
        <v/>
      </c>
    </row>
    <row r="876">
      <c r="A876" s="7" t="inlineStr">
        <is>
          <t>less dividends payable — declared, out of working capital</t>
        </is>
      </c>
      <c r="B876" s="18">
        <f>Assumptions!$B$98/10^6</f>
        <v/>
      </c>
    </row>
    <row r="877">
      <c r="A877" s="7" t="inlineStr">
        <is>
          <t>plus non-operating investments and pledged deposits</t>
        </is>
      </c>
      <c r="B877" s="18">
        <f>(Assumptions!$B$102+Assumptions!$B$101)/10^6</f>
        <v/>
      </c>
    </row>
    <row r="878">
      <c r="A878" s="15" t="inlineStr">
        <is>
          <t>EQUITY ATTRIBUTABLE</t>
        </is>
      </c>
      <c r="B878" s="37">
        <f>B873-B874-B875-B876+B877</f>
        <v/>
      </c>
    </row>
    <row r="879">
      <c r="A879" s="15" t="inlineStr">
        <is>
          <t>VALUE PER SHARE, EGP</t>
        </is>
      </c>
      <c r="B879" s="22">
        <f>B878/Assumptions!$B$8</f>
        <v/>
      </c>
    </row>
    <row r="882">
      <c r="A882" s="6" t="inlineStr">
        <is>
          <t>Beta — 0.9063</t>
        </is>
      </c>
      <c r="B882" s="6" t="inlineStr">
        <is>
          <t>2026E</t>
        </is>
      </c>
      <c r="C882" s="6" t="inlineStr">
        <is>
          <t>2027E</t>
        </is>
      </c>
      <c r="D882" s="6" t="inlineStr">
        <is>
          <t>2028E</t>
        </is>
      </c>
      <c r="E882" s="6" t="inlineStr">
        <is>
          <t>2029E</t>
        </is>
      </c>
      <c r="F882" s="6" t="inlineStr">
        <is>
          <t>2030E</t>
        </is>
      </c>
    </row>
    <row r="883">
      <c r="A883" s="7" t="inlineStr">
        <is>
          <t>Inflation index, cumulative</t>
        </is>
      </c>
      <c r="C883" s="23">
        <f>Assumptions!$B$167</f>
        <v/>
      </c>
      <c r="D883" s="23">
        <f>C883*Assumptions!$B$168</f>
        <v/>
      </c>
      <c r="E883" s="23">
        <f>D883*Assumptions!$B$169</f>
        <v/>
      </c>
      <c r="F883" s="23">
        <f>E883*Assumptions!$B$170</f>
        <v/>
      </c>
      <c r="G883" s="23">
        <f>F883*Assumptions!$B$171</f>
        <v/>
      </c>
    </row>
    <row r="884">
      <c r="A884" s="7" t="inlineStr">
        <is>
          <t>Realisation index, cumulative</t>
        </is>
      </c>
      <c r="C884" s="23">
        <f>(1+Assumptions!$B$122*DCF!$B$8)</f>
        <v/>
      </c>
      <c r="D884" s="23">
        <f>C884*(1+Assumptions!$B$123*DCF!$B$8)</f>
        <v/>
      </c>
      <c r="E884" s="23">
        <f>D884*(1+Assumptions!$B$124*DCF!$B$8)</f>
        <v/>
      </c>
      <c r="F884" s="23">
        <f>E884*(1+Assumptions!$B$125*DCF!$B$8)</f>
        <v/>
      </c>
      <c r="G884" s="23">
        <f>F884*(1+Assumptions!$B$126*DCF!$B$8)</f>
        <v/>
      </c>
    </row>
    <row r="885">
      <c r="A885" s="7" t="inlineStr">
        <is>
          <t xml:space="preserve">  Volume — Base and special oils, mn t</t>
        </is>
      </c>
      <c r="C885" s="23">
        <f>'Segments'!E6*(1+Assumptions!$B$127+DCF!$B$6)</f>
        <v/>
      </c>
      <c r="D885" s="23">
        <f>C885*(1+Assumptions!$B$128+DCF!$B$6)</f>
        <v/>
      </c>
      <c r="E885" s="23">
        <f>D885*(1+Assumptions!$B$129+DCF!$B$6)</f>
        <v/>
      </c>
      <c r="F885" s="23">
        <f>E885*(1+Assumptions!$B$130+DCF!$B$6)</f>
        <v/>
      </c>
      <c r="G885" s="23">
        <f>F885*(1+Assumptions!$B$131+DCF!$B$6)</f>
        <v/>
      </c>
    </row>
    <row r="886">
      <c r="A886" s="7" t="inlineStr">
        <is>
          <t xml:space="preserve">  Volume — Paraffin wax, mn t</t>
        </is>
      </c>
      <c r="C886" s="23">
        <f>'Segments'!E7*(1+Assumptions!$B$132+DCF!$B$6)</f>
        <v/>
      </c>
      <c r="D886" s="23">
        <f>C886*(1+Assumptions!$B$133+DCF!$B$6)</f>
        <v/>
      </c>
      <c r="E886" s="23">
        <f>D886*(1+Assumptions!$B$134+DCF!$B$6)</f>
        <v/>
      </c>
      <c r="F886" s="23">
        <f>E886*(1+Assumptions!$B$135+DCF!$B$6)</f>
        <v/>
      </c>
      <c r="G886" s="23">
        <f>F886*(1+Assumptions!$B$136+DCF!$B$6)</f>
        <v/>
      </c>
    </row>
    <row r="887">
      <c r="A887" s="7" t="inlineStr">
        <is>
          <t xml:space="preserve">  Volume — Gas oil, mn t</t>
        </is>
      </c>
      <c r="C887" s="23">
        <f>'Segments'!E8*(1+Assumptions!$B$137+DCF!$B$6)</f>
        <v/>
      </c>
      <c r="D887" s="23">
        <f>C887*(1+Assumptions!$B$138+DCF!$B$6)</f>
        <v/>
      </c>
      <c r="E887" s="23">
        <f>D887*(1+Assumptions!$B$139+DCF!$B$6)</f>
        <v/>
      </c>
      <c r="F887" s="23">
        <f>E887*(1+Assumptions!$B$140+DCF!$B$6)</f>
        <v/>
      </c>
      <c r="G887" s="23">
        <f>F887*(1+Assumptions!$B$141+DCF!$B$6)</f>
        <v/>
      </c>
    </row>
    <row r="888">
      <c r="A888" s="7" t="inlineStr">
        <is>
          <t xml:space="preserve">  Volume — Naphtha, mn t</t>
        </is>
      </c>
      <c r="C888" s="23">
        <f>'Segments'!E9*(1+Assumptions!$B$142+DCF!$B$6)</f>
        <v/>
      </c>
      <c r="D888" s="23">
        <f>C888*(1+Assumptions!$B$143+DCF!$B$6)</f>
        <v/>
      </c>
      <c r="E888" s="23">
        <f>D888*(1+Assumptions!$B$144+DCF!$B$6)</f>
        <v/>
      </c>
      <c r="F888" s="23">
        <f>E888*(1+Assumptions!$B$145+DCF!$B$6)</f>
        <v/>
      </c>
      <c r="G888" s="23">
        <f>F888*(1+Assumptions!$B$146+DCF!$B$6)</f>
        <v/>
      </c>
    </row>
    <row r="889">
      <c r="A889" s="7" t="inlineStr">
        <is>
          <t xml:space="preserve">  Volume — Liquefied petroleum gas, mn t</t>
        </is>
      </c>
      <c r="C889" s="23">
        <f>'Segments'!E10*(1+Assumptions!$B$147+DCF!$B$6)</f>
        <v/>
      </c>
      <c r="D889" s="23">
        <f>C889*(1+Assumptions!$B$148+DCF!$B$6)</f>
        <v/>
      </c>
      <c r="E889" s="23">
        <f>D889*(1+Assumptions!$B$149+DCF!$B$6)</f>
        <v/>
      </c>
      <c r="F889" s="23">
        <f>E889*(1+Assumptions!$B$150+DCF!$B$6)</f>
        <v/>
      </c>
      <c r="G889" s="23">
        <f>F889*(1+Assumptions!$B$151+DCF!$B$6)</f>
        <v/>
      </c>
    </row>
    <row r="890">
      <c r="A890" s="7" t="inlineStr">
        <is>
          <t xml:space="preserve">  Volume — Fuel oil (mix), mn t</t>
        </is>
      </c>
      <c r="C890" s="23">
        <f>'Segments'!E11*(1+Assumptions!$B$152+DCF!$B$6)</f>
        <v/>
      </c>
      <c r="D890" s="23">
        <f>C890*(1+Assumptions!$B$153+DCF!$B$6)</f>
        <v/>
      </c>
      <c r="E890" s="23">
        <f>D890*(1+Assumptions!$B$154+DCF!$B$6)</f>
        <v/>
      </c>
      <c r="F890" s="23">
        <f>E890*(1+Assumptions!$B$155+DCF!$B$6)</f>
        <v/>
      </c>
      <c r="G890" s="23">
        <f>F890*(1+Assumptions!$B$156+DCF!$B$6)</f>
        <v/>
      </c>
    </row>
    <row r="891">
      <c r="A891" s="7" t="inlineStr">
        <is>
          <t xml:space="preserve">  Volume — Heavy fuel oil, mn t</t>
        </is>
      </c>
      <c r="C891" s="23">
        <f>'Segments'!E12*(1+Assumptions!$B$157+DCF!$B$6)</f>
        <v/>
      </c>
      <c r="D891" s="23">
        <f>C891*(1+Assumptions!$B$158+DCF!$B$6)</f>
        <v/>
      </c>
      <c r="E891" s="23">
        <f>D891*(1+Assumptions!$B$159+DCF!$B$6)</f>
        <v/>
      </c>
      <c r="F891" s="23">
        <f>E891*(1+Assumptions!$B$160+DCF!$B$6)</f>
        <v/>
      </c>
      <c r="G891" s="23">
        <f>F891*(1+Assumptions!$B$161+DCF!$B$6)</f>
        <v/>
      </c>
    </row>
    <row r="892">
      <c r="A892" s="7" t="inlineStr">
        <is>
          <t xml:space="preserve">  Volume — Waste, mn t</t>
        </is>
      </c>
      <c r="C892" s="23">
        <f>'Segments'!E13*(1+Assumptions!$B$162+DCF!$B$6)</f>
        <v/>
      </c>
      <c r="D892" s="23">
        <f>C892*(1+Assumptions!$B$163+DCF!$B$6)</f>
        <v/>
      </c>
      <c r="E892" s="23">
        <f>D892*(1+Assumptions!$B$164+DCF!$B$6)</f>
        <v/>
      </c>
      <c r="F892" s="23">
        <f>E892*(1+Assumptions!$B$165+DCF!$B$6)</f>
        <v/>
      </c>
      <c r="G892" s="23">
        <f>F892*(1+Assumptions!$B$166+DCF!$B$6)</f>
        <v/>
      </c>
    </row>
    <row r="893">
      <c r="A893" s="15" t="inlineStr">
        <is>
          <t>Total volume, mn t</t>
        </is>
      </c>
      <c r="C893" s="36">
        <f>SUM(C885:C892)</f>
        <v/>
      </c>
      <c r="D893" s="36">
        <f>SUM(D885:D892)</f>
        <v/>
      </c>
      <c r="E893" s="36">
        <f>SUM(E885:E892)</f>
        <v/>
      </c>
      <c r="F893" s="36">
        <f>SUM(F885:F892)</f>
        <v/>
      </c>
      <c r="G893" s="36">
        <f>SUM(G885:G892)</f>
        <v/>
      </c>
    </row>
    <row r="894">
      <c r="A894" s="15" t="inlineStr">
        <is>
          <t>REVENUE</t>
        </is>
      </c>
      <c r="C894" s="37">
        <f>C885*'Segments'!$F$6*C884+C886*'Segments'!$F$7*C884+C887*'Segments'!$F$8*C884+C888*'Segments'!$F$9*C884+C889*'Segments'!$F$10*C884+C890*'Segments'!$F$11*C884+C891*'Segments'!$F$12*C884+C892*'Segments'!$F$13*C884</f>
        <v/>
      </c>
      <c r="D894" s="37">
        <f>D885*'Segments'!$F$6*D884+D886*'Segments'!$F$7*D884+D887*'Segments'!$F$8*D884+D888*'Segments'!$F$9*D884+D889*'Segments'!$F$10*D884+D890*'Segments'!$F$11*D884+D891*'Segments'!$F$12*D884+D892*'Segments'!$F$13*D884</f>
        <v/>
      </c>
      <c r="E894" s="37">
        <f>E885*'Segments'!$F$6*E884+E886*'Segments'!$F$7*E884+E887*'Segments'!$F$8*E884+E888*'Segments'!$F$9*E884+E889*'Segments'!$F$10*E884+E890*'Segments'!$F$11*E884+E891*'Segments'!$F$12*E884+E892*'Segments'!$F$13*E884</f>
        <v/>
      </c>
      <c r="F894" s="37">
        <f>F885*'Segments'!$F$6*F884+F886*'Segments'!$F$7*F884+F887*'Segments'!$F$8*F884+F888*'Segments'!$F$9*F884+F889*'Segments'!$F$10*F884+F890*'Segments'!$F$11*F884+F891*'Segments'!$F$12*F884+F892*'Segments'!$F$13*F884</f>
        <v/>
      </c>
      <c r="G894" s="37">
        <f>G885*'Segments'!$F$6*G884+G886*'Segments'!$F$7*G884+G887*'Segments'!$F$8*G884+G888*'Segments'!$F$9*G884+G889*'Segments'!$F$10*G884+G890*'Segments'!$F$11*G884+G891*'Segments'!$F$12*G884+G892*'Segments'!$F$13*G884</f>
        <v/>
      </c>
    </row>
    <row r="895">
      <c r="A895" s="7" t="inlineStr">
        <is>
          <t>Cost of sales</t>
        </is>
      </c>
      <c r="C895" s="18">
        <f>C885*('Segments'!$D$27*C884*Assumptions!$B$109+'Segments'!$B$27*(0.4983251709*C884+0.4357405005*C884+0.0330936548*C884+0.0328406739))+C886*('Segments'!$D$28*C884*Assumptions!$B$109+'Segments'!$B$28*(0.4983251709*C884+0.4357405005*C884+0.0330936548*C884+0.0328406739))+C887*('Segments'!$D$29*C884*Assumptions!$B$109+'Segments'!$B$29*(0.4983251709*C884+0.4357405005*C884+0.0330936548*C884+0.0328406739))+C888*('Segments'!$D$30*C884*Assumptions!$B$109+'Segments'!$B$30*(0.4983251709*C884+0.4357405005*C884+0.0330936548*C884+0.0328406739))+C889*('Segments'!$D$31*C884*Assumptions!$B$109+'Segments'!$B$31*(0.4983251709*C884+0.4357405005*C884+0.0330936548*C884+0.0328406739))+C890*('Segments'!$D$32*C884*Assumptions!$B$109+'Segments'!$B$32*(0.4983251709*C884+0.4357405005*C884+0.0330936548*C884+0.0328406739))+C891*('Segments'!$D$33*C884*Assumptions!$B$109+'Segments'!$B$33*(0.4983251709*C884+0.4357405005*C884+0.0330936548*C884+0.0328406739))+C892*('Segments'!$D$34*C884*Assumptions!$B$109+'Segments'!$B$34*(0.4983251709*C884+0.4357405005*C884+0.0330936548*C884+0.0328406739))</f>
        <v/>
      </c>
      <c r="D895" s="18">
        <f>D885*('Segments'!$D$27*D884*Assumptions!$B$109+'Segments'!$B$27*(0.4983251709*D884+0.4357405005*D884+0.0330936548*D884+0.0328406739))+D886*('Segments'!$D$28*D884*Assumptions!$B$109+'Segments'!$B$28*(0.4983251709*D884+0.4357405005*D884+0.0330936548*D884+0.0328406739))+D887*('Segments'!$D$29*D884*Assumptions!$B$109+'Segments'!$B$29*(0.4983251709*D884+0.4357405005*D884+0.0330936548*D884+0.0328406739))+D888*('Segments'!$D$30*D884*Assumptions!$B$109+'Segments'!$B$30*(0.4983251709*D884+0.4357405005*D884+0.0330936548*D884+0.0328406739))+D889*('Segments'!$D$31*D884*Assumptions!$B$109+'Segments'!$B$31*(0.4983251709*D884+0.4357405005*D884+0.0330936548*D884+0.0328406739))+D890*('Segments'!$D$32*D884*Assumptions!$B$109+'Segments'!$B$32*(0.4983251709*D884+0.4357405005*D884+0.0330936548*D884+0.0328406739))+D891*('Segments'!$D$33*D884*Assumptions!$B$109+'Segments'!$B$33*(0.4983251709*D884+0.4357405005*D884+0.0330936548*D884+0.0328406739))+D892*('Segments'!$D$34*D884*Assumptions!$B$109+'Segments'!$B$34*(0.4983251709*D884+0.4357405005*D884+0.0330936548*D884+0.0328406739))</f>
        <v/>
      </c>
      <c r="E895" s="18">
        <f>E885*('Segments'!$D$27*E884*Assumptions!$B$109+'Segments'!$B$27*(0.4983251709*E884+0.4357405005*E884+0.0330936548*E884+0.0328406739))+E886*('Segments'!$D$28*E884*Assumptions!$B$109+'Segments'!$B$28*(0.4983251709*E884+0.4357405005*E884+0.0330936548*E884+0.0328406739))+E887*('Segments'!$D$29*E884*Assumptions!$B$109+'Segments'!$B$29*(0.4983251709*E884+0.4357405005*E884+0.0330936548*E884+0.0328406739))+E888*('Segments'!$D$30*E884*Assumptions!$B$109+'Segments'!$B$30*(0.4983251709*E884+0.4357405005*E884+0.0330936548*E884+0.0328406739))+E889*('Segments'!$D$31*E884*Assumptions!$B$109+'Segments'!$B$31*(0.4983251709*E884+0.4357405005*E884+0.0330936548*E884+0.0328406739))+E890*('Segments'!$D$32*E884*Assumptions!$B$109+'Segments'!$B$32*(0.4983251709*E884+0.4357405005*E884+0.0330936548*E884+0.0328406739))+E891*('Segments'!$D$33*E884*Assumptions!$B$109+'Segments'!$B$33*(0.4983251709*E884+0.4357405005*E884+0.0330936548*E884+0.0328406739))+E892*('Segments'!$D$34*E884*Assumptions!$B$109+'Segments'!$B$34*(0.4983251709*E884+0.4357405005*E884+0.0330936548*E884+0.0328406739))</f>
        <v/>
      </c>
      <c r="F895" s="18">
        <f>F885*('Segments'!$D$27*F884*Assumptions!$B$109+'Segments'!$B$27*(0.4983251709*F884+0.4357405005*F884+0.0330936548*F884+0.0328406739))+F886*('Segments'!$D$28*F884*Assumptions!$B$109+'Segments'!$B$28*(0.4983251709*F884+0.4357405005*F884+0.0330936548*F884+0.0328406739))+F887*('Segments'!$D$29*F884*Assumptions!$B$109+'Segments'!$B$29*(0.4983251709*F884+0.4357405005*F884+0.0330936548*F884+0.0328406739))+F888*('Segments'!$D$30*F884*Assumptions!$B$109+'Segments'!$B$30*(0.4983251709*F884+0.4357405005*F884+0.0330936548*F884+0.0328406739))+F889*('Segments'!$D$31*F884*Assumptions!$B$109+'Segments'!$B$31*(0.4983251709*F884+0.4357405005*F884+0.0330936548*F884+0.0328406739))+F890*('Segments'!$D$32*F884*Assumptions!$B$109+'Segments'!$B$32*(0.4983251709*F884+0.4357405005*F884+0.0330936548*F884+0.0328406739))+F891*('Segments'!$D$33*F884*Assumptions!$B$109+'Segments'!$B$33*(0.4983251709*F884+0.4357405005*F884+0.0330936548*F884+0.0328406739))+F892*('Segments'!$D$34*F884*Assumptions!$B$109+'Segments'!$B$34*(0.4983251709*F884+0.4357405005*F884+0.0330936548*F884+0.0328406739))</f>
        <v/>
      </c>
      <c r="G895" s="18">
        <f>G885*('Segments'!$D$27*G884*Assumptions!$B$109+'Segments'!$B$27*(0.4983251709*G884+0.4357405005*G884+0.0330936548*G884+0.0328406739))+G886*('Segments'!$D$28*G884*Assumptions!$B$109+'Segments'!$B$28*(0.4983251709*G884+0.4357405005*G884+0.0330936548*G884+0.0328406739))+G887*('Segments'!$D$29*G884*Assumptions!$B$109+'Segments'!$B$29*(0.4983251709*G884+0.4357405005*G884+0.0330936548*G884+0.0328406739))+G888*('Segments'!$D$30*G884*Assumptions!$B$109+'Segments'!$B$30*(0.4983251709*G884+0.4357405005*G884+0.0330936548*G884+0.0328406739))+G889*('Segments'!$D$31*G884*Assumptions!$B$109+'Segments'!$B$31*(0.4983251709*G884+0.4357405005*G884+0.0330936548*G884+0.0328406739))+G890*('Segments'!$D$32*G884*Assumptions!$B$109+'Segments'!$B$32*(0.4983251709*G884+0.4357405005*G884+0.0330936548*G884+0.0328406739))+G891*('Segments'!$D$33*G884*Assumptions!$B$109+'Segments'!$B$33*(0.4983251709*G884+0.4357405005*G884+0.0330936548*G884+0.0328406739))+G892*('Segments'!$D$34*G884*Assumptions!$B$109+'Segments'!$B$34*(0.4983251709*G884+0.4357405005*G884+0.0330936548*G884+0.0328406739))</f>
        <v/>
      </c>
    </row>
    <row r="896">
      <c r="A896" s="15" t="inlineStr">
        <is>
          <t>GROSS PROFIT</t>
        </is>
      </c>
      <c r="C896" s="37">
        <f>C894-C895+DCF!$B$7*C894</f>
        <v/>
      </c>
      <c r="D896" s="37">
        <f>D894-D895+DCF!$B$7*D894</f>
        <v/>
      </c>
      <c r="E896" s="37">
        <f>E894-E895+DCF!$B$7*E894</f>
        <v/>
      </c>
      <c r="F896" s="37">
        <f>F894-F895+DCF!$B$7*F894</f>
        <v/>
      </c>
      <c r="G896" s="37">
        <f>G894-G895+DCF!$B$7*G894</f>
        <v/>
      </c>
    </row>
    <row r="897">
      <c r="A897" s="7" t="inlineStr">
        <is>
          <t>Gross margin</t>
        </is>
      </c>
      <c r="C897" s="24">
        <f>C896/C894</f>
        <v/>
      </c>
      <c r="D897" s="24">
        <f>D896/D894</f>
        <v/>
      </c>
      <c r="E897" s="24">
        <f>E896/E894</f>
        <v/>
      </c>
      <c r="F897" s="24">
        <f>F896/F894</f>
        <v/>
      </c>
      <c r="G897" s="24">
        <f>G896/G894</f>
        <v/>
      </c>
    </row>
    <row r="898">
      <c r="A898" s="7" t="inlineStr">
        <is>
          <t>Operating expense</t>
        </is>
      </c>
      <c r="C898" s="18">
        <f>('Income Statement'!$B$28*C883)+('Income Statement'!$B$29*C883*C893/'Segments'!$E$14)+('Income Statement'!$B$30*C883)+('Income Statement'!$B$31*C883)</f>
        <v/>
      </c>
      <c r="D898" s="18">
        <f>('Income Statement'!$B$28*D883)+('Income Statement'!$B$29*D883*D893/'Segments'!$E$14)+('Income Statement'!$B$30*D883)+('Income Statement'!$B$31*D883)</f>
        <v/>
      </c>
      <c r="E898" s="18">
        <f>('Income Statement'!$B$28*E883)+('Income Statement'!$B$29*E883*E893/'Segments'!$E$14)+('Income Statement'!$B$30*E883)+('Income Statement'!$B$31*E883)</f>
        <v/>
      </c>
      <c r="F898" s="18">
        <f>('Income Statement'!$B$28*F883)+('Income Statement'!$B$29*F883*F893/'Segments'!$E$14)+('Income Statement'!$B$30*F883)+('Income Statement'!$B$31*F883)</f>
        <v/>
      </c>
      <c r="G898" s="18">
        <f>('Income Statement'!$B$28*G883)+('Income Statement'!$B$29*G883*G893/'Segments'!$E$14)+('Income Statement'!$B$30*G883)+('Income Statement'!$B$31*G883)</f>
        <v/>
      </c>
    </row>
    <row r="899">
      <c r="A899" s="15" t="inlineStr">
        <is>
          <t>EBITDA</t>
        </is>
      </c>
      <c r="C899" s="37">
        <f>C896-C898</f>
        <v/>
      </c>
      <c r="D899" s="37">
        <f>D896-D898</f>
        <v/>
      </c>
      <c r="E899" s="37">
        <f>E896-E898</f>
        <v/>
      </c>
      <c r="F899" s="37">
        <f>F896-F898</f>
        <v/>
      </c>
      <c r="G899" s="37">
        <f>G896-G898</f>
        <v/>
      </c>
    </row>
    <row r="900">
      <c r="A900" s="7" t="inlineStr">
        <is>
          <t>Capital expenditure — maintenance + growth</t>
        </is>
      </c>
      <c r="C900" s="18">
        <f>'Income Statement'!$B$43*C883+MAX(C893-'Segments'!$E$14,0)*2100.379938*C883</f>
        <v/>
      </c>
      <c r="D900" s="18">
        <f>'Income Statement'!$B$43*D883+MAX(D893-C893,0)*2100.379938*D883</f>
        <v/>
      </c>
      <c r="E900" s="18">
        <f>'Income Statement'!$B$43*E883+MAX(E893-D893,0)*2100.379938*E883</f>
        <v/>
      </c>
      <c r="F900" s="18">
        <f>'Income Statement'!$B$43*F883+MAX(F893-E893,0)*2100.379938*F883</f>
        <v/>
      </c>
      <c r="G900" s="18">
        <f>'Income Statement'!$B$43*G883+MAX(G893-F893,0)*2100.379938*G883</f>
        <v/>
      </c>
    </row>
    <row r="901">
      <c r="A901" s="7" t="inlineStr">
        <is>
          <t>Fixed assets at cost, closing</t>
        </is>
      </c>
      <c r="C901" s="18">
        <f>(Assumptions!$B$91+Assumptions!$B$92)/10^6+C900</f>
        <v/>
      </c>
      <c r="D901" s="18">
        <f>C901+D900</f>
        <v/>
      </c>
      <c r="E901" s="18">
        <f>D901+E900</f>
        <v/>
      </c>
      <c r="F901" s="18">
        <f>E901+F900</f>
        <v/>
      </c>
      <c r="G901" s="18">
        <f>F901+G900</f>
        <v/>
      </c>
    </row>
    <row r="902">
      <c r="A902" s="7" t="inlineStr">
        <is>
          <t>Depreciation — rolls off the asset register</t>
        </is>
      </c>
      <c r="C902" s="18">
        <f>(Assumptions!$B$91+Assumptions!$B$92)/10^6/'Income Statement'!$B$42</f>
        <v/>
      </c>
      <c r="D902" s="18">
        <f>C901/'Income Statement'!$B$42</f>
        <v/>
      </c>
      <c r="E902" s="18">
        <f>D901/'Income Statement'!$B$42</f>
        <v/>
      </c>
      <c r="F902" s="18">
        <f>E901/'Income Statement'!$B$42</f>
        <v/>
      </c>
      <c r="G902" s="18">
        <f>F901/'Income Statement'!$B$42</f>
        <v/>
      </c>
    </row>
    <row r="903">
      <c r="A903" s="7" t="inlineStr">
        <is>
          <t>Fixed assets, net book, closing</t>
        </is>
      </c>
      <c r="C903" s="18">
        <f>(Assumptions!$B$90+Assumptions!$B$92)/10^6+C900-C902</f>
        <v/>
      </c>
      <c r="D903" s="18">
        <f>C903+D900-D902</f>
        <v/>
      </c>
      <c r="E903" s="18">
        <f>D903+E900-E902</f>
        <v/>
      </c>
      <c r="F903" s="18">
        <f>E903+F900-F902</f>
        <v/>
      </c>
      <c r="G903" s="18">
        <f>F903+G900-G902</f>
        <v/>
      </c>
    </row>
    <row r="904">
      <c r="A904" s="15" t="inlineStr">
        <is>
          <t>EBIT</t>
        </is>
      </c>
      <c r="C904" s="37">
        <f>C899-C902</f>
        <v/>
      </c>
      <c r="D904" s="37">
        <f>D899-D902</f>
        <v/>
      </c>
      <c r="E904" s="37">
        <f>E899-E902</f>
        <v/>
      </c>
      <c r="F904" s="37">
        <f>F899-F902</f>
        <v/>
      </c>
      <c r="G904" s="37">
        <f>G899-G902</f>
        <v/>
      </c>
    </row>
    <row r="905">
      <c r="A905" s="7" t="inlineStr">
        <is>
          <t>NOPAT before the profit share</t>
        </is>
      </c>
      <c r="C905" s="18">
        <f>C904*(1-Assumptions!$B$108)</f>
        <v/>
      </c>
      <c r="D905" s="18">
        <f>D904*(1-Assumptions!$B$108)</f>
        <v/>
      </c>
      <c r="E905" s="18">
        <f>E904*(1-Assumptions!$B$108)</f>
        <v/>
      </c>
      <c r="F905" s="18">
        <f>F904*(1-Assumptions!$B$108)</f>
        <v/>
      </c>
      <c r="G905" s="18">
        <f>G904*(1-Assumptions!$B$108)</f>
        <v/>
      </c>
    </row>
    <row r="906">
      <c r="A906" s="7" t="inlineStr">
        <is>
          <t xml:space="preserve">  less employees' profit share and board bonuses</t>
        </is>
      </c>
      <c r="C906" s="18">
        <f>MAX(C905,0)*'Income Statement'!$B$40</f>
        <v/>
      </c>
      <c r="D906" s="18">
        <f>MAX(D905,0)*'Income Statement'!$B$40</f>
        <v/>
      </c>
      <c r="E906" s="18">
        <f>MAX(E905,0)*'Income Statement'!$B$40</f>
        <v/>
      </c>
      <c r="F906" s="18">
        <f>MAX(F905,0)*'Income Statement'!$B$40</f>
        <v/>
      </c>
      <c r="G906" s="18">
        <f>MAX(G905,0)*'Income Statement'!$B$40</f>
        <v/>
      </c>
    </row>
    <row r="907">
      <c r="A907" s="15" t="inlineStr">
        <is>
          <t>NOPAT</t>
        </is>
      </c>
      <c r="C907" s="37">
        <f>C905-C906</f>
        <v/>
      </c>
      <c r="D907" s="37">
        <f>D905-D906</f>
        <v/>
      </c>
      <c r="E907" s="37">
        <f>E905-E906</f>
        <v/>
      </c>
      <c r="F907" s="37">
        <f>F905-F906</f>
        <v/>
      </c>
      <c r="G907" s="37">
        <f>G905-G906</f>
        <v/>
      </c>
    </row>
    <row r="908">
      <c r="A908" s="7" t="inlineStr">
        <is>
          <t>Net working capital — on days</t>
        </is>
      </c>
      <c r="C908" s="18">
        <f>'Income Statement'!$B$44*DCF!$B$9/365*C895+'Income Statement'!$B$45*DCF!$B$9/365*C894-'Income Statement'!$B$46*DCF!$B$9/365*C895</f>
        <v/>
      </c>
      <c r="D908" s="18">
        <f>'Income Statement'!$B$44*DCF!$B$9/365*D895+'Income Statement'!$B$45*DCF!$B$9/365*D894-'Income Statement'!$B$46*DCF!$B$9/365*D895</f>
        <v/>
      </c>
      <c r="E908" s="18">
        <f>'Income Statement'!$B$44*DCF!$B$9/365*E895+'Income Statement'!$B$45*DCF!$B$9/365*E894-'Income Statement'!$B$46*DCF!$B$9/365*E895</f>
        <v/>
      </c>
      <c r="F908" s="18">
        <f>'Income Statement'!$B$44*DCF!$B$9/365*F895+'Income Statement'!$B$45*DCF!$B$9/365*F894-'Income Statement'!$B$46*DCF!$B$9/365*F895</f>
        <v/>
      </c>
      <c r="G908" s="18">
        <f>'Income Statement'!$B$44*DCF!$B$9/365*G895+'Income Statement'!$B$45*DCF!$B$9/365*G894-'Income Statement'!$B$46*DCF!$B$9/365*G895</f>
        <v/>
      </c>
    </row>
    <row r="909">
      <c r="A909" s="7" t="inlineStr">
        <is>
          <t xml:space="preserve">  change in working capital</t>
        </is>
      </c>
      <c r="C909" s="18">
        <f>C908-('Income Statement'!$B$44/365*'Income Statement'!$B$21+'Income Statement'!$B$45/365*'Income Statement'!$B$19-'Income Statement'!$B$46/365*'Income Statement'!$B$21)</f>
        <v/>
      </c>
      <c r="D909" s="18">
        <f>D908-C908</f>
        <v/>
      </c>
      <c r="E909" s="18">
        <f>E908-D908</f>
        <v/>
      </c>
      <c r="F909" s="18">
        <f>F908-E908</f>
        <v/>
      </c>
      <c r="G909" s="18">
        <f>G908-F908</f>
        <v/>
      </c>
    </row>
    <row r="910">
      <c r="A910" s="15" t="inlineStr">
        <is>
          <t>FREE CASH FLOW TO THE FIRM</t>
        </is>
      </c>
      <c r="C910" s="37">
        <f>C907+C902-C900-C909</f>
        <v/>
      </c>
      <c r="D910" s="37">
        <f>D907+D902-D900-D909</f>
        <v/>
      </c>
      <c r="E910" s="37">
        <f>E907+E902-E900-E909</f>
        <v/>
      </c>
      <c r="F910" s="37">
        <f>F907+F902-F900-F909</f>
        <v/>
      </c>
      <c r="G910" s="37">
        <f>G907+G902-G900-G909</f>
        <v/>
      </c>
    </row>
    <row r="911">
      <c r="A911" s="7" t="inlineStr">
        <is>
          <t>Glide fraction</t>
        </is>
      </c>
      <c r="C911" s="23">
        <f>0.0000000000</f>
        <v/>
      </c>
      <c r="D911" s="23">
        <f>0.5166487648</f>
        <v/>
      </c>
      <c r="E911" s="23">
        <f>0.7314715360</f>
        <v/>
      </c>
      <c r="F911" s="23">
        <f>0.8925886144</f>
        <v/>
      </c>
      <c r="G911" s="23">
        <f>1.0000000000</f>
        <v/>
      </c>
    </row>
    <row r="912">
      <c r="A912" s="7" t="inlineStr">
        <is>
          <t>Forward cost of capital</t>
        </is>
      </c>
      <c r="C912" s="24">
        <f>$F$29-($F$29-$G$29)*C911</f>
        <v/>
      </c>
      <c r="D912" s="24">
        <f>$F$29-($F$29-$G$29)*D911</f>
        <v/>
      </c>
      <c r="E912" s="24">
        <f>$F$29-($F$29-$G$29)*E911</f>
        <v/>
      </c>
      <c r="F912" s="24">
        <f>$F$29-($F$29-$G$29)*F911</f>
        <v/>
      </c>
      <c r="G912" s="24">
        <f>$F$29-($F$29-$G$29)*G911</f>
        <v/>
      </c>
    </row>
    <row r="913">
      <c r="A913" s="7" t="inlineStr">
        <is>
          <t>Cumulative discount factor</t>
        </is>
      </c>
      <c r="C913" s="40">
        <f>1/(1+C912)</f>
        <v/>
      </c>
      <c r="D913" s="40">
        <f>C913/(1+D912)</f>
        <v/>
      </c>
      <c r="E913" s="40">
        <f>D913/(1+E912)</f>
        <v/>
      </c>
      <c r="F913" s="40">
        <f>E913/(1+F912)</f>
        <v/>
      </c>
      <c r="G913" s="40">
        <f>F913/(1+G912)</f>
        <v/>
      </c>
    </row>
    <row r="914">
      <c r="A914" s="7" t="inlineStr">
        <is>
          <t>Present value</t>
        </is>
      </c>
      <c r="C914" s="18">
        <f>C910*C913</f>
        <v/>
      </c>
      <c r="D914" s="18">
        <f>D910*D913</f>
        <v/>
      </c>
      <c r="E914" s="18">
        <f>E910*E913</f>
        <v/>
      </c>
      <c r="F914" s="18">
        <f>F910*F913</f>
        <v/>
      </c>
      <c r="G914" s="18">
        <f>G910*G913</f>
        <v/>
      </c>
    </row>
    <row r="915">
      <c r="A915" s="15" t="inlineStr">
        <is>
          <t>PV of the explicit window</t>
        </is>
      </c>
      <c r="B915" s="37">
        <f>SUM(C914:G914)</f>
        <v/>
      </c>
      <c r="C915" s="18">
        <f>C908+C901</f>
        <v/>
      </c>
      <c r="D915" s="18">
        <f>D908+D901</f>
        <v/>
      </c>
      <c r="E915" s="18">
        <f>E908+E901</f>
        <v/>
      </c>
      <c r="F915" s="18">
        <f>F908+F901</f>
        <v/>
      </c>
      <c r="G915" s="18">
        <f>G908+G901</f>
        <v/>
      </c>
    </row>
    <row r="916">
      <c r="A916" s="7" t="inlineStr">
        <is>
          <t>Terminal return on invested capital, at REPLACEMENT cost</t>
        </is>
      </c>
      <c r="B916" s="24">
        <f>G907*(1+Assumptions!$B$110)/G915</f>
        <v/>
      </c>
    </row>
    <row r="917">
      <c r="A917" s="7" t="inlineStr">
        <is>
          <t>Required reinvestment = growth / return</t>
        </is>
      </c>
      <c r="B917" s="24">
        <f>MIN(Assumptions!$B$110/B916,0.95)</f>
        <v/>
      </c>
    </row>
    <row r="918">
      <c r="A918" s="7" t="inlineStr">
        <is>
          <t>Terminal value</t>
        </is>
      </c>
      <c r="B918" s="18">
        <f>G907*(1+Assumptions!$B$110)*(1-B917)/MAX($G$29-Assumptions!$B$110,0.02)</f>
        <v/>
      </c>
    </row>
    <row r="919">
      <c r="A919" s="7" t="inlineStr">
        <is>
          <t>PV of the terminal block</t>
        </is>
      </c>
      <c r="B919" s="18">
        <f>B918*G913</f>
        <v/>
      </c>
    </row>
    <row r="920">
      <c r="A920" s="15" t="inlineStr">
        <is>
          <t>ENTERPRISE VALUE</t>
        </is>
      </c>
      <c r="B920" s="37">
        <f>B915+B919</f>
        <v/>
      </c>
    </row>
    <row r="921">
      <c r="A921" s="7" t="inlineStr">
        <is>
          <t>plus net cash</t>
        </is>
      </c>
      <c r="B921" s="18">
        <f>(Assumptions!$B$100-Assumptions!$B$103-Assumptions!$B$104)/10^6</f>
        <v/>
      </c>
    </row>
    <row r="922">
      <c r="A922" s="7" t="inlineStr">
        <is>
          <t>Enterprise value including cash</t>
        </is>
      </c>
      <c r="B922" s="18">
        <f>B920+B921</f>
        <v/>
      </c>
    </row>
    <row r="923">
      <c r="A923" s="7" t="inlineStr">
        <is>
          <t>less minority — on the WHOLE enterprise, cash included</t>
        </is>
      </c>
      <c r="B923" s="18">
        <f>B922*'Income Statement'!$B$41</f>
        <v/>
      </c>
    </row>
    <row r="924">
      <c r="A924" s="7" t="inlineStr">
        <is>
          <t>less the tax-disputes provision</t>
        </is>
      </c>
      <c r="B924" s="18">
        <f>Assumptions!$B$99/10^6</f>
        <v/>
      </c>
    </row>
    <row r="925">
      <c r="A925" s="7" t="inlineStr">
        <is>
          <t>less dividends payable — declared, out of working capital</t>
        </is>
      </c>
      <c r="B925" s="18">
        <f>Assumptions!$B$98/10^6</f>
        <v/>
      </c>
    </row>
    <row r="926">
      <c r="A926" s="7" t="inlineStr">
        <is>
          <t>plus non-operating investments and pledged deposits</t>
        </is>
      </c>
      <c r="B926" s="18">
        <f>(Assumptions!$B$102+Assumptions!$B$101)/10^6</f>
        <v/>
      </c>
    </row>
    <row r="927">
      <c r="A927" s="15" t="inlineStr">
        <is>
          <t>EQUITY ATTRIBUTABLE</t>
        </is>
      </c>
      <c r="B927" s="37">
        <f>B922-B923-B924-B925+B926</f>
        <v/>
      </c>
    </row>
    <row r="928">
      <c r="A928" s="15" t="inlineStr">
        <is>
          <t>VALUE PER SHARE, EGP</t>
        </is>
      </c>
      <c r="B928" s="22">
        <f>B927/Assumptions!$B$8</f>
        <v/>
      </c>
    </row>
    <row r="931">
      <c r="A931" s="6" t="inlineStr">
        <is>
          <t>Beta — 1.1500</t>
        </is>
      </c>
      <c r="B931" s="6" t="inlineStr">
        <is>
          <t>2026E</t>
        </is>
      </c>
      <c r="C931" s="6" t="inlineStr">
        <is>
          <t>2027E</t>
        </is>
      </c>
      <c r="D931" s="6" t="inlineStr">
        <is>
          <t>2028E</t>
        </is>
      </c>
      <c r="E931" s="6" t="inlineStr">
        <is>
          <t>2029E</t>
        </is>
      </c>
      <c r="F931" s="6" t="inlineStr">
        <is>
          <t>2030E</t>
        </is>
      </c>
    </row>
    <row r="932">
      <c r="A932" s="7" t="inlineStr">
        <is>
          <t>Inflation index, cumulative</t>
        </is>
      </c>
      <c r="C932" s="23">
        <f>Assumptions!$B$167</f>
        <v/>
      </c>
      <c r="D932" s="23">
        <f>C932*Assumptions!$B$168</f>
        <v/>
      </c>
      <c r="E932" s="23">
        <f>D932*Assumptions!$B$169</f>
        <v/>
      </c>
      <c r="F932" s="23">
        <f>E932*Assumptions!$B$170</f>
        <v/>
      </c>
      <c r="G932" s="23">
        <f>F932*Assumptions!$B$171</f>
        <v/>
      </c>
    </row>
    <row r="933">
      <c r="A933" s="7" t="inlineStr">
        <is>
          <t>Realisation index, cumulative</t>
        </is>
      </c>
      <c r="C933" s="23">
        <f>(1+Assumptions!$B$122*DCF!$B$8)</f>
        <v/>
      </c>
      <c r="D933" s="23">
        <f>C933*(1+Assumptions!$B$123*DCF!$B$8)</f>
        <v/>
      </c>
      <c r="E933" s="23">
        <f>D933*(1+Assumptions!$B$124*DCF!$B$8)</f>
        <v/>
      </c>
      <c r="F933" s="23">
        <f>E933*(1+Assumptions!$B$125*DCF!$B$8)</f>
        <v/>
      </c>
      <c r="G933" s="23">
        <f>F933*(1+Assumptions!$B$126*DCF!$B$8)</f>
        <v/>
      </c>
    </row>
    <row r="934">
      <c r="A934" s="7" t="inlineStr">
        <is>
          <t xml:space="preserve">  Volume — Base and special oils, mn t</t>
        </is>
      </c>
      <c r="C934" s="23">
        <f>'Segments'!E6*(1+Assumptions!$B$127+DCF!$B$6)</f>
        <v/>
      </c>
      <c r="D934" s="23">
        <f>C934*(1+Assumptions!$B$128+DCF!$B$6)</f>
        <v/>
      </c>
      <c r="E934" s="23">
        <f>D934*(1+Assumptions!$B$129+DCF!$B$6)</f>
        <v/>
      </c>
      <c r="F934" s="23">
        <f>E934*(1+Assumptions!$B$130+DCF!$B$6)</f>
        <v/>
      </c>
      <c r="G934" s="23">
        <f>F934*(1+Assumptions!$B$131+DCF!$B$6)</f>
        <v/>
      </c>
    </row>
    <row r="935">
      <c r="A935" s="7" t="inlineStr">
        <is>
          <t xml:space="preserve">  Volume — Paraffin wax, mn t</t>
        </is>
      </c>
      <c r="C935" s="23">
        <f>'Segments'!E7*(1+Assumptions!$B$132+DCF!$B$6)</f>
        <v/>
      </c>
      <c r="D935" s="23">
        <f>C935*(1+Assumptions!$B$133+DCF!$B$6)</f>
        <v/>
      </c>
      <c r="E935" s="23">
        <f>D935*(1+Assumptions!$B$134+DCF!$B$6)</f>
        <v/>
      </c>
      <c r="F935" s="23">
        <f>E935*(1+Assumptions!$B$135+DCF!$B$6)</f>
        <v/>
      </c>
      <c r="G935" s="23">
        <f>F935*(1+Assumptions!$B$136+DCF!$B$6)</f>
        <v/>
      </c>
    </row>
    <row r="936">
      <c r="A936" s="7" t="inlineStr">
        <is>
          <t xml:space="preserve">  Volume — Gas oil, mn t</t>
        </is>
      </c>
      <c r="C936" s="23">
        <f>'Segments'!E8*(1+Assumptions!$B$137+DCF!$B$6)</f>
        <v/>
      </c>
      <c r="D936" s="23">
        <f>C936*(1+Assumptions!$B$138+DCF!$B$6)</f>
        <v/>
      </c>
      <c r="E936" s="23">
        <f>D936*(1+Assumptions!$B$139+DCF!$B$6)</f>
        <v/>
      </c>
      <c r="F936" s="23">
        <f>E936*(1+Assumptions!$B$140+DCF!$B$6)</f>
        <v/>
      </c>
      <c r="G936" s="23">
        <f>F936*(1+Assumptions!$B$141+DCF!$B$6)</f>
        <v/>
      </c>
    </row>
    <row r="937">
      <c r="A937" s="7" t="inlineStr">
        <is>
          <t xml:space="preserve">  Volume — Naphtha, mn t</t>
        </is>
      </c>
      <c r="C937" s="23">
        <f>'Segments'!E9*(1+Assumptions!$B$142+DCF!$B$6)</f>
        <v/>
      </c>
      <c r="D937" s="23">
        <f>C937*(1+Assumptions!$B$143+DCF!$B$6)</f>
        <v/>
      </c>
      <c r="E937" s="23">
        <f>D937*(1+Assumptions!$B$144+DCF!$B$6)</f>
        <v/>
      </c>
      <c r="F937" s="23">
        <f>E937*(1+Assumptions!$B$145+DCF!$B$6)</f>
        <v/>
      </c>
      <c r="G937" s="23">
        <f>F937*(1+Assumptions!$B$146+DCF!$B$6)</f>
        <v/>
      </c>
    </row>
    <row r="938">
      <c r="A938" s="7" t="inlineStr">
        <is>
          <t xml:space="preserve">  Volume — Liquefied petroleum gas, mn t</t>
        </is>
      </c>
      <c r="C938" s="23">
        <f>'Segments'!E10*(1+Assumptions!$B$147+DCF!$B$6)</f>
        <v/>
      </c>
      <c r="D938" s="23">
        <f>C938*(1+Assumptions!$B$148+DCF!$B$6)</f>
        <v/>
      </c>
      <c r="E938" s="23">
        <f>D938*(1+Assumptions!$B$149+DCF!$B$6)</f>
        <v/>
      </c>
      <c r="F938" s="23">
        <f>E938*(1+Assumptions!$B$150+DCF!$B$6)</f>
        <v/>
      </c>
      <c r="G938" s="23">
        <f>F938*(1+Assumptions!$B$151+DCF!$B$6)</f>
        <v/>
      </c>
    </row>
    <row r="939">
      <c r="A939" s="7" t="inlineStr">
        <is>
          <t xml:space="preserve">  Volume — Fuel oil (mix), mn t</t>
        </is>
      </c>
      <c r="C939" s="23">
        <f>'Segments'!E11*(1+Assumptions!$B$152+DCF!$B$6)</f>
        <v/>
      </c>
      <c r="D939" s="23">
        <f>C939*(1+Assumptions!$B$153+DCF!$B$6)</f>
        <v/>
      </c>
      <c r="E939" s="23">
        <f>D939*(1+Assumptions!$B$154+DCF!$B$6)</f>
        <v/>
      </c>
      <c r="F939" s="23">
        <f>E939*(1+Assumptions!$B$155+DCF!$B$6)</f>
        <v/>
      </c>
      <c r="G939" s="23">
        <f>F939*(1+Assumptions!$B$156+DCF!$B$6)</f>
        <v/>
      </c>
    </row>
    <row r="940">
      <c r="A940" s="7" t="inlineStr">
        <is>
          <t xml:space="preserve">  Volume — Heavy fuel oil, mn t</t>
        </is>
      </c>
      <c r="C940" s="23">
        <f>'Segments'!E12*(1+Assumptions!$B$157+DCF!$B$6)</f>
        <v/>
      </c>
      <c r="D940" s="23">
        <f>C940*(1+Assumptions!$B$158+DCF!$B$6)</f>
        <v/>
      </c>
      <c r="E940" s="23">
        <f>D940*(1+Assumptions!$B$159+DCF!$B$6)</f>
        <v/>
      </c>
      <c r="F940" s="23">
        <f>E940*(1+Assumptions!$B$160+DCF!$B$6)</f>
        <v/>
      </c>
      <c r="G940" s="23">
        <f>F940*(1+Assumptions!$B$161+DCF!$B$6)</f>
        <v/>
      </c>
    </row>
    <row r="941">
      <c r="A941" s="7" t="inlineStr">
        <is>
          <t xml:space="preserve">  Volume — Waste, mn t</t>
        </is>
      </c>
      <c r="C941" s="23">
        <f>'Segments'!E13*(1+Assumptions!$B$162+DCF!$B$6)</f>
        <v/>
      </c>
      <c r="D941" s="23">
        <f>C941*(1+Assumptions!$B$163+DCF!$B$6)</f>
        <v/>
      </c>
      <c r="E941" s="23">
        <f>D941*(1+Assumptions!$B$164+DCF!$B$6)</f>
        <v/>
      </c>
      <c r="F941" s="23">
        <f>E941*(1+Assumptions!$B$165+DCF!$B$6)</f>
        <v/>
      </c>
      <c r="G941" s="23">
        <f>F941*(1+Assumptions!$B$166+DCF!$B$6)</f>
        <v/>
      </c>
    </row>
    <row r="942">
      <c r="A942" s="15" t="inlineStr">
        <is>
          <t>Total volume, mn t</t>
        </is>
      </c>
      <c r="C942" s="36">
        <f>SUM(C934:C941)</f>
        <v/>
      </c>
      <c r="D942" s="36">
        <f>SUM(D934:D941)</f>
        <v/>
      </c>
      <c r="E942" s="36">
        <f>SUM(E934:E941)</f>
        <v/>
      </c>
      <c r="F942" s="36">
        <f>SUM(F934:F941)</f>
        <v/>
      </c>
      <c r="G942" s="36">
        <f>SUM(G934:G941)</f>
        <v/>
      </c>
    </row>
    <row r="943">
      <c r="A943" s="15" t="inlineStr">
        <is>
          <t>REVENUE</t>
        </is>
      </c>
      <c r="C943" s="37">
        <f>C934*'Segments'!$F$6*C933+C935*'Segments'!$F$7*C933+C936*'Segments'!$F$8*C933+C937*'Segments'!$F$9*C933+C938*'Segments'!$F$10*C933+C939*'Segments'!$F$11*C933+C940*'Segments'!$F$12*C933+C941*'Segments'!$F$13*C933</f>
        <v/>
      </c>
      <c r="D943" s="37">
        <f>D934*'Segments'!$F$6*D933+D935*'Segments'!$F$7*D933+D936*'Segments'!$F$8*D933+D937*'Segments'!$F$9*D933+D938*'Segments'!$F$10*D933+D939*'Segments'!$F$11*D933+D940*'Segments'!$F$12*D933+D941*'Segments'!$F$13*D933</f>
        <v/>
      </c>
      <c r="E943" s="37">
        <f>E934*'Segments'!$F$6*E933+E935*'Segments'!$F$7*E933+E936*'Segments'!$F$8*E933+E937*'Segments'!$F$9*E933+E938*'Segments'!$F$10*E933+E939*'Segments'!$F$11*E933+E940*'Segments'!$F$12*E933+E941*'Segments'!$F$13*E933</f>
        <v/>
      </c>
      <c r="F943" s="37">
        <f>F934*'Segments'!$F$6*F933+F935*'Segments'!$F$7*F933+F936*'Segments'!$F$8*F933+F937*'Segments'!$F$9*F933+F938*'Segments'!$F$10*F933+F939*'Segments'!$F$11*F933+F940*'Segments'!$F$12*F933+F941*'Segments'!$F$13*F933</f>
        <v/>
      </c>
      <c r="G943" s="37">
        <f>G934*'Segments'!$F$6*G933+G935*'Segments'!$F$7*G933+G936*'Segments'!$F$8*G933+G937*'Segments'!$F$9*G933+G938*'Segments'!$F$10*G933+G939*'Segments'!$F$11*G933+G940*'Segments'!$F$12*G933+G941*'Segments'!$F$13*G933</f>
        <v/>
      </c>
    </row>
    <row r="944">
      <c r="A944" s="7" t="inlineStr">
        <is>
          <t>Cost of sales</t>
        </is>
      </c>
      <c r="C944" s="18">
        <f>C934*('Segments'!$D$27*C933*Assumptions!$B$109+'Segments'!$B$27*(0.4983251709*C933+0.4357405005*C933+0.0330936548*C933+0.0328406739))+C935*('Segments'!$D$28*C933*Assumptions!$B$109+'Segments'!$B$28*(0.4983251709*C933+0.4357405005*C933+0.0330936548*C933+0.0328406739))+C936*('Segments'!$D$29*C933*Assumptions!$B$109+'Segments'!$B$29*(0.4983251709*C933+0.4357405005*C933+0.0330936548*C933+0.0328406739))+C937*('Segments'!$D$30*C933*Assumptions!$B$109+'Segments'!$B$30*(0.4983251709*C933+0.4357405005*C933+0.0330936548*C933+0.0328406739))+C938*('Segments'!$D$31*C933*Assumptions!$B$109+'Segments'!$B$31*(0.4983251709*C933+0.4357405005*C933+0.0330936548*C933+0.0328406739))+C939*('Segments'!$D$32*C933*Assumptions!$B$109+'Segments'!$B$32*(0.4983251709*C933+0.4357405005*C933+0.0330936548*C933+0.0328406739))+C940*('Segments'!$D$33*C933*Assumptions!$B$109+'Segments'!$B$33*(0.4983251709*C933+0.4357405005*C933+0.0330936548*C933+0.0328406739))+C941*('Segments'!$D$34*C933*Assumptions!$B$109+'Segments'!$B$34*(0.4983251709*C933+0.4357405005*C933+0.0330936548*C933+0.0328406739))</f>
        <v/>
      </c>
      <c r="D944" s="18">
        <f>D934*('Segments'!$D$27*D933*Assumptions!$B$109+'Segments'!$B$27*(0.4983251709*D933+0.4357405005*D933+0.0330936548*D933+0.0328406739))+D935*('Segments'!$D$28*D933*Assumptions!$B$109+'Segments'!$B$28*(0.4983251709*D933+0.4357405005*D933+0.0330936548*D933+0.0328406739))+D936*('Segments'!$D$29*D933*Assumptions!$B$109+'Segments'!$B$29*(0.4983251709*D933+0.4357405005*D933+0.0330936548*D933+0.0328406739))+D937*('Segments'!$D$30*D933*Assumptions!$B$109+'Segments'!$B$30*(0.4983251709*D933+0.4357405005*D933+0.0330936548*D933+0.0328406739))+D938*('Segments'!$D$31*D933*Assumptions!$B$109+'Segments'!$B$31*(0.4983251709*D933+0.4357405005*D933+0.0330936548*D933+0.0328406739))+D939*('Segments'!$D$32*D933*Assumptions!$B$109+'Segments'!$B$32*(0.4983251709*D933+0.4357405005*D933+0.0330936548*D933+0.0328406739))+D940*('Segments'!$D$33*D933*Assumptions!$B$109+'Segments'!$B$33*(0.4983251709*D933+0.4357405005*D933+0.0330936548*D933+0.0328406739))+D941*('Segments'!$D$34*D933*Assumptions!$B$109+'Segments'!$B$34*(0.4983251709*D933+0.4357405005*D933+0.0330936548*D933+0.0328406739))</f>
        <v/>
      </c>
      <c r="E944" s="18">
        <f>E934*('Segments'!$D$27*E933*Assumptions!$B$109+'Segments'!$B$27*(0.4983251709*E933+0.4357405005*E933+0.0330936548*E933+0.0328406739))+E935*('Segments'!$D$28*E933*Assumptions!$B$109+'Segments'!$B$28*(0.4983251709*E933+0.4357405005*E933+0.0330936548*E933+0.0328406739))+E936*('Segments'!$D$29*E933*Assumptions!$B$109+'Segments'!$B$29*(0.4983251709*E933+0.4357405005*E933+0.0330936548*E933+0.0328406739))+E937*('Segments'!$D$30*E933*Assumptions!$B$109+'Segments'!$B$30*(0.4983251709*E933+0.4357405005*E933+0.0330936548*E933+0.0328406739))+E938*('Segments'!$D$31*E933*Assumptions!$B$109+'Segments'!$B$31*(0.4983251709*E933+0.4357405005*E933+0.0330936548*E933+0.0328406739))+E939*('Segments'!$D$32*E933*Assumptions!$B$109+'Segments'!$B$32*(0.4983251709*E933+0.4357405005*E933+0.0330936548*E933+0.0328406739))+E940*('Segments'!$D$33*E933*Assumptions!$B$109+'Segments'!$B$33*(0.4983251709*E933+0.4357405005*E933+0.0330936548*E933+0.0328406739))+E941*('Segments'!$D$34*E933*Assumptions!$B$109+'Segments'!$B$34*(0.4983251709*E933+0.4357405005*E933+0.0330936548*E933+0.0328406739))</f>
        <v/>
      </c>
      <c r="F944" s="18">
        <f>F934*('Segments'!$D$27*F933*Assumptions!$B$109+'Segments'!$B$27*(0.4983251709*F933+0.4357405005*F933+0.0330936548*F933+0.0328406739))+F935*('Segments'!$D$28*F933*Assumptions!$B$109+'Segments'!$B$28*(0.4983251709*F933+0.4357405005*F933+0.0330936548*F933+0.0328406739))+F936*('Segments'!$D$29*F933*Assumptions!$B$109+'Segments'!$B$29*(0.4983251709*F933+0.4357405005*F933+0.0330936548*F933+0.0328406739))+F937*('Segments'!$D$30*F933*Assumptions!$B$109+'Segments'!$B$30*(0.4983251709*F933+0.4357405005*F933+0.0330936548*F933+0.0328406739))+F938*('Segments'!$D$31*F933*Assumptions!$B$109+'Segments'!$B$31*(0.4983251709*F933+0.4357405005*F933+0.0330936548*F933+0.0328406739))+F939*('Segments'!$D$32*F933*Assumptions!$B$109+'Segments'!$B$32*(0.4983251709*F933+0.4357405005*F933+0.0330936548*F933+0.0328406739))+F940*('Segments'!$D$33*F933*Assumptions!$B$109+'Segments'!$B$33*(0.4983251709*F933+0.4357405005*F933+0.0330936548*F933+0.0328406739))+F941*('Segments'!$D$34*F933*Assumptions!$B$109+'Segments'!$B$34*(0.4983251709*F933+0.4357405005*F933+0.0330936548*F933+0.0328406739))</f>
        <v/>
      </c>
      <c r="G944" s="18">
        <f>G934*('Segments'!$D$27*G933*Assumptions!$B$109+'Segments'!$B$27*(0.4983251709*G933+0.4357405005*G933+0.0330936548*G933+0.0328406739))+G935*('Segments'!$D$28*G933*Assumptions!$B$109+'Segments'!$B$28*(0.4983251709*G933+0.4357405005*G933+0.0330936548*G933+0.0328406739))+G936*('Segments'!$D$29*G933*Assumptions!$B$109+'Segments'!$B$29*(0.4983251709*G933+0.4357405005*G933+0.0330936548*G933+0.0328406739))+G937*('Segments'!$D$30*G933*Assumptions!$B$109+'Segments'!$B$30*(0.4983251709*G933+0.4357405005*G933+0.0330936548*G933+0.0328406739))+G938*('Segments'!$D$31*G933*Assumptions!$B$109+'Segments'!$B$31*(0.4983251709*G933+0.4357405005*G933+0.0330936548*G933+0.0328406739))+G939*('Segments'!$D$32*G933*Assumptions!$B$109+'Segments'!$B$32*(0.4983251709*G933+0.4357405005*G933+0.0330936548*G933+0.0328406739))+G940*('Segments'!$D$33*G933*Assumptions!$B$109+'Segments'!$B$33*(0.4983251709*G933+0.4357405005*G933+0.0330936548*G933+0.0328406739))+G941*('Segments'!$D$34*G933*Assumptions!$B$109+'Segments'!$B$34*(0.4983251709*G933+0.4357405005*G933+0.0330936548*G933+0.0328406739))</f>
        <v/>
      </c>
    </row>
    <row r="945">
      <c r="A945" s="15" t="inlineStr">
        <is>
          <t>GROSS PROFIT</t>
        </is>
      </c>
      <c r="C945" s="37">
        <f>C943-C944+DCF!$B$7*C943</f>
        <v/>
      </c>
      <c r="D945" s="37">
        <f>D943-D944+DCF!$B$7*D943</f>
        <v/>
      </c>
      <c r="E945" s="37">
        <f>E943-E944+DCF!$B$7*E943</f>
        <v/>
      </c>
      <c r="F945" s="37">
        <f>F943-F944+DCF!$B$7*F943</f>
        <v/>
      </c>
      <c r="G945" s="37">
        <f>G943-G944+DCF!$B$7*G943</f>
        <v/>
      </c>
    </row>
    <row r="946">
      <c r="A946" s="7" t="inlineStr">
        <is>
          <t>Gross margin</t>
        </is>
      </c>
      <c r="C946" s="24">
        <f>C945/C943</f>
        <v/>
      </c>
      <c r="D946" s="24">
        <f>D945/D943</f>
        <v/>
      </c>
      <c r="E946" s="24">
        <f>E945/E943</f>
        <v/>
      </c>
      <c r="F946" s="24">
        <f>F945/F943</f>
        <v/>
      </c>
      <c r="G946" s="24">
        <f>G945/G943</f>
        <v/>
      </c>
    </row>
    <row r="947">
      <c r="A947" s="7" t="inlineStr">
        <is>
          <t>Operating expense</t>
        </is>
      </c>
      <c r="C947" s="18">
        <f>('Income Statement'!$B$28*C932)+('Income Statement'!$B$29*C932*C942/'Segments'!$E$14)+('Income Statement'!$B$30*C932)+('Income Statement'!$B$31*C932)</f>
        <v/>
      </c>
      <c r="D947" s="18">
        <f>('Income Statement'!$B$28*D932)+('Income Statement'!$B$29*D932*D942/'Segments'!$E$14)+('Income Statement'!$B$30*D932)+('Income Statement'!$B$31*D932)</f>
        <v/>
      </c>
      <c r="E947" s="18">
        <f>('Income Statement'!$B$28*E932)+('Income Statement'!$B$29*E932*E942/'Segments'!$E$14)+('Income Statement'!$B$30*E932)+('Income Statement'!$B$31*E932)</f>
        <v/>
      </c>
      <c r="F947" s="18">
        <f>('Income Statement'!$B$28*F932)+('Income Statement'!$B$29*F932*F942/'Segments'!$E$14)+('Income Statement'!$B$30*F932)+('Income Statement'!$B$31*F932)</f>
        <v/>
      </c>
      <c r="G947" s="18">
        <f>('Income Statement'!$B$28*G932)+('Income Statement'!$B$29*G932*G942/'Segments'!$E$14)+('Income Statement'!$B$30*G932)+('Income Statement'!$B$31*G932)</f>
        <v/>
      </c>
    </row>
    <row r="948">
      <c r="A948" s="15" t="inlineStr">
        <is>
          <t>EBITDA</t>
        </is>
      </c>
      <c r="C948" s="37">
        <f>C945-C947</f>
        <v/>
      </c>
      <c r="D948" s="37">
        <f>D945-D947</f>
        <v/>
      </c>
      <c r="E948" s="37">
        <f>E945-E947</f>
        <v/>
      </c>
      <c r="F948" s="37">
        <f>F945-F947</f>
        <v/>
      </c>
      <c r="G948" s="37">
        <f>G945-G947</f>
        <v/>
      </c>
    </row>
    <row r="949">
      <c r="A949" s="7" t="inlineStr">
        <is>
          <t>Capital expenditure — maintenance + growth</t>
        </is>
      </c>
      <c r="C949" s="18">
        <f>'Income Statement'!$B$43*C932+MAX(C942-'Segments'!$E$14,0)*2100.379938*C932</f>
        <v/>
      </c>
      <c r="D949" s="18">
        <f>'Income Statement'!$B$43*D932+MAX(D942-C942,0)*2100.379938*D932</f>
        <v/>
      </c>
      <c r="E949" s="18">
        <f>'Income Statement'!$B$43*E932+MAX(E942-D942,0)*2100.379938*E932</f>
        <v/>
      </c>
      <c r="F949" s="18">
        <f>'Income Statement'!$B$43*F932+MAX(F942-E942,0)*2100.379938*F932</f>
        <v/>
      </c>
      <c r="G949" s="18">
        <f>'Income Statement'!$B$43*G932+MAX(G942-F942,0)*2100.379938*G932</f>
        <v/>
      </c>
    </row>
    <row r="950">
      <c r="A950" s="7" t="inlineStr">
        <is>
          <t>Fixed assets at cost, closing</t>
        </is>
      </c>
      <c r="C950" s="18">
        <f>(Assumptions!$B$91+Assumptions!$B$92)/10^6+C949</f>
        <v/>
      </c>
      <c r="D950" s="18">
        <f>C950+D949</f>
        <v/>
      </c>
      <c r="E950" s="18">
        <f>D950+E949</f>
        <v/>
      </c>
      <c r="F950" s="18">
        <f>E950+F949</f>
        <v/>
      </c>
      <c r="G950" s="18">
        <f>F950+G949</f>
        <v/>
      </c>
    </row>
    <row r="951">
      <c r="A951" s="7" t="inlineStr">
        <is>
          <t>Depreciation — rolls off the asset register</t>
        </is>
      </c>
      <c r="C951" s="18">
        <f>(Assumptions!$B$91+Assumptions!$B$92)/10^6/'Income Statement'!$B$42</f>
        <v/>
      </c>
      <c r="D951" s="18">
        <f>C950/'Income Statement'!$B$42</f>
        <v/>
      </c>
      <c r="E951" s="18">
        <f>D950/'Income Statement'!$B$42</f>
        <v/>
      </c>
      <c r="F951" s="18">
        <f>E950/'Income Statement'!$B$42</f>
        <v/>
      </c>
      <c r="G951" s="18">
        <f>F950/'Income Statement'!$B$42</f>
        <v/>
      </c>
    </row>
    <row r="952">
      <c r="A952" s="7" t="inlineStr">
        <is>
          <t>Fixed assets, net book, closing</t>
        </is>
      </c>
      <c r="C952" s="18">
        <f>(Assumptions!$B$90+Assumptions!$B$92)/10^6+C949-C951</f>
        <v/>
      </c>
      <c r="D952" s="18">
        <f>C952+D949-D951</f>
        <v/>
      </c>
      <c r="E952" s="18">
        <f>D952+E949-E951</f>
        <v/>
      </c>
      <c r="F952" s="18">
        <f>E952+F949-F951</f>
        <v/>
      </c>
      <c r="G952" s="18">
        <f>F952+G949-G951</f>
        <v/>
      </c>
    </row>
    <row r="953">
      <c r="A953" s="15" t="inlineStr">
        <is>
          <t>EBIT</t>
        </is>
      </c>
      <c r="C953" s="37">
        <f>C948-C951</f>
        <v/>
      </c>
      <c r="D953" s="37">
        <f>D948-D951</f>
        <v/>
      </c>
      <c r="E953" s="37">
        <f>E948-E951</f>
        <v/>
      </c>
      <c r="F953" s="37">
        <f>F948-F951</f>
        <v/>
      </c>
      <c r="G953" s="37">
        <f>G948-G951</f>
        <v/>
      </c>
    </row>
    <row r="954">
      <c r="A954" s="7" t="inlineStr">
        <is>
          <t>NOPAT before the profit share</t>
        </is>
      </c>
      <c r="C954" s="18">
        <f>C953*(1-Assumptions!$B$108)</f>
        <v/>
      </c>
      <c r="D954" s="18">
        <f>D953*(1-Assumptions!$B$108)</f>
        <v/>
      </c>
      <c r="E954" s="18">
        <f>E953*(1-Assumptions!$B$108)</f>
        <v/>
      </c>
      <c r="F954" s="18">
        <f>F953*(1-Assumptions!$B$108)</f>
        <v/>
      </c>
      <c r="G954" s="18">
        <f>G953*(1-Assumptions!$B$108)</f>
        <v/>
      </c>
    </row>
    <row r="955">
      <c r="A955" s="7" t="inlineStr">
        <is>
          <t xml:space="preserve">  less employees' profit share and board bonuses</t>
        </is>
      </c>
      <c r="C955" s="18">
        <f>MAX(C954,0)*'Income Statement'!$B$40</f>
        <v/>
      </c>
      <c r="D955" s="18">
        <f>MAX(D954,0)*'Income Statement'!$B$40</f>
        <v/>
      </c>
      <c r="E955" s="18">
        <f>MAX(E954,0)*'Income Statement'!$B$40</f>
        <v/>
      </c>
      <c r="F955" s="18">
        <f>MAX(F954,0)*'Income Statement'!$B$40</f>
        <v/>
      </c>
      <c r="G955" s="18">
        <f>MAX(G954,0)*'Income Statement'!$B$40</f>
        <v/>
      </c>
    </row>
    <row r="956">
      <c r="A956" s="15" t="inlineStr">
        <is>
          <t>NOPAT</t>
        </is>
      </c>
      <c r="C956" s="37">
        <f>C954-C955</f>
        <v/>
      </c>
      <c r="D956" s="37">
        <f>D954-D955</f>
        <v/>
      </c>
      <c r="E956" s="37">
        <f>E954-E955</f>
        <v/>
      </c>
      <c r="F956" s="37">
        <f>F954-F955</f>
        <v/>
      </c>
      <c r="G956" s="37">
        <f>G954-G955</f>
        <v/>
      </c>
    </row>
    <row r="957">
      <c r="A957" s="7" t="inlineStr">
        <is>
          <t>Net working capital — on days</t>
        </is>
      </c>
      <c r="C957" s="18">
        <f>'Income Statement'!$B$44*DCF!$B$9/365*C944+'Income Statement'!$B$45*DCF!$B$9/365*C943-'Income Statement'!$B$46*DCF!$B$9/365*C944</f>
        <v/>
      </c>
      <c r="D957" s="18">
        <f>'Income Statement'!$B$44*DCF!$B$9/365*D944+'Income Statement'!$B$45*DCF!$B$9/365*D943-'Income Statement'!$B$46*DCF!$B$9/365*D944</f>
        <v/>
      </c>
      <c r="E957" s="18">
        <f>'Income Statement'!$B$44*DCF!$B$9/365*E944+'Income Statement'!$B$45*DCF!$B$9/365*E943-'Income Statement'!$B$46*DCF!$B$9/365*E944</f>
        <v/>
      </c>
      <c r="F957" s="18">
        <f>'Income Statement'!$B$44*DCF!$B$9/365*F944+'Income Statement'!$B$45*DCF!$B$9/365*F943-'Income Statement'!$B$46*DCF!$B$9/365*F944</f>
        <v/>
      </c>
      <c r="G957" s="18">
        <f>'Income Statement'!$B$44*DCF!$B$9/365*G944+'Income Statement'!$B$45*DCF!$B$9/365*G943-'Income Statement'!$B$46*DCF!$B$9/365*G944</f>
        <v/>
      </c>
    </row>
    <row r="958">
      <c r="A958" s="7" t="inlineStr">
        <is>
          <t xml:space="preserve">  change in working capital</t>
        </is>
      </c>
      <c r="C958" s="18">
        <f>C957-('Income Statement'!$B$44/365*'Income Statement'!$B$21+'Income Statement'!$B$45/365*'Income Statement'!$B$19-'Income Statement'!$B$46/365*'Income Statement'!$B$21)</f>
        <v/>
      </c>
      <c r="D958" s="18">
        <f>D957-C957</f>
        <v/>
      </c>
      <c r="E958" s="18">
        <f>E957-D957</f>
        <v/>
      </c>
      <c r="F958" s="18">
        <f>F957-E957</f>
        <v/>
      </c>
      <c r="G958" s="18">
        <f>G957-F957</f>
        <v/>
      </c>
    </row>
    <row r="959">
      <c r="A959" s="15" t="inlineStr">
        <is>
          <t>FREE CASH FLOW TO THE FIRM</t>
        </is>
      </c>
      <c r="C959" s="37">
        <f>C956+C951-C949-C958</f>
        <v/>
      </c>
      <c r="D959" s="37">
        <f>D956+D951-D949-D958</f>
        <v/>
      </c>
      <c r="E959" s="37">
        <f>E956+E951-E949-E958</f>
        <v/>
      </c>
      <c r="F959" s="37">
        <f>F956+F951-F949-F958</f>
        <v/>
      </c>
      <c r="G959" s="37">
        <f>G956+G951-G949-G958</f>
        <v/>
      </c>
    </row>
    <row r="960">
      <c r="A960" s="7" t="inlineStr">
        <is>
          <t>Glide fraction</t>
        </is>
      </c>
      <c r="C960" s="23">
        <f>0.0000000000</f>
        <v/>
      </c>
      <c r="D960" s="23">
        <f>0.5166487648</f>
        <v/>
      </c>
      <c r="E960" s="23">
        <f>0.7314715360</f>
        <v/>
      </c>
      <c r="F960" s="23">
        <f>0.8925886144</f>
        <v/>
      </c>
      <c r="G960" s="23">
        <f>1.0000000000</f>
        <v/>
      </c>
    </row>
    <row r="961">
      <c r="A961" s="7" t="inlineStr">
        <is>
          <t>Forward cost of capital</t>
        </is>
      </c>
      <c r="C961" s="24">
        <f>$F$30-($F$30-$G$30)*C960</f>
        <v/>
      </c>
      <c r="D961" s="24">
        <f>$F$30-($F$30-$G$30)*D960</f>
        <v/>
      </c>
      <c r="E961" s="24">
        <f>$F$30-($F$30-$G$30)*E960</f>
        <v/>
      </c>
      <c r="F961" s="24">
        <f>$F$30-($F$30-$G$30)*F960</f>
        <v/>
      </c>
      <c r="G961" s="24">
        <f>$F$30-($F$30-$G$30)*G960</f>
        <v/>
      </c>
    </row>
    <row r="962">
      <c r="A962" s="7" t="inlineStr">
        <is>
          <t>Cumulative discount factor</t>
        </is>
      </c>
      <c r="C962" s="40">
        <f>1/(1+C961)</f>
        <v/>
      </c>
      <c r="D962" s="40">
        <f>C962/(1+D961)</f>
        <v/>
      </c>
      <c r="E962" s="40">
        <f>D962/(1+E961)</f>
        <v/>
      </c>
      <c r="F962" s="40">
        <f>E962/(1+F961)</f>
        <v/>
      </c>
      <c r="G962" s="40">
        <f>F962/(1+G961)</f>
        <v/>
      </c>
    </row>
    <row r="963">
      <c r="A963" s="7" t="inlineStr">
        <is>
          <t>Present value</t>
        </is>
      </c>
      <c r="C963" s="18">
        <f>C959*C962</f>
        <v/>
      </c>
      <c r="D963" s="18">
        <f>D959*D962</f>
        <v/>
      </c>
      <c r="E963" s="18">
        <f>E959*E962</f>
        <v/>
      </c>
      <c r="F963" s="18">
        <f>F959*F962</f>
        <v/>
      </c>
      <c r="G963" s="18">
        <f>G959*G962</f>
        <v/>
      </c>
    </row>
    <row r="964">
      <c r="A964" s="15" t="inlineStr">
        <is>
          <t>PV of the explicit window</t>
        </is>
      </c>
      <c r="B964" s="37">
        <f>SUM(C963:G963)</f>
        <v/>
      </c>
      <c r="C964" s="18">
        <f>C957+C950</f>
        <v/>
      </c>
      <c r="D964" s="18">
        <f>D957+D950</f>
        <v/>
      </c>
      <c r="E964" s="18">
        <f>E957+E950</f>
        <v/>
      </c>
      <c r="F964" s="18">
        <f>F957+F950</f>
        <v/>
      </c>
      <c r="G964" s="18">
        <f>G957+G950</f>
        <v/>
      </c>
    </row>
    <row r="965">
      <c r="A965" s="7" t="inlineStr">
        <is>
          <t>Terminal return on invested capital, at REPLACEMENT cost</t>
        </is>
      </c>
      <c r="B965" s="24">
        <f>G956*(1+Assumptions!$B$110)/G964</f>
        <v/>
      </c>
    </row>
    <row r="966">
      <c r="A966" s="7" t="inlineStr">
        <is>
          <t>Required reinvestment = growth / return</t>
        </is>
      </c>
      <c r="B966" s="24">
        <f>MIN(Assumptions!$B$110/B965,0.95)</f>
        <v/>
      </c>
    </row>
    <row r="967">
      <c r="A967" s="7" t="inlineStr">
        <is>
          <t>Terminal value</t>
        </is>
      </c>
      <c r="B967" s="18">
        <f>G956*(1+Assumptions!$B$110)*(1-B966)/MAX($G$30-Assumptions!$B$110,0.02)</f>
        <v/>
      </c>
    </row>
    <row r="968">
      <c r="A968" s="7" t="inlineStr">
        <is>
          <t>PV of the terminal block</t>
        </is>
      </c>
      <c r="B968" s="18">
        <f>B967*G962</f>
        <v/>
      </c>
    </row>
    <row r="969">
      <c r="A969" s="15" t="inlineStr">
        <is>
          <t>ENTERPRISE VALUE</t>
        </is>
      </c>
      <c r="B969" s="37">
        <f>B964+B968</f>
        <v/>
      </c>
    </row>
    <row r="970">
      <c r="A970" s="7" t="inlineStr">
        <is>
          <t>plus net cash</t>
        </is>
      </c>
      <c r="B970" s="18">
        <f>(Assumptions!$B$100-Assumptions!$B$103-Assumptions!$B$104)/10^6</f>
        <v/>
      </c>
    </row>
    <row r="971">
      <c r="A971" s="7" t="inlineStr">
        <is>
          <t>Enterprise value including cash</t>
        </is>
      </c>
      <c r="B971" s="18">
        <f>B969+B970</f>
        <v/>
      </c>
    </row>
    <row r="972">
      <c r="A972" s="7" t="inlineStr">
        <is>
          <t>less minority — on the WHOLE enterprise, cash included</t>
        </is>
      </c>
      <c r="B972" s="18">
        <f>B971*'Income Statement'!$B$41</f>
        <v/>
      </c>
    </row>
    <row r="973">
      <c r="A973" s="7" t="inlineStr">
        <is>
          <t>less the tax-disputes provision</t>
        </is>
      </c>
      <c r="B973" s="18">
        <f>Assumptions!$B$99/10^6</f>
        <v/>
      </c>
    </row>
    <row r="974">
      <c r="A974" s="7" t="inlineStr">
        <is>
          <t>less dividends payable — declared, out of working capital</t>
        </is>
      </c>
      <c r="B974" s="18">
        <f>Assumptions!$B$98/10^6</f>
        <v/>
      </c>
    </row>
    <row r="975">
      <c r="A975" s="7" t="inlineStr">
        <is>
          <t>plus non-operating investments and pledged deposits</t>
        </is>
      </c>
      <c r="B975" s="18">
        <f>(Assumptions!$B$102+Assumptions!$B$101)/10^6</f>
        <v/>
      </c>
    </row>
    <row r="976">
      <c r="A976" s="15" t="inlineStr">
        <is>
          <t>EQUITY ATTRIBUTABLE</t>
        </is>
      </c>
      <c r="B976" s="37">
        <f>B971-B972-B973-B974+B975</f>
        <v/>
      </c>
    </row>
    <row r="977">
      <c r="A977" s="15" t="inlineStr">
        <is>
          <t>VALUE PER SHARE, EGP</t>
        </is>
      </c>
      <c r="B977" s="22">
        <f>B976/Assumptions!$B$8</f>
        <v/>
      </c>
    </row>
    <row r="980">
      <c r="A980" s="6" t="inlineStr">
        <is>
          <t>Beta — 1.3000</t>
        </is>
      </c>
      <c r="B980" s="6" t="inlineStr">
        <is>
          <t>2026E</t>
        </is>
      </c>
      <c r="C980" s="6" t="inlineStr">
        <is>
          <t>2027E</t>
        </is>
      </c>
      <c r="D980" s="6" t="inlineStr">
        <is>
          <t>2028E</t>
        </is>
      </c>
      <c r="E980" s="6" t="inlineStr">
        <is>
          <t>2029E</t>
        </is>
      </c>
      <c r="F980" s="6" t="inlineStr">
        <is>
          <t>2030E</t>
        </is>
      </c>
    </row>
    <row r="981">
      <c r="A981" s="7" t="inlineStr">
        <is>
          <t>Inflation index, cumulative</t>
        </is>
      </c>
      <c r="C981" s="23">
        <f>Assumptions!$B$167</f>
        <v/>
      </c>
      <c r="D981" s="23">
        <f>C981*Assumptions!$B$168</f>
        <v/>
      </c>
      <c r="E981" s="23">
        <f>D981*Assumptions!$B$169</f>
        <v/>
      </c>
      <c r="F981" s="23">
        <f>E981*Assumptions!$B$170</f>
        <v/>
      </c>
      <c r="G981" s="23">
        <f>F981*Assumptions!$B$171</f>
        <v/>
      </c>
    </row>
    <row r="982">
      <c r="A982" s="7" t="inlineStr">
        <is>
          <t>Realisation index, cumulative</t>
        </is>
      </c>
      <c r="C982" s="23">
        <f>(1+Assumptions!$B$122*DCF!$B$8)</f>
        <v/>
      </c>
      <c r="D982" s="23">
        <f>C982*(1+Assumptions!$B$123*DCF!$B$8)</f>
        <v/>
      </c>
      <c r="E982" s="23">
        <f>D982*(1+Assumptions!$B$124*DCF!$B$8)</f>
        <v/>
      </c>
      <c r="F982" s="23">
        <f>E982*(1+Assumptions!$B$125*DCF!$B$8)</f>
        <v/>
      </c>
      <c r="G982" s="23">
        <f>F982*(1+Assumptions!$B$126*DCF!$B$8)</f>
        <v/>
      </c>
    </row>
    <row r="983">
      <c r="A983" s="7" t="inlineStr">
        <is>
          <t xml:space="preserve">  Volume — Base and special oils, mn t</t>
        </is>
      </c>
      <c r="C983" s="23">
        <f>'Segments'!E6*(1+Assumptions!$B$127+DCF!$B$6)</f>
        <v/>
      </c>
      <c r="D983" s="23">
        <f>C983*(1+Assumptions!$B$128+DCF!$B$6)</f>
        <v/>
      </c>
      <c r="E983" s="23">
        <f>D983*(1+Assumptions!$B$129+DCF!$B$6)</f>
        <v/>
      </c>
      <c r="F983" s="23">
        <f>E983*(1+Assumptions!$B$130+DCF!$B$6)</f>
        <v/>
      </c>
      <c r="G983" s="23">
        <f>F983*(1+Assumptions!$B$131+DCF!$B$6)</f>
        <v/>
      </c>
    </row>
    <row r="984">
      <c r="A984" s="7" t="inlineStr">
        <is>
          <t xml:space="preserve">  Volume — Paraffin wax, mn t</t>
        </is>
      </c>
      <c r="C984" s="23">
        <f>'Segments'!E7*(1+Assumptions!$B$132+DCF!$B$6)</f>
        <v/>
      </c>
      <c r="D984" s="23">
        <f>C984*(1+Assumptions!$B$133+DCF!$B$6)</f>
        <v/>
      </c>
      <c r="E984" s="23">
        <f>D984*(1+Assumptions!$B$134+DCF!$B$6)</f>
        <v/>
      </c>
      <c r="F984" s="23">
        <f>E984*(1+Assumptions!$B$135+DCF!$B$6)</f>
        <v/>
      </c>
      <c r="G984" s="23">
        <f>F984*(1+Assumptions!$B$136+DCF!$B$6)</f>
        <v/>
      </c>
    </row>
    <row r="985">
      <c r="A985" s="7" t="inlineStr">
        <is>
          <t xml:space="preserve">  Volume — Gas oil, mn t</t>
        </is>
      </c>
      <c r="C985" s="23">
        <f>'Segments'!E8*(1+Assumptions!$B$137+DCF!$B$6)</f>
        <v/>
      </c>
      <c r="D985" s="23">
        <f>C985*(1+Assumptions!$B$138+DCF!$B$6)</f>
        <v/>
      </c>
      <c r="E985" s="23">
        <f>D985*(1+Assumptions!$B$139+DCF!$B$6)</f>
        <v/>
      </c>
      <c r="F985" s="23">
        <f>E985*(1+Assumptions!$B$140+DCF!$B$6)</f>
        <v/>
      </c>
      <c r="G985" s="23">
        <f>F985*(1+Assumptions!$B$141+DCF!$B$6)</f>
        <v/>
      </c>
    </row>
    <row r="986">
      <c r="A986" s="7" t="inlineStr">
        <is>
          <t xml:space="preserve">  Volume — Naphtha, mn t</t>
        </is>
      </c>
      <c r="C986" s="23">
        <f>'Segments'!E9*(1+Assumptions!$B$142+DCF!$B$6)</f>
        <v/>
      </c>
      <c r="D986" s="23">
        <f>C986*(1+Assumptions!$B$143+DCF!$B$6)</f>
        <v/>
      </c>
      <c r="E986" s="23">
        <f>D986*(1+Assumptions!$B$144+DCF!$B$6)</f>
        <v/>
      </c>
      <c r="F986" s="23">
        <f>E986*(1+Assumptions!$B$145+DCF!$B$6)</f>
        <v/>
      </c>
      <c r="G986" s="23">
        <f>F986*(1+Assumptions!$B$146+DCF!$B$6)</f>
        <v/>
      </c>
    </row>
    <row r="987">
      <c r="A987" s="7" t="inlineStr">
        <is>
          <t xml:space="preserve">  Volume — Liquefied petroleum gas, mn t</t>
        </is>
      </c>
      <c r="C987" s="23">
        <f>'Segments'!E10*(1+Assumptions!$B$147+DCF!$B$6)</f>
        <v/>
      </c>
      <c r="D987" s="23">
        <f>C987*(1+Assumptions!$B$148+DCF!$B$6)</f>
        <v/>
      </c>
      <c r="E987" s="23">
        <f>D987*(1+Assumptions!$B$149+DCF!$B$6)</f>
        <v/>
      </c>
      <c r="F987" s="23">
        <f>E987*(1+Assumptions!$B$150+DCF!$B$6)</f>
        <v/>
      </c>
      <c r="G987" s="23">
        <f>F987*(1+Assumptions!$B$151+DCF!$B$6)</f>
        <v/>
      </c>
    </row>
    <row r="988">
      <c r="A988" s="7" t="inlineStr">
        <is>
          <t xml:space="preserve">  Volume — Fuel oil (mix), mn t</t>
        </is>
      </c>
      <c r="C988" s="23">
        <f>'Segments'!E11*(1+Assumptions!$B$152+DCF!$B$6)</f>
        <v/>
      </c>
      <c r="D988" s="23">
        <f>C988*(1+Assumptions!$B$153+DCF!$B$6)</f>
        <v/>
      </c>
      <c r="E988" s="23">
        <f>D988*(1+Assumptions!$B$154+DCF!$B$6)</f>
        <v/>
      </c>
      <c r="F988" s="23">
        <f>E988*(1+Assumptions!$B$155+DCF!$B$6)</f>
        <v/>
      </c>
      <c r="G988" s="23">
        <f>F988*(1+Assumptions!$B$156+DCF!$B$6)</f>
        <v/>
      </c>
    </row>
    <row r="989">
      <c r="A989" s="7" t="inlineStr">
        <is>
          <t xml:space="preserve">  Volume — Heavy fuel oil, mn t</t>
        </is>
      </c>
      <c r="C989" s="23">
        <f>'Segments'!E12*(1+Assumptions!$B$157+DCF!$B$6)</f>
        <v/>
      </c>
      <c r="D989" s="23">
        <f>C989*(1+Assumptions!$B$158+DCF!$B$6)</f>
        <v/>
      </c>
      <c r="E989" s="23">
        <f>D989*(1+Assumptions!$B$159+DCF!$B$6)</f>
        <v/>
      </c>
      <c r="F989" s="23">
        <f>E989*(1+Assumptions!$B$160+DCF!$B$6)</f>
        <v/>
      </c>
      <c r="G989" s="23">
        <f>F989*(1+Assumptions!$B$161+DCF!$B$6)</f>
        <v/>
      </c>
    </row>
    <row r="990">
      <c r="A990" s="7" t="inlineStr">
        <is>
          <t xml:space="preserve">  Volume — Waste, mn t</t>
        </is>
      </c>
      <c r="C990" s="23">
        <f>'Segments'!E13*(1+Assumptions!$B$162+DCF!$B$6)</f>
        <v/>
      </c>
      <c r="D990" s="23">
        <f>C990*(1+Assumptions!$B$163+DCF!$B$6)</f>
        <v/>
      </c>
      <c r="E990" s="23">
        <f>D990*(1+Assumptions!$B$164+DCF!$B$6)</f>
        <v/>
      </c>
      <c r="F990" s="23">
        <f>E990*(1+Assumptions!$B$165+DCF!$B$6)</f>
        <v/>
      </c>
      <c r="G990" s="23">
        <f>F990*(1+Assumptions!$B$166+DCF!$B$6)</f>
        <v/>
      </c>
    </row>
    <row r="991">
      <c r="A991" s="15" t="inlineStr">
        <is>
          <t>Total volume, mn t</t>
        </is>
      </c>
      <c r="C991" s="36">
        <f>SUM(C983:C990)</f>
        <v/>
      </c>
      <c r="D991" s="36">
        <f>SUM(D983:D990)</f>
        <v/>
      </c>
      <c r="E991" s="36">
        <f>SUM(E983:E990)</f>
        <v/>
      </c>
      <c r="F991" s="36">
        <f>SUM(F983:F990)</f>
        <v/>
      </c>
      <c r="G991" s="36">
        <f>SUM(G983:G990)</f>
        <v/>
      </c>
    </row>
    <row r="992">
      <c r="A992" s="15" t="inlineStr">
        <is>
          <t>REVENUE</t>
        </is>
      </c>
      <c r="C992" s="37">
        <f>C983*'Segments'!$F$6*C982+C984*'Segments'!$F$7*C982+C985*'Segments'!$F$8*C982+C986*'Segments'!$F$9*C982+C987*'Segments'!$F$10*C982+C988*'Segments'!$F$11*C982+C989*'Segments'!$F$12*C982+C990*'Segments'!$F$13*C982</f>
        <v/>
      </c>
      <c r="D992" s="37">
        <f>D983*'Segments'!$F$6*D982+D984*'Segments'!$F$7*D982+D985*'Segments'!$F$8*D982+D986*'Segments'!$F$9*D982+D987*'Segments'!$F$10*D982+D988*'Segments'!$F$11*D982+D989*'Segments'!$F$12*D982+D990*'Segments'!$F$13*D982</f>
        <v/>
      </c>
      <c r="E992" s="37">
        <f>E983*'Segments'!$F$6*E982+E984*'Segments'!$F$7*E982+E985*'Segments'!$F$8*E982+E986*'Segments'!$F$9*E982+E987*'Segments'!$F$10*E982+E988*'Segments'!$F$11*E982+E989*'Segments'!$F$12*E982+E990*'Segments'!$F$13*E982</f>
        <v/>
      </c>
      <c r="F992" s="37">
        <f>F983*'Segments'!$F$6*F982+F984*'Segments'!$F$7*F982+F985*'Segments'!$F$8*F982+F986*'Segments'!$F$9*F982+F987*'Segments'!$F$10*F982+F988*'Segments'!$F$11*F982+F989*'Segments'!$F$12*F982+F990*'Segments'!$F$13*F982</f>
        <v/>
      </c>
      <c r="G992" s="37">
        <f>G983*'Segments'!$F$6*G982+G984*'Segments'!$F$7*G982+G985*'Segments'!$F$8*G982+G986*'Segments'!$F$9*G982+G987*'Segments'!$F$10*G982+G988*'Segments'!$F$11*G982+G989*'Segments'!$F$12*G982+G990*'Segments'!$F$13*G982</f>
        <v/>
      </c>
    </row>
    <row r="993">
      <c r="A993" s="7" t="inlineStr">
        <is>
          <t>Cost of sales</t>
        </is>
      </c>
      <c r="C993" s="18">
        <f>C983*('Segments'!$D$27*C982*Assumptions!$B$109+'Segments'!$B$27*(0.4983251709*C982+0.4357405005*C982+0.0330936548*C982+0.0328406739))+C984*('Segments'!$D$28*C982*Assumptions!$B$109+'Segments'!$B$28*(0.4983251709*C982+0.4357405005*C982+0.0330936548*C982+0.0328406739))+C985*('Segments'!$D$29*C982*Assumptions!$B$109+'Segments'!$B$29*(0.4983251709*C982+0.4357405005*C982+0.0330936548*C982+0.0328406739))+C986*('Segments'!$D$30*C982*Assumptions!$B$109+'Segments'!$B$30*(0.4983251709*C982+0.4357405005*C982+0.0330936548*C982+0.0328406739))+C987*('Segments'!$D$31*C982*Assumptions!$B$109+'Segments'!$B$31*(0.4983251709*C982+0.4357405005*C982+0.0330936548*C982+0.0328406739))+C988*('Segments'!$D$32*C982*Assumptions!$B$109+'Segments'!$B$32*(0.4983251709*C982+0.4357405005*C982+0.0330936548*C982+0.0328406739))+C989*('Segments'!$D$33*C982*Assumptions!$B$109+'Segments'!$B$33*(0.4983251709*C982+0.4357405005*C982+0.0330936548*C982+0.0328406739))+C990*('Segments'!$D$34*C982*Assumptions!$B$109+'Segments'!$B$34*(0.4983251709*C982+0.4357405005*C982+0.0330936548*C982+0.0328406739))</f>
        <v/>
      </c>
      <c r="D993" s="18">
        <f>D983*('Segments'!$D$27*D982*Assumptions!$B$109+'Segments'!$B$27*(0.4983251709*D982+0.4357405005*D982+0.0330936548*D982+0.0328406739))+D984*('Segments'!$D$28*D982*Assumptions!$B$109+'Segments'!$B$28*(0.4983251709*D982+0.4357405005*D982+0.0330936548*D982+0.0328406739))+D985*('Segments'!$D$29*D982*Assumptions!$B$109+'Segments'!$B$29*(0.4983251709*D982+0.4357405005*D982+0.0330936548*D982+0.0328406739))+D986*('Segments'!$D$30*D982*Assumptions!$B$109+'Segments'!$B$30*(0.4983251709*D982+0.4357405005*D982+0.0330936548*D982+0.0328406739))+D987*('Segments'!$D$31*D982*Assumptions!$B$109+'Segments'!$B$31*(0.4983251709*D982+0.4357405005*D982+0.0330936548*D982+0.0328406739))+D988*('Segments'!$D$32*D982*Assumptions!$B$109+'Segments'!$B$32*(0.4983251709*D982+0.4357405005*D982+0.0330936548*D982+0.0328406739))+D989*('Segments'!$D$33*D982*Assumptions!$B$109+'Segments'!$B$33*(0.4983251709*D982+0.4357405005*D982+0.0330936548*D982+0.0328406739))+D990*('Segments'!$D$34*D982*Assumptions!$B$109+'Segments'!$B$34*(0.4983251709*D982+0.4357405005*D982+0.0330936548*D982+0.0328406739))</f>
        <v/>
      </c>
      <c r="E993" s="18">
        <f>E983*('Segments'!$D$27*E982*Assumptions!$B$109+'Segments'!$B$27*(0.4983251709*E982+0.4357405005*E982+0.0330936548*E982+0.0328406739))+E984*('Segments'!$D$28*E982*Assumptions!$B$109+'Segments'!$B$28*(0.4983251709*E982+0.4357405005*E982+0.0330936548*E982+0.0328406739))+E985*('Segments'!$D$29*E982*Assumptions!$B$109+'Segments'!$B$29*(0.4983251709*E982+0.4357405005*E982+0.0330936548*E982+0.0328406739))+E986*('Segments'!$D$30*E982*Assumptions!$B$109+'Segments'!$B$30*(0.4983251709*E982+0.4357405005*E982+0.0330936548*E982+0.0328406739))+E987*('Segments'!$D$31*E982*Assumptions!$B$109+'Segments'!$B$31*(0.4983251709*E982+0.4357405005*E982+0.0330936548*E982+0.0328406739))+E988*('Segments'!$D$32*E982*Assumptions!$B$109+'Segments'!$B$32*(0.4983251709*E982+0.4357405005*E982+0.0330936548*E982+0.0328406739))+E989*('Segments'!$D$33*E982*Assumptions!$B$109+'Segments'!$B$33*(0.4983251709*E982+0.4357405005*E982+0.0330936548*E982+0.0328406739))+E990*('Segments'!$D$34*E982*Assumptions!$B$109+'Segments'!$B$34*(0.4983251709*E982+0.4357405005*E982+0.0330936548*E982+0.0328406739))</f>
        <v/>
      </c>
      <c r="F993" s="18">
        <f>F983*('Segments'!$D$27*F982*Assumptions!$B$109+'Segments'!$B$27*(0.4983251709*F982+0.4357405005*F982+0.0330936548*F982+0.0328406739))+F984*('Segments'!$D$28*F982*Assumptions!$B$109+'Segments'!$B$28*(0.4983251709*F982+0.4357405005*F982+0.0330936548*F982+0.0328406739))+F985*('Segments'!$D$29*F982*Assumptions!$B$109+'Segments'!$B$29*(0.4983251709*F982+0.4357405005*F982+0.0330936548*F982+0.0328406739))+F986*('Segments'!$D$30*F982*Assumptions!$B$109+'Segments'!$B$30*(0.4983251709*F982+0.4357405005*F982+0.0330936548*F982+0.0328406739))+F987*('Segments'!$D$31*F982*Assumptions!$B$109+'Segments'!$B$31*(0.4983251709*F982+0.4357405005*F982+0.0330936548*F982+0.0328406739))+F988*('Segments'!$D$32*F982*Assumptions!$B$109+'Segments'!$B$32*(0.4983251709*F982+0.4357405005*F982+0.0330936548*F982+0.0328406739))+F989*('Segments'!$D$33*F982*Assumptions!$B$109+'Segments'!$B$33*(0.4983251709*F982+0.4357405005*F982+0.0330936548*F982+0.0328406739))+F990*('Segments'!$D$34*F982*Assumptions!$B$109+'Segments'!$B$34*(0.4983251709*F982+0.4357405005*F982+0.0330936548*F982+0.0328406739))</f>
        <v/>
      </c>
      <c r="G993" s="18">
        <f>G983*('Segments'!$D$27*G982*Assumptions!$B$109+'Segments'!$B$27*(0.4983251709*G982+0.4357405005*G982+0.0330936548*G982+0.0328406739))+G984*('Segments'!$D$28*G982*Assumptions!$B$109+'Segments'!$B$28*(0.4983251709*G982+0.4357405005*G982+0.0330936548*G982+0.0328406739))+G985*('Segments'!$D$29*G982*Assumptions!$B$109+'Segments'!$B$29*(0.4983251709*G982+0.4357405005*G982+0.0330936548*G982+0.0328406739))+G986*('Segments'!$D$30*G982*Assumptions!$B$109+'Segments'!$B$30*(0.4983251709*G982+0.4357405005*G982+0.0330936548*G982+0.0328406739))+G987*('Segments'!$D$31*G982*Assumptions!$B$109+'Segments'!$B$31*(0.4983251709*G982+0.4357405005*G982+0.0330936548*G982+0.0328406739))+G988*('Segments'!$D$32*G982*Assumptions!$B$109+'Segments'!$B$32*(0.4983251709*G982+0.4357405005*G982+0.0330936548*G982+0.0328406739))+G989*('Segments'!$D$33*G982*Assumptions!$B$109+'Segments'!$B$33*(0.4983251709*G982+0.4357405005*G982+0.0330936548*G982+0.0328406739))+G990*('Segments'!$D$34*G982*Assumptions!$B$109+'Segments'!$B$34*(0.4983251709*G982+0.4357405005*G982+0.0330936548*G982+0.0328406739))</f>
        <v/>
      </c>
    </row>
    <row r="994">
      <c r="A994" s="15" t="inlineStr">
        <is>
          <t>GROSS PROFIT</t>
        </is>
      </c>
      <c r="C994" s="37">
        <f>C992-C993+DCF!$B$7*C992</f>
        <v/>
      </c>
      <c r="D994" s="37">
        <f>D992-D993+DCF!$B$7*D992</f>
        <v/>
      </c>
      <c r="E994" s="37">
        <f>E992-E993+DCF!$B$7*E992</f>
        <v/>
      </c>
      <c r="F994" s="37">
        <f>F992-F993+DCF!$B$7*F992</f>
        <v/>
      </c>
      <c r="G994" s="37">
        <f>G992-G993+DCF!$B$7*G992</f>
        <v/>
      </c>
    </row>
    <row r="995">
      <c r="A995" s="7" t="inlineStr">
        <is>
          <t>Gross margin</t>
        </is>
      </c>
      <c r="C995" s="24">
        <f>C994/C992</f>
        <v/>
      </c>
      <c r="D995" s="24">
        <f>D994/D992</f>
        <v/>
      </c>
      <c r="E995" s="24">
        <f>E994/E992</f>
        <v/>
      </c>
      <c r="F995" s="24">
        <f>F994/F992</f>
        <v/>
      </c>
      <c r="G995" s="24">
        <f>G994/G992</f>
        <v/>
      </c>
    </row>
    <row r="996">
      <c r="A996" s="7" t="inlineStr">
        <is>
          <t>Operating expense</t>
        </is>
      </c>
      <c r="C996" s="18">
        <f>('Income Statement'!$B$28*C981)+('Income Statement'!$B$29*C981*C991/'Segments'!$E$14)+('Income Statement'!$B$30*C981)+('Income Statement'!$B$31*C981)</f>
        <v/>
      </c>
      <c r="D996" s="18">
        <f>('Income Statement'!$B$28*D981)+('Income Statement'!$B$29*D981*D991/'Segments'!$E$14)+('Income Statement'!$B$30*D981)+('Income Statement'!$B$31*D981)</f>
        <v/>
      </c>
      <c r="E996" s="18">
        <f>('Income Statement'!$B$28*E981)+('Income Statement'!$B$29*E981*E991/'Segments'!$E$14)+('Income Statement'!$B$30*E981)+('Income Statement'!$B$31*E981)</f>
        <v/>
      </c>
      <c r="F996" s="18">
        <f>('Income Statement'!$B$28*F981)+('Income Statement'!$B$29*F981*F991/'Segments'!$E$14)+('Income Statement'!$B$30*F981)+('Income Statement'!$B$31*F981)</f>
        <v/>
      </c>
      <c r="G996" s="18">
        <f>('Income Statement'!$B$28*G981)+('Income Statement'!$B$29*G981*G991/'Segments'!$E$14)+('Income Statement'!$B$30*G981)+('Income Statement'!$B$31*G981)</f>
        <v/>
      </c>
    </row>
    <row r="997">
      <c r="A997" s="15" t="inlineStr">
        <is>
          <t>EBITDA</t>
        </is>
      </c>
      <c r="C997" s="37">
        <f>C994-C996</f>
        <v/>
      </c>
      <c r="D997" s="37">
        <f>D994-D996</f>
        <v/>
      </c>
      <c r="E997" s="37">
        <f>E994-E996</f>
        <v/>
      </c>
      <c r="F997" s="37">
        <f>F994-F996</f>
        <v/>
      </c>
      <c r="G997" s="37">
        <f>G994-G996</f>
        <v/>
      </c>
    </row>
    <row r="998">
      <c r="A998" s="7" t="inlineStr">
        <is>
          <t>Capital expenditure — maintenance + growth</t>
        </is>
      </c>
      <c r="C998" s="18">
        <f>'Income Statement'!$B$43*C981+MAX(C991-'Segments'!$E$14,0)*2100.379938*C981</f>
        <v/>
      </c>
      <c r="D998" s="18">
        <f>'Income Statement'!$B$43*D981+MAX(D991-C991,0)*2100.379938*D981</f>
        <v/>
      </c>
      <c r="E998" s="18">
        <f>'Income Statement'!$B$43*E981+MAX(E991-D991,0)*2100.379938*E981</f>
        <v/>
      </c>
      <c r="F998" s="18">
        <f>'Income Statement'!$B$43*F981+MAX(F991-E991,0)*2100.379938*F981</f>
        <v/>
      </c>
      <c r="G998" s="18">
        <f>'Income Statement'!$B$43*G981+MAX(G991-F991,0)*2100.379938*G981</f>
        <v/>
      </c>
    </row>
    <row r="999">
      <c r="A999" s="7" t="inlineStr">
        <is>
          <t>Fixed assets at cost, closing</t>
        </is>
      </c>
      <c r="C999" s="18">
        <f>(Assumptions!$B$91+Assumptions!$B$92)/10^6+C998</f>
        <v/>
      </c>
      <c r="D999" s="18">
        <f>C999+D998</f>
        <v/>
      </c>
      <c r="E999" s="18">
        <f>D999+E998</f>
        <v/>
      </c>
      <c r="F999" s="18">
        <f>E999+F998</f>
        <v/>
      </c>
      <c r="G999" s="18">
        <f>F999+G998</f>
        <v/>
      </c>
    </row>
    <row r="1000">
      <c r="A1000" s="7" t="inlineStr">
        <is>
          <t>Depreciation — rolls off the asset register</t>
        </is>
      </c>
      <c r="C1000" s="18">
        <f>(Assumptions!$B$91+Assumptions!$B$92)/10^6/'Income Statement'!$B$42</f>
        <v/>
      </c>
      <c r="D1000" s="18">
        <f>C999/'Income Statement'!$B$42</f>
        <v/>
      </c>
      <c r="E1000" s="18">
        <f>D999/'Income Statement'!$B$42</f>
        <v/>
      </c>
      <c r="F1000" s="18">
        <f>E999/'Income Statement'!$B$42</f>
        <v/>
      </c>
      <c r="G1000" s="18">
        <f>F999/'Income Statement'!$B$42</f>
        <v/>
      </c>
    </row>
    <row r="1001">
      <c r="A1001" s="7" t="inlineStr">
        <is>
          <t>Fixed assets, net book, closing</t>
        </is>
      </c>
      <c r="C1001" s="18">
        <f>(Assumptions!$B$90+Assumptions!$B$92)/10^6+C998-C1000</f>
        <v/>
      </c>
      <c r="D1001" s="18">
        <f>C1001+D998-D1000</f>
        <v/>
      </c>
      <c r="E1001" s="18">
        <f>D1001+E998-E1000</f>
        <v/>
      </c>
      <c r="F1001" s="18">
        <f>E1001+F998-F1000</f>
        <v/>
      </c>
      <c r="G1001" s="18">
        <f>F1001+G998-G1000</f>
        <v/>
      </c>
    </row>
    <row r="1002">
      <c r="A1002" s="15" t="inlineStr">
        <is>
          <t>EBIT</t>
        </is>
      </c>
      <c r="C1002" s="37">
        <f>C997-C1000</f>
        <v/>
      </c>
      <c r="D1002" s="37">
        <f>D997-D1000</f>
        <v/>
      </c>
      <c r="E1002" s="37">
        <f>E997-E1000</f>
        <v/>
      </c>
      <c r="F1002" s="37">
        <f>F997-F1000</f>
        <v/>
      </c>
      <c r="G1002" s="37">
        <f>G997-G1000</f>
        <v/>
      </c>
    </row>
    <row r="1003">
      <c r="A1003" s="7" t="inlineStr">
        <is>
          <t>NOPAT before the profit share</t>
        </is>
      </c>
      <c r="C1003" s="18">
        <f>C1002*(1-Assumptions!$B$108)</f>
        <v/>
      </c>
      <c r="D1003" s="18">
        <f>D1002*(1-Assumptions!$B$108)</f>
        <v/>
      </c>
      <c r="E1003" s="18">
        <f>E1002*(1-Assumptions!$B$108)</f>
        <v/>
      </c>
      <c r="F1003" s="18">
        <f>F1002*(1-Assumptions!$B$108)</f>
        <v/>
      </c>
      <c r="G1003" s="18">
        <f>G1002*(1-Assumptions!$B$108)</f>
        <v/>
      </c>
    </row>
    <row r="1004">
      <c r="A1004" s="7" t="inlineStr">
        <is>
          <t xml:space="preserve">  less employees' profit share and board bonuses</t>
        </is>
      </c>
      <c r="C1004" s="18">
        <f>MAX(C1003,0)*'Income Statement'!$B$40</f>
        <v/>
      </c>
      <c r="D1004" s="18">
        <f>MAX(D1003,0)*'Income Statement'!$B$40</f>
        <v/>
      </c>
      <c r="E1004" s="18">
        <f>MAX(E1003,0)*'Income Statement'!$B$40</f>
        <v/>
      </c>
      <c r="F1004" s="18">
        <f>MAX(F1003,0)*'Income Statement'!$B$40</f>
        <v/>
      </c>
      <c r="G1004" s="18">
        <f>MAX(G1003,0)*'Income Statement'!$B$40</f>
        <v/>
      </c>
    </row>
    <row r="1005">
      <c r="A1005" s="15" t="inlineStr">
        <is>
          <t>NOPAT</t>
        </is>
      </c>
      <c r="C1005" s="37">
        <f>C1003-C1004</f>
        <v/>
      </c>
      <c r="D1005" s="37">
        <f>D1003-D1004</f>
        <v/>
      </c>
      <c r="E1005" s="37">
        <f>E1003-E1004</f>
        <v/>
      </c>
      <c r="F1005" s="37">
        <f>F1003-F1004</f>
        <v/>
      </c>
      <c r="G1005" s="37">
        <f>G1003-G1004</f>
        <v/>
      </c>
    </row>
    <row r="1006">
      <c r="A1006" s="7" t="inlineStr">
        <is>
          <t>Net working capital — on days</t>
        </is>
      </c>
      <c r="C1006" s="18">
        <f>'Income Statement'!$B$44*DCF!$B$9/365*C993+'Income Statement'!$B$45*DCF!$B$9/365*C992-'Income Statement'!$B$46*DCF!$B$9/365*C993</f>
        <v/>
      </c>
      <c r="D1006" s="18">
        <f>'Income Statement'!$B$44*DCF!$B$9/365*D993+'Income Statement'!$B$45*DCF!$B$9/365*D992-'Income Statement'!$B$46*DCF!$B$9/365*D993</f>
        <v/>
      </c>
      <c r="E1006" s="18">
        <f>'Income Statement'!$B$44*DCF!$B$9/365*E993+'Income Statement'!$B$45*DCF!$B$9/365*E992-'Income Statement'!$B$46*DCF!$B$9/365*E993</f>
        <v/>
      </c>
      <c r="F1006" s="18">
        <f>'Income Statement'!$B$44*DCF!$B$9/365*F993+'Income Statement'!$B$45*DCF!$B$9/365*F992-'Income Statement'!$B$46*DCF!$B$9/365*F993</f>
        <v/>
      </c>
      <c r="G1006" s="18">
        <f>'Income Statement'!$B$44*DCF!$B$9/365*G993+'Income Statement'!$B$45*DCF!$B$9/365*G992-'Income Statement'!$B$46*DCF!$B$9/365*G993</f>
        <v/>
      </c>
    </row>
    <row r="1007">
      <c r="A1007" s="7" t="inlineStr">
        <is>
          <t xml:space="preserve">  change in working capital</t>
        </is>
      </c>
      <c r="C1007" s="18">
        <f>C1006-('Income Statement'!$B$44/365*'Income Statement'!$B$21+'Income Statement'!$B$45/365*'Income Statement'!$B$19-'Income Statement'!$B$46/365*'Income Statement'!$B$21)</f>
        <v/>
      </c>
      <c r="D1007" s="18">
        <f>D1006-C1006</f>
        <v/>
      </c>
      <c r="E1007" s="18">
        <f>E1006-D1006</f>
        <v/>
      </c>
      <c r="F1007" s="18">
        <f>F1006-E1006</f>
        <v/>
      </c>
      <c r="G1007" s="18">
        <f>G1006-F1006</f>
        <v/>
      </c>
    </row>
    <row r="1008">
      <c r="A1008" s="15" t="inlineStr">
        <is>
          <t>FREE CASH FLOW TO THE FIRM</t>
        </is>
      </c>
      <c r="C1008" s="37">
        <f>C1005+C1000-C998-C1007</f>
        <v/>
      </c>
      <c r="D1008" s="37">
        <f>D1005+D1000-D998-D1007</f>
        <v/>
      </c>
      <c r="E1008" s="37">
        <f>E1005+E1000-E998-E1007</f>
        <v/>
      </c>
      <c r="F1008" s="37">
        <f>F1005+F1000-F998-F1007</f>
        <v/>
      </c>
      <c r="G1008" s="37">
        <f>G1005+G1000-G998-G1007</f>
        <v/>
      </c>
    </row>
    <row r="1009">
      <c r="A1009" s="7" t="inlineStr">
        <is>
          <t>Glide fraction</t>
        </is>
      </c>
      <c r="C1009" s="23">
        <f>0.0000000000</f>
        <v/>
      </c>
      <c r="D1009" s="23">
        <f>0.5166487648</f>
        <v/>
      </c>
      <c r="E1009" s="23">
        <f>0.7314715360</f>
        <v/>
      </c>
      <c r="F1009" s="23">
        <f>0.8925886144</f>
        <v/>
      </c>
      <c r="G1009" s="23">
        <f>1.0000000000</f>
        <v/>
      </c>
    </row>
    <row r="1010">
      <c r="A1010" s="7" t="inlineStr">
        <is>
          <t>Forward cost of capital</t>
        </is>
      </c>
      <c r="C1010" s="24">
        <f>$F$31-($F$31-$G$31)*C1009</f>
        <v/>
      </c>
      <c r="D1010" s="24">
        <f>$F$31-($F$31-$G$31)*D1009</f>
        <v/>
      </c>
      <c r="E1010" s="24">
        <f>$F$31-($F$31-$G$31)*E1009</f>
        <v/>
      </c>
      <c r="F1010" s="24">
        <f>$F$31-($F$31-$G$31)*F1009</f>
        <v/>
      </c>
      <c r="G1010" s="24">
        <f>$F$31-($F$31-$G$31)*G1009</f>
        <v/>
      </c>
    </row>
    <row r="1011">
      <c r="A1011" s="7" t="inlineStr">
        <is>
          <t>Cumulative discount factor</t>
        </is>
      </c>
      <c r="C1011" s="40">
        <f>1/(1+C1010)</f>
        <v/>
      </c>
      <c r="D1011" s="40">
        <f>C1011/(1+D1010)</f>
        <v/>
      </c>
      <c r="E1011" s="40">
        <f>D1011/(1+E1010)</f>
        <v/>
      </c>
      <c r="F1011" s="40">
        <f>E1011/(1+F1010)</f>
        <v/>
      </c>
      <c r="G1011" s="40">
        <f>F1011/(1+G1010)</f>
        <v/>
      </c>
    </row>
    <row r="1012">
      <c r="A1012" s="7" t="inlineStr">
        <is>
          <t>Present value</t>
        </is>
      </c>
      <c r="C1012" s="18">
        <f>C1008*C1011</f>
        <v/>
      </c>
      <c r="D1012" s="18">
        <f>D1008*D1011</f>
        <v/>
      </c>
      <c r="E1012" s="18">
        <f>E1008*E1011</f>
        <v/>
      </c>
      <c r="F1012" s="18">
        <f>F1008*F1011</f>
        <v/>
      </c>
      <c r="G1012" s="18">
        <f>G1008*G1011</f>
        <v/>
      </c>
    </row>
    <row r="1013">
      <c r="A1013" s="15" t="inlineStr">
        <is>
          <t>PV of the explicit window</t>
        </is>
      </c>
      <c r="B1013" s="37">
        <f>SUM(C1012:G1012)</f>
        <v/>
      </c>
      <c r="C1013" s="18">
        <f>C1006+C999</f>
        <v/>
      </c>
      <c r="D1013" s="18">
        <f>D1006+D999</f>
        <v/>
      </c>
      <c r="E1013" s="18">
        <f>E1006+E999</f>
        <v/>
      </c>
      <c r="F1013" s="18">
        <f>F1006+F999</f>
        <v/>
      </c>
      <c r="G1013" s="18">
        <f>G1006+G999</f>
        <v/>
      </c>
    </row>
    <row r="1014">
      <c r="A1014" s="7" t="inlineStr">
        <is>
          <t>Terminal return on invested capital, at REPLACEMENT cost</t>
        </is>
      </c>
      <c r="B1014" s="24">
        <f>G1005*(1+Assumptions!$B$110)/G1013</f>
        <v/>
      </c>
    </row>
    <row r="1015">
      <c r="A1015" s="7" t="inlineStr">
        <is>
          <t>Required reinvestment = growth / return</t>
        </is>
      </c>
      <c r="B1015" s="24">
        <f>MIN(Assumptions!$B$110/B1014,0.95)</f>
        <v/>
      </c>
    </row>
    <row r="1016">
      <c r="A1016" s="7" t="inlineStr">
        <is>
          <t>Terminal value</t>
        </is>
      </c>
      <c r="B1016" s="18">
        <f>G1005*(1+Assumptions!$B$110)*(1-B1015)/MAX($G$31-Assumptions!$B$110,0.02)</f>
        <v/>
      </c>
    </row>
    <row r="1017">
      <c r="A1017" s="7" t="inlineStr">
        <is>
          <t>PV of the terminal block</t>
        </is>
      </c>
      <c r="B1017" s="18">
        <f>B1016*G1011</f>
        <v/>
      </c>
    </row>
    <row r="1018">
      <c r="A1018" s="15" t="inlineStr">
        <is>
          <t>ENTERPRISE VALUE</t>
        </is>
      </c>
      <c r="B1018" s="37">
        <f>B1013+B1017</f>
        <v/>
      </c>
    </row>
    <row r="1019">
      <c r="A1019" s="7" t="inlineStr">
        <is>
          <t>plus net cash</t>
        </is>
      </c>
      <c r="B1019" s="18">
        <f>(Assumptions!$B$100-Assumptions!$B$103-Assumptions!$B$104)/10^6</f>
        <v/>
      </c>
    </row>
    <row r="1020">
      <c r="A1020" s="7" t="inlineStr">
        <is>
          <t>Enterprise value including cash</t>
        </is>
      </c>
      <c r="B1020" s="18">
        <f>B1018+B1019</f>
        <v/>
      </c>
    </row>
    <row r="1021">
      <c r="A1021" s="7" t="inlineStr">
        <is>
          <t>less minority — on the WHOLE enterprise, cash included</t>
        </is>
      </c>
      <c r="B1021" s="18">
        <f>B1020*'Income Statement'!$B$41</f>
        <v/>
      </c>
    </row>
    <row r="1022">
      <c r="A1022" s="7" t="inlineStr">
        <is>
          <t>less the tax-disputes provision</t>
        </is>
      </c>
      <c r="B1022" s="18">
        <f>Assumptions!$B$99/10^6</f>
        <v/>
      </c>
    </row>
    <row r="1023">
      <c r="A1023" s="7" t="inlineStr">
        <is>
          <t>less dividends payable — declared, out of working capital</t>
        </is>
      </c>
      <c r="B1023" s="18">
        <f>Assumptions!$B$98/10^6</f>
        <v/>
      </c>
    </row>
    <row r="1024">
      <c r="A1024" s="7" t="inlineStr">
        <is>
          <t>plus non-operating investments and pledged deposits</t>
        </is>
      </c>
      <c r="B1024" s="18">
        <f>(Assumptions!$B$102+Assumptions!$B$101)/10^6</f>
        <v/>
      </c>
    </row>
    <row r="1025">
      <c r="A1025" s="15" t="inlineStr">
        <is>
          <t>EQUITY ATTRIBUTABLE</t>
        </is>
      </c>
      <c r="B1025" s="37">
        <f>B1020-B1021-B1022-B1023+B1024</f>
        <v/>
      </c>
    </row>
    <row r="1026">
      <c r="A1026" s="15" t="inlineStr">
        <is>
          <t>VALUE PER SHARE, EGP</t>
        </is>
      </c>
      <c r="B1026" s="22">
        <f>B1025/Assumptions!$B$8</f>
        <v/>
      </c>
    </row>
    <row r="1029">
      <c r="A1029" s="6" t="inlineStr">
        <is>
          <t>Working-capital cycle, as a multiple of the solved days — 0.50x</t>
        </is>
      </c>
      <c r="B1029" s="6" t="inlineStr">
        <is>
          <t>2026E</t>
        </is>
      </c>
      <c r="C1029" s="6" t="inlineStr">
        <is>
          <t>2027E</t>
        </is>
      </c>
      <c r="D1029" s="6" t="inlineStr">
        <is>
          <t>2028E</t>
        </is>
      </c>
      <c r="E1029" s="6" t="inlineStr">
        <is>
          <t>2029E</t>
        </is>
      </c>
      <c r="F1029" s="6" t="inlineStr">
        <is>
          <t>2030E</t>
        </is>
      </c>
    </row>
    <row r="1030">
      <c r="A1030" s="7" t="inlineStr">
        <is>
          <t>Inflation index, cumulative</t>
        </is>
      </c>
      <c r="C1030" s="23">
        <f>Assumptions!$B$167</f>
        <v/>
      </c>
      <c r="D1030" s="23">
        <f>C1030*Assumptions!$B$168</f>
        <v/>
      </c>
      <c r="E1030" s="23">
        <f>D1030*Assumptions!$B$169</f>
        <v/>
      </c>
      <c r="F1030" s="23">
        <f>E1030*Assumptions!$B$170</f>
        <v/>
      </c>
      <c r="G1030" s="23">
        <f>F1030*Assumptions!$B$171</f>
        <v/>
      </c>
    </row>
    <row r="1031">
      <c r="A1031" s="7" t="inlineStr">
        <is>
          <t>Realisation index, cumulative</t>
        </is>
      </c>
      <c r="C1031" s="23">
        <f>(1+Assumptions!$B$122*DCF!$B$8)</f>
        <v/>
      </c>
      <c r="D1031" s="23">
        <f>C1031*(1+Assumptions!$B$123*DCF!$B$8)</f>
        <v/>
      </c>
      <c r="E1031" s="23">
        <f>D1031*(1+Assumptions!$B$124*DCF!$B$8)</f>
        <v/>
      </c>
      <c r="F1031" s="23">
        <f>E1031*(1+Assumptions!$B$125*DCF!$B$8)</f>
        <v/>
      </c>
      <c r="G1031" s="23">
        <f>F1031*(1+Assumptions!$B$126*DCF!$B$8)</f>
        <v/>
      </c>
    </row>
    <row r="1032">
      <c r="A1032" s="7" t="inlineStr">
        <is>
          <t xml:space="preserve">  Volume — Base and special oils, mn t</t>
        </is>
      </c>
      <c r="C1032" s="23">
        <f>'Segments'!E6*(1+Assumptions!$B$127+DCF!$B$6)</f>
        <v/>
      </c>
      <c r="D1032" s="23">
        <f>C1032*(1+Assumptions!$B$128+DCF!$B$6)</f>
        <v/>
      </c>
      <c r="E1032" s="23">
        <f>D1032*(1+Assumptions!$B$129+DCF!$B$6)</f>
        <v/>
      </c>
      <c r="F1032" s="23">
        <f>E1032*(1+Assumptions!$B$130+DCF!$B$6)</f>
        <v/>
      </c>
      <c r="G1032" s="23">
        <f>F1032*(1+Assumptions!$B$131+DCF!$B$6)</f>
        <v/>
      </c>
    </row>
    <row r="1033">
      <c r="A1033" s="7" t="inlineStr">
        <is>
          <t xml:space="preserve">  Volume — Paraffin wax, mn t</t>
        </is>
      </c>
      <c r="C1033" s="23">
        <f>'Segments'!E7*(1+Assumptions!$B$132+DCF!$B$6)</f>
        <v/>
      </c>
      <c r="D1033" s="23">
        <f>C1033*(1+Assumptions!$B$133+DCF!$B$6)</f>
        <v/>
      </c>
      <c r="E1033" s="23">
        <f>D1033*(1+Assumptions!$B$134+DCF!$B$6)</f>
        <v/>
      </c>
      <c r="F1033" s="23">
        <f>E1033*(1+Assumptions!$B$135+DCF!$B$6)</f>
        <v/>
      </c>
      <c r="G1033" s="23">
        <f>F1033*(1+Assumptions!$B$136+DCF!$B$6)</f>
        <v/>
      </c>
    </row>
    <row r="1034">
      <c r="A1034" s="7" t="inlineStr">
        <is>
          <t xml:space="preserve">  Volume — Gas oil, mn t</t>
        </is>
      </c>
      <c r="C1034" s="23">
        <f>'Segments'!E8*(1+Assumptions!$B$137+DCF!$B$6)</f>
        <v/>
      </c>
      <c r="D1034" s="23">
        <f>C1034*(1+Assumptions!$B$138+DCF!$B$6)</f>
        <v/>
      </c>
      <c r="E1034" s="23">
        <f>D1034*(1+Assumptions!$B$139+DCF!$B$6)</f>
        <v/>
      </c>
      <c r="F1034" s="23">
        <f>E1034*(1+Assumptions!$B$140+DCF!$B$6)</f>
        <v/>
      </c>
      <c r="G1034" s="23">
        <f>F1034*(1+Assumptions!$B$141+DCF!$B$6)</f>
        <v/>
      </c>
    </row>
    <row r="1035">
      <c r="A1035" s="7" t="inlineStr">
        <is>
          <t xml:space="preserve">  Volume — Naphtha, mn t</t>
        </is>
      </c>
      <c r="C1035" s="23">
        <f>'Segments'!E9*(1+Assumptions!$B$142+DCF!$B$6)</f>
        <v/>
      </c>
      <c r="D1035" s="23">
        <f>C1035*(1+Assumptions!$B$143+DCF!$B$6)</f>
        <v/>
      </c>
      <c r="E1035" s="23">
        <f>D1035*(1+Assumptions!$B$144+DCF!$B$6)</f>
        <v/>
      </c>
      <c r="F1035" s="23">
        <f>E1035*(1+Assumptions!$B$145+DCF!$B$6)</f>
        <v/>
      </c>
      <c r="G1035" s="23">
        <f>F1035*(1+Assumptions!$B$146+DCF!$B$6)</f>
        <v/>
      </c>
    </row>
    <row r="1036">
      <c r="A1036" s="7" t="inlineStr">
        <is>
          <t xml:space="preserve">  Volume — Liquefied petroleum gas, mn t</t>
        </is>
      </c>
      <c r="C1036" s="23">
        <f>'Segments'!E10*(1+Assumptions!$B$147+DCF!$B$6)</f>
        <v/>
      </c>
      <c r="D1036" s="23">
        <f>C1036*(1+Assumptions!$B$148+DCF!$B$6)</f>
        <v/>
      </c>
      <c r="E1036" s="23">
        <f>D1036*(1+Assumptions!$B$149+DCF!$B$6)</f>
        <v/>
      </c>
      <c r="F1036" s="23">
        <f>E1036*(1+Assumptions!$B$150+DCF!$B$6)</f>
        <v/>
      </c>
      <c r="G1036" s="23">
        <f>F1036*(1+Assumptions!$B$151+DCF!$B$6)</f>
        <v/>
      </c>
    </row>
    <row r="1037">
      <c r="A1037" s="7" t="inlineStr">
        <is>
          <t xml:space="preserve">  Volume — Fuel oil (mix), mn t</t>
        </is>
      </c>
      <c r="C1037" s="23">
        <f>'Segments'!E11*(1+Assumptions!$B$152+DCF!$B$6)</f>
        <v/>
      </c>
      <c r="D1037" s="23">
        <f>C1037*(1+Assumptions!$B$153+DCF!$B$6)</f>
        <v/>
      </c>
      <c r="E1037" s="23">
        <f>D1037*(1+Assumptions!$B$154+DCF!$B$6)</f>
        <v/>
      </c>
      <c r="F1037" s="23">
        <f>E1037*(1+Assumptions!$B$155+DCF!$B$6)</f>
        <v/>
      </c>
      <c r="G1037" s="23">
        <f>F1037*(1+Assumptions!$B$156+DCF!$B$6)</f>
        <v/>
      </c>
    </row>
    <row r="1038">
      <c r="A1038" s="7" t="inlineStr">
        <is>
          <t xml:space="preserve">  Volume — Heavy fuel oil, mn t</t>
        </is>
      </c>
      <c r="C1038" s="23">
        <f>'Segments'!E12*(1+Assumptions!$B$157+DCF!$B$6)</f>
        <v/>
      </c>
      <c r="D1038" s="23">
        <f>C1038*(1+Assumptions!$B$158+DCF!$B$6)</f>
        <v/>
      </c>
      <c r="E1038" s="23">
        <f>D1038*(1+Assumptions!$B$159+DCF!$B$6)</f>
        <v/>
      </c>
      <c r="F1038" s="23">
        <f>E1038*(1+Assumptions!$B$160+DCF!$B$6)</f>
        <v/>
      </c>
      <c r="G1038" s="23">
        <f>F1038*(1+Assumptions!$B$161+DCF!$B$6)</f>
        <v/>
      </c>
    </row>
    <row r="1039">
      <c r="A1039" s="7" t="inlineStr">
        <is>
          <t xml:space="preserve">  Volume — Waste, mn t</t>
        </is>
      </c>
      <c r="C1039" s="23">
        <f>'Segments'!E13*(1+Assumptions!$B$162+DCF!$B$6)</f>
        <v/>
      </c>
      <c r="D1039" s="23">
        <f>C1039*(1+Assumptions!$B$163+DCF!$B$6)</f>
        <v/>
      </c>
      <c r="E1039" s="23">
        <f>D1039*(1+Assumptions!$B$164+DCF!$B$6)</f>
        <v/>
      </c>
      <c r="F1039" s="23">
        <f>E1039*(1+Assumptions!$B$165+DCF!$B$6)</f>
        <v/>
      </c>
      <c r="G1039" s="23">
        <f>F1039*(1+Assumptions!$B$166+DCF!$B$6)</f>
        <v/>
      </c>
    </row>
    <row r="1040">
      <c r="A1040" s="15" t="inlineStr">
        <is>
          <t>Total volume, mn t</t>
        </is>
      </c>
      <c r="C1040" s="36">
        <f>SUM(C1032:C1039)</f>
        <v/>
      </c>
      <c r="D1040" s="36">
        <f>SUM(D1032:D1039)</f>
        <v/>
      </c>
      <c r="E1040" s="36">
        <f>SUM(E1032:E1039)</f>
        <v/>
      </c>
      <c r="F1040" s="36">
        <f>SUM(F1032:F1039)</f>
        <v/>
      </c>
      <c r="G1040" s="36">
        <f>SUM(G1032:G1039)</f>
        <v/>
      </c>
    </row>
    <row r="1041">
      <c r="A1041" s="15" t="inlineStr">
        <is>
          <t>REVENUE</t>
        </is>
      </c>
      <c r="C1041" s="37">
        <f>C1032*'Segments'!$F$6*C1031+C1033*'Segments'!$F$7*C1031+C1034*'Segments'!$F$8*C1031+C1035*'Segments'!$F$9*C1031+C1036*'Segments'!$F$10*C1031+C1037*'Segments'!$F$11*C1031+C1038*'Segments'!$F$12*C1031+C1039*'Segments'!$F$13*C1031</f>
        <v/>
      </c>
      <c r="D1041" s="37">
        <f>D1032*'Segments'!$F$6*D1031+D1033*'Segments'!$F$7*D1031+D1034*'Segments'!$F$8*D1031+D1035*'Segments'!$F$9*D1031+D1036*'Segments'!$F$10*D1031+D1037*'Segments'!$F$11*D1031+D1038*'Segments'!$F$12*D1031+D1039*'Segments'!$F$13*D1031</f>
        <v/>
      </c>
      <c r="E1041" s="37">
        <f>E1032*'Segments'!$F$6*E1031+E1033*'Segments'!$F$7*E1031+E1034*'Segments'!$F$8*E1031+E1035*'Segments'!$F$9*E1031+E1036*'Segments'!$F$10*E1031+E1037*'Segments'!$F$11*E1031+E1038*'Segments'!$F$12*E1031+E1039*'Segments'!$F$13*E1031</f>
        <v/>
      </c>
      <c r="F1041" s="37">
        <f>F1032*'Segments'!$F$6*F1031+F1033*'Segments'!$F$7*F1031+F1034*'Segments'!$F$8*F1031+F1035*'Segments'!$F$9*F1031+F1036*'Segments'!$F$10*F1031+F1037*'Segments'!$F$11*F1031+F1038*'Segments'!$F$12*F1031+F1039*'Segments'!$F$13*F1031</f>
        <v/>
      </c>
      <c r="G1041" s="37">
        <f>G1032*'Segments'!$F$6*G1031+G1033*'Segments'!$F$7*G1031+G1034*'Segments'!$F$8*G1031+G1035*'Segments'!$F$9*G1031+G1036*'Segments'!$F$10*G1031+G1037*'Segments'!$F$11*G1031+G1038*'Segments'!$F$12*G1031+G1039*'Segments'!$F$13*G1031</f>
        <v/>
      </c>
    </row>
    <row r="1042">
      <c r="A1042" s="7" t="inlineStr">
        <is>
          <t>Cost of sales</t>
        </is>
      </c>
      <c r="C1042" s="18">
        <f>C1032*('Segments'!$D$27*C1031*Assumptions!$B$109+'Segments'!$B$27*(0.4983251709*C1031+0.4357405005*C1031+0.0330936548*C1031+0.0328406739))+C1033*('Segments'!$D$28*C1031*Assumptions!$B$109+'Segments'!$B$28*(0.4983251709*C1031+0.4357405005*C1031+0.0330936548*C1031+0.0328406739))+C1034*('Segments'!$D$29*C1031*Assumptions!$B$109+'Segments'!$B$29*(0.4983251709*C1031+0.4357405005*C1031+0.0330936548*C1031+0.0328406739))+C1035*('Segments'!$D$30*C1031*Assumptions!$B$109+'Segments'!$B$30*(0.4983251709*C1031+0.4357405005*C1031+0.0330936548*C1031+0.0328406739))+C1036*('Segments'!$D$31*C1031*Assumptions!$B$109+'Segments'!$B$31*(0.4983251709*C1031+0.4357405005*C1031+0.0330936548*C1031+0.0328406739))+C1037*('Segments'!$D$32*C1031*Assumptions!$B$109+'Segments'!$B$32*(0.4983251709*C1031+0.4357405005*C1031+0.0330936548*C1031+0.0328406739))+C1038*('Segments'!$D$33*C1031*Assumptions!$B$109+'Segments'!$B$33*(0.4983251709*C1031+0.4357405005*C1031+0.0330936548*C1031+0.0328406739))+C1039*('Segments'!$D$34*C1031*Assumptions!$B$109+'Segments'!$B$34*(0.4983251709*C1031+0.4357405005*C1031+0.0330936548*C1031+0.0328406739))</f>
        <v/>
      </c>
      <c r="D1042" s="18">
        <f>D1032*('Segments'!$D$27*D1031*Assumptions!$B$109+'Segments'!$B$27*(0.4983251709*D1031+0.4357405005*D1031+0.0330936548*D1031+0.0328406739))+D1033*('Segments'!$D$28*D1031*Assumptions!$B$109+'Segments'!$B$28*(0.4983251709*D1031+0.4357405005*D1031+0.0330936548*D1031+0.0328406739))+D1034*('Segments'!$D$29*D1031*Assumptions!$B$109+'Segments'!$B$29*(0.4983251709*D1031+0.4357405005*D1031+0.0330936548*D1031+0.0328406739))+D1035*('Segments'!$D$30*D1031*Assumptions!$B$109+'Segments'!$B$30*(0.4983251709*D1031+0.4357405005*D1031+0.0330936548*D1031+0.0328406739))+D1036*('Segments'!$D$31*D1031*Assumptions!$B$109+'Segments'!$B$31*(0.4983251709*D1031+0.4357405005*D1031+0.0330936548*D1031+0.0328406739))+D1037*('Segments'!$D$32*D1031*Assumptions!$B$109+'Segments'!$B$32*(0.4983251709*D1031+0.4357405005*D1031+0.0330936548*D1031+0.0328406739))+D1038*('Segments'!$D$33*D1031*Assumptions!$B$109+'Segments'!$B$33*(0.4983251709*D1031+0.4357405005*D1031+0.0330936548*D1031+0.0328406739))+D1039*('Segments'!$D$34*D1031*Assumptions!$B$109+'Segments'!$B$34*(0.4983251709*D1031+0.4357405005*D1031+0.0330936548*D1031+0.0328406739))</f>
        <v/>
      </c>
      <c r="E1042" s="18">
        <f>E1032*('Segments'!$D$27*E1031*Assumptions!$B$109+'Segments'!$B$27*(0.4983251709*E1031+0.4357405005*E1031+0.0330936548*E1031+0.0328406739))+E1033*('Segments'!$D$28*E1031*Assumptions!$B$109+'Segments'!$B$28*(0.4983251709*E1031+0.4357405005*E1031+0.0330936548*E1031+0.0328406739))+E1034*('Segments'!$D$29*E1031*Assumptions!$B$109+'Segments'!$B$29*(0.4983251709*E1031+0.4357405005*E1031+0.0330936548*E1031+0.0328406739))+E1035*('Segments'!$D$30*E1031*Assumptions!$B$109+'Segments'!$B$30*(0.4983251709*E1031+0.4357405005*E1031+0.0330936548*E1031+0.0328406739))+E1036*('Segments'!$D$31*E1031*Assumptions!$B$109+'Segments'!$B$31*(0.4983251709*E1031+0.4357405005*E1031+0.0330936548*E1031+0.0328406739))+E1037*('Segments'!$D$32*E1031*Assumptions!$B$109+'Segments'!$B$32*(0.4983251709*E1031+0.4357405005*E1031+0.0330936548*E1031+0.0328406739))+E1038*('Segments'!$D$33*E1031*Assumptions!$B$109+'Segments'!$B$33*(0.4983251709*E1031+0.4357405005*E1031+0.0330936548*E1031+0.0328406739))+E1039*('Segments'!$D$34*E1031*Assumptions!$B$109+'Segments'!$B$34*(0.4983251709*E1031+0.4357405005*E1031+0.0330936548*E1031+0.0328406739))</f>
        <v/>
      </c>
      <c r="F1042" s="18">
        <f>F1032*('Segments'!$D$27*F1031*Assumptions!$B$109+'Segments'!$B$27*(0.4983251709*F1031+0.4357405005*F1031+0.0330936548*F1031+0.0328406739))+F1033*('Segments'!$D$28*F1031*Assumptions!$B$109+'Segments'!$B$28*(0.4983251709*F1031+0.4357405005*F1031+0.0330936548*F1031+0.0328406739))+F1034*('Segments'!$D$29*F1031*Assumptions!$B$109+'Segments'!$B$29*(0.4983251709*F1031+0.4357405005*F1031+0.0330936548*F1031+0.0328406739))+F1035*('Segments'!$D$30*F1031*Assumptions!$B$109+'Segments'!$B$30*(0.4983251709*F1031+0.4357405005*F1031+0.0330936548*F1031+0.0328406739))+F1036*('Segments'!$D$31*F1031*Assumptions!$B$109+'Segments'!$B$31*(0.4983251709*F1031+0.4357405005*F1031+0.0330936548*F1031+0.0328406739))+F1037*('Segments'!$D$32*F1031*Assumptions!$B$109+'Segments'!$B$32*(0.4983251709*F1031+0.4357405005*F1031+0.0330936548*F1031+0.0328406739))+F1038*('Segments'!$D$33*F1031*Assumptions!$B$109+'Segments'!$B$33*(0.4983251709*F1031+0.4357405005*F1031+0.0330936548*F1031+0.0328406739))+F1039*('Segments'!$D$34*F1031*Assumptions!$B$109+'Segments'!$B$34*(0.4983251709*F1031+0.4357405005*F1031+0.0330936548*F1031+0.0328406739))</f>
        <v/>
      </c>
      <c r="G1042" s="18">
        <f>G1032*('Segments'!$D$27*G1031*Assumptions!$B$109+'Segments'!$B$27*(0.4983251709*G1031+0.4357405005*G1031+0.0330936548*G1031+0.0328406739))+G1033*('Segments'!$D$28*G1031*Assumptions!$B$109+'Segments'!$B$28*(0.4983251709*G1031+0.4357405005*G1031+0.0330936548*G1031+0.0328406739))+G1034*('Segments'!$D$29*G1031*Assumptions!$B$109+'Segments'!$B$29*(0.4983251709*G1031+0.4357405005*G1031+0.0330936548*G1031+0.0328406739))+G1035*('Segments'!$D$30*G1031*Assumptions!$B$109+'Segments'!$B$30*(0.4983251709*G1031+0.4357405005*G1031+0.0330936548*G1031+0.0328406739))+G1036*('Segments'!$D$31*G1031*Assumptions!$B$109+'Segments'!$B$31*(0.4983251709*G1031+0.4357405005*G1031+0.0330936548*G1031+0.0328406739))+G1037*('Segments'!$D$32*G1031*Assumptions!$B$109+'Segments'!$B$32*(0.4983251709*G1031+0.4357405005*G1031+0.0330936548*G1031+0.0328406739))+G1038*('Segments'!$D$33*G1031*Assumptions!$B$109+'Segments'!$B$33*(0.4983251709*G1031+0.4357405005*G1031+0.0330936548*G1031+0.0328406739))+G1039*('Segments'!$D$34*G1031*Assumptions!$B$109+'Segments'!$B$34*(0.4983251709*G1031+0.4357405005*G1031+0.0330936548*G1031+0.0328406739))</f>
        <v/>
      </c>
    </row>
    <row r="1043">
      <c r="A1043" s="15" t="inlineStr">
        <is>
          <t>GROSS PROFIT</t>
        </is>
      </c>
      <c r="C1043" s="37">
        <f>C1041-C1042+DCF!$B$7*C1041</f>
        <v/>
      </c>
      <c r="D1043" s="37">
        <f>D1041-D1042+DCF!$B$7*D1041</f>
        <v/>
      </c>
      <c r="E1043" s="37">
        <f>E1041-E1042+DCF!$B$7*E1041</f>
        <v/>
      </c>
      <c r="F1043" s="37">
        <f>F1041-F1042+DCF!$B$7*F1041</f>
        <v/>
      </c>
      <c r="G1043" s="37">
        <f>G1041-G1042+DCF!$B$7*G1041</f>
        <v/>
      </c>
    </row>
    <row r="1044">
      <c r="A1044" s="7" t="inlineStr">
        <is>
          <t>Gross margin</t>
        </is>
      </c>
      <c r="C1044" s="24">
        <f>C1043/C1041</f>
        <v/>
      </c>
      <c r="D1044" s="24">
        <f>D1043/D1041</f>
        <v/>
      </c>
      <c r="E1044" s="24">
        <f>E1043/E1041</f>
        <v/>
      </c>
      <c r="F1044" s="24">
        <f>F1043/F1041</f>
        <v/>
      </c>
      <c r="G1044" s="24">
        <f>G1043/G1041</f>
        <v/>
      </c>
    </row>
    <row r="1045">
      <c r="A1045" s="7" t="inlineStr">
        <is>
          <t>Operating expense</t>
        </is>
      </c>
      <c r="C1045" s="18">
        <f>('Income Statement'!$B$28*C1030)+('Income Statement'!$B$29*C1030*C1040/'Segments'!$E$14)+('Income Statement'!$B$30*C1030)+('Income Statement'!$B$31*C1030)</f>
        <v/>
      </c>
      <c r="D1045" s="18">
        <f>('Income Statement'!$B$28*D1030)+('Income Statement'!$B$29*D1030*D1040/'Segments'!$E$14)+('Income Statement'!$B$30*D1030)+('Income Statement'!$B$31*D1030)</f>
        <v/>
      </c>
      <c r="E1045" s="18">
        <f>('Income Statement'!$B$28*E1030)+('Income Statement'!$B$29*E1030*E1040/'Segments'!$E$14)+('Income Statement'!$B$30*E1030)+('Income Statement'!$B$31*E1030)</f>
        <v/>
      </c>
      <c r="F1045" s="18">
        <f>('Income Statement'!$B$28*F1030)+('Income Statement'!$B$29*F1030*F1040/'Segments'!$E$14)+('Income Statement'!$B$30*F1030)+('Income Statement'!$B$31*F1030)</f>
        <v/>
      </c>
      <c r="G1045" s="18">
        <f>('Income Statement'!$B$28*G1030)+('Income Statement'!$B$29*G1030*G1040/'Segments'!$E$14)+('Income Statement'!$B$30*G1030)+('Income Statement'!$B$31*G1030)</f>
        <v/>
      </c>
    </row>
    <row r="1046">
      <c r="A1046" s="15" t="inlineStr">
        <is>
          <t>EBITDA</t>
        </is>
      </c>
      <c r="C1046" s="37">
        <f>C1043-C1045</f>
        <v/>
      </c>
      <c r="D1046" s="37">
        <f>D1043-D1045</f>
        <v/>
      </c>
      <c r="E1046" s="37">
        <f>E1043-E1045</f>
        <v/>
      </c>
      <c r="F1046" s="37">
        <f>F1043-F1045</f>
        <v/>
      </c>
      <c r="G1046" s="37">
        <f>G1043-G1045</f>
        <v/>
      </c>
    </row>
    <row r="1047">
      <c r="A1047" s="7" t="inlineStr">
        <is>
          <t>Capital expenditure — maintenance + growth</t>
        </is>
      </c>
      <c r="C1047" s="18">
        <f>'Income Statement'!$B$43*C1030+MAX(C1040-'Segments'!$E$14,0)*2100.379938*C1030</f>
        <v/>
      </c>
      <c r="D1047" s="18">
        <f>'Income Statement'!$B$43*D1030+MAX(D1040-C1040,0)*2100.379938*D1030</f>
        <v/>
      </c>
      <c r="E1047" s="18">
        <f>'Income Statement'!$B$43*E1030+MAX(E1040-D1040,0)*2100.379938*E1030</f>
        <v/>
      </c>
      <c r="F1047" s="18">
        <f>'Income Statement'!$B$43*F1030+MAX(F1040-E1040,0)*2100.379938*F1030</f>
        <v/>
      </c>
      <c r="G1047" s="18">
        <f>'Income Statement'!$B$43*G1030+MAX(G1040-F1040,0)*2100.379938*G1030</f>
        <v/>
      </c>
    </row>
    <row r="1048">
      <c r="A1048" s="7" t="inlineStr">
        <is>
          <t>Fixed assets at cost, closing</t>
        </is>
      </c>
      <c r="C1048" s="18">
        <f>(Assumptions!$B$91+Assumptions!$B$92)/10^6+C1047</f>
        <v/>
      </c>
      <c r="D1048" s="18">
        <f>C1048+D1047</f>
        <v/>
      </c>
      <c r="E1048" s="18">
        <f>D1048+E1047</f>
        <v/>
      </c>
      <c r="F1048" s="18">
        <f>E1048+F1047</f>
        <v/>
      </c>
      <c r="G1048" s="18">
        <f>F1048+G1047</f>
        <v/>
      </c>
    </row>
    <row r="1049">
      <c r="A1049" s="7" t="inlineStr">
        <is>
          <t>Depreciation — rolls off the asset register</t>
        </is>
      </c>
      <c r="C1049" s="18">
        <f>(Assumptions!$B$91+Assumptions!$B$92)/10^6/'Income Statement'!$B$42</f>
        <v/>
      </c>
      <c r="D1049" s="18">
        <f>C1048/'Income Statement'!$B$42</f>
        <v/>
      </c>
      <c r="E1049" s="18">
        <f>D1048/'Income Statement'!$B$42</f>
        <v/>
      </c>
      <c r="F1049" s="18">
        <f>E1048/'Income Statement'!$B$42</f>
        <v/>
      </c>
      <c r="G1049" s="18">
        <f>F1048/'Income Statement'!$B$42</f>
        <v/>
      </c>
    </row>
    <row r="1050">
      <c r="A1050" s="7" t="inlineStr">
        <is>
          <t>Fixed assets, net book, closing</t>
        </is>
      </c>
      <c r="C1050" s="18">
        <f>(Assumptions!$B$90+Assumptions!$B$92)/10^6+C1047-C1049</f>
        <v/>
      </c>
      <c r="D1050" s="18">
        <f>C1050+D1047-D1049</f>
        <v/>
      </c>
      <c r="E1050" s="18">
        <f>D1050+E1047-E1049</f>
        <v/>
      </c>
      <c r="F1050" s="18">
        <f>E1050+F1047-F1049</f>
        <v/>
      </c>
      <c r="G1050" s="18">
        <f>F1050+G1047-G1049</f>
        <v/>
      </c>
    </row>
    <row r="1051">
      <c r="A1051" s="15" t="inlineStr">
        <is>
          <t>EBIT</t>
        </is>
      </c>
      <c r="C1051" s="37">
        <f>C1046-C1049</f>
        <v/>
      </c>
      <c r="D1051" s="37">
        <f>D1046-D1049</f>
        <v/>
      </c>
      <c r="E1051" s="37">
        <f>E1046-E1049</f>
        <v/>
      </c>
      <c r="F1051" s="37">
        <f>F1046-F1049</f>
        <v/>
      </c>
      <c r="G1051" s="37">
        <f>G1046-G1049</f>
        <v/>
      </c>
    </row>
    <row r="1052">
      <c r="A1052" s="7" t="inlineStr">
        <is>
          <t>NOPAT before the profit share</t>
        </is>
      </c>
      <c r="C1052" s="18">
        <f>C1051*(1-Assumptions!$B$108)</f>
        <v/>
      </c>
      <c r="D1052" s="18">
        <f>D1051*(1-Assumptions!$B$108)</f>
        <v/>
      </c>
      <c r="E1052" s="18">
        <f>E1051*(1-Assumptions!$B$108)</f>
        <v/>
      </c>
      <c r="F1052" s="18">
        <f>F1051*(1-Assumptions!$B$108)</f>
        <v/>
      </c>
      <c r="G1052" s="18">
        <f>G1051*(1-Assumptions!$B$108)</f>
        <v/>
      </c>
    </row>
    <row r="1053">
      <c r="A1053" s="7" t="inlineStr">
        <is>
          <t xml:space="preserve">  less employees' profit share and board bonuses</t>
        </is>
      </c>
      <c r="C1053" s="18">
        <f>MAX(C1052,0)*'Income Statement'!$B$40</f>
        <v/>
      </c>
      <c r="D1053" s="18">
        <f>MAX(D1052,0)*'Income Statement'!$B$40</f>
        <v/>
      </c>
      <c r="E1053" s="18">
        <f>MAX(E1052,0)*'Income Statement'!$B$40</f>
        <v/>
      </c>
      <c r="F1053" s="18">
        <f>MAX(F1052,0)*'Income Statement'!$B$40</f>
        <v/>
      </c>
      <c r="G1053" s="18">
        <f>MAX(G1052,0)*'Income Statement'!$B$40</f>
        <v/>
      </c>
    </row>
    <row r="1054">
      <c r="A1054" s="15" t="inlineStr">
        <is>
          <t>NOPAT</t>
        </is>
      </c>
      <c r="C1054" s="37">
        <f>C1052-C1053</f>
        <v/>
      </c>
      <c r="D1054" s="37">
        <f>D1052-D1053</f>
        <v/>
      </c>
      <c r="E1054" s="37">
        <f>E1052-E1053</f>
        <v/>
      </c>
      <c r="F1054" s="37">
        <f>F1052-F1053</f>
        <v/>
      </c>
      <c r="G1054" s="37">
        <f>G1052-G1053</f>
        <v/>
      </c>
    </row>
    <row r="1055">
      <c r="A1055" s="7" t="inlineStr">
        <is>
          <t>Net working capital — on days</t>
        </is>
      </c>
      <c r="C1055" s="18">
        <f>'Income Statement'!$B$44*$E$34/365*C1042+'Income Statement'!$B$45*$E$34/365*C1041-'Income Statement'!$B$46*$E$34/365*C1042</f>
        <v/>
      </c>
      <c r="D1055" s="18">
        <f>'Income Statement'!$B$44*$E$34/365*D1042+'Income Statement'!$B$45*$E$34/365*D1041-'Income Statement'!$B$46*$E$34/365*D1042</f>
        <v/>
      </c>
      <c r="E1055" s="18">
        <f>'Income Statement'!$B$44*$E$34/365*E1042+'Income Statement'!$B$45*$E$34/365*E1041-'Income Statement'!$B$46*$E$34/365*E1042</f>
        <v/>
      </c>
      <c r="F1055" s="18">
        <f>'Income Statement'!$B$44*$E$34/365*F1042+'Income Statement'!$B$45*$E$34/365*F1041-'Income Statement'!$B$46*$E$34/365*F1042</f>
        <v/>
      </c>
      <c r="G1055" s="18">
        <f>'Income Statement'!$B$44*$E$34/365*G1042+'Income Statement'!$B$45*$E$34/365*G1041-'Income Statement'!$B$46*$E$34/365*G1042</f>
        <v/>
      </c>
    </row>
    <row r="1056">
      <c r="A1056" s="7" t="inlineStr">
        <is>
          <t xml:space="preserve">  change in working capital</t>
        </is>
      </c>
      <c r="C1056" s="18">
        <f>C1055-('Income Statement'!$B$44/365*'Income Statement'!$B$21+'Income Statement'!$B$45/365*'Income Statement'!$B$19-'Income Statement'!$B$46/365*'Income Statement'!$B$21)</f>
        <v/>
      </c>
      <c r="D1056" s="18">
        <f>D1055-C1055</f>
        <v/>
      </c>
      <c r="E1056" s="18">
        <f>E1055-D1055</f>
        <v/>
      </c>
      <c r="F1056" s="18">
        <f>F1055-E1055</f>
        <v/>
      </c>
      <c r="G1056" s="18">
        <f>G1055-F1055</f>
        <v/>
      </c>
    </row>
    <row r="1057">
      <c r="A1057" s="15" t="inlineStr">
        <is>
          <t>FREE CASH FLOW TO THE FIRM</t>
        </is>
      </c>
      <c r="C1057" s="37">
        <f>C1054+C1049-C1047-C1056</f>
        <v/>
      </c>
      <c r="D1057" s="37">
        <f>D1054+D1049-D1047-D1056</f>
        <v/>
      </c>
      <c r="E1057" s="37">
        <f>E1054+E1049-E1047-E1056</f>
        <v/>
      </c>
      <c r="F1057" s="37">
        <f>F1054+F1049-F1047-F1056</f>
        <v/>
      </c>
      <c r="G1057" s="37">
        <f>G1054+G1049-G1047-G1056</f>
        <v/>
      </c>
    </row>
    <row r="1058">
      <c r="A1058" s="7" t="inlineStr">
        <is>
          <t>Glide fraction</t>
        </is>
      </c>
      <c r="C1058" s="23">
        <f>0.0000000000</f>
        <v/>
      </c>
      <c r="D1058" s="23">
        <f>0.5166487648</f>
        <v/>
      </c>
      <c r="E1058" s="23">
        <f>0.7314715360</f>
        <v/>
      </c>
      <c r="F1058" s="23">
        <f>0.8925886144</f>
        <v/>
      </c>
      <c r="G1058" s="23">
        <f>1.0000000000</f>
        <v/>
      </c>
    </row>
    <row r="1059">
      <c r="A1059" s="7" t="inlineStr">
        <is>
          <t>Forward cost of capital</t>
        </is>
      </c>
      <c r="C1059" s="24">
        <f>DCF!$B$14-(DCF!$B$14-DCF!$B$17)*C1058</f>
        <v/>
      </c>
      <c r="D1059" s="24">
        <f>DCF!$B$14-(DCF!$B$14-DCF!$B$17)*D1058</f>
        <v/>
      </c>
      <c r="E1059" s="24">
        <f>DCF!$B$14-(DCF!$B$14-DCF!$B$17)*E1058</f>
        <v/>
      </c>
      <c r="F1059" s="24">
        <f>DCF!$B$14-(DCF!$B$14-DCF!$B$17)*F1058</f>
        <v/>
      </c>
      <c r="G1059" s="24">
        <f>DCF!$B$14-(DCF!$B$14-DCF!$B$17)*G1058</f>
        <v/>
      </c>
    </row>
    <row r="1060">
      <c r="A1060" s="7" t="inlineStr">
        <is>
          <t>Cumulative discount factor</t>
        </is>
      </c>
      <c r="C1060" s="40">
        <f>1/(1+C1059)</f>
        <v/>
      </c>
      <c r="D1060" s="40">
        <f>C1060/(1+D1059)</f>
        <v/>
      </c>
      <c r="E1060" s="40">
        <f>D1060/(1+E1059)</f>
        <v/>
      </c>
      <c r="F1060" s="40">
        <f>E1060/(1+F1059)</f>
        <v/>
      </c>
      <c r="G1060" s="40">
        <f>F1060/(1+G1059)</f>
        <v/>
      </c>
    </row>
    <row r="1061">
      <c r="A1061" s="7" t="inlineStr">
        <is>
          <t>Present value</t>
        </is>
      </c>
      <c r="C1061" s="18">
        <f>C1057*C1060</f>
        <v/>
      </c>
      <c r="D1061" s="18">
        <f>D1057*D1060</f>
        <v/>
      </c>
      <c r="E1061" s="18">
        <f>E1057*E1060</f>
        <v/>
      </c>
      <c r="F1061" s="18">
        <f>F1057*F1060</f>
        <v/>
      </c>
      <c r="G1061" s="18">
        <f>G1057*G1060</f>
        <v/>
      </c>
    </row>
    <row r="1062">
      <c r="A1062" s="15" t="inlineStr">
        <is>
          <t>PV of the explicit window</t>
        </is>
      </c>
      <c r="B1062" s="37">
        <f>SUM(C1061:G1061)</f>
        <v/>
      </c>
      <c r="C1062" s="18">
        <f>C1055+C1048</f>
        <v/>
      </c>
      <c r="D1062" s="18">
        <f>D1055+D1048</f>
        <v/>
      </c>
      <c r="E1062" s="18">
        <f>E1055+E1048</f>
        <v/>
      </c>
      <c r="F1062" s="18">
        <f>F1055+F1048</f>
        <v/>
      </c>
      <c r="G1062" s="18">
        <f>G1055+G1048</f>
        <v/>
      </c>
    </row>
    <row r="1063">
      <c r="A1063" s="7" t="inlineStr">
        <is>
          <t>Terminal return on invested capital, at REPLACEMENT cost</t>
        </is>
      </c>
      <c r="B1063" s="24">
        <f>G1054*(1+Assumptions!$B$110)/G1062</f>
        <v/>
      </c>
    </row>
    <row r="1064">
      <c r="A1064" s="7" t="inlineStr">
        <is>
          <t>Required reinvestment = growth / return</t>
        </is>
      </c>
      <c r="B1064" s="24">
        <f>MIN(Assumptions!$B$110/B1063,0.95)</f>
        <v/>
      </c>
    </row>
    <row r="1065">
      <c r="A1065" s="7" t="inlineStr">
        <is>
          <t>Terminal value</t>
        </is>
      </c>
      <c r="B1065" s="18">
        <f>G1054*(1+Assumptions!$B$110)*(1-B1064)/MAX(DCF!$B$17-Assumptions!$B$110,0.02)</f>
        <v/>
      </c>
    </row>
    <row r="1066">
      <c r="A1066" s="7" t="inlineStr">
        <is>
          <t>PV of the terminal block</t>
        </is>
      </c>
      <c r="B1066" s="18">
        <f>B1065*G1060</f>
        <v/>
      </c>
    </row>
    <row r="1067">
      <c r="A1067" s="15" t="inlineStr">
        <is>
          <t>ENTERPRISE VALUE</t>
        </is>
      </c>
      <c r="B1067" s="37">
        <f>B1062+B1066</f>
        <v/>
      </c>
    </row>
    <row r="1068">
      <c r="A1068" s="7" t="inlineStr">
        <is>
          <t>plus net cash</t>
        </is>
      </c>
      <c r="B1068" s="18">
        <f>(Assumptions!$B$100-Assumptions!$B$103-Assumptions!$B$104)/10^6</f>
        <v/>
      </c>
    </row>
    <row r="1069">
      <c r="A1069" s="7" t="inlineStr">
        <is>
          <t>Enterprise value including cash</t>
        </is>
      </c>
      <c r="B1069" s="18">
        <f>B1067+B1068</f>
        <v/>
      </c>
    </row>
    <row r="1070">
      <c r="A1070" s="7" t="inlineStr">
        <is>
          <t>less minority — on the WHOLE enterprise, cash included</t>
        </is>
      </c>
      <c r="B1070" s="18">
        <f>B1069*'Income Statement'!$B$41</f>
        <v/>
      </c>
    </row>
    <row r="1071">
      <c r="A1071" s="7" t="inlineStr">
        <is>
          <t>less the tax-disputes provision</t>
        </is>
      </c>
      <c r="B1071" s="18">
        <f>Assumptions!$B$99/10^6</f>
        <v/>
      </c>
    </row>
    <row r="1072">
      <c r="A1072" s="7" t="inlineStr">
        <is>
          <t>less dividends payable — declared, out of working capital</t>
        </is>
      </c>
      <c r="B1072" s="18">
        <f>Assumptions!$B$98/10^6</f>
        <v/>
      </c>
    </row>
    <row r="1073">
      <c r="A1073" s="7" t="inlineStr">
        <is>
          <t>plus non-operating investments and pledged deposits</t>
        </is>
      </c>
      <c r="B1073" s="18">
        <f>(Assumptions!$B$102+Assumptions!$B$101)/10^6</f>
        <v/>
      </c>
    </row>
    <row r="1074">
      <c r="A1074" s="15" t="inlineStr">
        <is>
          <t>EQUITY ATTRIBUTABLE</t>
        </is>
      </c>
      <c r="B1074" s="37">
        <f>B1069-B1070-B1071-B1072+B1073</f>
        <v/>
      </c>
    </row>
    <row r="1075">
      <c r="A1075" s="15" t="inlineStr">
        <is>
          <t>VALUE PER SHARE, EGP</t>
        </is>
      </c>
      <c r="B1075" s="22">
        <f>B1074/Assumptions!$B$8</f>
        <v/>
      </c>
    </row>
    <row r="1078">
      <c r="A1078" s="6" t="inlineStr">
        <is>
          <t>Working-capital cycle, as a multiple of the solved days — 0.75x</t>
        </is>
      </c>
      <c r="B1078" s="6" t="inlineStr">
        <is>
          <t>2026E</t>
        </is>
      </c>
      <c r="C1078" s="6" t="inlineStr">
        <is>
          <t>2027E</t>
        </is>
      </c>
      <c r="D1078" s="6" t="inlineStr">
        <is>
          <t>2028E</t>
        </is>
      </c>
      <c r="E1078" s="6" t="inlineStr">
        <is>
          <t>2029E</t>
        </is>
      </c>
      <c r="F1078" s="6" t="inlineStr">
        <is>
          <t>2030E</t>
        </is>
      </c>
    </row>
    <row r="1079">
      <c r="A1079" s="7" t="inlineStr">
        <is>
          <t>Inflation index, cumulative</t>
        </is>
      </c>
      <c r="C1079" s="23">
        <f>Assumptions!$B$167</f>
        <v/>
      </c>
      <c r="D1079" s="23">
        <f>C1079*Assumptions!$B$168</f>
        <v/>
      </c>
      <c r="E1079" s="23">
        <f>D1079*Assumptions!$B$169</f>
        <v/>
      </c>
      <c r="F1079" s="23">
        <f>E1079*Assumptions!$B$170</f>
        <v/>
      </c>
      <c r="G1079" s="23">
        <f>F1079*Assumptions!$B$171</f>
        <v/>
      </c>
    </row>
    <row r="1080">
      <c r="A1080" s="7" t="inlineStr">
        <is>
          <t>Realisation index, cumulative</t>
        </is>
      </c>
      <c r="C1080" s="23">
        <f>(1+Assumptions!$B$122*DCF!$B$8)</f>
        <v/>
      </c>
      <c r="D1080" s="23">
        <f>C1080*(1+Assumptions!$B$123*DCF!$B$8)</f>
        <v/>
      </c>
      <c r="E1080" s="23">
        <f>D1080*(1+Assumptions!$B$124*DCF!$B$8)</f>
        <v/>
      </c>
      <c r="F1080" s="23">
        <f>E1080*(1+Assumptions!$B$125*DCF!$B$8)</f>
        <v/>
      </c>
      <c r="G1080" s="23">
        <f>F1080*(1+Assumptions!$B$126*DCF!$B$8)</f>
        <v/>
      </c>
    </row>
    <row r="1081">
      <c r="A1081" s="7" t="inlineStr">
        <is>
          <t xml:space="preserve">  Volume — Base and special oils, mn t</t>
        </is>
      </c>
      <c r="C1081" s="23">
        <f>'Segments'!E6*(1+Assumptions!$B$127+DCF!$B$6)</f>
        <v/>
      </c>
      <c r="D1081" s="23">
        <f>C1081*(1+Assumptions!$B$128+DCF!$B$6)</f>
        <v/>
      </c>
      <c r="E1081" s="23">
        <f>D1081*(1+Assumptions!$B$129+DCF!$B$6)</f>
        <v/>
      </c>
      <c r="F1081" s="23">
        <f>E1081*(1+Assumptions!$B$130+DCF!$B$6)</f>
        <v/>
      </c>
      <c r="G1081" s="23">
        <f>F1081*(1+Assumptions!$B$131+DCF!$B$6)</f>
        <v/>
      </c>
    </row>
    <row r="1082">
      <c r="A1082" s="7" t="inlineStr">
        <is>
          <t xml:space="preserve">  Volume — Paraffin wax, mn t</t>
        </is>
      </c>
      <c r="C1082" s="23">
        <f>'Segments'!E7*(1+Assumptions!$B$132+DCF!$B$6)</f>
        <v/>
      </c>
      <c r="D1082" s="23">
        <f>C1082*(1+Assumptions!$B$133+DCF!$B$6)</f>
        <v/>
      </c>
      <c r="E1082" s="23">
        <f>D1082*(1+Assumptions!$B$134+DCF!$B$6)</f>
        <v/>
      </c>
      <c r="F1082" s="23">
        <f>E1082*(1+Assumptions!$B$135+DCF!$B$6)</f>
        <v/>
      </c>
      <c r="G1082" s="23">
        <f>F1082*(1+Assumptions!$B$136+DCF!$B$6)</f>
        <v/>
      </c>
    </row>
    <row r="1083">
      <c r="A1083" s="7" t="inlineStr">
        <is>
          <t xml:space="preserve">  Volume — Gas oil, mn t</t>
        </is>
      </c>
      <c r="C1083" s="23">
        <f>'Segments'!E8*(1+Assumptions!$B$137+DCF!$B$6)</f>
        <v/>
      </c>
      <c r="D1083" s="23">
        <f>C1083*(1+Assumptions!$B$138+DCF!$B$6)</f>
        <v/>
      </c>
      <c r="E1083" s="23">
        <f>D1083*(1+Assumptions!$B$139+DCF!$B$6)</f>
        <v/>
      </c>
      <c r="F1083" s="23">
        <f>E1083*(1+Assumptions!$B$140+DCF!$B$6)</f>
        <v/>
      </c>
      <c r="G1083" s="23">
        <f>F1083*(1+Assumptions!$B$141+DCF!$B$6)</f>
        <v/>
      </c>
    </row>
    <row r="1084">
      <c r="A1084" s="7" t="inlineStr">
        <is>
          <t xml:space="preserve">  Volume — Naphtha, mn t</t>
        </is>
      </c>
      <c r="C1084" s="23">
        <f>'Segments'!E9*(1+Assumptions!$B$142+DCF!$B$6)</f>
        <v/>
      </c>
      <c r="D1084" s="23">
        <f>C1084*(1+Assumptions!$B$143+DCF!$B$6)</f>
        <v/>
      </c>
      <c r="E1084" s="23">
        <f>D1084*(1+Assumptions!$B$144+DCF!$B$6)</f>
        <v/>
      </c>
      <c r="F1084" s="23">
        <f>E1084*(1+Assumptions!$B$145+DCF!$B$6)</f>
        <v/>
      </c>
      <c r="G1084" s="23">
        <f>F1084*(1+Assumptions!$B$146+DCF!$B$6)</f>
        <v/>
      </c>
    </row>
    <row r="1085">
      <c r="A1085" s="7" t="inlineStr">
        <is>
          <t xml:space="preserve">  Volume — Liquefied petroleum gas, mn t</t>
        </is>
      </c>
      <c r="C1085" s="23">
        <f>'Segments'!E10*(1+Assumptions!$B$147+DCF!$B$6)</f>
        <v/>
      </c>
      <c r="D1085" s="23">
        <f>C1085*(1+Assumptions!$B$148+DCF!$B$6)</f>
        <v/>
      </c>
      <c r="E1085" s="23">
        <f>D1085*(1+Assumptions!$B$149+DCF!$B$6)</f>
        <v/>
      </c>
      <c r="F1085" s="23">
        <f>E1085*(1+Assumptions!$B$150+DCF!$B$6)</f>
        <v/>
      </c>
      <c r="G1085" s="23">
        <f>F1085*(1+Assumptions!$B$151+DCF!$B$6)</f>
        <v/>
      </c>
    </row>
    <row r="1086">
      <c r="A1086" s="7" t="inlineStr">
        <is>
          <t xml:space="preserve">  Volume — Fuel oil (mix), mn t</t>
        </is>
      </c>
      <c r="C1086" s="23">
        <f>'Segments'!E11*(1+Assumptions!$B$152+DCF!$B$6)</f>
        <v/>
      </c>
      <c r="D1086" s="23">
        <f>C1086*(1+Assumptions!$B$153+DCF!$B$6)</f>
        <v/>
      </c>
      <c r="E1086" s="23">
        <f>D1086*(1+Assumptions!$B$154+DCF!$B$6)</f>
        <v/>
      </c>
      <c r="F1086" s="23">
        <f>E1086*(1+Assumptions!$B$155+DCF!$B$6)</f>
        <v/>
      </c>
      <c r="G1086" s="23">
        <f>F1086*(1+Assumptions!$B$156+DCF!$B$6)</f>
        <v/>
      </c>
    </row>
    <row r="1087">
      <c r="A1087" s="7" t="inlineStr">
        <is>
          <t xml:space="preserve">  Volume — Heavy fuel oil, mn t</t>
        </is>
      </c>
      <c r="C1087" s="23">
        <f>'Segments'!E12*(1+Assumptions!$B$157+DCF!$B$6)</f>
        <v/>
      </c>
      <c r="D1087" s="23">
        <f>C1087*(1+Assumptions!$B$158+DCF!$B$6)</f>
        <v/>
      </c>
      <c r="E1087" s="23">
        <f>D1087*(1+Assumptions!$B$159+DCF!$B$6)</f>
        <v/>
      </c>
      <c r="F1087" s="23">
        <f>E1087*(1+Assumptions!$B$160+DCF!$B$6)</f>
        <v/>
      </c>
      <c r="G1087" s="23">
        <f>F1087*(1+Assumptions!$B$161+DCF!$B$6)</f>
        <v/>
      </c>
    </row>
    <row r="1088">
      <c r="A1088" s="7" t="inlineStr">
        <is>
          <t xml:space="preserve">  Volume — Waste, mn t</t>
        </is>
      </c>
      <c r="C1088" s="23">
        <f>'Segments'!E13*(1+Assumptions!$B$162+DCF!$B$6)</f>
        <v/>
      </c>
      <c r="D1088" s="23">
        <f>C1088*(1+Assumptions!$B$163+DCF!$B$6)</f>
        <v/>
      </c>
      <c r="E1088" s="23">
        <f>D1088*(1+Assumptions!$B$164+DCF!$B$6)</f>
        <v/>
      </c>
      <c r="F1088" s="23">
        <f>E1088*(1+Assumptions!$B$165+DCF!$B$6)</f>
        <v/>
      </c>
      <c r="G1088" s="23">
        <f>F1088*(1+Assumptions!$B$166+DCF!$B$6)</f>
        <v/>
      </c>
    </row>
    <row r="1089">
      <c r="A1089" s="15" t="inlineStr">
        <is>
          <t>Total volume, mn t</t>
        </is>
      </c>
      <c r="C1089" s="36">
        <f>SUM(C1081:C1088)</f>
        <v/>
      </c>
      <c r="D1089" s="36">
        <f>SUM(D1081:D1088)</f>
        <v/>
      </c>
      <c r="E1089" s="36">
        <f>SUM(E1081:E1088)</f>
        <v/>
      </c>
      <c r="F1089" s="36">
        <f>SUM(F1081:F1088)</f>
        <v/>
      </c>
      <c r="G1089" s="36">
        <f>SUM(G1081:G1088)</f>
        <v/>
      </c>
    </row>
    <row r="1090">
      <c r="A1090" s="15" t="inlineStr">
        <is>
          <t>REVENUE</t>
        </is>
      </c>
      <c r="C1090" s="37">
        <f>C1081*'Segments'!$F$6*C1080+C1082*'Segments'!$F$7*C1080+C1083*'Segments'!$F$8*C1080+C1084*'Segments'!$F$9*C1080+C1085*'Segments'!$F$10*C1080+C1086*'Segments'!$F$11*C1080+C1087*'Segments'!$F$12*C1080+C1088*'Segments'!$F$13*C1080</f>
        <v/>
      </c>
      <c r="D1090" s="37">
        <f>D1081*'Segments'!$F$6*D1080+D1082*'Segments'!$F$7*D1080+D1083*'Segments'!$F$8*D1080+D1084*'Segments'!$F$9*D1080+D1085*'Segments'!$F$10*D1080+D1086*'Segments'!$F$11*D1080+D1087*'Segments'!$F$12*D1080+D1088*'Segments'!$F$13*D1080</f>
        <v/>
      </c>
      <c r="E1090" s="37">
        <f>E1081*'Segments'!$F$6*E1080+E1082*'Segments'!$F$7*E1080+E1083*'Segments'!$F$8*E1080+E1084*'Segments'!$F$9*E1080+E1085*'Segments'!$F$10*E1080+E1086*'Segments'!$F$11*E1080+E1087*'Segments'!$F$12*E1080+E1088*'Segments'!$F$13*E1080</f>
        <v/>
      </c>
      <c r="F1090" s="37">
        <f>F1081*'Segments'!$F$6*F1080+F1082*'Segments'!$F$7*F1080+F1083*'Segments'!$F$8*F1080+F1084*'Segments'!$F$9*F1080+F1085*'Segments'!$F$10*F1080+F1086*'Segments'!$F$11*F1080+F1087*'Segments'!$F$12*F1080+F1088*'Segments'!$F$13*F1080</f>
        <v/>
      </c>
      <c r="G1090" s="37">
        <f>G1081*'Segments'!$F$6*G1080+G1082*'Segments'!$F$7*G1080+G1083*'Segments'!$F$8*G1080+G1084*'Segments'!$F$9*G1080+G1085*'Segments'!$F$10*G1080+G1086*'Segments'!$F$11*G1080+G1087*'Segments'!$F$12*G1080+G1088*'Segments'!$F$13*G1080</f>
        <v/>
      </c>
    </row>
    <row r="1091">
      <c r="A1091" s="7" t="inlineStr">
        <is>
          <t>Cost of sales</t>
        </is>
      </c>
      <c r="C1091" s="18">
        <f>C1081*('Segments'!$D$27*C1080*Assumptions!$B$109+'Segments'!$B$27*(0.4983251709*C1080+0.4357405005*C1080+0.0330936548*C1080+0.0328406739))+C1082*('Segments'!$D$28*C1080*Assumptions!$B$109+'Segments'!$B$28*(0.4983251709*C1080+0.4357405005*C1080+0.0330936548*C1080+0.0328406739))+C1083*('Segments'!$D$29*C1080*Assumptions!$B$109+'Segments'!$B$29*(0.4983251709*C1080+0.4357405005*C1080+0.0330936548*C1080+0.0328406739))+C1084*('Segments'!$D$30*C1080*Assumptions!$B$109+'Segments'!$B$30*(0.4983251709*C1080+0.4357405005*C1080+0.0330936548*C1080+0.0328406739))+C1085*('Segments'!$D$31*C1080*Assumptions!$B$109+'Segments'!$B$31*(0.4983251709*C1080+0.4357405005*C1080+0.0330936548*C1080+0.0328406739))+C1086*('Segments'!$D$32*C1080*Assumptions!$B$109+'Segments'!$B$32*(0.4983251709*C1080+0.4357405005*C1080+0.0330936548*C1080+0.0328406739))+C1087*('Segments'!$D$33*C1080*Assumptions!$B$109+'Segments'!$B$33*(0.4983251709*C1080+0.4357405005*C1080+0.0330936548*C1080+0.0328406739))+C1088*('Segments'!$D$34*C1080*Assumptions!$B$109+'Segments'!$B$34*(0.4983251709*C1080+0.4357405005*C1080+0.0330936548*C1080+0.0328406739))</f>
        <v/>
      </c>
      <c r="D1091" s="18">
        <f>D1081*('Segments'!$D$27*D1080*Assumptions!$B$109+'Segments'!$B$27*(0.4983251709*D1080+0.4357405005*D1080+0.0330936548*D1080+0.0328406739))+D1082*('Segments'!$D$28*D1080*Assumptions!$B$109+'Segments'!$B$28*(0.4983251709*D1080+0.4357405005*D1080+0.0330936548*D1080+0.0328406739))+D1083*('Segments'!$D$29*D1080*Assumptions!$B$109+'Segments'!$B$29*(0.4983251709*D1080+0.4357405005*D1080+0.0330936548*D1080+0.0328406739))+D1084*('Segments'!$D$30*D1080*Assumptions!$B$109+'Segments'!$B$30*(0.4983251709*D1080+0.4357405005*D1080+0.0330936548*D1080+0.0328406739))+D1085*('Segments'!$D$31*D1080*Assumptions!$B$109+'Segments'!$B$31*(0.4983251709*D1080+0.4357405005*D1080+0.0330936548*D1080+0.0328406739))+D1086*('Segments'!$D$32*D1080*Assumptions!$B$109+'Segments'!$B$32*(0.4983251709*D1080+0.4357405005*D1080+0.0330936548*D1080+0.0328406739))+D1087*('Segments'!$D$33*D1080*Assumptions!$B$109+'Segments'!$B$33*(0.4983251709*D1080+0.4357405005*D1080+0.0330936548*D1080+0.0328406739))+D1088*('Segments'!$D$34*D1080*Assumptions!$B$109+'Segments'!$B$34*(0.4983251709*D1080+0.4357405005*D1080+0.0330936548*D1080+0.0328406739))</f>
        <v/>
      </c>
      <c r="E1091" s="18">
        <f>E1081*('Segments'!$D$27*E1080*Assumptions!$B$109+'Segments'!$B$27*(0.4983251709*E1080+0.4357405005*E1080+0.0330936548*E1080+0.0328406739))+E1082*('Segments'!$D$28*E1080*Assumptions!$B$109+'Segments'!$B$28*(0.4983251709*E1080+0.4357405005*E1080+0.0330936548*E1080+0.0328406739))+E1083*('Segments'!$D$29*E1080*Assumptions!$B$109+'Segments'!$B$29*(0.4983251709*E1080+0.4357405005*E1080+0.0330936548*E1080+0.0328406739))+E1084*('Segments'!$D$30*E1080*Assumptions!$B$109+'Segments'!$B$30*(0.4983251709*E1080+0.4357405005*E1080+0.0330936548*E1080+0.0328406739))+E1085*('Segments'!$D$31*E1080*Assumptions!$B$109+'Segments'!$B$31*(0.4983251709*E1080+0.4357405005*E1080+0.0330936548*E1080+0.0328406739))+E1086*('Segments'!$D$32*E1080*Assumptions!$B$109+'Segments'!$B$32*(0.4983251709*E1080+0.4357405005*E1080+0.0330936548*E1080+0.0328406739))+E1087*('Segments'!$D$33*E1080*Assumptions!$B$109+'Segments'!$B$33*(0.4983251709*E1080+0.4357405005*E1080+0.0330936548*E1080+0.0328406739))+E1088*('Segments'!$D$34*E1080*Assumptions!$B$109+'Segments'!$B$34*(0.4983251709*E1080+0.4357405005*E1080+0.0330936548*E1080+0.0328406739))</f>
        <v/>
      </c>
      <c r="F1091" s="18">
        <f>F1081*('Segments'!$D$27*F1080*Assumptions!$B$109+'Segments'!$B$27*(0.4983251709*F1080+0.4357405005*F1080+0.0330936548*F1080+0.0328406739))+F1082*('Segments'!$D$28*F1080*Assumptions!$B$109+'Segments'!$B$28*(0.4983251709*F1080+0.4357405005*F1080+0.0330936548*F1080+0.0328406739))+F1083*('Segments'!$D$29*F1080*Assumptions!$B$109+'Segments'!$B$29*(0.4983251709*F1080+0.4357405005*F1080+0.0330936548*F1080+0.0328406739))+F1084*('Segments'!$D$30*F1080*Assumptions!$B$109+'Segments'!$B$30*(0.4983251709*F1080+0.4357405005*F1080+0.0330936548*F1080+0.0328406739))+F1085*('Segments'!$D$31*F1080*Assumptions!$B$109+'Segments'!$B$31*(0.4983251709*F1080+0.4357405005*F1080+0.0330936548*F1080+0.0328406739))+F1086*('Segments'!$D$32*F1080*Assumptions!$B$109+'Segments'!$B$32*(0.4983251709*F1080+0.4357405005*F1080+0.0330936548*F1080+0.0328406739))+F1087*('Segments'!$D$33*F1080*Assumptions!$B$109+'Segments'!$B$33*(0.4983251709*F1080+0.4357405005*F1080+0.0330936548*F1080+0.0328406739))+F1088*('Segments'!$D$34*F1080*Assumptions!$B$109+'Segments'!$B$34*(0.4983251709*F1080+0.4357405005*F1080+0.0330936548*F1080+0.0328406739))</f>
        <v/>
      </c>
      <c r="G1091" s="18">
        <f>G1081*('Segments'!$D$27*G1080*Assumptions!$B$109+'Segments'!$B$27*(0.4983251709*G1080+0.4357405005*G1080+0.0330936548*G1080+0.0328406739))+G1082*('Segments'!$D$28*G1080*Assumptions!$B$109+'Segments'!$B$28*(0.4983251709*G1080+0.4357405005*G1080+0.0330936548*G1080+0.0328406739))+G1083*('Segments'!$D$29*G1080*Assumptions!$B$109+'Segments'!$B$29*(0.4983251709*G1080+0.4357405005*G1080+0.0330936548*G1080+0.0328406739))+G1084*('Segments'!$D$30*G1080*Assumptions!$B$109+'Segments'!$B$30*(0.4983251709*G1080+0.4357405005*G1080+0.0330936548*G1080+0.0328406739))+G1085*('Segments'!$D$31*G1080*Assumptions!$B$109+'Segments'!$B$31*(0.4983251709*G1080+0.4357405005*G1080+0.0330936548*G1080+0.0328406739))+G1086*('Segments'!$D$32*G1080*Assumptions!$B$109+'Segments'!$B$32*(0.4983251709*G1080+0.4357405005*G1080+0.0330936548*G1080+0.0328406739))+G1087*('Segments'!$D$33*G1080*Assumptions!$B$109+'Segments'!$B$33*(0.4983251709*G1080+0.4357405005*G1080+0.0330936548*G1080+0.0328406739))+G1088*('Segments'!$D$34*G1080*Assumptions!$B$109+'Segments'!$B$34*(0.4983251709*G1080+0.4357405005*G1080+0.0330936548*G1080+0.0328406739))</f>
        <v/>
      </c>
    </row>
    <row r="1092">
      <c r="A1092" s="15" t="inlineStr">
        <is>
          <t>GROSS PROFIT</t>
        </is>
      </c>
      <c r="C1092" s="37">
        <f>C1090-C1091+DCF!$B$7*C1090</f>
        <v/>
      </c>
      <c r="D1092" s="37">
        <f>D1090-D1091+DCF!$B$7*D1090</f>
        <v/>
      </c>
      <c r="E1092" s="37">
        <f>E1090-E1091+DCF!$B$7*E1090</f>
        <v/>
      </c>
      <c r="F1092" s="37">
        <f>F1090-F1091+DCF!$B$7*F1090</f>
        <v/>
      </c>
      <c r="G1092" s="37">
        <f>G1090-G1091+DCF!$B$7*G1090</f>
        <v/>
      </c>
    </row>
    <row r="1093">
      <c r="A1093" s="7" t="inlineStr">
        <is>
          <t>Gross margin</t>
        </is>
      </c>
      <c r="C1093" s="24">
        <f>C1092/C1090</f>
        <v/>
      </c>
      <c r="D1093" s="24">
        <f>D1092/D1090</f>
        <v/>
      </c>
      <c r="E1093" s="24">
        <f>E1092/E1090</f>
        <v/>
      </c>
      <c r="F1093" s="24">
        <f>F1092/F1090</f>
        <v/>
      </c>
      <c r="G1093" s="24">
        <f>G1092/G1090</f>
        <v/>
      </c>
    </row>
    <row r="1094">
      <c r="A1094" s="7" t="inlineStr">
        <is>
          <t>Operating expense</t>
        </is>
      </c>
      <c r="C1094" s="18">
        <f>('Income Statement'!$B$28*C1079)+('Income Statement'!$B$29*C1079*C1089/'Segments'!$E$14)+('Income Statement'!$B$30*C1079)+('Income Statement'!$B$31*C1079)</f>
        <v/>
      </c>
      <c r="D1094" s="18">
        <f>('Income Statement'!$B$28*D1079)+('Income Statement'!$B$29*D1079*D1089/'Segments'!$E$14)+('Income Statement'!$B$30*D1079)+('Income Statement'!$B$31*D1079)</f>
        <v/>
      </c>
      <c r="E1094" s="18">
        <f>('Income Statement'!$B$28*E1079)+('Income Statement'!$B$29*E1079*E1089/'Segments'!$E$14)+('Income Statement'!$B$30*E1079)+('Income Statement'!$B$31*E1079)</f>
        <v/>
      </c>
      <c r="F1094" s="18">
        <f>('Income Statement'!$B$28*F1079)+('Income Statement'!$B$29*F1079*F1089/'Segments'!$E$14)+('Income Statement'!$B$30*F1079)+('Income Statement'!$B$31*F1079)</f>
        <v/>
      </c>
      <c r="G1094" s="18">
        <f>('Income Statement'!$B$28*G1079)+('Income Statement'!$B$29*G1079*G1089/'Segments'!$E$14)+('Income Statement'!$B$30*G1079)+('Income Statement'!$B$31*G1079)</f>
        <v/>
      </c>
    </row>
    <row r="1095">
      <c r="A1095" s="15" t="inlineStr">
        <is>
          <t>EBITDA</t>
        </is>
      </c>
      <c r="C1095" s="37">
        <f>C1092-C1094</f>
        <v/>
      </c>
      <c r="D1095" s="37">
        <f>D1092-D1094</f>
        <v/>
      </c>
      <c r="E1095" s="37">
        <f>E1092-E1094</f>
        <v/>
      </c>
      <c r="F1095" s="37">
        <f>F1092-F1094</f>
        <v/>
      </c>
      <c r="G1095" s="37">
        <f>G1092-G1094</f>
        <v/>
      </c>
    </row>
    <row r="1096">
      <c r="A1096" s="7" t="inlineStr">
        <is>
          <t>Capital expenditure — maintenance + growth</t>
        </is>
      </c>
      <c r="C1096" s="18">
        <f>'Income Statement'!$B$43*C1079+MAX(C1089-'Segments'!$E$14,0)*2100.379938*C1079</f>
        <v/>
      </c>
      <c r="D1096" s="18">
        <f>'Income Statement'!$B$43*D1079+MAX(D1089-C1089,0)*2100.379938*D1079</f>
        <v/>
      </c>
      <c r="E1096" s="18">
        <f>'Income Statement'!$B$43*E1079+MAX(E1089-D1089,0)*2100.379938*E1079</f>
        <v/>
      </c>
      <c r="F1096" s="18">
        <f>'Income Statement'!$B$43*F1079+MAX(F1089-E1089,0)*2100.379938*F1079</f>
        <v/>
      </c>
      <c r="G1096" s="18">
        <f>'Income Statement'!$B$43*G1079+MAX(G1089-F1089,0)*2100.379938*G1079</f>
        <v/>
      </c>
    </row>
    <row r="1097">
      <c r="A1097" s="7" t="inlineStr">
        <is>
          <t>Fixed assets at cost, closing</t>
        </is>
      </c>
      <c r="C1097" s="18">
        <f>(Assumptions!$B$91+Assumptions!$B$92)/10^6+C1096</f>
        <v/>
      </c>
      <c r="D1097" s="18">
        <f>C1097+D1096</f>
        <v/>
      </c>
      <c r="E1097" s="18">
        <f>D1097+E1096</f>
        <v/>
      </c>
      <c r="F1097" s="18">
        <f>E1097+F1096</f>
        <v/>
      </c>
      <c r="G1097" s="18">
        <f>F1097+G1096</f>
        <v/>
      </c>
    </row>
    <row r="1098">
      <c r="A1098" s="7" t="inlineStr">
        <is>
          <t>Depreciation — rolls off the asset register</t>
        </is>
      </c>
      <c r="C1098" s="18">
        <f>(Assumptions!$B$91+Assumptions!$B$92)/10^6/'Income Statement'!$B$42</f>
        <v/>
      </c>
      <c r="D1098" s="18">
        <f>C1097/'Income Statement'!$B$42</f>
        <v/>
      </c>
      <c r="E1098" s="18">
        <f>D1097/'Income Statement'!$B$42</f>
        <v/>
      </c>
      <c r="F1098" s="18">
        <f>E1097/'Income Statement'!$B$42</f>
        <v/>
      </c>
      <c r="G1098" s="18">
        <f>F1097/'Income Statement'!$B$42</f>
        <v/>
      </c>
    </row>
    <row r="1099">
      <c r="A1099" s="7" t="inlineStr">
        <is>
          <t>Fixed assets, net book, closing</t>
        </is>
      </c>
      <c r="C1099" s="18">
        <f>(Assumptions!$B$90+Assumptions!$B$92)/10^6+C1096-C1098</f>
        <v/>
      </c>
      <c r="D1099" s="18">
        <f>C1099+D1096-D1098</f>
        <v/>
      </c>
      <c r="E1099" s="18">
        <f>D1099+E1096-E1098</f>
        <v/>
      </c>
      <c r="F1099" s="18">
        <f>E1099+F1096-F1098</f>
        <v/>
      </c>
      <c r="G1099" s="18">
        <f>F1099+G1096-G1098</f>
        <v/>
      </c>
    </row>
    <row r="1100">
      <c r="A1100" s="15" t="inlineStr">
        <is>
          <t>EBIT</t>
        </is>
      </c>
      <c r="C1100" s="37">
        <f>C1095-C1098</f>
        <v/>
      </c>
      <c r="D1100" s="37">
        <f>D1095-D1098</f>
        <v/>
      </c>
      <c r="E1100" s="37">
        <f>E1095-E1098</f>
        <v/>
      </c>
      <c r="F1100" s="37">
        <f>F1095-F1098</f>
        <v/>
      </c>
      <c r="G1100" s="37">
        <f>G1095-G1098</f>
        <v/>
      </c>
    </row>
    <row r="1101">
      <c r="A1101" s="7" t="inlineStr">
        <is>
          <t>NOPAT before the profit share</t>
        </is>
      </c>
      <c r="C1101" s="18">
        <f>C1100*(1-Assumptions!$B$108)</f>
        <v/>
      </c>
      <c r="D1101" s="18">
        <f>D1100*(1-Assumptions!$B$108)</f>
        <v/>
      </c>
      <c r="E1101" s="18">
        <f>E1100*(1-Assumptions!$B$108)</f>
        <v/>
      </c>
      <c r="F1101" s="18">
        <f>F1100*(1-Assumptions!$B$108)</f>
        <v/>
      </c>
      <c r="G1101" s="18">
        <f>G1100*(1-Assumptions!$B$108)</f>
        <v/>
      </c>
    </row>
    <row r="1102">
      <c r="A1102" s="7" t="inlineStr">
        <is>
          <t xml:space="preserve">  less employees' profit share and board bonuses</t>
        </is>
      </c>
      <c r="C1102" s="18">
        <f>MAX(C1101,0)*'Income Statement'!$B$40</f>
        <v/>
      </c>
      <c r="D1102" s="18">
        <f>MAX(D1101,0)*'Income Statement'!$B$40</f>
        <v/>
      </c>
      <c r="E1102" s="18">
        <f>MAX(E1101,0)*'Income Statement'!$B$40</f>
        <v/>
      </c>
      <c r="F1102" s="18">
        <f>MAX(F1101,0)*'Income Statement'!$B$40</f>
        <v/>
      </c>
      <c r="G1102" s="18">
        <f>MAX(G1101,0)*'Income Statement'!$B$40</f>
        <v/>
      </c>
    </row>
    <row r="1103">
      <c r="A1103" s="15" t="inlineStr">
        <is>
          <t>NOPAT</t>
        </is>
      </c>
      <c r="C1103" s="37">
        <f>C1101-C1102</f>
        <v/>
      </c>
      <c r="D1103" s="37">
        <f>D1101-D1102</f>
        <v/>
      </c>
      <c r="E1103" s="37">
        <f>E1101-E1102</f>
        <v/>
      </c>
      <c r="F1103" s="37">
        <f>F1101-F1102</f>
        <v/>
      </c>
      <c r="G1103" s="37">
        <f>G1101-G1102</f>
        <v/>
      </c>
    </row>
    <row r="1104">
      <c r="A1104" s="7" t="inlineStr">
        <is>
          <t>Net working capital — on days</t>
        </is>
      </c>
      <c r="C1104" s="18">
        <f>'Income Statement'!$B$44*$E$35/365*C1091+'Income Statement'!$B$45*$E$35/365*C1090-'Income Statement'!$B$46*$E$35/365*C1091</f>
        <v/>
      </c>
      <c r="D1104" s="18">
        <f>'Income Statement'!$B$44*$E$35/365*D1091+'Income Statement'!$B$45*$E$35/365*D1090-'Income Statement'!$B$46*$E$35/365*D1091</f>
        <v/>
      </c>
      <c r="E1104" s="18">
        <f>'Income Statement'!$B$44*$E$35/365*E1091+'Income Statement'!$B$45*$E$35/365*E1090-'Income Statement'!$B$46*$E$35/365*E1091</f>
        <v/>
      </c>
      <c r="F1104" s="18">
        <f>'Income Statement'!$B$44*$E$35/365*F1091+'Income Statement'!$B$45*$E$35/365*F1090-'Income Statement'!$B$46*$E$35/365*F1091</f>
        <v/>
      </c>
      <c r="G1104" s="18">
        <f>'Income Statement'!$B$44*$E$35/365*G1091+'Income Statement'!$B$45*$E$35/365*G1090-'Income Statement'!$B$46*$E$35/365*G1091</f>
        <v/>
      </c>
    </row>
    <row r="1105">
      <c r="A1105" s="7" t="inlineStr">
        <is>
          <t xml:space="preserve">  change in working capital</t>
        </is>
      </c>
      <c r="C1105" s="18">
        <f>C1104-('Income Statement'!$B$44/365*'Income Statement'!$B$21+'Income Statement'!$B$45/365*'Income Statement'!$B$19-'Income Statement'!$B$46/365*'Income Statement'!$B$21)</f>
        <v/>
      </c>
      <c r="D1105" s="18">
        <f>D1104-C1104</f>
        <v/>
      </c>
      <c r="E1105" s="18">
        <f>E1104-D1104</f>
        <v/>
      </c>
      <c r="F1105" s="18">
        <f>F1104-E1104</f>
        <v/>
      </c>
      <c r="G1105" s="18">
        <f>G1104-F1104</f>
        <v/>
      </c>
    </row>
    <row r="1106">
      <c r="A1106" s="15" t="inlineStr">
        <is>
          <t>FREE CASH FLOW TO THE FIRM</t>
        </is>
      </c>
      <c r="C1106" s="37">
        <f>C1103+C1098-C1096-C1105</f>
        <v/>
      </c>
      <c r="D1106" s="37">
        <f>D1103+D1098-D1096-D1105</f>
        <v/>
      </c>
      <c r="E1106" s="37">
        <f>E1103+E1098-E1096-E1105</f>
        <v/>
      </c>
      <c r="F1106" s="37">
        <f>F1103+F1098-F1096-F1105</f>
        <v/>
      </c>
      <c r="G1106" s="37">
        <f>G1103+G1098-G1096-G1105</f>
        <v/>
      </c>
    </row>
    <row r="1107">
      <c r="A1107" s="7" t="inlineStr">
        <is>
          <t>Glide fraction</t>
        </is>
      </c>
      <c r="C1107" s="23">
        <f>0.0000000000</f>
        <v/>
      </c>
      <c r="D1107" s="23">
        <f>0.5166487648</f>
        <v/>
      </c>
      <c r="E1107" s="23">
        <f>0.7314715360</f>
        <v/>
      </c>
      <c r="F1107" s="23">
        <f>0.8925886144</f>
        <v/>
      </c>
      <c r="G1107" s="23">
        <f>1.0000000000</f>
        <v/>
      </c>
    </row>
    <row r="1108">
      <c r="A1108" s="7" t="inlineStr">
        <is>
          <t>Forward cost of capital</t>
        </is>
      </c>
      <c r="C1108" s="24">
        <f>DCF!$B$14-(DCF!$B$14-DCF!$B$17)*C1107</f>
        <v/>
      </c>
      <c r="D1108" s="24">
        <f>DCF!$B$14-(DCF!$B$14-DCF!$B$17)*D1107</f>
        <v/>
      </c>
      <c r="E1108" s="24">
        <f>DCF!$B$14-(DCF!$B$14-DCF!$B$17)*E1107</f>
        <v/>
      </c>
      <c r="F1108" s="24">
        <f>DCF!$B$14-(DCF!$B$14-DCF!$B$17)*F1107</f>
        <v/>
      </c>
      <c r="G1108" s="24">
        <f>DCF!$B$14-(DCF!$B$14-DCF!$B$17)*G1107</f>
        <v/>
      </c>
    </row>
    <row r="1109">
      <c r="A1109" s="7" t="inlineStr">
        <is>
          <t>Cumulative discount factor</t>
        </is>
      </c>
      <c r="C1109" s="40">
        <f>1/(1+C1108)</f>
        <v/>
      </c>
      <c r="D1109" s="40">
        <f>C1109/(1+D1108)</f>
        <v/>
      </c>
      <c r="E1109" s="40">
        <f>D1109/(1+E1108)</f>
        <v/>
      </c>
      <c r="F1109" s="40">
        <f>E1109/(1+F1108)</f>
        <v/>
      </c>
      <c r="G1109" s="40">
        <f>F1109/(1+G1108)</f>
        <v/>
      </c>
    </row>
    <row r="1110">
      <c r="A1110" s="7" t="inlineStr">
        <is>
          <t>Present value</t>
        </is>
      </c>
      <c r="C1110" s="18">
        <f>C1106*C1109</f>
        <v/>
      </c>
      <c r="D1110" s="18">
        <f>D1106*D1109</f>
        <v/>
      </c>
      <c r="E1110" s="18">
        <f>E1106*E1109</f>
        <v/>
      </c>
      <c r="F1110" s="18">
        <f>F1106*F1109</f>
        <v/>
      </c>
      <c r="G1110" s="18">
        <f>G1106*G1109</f>
        <v/>
      </c>
    </row>
    <row r="1111">
      <c r="A1111" s="15" t="inlineStr">
        <is>
          <t>PV of the explicit window</t>
        </is>
      </c>
      <c r="B1111" s="37">
        <f>SUM(C1110:G1110)</f>
        <v/>
      </c>
      <c r="C1111" s="18">
        <f>C1104+C1097</f>
        <v/>
      </c>
      <c r="D1111" s="18">
        <f>D1104+D1097</f>
        <v/>
      </c>
      <c r="E1111" s="18">
        <f>E1104+E1097</f>
        <v/>
      </c>
      <c r="F1111" s="18">
        <f>F1104+F1097</f>
        <v/>
      </c>
      <c r="G1111" s="18">
        <f>G1104+G1097</f>
        <v/>
      </c>
    </row>
    <row r="1112">
      <c r="A1112" s="7" t="inlineStr">
        <is>
          <t>Terminal return on invested capital, at REPLACEMENT cost</t>
        </is>
      </c>
      <c r="B1112" s="24">
        <f>G1103*(1+Assumptions!$B$110)/G1111</f>
        <v/>
      </c>
    </row>
    <row r="1113">
      <c r="A1113" s="7" t="inlineStr">
        <is>
          <t>Required reinvestment = growth / return</t>
        </is>
      </c>
      <c r="B1113" s="24">
        <f>MIN(Assumptions!$B$110/B1112,0.95)</f>
        <v/>
      </c>
    </row>
    <row r="1114">
      <c r="A1114" s="7" t="inlineStr">
        <is>
          <t>Terminal value</t>
        </is>
      </c>
      <c r="B1114" s="18">
        <f>G1103*(1+Assumptions!$B$110)*(1-B1113)/MAX(DCF!$B$17-Assumptions!$B$110,0.02)</f>
        <v/>
      </c>
    </row>
    <row r="1115">
      <c r="A1115" s="7" t="inlineStr">
        <is>
          <t>PV of the terminal block</t>
        </is>
      </c>
      <c r="B1115" s="18">
        <f>B1114*G1109</f>
        <v/>
      </c>
    </row>
    <row r="1116">
      <c r="A1116" s="15" t="inlineStr">
        <is>
          <t>ENTERPRISE VALUE</t>
        </is>
      </c>
      <c r="B1116" s="37">
        <f>B1111+B1115</f>
        <v/>
      </c>
    </row>
    <row r="1117">
      <c r="A1117" s="7" t="inlineStr">
        <is>
          <t>plus net cash</t>
        </is>
      </c>
      <c r="B1117" s="18">
        <f>(Assumptions!$B$100-Assumptions!$B$103-Assumptions!$B$104)/10^6</f>
        <v/>
      </c>
    </row>
    <row r="1118">
      <c r="A1118" s="7" t="inlineStr">
        <is>
          <t>Enterprise value including cash</t>
        </is>
      </c>
      <c r="B1118" s="18">
        <f>B1116+B1117</f>
        <v/>
      </c>
    </row>
    <row r="1119">
      <c r="A1119" s="7" t="inlineStr">
        <is>
          <t>less minority — on the WHOLE enterprise, cash included</t>
        </is>
      </c>
      <c r="B1119" s="18">
        <f>B1118*'Income Statement'!$B$41</f>
        <v/>
      </c>
    </row>
    <row r="1120">
      <c r="A1120" s="7" t="inlineStr">
        <is>
          <t>less the tax-disputes provision</t>
        </is>
      </c>
      <c r="B1120" s="18">
        <f>Assumptions!$B$99/10^6</f>
        <v/>
      </c>
    </row>
    <row r="1121">
      <c r="A1121" s="7" t="inlineStr">
        <is>
          <t>less dividends payable — declared, out of working capital</t>
        </is>
      </c>
      <c r="B1121" s="18">
        <f>Assumptions!$B$98/10^6</f>
        <v/>
      </c>
    </row>
    <row r="1122">
      <c r="A1122" s="7" t="inlineStr">
        <is>
          <t>plus non-operating investments and pledged deposits</t>
        </is>
      </c>
      <c r="B1122" s="18">
        <f>(Assumptions!$B$102+Assumptions!$B$101)/10^6</f>
        <v/>
      </c>
    </row>
    <row r="1123">
      <c r="A1123" s="15" t="inlineStr">
        <is>
          <t>EQUITY ATTRIBUTABLE</t>
        </is>
      </c>
      <c r="B1123" s="37">
        <f>B1118-B1119-B1120-B1121+B1122</f>
        <v/>
      </c>
    </row>
    <row r="1124">
      <c r="A1124" s="15" t="inlineStr">
        <is>
          <t>VALUE PER SHARE, EGP</t>
        </is>
      </c>
      <c r="B1124" s="22">
        <f>B1123/Assumptions!$B$8</f>
        <v/>
      </c>
    </row>
    <row r="1127">
      <c r="A1127" s="6" t="inlineStr">
        <is>
          <t>Working-capital cycle, as a multiple of the solved days — 1.00x</t>
        </is>
      </c>
      <c r="B1127" s="6" t="inlineStr">
        <is>
          <t>2026E</t>
        </is>
      </c>
      <c r="C1127" s="6" t="inlineStr">
        <is>
          <t>2027E</t>
        </is>
      </c>
      <c r="D1127" s="6" t="inlineStr">
        <is>
          <t>2028E</t>
        </is>
      </c>
      <c r="E1127" s="6" t="inlineStr">
        <is>
          <t>2029E</t>
        </is>
      </c>
      <c r="F1127" s="6" t="inlineStr">
        <is>
          <t>2030E</t>
        </is>
      </c>
    </row>
    <row r="1128">
      <c r="A1128" s="7" t="inlineStr">
        <is>
          <t>Inflation index, cumulative</t>
        </is>
      </c>
      <c r="C1128" s="23">
        <f>Assumptions!$B$167</f>
        <v/>
      </c>
      <c r="D1128" s="23">
        <f>C1128*Assumptions!$B$168</f>
        <v/>
      </c>
      <c r="E1128" s="23">
        <f>D1128*Assumptions!$B$169</f>
        <v/>
      </c>
      <c r="F1128" s="23">
        <f>E1128*Assumptions!$B$170</f>
        <v/>
      </c>
      <c r="G1128" s="23">
        <f>F1128*Assumptions!$B$171</f>
        <v/>
      </c>
    </row>
    <row r="1129">
      <c r="A1129" s="7" t="inlineStr">
        <is>
          <t>Realisation index, cumulative</t>
        </is>
      </c>
      <c r="C1129" s="23">
        <f>(1+Assumptions!$B$122*DCF!$B$8)</f>
        <v/>
      </c>
      <c r="D1129" s="23">
        <f>C1129*(1+Assumptions!$B$123*DCF!$B$8)</f>
        <v/>
      </c>
      <c r="E1129" s="23">
        <f>D1129*(1+Assumptions!$B$124*DCF!$B$8)</f>
        <v/>
      </c>
      <c r="F1129" s="23">
        <f>E1129*(1+Assumptions!$B$125*DCF!$B$8)</f>
        <v/>
      </c>
      <c r="G1129" s="23">
        <f>F1129*(1+Assumptions!$B$126*DCF!$B$8)</f>
        <v/>
      </c>
    </row>
    <row r="1130">
      <c r="A1130" s="7" t="inlineStr">
        <is>
          <t xml:space="preserve">  Volume — Base and special oils, mn t</t>
        </is>
      </c>
      <c r="C1130" s="23">
        <f>'Segments'!E6*(1+Assumptions!$B$127+DCF!$B$6)</f>
        <v/>
      </c>
      <c r="D1130" s="23">
        <f>C1130*(1+Assumptions!$B$128+DCF!$B$6)</f>
        <v/>
      </c>
      <c r="E1130" s="23">
        <f>D1130*(1+Assumptions!$B$129+DCF!$B$6)</f>
        <v/>
      </c>
      <c r="F1130" s="23">
        <f>E1130*(1+Assumptions!$B$130+DCF!$B$6)</f>
        <v/>
      </c>
      <c r="G1130" s="23">
        <f>F1130*(1+Assumptions!$B$131+DCF!$B$6)</f>
        <v/>
      </c>
    </row>
    <row r="1131">
      <c r="A1131" s="7" t="inlineStr">
        <is>
          <t xml:space="preserve">  Volume — Paraffin wax, mn t</t>
        </is>
      </c>
      <c r="C1131" s="23">
        <f>'Segments'!E7*(1+Assumptions!$B$132+DCF!$B$6)</f>
        <v/>
      </c>
      <c r="D1131" s="23">
        <f>C1131*(1+Assumptions!$B$133+DCF!$B$6)</f>
        <v/>
      </c>
      <c r="E1131" s="23">
        <f>D1131*(1+Assumptions!$B$134+DCF!$B$6)</f>
        <v/>
      </c>
      <c r="F1131" s="23">
        <f>E1131*(1+Assumptions!$B$135+DCF!$B$6)</f>
        <v/>
      </c>
      <c r="G1131" s="23">
        <f>F1131*(1+Assumptions!$B$136+DCF!$B$6)</f>
        <v/>
      </c>
    </row>
    <row r="1132">
      <c r="A1132" s="7" t="inlineStr">
        <is>
          <t xml:space="preserve">  Volume — Gas oil, mn t</t>
        </is>
      </c>
      <c r="C1132" s="23">
        <f>'Segments'!E8*(1+Assumptions!$B$137+DCF!$B$6)</f>
        <v/>
      </c>
      <c r="D1132" s="23">
        <f>C1132*(1+Assumptions!$B$138+DCF!$B$6)</f>
        <v/>
      </c>
      <c r="E1132" s="23">
        <f>D1132*(1+Assumptions!$B$139+DCF!$B$6)</f>
        <v/>
      </c>
      <c r="F1132" s="23">
        <f>E1132*(1+Assumptions!$B$140+DCF!$B$6)</f>
        <v/>
      </c>
      <c r="G1132" s="23">
        <f>F1132*(1+Assumptions!$B$141+DCF!$B$6)</f>
        <v/>
      </c>
    </row>
    <row r="1133">
      <c r="A1133" s="7" t="inlineStr">
        <is>
          <t xml:space="preserve">  Volume — Naphtha, mn t</t>
        </is>
      </c>
      <c r="C1133" s="23">
        <f>'Segments'!E9*(1+Assumptions!$B$142+DCF!$B$6)</f>
        <v/>
      </c>
      <c r="D1133" s="23">
        <f>C1133*(1+Assumptions!$B$143+DCF!$B$6)</f>
        <v/>
      </c>
      <c r="E1133" s="23">
        <f>D1133*(1+Assumptions!$B$144+DCF!$B$6)</f>
        <v/>
      </c>
      <c r="F1133" s="23">
        <f>E1133*(1+Assumptions!$B$145+DCF!$B$6)</f>
        <v/>
      </c>
      <c r="G1133" s="23">
        <f>F1133*(1+Assumptions!$B$146+DCF!$B$6)</f>
        <v/>
      </c>
    </row>
    <row r="1134">
      <c r="A1134" s="7" t="inlineStr">
        <is>
          <t xml:space="preserve">  Volume — Liquefied petroleum gas, mn t</t>
        </is>
      </c>
      <c r="C1134" s="23">
        <f>'Segments'!E10*(1+Assumptions!$B$147+DCF!$B$6)</f>
        <v/>
      </c>
      <c r="D1134" s="23">
        <f>C1134*(1+Assumptions!$B$148+DCF!$B$6)</f>
        <v/>
      </c>
      <c r="E1134" s="23">
        <f>D1134*(1+Assumptions!$B$149+DCF!$B$6)</f>
        <v/>
      </c>
      <c r="F1134" s="23">
        <f>E1134*(1+Assumptions!$B$150+DCF!$B$6)</f>
        <v/>
      </c>
      <c r="G1134" s="23">
        <f>F1134*(1+Assumptions!$B$151+DCF!$B$6)</f>
        <v/>
      </c>
    </row>
    <row r="1135">
      <c r="A1135" s="7" t="inlineStr">
        <is>
          <t xml:space="preserve">  Volume — Fuel oil (mix), mn t</t>
        </is>
      </c>
      <c r="C1135" s="23">
        <f>'Segments'!E11*(1+Assumptions!$B$152+DCF!$B$6)</f>
        <v/>
      </c>
      <c r="D1135" s="23">
        <f>C1135*(1+Assumptions!$B$153+DCF!$B$6)</f>
        <v/>
      </c>
      <c r="E1135" s="23">
        <f>D1135*(1+Assumptions!$B$154+DCF!$B$6)</f>
        <v/>
      </c>
      <c r="F1135" s="23">
        <f>E1135*(1+Assumptions!$B$155+DCF!$B$6)</f>
        <v/>
      </c>
      <c r="G1135" s="23">
        <f>F1135*(1+Assumptions!$B$156+DCF!$B$6)</f>
        <v/>
      </c>
    </row>
    <row r="1136">
      <c r="A1136" s="7" t="inlineStr">
        <is>
          <t xml:space="preserve">  Volume — Heavy fuel oil, mn t</t>
        </is>
      </c>
      <c r="C1136" s="23">
        <f>'Segments'!E12*(1+Assumptions!$B$157+DCF!$B$6)</f>
        <v/>
      </c>
      <c r="D1136" s="23">
        <f>C1136*(1+Assumptions!$B$158+DCF!$B$6)</f>
        <v/>
      </c>
      <c r="E1136" s="23">
        <f>D1136*(1+Assumptions!$B$159+DCF!$B$6)</f>
        <v/>
      </c>
      <c r="F1136" s="23">
        <f>E1136*(1+Assumptions!$B$160+DCF!$B$6)</f>
        <v/>
      </c>
      <c r="G1136" s="23">
        <f>F1136*(1+Assumptions!$B$161+DCF!$B$6)</f>
        <v/>
      </c>
    </row>
    <row r="1137">
      <c r="A1137" s="7" t="inlineStr">
        <is>
          <t xml:space="preserve">  Volume — Waste, mn t</t>
        </is>
      </c>
      <c r="C1137" s="23">
        <f>'Segments'!E13*(1+Assumptions!$B$162+DCF!$B$6)</f>
        <v/>
      </c>
      <c r="D1137" s="23">
        <f>C1137*(1+Assumptions!$B$163+DCF!$B$6)</f>
        <v/>
      </c>
      <c r="E1137" s="23">
        <f>D1137*(1+Assumptions!$B$164+DCF!$B$6)</f>
        <v/>
      </c>
      <c r="F1137" s="23">
        <f>E1137*(1+Assumptions!$B$165+DCF!$B$6)</f>
        <v/>
      </c>
      <c r="G1137" s="23">
        <f>F1137*(1+Assumptions!$B$166+DCF!$B$6)</f>
        <v/>
      </c>
    </row>
    <row r="1138">
      <c r="A1138" s="15" t="inlineStr">
        <is>
          <t>Total volume, mn t</t>
        </is>
      </c>
      <c r="C1138" s="36">
        <f>SUM(C1130:C1137)</f>
        <v/>
      </c>
      <c r="D1138" s="36">
        <f>SUM(D1130:D1137)</f>
        <v/>
      </c>
      <c r="E1138" s="36">
        <f>SUM(E1130:E1137)</f>
        <v/>
      </c>
      <c r="F1138" s="36">
        <f>SUM(F1130:F1137)</f>
        <v/>
      </c>
      <c r="G1138" s="36">
        <f>SUM(G1130:G1137)</f>
        <v/>
      </c>
    </row>
    <row r="1139">
      <c r="A1139" s="15" t="inlineStr">
        <is>
          <t>REVENUE</t>
        </is>
      </c>
      <c r="C1139" s="37">
        <f>C1130*'Segments'!$F$6*C1129+C1131*'Segments'!$F$7*C1129+C1132*'Segments'!$F$8*C1129+C1133*'Segments'!$F$9*C1129+C1134*'Segments'!$F$10*C1129+C1135*'Segments'!$F$11*C1129+C1136*'Segments'!$F$12*C1129+C1137*'Segments'!$F$13*C1129</f>
        <v/>
      </c>
      <c r="D1139" s="37">
        <f>D1130*'Segments'!$F$6*D1129+D1131*'Segments'!$F$7*D1129+D1132*'Segments'!$F$8*D1129+D1133*'Segments'!$F$9*D1129+D1134*'Segments'!$F$10*D1129+D1135*'Segments'!$F$11*D1129+D1136*'Segments'!$F$12*D1129+D1137*'Segments'!$F$13*D1129</f>
        <v/>
      </c>
      <c r="E1139" s="37">
        <f>E1130*'Segments'!$F$6*E1129+E1131*'Segments'!$F$7*E1129+E1132*'Segments'!$F$8*E1129+E1133*'Segments'!$F$9*E1129+E1134*'Segments'!$F$10*E1129+E1135*'Segments'!$F$11*E1129+E1136*'Segments'!$F$12*E1129+E1137*'Segments'!$F$13*E1129</f>
        <v/>
      </c>
      <c r="F1139" s="37">
        <f>F1130*'Segments'!$F$6*F1129+F1131*'Segments'!$F$7*F1129+F1132*'Segments'!$F$8*F1129+F1133*'Segments'!$F$9*F1129+F1134*'Segments'!$F$10*F1129+F1135*'Segments'!$F$11*F1129+F1136*'Segments'!$F$12*F1129+F1137*'Segments'!$F$13*F1129</f>
        <v/>
      </c>
      <c r="G1139" s="37">
        <f>G1130*'Segments'!$F$6*G1129+G1131*'Segments'!$F$7*G1129+G1132*'Segments'!$F$8*G1129+G1133*'Segments'!$F$9*G1129+G1134*'Segments'!$F$10*G1129+G1135*'Segments'!$F$11*G1129+G1136*'Segments'!$F$12*G1129+G1137*'Segments'!$F$13*G1129</f>
        <v/>
      </c>
    </row>
    <row r="1140">
      <c r="A1140" s="7" t="inlineStr">
        <is>
          <t>Cost of sales</t>
        </is>
      </c>
      <c r="C1140" s="18">
        <f>C1130*('Segments'!$D$27*C1129*Assumptions!$B$109+'Segments'!$B$27*(0.4983251709*C1129+0.4357405005*C1129+0.0330936548*C1129+0.0328406739))+C1131*('Segments'!$D$28*C1129*Assumptions!$B$109+'Segments'!$B$28*(0.4983251709*C1129+0.4357405005*C1129+0.0330936548*C1129+0.0328406739))+C1132*('Segments'!$D$29*C1129*Assumptions!$B$109+'Segments'!$B$29*(0.4983251709*C1129+0.4357405005*C1129+0.0330936548*C1129+0.0328406739))+C1133*('Segments'!$D$30*C1129*Assumptions!$B$109+'Segments'!$B$30*(0.4983251709*C1129+0.4357405005*C1129+0.0330936548*C1129+0.0328406739))+C1134*('Segments'!$D$31*C1129*Assumptions!$B$109+'Segments'!$B$31*(0.4983251709*C1129+0.4357405005*C1129+0.0330936548*C1129+0.0328406739))+C1135*('Segments'!$D$32*C1129*Assumptions!$B$109+'Segments'!$B$32*(0.4983251709*C1129+0.4357405005*C1129+0.0330936548*C1129+0.0328406739))+C1136*('Segments'!$D$33*C1129*Assumptions!$B$109+'Segments'!$B$33*(0.4983251709*C1129+0.4357405005*C1129+0.0330936548*C1129+0.0328406739))+C1137*('Segments'!$D$34*C1129*Assumptions!$B$109+'Segments'!$B$34*(0.4983251709*C1129+0.4357405005*C1129+0.0330936548*C1129+0.0328406739))</f>
        <v/>
      </c>
      <c r="D1140" s="18">
        <f>D1130*('Segments'!$D$27*D1129*Assumptions!$B$109+'Segments'!$B$27*(0.4983251709*D1129+0.4357405005*D1129+0.0330936548*D1129+0.0328406739))+D1131*('Segments'!$D$28*D1129*Assumptions!$B$109+'Segments'!$B$28*(0.4983251709*D1129+0.4357405005*D1129+0.0330936548*D1129+0.0328406739))+D1132*('Segments'!$D$29*D1129*Assumptions!$B$109+'Segments'!$B$29*(0.4983251709*D1129+0.4357405005*D1129+0.0330936548*D1129+0.0328406739))+D1133*('Segments'!$D$30*D1129*Assumptions!$B$109+'Segments'!$B$30*(0.4983251709*D1129+0.4357405005*D1129+0.0330936548*D1129+0.0328406739))+D1134*('Segments'!$D$31*D1129*Assumptions!$B$109+'Segments'!$B$31*(0.4983251709*D1129+0.4357405005*D1129+0.0330936548*D1129+0.0328406739))+D1135*('Segments'!$D$32*D1129*Assumptions!$B$109+'Segments'!$B$32*(0.4983251709*D1129+0.4357405005*D1129+0.0330936548*D1129+0.0328406739))+D1136*('Segments'!$D$33*D1129*Assumptions!$B$109+'Segments'!$B$33*(0.4983251709*D1129+0.4357405005*D1129+0.0330936548*D1129+0.0328406739))+D1137*('Segments'!$D$34*D1129*Assumptions!$B$109+'Segments'!$B$34*(0.4983251709*D1129+0.4357405005*D1129+0.0330936548*D1129+0.0328406739))</f>
        <v/>
      </c>
      <c r="E1140" s="18">
        <f>E1130*('Segments'!$D$27*E1129*Assumptions!$B$109+'Segments'!$B$27*(0.4983251709*E1129+0.4357405005*E1129+0.0330936548*E1129+0.0328406739))+E1131*('Segments'!$D$28*E1129*Assumptions!$B$109+'Segments'!$B$28*(0.4983251709*E1129+0.4357405005*E1129+0.0330936548*E1129+0.0328406739))+E1132*('Segments'!$D$29*E1129*Assumptions!$B$109+'Segments'!$B$29*(0.4983251709*E1129+0.4357405005*E1129+0.0330936548*E1129+0.0328406739))+E1133*('Segments'!$D$30*E1129*Assumptions!$B$109+'Segments'!$B$30*(0.4983251709*E1129+0.4357405005*E1129+0.0330936548*E1129+0.0328406739))+E1134*('Segments'!$D$31*E1129*Assumptions!$B$109+'Segments'!$B$31*(0.4983251709*E1129+0.4357405005*E1129+0.0330936548*E1129+0.0328406739))+E1135*('Segments'!$D$32*E1129*Assumptions!$B$109+'Segments'!$B$32*(0.4983251709*E1129+0.4357405005*E1129+0.0330936548*E1129+0.0328406739))+E1136*('Segments'!$D$33*E1129*Assumptions!$B$109+'Segments'!$B$33*(0.4983251709*E1129+0.4357405005*E1129+0.0330936548*E1129+0.0328406739))+E1137*('Segments'!$D$34*E1129*Assumptions!$B$109+'Segments'!$B$34*(0.4983251709*E1129+0.4357405005*E1129+0.0330936548*E1129+0.0328406739))</f>
        <v/>
      </c>
      <c r="F1140" s="18">
        <f>F1130*('Segments'!$D$27*F1129*Assumptions!$B$109+'Segments'!$B$27*(0.4983251709*F1129+0.4357405005*F1129+0.0330936548*F1129+0.0328406739))+F1131*('Segments'!$D$28*F1129*Assumptions!$B$109+'Segments'!$B$28*(0.4983251709*F1129+0.4357405005*F1129+0.0330936548*F1129+0.0328406739))+F1132*('Segments'!$D$29*F1129*Assumptions!$B$109+'Segments'!$B$29*(0.4983251709*F1129+0.4357405005*F1129+0.0330936548*F1129+0.0328406739))+F1133*('Segments'!$D$30*F1129*Assumptions!$B$109+'Segments'!$B$30*(0.4983251709*F1129+0.4357405005*F1129+0.0330936548*F1129+0.0328406739))+F1134*('Segments'!$D$31*F1129*Assumptions!$B$109+'Segments'!$B$31*(0.4983251709*F1129+0.4357405005*F1129+0.0330936548*F1129+0.0328406739))+F1135*('Segments'!$D$32*F1129*Assumptions!$B$109+'Segments'!$B$32*(0.4983251709*F1129+0.4357405005*F1129+0.0330936548*F1129+0.0328406739))+F1136*('Segments'!$D$33*F1129*Assumptions!$B$109+'Segments'!$B$33*(0.4983251709*F1129+0.4357405005*F1129+0.0330936548*F1129+0.0328406739))+F1137*('Segments'!$D$34*F1129*Assumptions!$B$109+'Segments'!$B$34*(0.4983251709*F1129+0.4357405005*F1129+0.0330936548*F1129+0.0328406739))</f>
        <v/>
      </c>
      <c r="G1140" s="18">
        <f>G1130*('Segments'!$D$27*G1129*Assumptions!$B$109+'Segments'!$B$27*(0.4983251709*G1129+0.4357405005*G1129+0.0330936548*G1129+0.0328406739))+G1131*('Segments'!$D$28*G1129*Assumptions!$B$109+'Segments'!$B$28*(0.4983251709*G1129+0.4357405005*G1129+0.0330936548*G1129+0.0328406739))+G1132*('Segments'!$D$29*G1129*Assumptions!$B$109+'Segments'!$B$29*(0.4983251709*G1129+0.4357405005*G1129+0.0330936548*G1129+0.0328406739))+G1133*('Segments'!$D$30*G1129*Assumptions!$B$109+'Segments'!$B$30*(0.4983251709*G1129+0.4357405005*G1129+0.0330936548*G1129+0.0328406739))+G1134*('Segments'!$D$31*G1129*Assumptions!$B$109+'Segments'!$B$31*(0.4983251709*G1129+0.4357405005*G1129+0.0330936548*G1129+0.0328406739))+G1135*('Segments'!$D$32*G1129*Assumptions!$B$109+'Segments'!$B$32*(0.4983251709*G1129+0.4357405005*G1129+0.0330936548*G1129+0.0328406739))+G1136*('Segments'!$D$33*G1129*Assumptions!$B$109+'Segments'!$B$33*(0.4983251709*G1129+0.4357405005*G1129+0.0330936548*G1129+0.0328406739))+G1137*('Segments'!$D$34*G1129*Assumptions!$B$109+'Segments'!$B$34*(0.4983251709*G1129+0.4357405005*G1129+0.0330936548*G1129+0.0328406739))</f>
        <v/>
      </c>
    </row>
    <row r="1141">
      <c r="A1141" s="15" t="inlineStr">
        <is>
          <t>GROSS PROFIT</t>
        </is>
      </c>
      <c r="C1141" s="37">
        <f>C1139-C1140+DCF!$B$7*C1139</f>
        <v/>
      </c>
      <c r="D1141" s="37">
        <f>D1139-D1140+DCF!$B$7*D1139</f>
        <v/>
      </c>
      <c r="E1141" s="37">
        <f>E1139-E1140+DCF!$B$7*E1139</f>
        <v/>
      </c>
      <c r="F1141" s="37">
        <f>F1139-F1140+DCF!$B$7*F1139</f>
        <v/>
      </c>
      <c r="G1141" s="37">
        <f>G1139-G1140+DCF!$B$7*G1139</f>
        <v/>
      </c>
    </row>
    <row r="1142">
      <c r="A1142" s="7" t="inlineStr">
        <is>
          <t>Gross margin</t>
        </is>
      </c>
      <c r="C1142" s="24">
        <f>C1141/C1139</f>
        <v/>
      </c>
      <c r="D1142" s="24">
        <f>D1141/D1139</f>
        <v/>
      </c>
      <c r="E1142" s="24">
        <f>E1141/E1139</f>
        <v/>
      </c>
      <c r="F1142" s="24">
        <f>F1141/F1139</f>
        <v/>
      </c>
      <c r="G1142" s="24">
        <f>G1141/G1139</f>
        <v/>
      </c>
    </row>
    <row r="1143">
      <c r="A1143" s="7" t="inlineStr">
        <is>
          <t>Operating expense</t>
        </is>
      </c>
      <c r="C1143" s="18">
        <f>('Income Statement'!$B$28*C1128)+('Income Statement'!$B$29*C1128*C1138/'Segments'!$E$14)+('Income Statement'!$B$30*C1128)+('Income Statement'!$B$31*C1128)</f>
        <v/>
      </c>
      <c r="D1143" s="18">
        <f>('Income Statement'!$B$28*D1128)+('Income Statement'!$B$29*D1128*D1138/'Segments'!$E$14)+('Income Statement'!$B$30*D1128)+('Income Statement'!$B$31*D1128)</f>
        <v/>
      </c>
      <c r="E1143" s="18">
        <f>('Income Statement'!$B$28*E1128)+('Income Statement'!$B$29*E1128*E1138/'Segments'!$E$14)+('Income Statement'!$B$30*E1128)+('Income Statement'!$B$31*E1128)</f>
        <v/>
      </c>
      <c r="F1143" s="18">
        <f>('Income Statement'!$B$28*F1128)+('Income Statement'!$B$29*F1128*F1138/'Segments'!$E$14)+('Income Statement'!$B$30*F1128)+('Income Statement'!$B$31*F1128)</f>
        <v/>
      </c>
      <c r="G1143" s="18">
        <f>('Income Statement'!$B$28*G1128)+('Income Statement'!$B$29*G1128*G1138/'Segments'!$E$14)+('Income Statement'!$B$30*G1128)+('Income Statement'!$B$31*G1128)</f>
        <v/>
      </c>
    </row>
    <row r="1144">
      <c r="A1144" s="15" t="inlineStr">
        <is>
          <t>EBITDA</t>
        </is>
      </c>
      <c r="C1144" s="37">
        <f>C1141-C1143</f>
        <v/>
      </c>
      <c r="D1144" s="37">
        <f>D1141-D1143</f>
        <v/>
      </c>
      <c r="E1144" s="37">
        <f>E1141-E1143</f>
        <v/>
      </c>
      <c r="F1144" s="37">
        <f>F1141-F1143</f>
        <v/>
      </c>
      <c r="G1144" s="37">
        <f>G1141-G1143</f>
        <v/>
      </c>
    </row>
    <row r="1145">
      <c r="A1145" s="7" t="inlineStr">
        <is>
          <t>Capital expenditure — maintenance + growth</t>
        </is>
      </c>
      <c r="C1145" s="18">
        <f>'Income Statement'!$B$43*C1128+MAX(C1138-'Segments'!$E$14,0)*2100.379938*C1128</f>
        <v/>
      </c>
      <c r="D1145" s="18">
        <f>'Income Statement'!$B$43*D1128+MAX(D1138-C1138,0)*2100.379938*D1128</f>
        <v/>
      </c>
      <c r="E1145" s="18">
        <f>'Income Statement'!$B$43*E1128+MAX(E1138-D1138,0)*2100.379938*E1128</f>
        <v/>
      </c>
      <c r="F1145" s="18">
        <f>'Income Statement'!$B$43*F1128+MAX(F1138-E1138,0)*2100.379938*F1128</f>
        <v/>
      </c>
      <c r="G1145" s="18">
        <f>'Income Statement'!$B$43*G1128+MAX(G1138-F1138,0)*2100.379938*G1128</f>
        <v/>
      </c>
    </row>
    <row r="1146">
      <c r="A1146" s="7" t="inlineStr">
        <is>
          <t>Fixed assets at cost, closing</t>
        </is>
      </c>
      <c r="C1146" s="18">
        <f>(Assumptions!$B$91+Assumptions!$B$92)/10^6+C1145</f>
        <v/>
      </c>
      <c r="D1146" s="18">
        <f>C1146+D1145</f>
        <v/>
      </c>
      <c r="E1146" s="18">
        <f>D1146+E1145</f>
        <v/>
      </c>
      <c r="F1146" s="18">
        <f>E1146+F1145</f>
        <v/>
      </c>
      <c r="G1146" s="18">
        <f>F1146+G1145</f>
        <v/>
      </c>
    </row>
    <row r="1147">
      <c r="A1147" s="7" t="inlineStr">
        <is>
          <t>Depreciation — rolls off the asset register</t>
        </is>
      </c>
      <c r="C1147" s="18">
        <f>(Assumptions!$B$91+Assumptions!$B$92)/10^6/'Income Statement'!$B$42</f>
        <v/>
      </c>
      <c r="D1147" s="18">
        <f>C1146/'Income Statement'!$B$42</f>
        <v/>
      </c>
      <c r="E1147" s="18">
        <f>D1146/'Income Statement'!$B$42</f>
        <v/>
      </c>
      <c r="F1147" s="18">
        <f>E1146/'Income Statement'!$B$42</f>
        <v/>
      </c>
      <c r="G1147" s="18">
        <f>F1146/'Income Statement'!$B$42</f>
        <v/>
      </c>
    </row>
    <row r="1148">
      <c r="A1148" s="7" t="inlineStr">
        <is>
          <t>Fixed assets, net book, closing</t>
        </is>
      </c>
      <c r="C1148" s="18">
        <f>(Assumptions!$B$90+Assumptions!$B$92)/10^6+C1145-C1147</f>
        <v/>
      </c>
      <c r="D1148" s="18">
        <f>C1148+D1145-D1147</f>
        <v/>
      </c>
      <c r="E1148" s="18">
        <f>D1148+E1145-E1147</f>
        <v/>
      </c>
      <c r="F1148" s="18">
        <f>E1148+F1145-F1147</f>
        <v/>
      </c>
      <c r="G1148" s="18">
        <f>F1148+G1145-G1147</f>
        <v/>
      </c>
    </row>
    <row r="1149">
      <c r="A1149" s="15" t="inlineStr">
        <is>
          <t>EBIT</t>
        </is>
      </c>
      <c r="C1149" s="37">
        <f>C1144-C1147</f>
        <v/>
      </c>
      <c r="D1149" s="37">
        <f>D1144-D1147</f>
        <v/>
      </c>
      <c r="E1149" s="37">
        <f>E1144-E1147</f>
        <v/>
      </c>
      <c r="F1149" s="37">
        <f>F1144-F1147</f>
        <v/>
      </c>
      <c r="G1149" s="37">
        <f>G1144-G1147</f>
        <v/>
      </c>
    </row>
    <row r="1150">
      <c r="A1150" s="7" t="inlineStr">
        <is>
          <t>NOPAT before the profit share</t>
        </is>
      </c>
      <c r="C1150" s="18">
        <f>C1149*(1-Assumptions!$B$108)</f>
        <v/>
      </c>
      <c r="D1150" s="18">
        <f>D1149*(1-Assumptions!$B$108)</f>
        <v/>
      </c>
      <c r="E1150" s="18">
        <f>E1149*(1-Assumptions!$B$108)</f>
        <v/>
      </c>
      <c r="F1150" s="18">
        <f>F1149*(1-Assumptions!$B$108)</f>
        <v/>
      </c>
      <c r="G1150" s="18">
        <f>G1149*(1-Assumptions!$B$108)</f>
        <v/>
      </c>
    </row>
    <row r="1151">
      <c r="A1151" s="7" t="inlineStr">
        <is>
          <t xml:space="preserve">  less employees' profit share and board bonuses</t>
        </is>
      </c>
      <c r="C1151" s="18">
        <f>MAX(C1150,0)*'Income Statement'!$B$40</f>
        <v/>
      </c>
      <c r="D1151" s="18">
        <f>MAX(D1150,0)*'Income Statement'!$B$40</f>
        <v/>
      </c>
      <c r="E1151" s="18">
        <f>MAX(E1150,0)*'Income Statement'!$B$40</f>
        <v/>
      </c>
      <c r="F1151" s="18">
        <f>MAX(F1150,0)*'Income Statement'!$B$40</f>
        <v/>
      </c>
      <c r="G1151" s="18">
        <f>MAX(G1150,0)*'Income Statement'!$B$40</f>
        <v/>
      </c>
    </row>
    <row r="1152">
      <c r="A1152" s="15" t="inlineStr">
        <is>
          <t>NOPAT</t>
        </is>
      </c>
      <c r="C1152" s="37">
        <f>C1150-C1151</f>
        <v/>
      </c>
      <c r="D1152" s="37">
        <f>D1150-D1151</f>
        <v/>
      </c>
      <c r="E1152" s="37">
        <f>E1150-E1151</f>
        <v/>
      </c>
      <c r="F1152" s="37">
        <f>F1150-F1151</f>
        <v/>
      </c>
      <c r="G1152" s="37">
        <f>G1150-G1151</f>
        <v/>
      </c>
    </row>
    <row r="1153">
      <c r="A1153" s="7" t="inlineStr">
        <is>
          <t>Net working capital — on days</t>
        </is>
      </c>
      <c r="C1153" s="18">
        <f>'Income Statement'!$B$44*$E$36/365*C1140+'Income Statement'!$B$45*$E$36/365*C1139-'Income Statement'!$B$46*$E$36/365*C1140</f>
        <v/>
      </c>
      <c r="D1153" s="18">
        <f>'Income Statement'!$B$44*$E$36/365*D1140+'Income Statement'!$B$45*$E$36/365*D1139-'Income Statement'!$B$46*$E$36/365*D1140</f>
        <v/>
      </c>
      <c r="E1153" s="18">
        <f>'Income Statement'!$B$44*$E$36/365*E1140+'Income Statement'!$B$45*$E$36/365*E1139-'Income Statement'!$B$46*$E$36/365*E1140</f>
        <v/>
      </c>
      <c r="F1153" s="18">
        <f>'Income Statement'!$B$44*$E$36/365*F1140+'Income Statement'!$B$45*$E$36/365*F1139-'Income Statement'!$B$46*$E$36/365*F1140</f>
        <v/>
      </c>
      <c r="G1153" s="18">
        <f>'Income Statement'!$B$44*$E$36/365*G1140+'Income Statement'!$B$45*$E$36/365*G1139-'Income Statement'!$B$46*$E$36/365*G1140</f>
        <v/>
      </c>
    </row>
    <row r="1154">
      <c r="A1154" s="7" t="inlineStr">
        <is>
          <t xml:space="preserve">  change in working capital</t>
        </is>
      </c>
      <c r="C1154" s="18">
        <f>C1153-('Income Statement'!$B$44/365*'Income Statement'!$B$21+'Income Statement'!$B$45/365*'Income Statement'!$B$19-'Income Statement'!$B$46/365*'Income Statement'!$B$21)</f>
        <v/>
      </c>
      <c r="D1154" s="18">
        <f>D1153-C1153</f>
        <v/>
      </c>
      <c r="E1154" s="18">
        <f>E1153-D1153</f>
        <v/>
      </c>
      <c r="F1154" s="18">
        <f>F1153-E1153</f>
        <v/>
      </c>
      <c r="G1154" s="18">
        <f>G1153-F1153</f>
        <v/>
      </c>
    </row>
    <row r="1155">
      <c r="A1155" s="15" t="inlineStr">
        <is>
          <t>FREE CASH FLOW TO THE FIRM</t>
        </is>
      </c>
      <c r="C1155" s="37">
        <f>C1152+C1147-C1145-C1154</f>
        <v/>
      </c>
      <c r="D1155" s="37">
        <f>D1152+D1147-D1145-D1154</f>
        <v/>
      </c>
      <c r="E1155" s="37">
        <f>E1152+E1147-E1145-E1154</f>
        <v/>
      </c>
      <c r="F1155" s="37">
        <f>F1152+F1147-F1145-F1154</f>
        <v/>
      </c>
      <c r="G1155" s="37">
        <f>G1152+G1147-G1145-G1154</f>
        <v/>
      </c>
    </row>
    <row r="1156">
      <c r="A1156" s="7" t="inlineStr">
        <is>
          <t>Glide fraction</t>
        </is>
      </c>
      <c r="C1156" s="23">
        <f>0.0000000000</f>
        <v/>
      </c>
      <c r="D1156" s="23">
        <f>0.5166487648</f>
        <v/>
      </c>
      <c r="E1156" s="23">
        <f>0.7314715360</f>
        <v/>
      </c>
      <c r="F1156" s="23">
        <f>0.8925886144</f>
        <v/>
      </c>
      <c r="G1156" s="23">
        <f>1.0000000000</f>
        <v/>
      </c>
    </row>
    <row r="1157">
      <c r="A1157" s="7" t="inlineStr">
        <is>
          <t>Forward cost of capital</t>
        </is>
      </c>
      <c r="C1157" s="24">
        <f>DCF!$B$14-(DCF!$B$14-DCF!$B$17)*C1156</f>
        <v/>
      </c>
      <c r="D1157" s="24">
        <f>DCF!$B$14-(DCF!$B$14-DCF!$B$17)*D1156</f>
        <v/>
      </c>
      <c r="E1157" s="24">
        <f>DCF!$B$14-(DCF!$B$14-DCF!$B$17)*E1156</f>
        <v/>
      </c>
      <c r="F1157" s="24">
        <f>DCF!$B$14-(DCF!$B$14-DCF!$B$17)*F1156</f>
        <v/>
      </c>
      <c r="G1157" s="24">
        <f>DCF!$B$14-(DCF!$B$14-DCF!$B$17)*G1156</f>
        <v/>
      </c>
    </row>
    <row r="1158">
      <c r="A1158" s="7" t="inlineStr">
        <is>
          <t>Cumulative discount factor</t>
        </is>
      </c>
      <c r="C1158" s="40">
        <f>1/(1+C1157)</f>
        <v/>
      </c>
      <c r="D1158" s="40">
        <f>C1158/(1+D1157)</f>
        <v/>
      </c>
      <c r="E1158" s="40">
        <f>D1158/(1+E1157)</f>
        <v/>
      </c>
      <c r="F1158" s="40">
        <f>E1158/(1+F1157)</f>
        <v/>
      </c>
      <c r="G1158" s="40">
        <f>F1158/(1+G1157)</f>
        <v/>
      </c>
    </row>
    <row r="1159">
      <c r="A1159" s="7" t="inlineStr">
        <is>
          <t>Present value</t>
        </is>
      </c>
      <c r="C1159" s="18">
        <f>C1155*C1158</f>
        <v/>
      </c>
      <c r="D1159" s="18">
        <f>D1155*D1158</f>
        <v/>
      </c>
      <c r="E1159" s="18">
        <f>E1155*E1158</f>
        <v/>
      </c>
      <c r="F1159" s="18">
        <f>F1155*F1158</f>
        <v/>
      </c>
      <c r="G1159" s="18">
        <f>G1155*G1158</f>
        <v/>
      </c>
    </row>
    <row r="1160">
      <c r="A1160" s="15" t="inlineStr">
        <is>
          <t>PV of the explicit window</t>
        </is>
      </c>
      <c r="B1160" s="37">
        <f>SUM(C1159:G1159)</f>
        <v/>
      </c>
      <c r="C1160" s="18">
        <f>C1153+C1146</f>
        <v/>
      </c>
      <c r="D1160" s="18">
        <f>D1153+D1146</f>
        <v/>
      </c>
      <c r="E1160" s="18">
        <f>E1153+E1146</f>
        <v/>
      </c>
      <c r="F1160" s="18">
        <f>F1153+F1146</f>
        <v/>
      </c>
      <c r="G1160" s="18">
        <f>G1153+G1146</f>
        <v/>
      </c>
    </row>
    <row r="1161">
      <c r="A1161" s="7" t="inlineStr">
        <is>
          <t>Terminal return on invested capital, at REPLACEMENT cost</t>
        </is>
      </c>
      <c r="B1161" s="24">
        <f>G1152*(1+Assumptions!$B$110)/G1160</f>
        <v/>
      </c>
    </row>
    <row r="1162">
      <c r="A1162" s="7" t="inlineStr">
        <is>
          <t>Required reinvestment = growth / return</t>
        </is>
      </c>
      <c r="B1162" s="24">
        <f>MIN(Assumptions!$B$110/B1161,0.95)</f>
        <v/>
      </c>
    </row>
    <row r="1163">
      <c r="A1163" s="7" t="inlineStr">
        <is>
          <t>Terminal value</t>
        </is>
      </c>
      <c r="B1163" s="18">
        <f>G1152*(1+Assumptions!$B$110)*(1-B1162)/MAX(DCF!$B$17-Assumptions!$B$110,0.02)</f>
        <v/>
      </c>
    </row>
    <row r="1164">
      <c r="A1164" s="7" t="inlineStr">
        <is>
          <t>PV of the terminal block</t>
        </is>
      </c>
      <c r="B1164" s="18">
        <f>B1163*G1158</f>
        <v/>
      </c>
    </row>
    <row r="1165">
      <c r="A1165" s="15" t="inlineStr">
        <is>
          <t>ENTERPRISE VALUE</t>
        </is>
      </c>
      <c r="B1165" s="37">
        <f>B1160+B1164</f>
        <v/>
      </c>
    </row>
    <row r="1166">
      <c r="A1166" s="7" t="inlineStr">
        <is>
          <t>plus net cash</t>
        </is>
      </c>
      <c r="B1166" s="18">
        <f>(Assumptions!$B$100-Assumptions!$B$103-Assumptions!$B$104)/10^6</f>
        <v/>
      </c>
    </row>
    <row r="1167">
      <c r="A1167" s="7" t="inlineStr">
        <is>
          <t>Enterprise value including cash</t>
        </is>
      </c>
      <c r="B1167" s="18">
        <f>B1165+B1166</f>
        <v/>
      </c>
    </row>
    <row r="1168">
      <c r="A1168" s="7" t="inlineStr">
        <is>
          <t>less minority — on the WHOLE enterprise, cash included</t>
        </is>
      </c>
      <c r="B1168" s="18">
        <f>B1167*'Income Statement'!$B$41</f>
        <v/>
      </c>
    </row>
    <row r="1169">
      <c r="A1169" s="7" t="inlineStr">
        <is>
          <t>less the tax-disputes provision</t>
        </is>
      </c>
      <c r="B1169" s="18">
        <f>Assumptions!$B$99/10^6</f>
        <v/>
      </c>
    </row>
    <row r="1170">
      <c r="A1170" s="7" t="inlineStr">
        <is>
          <t>less dividends payable — declared, out of working capital</t>
        </is>
      </c>
      <c r="B1170" s="18">
        <f>Assumptions!$B$98/10^6</f>
        <v/>
      </c>
    </row>
    <row r="1171">
      <c r="A1171" s="7" t="inlineStr">
        <is>
          <t>plus non-operating investments and pledged deposits</t>
        </is>
      </c>
      <c r="B1171" s="18">
        <f>(Assumptions!$B$102+Assumptions!$B$101)/10^6</f>
        <v/>
      </c>
    </row>
    <row r="1172">
      <c r="A1172" s="15" t="inlineStr">
        <is>
          <t>EQUITY ATTRIBUTABLE</t>
        </is>
      </c>
      <c r="B1172" s="37">
        <f>B1167-B1168-B1169-B1170+B1171</f>
        <v/>
      </c>
    </row>
    <row r="1173">
      <c r="A1173" s="15" t="inlineStr">
        <is>
          <t>VALUE PER SHARE, EGP</t>
        </is>
      </c>
      <c r="B1173" s="22">
        <f>B1172/Assumptions!$B$8</f>
        <v/>
      </c>
    </row>
    <row r="1176">
      <c r="A1176" s="6" t="inlineStr">
        <is>
          <t>Working-capital cycle, as a multiple of the solved days — 1.25x</t>
        </is>
      </c>
      <c r="B1176" s="6" t="inlineStr">
        <is>
          <t>2026E</t>
        </is>
      </c>
      <c r="C1176" s="6" t="inlineStr">
        <is>
          <t>2027E</t>
        </is>
      </c>
      <c r="D1176" s="6" t="inlineStr">
        <is>
          <t>2028E</t>
        </is>
      </c>
      <c r="E1176" s="6" t="inlineStr">
        <is>
          <t>2029E</t>
        </is>
      </c>
      <c r="F1176" s="6" t="inlineStr">
        <is>
          <t>2030E</t>
        </is>
      </c>
    </row>
    <row r="1177">
      <c r="A1177" s="7" t="inlineStr">
        <is>
          <t>Inflation index, cumulative</t>
        </is>
      </c>
      <c r="C1177" s="23">
        <f>Assumptions!$B$167</f>
        <v/>
      </c>
      <c r="D1177" s="23">
        <f>C1177*Assumptions!$B$168</f>
        <v/>
      </c>
      <c r="E1177" s="23">
        <f>D1177*Assumptions!$B$169</f>
        <v/>
      </c>
      <c r="F1177" s="23">
        <f>E1177*Assumptions!$B$170</f>
        <v/>
      </c>
      <c r="G1177" s="23">
        <f>F1177*Assumptions!$B$171</f>
        <v/>
      </c>
    </row>
    <row r="1178">
      <c r="A1178" s="7" t="inlineStr">
        <is>
          <t>Realisation index, cumulative</t>
        </is>
      </c>
      <c r="C1178" s="23">
        <f>(1+Assumptions!$B$122*DCF!$B$8)</f>
        <v/>
      </c>
      <c r="D1178" s="23">
        <f>C1178*(1+Assumptions!$B$123*DCF!$B$8)</f>
        <v/>
      </c>
      <c r="E1178" s="23">
        <f>D1178*(1+Assumptions!$B$124*DCF!$B$8)</f>
        <v/>
      </c>
      <c r="F1178" s="23">
        <f>E1178*(1+Assumptions!$B$125*DCF!$B$8)</f>
        <v/>
      </c>
      <c r="G1178" s="23">
        <f>F1178*(1+Assumptions!$B$126*DCF!$B$8)</f>
        <v/>
      </c>
    </row>
    <row r="1179">
      <c r="A1179" s="7" t="inlineStr">
        <is>
          <t xml:space="preserve">  Volume — Base and special oils, mn t</t>
        </is>
      </c>
      <c r="C1179" s="23">
        <f>'Segments'!E6*(1+Assumptions!$B$127+DCF!$B$6)</f>
        <v/>
      </c>
      <c r="D1179" s="23">
        <f>C1179*(1+Assumptions!$B$128+DCF!$B$6)</f>
        <v/>
      </c>
      <c r="E1179" s="23">
        <f>D1179*(1+Assumptions!$B$129+DCF!$B$6)</f>
        <v/>
      </c>
      <c r="F1179" s="23">
        <f>E1179*(1+Assumptions!$B$130+DCF!$B$6)</f>
        <v/>
      </c>
      <c r="G1179" s="23">
        <f>F1179*(1+Assumptions!$B$131+DCF!$B$6)</f>
        <v/>
      </c>
    </row>
    <row r="1180">
      <c r="A1180" s="7" t="inlineStr">
        <is>
          <t xml:space="preserve">  Volume — Paraffin wax, mn t</t>
        </is>
      </c>
      <c r="C1180" s="23">
        <f>'Segments'!E7*(1+Assumptions!$B$132+DCF!$B$6)</f>
        <v/>
      </c>
      <c r="D1180" s="23">
        <f>C1180*(1+Assumptions!$B$133+DCF!$B$6)</f>
        <v/>
      </c>
      <c r="E1180" s="23">
        <f>D1180*(1+Assumptions!$B$134+DCF!$B$6)</f>
        <v/>
      </c>
      <c r="F1180" s="23">
        <f>E1180*(1+Assumptions!$B$135+DCF!$B$6)</f>
        <v/>
      </c>
      <c r="G1180" s="23">
        <f>F1180*(1+Assumptions!$B$136+DCF!$B$6)</f>
        <v/>
      </c>
    </row>
    <row r="1181">
      <c r="A1181" s="7" t="inlineStr">
        <is>
          <t xml:space="preserve">  Volume — Gas oil, mn t</t>
        </is>
      </c>
      <c r="C1181" s="23">
        <f>'Segments'!E8*(1+Assumptions!$B$137+DCF!$B$6)</f>
        <v/>
      </c>
      <c r="D1181" s="23">
        <f>C1181*(1+Assumptions!$B$138+DCF!$B$6)</f>
        <v/>
      </c>
      <c r="E1181" s="23">
        <f>D1181*(1+Assumptions!$B$139+DCF!$B$6)</f>
        <v/>
      </c>
      <c r="F1181" s="23">
        <f>E1181*(1+Assumptions!$B$140+DCF!$B$6)</f>
        <v/>
      </c>
      <c r="G1181" s="23">
        <f>F1181*(1+Assumptions!$B$141+DCF!$B$6)</f>
        <v/>
      </c>
    </row>
    <row r="1182">
      <c r="A1182" s="7" t="inlineStr">
        <is>
          <t xml:space="preserve">  Volume — Naphtha, mn t</t>
        </is>
      </c>
      <c r="C1182" s="23">
        <f>'Segments'!E9*(1+Assumptions!$B$142+DCF!$B$6)</f>
        <v/>
      </c>
      <c r="D1182" s="23">
        <f>C1182*(1+Assumptions!$B$143+DCF!$B$6)</f>
        <v/>
      </c>
      <c r="E1182" s="23">
        <f>D1182*(1+Assumptions!$B$144+DCF!$B$6)</f>
        <v/>
      </c>
      <c r="F1182" s="23">
        <f>E1182*(1+Assumptions!$B$145+DCF!$B$6)</f>
        <v/>
      </c>
      <c r="G1182" s="23">
        <f>F1182*(1+Assumptions!$B$146+DCF!$B$6)</f>
        <v/>
      </c>
    </row>
    <row r="1183">
      <c r="A1183" s="7" t="inlineStr">
        <is>
          <t xml:space="preserve">  Volume — Liquefied petroleum gas, mn t</t>
        </is>
      </c>
      <c r="C1183" s="23">
        <f>'Segments'!E10*(1+Assumptions!$B$147+DCF!$B$6)</f>
        <v/>
      </c>
      <c r="D1183" s="23">
        <f>C1183*(1+Assumptions!$B$148+DCF!$B$6)</f>
        <v/>
      </c>
      <c r="E1183" s="23">
        <f>D1183*(1+Assumptions!$B$149+DCF!$B$6)</f>
        <v/>
      </c>
      <c r="F1183" s="23">
        <f>E1183*(1+Assumptions!$B$150+DCF!$B$6)</f>
        <v/>
      </c>
      <c r="G1183" s="23">
        <f>F1183*(1+Assumptions!$B$151+DCF!$B$6)</f>
        <v/>
      </c>
    </row>
    <row r="1184">
      <c r="A1184" s="7" t="inlineStr">
        <is>
          <t xml:space="preserve">  Volume — Fuel oil (mix), mn t</t>
        </is>
      </c>
      <c r="C1184" s="23">
        <f>'Segments'!E11*(1+Assumptions!$B$152+DCF!$B$6)</f>
        <v/>
      </c>
      <c r="D1184" s="23">
        <f>C1184*(1+Assumptions!$B$153+DCF!$B$6)</f>
        <v/>
      </c>
      <c r="E1184" s="23">
        <f>D1184*(1+Assumptions!$B$154+DCF!$B$6)</f>
        <v/>
      </c>
      <c r="F1184" s="23">
        <f>E1184*(1+Assumptions!$B$155+DCF!$B$6)</f>
        <v/>
      </c>
      <c r="G1184" s="23">
        <f>F1184*(1+Assumptions!$B$156+DCF!$B$6)</f>
        <v/>
      </c>
    </row>
    <row r="1185">
      <c r="A1185" s="7" t="inlineStr">
        <is>
          <t xml:space="preserve">  Volume — Heavy fuel oil, mn t</t>
        </is>
      </c>
      <c r="C1185" s="23">
        <f>'Segments'!E12*(1+Assumptions!$B$157+DCF!$B$6)</f>
        <v/>
      </c>
      <c r="D1185" s="23">
        <f>C1185*(1+Assumptions!$B$158+DCF!$B$6)</f>
        <v/>
      </c>
      <c r="E1185" s="23">
        <f>D1185*(1+Assumptions!$B$159+DCF!$B$6)</f>
        <v/>
      </c>
      <c r="F1185" s="23">
        <f>E1185*(1+Assumptions!$B$160+DCF!$B$6)</f>
        <v/>
      </c>
      <c r="G1185" s="23">
        <f>F1185*(1+Assumptions!$B$161+DCF!$B$6)</f>
        <v/>
      </c>
    </row>
    <row r="1186">
      <c r="A1186" s="7" t="inlineStr">
        <is>
          <t xml:space="preserve">  Volume — Waste, mn t</t>
        </is>
      </c>
      <c r="C1186" s="23">
        <f>'Segments'!E13*(1+Assumptions!$B$162+DCF!$B$6)</f>
        <v/>
      </c>
      <c r="D1186" s="23">
        <f>C1186*(1+Assumptions!$B$163+DCF!$B$6)</f>
        <v/>
      </c>
      <c r="E1186" s="23">
        <f>D1186*(1+Assumptions!$B$164+DCF!$B$6)</f>
        <v/>
      </c>
      <c r="F1186" s="23">
        <f>E1186*(1+Assumptions!$B$165+DCF!$B$6)</f>
        <v/>
      </c>
      <c r="G1186" s="23">
        <f>F1186*(1+Assumptions!$B$166+DCF!$B$6)</f>
        <v/>
      </c>
    </row>
    <row r="1187">
      <c r="A1187" s="15" t="inlineStr">
        <is>
          <t>Total volume, mn t</t>
        </is>
      </c>
      <c r="C1187" s="36">
        <f>SUM(C1179:C1186)</f>
        <v/>
      </c>
      <c r="D1187" s="36">
        <f>SUM(D1179:D1186)</f>
        <v/>
      </c>
      <c r="E1187" s="36">
        <f>SUM(E1179:E1186)</f>
        <v/>
      </c>
      <c r="F1187" s="36">
        <f>SUM(F1179:F1186)</f>
        <v/>
      </c>
      <c r="G1187" s="36">
        <f>SUM(G1179:G1186)</f>
        <v/>
      </c>
    </row>
    <row r="1188">
      <c r="A1188" s="15" t="inlineStr">
        <is>
          <t>REVENUE</t>
        </is>
      </c>
      <c r="C1188" s="37">
        <f>C1179*'Segments'!$F$6*C1178+C1180*'Segments'!$F$7*C1178+C1181*'Segments'!$F$8*C1178+C1182*'Segments'!$F$9*C1178+C1183*'Segments'!$F$10*C1178+C1184*'Segments'!$F$11*C1178+C1185*'Segments'!$F$12*C1178+C1186*'Segments'!$F$13*C1178</f>
        <v/>
      </c>
      <c r="D1188" s="37">
        <f>D1179*'Segments'!$F$6*D1178+D1180*'Segments'!$F$7*D1178+D1181*'Segments'!$F$8*D1178+D1182*'Segments'!$F$9*D1178+D1183*'Segments'!$F$10*D1178+D1184*'Segments'!$F$11*D1178+D1185*'Segments'!$F$12*D1178+D1186*'Segments'!$F$13*D1178</f>
        <v/>
      </c>
      <c r="E1188" s="37">
        <f>E1179*'Segments'!$F$6*E1178+E1180*'Segments'!$F$7*E1178+E1181*'Segments'!$F$8*E1178+E1182*'Segments'!$F$9*E1178+E1183*'Segments'!$F$10*E1178+E1184*'Segments'!$F$11*E1178+E1185*'Segments'!$F$12*E1178+E1186*'Segments'!$F$13*E1178</f>
        <v/>
      </c>
      <c r="F1188" s="37">
        <f>F1179*'Segments'!$F$6*F1178+F1180*'Segments'!$F$7*F1178+F1181*'Segments'!$F$8*F1178+F1182*'Segments'!$F$9*F1178+F1183*'Segments'!$F$10*F1178+F1184*'Segments'!$F$11*F1178+F1185*'Segments'!$F$12*F1178+F1186*'Segments'!$F$13*F1178</f>
        <v/>
      </c>
      <c r="G1188" s="37">
        <f>G1179*'Segments'!$F$6*G1178+G1180*'Segments'!$F$7*G1178+G1181*'Segments'!$F$8*G1178+G1182*'Segments'!$F$9*G1178+G1183*'Segments'!$F$10*G1178+G1184*'Segments'!$F$11*G1178+G1185*'Segments'!$F$12*G1178+G1186*'Segments'!$F$13*G1178</f>
        <v/>
      </c>
    </row>
    <row r="1189">
      <c r="A1189" s="7" t="inlineStr">
        <is>
          <t>Cost of sales</t>
        </is>
      </c>
      <c r="C1189" s="18">
        <f>C1179*('Segments'!$D$27*C1178*Assumptions!$B$109+'Segments'!$B$27*(0.4983251709*C1178+0.4357405005*C1178+0.0330936548*C1178+0.0328406739))+C1180*('Segments'!$D$28*C1178*Assumptions!$B$109+'Segments'!$B$28*(0.4983251709*C1178+0.4357405005*C1178+0.0330936548*C1178+0.0328406739))+C1181*('Segments'!$D$29*C1178*Assumptions!$B$109+'Segments'!$B$29*(0.4983251709*C1178+0.4357405005*C1178+0.0330936548*C1178+0.0328406739))+C1182*('Segments'!$D$30*C1178*Assumptions!$B$109+'Segments'!$B$30*(0.4983251709*C1178+0.4357405005*C1178+0.0330936548*C1178+0.0328406739))+C1183*('Segments'!$D$31*C1178*Assumptions!$B$109+'Segments'!$B$31*(0.4983251709*C1178+0.4357405005*C1178+0.0330936548*C1178+0.0328406739))+C1184*('Segments'!$D$32*C1178*Assumptions!$B$109+'Segments'!$B$32*(0.4983251709*C1178+0.4357405005*C1178+0.0330936548*C1178+0.0328406739))+C1185*('Segments'!$D$33*C1178*Assumptions!$B$109+'Segments'!$B$33*(0.4983251709*C1178+0.4357405005*C1178+0.0330936548*C1178+0.0328406739))+C1186*('Segments'!$D$34*C1178*Assumptions!$B$109+'Segments'!$B$34*(0.4983251709*C1178+0.4357405005*C1178+0.0330936548*C1178+0.0328406739))</f>
        <v/>
      </c>
      <c r="D1189" s="18">
        <f>D1179*('Segments'!$D$27*D1178*Assumptions!$B$109+'Segments'!$B$27*(0.4983251709*D1178+0.4357405005*D1178+0.0330936548*D1178+0.0328406739))+D1180*('Segments'!$D$28*D1178*Assumptions!$B$109+'Segments'!$B$28*(0.4983251709*D1178+0.4357405005*D1178+0.0330936548*D1178+0.0328406739))+D1181*('Segments'!$D$29*D1178*Assumptions!$B$109+'Segments'!$B$29*(0.4983251709*D1178+0.4357405005*D1178+0.0330936548*D1178+0.0328406739))+D1182*('Segments'!$D$30*D1178*Assumptions!$B$109+'Segments'!$B$30*(0.4983251709*D1178+0.4357405005*D1178+0.0330936548*D1178+0.0328406739))+D1183*('Segments'!$D$31*D1178*Assumptions!$B$109+'Segments'!$B$31*(0.4983251709*D1178+0.4357405005*D1178+0.0330936548*D1178+0.0328406739))+D1184*('Segments'!$D$32*D1178*Assumptions!$B$109+'Segments'!$B$32*(0.4983251709*D1178+0.4357405005*D1178+0.0330936548*D1178+0.0328406739))+D1185*('Segments'!$D$33*D1178*Assumptions!$B$109+'Segments'!$B$33*(0.4983251709*D1178+0.4357405005*D1178+0.0330936548*D1178+0.0328406739))+D1186*('Segments'!$D$34*D1178*Assumptions!$B$109+'Segments'!$B$34*(0.4983251709*D1178+0.4357405005*D1178+0.0330936548*D1178+0.0328406739))</f>
        <v/>
      </c>
      <c r="E1189" s="18">
        <f>E1179*('Segments'!$D$27*E1178*Assumptions!$B$109+'Segments'!$B$27*(0.4983251709*E1178+0.4357405005*E1178+0.0330936548*E1178+0.0328406739))+E1180*('Segments'!$D$28*E1178*Assumptions!$B$109+'Segments'!$B$28*(0.4983251709*E1178+0.4357405005*E1178+0.0330936548*E1178+0.0328406739))+E1181*('Segments'!$D$29*E1178*Assumptions!$B$109+'Segments'!$B$29*(0.4983251709*E1178+0.4357405005*E1178+0.0330936548*E1178+0.0328406739))+E1182*('Segments'!$D$30*E1178*Assumptions!$B$109+'Segments'!$B$30*(0.4983251709*E1178+0.4357405005*E1178+0.0330936548*E1178+0.0328406739))+E1183*('Segments'!$D$31*E1178*Assumptions!$B$109+'Segments'!$B$31*(0.4983251709*E1178+0.4357405005*E1178+0.0330936548*E1178+0.0328406739))+E1184*('Segments'!$D$32*E1178*Assumptions!$B$109+'Segments'!$B$32*(0.4983251709*E1178+0.4357405005*E1178+0.0330936548*E1178+0.0328406739))+E1185*('Segments'!$D$33*E1178*Assumptions!$B$109+'Segments'!$B$33*(0.4983251709*E1178+0.4357405005*E1178+0.0330936548*E1178+0.0328406739))+E1186*('Segments'!$D$34*E1178*Assumptions!$B$109+'Segments'!$B$34*(0.4983251709*E1178+0.4357405005*E1178+0.0330936548*E1178+0.0328406739))</f>
        <v/>
      </c>
      <c r="F1189" s="18">
        <f>F1179*('Segments'!$D$27*F1178*Assumptions!$B$109+'Segments'!$B$27*(0.4983251709*F1178+0.4357405005*F1178+0.0330936548*F1178+0.0328406739))+F1180*('Segments'!$D$28*F1178*Assumptions!$B$109+'Segments'!$B$28*(0.4983251709*F1178+0.4357405005*F1178+0.0330936548*F1178+0.0328406739))+F1181*('Segments'!$D$29*F1178*Assumptions!$B$109+'Segments'!$B$29*(0.4983251709*F1178+0.4357405005*F1178+0.0330936548*F1178+0.0328406739))+F1182*('Segments'!$D$30*F1178*Assumptions!$B$109+'Segments'!$B$30*(0.4983251709*F1178+0.4357405005*F1178+0.0330936548*F1178+0.0328406739))+F1183*('Segments'!$D$31*F1178*Assumptions!$B$109+'Segments'!$B$31*(0.4983251709*F1178+0.4357405005*F1178+0.0330936548*F1178+0.0328406739))+F1184*('Segments'!$D$32*F1178*Assumptions!$B$109+'Segments'!$B$32*(0.4983251709*F1178+0.4357405005*F1178+0.0330936548*F1178+0.0328406739))+F1185*('Segments'!$D$33*F1178*Assumptions!$B$109+'Segments'!$B$33*(0.4983251709*F1178+0.4357405005*F1178+0.0330936548*F1178+0.0328406739))+F1186*('Segments'!$D$34*F1178*Assumptions!$B$109+'Segments'!$B$34*(0.4983251709*F1178+0.4357405005*F1178+0.0330936548*F1178+0.0328406739))</f>
        <v/>
      </c>
      <c r="G1189" s="18">
        <f>G1179*('Segments'!$D$27*G1178*Assumptions!$B$109+'Segments'!$B$27*(0.4983251709*G1178+0.4357405005*G1178+0.0330936548*G1178+0.0328406739))+G1180*('Segments'!$D$28*G1178*Assumptions!$B$109+'Segments'!$B$28*(0.4983251709*G1178+0.4357405005*G1178+0.0330936548*G1178+0.0328406739))+G1181*('Segments'!$D$29*G1178*Assumptions!$B$109+'Segments'!$B$29*(0.4983251709*G1178+0.4357405005*G1178+0.0330936548*G1178+0.0328406739))+G1182*('Segments'!$D$30*G1178*Assumptions!$B$109+'Segments'!$B$30*(0.4983251709*G1178+0.4357405005*G1178+0.0330936548*G1178+0.0328406739))+G1183*('Segments'!$D$31*G1178*Assumptions!$B$109+'Segments'!$B$31*(0.4983251709*G1178+0.4357405005*G1178+0.0330936548*G1178+0.0328406739))+G1184*('Segments'!$D$32*G1178*Assumptions!$B$109+'Segments'!$B$32*(0.4983251709*G1178+0.4357405005*G1178+0.0330936548*G1178+0.0328406739))+G1185*('Segments'!$D$33*G1178*Assumptions!$B$109+'Segments'!$B$33*(0.4983251709*G1178+0.4357405005*G1178+0.0330936548*G1178+0.0328406739))+G1186*('Segments'!$D$34*G1178*Assumptions!$B$109+'Segments'!$B$34*(0.4983251709*G1178+0.4357405005*G1178+0.0330936548*G1178+0.0328406739))</f>
        <v/>
      </c>
    </row>
    <row r="1190">
      <c r="A1190" s="15" t="inlineStr">
        <is>
          <t>GROSS PROFIT</t>
        </is>
      </c>
      <c r="C1190" s="37">
        <f>C1188-C1189+DCF!$B$7*C1188</f>
        <v/>
      </c>
      <c r="D1190" s="37">
        <f>D1188-D1189+DCF!$B$7*D1188</f>
        <v/>
      </c>
      <c r="E1190" s="37">
        <f>E1188-E1189+DCF!$B$7*E1188</f>
        <v/>
      </c>
      <c r="F1190" s="37">
        <f>F1188-F1189+DCF!$B$7*F1188</f>
        <v/>
      </c>
      <c r="G1190" s="37">
        <f>G1188-G1189+DCF!$B$7*G1188</f>
        <v/>
      </c>
    </row>
    <row r="1191">
      <c r="A1191" s="7" t="inlineStr">
        <is>
          <t>Gross margin</t>
        </is>
      </c>
      <c r="C1191" s="24">
        <f>C1190/C1188</f>
        <v/>
      </c>
      <c r="D1191" s="24">
        <f>D1190/D1188</f>
        <v/>
      </c>
      <c r="E1191" s="24">
        <f>E1190/E1188</f>
        <v/>
      </c>
      <c r="F1191" s="24">
        <f>F1190/F1188</f>
        <v/>
      </c>
      <c r="G1191" s="24">
        <f>G1190/G1188</f>
        <v/>
      </c>
    </row>
    <row r="1192">
      <c r="A1192" s="7" t="inlineStr">
        <is>
          <t>Operating expense</t>
        </is>
      </c>
      <c r="C1192" s="18">
        <f>('Income Statement'!$B$28*C1177)+('Income Statement'!$B$29*C1177*C1187/'Segments'!$E$14)+('Income Statement'!$B$30*C1177)+('Income Statement'!$B$31*C1177)</f>
        <v/>
      </c>
      <c r="D1192" s="18">
        <f>('Income Statement'!$B$28*D1177)+('Income Statement'!$B$29*D1177*D1187/'Segments'!$E$14)+('Income Statement'!$B$30*D1177)+('Income Statement'!$B$31*D1177)</f>
        <v/>
      </c>
      <c r="E1192" s="18">
        <f>('Income Statement'!$B$28*E1177)+('Income Statement'!$B$29*E1177*E1187/'Segments'!$E$14)+('Income Statement'!$B$30*E1177)+('Income Statement'!$B$31*E1177)</f>
        <v/>
      </c>
      <c r="F1192" s="18">
        <f>('Income Statement'!$B$28*F1177)+('Income Statement'!$B$29*F1177*F1187/'Segments'!$E$14)+('Income Statement'!$B$30*F1177)+('Income Statement'!$B$31*F1177)</f>
        <v/>
      </c>
      <c r="G1192" s="18">
        <f>('Income Statement'!$B$28*G1177)+('Income Statement'!$B$29*G1177*G1187/'Segments'!$E$14)+('Income Statement'!$B$30*G1177)+('Income Statement'!$B$31*G1177)</f>
        <v/>
      </c>
    </row>
    <row r="1193">
      <c r="A1193" s="15" t="inlineStr">
        <is>
          <t>EBITDA</t>
        </is>
      </c>
      <c r="C1193" s="37">
        <f>C1190-C1192</f>
        <v/>
      </c>
      <c r="D1193" s="37">
        <f>D1190-D1192</f>
        <v/>
      </c>
      <c r="E1193" s="37">
        <f>E1190-E1192</f>
        <v/>
      </c>
      <c r="F1193" s="37">
        <f>F1190-F1192</f>
        <v/>
      </c>
      <c r="G1193" s="37">
        <f>G1190-G1192</f>
        <v/>
      </c>
    </row>
    <row r="1194">
      <c r="A1194" s="7" t="inlineStr">
        <is>
          <t>Capital expenditure — maintenance + growth</t>
        </is>
      </c>
      <c r="C1194" s="18">
        <f>'Income Statement'!$B$43*C1177+MAX(C1187-'Segments'!$E$14,0)*2100.379938*C1177</f>
        <v/>
      </c>
      <c r="D1194" s="18">
        <f>'Income Statement'!$B$43*D1177+MAX(D1187-C1187,0)*2100.379938*D1177</f>
        <v/>
      </c>
      <c r="E1194" s="18">
        <f>'Income Statement'!$B$43*E1177+MAX(E1187-D1187,0)*2100.379938*E1177</f>
        <v/>
      </c>
      <c r="F1194" s="18">
        <f>'Income Statement'!$B$43*F1177+MAX(F1187-E1187,0)*2100.379938*F1177</f>
        <v/>
      </c>
      <c r="G1194" s="18">
        <f>'Income Statement'!$B$43*G1177+MAX(G1187-F1187,0)*2100.379938*G1177</f>
        <v/>
      </c>
    </row>
    <row r="1195">
      <c r="A1195" s="7" t="inlineStr">
        <is>
          <t>Fixed assets at cost, closing</t>
        </is>
      </c>
      <c r="C1195" s="18">
        <f>(Assumptions!$B$91+Assumptions!$B$92)/10^6+C1194</f>
        <v/>
      </c>
      <c r="D1195" s="18">
        <f>C1195+D1194</f>
        <v/>
      </c>
      <c r="E1195" s="18">
        <f>D1195+E1194</f>
        <v/>
      </c>
      <c r="F1195" s="18">
        <f>E1195+F1194</f>
        <v/>
      </c>
      <c r="G1195" s="18">
        <f>F1195+G1194</f>
        <v/>
      </c>
    </row>
    <row r="1196">
      <c r="A1196" s="7" t="inlineStr">
        <is>
          <t>Depreciation — rolls off the asset register</t>
        </is>
      </c>
      <c r="C1196" s="18">
        <f>(Assumptions!$B$91+Assumptions!$B$92)/10^6/'Income Statement'!$B$42</f>
        <v/>
      </c>
      <c r="D1196" s="18">
        <f>C1195/'Income Statement'!$B$42</f>
        <v/>
      </c>
      <c r="E1196" s="18">
        <f>D1195/'Income Statement'!$B$42</f>
        <v/>
      </c>
      <c r="F1196" s="18">
        <f>E1195/'Income Statement'!$B$42</f>
        <v/>
      </c>
      <c r="G1196" s="18">
        <f>F1195/'Income Statement'!$B$42</f>
        <v/>
      </c>
    </row>
    <row r="1197">
      <c r="A1197" s="7" t="inlineStr">
        <is>
          <t>Fixed assets, net book, closing</t>
        </is>
      </c>
      <c r="C1197" s="18">
        <f>(Assumptions!$B$90+Assumptions!$B$92)/10^6+C1194-C1196</f>
        <v/>
      </c>
      <c r="D1197" s="18">
        <f>C1197+D1194-D1196</f>
        <v/>
      </c>
      <c r="E1197" s="18">
        <f>D1197+E1194-E1196</f>
        <v/>
      </c>
      <c r="F1197" s="18">
        <f>E1197+F1194-F1196</f>
        <v/>
      </c>
      <c r="G1197" s="18">
        <f>F1197+G1194-G1196</f>
        <v/>
      </c>
    </row>
    <row r="1198">
      <c r="A1198" s="15" t="inlineStr">
        <is>
          <t>EBIT</t>
        </is>
      </c>
      <c r="C1198" s="37">
        <f>C1193-C1196</f>
        <v/>
      </c>
      <c r="D1198" s="37">
        <f>D1193-D1196</f>
        <v/>
      </c>
      <c r="E1198" s="37">
        <f>E1193-E1196</f>
        <v/>
      </c>
      <c r="F1198" s="37">
        <f>F1193-F1196</f>
        <v/>
      </c>
      <c r="G1198" s="37">
        <f>G1193-G1196</f>
        <v/>
      </c>
    </row>
    <row r="1199">
      <c r="A1199" s="7" t="inlineStr">
        <is>
          <t>NOPAT before the profit share</t>
        </is>
      </c>
      <c r="C1199" s="18">
        <f>C1198*(1-Assumptions!$B$108)</f>
        <v/>
      </c>
      <c r="D1199" s="18">
        <f>D1198*(1-Assumptions!$B$108)</f>
        <v/>
      </c>
      <c r="E1199" s="18">
        <f>E1198*(1-Assumptions!$B$108)</f>
        <v/>
      </c>
      <c r="F1199" s="18">
        <f>F1198*(1-Assumptions!$B$108)</f>
        <v/>
      </c>
      <c r="G1199" s="18">
        <f>G1198*(1-Assumptions!$B$108)</f>
        <v/>
      </c>
    </row>
    <row r="1200">
      <c r="A1200" s="7" t="inlineStr">
        <is>
          <t xml:space="preserve">  less employees' profit share and board bonuses</t>
        </is>
      </c>
      <c r="C1200" s="18">
        <f>MAX(C1199,0)*'Income Statement'!$B$40</f>
        <v/>
      </c>
      <c r="D1200" s="18">
        <f>MAX(D1199,0)*'Income Statement'!$B$40</f>
        <v/>
      </c>
      <c r="E1200" s="18">
        <f>MAX(E1199,0)*'Income Statement'!$B$40</f>
        <v/>
      </c>
      <c r="F1200" s="18">
        <f>MAX(F1199,0)*'Income Statement'!$B$40</f>
        <v/>
      </c>
      <c r="G1200" s="18">
        <f>MAX(G1199,0)*'Income Statement'!$B$40</f>
        <v/>
      </c>
    </row>
    <row r="1201">
      <c r="A1201" s="15" t="inlineStr">
        <is>
          <t>NOPAT</t>
        </is>
      </c>
      <c r="C1201" s="37">
        <f>C1199-C1200</f>
        <v/>
      </c>
      <c r="D1201" s="37">
        <f>D1199-D1200</f>
        <v/>
      </c>
      <c r="E1201" s="37">
        <f>E1199-E1200</f>
        <v/>
      </c>
      <c r="F1201" s="37">
        <f>F1199-F1200</f>
        <v/>
      </c>
      <c r="G1201" s="37">
        <f>G1199-G1200</f>
        <v/>
      </c>
    </row>
    <row r="1202">
      <c r="A1202" s="7" t="inlineStr">
        <is>
          <t>Net working capital — on days</t>
        </is>
      </c>
      <c r="C1202" s="18">
        <f>'Income Statement'!$B$44*$E$37/365*C1189+'Income Statement'!$B$45*$E$37/365*C1188-'Income Statement'!$B$46*$E$37/365*C1189</f>
        <v/>
      </c>
      <c r="D1202" s="18">
        <f>'Income Statement'!$B$44*$E$37/365*D1189+'Income Statement'!$B$45*$E$37/365*D1188-'Income Statement'!$B$46*$E$37/365*D1189</f>
        <v/>
      </c>
      <c r="E1202" s="18">
        <f>'Income Statement'!$B$44*$E$37/365*E1189+'Income Statement'!$B$45*$E$37/365*E1188-'Income Statement'!$B$46*$E$37/365*E1189</f>
        <v/>
      </c>
      <c r="F1202" s="18">
        <f>'Income Statement'!$B$44*$E$37/365*F1189+'Income Statement'!$B$45*$E$37/365*F1188-'Income Statement'!$B$46*$E$37/365*F1189</f>
        <v/>
      </c>
      <c r="G1202" s="18">
        <f>'Income Statement'!$B$44*$E$37/365*G1189+'Income Statement'!$B$45*$E$37/365*G1188-'Income Statement'!$B$46*$E$37/365*G1189</f>
        <v/>
      </c>
    </row>
    <row r="1203">
      <c r="A1203" s="7" t="inlineStr">
        <is>
          <t xml:space="preserve">  change in working capital</t>
        </is>
      </c>
      <c r="C1203" s="18">
        <f>C1202-('Income Statement'!$B$44/365*'Income Statement'!$B$21+'Income Statement'!$B$45/365*'Income Statement'!$B$19-'Income Statement'!$B$46/365*'Income Statement'!$B$21)</f>
        <v/>
      </c>
      <c r="D1203" s="18">
        <f>D1202-C1202</f>
        <v/>
      </c>
      <c r="E1203" s="18">
        <f>E1202-D1202</f>
        <v/>
      </c>
      <c r="F1203" s="18">
        <f>F1202-E1202</f>
        <v/>
      </c>
      <c r="G1203" s="18">
        <f>G1202-F1202</f>
        <v/>
      </c>
    </row>
    <row r="1204">
      <c r="A1204" s="15" t="inlineStr">
        <is>
          <t>FREE CASH FLOW TO THE FIRM</t>
        </is>
      </c>
      <c r="C1204" s="37">
        <f>C1201+C1196-C1194-C1203</f>
        <v/>
      </c>
      <c r="D1204" s="37">
        <f>D1201+D1196-D1194-D1203</f>
        <v/>
      </c>
      <c r="E1204" s="37">
        <f>E1201+E1196-E1194-E1203</f>
        <v/>
      </c>
      <c r="F1204" s="37">
        <f>F1201+F1196-F1194-F1203</f>
        <v/>
      </c>
      <c r="G1204" s="37">
        <f>G1201+G1196-G1194-G1203</f>
        <v/>
      </c>
    </row>
    <row r="1205">
      <c r="A1205" s="7" t="inlineStr">
        <is>
          <t>Glide fraction</t>
        </is>
      </c>
      <c r="C1205" s="23">
        <f>0.0000000000</f>
        <v/>
      </c>
      <c r="D1205" s="23">
        <f>0.5166487648</f>
        <v/>
      </c>
      <c r="E1205" s="23">
        <f>0.7314715360</f>
        <v/>
      </c>
      <c r="F1205" s="23">
        <f>0.8925886144</f>
        <v/>
      </c>
      <c r="G1205" s="23">
        <f>1.0000000000</f>
        <v/>
      </c>
    </row>
    <row r="1206">
      <c r="A1206" s="7" t="inlineStr">
        <is>
          <t>Forward cost of capital</t>
        </is>
      </c>
      <c r="C1206" s="24">
        <f>DCF!$B$14-(DCF!$B$14-DCF!$B$17)*C1205</f>
        <v/>
      </c>
      <c r="D1206" s="24">
        <f>DCF!$B$14-(DCF!$B$14-DCF!$B$17)*D1205</f>
        <v/>
      </c>
      <c r="E1206" s="24">
        <f>DCF!$B$14-(DCF!$B$14-DCF!$B$17)*E1205</f>
        <v/>
      </c>
      <c r="F1206" s="24">
        <f>DCF!$B$14-(DCF!$B$14-DCF!$B$17)*F1205</f>
        <v/>
      </c>
      <c r="G1206" s="24">
        <f>DCF!$B$14-(DCF!$B$14-DCF!$B$17)*G1205</f>
        <v/>
      </c>
    </row>
    <row r="1207">
      <c r="A1207" s="7" t="inlineStr">
        <is>
          <t>Cumulative discount factor</t>
        </is>
      </c>
      <c r="C1207" s="40">
        <f>1/(1+C1206)</f>
        <v/>
      </c>
      <c r="D1207" s="40">
        <f>C1207/(1+D1206)</f>
        <v/>
      </c>
      <c r="E1207" s="40">
        <f>D1207/(1+E1206)</f>
        <v/>
      </c>
      <c r="F1207" s="40">
        <f>E1207/(1+F1206)</f>
        <v/>
      </c>
      <c r="G1207" s="40">
        <f>F1207/(1+G1206)</f>
        <v/>
      </c>
    </row>
    <row r="1208">
      <c r="A1208" s="7" t="inlineStr">
        <is>
          <t>Present value</t>
        </is>
      </c>
      <c r="C1208" s="18">
        <f>C1204*C1207</f>
        <v/>
      </c>
      <c r="D1208" s="18">
        <f>D1204*D1207</f>
        <v/>
      </c>
      <c r="E1208" s="18">
        <f>E1204*E1207</f>
        <v/>
      </c>
      <c r="F1208" s="18">
        <f>F1204*F1207</f>
        <v/>
      </c>
      <c r="G1208" s="18">
        <f>G1204*G1207</f>
        <v/>
      </c>
    </row>
    <row r="1209">
      <c r="A1209" s="15" t="inlineStr">
        <is>
          <t>PV of the explicit window</t>
        </is>
      </c>
      <c r="B1209" s="37">
        <f>SUM(C1208:G1208)</f>
        <v/>
      </c>
      <c r="C1209" s="18">
        <f>C1202+C1195</f>
        <v/>
      </c>
      <c r="D1209" s="18">
        <f>D1202+D1195</f>
        <v/>
      </c>
      <c r="E1209" s="18">
        <f>E1202+E1195</f>
        <v/>
      </c>
      <c r="F1209" s="18">
        <f>F1202+F1195</f>
        <v/>
      </c>
      <c r="G1209" s="18">
        <f>G1202+G1195</f>
        <v/>
      </c>
    </row>
    <row r="1210">
      <c r="A1210" s="7" t="inlineStr">
        <is>
          <t>Terminal return on invested capital, at REPLACEMENT cost</t>
        </is>
      </c>
      <c r="B1210" s="24">
        <f>G1201*(1+Assumptions!$B$110)/G1209</f>
        <v/>
      </c>
    </row>
    <row r="1211">
      <c r="A1211" s="7" t="inlineStr">
        <is>
          <t>Required reinvestment = growth / return</t>
        </is>
      </c>
      <c r="B1211" s="24">
        <f>MIN(Assumptions!$B$110/B1210,0.95)</f>
        <v/>
      </c>
    </row>
    <row r="1212">
      <c r="A1212" s="7" t="inlineStr">
        <is>
          <t>Terminal value</t>
        </is>
      </c>
      <c r="B1212" s="18">
        <f>G1201*(1+Assumptions!$B$110)*(1-B1211)/MAX(DCF!$B$17-Assumptions!$B$110,0.02)</f>
        <v/>
      </c>
    </row>
    <row r="1213">
      <c r="A1213" s="7" t="inlineStr">
        <is>
          <t>PV of the terminal block</t>
        </is>
      </c>
      <c r="B1213" s="18">
        <f>B1212*G1207</f>
        <v/>
      </c>
    </row>
    <row r="1214">
      <c r="A1214" s="15" t="inlineStr">
        <is>
          <t>ENTERPRISE VALUE</t>
        </is>
      </c>
      <c r="B1214" s="37">
        <f>B1209+B1213</f>
        <v/>
      </c>
    </row>
    <row r="1215">
      <c r="A1215" s="7" t="inlineStr">
        <is>
          <t>plus net cash</t>
        </is>
      </c>
      <c r="B1215" s="18">
        <f>(Assumptions!$B$100-Assumptions!$B$103-Assumptions!$B$104)/10^6</f>
        <v/>
      </c>
    </row>
    <row r="1216">
      <c r="A1216" s="7" t="inlineStr">
        <is>
          <t>Enterprise value including cash</t>
        </is>
      </c>
      <c r="B1216" s="18">
        <f>B1214+B1215</f>
        <v/>
      </c>
    </row>
    <row r="1217">
      <c r="A1217" s="7" t="inlineStr">
        <is>
          <t>less minority — on the WHOLE enterprise, cash included</t>
        </is>
      </c>
      <c r="B1217" s="18">
        <f>B1216*'Income Statement'!$B$41</f>
        <v/>
      </c>
    </row>
    <row r="1218">
      <c r="A1218" s="7" t="inlineStr">
        <is>
          <t>less the tax-disputes provision</t>
        </is>
      </c>
      <c r="B1218" s="18">
        <f>Assumptions!$B$99/10^6</f>
        <v/>
      </c>
    </row>
    <row r="1219">
      <c r="A1219" s="7" t="inlineStr">
        <is>
          <t>less dividends payable — declared, out of working capital</t>
        </is>
      </c>
      <c r="B1219" s="18">
        <f>Assumptions!$B$98/10^6</f>
        <v/>
      </c>
    </row>
    <row r="1220">
      <c r="A1220" s="7" t="inlineStr">
        <is>
          <t>plus non-operating investments and pledged deposits</t>
        </is>
      </c>
      <c r="B1220" s="18">
        <f>(Assumptions!$B$102+Assumptions!$B$101)/10^6</f>
        <v/>
      </c>
    </row>
    <row r="1221">
      <c r="A1221" s="15" t="inlineStr">
        <is>
          <t>EQUITY ATTRIBUTABLE</t>
        </is>
      </c>
      <c r="B1221" s="37">
        <f>B1216-B1217-B1218-B1219+B1220</f>
        <v/>
      </c>
    </row>
    <row r="1222">
      <c r="A1222" s="15" t="inlineStr">
        <is>
          <t>VALUE PER SHARE, EGP</t>
        </is>
      </c>
      <c r="B1222" s="22">
        <f>B1221/Assumptions!$B$8</f>
        <v/>
      </c>
    </row>
    <row r="1225">
      <c r="A1225" s="6" t="inlineStr">
        <is>
          <t>Working-capital cycle, as a multiple of the solved days — 1.50x</t>
        </is>
      </c>
      <c r="B1225" s="6" t="inlineStr">
        <is>
          <t>2026E</t>
        </is>
      </c>
      <c r="C1225" s="6" t="inlineStr">
        <is>
          <t>2027E</t>
        </is>
      </c>
      <c r="D1225" s="6" t="inlineStr">
        <is>
          <t>2028E</t>
        </is>
      </c>
      <c r="E1225" s="6" t="inlineStr">
        <is>
          <t>2029E</t>
        </is>
      </c>
      <c r="F1225" s="6" t="inlineStr">
        <is>
          <t>2030E</t>
        </is>
      </c>
    </row>
    <row r="1226">
      <c r="A1226" s="7" t="inlineStr">
        <is>
          <t>Inflation index, cumulative</t>
        </is>
      </c>
      <c r="C1226" s="23">
        <f>Assumptions!$B$167</f>
        <v/>
      </c>
      <c r="D1226" s="23">
        <f>C1226*Assumptions!$B$168</f>
        <v/>
      </c>
      <c r="E1226" s="23">
        <f>D1226*Assumptions!$B$169</f>
        <v/>
      </c>
      <c r="F1226" s="23">
        <f>E1226*Assumptions!$B$170</f>
        <v/>
      </c>
      <c r="G1226" s="23">
        <f>F1226*Assumptions!$B$171</f>
        <v/>
      </c>
    </row>
    <row r="1227">
      <c r="A1227" s="7" t="inlineStr">
        <is>
          <t>Realisation index, cumulative</t>
        </is>
      </c>
      <c r="C1227" s="23">
        <f>(1+Assumptions!$B$122*DCF!$B$8)</f>
        <v/>
      </c>
      <c r="D1227" s="23">
        <f>C1227*(1+Assumptions!$B$123*DCF!$B$8)</f>
        <v/>
      </c>
      <c r="E1227" s="23">
        <f>D1227*(1+Assumptions!$B$124*DCF!$B$8)</f>
        <v/>
      </c>
      <c r="F1227" s="23">
        <f>E1227*(1+Assumptions!$B$125*DCF!$B$8)</f>
        <v/>
      </c>
      <c r="G1227" s="23">
        <f>F1227*(1+Assumptions!$B$126*DCF!$B$8)</f>
        <v/>
      </c>
    </row>
    <row r="1228">
      <c r="A1228" s="7" t="inlineStr">
        <is>
          <t xml:space="preserve">  Volume — Base and special oils, mn t</t>
        </is>
      </c>
      <c r="C1228" s="23">
        <f>'Segments'!E6*(1+Assumptions!$B$127+DCF!$B$6)</f>
        <v/>
      </c>
      <c r="D1228" s="23">
        <f>C1228*(1+Assumptions!$B$128+DCF!$B$6)</f>
        <v/>
      </c>
      <c r="E1228" s="23">
        <f>D1228*(1+Assumptions!$B$129+DCF!$B$6)</f>
        <v/>
      </c>
      <c r="F1228" s="23">
        <f>E1228*(1+Assumptions!$B$130+DCF!$B$6)</f>
        <v/>
      </c>
      <c r="G1228" s="23">
        <f>F1228*(1+Assumptions!$B$131+DCF!$B$6)</f>
        <v/>
      </c>
    </row>
    <row r="1229">
      <c r="A1229" s="7" t="inlineStr">
        <is>
          <t xml:space="preserve">  Volume — Paraffin wax, mn t</t>
        </is>
      </c>
      <c r="C1229" s="23">
        <f>'Segments'!E7*(1+Assumptions!$B$132+DCF!$B$6)</f>
        <v/>
      </c>
      <c r="D1229" s="23">
        <f>C1229*(1+Assumptions!$B$133+DCF!$B$6)</f>
        <v/>
      </c>
      <c r="E1229" s="23">
        <f>D1229*(1+Assumptions!$B$134+DCF!$B$6)</f>
        <v/>
      </c>
      <c r="F1229" s="23">
        <f>E1229*(1+Assumptions!$B$135+DCF!$B$6)</f>
        <v/>
      </c>
      <c r="G1229" s="23">
        <f>F1229*(1+Assumptions!$B$136+DCF!$B$6)</f>
        <v/>
      </c>
    </row>
    <row r="1230">
      <c r="A1230" s="7" t="inlineStr">
        <is>
          <t xml:space="preserve">  Volume — Gas oil, mn t</t>
        </is>
      </c>
      <c r="C1230" s="23">
        <f>'Segments'!E8*(1+Assumptions!$B$137+DCF!$B$6)</f>
        <v/>
      </c>
      <c r="D1230" s="23">
        <f>C1230*(1+Assumptions!$B$138+DCF!$B$6)</f>
        <v/>
      </c>
      <c r="E1230" s="23">
        <f>D1230*(1+Assumptions!$B$139+DCF!$B$6)</f>
        <v/>
      </c>
      <c r="F1230" s="23">
        <f>E1230*(1+Assumptions!$B$140+DCF!$B$6)</f>
        <v/>
      </c>
      <c r="G1230" s="23">
        <f>F1230*(1+Assumptions!$B$141+DCF!$B$6)</f>
        <v/>
      </c>
    </row>
    <row r="1231">
      <c r="A1231" s="7" t="inlineStr">
        <is>
          <t xml:space="preserve">  Volume — Naphtha, mn t</t>
        </is>
      </c>
      <c r="C1231" s="23">
        <f>'Segments'!E9*(1+Assumptions!$B$142+DCF!$B$6)</f>
        <v/>
      </c>
      <c r="D1231" s="23">
        <f>C1231*(1+Assumptions!$B$143+DCF!$B$6)</f>
        <v/>
      </c>
      <c r="E1231" s="23">
        <f>D1231*(1+Assumptions!$B$144+DCF!$B$6)</f>
        <v/>
      </c>
      <c r="F1231" s="23">
        <f>E1231*(1+Assumptions!$B$145+DCF!$B$6)</f>
        <v/>
      </c>
      <c r="G1231" s="23">
        <f>F1231*(1+Assumptions!$B$146+DCF!$B$6)</f>
        <v/>
      </c>
    </row>
    <row r="1232">
      <c r="A1232" s="7" t="inlineStr">
        <is>
          <t xml:space="preserve">  Volume — Liquefied petroleum gas, mn t</t>
        </is>
      </c>
      <c r="C1232" s="23">
        <f>'Segments'!E10*(1+Assumptions!$B$147+DCF!$B$6)</f>
        <v/>
      </c>
      <c r="D1232" s="23">
        <f>C1232*(1+Assumptions!$B$148+DCF!$B$6)</f>
        <v/>
      </c>
      <c r="E1232" s="23">
        <f>D1232*(1+Assumptions!$B$149+DCF!$B$6)</f>
        <v/>
      </c>
      <c r="F1232" s="23">
        <f>E1232*(1+Assumptions!$B$150+DCF!$B$6)</f>
        <v/>
      </c>
      <c r="G1232" s="23">
        <f>F1232*(1+Assumptions!$B$151+DCF!$B$6)</f>
        <v/>
      </c>
    </row>
    <row r="1233">
      <c r="A1233" s="7" t="inlineStr">
        <is>
          <t xml:space="preserve">  Volume — Fuel oil (mix), mn t</t>
        </is>
      </c>
      <c r="C1233" s="23">
        <f>'Segments'!E11*(1+Assumptions!$B$152+DCF!$B$6)</f>
        <v/>
      </c>
      <c r="D1233" s="23">
        <f>C1233*(1+Assumptions!$B$153+DCF!$B$6)</f>
        <v/>
      </c>
      <c r="E1233" s="23">
        <f>D1233*(1+Assumptions!$B$154+DCF!$B$6)</f>
        <v/>
      </c>
      <c r="F1233" s="23">
        <f>E1233*(1+Assumptions!$B$155+DCF!$B$6)</f>
        <v/>
      </c>
      <c r="G1233" s="23">
        <f>F1233*(1+Assumptions!$B$156+DCF!$B$6)</f>
        <v/>
      </c>
    </row>
    <row r="1234">
      <c r="A1234" s="7" t="inlineStr">
        <is>
          <t xml:space="preserve">  Volume — Heavy fuel oil, mn t</t>
        </is>
      </c>
      <c r="C1234" s="23">
        <f>'Segments'!E12*(1+Assumptions!$B$157+DCF!$B$6)</f>
        <v/>
      </c>
      <c r="D1234" s="23">
        <f>C1234*(1+Assumptions!$B$158+DCF!$B$6)</f>
        <v/>
      </c>
      <c r="E1234" s="23">
        <f>D1234*(1+Assumptions!$B$159+DCF!$B$6)</f>
        <v/>
      </c>
      <c r="F1234" s="23">
        <f>E1234*(1+Assumptions!$B$160+DCF!$B$6)</f>
        <v/>
      </c>
      <c r="G1234" s="23">
        <f>F1234*(1+Assumptions!$B$161+DCF!$B$6)</f>
        <v/>
      </c>
    </row>
    <row r="1235">
      <c r="A1235" s="7" t="inlineStr">
        <is>
          <t xml:space="preserve">  Volume — Waste, mn t</t>
        </is>
      </c>
      <c r="C1235" s="23">
        <f>'Segments'!E13*(1+Assumptions!$B$162+DCF!$B$6)</f>
        <v/>
      </c>
      <c r="D1235" s="23">
        <f>C1235*(1+Assumptions!$B$163+DCF!$B$6)</f>
        <v/>
      </c>
      <c r="E1235" s="23">
        <f>D1235*(1+Assumptions!$B$164+DCF!$B$6)</f>
        <v/>
      </c>
      <c r="F1235" s="23">
        <f>E1235*(1+Assumptions!$B$165+DCF!$B$6)</f>
        <v/>
      </c>
      <c r="G1235" s="23">
        <f>F1235*(1+Assumptions!$B$166+DCF!$B$6)</f>
        <v/>
      </c>
    </row>
    <row r="1236">
      <c r="A1236" s="15" t="inlineStr">
        <is>
          <t>Total volume, mn t</t>
        </is>
      </c>
      <c r="C1236" s="36">
        <f>SUM(C1228:C1235)</f>
        <v/>
      </c>
      <c r="D1236" s="36">
        <f>SUM(D1228:D1235)</f>
        <v/>
      </c>
      <c r="E1236" s="36">
        <f>SUM(E1228:E1235)</f>
        <v/>
      </c>
      <c r="F1236" s="36">
        <f>SUM(F1228:F1235)</f>
        <v/>
      </c>
      <c r="G1236" s="36">
        <f>SUM(G1228:G1235)</f>
        <v/>
      </c>
    </row>
    <row r="1237">
      <c r="A1237" s="15" t="inlineStr">
        <is>
          <t>REVENUE</t>
        </is>
      </c>
      <c r="C1237" s="37">
        <f>C1228*'Segments'!$F$6*C1227+C1229*'Segments'!$F$7*C1227+C1230*'Segments'!$F$8*C1227+C1231*'Segments'!$F$9*C1227+C1232*'Segments'!$F$10*C1227+C1233*'Segments'!$F$11*C1227+C1234*'Segments'!$F$12*C1227+C1235*'Segments'!$F$13*C1227</f>
        <v/>
      </c>
      <c r="D1237" s="37">
        <f>D1228*'Segments'!$F$6*D1227+D1229*'Segments'!$F$7*D1227+D1230*'Segments'!$F$8*D1227+D1231*'Segments'!$F$9*D1227+D1232*'Segments'!$F$10*D1227+D1233*'Segments'!$F$11*D1227+D1234*'Segments'!$F$12*D1227+D1235*'Segments'!$F$13*D1227</f>
        <v/>
      </c>
      <c r="E1237" s="37">
        <f>E1228*'Segments'!$F$6*E1227+E1229*'Segments'!$F$7*E1227+E1230*'Segments'!$F$8*E1227+E1231*'Segments'!$F$9*E1227+E1232*'Segments'!$F$10*E1227+E1233*'Segments'!$F$11*E1227+E1234*'Segments'!$F$12*E1227+E1235*'Segments'!$F$13*E1227</f>
        <v/>
      </c>
      <c r="F1237" s="37">
        <f>F1228*'Segments'!$F$6*F1227+F1229*'Segments'!$F$7*F1227+F1230*'Segments'!$F$8*F1227+F1231*'Segments'!$F$9*F1227+F1232*'Segments'!$F$10*F1227+F1233*'Segments'!$F$11*F1227+F1234*'Segments'!$F$12*F1227+F1235*'Segments'!$F$13*F1227</f>
        <v/>
      </c>
      <c r="G1237" s="37">
        <f>G1228*'Segments'!$F$6*G1227+G1229*'Segments'!$F$7*G1227+G1230*'Segments'!$F$8*G1227+G1231*'Segments'!$F$9*G1227+G1232*'Segments'!$F$10*G1227+G1233*'Segments'!$F$11*G1227+G1234*'Segments'!$F$12*G1227+G1235*'Segments'!$F$13*G1227</f>
        <v/>
      </c>
    </row>
    <row r="1238">
      <c r="A1238" s="7" t="inlineStr">
        <is>
          <t>Cost of sales</t>
        </is>
      </c>
      <c r="C1238" s="18">
        <f>C1228*('Segments'!$D$27*C1227*Assumptions!$B$109+'Segments'!$B$27*(0.4983251709*C1227+0.4357405005*C1227+0.0330936548*C1227+0.0328406739))+C1229*('Segments'!$D$28*C1227*Assumptions!$B$109+'Segments'!$B$28*(0.4983251709*C1227+0.4357405005*C1227+0.0330936548*C1227+0.0328406739))+C1230*('Segments'!$D$29*C1227*Assumptions!$B$109+'Segments'!$B$29*(0.4983251709*C1227+0.4357405005*C1227+0.0330936548*C1227+0.0328406739))+C1231*('Segments'!$D$30*C1227*Assumptions!$B$109+'Segments'!$B$30*(0.4983251709*C1227+0.4357405005*C1227+0.0330936548*C1227+0.0328406739))+C1232*('Segments'!$D$31*C1227*Assumptions!$B$109+'Segments'!$B$31*(0.4983251709*C1227+0.4357405005*C1227+0.0330936548*C1227+0.0328406739))+C1233*('Segments'!$D$32*C1227*Assumptions!$B$109+'Segments'!$B$32*(0.4983251709*C1227+0.4357405005*C1227+0.0330936548*C1227+0.0328406739))+C1234*('Segments'!$D$33*C1227*Assumptions!$B$109+'Segments'!$B$33*(0.4983251709*C1227+0.4357405005*C1227+0.0330936548*C1227+0.0328406739))+C1235*('Segments'!$D$34*C1227*Assumptions!$B$109+'Segments'!$B$34*(0.4983251709*C1227+0.4357405005*C1227+0.0330936548*C1227+0.0328406739))</f>
        <v/>
      </c>
      <c r="D1238" s="18">
        <f>D1228*('Segments'!$D$27*D1227*Assumptions!$B$109+'Segments'!$B$27*(0.4983251709*D1227+0.4357405005*D1227+0.0330936548*D1227+0.0328406739))+D1229*('Segments'!$D$28*D1227*Assumptions!$B$109+'Segments'!$B$28*(0.4983251709*D1227+0.4357405005*D1227+0.0330936548*D1227+0.0328406739))+D1230*('Segments'!$D$29*D1227*Assumptions!$B$109+'Segments'!$B$29*(0.4983251709*D1227+0.4357405005*D1227+0.0330936548*D1227+0.0328406739))+D1231*('Segments'!$D$30*D1227*Assumptions!$B$109+'Segments'!$B$30*(0.4983251709*D1227+0.4357405005*D1227+0.0330936548*D1227+0.0328406739))+D1232*('Segments'!$D$31*D1227*Assumptions!$B$109+'Segments'!$B$31*(0.4983251709*D1227+0.4357405005*D1227+0.0330936548*D1227+0.0328406739))+D1233*('Segments'!$D$32*D1227*Assumptions!$B$109+'Segments'!$B$32*(0.4983251709*D1227+0.4357405005*D1227+0.0330936548*D1227+0.0328406739))+D1234*('Segments'!$D$33*D1227*Assumptions!$B$109+'Segments'!$B$33*(0.4983251709*D1227+0.4357405005*D1227+0.0330936548*D1227+0.0328406739))+D1235*('Segments'!$D$34*D1227*Assumptions!$B$109+'Segments'!$B$34*(0.4983251709*D1227+0.4357405005*D1227+0.0330936548*D1227+0.0328406739))</f>
        <v/>
      </c>
      <c r="E1238" s="18">
        <f>E1228*('Segments'!$D$27*E1227*Assumptions!$B$109+'Segments'!$B$27*(0.4983251709*E1227+0.4357405005*E1227+0.0330936548*E1227+0.0328406739))+E1229*('Segments'!$D$28*E1227*Assumptions!$B$109+'Segments'!$B$28*(0.4983251709*E1227+0.4357405005*E1227+0.0330936548*E1227+0.0328406739))+E1230*('Segments'!$D$29*E1227*Assumptions!$B$109+'Segments'!$B$29*(0.4983251709*E1227+0.4357405005*E1227+0.0330936548*E1227+0.0328406739))+E1231*('Segments'!$D$30*E1227*Assumptions!$B$109+'Segments'!$B$30*(0.4983251709*E1227+0.4357405005*E1227+0.0330936548*E1227+0.0328406739))+E1232*('Segments'!$D$31*E1227*Assumptions!$B$109+'Segments'!$B$31*(0.4983251709*E1227+0.4357405005*E1227+0.0330936548*E1227+0.0328406739))+E1233*('Segments'!$D$32*E1227*Assumptions!$B$109+'Segments'!$B$32*(0.4983251709*E1227+0.4357405005*E1227+0.0330936548*E1227+0.0328406739))+E1234*('Segments'!$D$33*E1227*Assumptions!$B$109+'Segments'!$B$33*(0.4983251709*E1227+0.4357405005*E1227+0.0330936548*E1227+0.0328406739))+E1235*('Segments'!$D$34*E1227*Assumptions!$B$109+'Segments'!$B$34*(0.4983251709*E1227+0.4357405005*E1227+0.0330936548*E1227+0.0328406739))</f>
        <v/>
      </c>
      <c r="F1238" s="18">
        <f>F1228*('Segments'!$D$27*F1227*Assumptions!$B$109+'Segments'!$B$27*(0.4983251709*F1227+0.4357405005*F1227+0.0330936548*F1227+0.0328406739))+F1229*('Segments'!$D$28*F1227*Assumptions!$B$109+'Segments'!$B$28*(0.4983251709*F1227+0.4357405005*F1227+0.0330936548*F1227+0.0328406739))+F1230*('Segments'!$D$29*F1227*Assumptions!$B$109+'Segments'!$B$29*(0.4983251709*F1227+0.4357405005*F1227+0.0330936548*F1227+0.0328406739))+F1231*('Segments'!$D$30*F1227*Assumptions!$B$109+'Segments'!$B$30*(0.4983251709*F1227+0.4357405005*F1227+0.0330936548*F1227+0.0328406739))+F1232*('Segments'!$D$31*F1227*Assumptions!$B$109+'Segments'!$B$31*(0.4983251709*F1227+0.4357405005*F1227+0.0330936548*F1227+0.0328406739))+F1233*('Segments'!$D$32*F1227*Assumptions!$B$109+'Segments'!$B$32*(0.4983251709*F1227+0.4357405005*F1227+0.0330936548*F1227+0.0328406739))+F1234*('Segments'!$D$33*F1227*Assumptions!$B$109+'Segments'!$B$33*(0.4983251709*F1227+0.4357405005*F1227+0.0330936548*F1227+0.0328406739))+F1235*('Segments'!$D$34*F1227*Assumptions!$B$109+'Segments'!$B$34*(0.4983251709*F1227+0.4357405005*F1227+0.0330936548*F1227+0.0328406739))</f>
        <v/>
      </c>
      <c r="G1238" s="18">
        <f>G1228*('Segments'!$D$27*G1227*Assumptions!$B$109+'Segments'!$B$27*(0.4983251709*G1227+0.4357405005*G1227+0.0330936548*G1227+0.0328406739))+G1229*('Segments'!$D$28*G1227*Assumptions!$B$109+'Segments'!$B$28*(0.4983251709*G1227+0.4357405005*G1227+0.0330936548*G1227+0.0328406739))+G1230*('Segments'!$D$29*G1227*Assumptions!$B$109+'Segments'!$B$29*(0.4983251709*G1227+0.4357405005*G1227+0.0330936548*G1227+0.0328406739))+G1231*('Segments'!$D$30*G1227*Assumptions!$B$109+'Segments'!$B$30*(0.4983251709*G1227+0.4357405005*G1227+0.0330936548*G1227+0.0328406739))+G1232*('Segments'!$D$31*G1227*Assumptions!$B$109+'Segments'!$B$31*(0.4983251709*G1227+0.4357405005*G1227+0.0330936548*G1227+0.0328406739))+G1233*('Segments'!$D$32*G1227*Assumptions!$B$109+'Segments'!$B$32*(0.4983251709*G1227+0.4357405005*G1227+0.0330936548*G1227+0.0328406739))+G1234*('Segments'!$D$33*G1227*Assumptions!$B$109+'Segments'!$B$33*(0.4983251709*G1227+0.4357405005*G1227+0.0330936548*G1227+0.0328406739))+G1235*('Segments'!$D$34*G1227*Assumptions!$B$109+'Segments'!$B$34*(0.4983251709*G1227+0.4357405005*G1227+0.0330936548*G1227+0.0328406739))</f>
        <v/>
      </c>
    </row>
    <row r="1239">
      <c r="A1239" s="15" t="inlineStr">
        <is>
          <t>GROSS PROFIT</t>
        </is>
      </c>
      <c r="C1239" s="37">
        <f>C1237-C1238+DCF!$B$7*C1237</f>
        <v/>
      </c>
      <c r="D1239" s="37">
        <f>D1237-D1238+DCF!$B$7*D1237</f>
        <v/>
      </c>
      <c r="E1239" s="37">
        <f>E1237-E1238+DCF!$B$7*E1237</f>
        <v/>
      </c>
      <c r="F1239" s="37">
        <f>F1237-F1238+DCF!$B$7*F1237</f>
        <v/>
      </c>
      <c r="G1239" s="37">
        <f>G1237-G1238+DCF!$B$7*G1237</f>
        <v/>
      </c>
    </row>
    <row r="1240">
      <c r="A1240" s="7" t="inlineStr">
        <is>
          <t>Gross margin</t>
        </is>
      </c>
      <c r="C1240" s="24">
        <f>C1239/C1237</f>
        <v/>
      </c>
      <c r="D1240" s="24">
        <f>D1239/D1237</f>
        <v/>
      </c>
      <c r="E1240" s="24">
        <f>E1239/E1237</f>
        <v/>
      </c>
      <c r="F1240" s="24">
        <f>F1239/F1237</f>
        <v/>
      </c>
      <c r="G1240" s="24">
        <f>G1239/G1237</f>
        <v/>
      </c>
    </row>
    <row r="1241">
      <c r="A1241" s="7" t="inlineStr">
        <is>
          <t>Operating expense</t>
        </is>
      </c>
      <c r="C1241" s="18">
        <f>('Income Statement'!$B$28*C1226)+('Income Statement'!$B$29*C1226*C1236/'Segments'!$E$14)+('Income Statement'!$B$30*C1226)+('Income Statement'!$B$31*C1226)</f>
        <v/>
      </c>
      <c r="D1241" s="18">
        <f>('Income Statement'!$B$28*D1226)+('Income Statement'!$B$29*D1226*D1236/'Segments'!$E$14)+('Income Statement'!$B$30*D1226)+('Income Statement'!$B$31*D1226)</f>
        <v/>
      </c>
      <c r="E1241" s="18">
        <f>('Income Statement'!$B$28*E1226)+('Income Statement'!$B$29*E1226*E1236/'Segments'!$E$14)+('Income Statement'!$B$30*E1226)+('Income Statement'!$B$31*E1226)</f>
        <v/>
      </c>
      <c r="F1241" s="18">
        <f>('Income Statement'!$B$28*F1226)+('Income Statement'!$B$29*F1226*F1236/'Segments'!$E$14)+('Income Statement'!$B$30*F1226)+('Income Statement'!$B$31*F1226)</f>
        <v/>
      </c>
      <c r="G1241" s="18">
        <f>('Income Statement'!$B$28*G1226)+('Income Statement'!$B$29*G1226*G1236/'Segments'!$E$14)+('Income Statement'!$B$30*G1226)+('Income Statement'!$B$31*G1226)</f>
        <v/>
      </c>
    </row>
    <row r="1242">
      <c r="A1242" s="15" t="inlineStr">
        <is>
          <t>EBITDA</t>
        </is>
      </c>
      <c r="C1242" s="37">
        <f>C1239-C1241</f>
        <v/>
      </c>
      <c r="D1242" s="37">
        <f>D1239-D1241</f>
        <v/>
      </c>
      <c r="E1242" s="37">
        <f>E1239-E1241</f>
        <v/>
      </c>
      <c r="F1242" s="37">
        <f>F1239-F1241</f>
        <v/>
      </c>
      <c r="G1242" s="37">
        <f>G1239-G1241</f>
        <v/>
      </c>
    </row>
    <row r="1243">
      <c r="A1243" s="7" t="inlineStr">
        <is>
          <t>Capital expenditure — maintenance + growth</t>
        </is>
      </c>
      <c r="C1243" s="18">
        <f>'Income Statement'!$B$43*C1226+MAX(C1236-'Segments'!$E$14,0)*2100.379938*C1226</f>
        <v/>
      </c>
      <c r="D1243" s="18">
        <f>'Income Statement'!$B$43*D1226+MAX(D1236-C1236,0)*2100.379938*D1226</f>
        <v/>
      </c>
      <c r="E1243" s="18">
        <f>'Income Statement'!$B$43*E1226+MAX(E1236-D1236,0)*2100.379938*E1226</f>
        <v/>
      </c>
      <c r="F1243" s="18">
        <f>'Income Statement'!$B$43*F1226+MAX(F1236-E1236,0)*2100.379938*F1226</f>
        <v/>
      </c>
      <c r="G1243" s="18">
        <f>'Income Statement'!$B$43*G1226+MAX(G1236-F1236,0)*2100.379938*G1226</f>
        <v/>
      </c>
    </row>
    <row r="1244">
      <c r="A1244" s="7" t="inlineStr">
        <is>
          <t>Fixed assets at cost, closing</t>
        </is>
      </c>
      <c r="C1244" s="18">
        <f>(Assumptions!$B$91+Assumptions!$B$92)/10^6+C1243</f>
        <v/>
      </c>
      <c r="D1244" s="18">
        <f>C1244+D1243</f>
        <v/>
      </c>
      <c r="E1244" s="18">
        <f>D1244+E1243</f>
        <v/>
      </c>
      <c r="F1244" s="18">
        <f>E1244+F1243</f>
        <v/>
      </c>
      <c r="G1244" s="18">
        <f>F1244+G1243</f>
        <v/>
      </c>
    </row>
    <row r="1245">
      <c r="A1245" s="7" t="inlineStr">
        <is>
          <t>Depreciation — rolls off the asset register</t>
        </is>
      </c>
      <c r="C1245" s="18">
        <f>(Assumptions!$B$91+Assumptions!$B$92)/10^6/'Income Statement'!$B$42</f>
        <v/>
      </c>
      <c r="D1245" s="18">
        <f>C1244/'Income Statement'!$B$42</f>
        <v/>
      </c>
      <c r="E1245" s="18">
        <f>D1244/'Income Statement'!$B$42</f>
        <v/>
      </c>
      <c r="F1245" s="18">
        <f>E1244/'Income Statement'!$B$42</f>
        <v/>
      </c>
      <c r="G1245" s="18">
        <f>F1244/'Income Statement'!$B$42</f>
        <v/>
      </c>
    </row>
    <row r="1246">
      <c r="A1246" s="7" t="inlineStr">
        <is>
          <t>Fixed assets, net book, closing</t>
        </is>
      </c>
      <c r="C1246" s="18">
        <f>(Assumptions!$B$90+Assumptions!$B$92)/10^6+C1243-C1245</f>
        <v/>
      </c>
      <c r="D1246" s="18">
        <f>C1246+D1243-D1245</f>
        <v/>
      </c>
      <c r="E1246" s="18">
        <f>D1246+E1243-E1245</f>
        <v/>
      </c>
      <c r="F1246" s="18">
        <f>E1246+F1243-F1245</f>
        <v/>
      </c>
      <c r="G1246" s="18">
        <f>F1246+G1243-G1245</f>
        <v/>
      </c>
    </row>
    <row r="1247">
      <c r="A1247" s="15" t="inlineStr">
        <is>
          <t>EBIT</t>
        </is>
      </c>
      <c r="C1247" s="37">
        <f>C1242-C1245</f>
        <v/>
      </c>
      <c r="D1247" s="37">
        <f>D1242-D1245</f>
        <v/>
      </c>
      <c r="E1247" s="37">
        <f>E1242-E1245</f>
        <v/>
      </c>
      <c r="F1247" s="37">
        <f>F1242-F1245</f>
        <v/>
      </c>
      <c r="G1247" s="37">
        <f>G1242-G1245</f>
        <v/>
      </c>
    </row>
    <row r="1248">
      <c r="A1248" s="7" t="inlineStr">
        <is>
          <t>NOPAT before the profit share</t>
        </is>
      </c>
      <c r="C1248" s="18">
        <f>C1247*(1-Assumptions!$B$108)</f>
        <v/>
      </c>
      <c r="D1248" s="18">
        <f>D1247*(1-Assumptions!$B$108)</f>
        <v/>
      </c>
      <c r="E1248" s="18">
        <f>E1247*(1-Assumptions!$B$108)</f>
        <v/>
      </c>
      <c r="F1248" s="18">
        <f>F1247*(1-Assumptions!$B$108)</f>
        <v/>
      </c>
      <c r="G1248" s="18">
        <f>G1247*(1-Assumptions!$B$108)</f>
        <v/>
      </c>
    </row>
    <row r="1249">
      <c r="A1249" s="7" t="inlineStr">
        <is>
          <t xml:space="preserve">  less employees' profit share and board bonuses</t>
        </is>
      </c>
      <c r="C1249" s="18">
        <f>MAX(C1248,0)*'Income Statement'!$B$40</f>
        <v/>
      </c>
      <c r="D1249" s="18">
        <f>MAX(D1248,0)*'Income Statement'!$B$40</f>
        <v/>
      </c>
      <c r="E1249" s="18">
        <f>MAX(E1248,0)*'Income Statement'!$B$40</f>
        <v/>
      </c>
      <c r="F1249" s="18">
        <f>MAX(F1248,0)*'Income Statement'!$B$40</f>
        <v/>
      </c>
      <c r="G1249" s="18">
        <f>MAX(G1248,0)*'Income Statement'!$B$40</f>
        <v/>
      </c>
    </row>
    <row r="1250">
      <c r="A1250" s="15" t="inlineStr">
        <is>
          <t>NOPAT</t>
        </is>
      </c>
      <c r="C1250" s="37">
        <f>C1248-C1249</f>
        <v/>
      </c>
      <c r="D1250" s="37">
        <f>D1248-D1249</f>
        <v/>
      </c>
      <c r="E1250" s="37">
        <f>E1248-E1249</f>
        <v/>
      </c>
      <c r="F1250" s="37">
        <f>F1248-F1249</f>
        <v/>
      </c>
      <c r="G1250" s="37">
        <f>G1248-G1249</f>
        <v/>
      </c>
    </row>
    <row r="1251">
      <c r="A1251" s="7" t="inlineStr">
        <is>
          <t>Net working capital — on days</t>
        </is>
      </c>
      <c r="C1251" s="18">
        <f>'Income Statement'!$B$44*$E$38/365*C1238+'Income Statement'!$B$45*$E$38/365*C1237-'Income Statement'!$B$46*$E$38/365*C1238</f>
        <v/>
      </c>
      <c r="D1251" s="18">
        <f>'Income Statement'!$B$44*$E$38/365*D1238+'Income Statement'!$B$45*$E$38/365*D1237-'Income Statement'!$B$46*$E$38/365*D1238</f>
        <v/>
      </c>
      <c r="E1251" s="18">
        <f>'Income Statement'!$B$44*$E$38/365*E1238+'Income Statement'!$B$45*$E$38/365*E1237-'Income Statement'!$B$46*$E$38/365*E1238</f>
        <v/>
      </c>
      <c r="F1251" s="18">
        <f>'Income Statement'!$B$44*$E$38/365*F1238+'Income Statement'!$B$45*$E$38/365*F1237-'Income Statement'!$B$46*$E$38/365*F1238</f>
        <v/>
      </c>
      <c r="G1251" s="18">
        <f>'Income Statement'!$B$44*$E$38/365*G1238+'Income Statement'!$B$45*$E$38/365*G1237-'Income Statement'!$B$46*$E$38/365*G1238</f>
        <v/>
      </c>
    </row>
    <row r="1252">
      <c r="A1252" s="7" t="inlineStr">
        <is>
          <t xml:space="preserve">  change in working capital</t>
        </is>
      </c>
      <c r="C1252" s="18">
        <f>C1251-('Income Statement'!$B$44/365*'Income Statement'!$B$21+'Income Statement'!$B$45/365*'Income Statement'!$B$19-'Income Statement'!$B$46/365*'Income Statement'!$B$21)</f>
        <v/>
      </c>
      <c r="D1252" s="18">
        <f>D1251-C1251</f>
        <v/>
      </c>
      <c r="E1252" s="18">
        <f>E1251-D1251</f>
        <v/>
      </c>
      <c r="F1252" s="18">
        <f>F1251-E1251</f>
        <v/>
      </c>
      <c r="G1252" s="18">
        <f>G1251-F1251</f>
        <v/>
      </c>
    </row>
    <row r="1253">
      <c r="A1253" s="15" t="inlineStr">
        <is>
          <t>FREE CASH FLOW TO THE FIRM</t>
        </is>
      </c>
      <c r="C1253" s="37">
        <f>C1250+C1245-C1243-C1252</f>
        <v/>
      </c>
      <c r="D1253" s="37">
        <f>D1250+D1245-D1243-D1252</f>
        <v/>
      </c>
      <c r="E1253" s="37">
        <f>E1250+E1245-E1243-E1252</f>
        <v/>
      </c>
      <c r="F1253" s="37">
        <f>F1250+F1245-F1243-F1252</f>
        <v/>
      </c>
      <c r="G1253" s="37">
        <f>G1250+G1245-G1243-G1252</f>
        <v/>
      </c>
    </row>
    <row r="1254">
      <c r="A1254" s="7" t="inlineStr">
        <is>
          <t>Glide fraction</t>
        </is>
      </c>
      <c r="C1254" s="23">
        <f>0.0000000000</f>
        <v/>
      </c>
      <c r="D1254" s="23">
        <f>0.5166487648</f>
        <v/>
      </c>
      <c r="E1254" s="23">
        <f>0.7314715360</f>
        <v/>
      </c>
      <c r="F1254" s="23">
        <f>0.8925886144</f>
        <v/>
      </c>
      <c r="G1254" s="23">
        <f>1.0000000000</f>
        <v/>
      </c>
    </row>
    <row r="1255">
      <c r="A1255" s="7" t="inlineStr">
        <is>
          <t>Forward cost of capital</t>
        </is>
      </c>
      <c r="C1255" s="24">
        <f>DCF!$B$14-(DCF!$B$14-DCF!$B$17)*C1254</f>
        <v/>
      </c>
      <c r="D1255" s="24">
        <f>DCF!$B$14-(DCF!$B$14-DCF!$B$17)*D1254</f>
        <v/>
      </c>
      <c r="E1255" s="24">
        <f>DCF!$B$14-(DCF!$B$14-DCF!$B$17)*E1254</f>
        <v/>
      </c>
      <c r="F1255" s="24">
        <f>DCF!$B$14-(DCF!$B$14-DCF!$B$17)*F1254</f>
        <v/>
      </c>
      <c r="G1255" s="24">
        <f>DCF!$B$14-(DCF!$B$14-DCF!$B$17)*G1254</f>
        <v/>
      </c>
    </row>
    <row r="1256">
      <c r="A1256" s="7" t="inlineStr">
        <is>
          <t>Cumulative discount factor</t>
        </is>
      </c>
      <c r="C1256" s="40">
        <f>1/(1+C1255)</f>
        <v/>
      </c>
      <c r="D1256" s="40">
        <f>C1256/(1+D1255)</f>
        <v/>
      </c>
      <c r="E1256" s="40">
        <f>D1256/(1+E1255)</f>
        <v/>
      </c>
      <c r="F1256" s="40">
        <f>E1256/(1+F1255)</f>
        <v/>
      </c>
      <c r="G1256" s="40">
        <f>F1256/(1+G1255)</f>
        <v/>
      </c>
    </row>
    <row r="1257">
      <c r="A1257" s="7" t="inlineStr">
        <is>
          <t>Present value</t>
        </is>
      </c>
      <c r="C1257" s="18">
        <f>C1253*C1256</f>
        <v/>
      </c>
      <c r="D1257" s="18">
        <f>D1253*D1256</f>
        <v/>
      </c>
      <c r="E1257" s="18">
        <f>E1253*E1256</f>
        <v/>
      </c>
      <c r="F1257" s="18">
        <f>F1253*F1256</f>
        <v/>
      </c>
      <c r="G1257" s="18">
        <f>G1253*G1256</f>
        <v/>
      </c>
    </row>
    <row r="1258">
      <c r="A1258" s="15" t="inlineStr">
        <is>
          <t>PV of the explicit window</t>
        </is>
      </c>
      <c r="B1258" s="37">
        <f>SUM(C1257:G1257)</f>
        <v/>
      </c>
      <c r="C1258" s="18">
        <f>C1251+C1244</f>
        <v/>
      </c>
      <c r="D1258" s="18">
        <f>D1251+D1244</f>
        <v/>
      </c>
      <c r="E1258" s="18">
        <f>E1251+E1244</f>
        <v/>
      </c>
      <c r="F1258" s="18">
        <f>F1251+F1244</f>
        <v/>
      </c>
      <c r="G1258" s="18">
        <f>G1251+G1244</f>
        <v/>
      </c>
    </row>
    <row r="1259">
      <c r="A1259" s="7" t="inlineStr">
        <is>
          <t>Terminal return on invested capital, at REPLACEMENT cost</t>
        </is>
      </c>
      <c r="B1259" s="24">
        <f>G1250*(1+Assumptions!$B$110)/G1258</f>
        <v/>
      </c>
    </row>
    <row r="1260">
      <c r="A1260" s="7" t="inlineStr">
        <is>
          <t>Required reinvestment = growth / return</t>
        </is>
      </c>
      <c r="B1260" s="24">
        <f>MIN(Assumptions!$B$110/B1259,0.95)</f>
        <v/>
      </c>
    </row>
    <row r="1261">
      <c r="A1261" s="7" t="inlineStr">
        <is>
          <t>Terminal value</t>
        </is>
      </c>
      <c r="B1261" s="18">
        <f>G1250*(1+Assumptions!$B$110)*(1-B1260)/MAX(DCF!$B$17-Assumptions!$B$110,0.02)</f>
        <v/>
      </c>
    </row>
    <row r="1262">
      <c r="A1262" s="7" t="inlineStr">
        <is>
          <t>PV of the terminal block</t>
        </is>
      </c>
      <c r="B1262" s="18">
        <f>B1261*G1256</f>
        <v/>
      </c>
    </row>
    <row r="1263">
      <c r="A1263" s="15" t="inlineStr">
        <is>
          <t>ENTERPRISE VALUE</t>
        </is>
      </c>
      <c r="B1263" s="37">
        <f>B1258+B1262</f>
        <v/>
      </c>
    </row>
    <row r="1264">
      <c r="A1264" s="7" t="inlineStr">
        <is>
          <t>plus net cash</t>
        </is>
      </c>
      <c r="B1264" s="18">
        <f>(Assumptions!$B$100-Assumptions!$B$103-Assumptions!$B$104)/10^6</f>
        <v/>
      </c>
    </row>
    <row r="1265">
      <c r="A1265" s="7" t="inlineStr">
        <is>
          <t>Enterprise value including cash</t>
        </is>
      </c>
      <c r="B1265" s="18">
        <f>B1263+B1264</f>
        <v/>
      </c>
    </row>
    <row r="1266">
      <c r="A1266" s="7" t="inlineStr">
        <is>
          <t>less minority — on the WHOLE enterprise, cash included</t>
        </is>
      </c>
      <c r="B1266" s="18">
        <f>B1265*'Income Statement'!$B$41</f>
        <v/>
      </c>
    </row>
    <row r="1267">
      <c r="A1267" s="7" t="inlineStr">
        <is>
          <t>less the tax-disputes provision</t>
        </is>
      </c>
      <c r="B1267" s="18">
        <f>Assumptions!$B$99/10^6</f>
        <v/>
      </c>
    </row>
    <row r="1268">
      <c r="A1268" s="7" t="inlineStr">
        <is>
          <t>less dividends payable — declared, out of working capital</t>
        </is>
      </c>
      <c r="B1268" s="18">
        <f>Assumptions!$B$98/10^6</f>
        <v/>
      </c>
    </row>
    <row r="1269">
      <c r="A1269" s="7" t="inlineStr">
        <is>
          <t>plus non-operating investments and pledged deposits</t>
        </is>
      </c>
      <c r="B1269" s="18">
        <f>(Assumptions!$B$102+Assumptions!$B$101)/10^6</f>
        <v/>
      </c>
    </row>
    <row r="1270">
      <c r="A1270" s="15" t="inlineStr">
        <is>
          <t>EQUITY ATTRIBUTABLE</t>
        </is>
      </c>
      <c r="B1270" s="37">
        <f>B1265-B1266-B1267-B1268+B1269</f>
        <v/>
      </c>
    </row>
    <row r="1271">
      <c r="A1271" s="15" t="inlineStr">
        <is>
          <t>VALUE PER SHARE, EGP</t>
        </is>
      </c>
      <c r="B1271" s="22">
        <f>B1270/Assumptions!$B$8</f>
        <v/>
      </c>
    </row>
    <row r="1274">
      <c r="A1274" s="6" t="inlineStr">
        <is>
          <t>Terminal growth — 3.0%</t>
        </is>
      </c>
      <c r="B1274" s="6" t="inlineStr">
        <is>
          <t>2026E</t>
        </is>
      </c>
      <c r="C1274" s="6" t="inlineStr">
        <is>
          <t>2027E</t>
        </is>
      </c>
      <c r="D1274" s="6" t="inlineStr">
        <is>
          <t>2028E</t>
        </is>
      </c>
      <c r="E1274" s="6" t="inlineStr">
        <is>
          <t>2029E</t>
        </is>
      </c>
      <c r="F1274" s="6" t="inlineStr">
        <is>
          <t>2030E</t>
        </is>
      </c>
    </row>
    <row r="1275">
      <c r="A1275" s="7" t="inlineStr">
        <is>
          <t>Inflation index, cumulative</t>
        </is>
      </c>
      <c r="C1275" s="23">
        <f>Assumptions!$B$167</f>
        <v/>
      </c>
      <c r="D1275" s="23">
        <f>C1275*Assumptions!$B$168</f>
        <v/>
      </c>
      <c r="E1275" s="23">
        <f>D1275*Assumptions!$B$169</f>
        <v/>
      </c>
      <c r="F1275" s="23">
        <f>E1275*Assumptions!$B$170</f>
        <v/>
      </c>
      <c r="G1275" s="23">
        <f>F1275*Assumptions!$B$171</f>
        <v/>
      </c>
    </row>
    <row r="1276">
      <c r="A1276" s="7" t="inlineStr">
        <is>
          <t>Realisation index, cumulative</t>
        </is>
      </c>
      <c r="C1276" s="23">
        <f>(1+Assumptions!$B$122*DCF!$B$8)</f>
        <v/>
      </c>
      <c r="D1276" s="23">
        <f>C1276*(1+Assumptions!$B$123*DCF!$B$8)</f>
        <v/>
      </c>
      <c r="E1276" s="23">
        <f>D1276*(1+Assumptions!$B$124*DCF!$B$8)</f>
        <v/>
      </c>
      <c r="F1276" s="23">
        <f>E1276*(1+Assumptions!$B$125*DCF!$B$8)</f>
        <v/>
      </c>
      <c r="G1276" s="23">
        <f>F1276*(1+Assumptions!$B$126*DCF!$B$8)</f>
        <v/>
      </c>
    </row>
    <row r="1277">
      <c r="A1277" s="7" t="inlineStr">
        <is>
          <t xml:space="preserve">  Volume — Base and special oils, mn t</t>
        </is>
      </c>
      <c r="C1277" s="23">
        <f>'Segments'!E6*(1+Assumptions!$B$127+DCF!$B$6)</f>
        <v/>
      </c>
      <c r="D1277" s="23">
        <f>C1277*(1+Assumptions!$B$128+DCF!$B$6)</f>
        <v/>
      </c>
      <c r="E1277" s="23">
        <f>D1277*(1+Assumptions!$B$129+DCF!$B$6)</f>
        <v/>
      </c>
      <c r="F1277" s="23">
        <f>E1277*(1+Assumptions!$B$130+DCF!$B$6)</f>
        <v/>
      </c>
      <c r="G1277" s="23">
        <f>F1277*(1+Assumptions!$B$131+DCF!$B$6)</f>
        <v/>
      </c>
    </row>
    <row r="1278">
      <c r="A1278" s="7" t="inlineStr">
        <is>
          <t xml:space="preserve">  Volume — Paraffin wax, mn t</t>
        </is>
      </c>
      <c r="C1278" s="23">
        <f>'Segments'!E7*(1+Assumptions!$B$132+DCF!$B$6)</f>
        <v/>
      </c>
      <c r="D1278" s="23">
        <f>C1278*(1+Assumptions!$B$133+DCF!$B$6)</f>
        <v/>
      </c>
      <c r="E1278" s="23">
        <f>D1278*(1+Assumptions!$B$134+DCF!$B$6)</f>
        <v/>
      </c>
      <c r="F1278" s="23">
        <f>E1278*(1+Assumptions!$B$135+DCF!$B$6)</f>
        <v/>
      </c>
      <c r="G1278" s="23">
        <f>F1278*(1+Assumptions!$B$136+DCF!$B$6)</f>
        <v/>
      </c>
    </row>
    <row r="1279">
      <c r="A1279" s="7" t="inlineStr">
        <is>
          <t xml:space="preserve">  Volume — Gas oil, mn t</t>
        </is>
      </c>
      <c r="C1279" s="23">
        <f>'Segments'!E8*(1+Assumptions!$B$137+DCF!$B$6)</f>
        <v/>
      </c>
      <c r="D1279" s="23">
        <f>C1279*(1+Assumptions!$B$138+DCF!$B$6)</f>
        <v/>
      </c>
      <c r="E1279" s="23">
        <f>D1279*(1+Assumptions!$B$139+DCF!$B$6)</f>
        <v/>
      </c>
      <c r="F1279" s="23">
        <f>E1279*(1+Assumptions!$B$140+DCF!$B$6)</f>
        <v/>
      </c>
      <c r="G1279" s="23">
        <f>F1279*(1+Assumptions!$B$141+DCF!$B$6)</f>
        <v/>
      </c>
    </row>
    <row r="1280">
      <c r="A1280" s="7" t="inlineStr">
        <is>
          <t xml:space="preserve">  Volume — Naphtha, mn t</t>
        </is>
      </c>
      <c r="C1280" s="23">
        <f>'Segments'!E9*(1+Assumptions!$B$142+DCF!$B$6)</f>
        <v/>
      </c>
      <c r="D1280" s="23">
        <f>C1280*(1+Assumptions!$B$143+DCF!$B$6)</f>
        <v/>
      </c>
      <c r="E1280" s="23">
        <f>D1280*(1+Assumptions!$B$144+DCF!$B$6)</f>
        <v/>
      </c>
      <c r="F1280" s="23">
        <f>E1280*(1+Assumptions!$B$145+DCF!$B$6)</f>
        <v/>
      </c>
      <c r="G1280" s="23">
        <f>F1280*(1+Assumptions!$B$146+DCF!$B$6)</f>
        <v/>
      </c>
    </row>
    <row r="1281">
      <c r="A1281" s="7" t="inlineStr">
        <is>
          <t xml:space="preserve">  Volume — Liquefied petroleum gas, mn t</t>
        </is>
      </c>
      <c r="C1281" s="23">
        <f>'Segments'!E10*(1+Assumptions!$B$147+DCF!$B$6)</f>
        <v/>
      </c>
      <c r="D1281" s="23">
        <f>C1281*(1+Assumptions!$B$148+DCF!$B$6)</f>
        <v/>
      </c>
      <c r="E1281" s="23">
        <f>D1281*(1+Assumptions!$B$149+DCF!$B$6)</f>
        <v/>
      </c>
      <c r="F1281" s="23">
        <f>E1281*(1+Assumptions!$B$150+DCF!$B$6)</f>
        <v/>
      </c>
      <c r="G1281" s="23">
        <f>F1281*(1+Assumptions!$B$151+DCF!$B$6)</f>
        <v/>
      </c>
    </row>
    <row r="1282">
      <c r="A1282" s="7" t="inlineStr">
        <is>
          <t xml:space="preserve">  Volume — Fuel oil (mix), mn t</t>
        </is>
      </c>
      <c r="C1282" s="23">
        <f>'Segments'!E11*(1+Assumptions!$B$152+DCF!$B$6)</f>
        <v/>
      </c>
      <c r="D1282" s="23">
        <f>C1282*(1+Assumptions!$B$153+DCF!$B$6)</f>
        <v/>
      </c>
      <c r="E1282" s="23">
        <f>D1282*(1+Assumptions!$B$154+DCF!$B$6)</f>
        <v/>
      </c>
      <c r="F1282" s="23">
        <f>E1282*(1+Assumptions!$B$155+DCF!$B$6)</f>
        <v/>
      </c>
      <c r="G1282" s="23">
        <f>F1282*(1+Assumptions!$B$156+DCF!$B$6)</f>
        <v/>
      </c>
    </row>
    <row r="1283">
      <c r="A1283" s="7" t="inlineStr">
        <is>
          <t xml:space="preserve">  Volume — Heavy fuel oil, mn t</t>
        </is>
      </c>
      <c r="C1283" s="23">
        <f>'Segments'!E12*(1+Assumptions!$B$157+DCF!$B$6)</f>
        <v/>
      </c>
      <c r="D1283" s="23">
        <f>C1283*(1+Assumptions!$B$158+DCF!$B$6)</f>
        <v/>
      </c>
      <c r="E1283" s="23">
        <f>D1283*(1+Assumptions!$B$159+DCF!$B$6)</f>
        <v/>
      </c>
      <c r="F1283" s="23">
        <f>E1283*(1+Assumptions!$B$160+DCF!$B$6)</f>
        <v/>
      </c>
      <c r="G1283" s="23">
        <f>F1283*(1+Assumptions!$B$161+DCF!$B$6)</f>
        <v/>
      </c>
    </row>
    <row r="1284">
      <c r="A1284" s="7" t="inlineStr">
        <is>
          <t xml:space="preserve">  Volume — Waste, mn t</t>
        </is>
      </c>
      <c r="C1284" s="23">
        <f>'Segments'!E13*(1+Assumptions!$B$162+DCF!$B$6)</f>
        <v/>
      </c>
      <c r="D1284" s="23">
        <f>C1284*(1+Assumptions!$B$163+DCF!$B$6)</f>
        <v/>
      </c>
      <c r="E1284" s="23">
        <f>D1284*(1+Assumptions!$B$164+DCF!$B$6)</f>
        <v/>
      </c>
      <c r="F1284" s="23">
        <f>E1284*(1+Assumptions!$B$165+DCF!$B$6)</f>
        <v/>
      </c>
      <c r="G1284" s="23">
        <f>F1284*(1+Assumptions!$B$166+DCF!$B$6)</f>
        <v/>
      </c>
    </row>
    <row r="1285">
      <c r="A1285" s="15" t="inlineStr">
        <is>
          <t>Total volume, mn t</t>
        </is>
      </c>
      <c r="C1285" s="36">
        <f>SUM(C1277:C1284)</f>
        <v/>
      </c>
      <c r="D1285" s="36">
        <f>SUM(D1277:D1284)</f>
        <v/>
      </c>
      <c r="E1285" s="36">
        <f>SUM(E1277:E1284)</f>
        <v/>
      </c>
      <c r="F1285" s="36">
        <f>SUM(F1277:F1284)</f>
        <v/>
      </c>
      <c r="G1285" s="36">
        <f>SUM(G1277:G1284)</f>
        <v/>
      </c>
    </row>
    <row r="1286">
      <c r="A1286" s="15" t="inlineStr">
        <is>
          <t>REVENUE</t>
        </is>
      </c>
      <c r="C1286" s="37">
        <f>C1277*'Segments'!$F$6*C1276+C1278*'Segments'!$F$7*C1276+C1279*'Segments'!$F$8*C1276+C1280*'Segments'!$F$9*C1276+C1281*'Segments'!$F$10*C1276+C1282*'Segments'!$F$11*C1276+C1283*'Segments'!$F$12*C1276+C1284*'Segments'!$F$13*C1276</f>
        <v/>
      </c>
      <c r="D1286" s="37">
        <f>D1277*'Segments'!$F$6*D1276+D1278*'Segments'!$F$7*D1276+D1279*'Segments'!$F$8*D1276+D1280*'Segments'!$F$9*D1276+D1281*'Segments'!$F$10*D1276+D1282*'Segments'!$F$11*D1276+D1283*'Segments'!$F$12*D1276+D1284*'Segments'!$F$13*D1276</f>
        <v/>
      </c>
      <c r="E1286" s="37">
        <f>E1277*'Segments'!$F$6*E1276+E1278*'Segments'!$F$7*E1276+E1279*'Segments'!$F$8*E1276+E1280*'Segments'!$F$9*E1276+E1281*'Segments'!$F$10*E1276+E1282*'Segments'!$F$11*E1276+E1283*'Segments'!$F$12*E1276+E1284*'Segments'!$F$13*E1276</f>
        <v/>
      </c>
      <c r="F1286" s="37">
        <f>F1277*'Segments'!$F$6*F1276+F1278*'Segments'!$F$7*F1276+F1279*'Segments'!$F$8*F1276+F1280*'Segments'!$F$9*F1276+F1281*'Segments'!$F$10*F1276+F1282*'Segments'!$F$11*F1276+F1283*'Segments'!$F$12*F1276+F1284*'Segments'!$F$13*F1276</f>
        <v/>
      </c>
      <c r="G1286" s="37">
        <f>G1277*'Segments'!$F$6*G1276+G1278*'Segments'!$F$7*G1276+G1279*'Segments'!$F$8*G1276+G1280*'Segments'!$F$9*G1276+G1281*'Segments'!$F$10*G1276+G1282*'Segments'!$F$11*G1276+G1283*'Segments'!$F$12*G1276+G1284*'Segments'!$F$13*G1276</f>
        <v/>
      </c>
    </row>
    <row r="1287">
      <c r="A1287" s="7" t="inlineStr">
        <is>
          <t>Cost of sales</t>
        </is>
      </c>
      <c r="C1287" s="18">
        <f>C1277*('Segments'!$D$27*C1276*Assumptions!$B$109+'Segments'!$B$27*(0.4983251709*C1276+0.4357405005*C1276+0.0330936548*C1276+0.0328406739))+C1278*('Segments'!$D$28*C1276*Assumptions!$B$109+'Segments'!$B$28*(0.4983251709*C1276+0.4357405005*C1276+0.0330936548*C1276+0.0328406739))+C1279*('Segments'!$D$29*C1276*Assumptions!$B$109+'Segments'!$B$29*(0.4983251709*C1276+0.4357405005*C1276+0.0330936548*C1276+0.0328406739))+C1280*('Segments'!$D$30*C1276*Assumptions!$B$109+'Segments'!$B$30*(0.4983251709*C1276+0.4357405005*C1276+0.0330936548*C1276+0.0328406739))+C1281*('Segments'!$D$31*C1276*Assumptions!$B$109+'Segments'!$B$31*(0.4983251709*C1276+0.4357405005*C1276+0.0330936548*C1276+0.0328406739))+C1282*('Segments'!$D$32*C1276*Assumptions!$B$109+'Segments'!$B$32*(0.4983251709*C1276+0.4357405005*C1276+0.0330936548*C1276+0.0328406739))+C1283*('Segments'!$D$33*C1276*Assumptions!$B$109+'Segments'!$B$33*(0.4983251709*C1276+0.4357405005*C1276+0.0330936548*C1276+0.0328406739))+C1284*('Segments'!$D$34*C1276*Assumptions!$B$109+'Segments'!$B$34*(0.4983251709*C1276+0.4357405005*C1276+0.0330936548*C1276+0.0328406739))</f>
        <v/>
      </c>
      <c r="D1287" s="18">
        <f>D1277*('Segments'!$D$27*D1276*Assumptions!$B$109+'Segments'!$B$27*(0.4983251709*D1276+0.4357405005*D1276+0.0330936548*D1276+0.0328406739))+D1278*('Segments'!$D$28*D1276*Assumptions!$B$109+'Segments'!$B$28*(0.4983251709*D1276+0.4357405005*D1276+0.0330936548*D1276+0.0328406739))+D1279*('Segments'!$D$29*D1276*Assumptions!$B$109+'Segments'!$B$29*(0.4983251709*D1276+0.4357405005*D1276+0.0330936548*D1276+0.0328406739))+D1280*('Segments'!$D$30*D1276*Assumptions!$B$109+'Segments'!$B$30*(0.4983251709*D1276+0.4357405005*D1276+0.0330936548*D1276+0.0328406739))+D1281*('Segments'!$D$31*D1276*Assumptions!$B$109+'Segments'!$B$31*(0.4983251709*D1276+0.4357405005*D1276+0.0330936548*D1276+0.0328406739))+D1282*('Segments'!$D$32*D1276*Assumptions!$B$109+'Segments'!$B$32*(0.4983251709*D1276+0.4357405005*D1276+0.0330936548*D1276+0.0328406739))+D1283*('Segments'!$D$33*D1276*Assumptions!$B$109+'Segments'!$B$33*(0.4983251709*D1276+0.4357405005*D1276+0.0330936548*D1276+0.0328406739))+D1284*('Segments'!$D$34*D1276*Assumptions!$B$109+'Segments'!$B$34*(0.4983251709*D1276+0.4357405005*D1276+0.0330936548*D1276+0.0328406739))</f>
        <v/>
      </c>
      <c r="E1287" s="18">
        <f>E1277*('Segments'!$D$27*E1276*Assumptions!$B$109+'Segments'!$B$27*(0.4983251709*E1276+0.4357405005*E1276+0.0330936548*E1276+0.0328406739))+E1278*('Segments'!$D$28*E1276*Assumptions!$B$109+'Segments'!$B$28*(0.4983251709*E1276+0.4357405005*E1276+0.0330936548*E1276+0.0328406739))+E1279*('Segments'!$D$29*E1276*Assumptions!$B$109+'Segments'!$B$29*(0.4983251709*E1276+0.4357405005*E1276+0.0330936548*E1276+0.0328406739))+E1280*('Segments'!$D$30*E1276*Assumptions!$B$109+'Segments'!$B$30*(0.4983251709*E1276+0.4357405005*E1276+0.0330936548*E1276+0.0328406739))+E1281*('Segments'!$D$31*E1276*Assumptions!$B$109+'Segments'!$B$31*(0.4983251709*E1276+0.4357405005*E1276+0.0330936548*E1276+0.0328406739))+E1282*('Segments'!$D$32*E1276*Assumptions!$B$109+'Segments'!$B$32*(0.4983251709*E1276+0.4357405005*E1276+0.0330936548*E1276+0.0328406739))+E1283*('Segments'!$D$33*E1276*Assumptions!$B$109+'Segments'!$B$33*(0.4983251709*E1276+0.4357405005*E1276+0.0330936548*E1276+0.0328406739))+E1284*('Segments'!$D$34*E1276*Assumptions!$B$109+'Segments'!$B$34*(0.4983251709*E1276+0.4357405005*E1276+0.0330936548*E1276+0.0328406739))</f>
        <v/>
      </c>
      <c r="F1287" s="18">
        <f>F1277*('Segments'!$D$27*F1276*Assumptions!$B$109+'Segments'!$B$27*(0.4983251709*F1276+0.4357405005*F1276+0.0330936548*F1276+0.0328406739))+F1278*('Segments'!$D$28*F1276*Assumptions!$B$109+'Segments'!$B$28*(0.4983251709*F1276+0.4357405005*F1276+0.0330936548*F1276+0.0328406739))+F1279*('Segments'!$D$29*F1276*Assumptions!$B$109+'Segments'!$B$29*(0.4983251709*F1276+0.4357405005*F1276+0.0330936548*F1276+0.0328406739))+F1280*('Segments'!$D$30*F1276*Assumptions!$B$109+'Segments'!$B$30*(0.4983251709*F1276+0.4357405005*F1276+0.0330936548*F1276+0.0328406739))+F1281*('Segments'!$D$31*F1276*Assumptions!$B$109+'Segments'!$B$31*(0.4983251709*F1276+0.4357405005*F1276+0.0330936548*F1276+0.0328406739))+F1282*('Segments'!$D$32*F1276*Assumptions!$B$109+'Segments'!$B$32*(0.4983251709*F1276+0.4357405005*F1276+0.0330936548*F1276+0.0328406739))+F1283*('Segments'!$D$33*F1276*Assumptions!$B$109+'Segments'!$B$33*(0.4983251709*F1276+0.4357405005*F1276+0.0330936548*F1276+0.0328406739))+F1284*('Segments'!$D$34*F1276*Assumptions!$B$109+'Segments'!$B$34*(0.4983251709*F1276+0.4357405005*F1276+0.0330936548*F1276+0.0328406739))</f>
        <v/>
      </c>
      <c r="G1287" s="18">
        <f>G1277*('Segments'!$D$27*G1276*Assumptions!$B$109+'Segments'!$B$27*(0.4983251709*G1276+0.4357405005*G1276+0.0330936548*G1276+0.0328406739))+G1278*('Segments'!$D$28*G1276*Assumptions!$B$109+'Segments'!$B$28*(0.4983251709*G1276+0.4357405005*G1276+0.0330936548*G1276+0.0328406739))+G1279*('Segments'!$D$29*G1276*Assumptions!$B$109+'Segments'!$B$29*(0.4983251709*G1276+0.4357405005*G1276+0.0330936548*G1276+0.0328406739))+G1280*('Segments'!$D$30*G1276*Assumptions!$B$109+'Segments'!$B$30*(0.4983251709*G1276+0.4357405005*G1276+0.0330936548*G1276+0.0328406739))+G1281*('Segments'!$D$31*G1276*Assumptions!$B$109+'Segments'!$B$31*(0.4983251709*G1276+0.4357405005*G1276+0.0330936548*G1276+0.0328406739))+G1282*('Segments'!$D$32*G1276*Assumptions!$B$109+'Segments'!$B$32*(0.4983251709*G1276+0.4357405005*G1276+0.0330936548*G1276+0.0328406739))+G1283*('Segments'!$D$33*G1276*Assumptions!$B$109+'Segments'!$B$33*(0.4983251709*G1276+0.4357405005*G1276+0.0330936548*G1276+0.0328406739))+G1284*('Segments'!$D$34*G1276*Assumptions!$B$109+'Segments'!$B$34*(0.4983251709*G1276+0.4357405005*G1276+0.0330936548*G1276+0.0328406739))</f>
        <v/>
      </c>
    </row>
    <row r="1288">
      <c r="A1288" s="15" t="inlineStr">
        <is>
          <t>GROSS PROFIT</t>
        </is>
      </c>
      <c r="C1288" s="37">
        <f>C1286-C1287+DCF!$B$7*C1286</f>
        <v/>
      </c>
      <c r="D1288" s="37">
        <f>D1286-D1287+DCF!$B$7*D1286</f>
        <v/>
      </c>
      <c r="E1288" s="37">
        <f>E1286-E1287+DCF!$B$7*E1286</f>
        <v/>
      </c>
      <c r="F1288" s="37">
        <f>F1286-F1287+DCF!$B$7*F1286</f>
        <v/>
      </c>
      <c r="G1288" s="37">
        <f>G1286-G1287+DCF!$B$7*G1286</f>
        <v/>
      </c>
    </row>
    <row r="1289">
      <c r="A1289" s="7" t="inlineStr">
        <is>
          <t>Gross margin</t>
        </is>
      </c>
      <c r="C1289" s="24">
        <f>C1288/C1286</f>
        <v/>
      </c>
      <c r="D1289" s="24">
        <f>D1288/D1286</f>
        <v/>
      </c>
      <c r="E1289" s="24">
        <f>E1288/E1286</f>
        <v/>
      </c>
      <c r="F1289" s="24">
        <f>F1288/F1286</f>
        <v/>
      </c>
      <c r="G1289" s="24">
        <f>G1288/G1286</f>
        <v/>
      </c>
    </row>
    <row r="1290">
      <c r="A1290" s="7" t="inlineStr">
        <is>
          <t>Operating expense</t>
        </is>
      </c>
      <c r="C1290" s="18">
        <f>('Income Statement'!$B$28*C1275)+('Income Statement'!$B$29*C1275*C1285/'Segments'!$E$14)+('Income Statement'!$B$30*C1275)+('Income Statement'!$B$31*C1275)</f>
        <v/>
      </c>
      <c r="D1290" s="18">
        <f>('Income Statement'!$B$28*D1275)+('Income Statement'!$B$29*D1275*D1285/'Segments'!$E$14)+('Income Statement'!$B$30*D1275)+('Income Statement'!$B$31*D1275)</f>
        <v/>
      </c>
      <c r="E1290" s="18">
        <f>('Income Statement'!$B$28*E1275)+('Income Statement'!$B$29*E1275*E1285/'Segments'!$E$14)+('Income Statement'!$B$30*E1275)+('Income Statement'!$B$31*E1275)</f>
        <v/>
      </c>
      <c r="F1290" s="18">
        <f>('Income Statement'!$B$28*F1275)+('Income Statement'!$B$29*F1275*F1285/'Segments'!$E$14)+('Income Statement'!$B$30*F1275)+('Income Statement'!$B$31*F1275)</f>
        <v/>
      </c>
      <c r="G1290" s="18">
        <f>('Income Statement'!$B$28*G1275)+('Income Statement'!$B$29*G1275*G1285/'Segments'!$E$14)+('Income Statement'!$B$30*G1275)+('Income Statement'!$B$31*G1275)</f>
        <v/>
      </c>
    </row>
    <row r="1291">
      <c r="A1291" s="15" t="inlineStr">
        <is>
          <t>EBITDA</t>
        </is>
      </c>
      <c r="C1291" s="37">
        <f>C1288-C1290</f>
        <v/>
      </c>
      <c r="D1291" s="37">
        <f>D1288-D1290</f>
        <v/>
      </c>
      <c r="E1291" s="37">
        <f>E1288-E1290</f>
        <v/>
      </c>
      <c r="F1291" s="37">
        <f>F1288-F1290</f>
        <v/>
      </c>
      <c r="G1291" s="37">
        <f>G1288-G1290</f>
        <v/>
      </c>
    </row>
    <row r="1292">
      <c r="A1292" s="7" t="inlineStr">
        <is>
          <t>Capital expenditure — maintenance + growth</t>
        </is>
      </c>
      <c r="C1292" s="18">
        <f>'Income Statement'!$B$43*C1275+MAX(C1285-'Segments'!$E$14,0)*2100.379938*C1275</f>
        <v/>
      </c>
      <c r="D1292" s="18">
        <f>'Income Statement'!$B$43*D1275+MAX(D1285-C1285,0)*2100.379938*D1275</f>
        <v/>
      </c>
      <c r="E1292" s="18">
        <f>'Income Statement'!$B$43*E1275+MAX(E1285-D1285,0)*2100.379938*E1275</f>
        <v/>
      </c>
      <c r="F1292" s="18">
        <f>'Income Statement'!$B$43*F1275+MAX(F1285-E1285,0)*2100.379938*F1275</f>
        <v/>
      </c>
      <c r="G1292" s="18">
        <f>'Income Statement'!$B$43*G1275+MAX(G1285-F1285,0)*2100.379938*G1275</f>
        <v/>
      </c>
    </row>
    <row r="1293">
      <c r="A1293" s="7" t="inlineStr">
        <is>
          <t>Fixed assets at cost, closing</t>
        </is>
      </c>
      <c r="C1293" s="18">
        <f>(Assumptions!$B$91+Assumptions!$B$92)/10^6+C1292</f>
        <v/>
      </c>
      <c r="D1293" s="18">
        <f>C1293+D1292</f>
        <v/>
      </c>
      <c r="E1293" s="18">
        <f>D1293+E1292</f>
        <v/>
      </c>
      <c r="F1293" s="18">
        <f>E1293+F1292</f>
        <v/>
      </c>
      <c r="G1293" s="18">
        <f>F1293+G1292</f>
        <v/>
      </c>
    </row>
    <row r="1294">
      <c r="A1294" s="7" t="inlineStr">
        <is>
          <t>Depreciation — rolls off the asset register</t>
        </is>
      </c>
      <c r="C1294" s="18">
        <f>(Assumptions!$B$91+Assumptions!$B$92)/10^6/'Income Statement'!$B$42</f>
        <v/>
      </c>
      <c r="D1294" s="18">
        <f>C1293/'Income Statement'!$B$42</f>
        <v/>
      </c>
      <c r="E1294" s="18">
        <f>D1293/'Income Statement'!$B$42</f>
        <v/>
      </c>
      <c r="F1294" s="18">
        <f>E1293/'Income Statement'!$B$42</f>
        <v/>
      </c>
      <c r="G1294" s="18">
        <f>F1293/'Income Statement'!$B$42</f>
        <v/>
      </c>
    </row>
    <row r="1295">
      <c r="A1295" s="7" t="inlineStr">
        <is>
          <t>Fixed assets, net book, closing</t>
        </is>
      </c>
      <c r="C1295" s="18">
        <f>(Assumptions!$B$90+Assumptions!$B$92)/10^6+C1292-C1294</f>
        <v/>
      </c>
      <c r="D1295" s="18">
        <f>C1295+D1292-D1294</f>
        <v/>
      </c>
      <c r="E1295" s="18">
        <f>D1295+E1292-E1294</f>
        <v/>
      </c>
      <c r="F1295" s="18">
        <f>E1295+F1292-F1294</f>
        <v/>
      </c>
      <c r="G1295" s="18">
        <f>F1295+G1292-G1294</f>
        <v/>
      </c>
    </row>
    <row r="1296">
      <c r="A1296" s="15" t="inlineStr">
        <is>
          <t>EBIT</t>
        </is>
      </c>
      <c r="C1296" s="37">
        <f>C1291-C1294</f>
        <v/>
      </c>
      <c r="D1296" s="37">
        <f>D1291-D1294</f>
        <v/>
      </c>
      <c r="E1296" s="37">
        <f>E1291-E1294</f>
        <v/>
      </c>
      <c r="F1296" s="37">
        <f>F1291-F1294</f>
        <v/>
      </c>
      <c r="G1296" s="37">
        <f>G1291-G1294</f>
        <v/>
      </c>
    </row>
    <row r="1297">
      <c r="A1297" s="7" t="inlineStr">
        <is>
          <t>NOPAT before the profit share</t>
        </is>
      </c>
      <c r="C1297" s="18">
        <f>C1296*(1-Assumptions!$B$108)</f>
        <v/>
      </c>
      <c r="D1297" s="18">
        <f>D1296*(1-Assumptions!$B$108)</f>
        <v/>
      </c>
      <c r="E1297" s="18">
        <f>E1296*(1-Assumptions!$B$108)</f>
        <v/>
      </c>
      <c r="F1297" s="18">
        <f>F1296*(1-Assumptions!$B$108)</f>
        <v/>
      </c>
      <c r="G1297" s="18">
        <f>G1296*(1-Assumptions!$B$108)</f>
        <v/>
      </c>
    </row>
    <row r="1298">
      <c r="A1298" s="7" t="inlineStr">
        <is>
          <t xml:space="preserve">  less employees' profit share and board bonuses</t>
        </is>
      </c>
      <c r="C1298" s="18">
        <f>MAX(C1297,0)*'Income Statement'!$B$40</f>
        <v/>
      </c>
      <c r="D1298" s="18">
        <f>MAX(D1297,0)*'Income Statement'!$B$40</f>
        <v/>
      </c>
      <c r="E1298" s="18">
        <f>MAX(E1297,0)*'Income Statement'!$B$40</f>
        <v/>
      </c>
      <c r="F1298" s="18">
        <f>MAX(F1297,0)*'Income Statement'!$B$40</f>
        <v/>
      </c>
      <c r="G1298" s="18">
        <f>MAX(G1297,0)*'Income Statement'!$B$40</f>
        <v/>
      </c>
    </row>
    <row r="1299">
      <c r="A1299" s="15" t="inlineStr">
        <is>
          <t>NOPAT</t>
        </is>
      </c>
      <c r="C1299" s="37">
        <f>C1297-C1298</f>
        <v/>
      </c>
      <c r="D1299" s="37">
        <f>D1297-D1298</f>
        <v/>
      </c>
      <c r="E1299" s="37">
        <f>E1297-E1298</f>
        <v/>
      </c>
      <c r="F1299" s="37">
        <f>F1297-F1298</f>
        <v/>
      </c>
      <c r="G1299" s="37">
        <f>G1297-G1298</f>
        <v/>
      </c>
    </row>
    <row r="1300">
      <c r="A1300" s="7" t="inlineStr">
        <is>
          <t>Net working capital — on days</t>
        </is>
      </c>
      <c r="C1300" s="18">
        <f>'Income Statement'!$B$44*DCF!$B$9/365*C1287+'Income Statement'!$B$45*DCF!$B$9/365*C1286-'Income Statement'!$B$46*DCF!$B$9/365*C1287</f>
        <v/>
      </c>
      <c r="D1300" s="18">
        <f>'Income Statement'!$B$44*DCF!$B$9/365*D1287+'Income Statement'!$B$45*DCF!$B$9/365*D1286-'Income Statement'!$B$46*DCF!$B$9/365*D1287</f>
        <v/>
      </c>
      <c r="E1300" s="18">
        <f>'Income Statement'!$B$44*DCF!$B$9/365*E1287+'Income Statement'!$B$45*DCF!$B$9/365*E1286-'Income Statement'!$B$46*DCF!$B$9/365*E1287</f>
        <v/>
      </c>
      <c r="F1300" s="18">
        <f>'Income Statement'!$B$44*DCF!$B$9/365*F1287+'Income Statement'!$B$45*DCF!$B$9/365*F1286-'Income Statement'!$B$46*DCF!$B$9/365*F1287</f>
        <v/>
      </c>
      <c r="G1300" s="18">
        <f>'Income Statement'!$B$44*DCF!$B$9/365*G1287+'Income Statement'!$B$45*DCF!$B$9/365*G1286-'Income Statement'!$B$46*DCF!$B$9/365*G1287</f>
        <v/>
      </c>
    </row>
    <row r="1301">
      <c r="A1301" s="7" t="inlineStr">
        <is>
          <t xml:space="preserve">  change in working capital</t>
        </is>
      </c>
      <c r="C1301" s="18">
        <f>C1300-('Income Statement'!$B$44/365*'Income Statement'!$B$21+'Income Statement'!$B$45/365*'Income Statement'!$B$19-'Income Statement'!$B$46/365*'Income Statement'!$B$21)</f>
        <v/>
      </c>
      <c r="D1301" s="18">
        <f>D1300-C1300</f>
        <v/>
      </c>
      <c r="E1301" s="18">
        <f>E1300-D1300</f>
        <v/>
      </c>
      <c r="F1301" s="18">
        <f>F1300-E1300</f>
        <v/>
      </c>
      <c r="G1301" s="18">
        <f>G1300-F1300</f>
        <v/>
      </c>
    </row>
    <row r="1302">
      <c r="A1302" s="15" t="inlineStr">
        <is>
          <t>FREE CASH FLOW TO THE FIRM</t>
        </is>
      </c>
      <c r="C1302" s="37">
        <f>C1299+C1294-C1292-C1301</f>
        <v/>
      </c>
      <c r="D1302" s="37">
        <f>D1299+D1294-D1292-D1301</f>
        <v/>
      </c>
      <c r="E1302" s="37">
        <f>E1299+E1294-E1292-E1301</f>
        <v/>
      </c>
      <c r="F1302" s="37">
        <f>F1299+F1294-F1292-F1301</f>
        <v/>
      </c>
      <c r="G1302" s="37">
        <f>G1299+G1294-G1292-G1301</f>
        <v/>
      </c>
    </row>
    <row r="1303">
      <c r="A1303" s="7" t="inlineStr">
        <is>
          <t>Glide fraction</t>
        </is>
      </c>
      <c r="C1303" s="23">
        <f>0.0000000000</f>
        <v/>
      </c>
      <c r="D1303" s="23">
        <f>0.5166487648</f>
        <v/>
      </c>
      <c r="E1303" s="23">
        <f>0.7314715360</f>
        <v/>
      </c>
      <c r="F1303" s="23">
        <f>0.8925886144</f>
        <v/>
      </c>
      <c r="G1303" s="23">
        <f>1.0000000000</f>
        <v/>
      </c>
    </row>
    <row r="1304">
      <c r="A1304" s="7" t="inlineStr">
        <is>
          <t>Forward cost of capital</t>
        </is>
      </c>
      <c r="C1304" s="24">
        <f>DCF!$B$14-(DCF!$B$14-DCF!$B$17)*C1303</f>
        <v/>
      </c>
      <c r="D1304" s="24">
        <f>DCF!$B$14-(DCF!$B$14-DCF!$B$17)*D1303</f>
        <v/>
      </c>
      <c r="E1304" s="24">
        <f>DCF!$B$14-(DCF!$B$14-DCF!$B$17)*E1303</f>
        <v/>
      </c>
      <c r="F1304" s="24">
        <f>DCF!$B$14-(DCF!$B$14-DCF!$B$17)*F1303</f>
        <v/>
      </c>
      <c r="G1304" s="24">
        <f>DCF!$B$14-(DCF!$B$14-DCF!$B$17)*G1303</f>
        <v/>
      </c>
    </row>
    <row r="1305">
      <c r="A1305" s="7" t="inlineStr">
        <is>
          <t>Cumulative discount factor</t>
        </is>
      </c>
      <c r="C1305" s="40">
        <f>1/(1+C1304)</f>
        <v/>
      </c>
      <c r="D1305" s="40">
        <f>C1305/(1+D1304)</f>
        <v/>
      </c>
      <c r="E1305" s="40">
        <f>D1305/(1+E1304)</f>
        <v/>
      </c>
      <c r="F1305" s="40">
        <f>E1305/(1+F1304)</f>
        <v/>
      </c>
      <c r="G1305" s="40">
        <f>F1305/(1+G1304)</f>
        <v/>
      </c>
    </row>
    <row r="1306">
      <c r="A1306" s="7" t="inlineStr">
        <is>
          <t>Present value</t>
        </is>
      </c>
      <c r="C1306" s="18">
        <f>C1302*C1305</f>
        <v/>
      </c>
      <c r="D1306" s="18">
        <f>D1302*D1305</f>
        <v/>
      </c>
      <c r="E1306" s="18">
        <f>E1302*E1305</f>
        <v/>
      </c>
      <c r="F1306" s="18">
        <f>F1302*F1305</f>
        <v/>
      </c>
      <c r="G1306" s="18">
        <f>G1302*G1305</f>
        <v/>
      </c>
    </row>
    <row r="1307">
      <c r="A1307" s="15" t="inlineStr">
        <is>
          <t>PV of the explicit window</t>
        </is>
      </c>
      <c r="B1307" s="37">
        <f>SUM(C1306:G1306)</f>
        <v/>
      </c>
      <c r="C1307" s="18">
        <f>C1300+C1293</f>
        <v/>
      </c>
      <c r="D1307" s="18">
        <f>D1300+D1293</f>
        <v/>
      </c>
      <c r="E1307" s="18">
        <f>E1300+E1293</f>
        <v/>
      </c>
      <c r="F1307" s="18">
        <f>F1300+F1293</f>
        <v/>
      </c>
      <c r="G1307" s="18">
        <f>G1300+G1293</f>
        <v/>
      </c>
    </row>
    <row r="1308">
      <c r="A1308" s="7" t="inlineStr">
        <is>
          <t>Terminal return on invested capital, at REPLACEMENT cost</t>
        </is>
      </c>
      <c r="B1308" s="24">
        <f>G1299*(1+$H$41)/G1307</f>
        <v/>
      </c>
    </row>
    <row r="1309">
      <c r="A1309" s="7" t="inlineStr">
        <is>
          <t>Required reinvestment = growth / return</t>
        </is>
      </c>
      <c r="B1309" s="24">
        <f>MIN($H$41/B1308,0.95)</f>
        <v/>
      </c>
    </row>
    <row r="1310">
      <c r="A1310" s="7" t="inlineStr">
        <is>
          <t>Terminal value</t>
        </is>
      </c>
      <c r="B1310" s="18">
        <f>G1299*(1+$H$41)*(1-B1309)/MAX(DCF!$B$17-$H$41,0.02)</f>
        <v/>
      </c>
    </row>
    <row r="1311">
      <c r="A1311" s="7" t="inlineStr">
        <is>
          <t>PV of the terminal block</t>
        </is>
      </c>
      <c r="B1311" s="18">
        <f>B1310*G1305</f>
        <v/>
      </c>
    </row>
    <row r="1312">
      <c r="A1312" s="15" t="inlineStr">
        <is>
          <t>ENTERPRISE VALUE</t>
        </is>
      </c>
      <c r="B1312" s="37">
        <f>B1307+B1311</f>
        <v/>
      </c>
    </row>
    <row r="1313">
      <c r="A1313" s="7" t="inlineStr">
        <is>
          <t>plus net cash</t>
        </is>
      </c>
      <c r="B1313" s="18">
        <f>(Assumptions!$B$100-Assumptions!$B$103-Assumptions!$B$104)/10^6</f>
        <v/>
      </c>
    </row>
    <row r="1314">
      <c r="A1314" s="7" t="inlineStr">
        <is>
          <t>Enterprise value including cash</t>
        </is>
      </c>
      <c r="B1314" s="18">
        <f>B1312+B1313</f>
        <v/>
      </c>
    </row>
    <row r="1315">
      <c r="A1315" s="7" t="inlineStr">
        <is>
          <t>less minority — on the WHOLE enterprise, cash included</t>
        </is>
      </c>
      <c r="B1315" s="18">
        <f>B1314*'Income Statement'!$B$41</f>
        <v/>
      </c>
    </row>
    <row r="1316">
      <c r="A1316" s="7" t="inlineStr">
        <is>
          <t>less the tax-disputes provision</t>
        </is>
      </c>
      <c r="B1316" s="18">
        <f>Assumptions!$B$99/10^6</f>
        <v/>
      </c>
    </row>
    <row r="1317">
      <c r="A1317" s="7" t="inlineStr">
        <is>
          <t>less dividends payable — declared, out of working capital</t>
        </is>
      </c>
      <c r="B1317" s="18">
        <f>Assumptions!$B$98/10^6</f>
        <v/>
      </c>
    </row>
    <row r="1318">
      <c r="A1318" s="7" t="inlineStr">
        <is>
          <t>plus non-operating investments and pledged deposits</t>
        </is>
      </c>
      <c r="B1318" s="18">
        <f>(Assumptions!$B$102+Assumptions!$B$101)/10^6</f>
        <v/>
      </c>
    </row>
    <row r="1319">
      <c r="A1319" s="15" t="inlineStr">
        <is>
          <t>EQUITY ATTRIBUTABLE</t>
        </is>
      </c>
      <c r="B1319" s="37">
        <f>B1314-B1315-B1316-B1317+B1318</f>
        <v/>
      </c>
    </row>
    <row r="1320">
      <c r="A1320" s="15" t="inlineStr">
        <is>
          <t>VALUE PER SHARE, EGP</t>
        </is>
      </c>
      <c r="B1320" s="22">
        <f>B1319/Assumptions!$B$8</f>
        <v/>
      </c>
    </row>
    <row r="1323">
      <c r="A1323" s="6" t="inlineStr">
        <is>
          <t>Terminal growth — 4.0%</t>
        </is>
      </c>
      <c r="B1323" s="6" t="inlineStr">
        <is>
          <t>2026E</t>
        </is>
      </c>
      <c r="C1323" s="6" t="inlineStr">
        <is>
          <t>2027E</t>
        </is>
      </c>
      <c r="D1323" s="6" t="inlineStr">
        <is>
          <t>2028E</t>
        </is>
      </c>
      <c r="E1323" s="6" t="inlineStr">
        <is>
          <t>2029E</t>
        </is>
      </c>
      <c r="F1323" s="6" t="inlineStr">
        <is>
          <t>2030E</t>
        </is>
      </c>
    </row>
    <row r="1324">
      <c r="A1324" s="7" t="inlineStr">
        <is>
          <t>Inflation index, cumulative</t>
        </is>
      </c>
      <c r="C1324" s="23">
        <f>Assumptions!$B$167</f>
        <v/>
      </c>
      <c r="D1324" s="23">
        <f>C1324*Assumptions!$B$168</f>
        <v/>
      </c>
      <c r="E1324" s="23">
        <f>D1324*Assumptions!$B$169</f>
        <v/>
      </c>
      <c r="F1324" s="23">
        <f>E1324*Assumptions!$B$170</f>
        <v/>
      </c>
      <c r="G1324" s="23">
        <f>F1324*Assumptions!$B$171</f>
        <v/>
      </c>
    </row>
    <row r="1325">
      <c r="A1325" s="7" t="inlineStr">
        <is>
          <t>Realisation index, cumulative</t>
        </is>
      </c>
      <c r="C1325" s="23">
        <f>(1+Assumptions!$B$122*DCF!$B$8)</f>
        <v/>
      </c>
      <c r="D1325" s="23">
        <f>C1325*(1+Assumptions!$B$123*DCF!$B$8)</f>
        <v/>
      </c>
      <c r="E1325" s="23">
        <f>D1325*(1+Assumptions!$B$124*DCF!$B$8)</f>
        <v/>
      </c>
      <c r="F1325" s="23">
        <f>E1325*(1+Assumptions!$B$125*DCF!$B$8)</f>
        <v/>
      </c>
      <c r="G1325" s="23">
        <f>F1325*(1+Assumptions!$B$126*DCF!$B$8)</f>
        <v/>
      </c>
    </row>
    <row r="1326">
      <c r="A1326" s="7" t="inlineStr">
        <is>
          <t xml:space="preserve">  Volume — Base and special oils, mn t</t>
        </is>
      </c>
      <c r="C1326" s="23">
        <f>'Segments'!E6*(1+Assumptions!$B$127+DCF!$B$6)</f>
        <v/>
      </c>
      <c r="D1326" s="23">
        <f>C1326*(1+Assumptions!$B$128+DCF!$B$6)</f>
        <v/>
      </c>
      <c r="E1326" s="23">
        <f>D1326*(1+Assumptions!$B$129+DCF!$B$6)</f>
        <v/>
      </c>
      <c r="F1326" s="23">
        <f>E1326*(1+Assumptions!$B$130+DCF!$B$6)</f>
        <v/>
      </c>
      <c r="G1326" s="23">
        <f>F1326*(1+Assumptions!$B$131+DCF!$B$6)</f>
        <v/>
      </c>
    </row>
    <row r="1327">
      <c r="A1327" s="7" t="inlineStr">
        <is>
          <t xml:space="preserve">  Volume — Paraffin wax, mn t</t>
        </is>
      </c>
      <c r="C1327" s="23">
        <f>'Segments'!E7*(1+Assumptions!$B$132+DCF!$B$6)</f>
        <v/>
      </c>
      <c r="D1327" s="23">
        <f>C1327*(1+Assumptions!$B$133+DCF!$B$6)</f>
        <v/>
      </c>
      <c r="E1327" s="23">
        <f>D1327*(1+Assumptions!$B$134+DCF!$B$6)</f>
        <v/>
      </c>
      <c r="F1327" s="23">
        <f>E1327*(1+Assumptions!$B$135+DCF!$B$6)</f>
        <v/>
      </c>
      <c r="G1327" s="23">
        <f>F1327*(1+Assumptions!$B$136+DCF!$B$6)</f>
        <v/>
      </c>
    </row>
    <row r="1328">
      <c r="A1328" s="7" t="inlineStr">
        <is>
          <t xml:space="preserve">  Volume — Gas oil, mn t</t>
        </is>
      </c>
      <c r="C1328" s="23">
        <f>'Segments'!E8*(1+Assumptions!$B$137+DCF!$B$6)</f>
        <v/>
      </c>
      <c r="D1328" s="23">
        <f>C1328*(1+Assumptions!$B$138+DCF!$B$6)</f>
        <v/>
      </c>
      <c r="E1328" s="23">
        <f>D1328*(1+Assumptions!$B$139+DCF!$B$6)</f>
        <v/>
      </c>
      <c r="F1328" s="23">
        <f>E1328*(1+Assumptions!$B$140+DCF!$B$6)</f>
        <v/>
      </c>
      <c r="G1328" s="23">
        <f>F1328*(1+Assumptions!$B$141+DCF!$B$6)</f>
        <v/>
      </c>
    </row>
    <row r="1329">
      <c r="A1329" s="7" t="inlineStr">
        <is>
          <t xml:space="preserve">  Volume — Naphtha, mn t</t>
        </is>
      </c>
      <c r="C1329" s="23">
        <f>'Segments'!E9*(1+Assumptions!$B$142+DCF!$B$6)</f>
        <v/>
      </c>
      <c r="D1329" s="23">
        <f>C1329*(1+Assumptions!$B$143+DCF!$B$6)</f>
        <v/>
      </c>
      <c r="E1329" s="23">
        <f>D1329*(1+Assumptions!$B$144+DCF!$B$6)</f>
        <v/>
      </c>
      <c r="F1329" s="23">
        <f>E1329*(1+Assumptions!$B$145+DCF!$B$6)</f>
        <v/>
      </c>
      <c r="G1329" s="23">
        <f>F1329*(1+Assumptions!$B$146+DCF!$B$6)</f>
        <v/>
      </c>
    </row>
    <row r="1330">
      <c r="A1330" s="7" t="inlineStr">
        <is>
          <t xml:space="preserve">  Volume — Liquefied petroleum gas, mn t</t>
        </is>
      </c>
      <c r="C1330" s="23">
        <f>'Segments'!E10*(1+Assumptions!$B$147+DCF!$B$6)</f>
        <v/>
      </c>
      <c r="D1330" s="23">
        <f>C1330*(1+Assumptions!$B$148+DCF!$B$6)</f>
        <v/>
      </c>
      <c r="E1330" s="23">
        <f>D1330*(1+Assumptions!$B$149+DCF!$B$6)</f>
        <v/>
      </c>
      <c r="F1330" s="23">
        <f>E1330*(1+Assumptions!$B$150+DCF!$B$6)</f>
        <v/>
      </c>
      <c r="G1330" s="23">
        <f>F1330*(1+Assumptions!$B$151+DCF!$B$6)</f>
        <v/>
      </c>
    </row>
    <row r="1331">
      <c r="A1331" s="7" t="inlineStr">
        <is>
          <t xml:space="preserve">  Volume — Fuel oil (mix), mn t</t>
        </is>
      </c>
      <c r="C1331" s="23">
        <f>'Segments'!E11*(1+Assumptions!$B$152+DCF!$B$6)</f>
        <v/>
      </c>
      <c r="D1331" s="23">
        <f>C1331*(1+Assumptions!$B$153+DCF!$B$6)</f>
        <v/>
      </c>
      <c r="E1331" s="23">
        <f>D1331*(1+Assumptions!$B$154+DCF!$B$6)</f>
        <v/>
      </c>
      <c r="F1331" s="23">
        <f>E1331*(1+Assumptions!$B$155+DCF!$B$6)</f>
        <v/>
      </c>
      <c r="G1331" s="23">
        <f>F1331*(1+Assumptions!$B$156+DCF!$B$6)</f>
        <v/>
      </c>
    </row>
    <row r="1332">
      <c r="A1332" s="7" t="inlineStr">
        <is>
          <t xml:space="preserve">  Volume — Heavy fuel oil, mn t</t>
        </is>
      </c>
      <c r="C1332" s="23">
        <f>'Segments'!E12*(1+Assumptions!$B$157+DCF!$B$6)</f>
        <v/>
      </c>
      <c r="D1332" s="23">
        <f>C1332*(1+Assumptions!$B$158+DCF!$B$6)</f>
        <v/>
      </c>
      <c r="E1332" s="23">
        <f>D1332*(1+Assumptions!$B$159+DCF!$B$6)</f>
        <v/>
      </c>
      <c r="F1332" s="23">
        <f>E1332*(1+Assumptions!$B$160+DCF!$B$6)</f>
        <v/>
      </c>
      <c r="G1332" s="23">
        <f>F1332*(1+Assumptions!$B$161+DCF!$B$6)</f>
        <v/>
      </c>
    </row>
    <row r="1333">
      <c r="A1333" s="7" t="inlineStr">
        <is>
          <t xml:space="preserve">  Volume — Waste, mn t</t>
        </is>
      </c>
      <c r="C1333" s="23">
        <f>'Segments'!E13*(1+Assumptions!$B$162+DCF!$B$6)</f>
        <v/>
      </c>
      <c r="D1333" s="23">
        <f>C1333*(1+Assumptions!$B$163+DCF!$B$6)</f>
        <v/>
      </c>
      <c r="E1333" s="23">
        <f>D1333*(1+Assumptions!$B$164+DCF!$B$6)</f>
        <v/>
      </c>
      <c r="F1333" s="23">
        <f>E1333*(1+Assumptions!$B$165+DCF!$B$6)</f>
        <v/>
      </c>
      <c r="G1333" s="23">
        <f>F1333*(1+Assumptions!$B$166+DCF!$B$6)</f>
        <v/>
      </c>
    </row>
    <row r="1334">
      <c r="A1334" s="15" t="inlineStr">
        <is>
          <t>Total volume, mn t</t>
        </is>
      </c>
      <c r="C1334" s="36">
        <f>SUM(C1326:C1333)</f>
        <v/>
      </c>
      <c r="D1334" s="36">
        <f>SUM(D1326:D1333)</f>
        <v/>
      </c>
      <c r="E1334" s="36">
        <f>SUM(E1326:E1333)</f>
        <v/>
      </c>
      <c r="F1334" s="36">
        <f>SUM(F1326:F1333)</f>
        <v/>
      </c>
      <c r="G1334" s="36">
        <f>SUM(G1326:G1333)</f>
        <v/>
      </c>
    </row>
    <row r="1335">
      <c r="A1335" s="15" t="inlineStr">
        <is>
          <t>REVENUE</t>
        </is>
      </c>
      <c r="C1335" s="37">
        <f>C1326*'Segments'!$F$6*C1325+C1327*'Segments'!$F$7*C1325+C1328*'Segments'!$F$8*C1325+C1329*'Segments'!$F$9*C1325+C1330*'Segments'!$F$10*C1325+C1331*'Segments'!$F$11*C1325+C1332*'Segments'!$F$12*C1325+C1333*'Segments'!$F$13*C1325</f>
        <v/>
      </c>
      <c r="D1335" s="37">
        <f>D1326*'Segments'!$F$6*D1325+D1327*'Segments'!$F$7*D1325+D1328*'Segments'!$F$8*D1325+D1329*'Segments'!$F$9*D1325+D1330*'Segments'!$F$10*D1325+D1331*'Segments'!$F$11*D1325+D1332*'Segments'!$F$12*D1325+D1333*'Segments'!$F$13*D1325</f>
        <v/>
      </c>
      <c r="E1335" s="37">
        <f>E1326*'Segments'!$F$6*E1325+E1327*'Segments'!$F$7*E1325+E1328*'Segments'!$F$8*E1325+E1329*'Segments'!$F$9*E1325+E1330*'Segments'!$F$10*E1325+E1331*'Segments'!$F$11*E1325+E1332*'Segments'!$F$12*E1325+E1333*'Segments'!$F$13*E1325</f>
        <v/>
      </c>
      <c r="F1335" s="37">
        <f>F1326*'Segments'!$F$6*F1325+F1327*'Segments'!$F$7*F1325+F1328*'Segments'!$F$8*F1325+F1329*'Segments'!$F$9*F1325+F1330*'Segments'!$F$10*F1325+F1331*'Segments'!$F$11*F1325+F1332*'Segments'!$F$12*F1325+F1333*'Segments'!$F$13*F1325</f>
        <v/>
      </c>
      <c r="G1335" s="37">
        <f>G1326*'Segments'!$F$6*G1325+G1327*'Segments'!$F$7*G1325+G1328*'Segments'!$F$8*G1325+G1329*'Segments'!$F$9*G1325+G1330*'Segments'!$F$10*G1325+G1331*'Segments'!$F$11*G1325+G1332*'Segments'!$F$12*G1325+G1333*'Segments'!$F$13*G1325</f>
        <v/>
      </c>
    </row>
    <row r="1336">
      <c r="A1336" s="7" t="inlineStr">
        <is>
          <t>Cost of sales</t>
        </is>
      </c>
      <c r="C1336" s="18">
        <f>C1326*('Segments'!$D$27*C1325*Assumptions!$B$109+'Segments'!$B$27*(0.4983251709*C1325+0.4357405005*C1325+0.0330936548*C1325+0.0328406739))+C1327*('Segments'!$D$28*C1325*Assumptions!$B$109+'Segments'!$B$28*(0.4983251709*C1325+0.4357405005*C1325+0.0330936548*C1325+0.0328406739))+C1328*('Segments'!$D$29*C1325*Assumptions!$B$109+'Segments'!$B$29*(0.4983251709*C1325+0.4357405005*C1325+0.0330936548*C1325+0.0328406739))+C1329*('Segments'!$D$30*C1325*Assumptions!$B$109+'Segments'!$B$30*(0.4983251709*C1325+0.4357405005*C1325+0.0330936548*C1325+0.0328406739))+C1330*('Segments'!$D$31*C1325*Assumptions!$B$109+'Segments'!$B$31*(0.4983251709*C1325+0.4357405005*C1325+0.0330936548*C1325+0.0328406739))+C1331*('Segments'!$D$32*C1325*Assumptions!$B$109+'Segments'!$B$32*(0.4983251709*C1325+0.4357405005*C1325+0.0330936548*C1325+0.0328406739))+C1332*('Segments'!$D$33*C1325*Assumptions!$B$109+'Segments'!$B$33*(0.4983251709*C1325+0.4357405005*C1325+0.0330936548*C1325+0.0328406739))+C1333*('Segments'!$D$34*C1325*Assumptions!$B$109+'Segments'!$B$34*(0.4983251709*C1325+0.4357405005*C1325+0.0330936548*C1325+0.0328406739))</f>
        <v/>
      </c>
      <c r="D1336" s="18">
        <f>D1326*('Segments'!$D$27*D1325*Assumptions!$B$109+'Segments'!$B$27*(0.4983251709*D1325+0.4357405005*D1325+0.0330936548*D1325+0.0328406739))+D1327*('Segments'!$D$28*D1325*Assumptions!$B$109+'Segments'!$B$28*(0.4983251709*D1325+0.4357405005*D1325+0.0330936548*D1325+0.0328406739))+D1328*('Segments'!$D$29*D1325*Assumptions!$B$109+'Segments'!$B$29*(0.4983251709*D1325+0.4357405005*D1325+0.0330936548*D1325+0.0328406739))+D1329*('Segments'!$D$30*D1325*Assumptions!$B$109+'Segments'!$B$30*(0.4983251709*D1325+0.4357405005*D1325+0.0330936548*D1325+0.0328406739))+D1330*('Segments'!$D$31*D1325*Assumptions!$B$109+'Segments'!$B$31*(0.4983251709*D1325+0.4357405005*D1325+0.0330936548*D1325+0.0328406739))+D1331*('Segments'!$D$32*D1325*Assumptions!$B$109+'Segments'!$B$32*(0.4983251709*D1325+0.4357405005*D1325+0.0330936548*D1325+0.0328406739))+D1332*('Segments'!$D$33*D1325*Assumptions!$B$109+'Segments'!$B$33*(0.4983251709*D1325+0.4357405005*D1325+0.0330936548*D1325+0.0328406739))+D1333*('Segments'!$D$34*D1325*Assumptions!$B$109+'Segments'!$B$34*(0.4983251709*D1325+0.4357405005*D1325+0.0330936548*D1325+0.0328406739))</f>
        <v/>
      </c>
      <c r="E1336" s="18">
        <f>E1326*('Segments'!$D$27*E1325*Assumptions!$B$109+'Segments'!$B$27*(0.4983251709*E1325+0.4357405005*E1325+0.0330936548*E1325+0.0328406739))+E1327*('Segments'!$D$28*E1325*Assumptions!$B$109+'Segments'!$B$28*(0.4983251709*E1325+0.4357405005*E1325+0.0330936548*E1325+0.0328406739))+E1328*('Segments'!$D$29*E1325*Assumptions!$B$109+'Segments'!$B$29*(0.4983251709*E1325+0.4357405005*E1325+0.0330936548*E1325+0.0328406739))+E1329*('Segments'!$D$30*E1325*Assumptions!$B$109+'Segments'!$B$30*(0.4983251709*E1325+0.4357405005*E1325+0.0330936548*E1325+0.0328406739))+E1330*('Segments'!$D$31*E1325*Assumptions!$B$109+'Segments'!$B$31*(0.4983251709*E1325+0.4357405005*E1325+0.0330936548*E1325+0.0328406739))+E1331*('Segments'!$D$32*E1325*Assumptions!$B$109+'Segments'!$B$32*(0.4983251709*E1325+0.4357405005*E1325+0.0330936548*E1325+0.0328406739))+E1332*('Segments'!$D$33*E1325*Assumptions!$B$109+'Segments'!$B$33*(0.4983251709*E1325+0.4357405005*E1325+0.0330936548*E1325+0.0328406739))+E1333*('Segments'!$D$34*E1325*Assumptions!$B$109+'Segments'!$B$34*(0.4983251709*E1325+0.4357405005*E1325+0.0330936548*E1325+0.0328406739))</f>
        <v/>
      </c>
      <c r="F1336" s="18">
        <f>F1326*('Segments'!$D$27*F1325*Assumptions!$B$109+'Segments'!$B$27*(0.4983251709*F1325+0.4357405005*F1325+0.0330936548*F1325+0.0328406739))+F1327*('Segments'!$D$28*F1325*Assumptions!$B$109+'Segments'!$B$28*(0.4983251709*F1325+0.4357405005*F1325+0.0330936548*F1325+0.0328406739))+F1328*('Segments'!$D$29*F1325*Assumptions!$B$109+'Segments'!$B$29*(0.4983251709*F1325+0.4357405005*F1325+0.0330936548*F1325+0.0328406739))+F1329*('Segments'!$D$30*F1325*Assumptions!$B$109+'Segments'!$B$30*(0.4983251709*F1325+0.4357405005*F1325+0.0330936548*F1325+0.0328406739))+F1330*('Segments'!$D$31*F1325*Assumptions!$B$109+'Segments'!$B$31*(0.4983251709*F1325+0.4357405005*F1325+0.0330936548*F1325+0.0328406739))+F1331*('Segments'!$D$32*F1325*Assumptions!$B$109+'Segments'!$B$32*(0.4983251709*F1325+0.4357405005*F1325+0.0330936548*F1325+0.0328406739))+F1332*('Segments'!$D$33*F1325*Assumptions!$B$109+'Segments'!$B$33*(0.4983251709*F1325+0.4357405005*F1325+0.0330936548*F1325+0.0328406739))+F1333*('Segments'!$D$34*F1325*Assumptions!$B$109+'Segments'!$B$34*(0.4983251709*F1325+0.4357405005*F1325+0.0330936548*F1325+0.0328406739))</f>
        <v/>
      </c>
      <c r="G1336" s="18">
        <f>G1326*('Segments'!$D$27*G1325*Assumptions!$B$109+'Segments'!$B$27*(0.4983251709*G1325+0.4357405005*G1325+0.0330936548*G1325+0.0328406739))+G1327*('Segments'!$D$28*G1325*Assumptions!$B$109+'Segments'!$B$28*(0.4983251709*G1325+0.4357405005*G1325+0.0330936548*G1325+0.0328406739))+G1328*('Segments'!$D$29*G1325*Assumptions!$B$109+'Segments'!$B$29*(0.4983251709*G1325+0.4357405005*G1325+0.0330936548*G1325+0.0328406739))+G1329*('Segments'!$D$30*G1325*Assumptions!$B$109+'Segments'!$B$30*(0.4983251709*G1325+0.4357405005*G1325+0.0330936548*G1325+0.0328406739))+G1330*('Segments'!$D$31*G1325*Assumptions!$B$109+'Segments'!$B$31*(0.4983251709*G1325+0.4357405005*G1325+0.0330936548*G1325+0.0328406739))+G1331*('Segments'!$D$32*G1325*Assumptions!$B$109+'Segments'!$B$32*(0.4983251709*G1325+0.4357405005*G1325+0.0330936548*G1325+0.0328406739))+G1332*('Segments'!$D$33*G1325*Assumptions!$B$109+'Segments'!$B$33*(0.4983251709*G1325+0.4357405005*G1325+0.0330936548*G1325+0.0328406739))+G1333*('Segments'!$D$34*G1325*Assumptions!$B$109+'Segments'!$B$34*(0.4983251709*G1325+0.4357405005*G1325+0.0330936548*G1325+0.0328406739))</f>
        <v/>
      </c>
    </row>
    <row r="1337">
      <c r="A1337" s="15" t="inlineStr">
        <is>
          <t>GROSS PROFIT</t>
        </is>
      </c>
      <c r="C1337" s="37">
        <f>C1335-C1336+DCF!$B$7*C1335</f>
        <v/>
      </c>
      <c r="D1337" s="37">
        <f>D1335-D1336+DCF!$B$7*D1335</f>
        <v/>
      </c>
      <c r="E1337" s="37">
        <f>E1335-E1336+DCF!$B$7*E1335</f>
        <v/>
      </c>
      <c r="F1337" s="37">
        <f>F1335-F1336+DCF!$B$7*F1335</f>
        <v/>
      </c>
      <c r="G1337" s="37">
        <f>G1335-G1336+DCF!$B$7*G1335</f>
        <v/>
      </c>
    </row>
    <row r="1338">
      <c r="A1338" s="7" t="inlineStr">
        <is>
          <t>Gross margin</t>
        </is>
      </c>
      <c r="C1338" s="24">
        <f>C1337/C1335</f>
        <v/>
      </c>
      <c r="D1338" s="24">
        <f>D1337/D1335</f>
        <v/>
      </c>
      <c r="E1338" s="24">
        <f>E1337/E1335</f>
        <v/>
      </c>
      <c r="F1338" s="24">
        <f>F1337/F1335</f>
        <v/>
      </c>
      <c r="G1338" s="24">
        <f>G1337/G1335</f>
        <v/>
      </c>
    </row>
    <row r="1339">
      <c r="A1339" s="7" t="inlineStr">
        <is>
          <t>Operating expense</t>
        </is>
      </c>
      <c r="C1339" s="18">
        <f>('Income Statement'!$B$28*C1324)+('Income Statement'!$B$29*C1324*C1334/'Segments'!$E$14)+('Income Statement'!$B$30*C1324)+('Income Statement'!$B$31*C1324)</f>
        <v/>
      </c>
      <c r="D1339" s="18">
        <f>('Income Statement'!$B$28*D1324)+('Income Statement'!$B$29*D1324*D1334/'Segments'!$E$14)+('Income Statement'!$B$30*D1324)+('Income Statement'!$B$31*D1324)</f>
        <v/>
      </c>
      <c r="E1339" s="18">
        <f>('Income Statement'!$B$28*E1324)+('Income Statement'!$B$29*E1324*E1334/'Segments'!$E$14)+('Income Statement'!$B$30*E1324)+('Income Statement'!$B$31*E1324)</f>
        <v/>
      </c>
      <c r="F1339" s="18">
        <f>('Income Statement'!$B$28*F1324)+('Income Statement'!$B$29*F1324*F1334/'Segments'!$E$14)+('Income Statement'!$B$30*F1324)+('Income Statement'!$B$31*F1324)</f>
        <v/>
      </c>
      <c r="G1339" s="18">
        <f>('Income Statement'!$B$28*G1324)+('Income Statement'!$B$29*G1324*G1334/'Segments'!$E$14)+('Income Statement'!$B$30*G1324)+('Income Statement'!$B$31*G1324)</f>
        <v/>
      </c>
    </row>
    <row r="1340">
      <c r="A1340" s="15" t="inlineStr">
        <is>
          <t>EBITDA</t>
        </is>
      </c>
      <c r="C1340" s="37">
        <f>C1337-C1339</f>
        <v/>
      </c>
      <c r="D1340" s="37">
        <f>D1337-D1339</f>
        <v/>
      </c>
      <c r="E1340" s="37">
        <f>E1337-E1339</f>
        <v/>
      </c>
      <c r="F1340" s="37">
        <f>F1337-F1339</f>
        <v/>
      </c>
      <c r="G1340" s="37">
        <f>G1337-G1339</f>
        <v/>
      </c>
    </row>
    <row r="1341">
      <c r="A1341" s="7" t="inlineStr">
        <is>
          <t>Capital expenditure — maintenance + growth</t>
        </is>
      </c>
      <c r="C1341" s="18">
        <f>'Income Statement'!$B$43*C1324+MAX(C1334-'Segments'!$E$14,0)*2100.379938*C1324</f>
        <v/>
      </c>
      <c r="D1341" s="18">
        <f>'Income Statement'!$B$43*D1324+MAX(D1334-C1334,0)*2100.379938*D1324</f>
        <v/>
      </c>
      <c r="E1341" s="18">
        <f>'Income Statement'!$B$43*E1324+MAX(E1334-D1334,0)*2100.379938*E1324</f>
        <v/>
      </c>
      <c r="F1341" s="18">
        <f>'Income Statement'!$B$43*F1324+MAX(F1334-E1334,0)*2100.379938*F1324</f>
        <v/>
      </c>
      <c r="G1341" s="18">
        <f>'Income Statement'!$B$43*G1324+MAX(G1334-F1334,0)*2100.379938*G1324</f>
        <v/>
      </c>
    </row>
    <row r="1342">
      <c r="A1342" s="7" t="inlineStr">
        <is>
          <t>Fixed assets at cost, closing</t>
        </is>
      </c>
      <c r="C1342" s="18">
        <f>(Assumptions!$B$91+Assumptions!$B$92)/10^6+C1341</f>
        <v/>
      </c>
      <c r="D1342" s="18">
        <f>C1342+D1341</f>
        <v/>
      </c>
      <c r="E1342" s="18">
        <f>D1342+E1341</f>
        <v/>
      </c>
      <c r="F1342" s="18">
        <f>E1342+F1341</f>
        <v/>
      </c>
      <c r="G1342" s="18">
        <f>F1342+G1341</f>
        <v/>
      </c>
    </row>
    <row r="1343">
      <c r="A1343" s="7" t="inlineStr">
        <is>
          <t>Depreciation — rolls off the asset register</t>
        </is>
      </c>
      <c r="C1343" s="18">
        <f>(Assumptions!$B$91+Assumptions!$B$92)/10^6/'Income Statement'!$B$42</f>
        <v/>
      </c>
      <c r="D1343" s="18">
        <f>C1342/'Income Statement'!$B$42</f>
        <v/>
      </c>
      <c r="E1343" s="18">
        <f>D1342/'Income Statement'!$B$42</f>
        <v/>
      </c>
      <c r="F1343" s="18">
        <f>E1342/'Income Statement'!$B$42</f>
        <v/>
      </c>
      <c r="G1343" s="18">
        <f>F1342/'Income Statement'!$B$42</f>
        <v/>
      </c>
    </row>
    <row r="1344">
      <c r="A1344" s="7" t="inlineStr">
        <is>
          <t>Fixed assets, net book, closing</t>
        </is>
      </c>
      <c r="C1344" s="18">
        <f>(Assumptions!$B$90+Assumptions!$B$92)/10^6+C1341-C1343</f>
        <v/>
      </c>
      <c r="D1344" s="18">
        <f>C1344+D1341-D1343</f>
        <v/>
      </c>
      <c r="E1344" s="18">
        <f>D1344+E1341-E1343</f>
        <v/>
      </c>
      <c r="F1344" s="18">
        <f>E1344+F1341-F1343</f>
        <v/>
      </c>
      <c r="G1344" s="18">
        <f>F1344+G1341-G1343</f>
        <v/>
      </c>
    </row>
    <row r="1345">
      <c r="A1345" s="15" t="inlineStr">
        <is>
          <t>EBIT</t>
        </is>
      </c>
      <c r="C1345" s="37">
        <f>C1340-C1343</f>
        <v/>
      </c>
      <c r="D1345" s="37">
        <f>D1340-D1343</f>
        <v/>
      </c>
      <c r="E1345" s="37">
        <f>E1340-E1343</f>
        <v/>
      </c>
      <c r="F1345" s="37">
        <f>F1340-F1343</f>
        <v/>
      </c>
      <c r="G1345" s="37">
        <f>G1340-G1343</f>
        <v/>
      </c>
    </row>
    <row r="1346">
      <c r="A1346" s="7" t="inlineStr">
        <is>
          <t>NOPAT before the profit share</t>
        </is>
      </c>
      <c r="C1346" s="18">
        <f>C1345*(1-Assumptions!$B$108)</f>
        <v/>
      </c>
      <c r="D1346" s="18">
        <f>D1345*(1-Assumptions!$B$108)</f>
        <v/>
      </c>
      <c r="E1346" s="18">
        <f>E1345*(1-Assumptions!$B$108)</f>
        <v/>
      </c>
      <c r="F1346" s="18">
        <f>F1345*(1-Assumptions!$B$108)</f>
        <v/>
      </c>
      <c r="G1346" s="18">
        <f>G1345*(1-Assumptions!$B$108)</f>
        <v/>
      </c>
    </row>
    <row r="1347">
      <c r="A1347" s="7" t="inlineStr">
        <is>
          <t xml:space="preserve">  less employees' profit share and board bonuses</t>
        </is>
      </c>
      <c r="C1347" s="18">
        <f>MAX(C1346,0)*'Income Statement'!$B$40</f>
        <v/>
      </c>
      <c r="D1347" s="18">
        <f>MAX(D1346,0)*'Income Statement'!$B$40</f>
        <v/>
      </c>
      <c r="E1347" s="18">
        <f>MAX(E1346,0)*'Income Statement'!$B$40</f>
        <v/>
      </c>
      <c r="F1347" s="18">
        <f>MAX(F1346,0)*'Income Statement'!$B$40</f>
        <v/>
      </c>
      <c r="G1347" s="18">
        <f>MAX(G1346,0)*'Income Statement'!$B$40</f>
        <v/>
      </c>
    </row>
    <row r="1348">
      <c r="A1348" s="15" t="inlineStr">
        <is>
          <t>NOPAT</t>
        </is>
      </c>
      <c r="C1348" s="37">
        <f>C1346-C1347</f>
        <v/>
      </c>
      <c r="D1348" s="37">
        <f>D1346-D1347</f>
        <v/>
      </c>
      <c r="E1348" s="37">
        <f>E1346-E1347</f>
        <v/>
      </c>
      <c r="F1348" s="37">
        <f>F1346-F1347</f>
        <v/>
      </c>
      <c r="G1348" s="37">
        <f>G1346-G1347</f>
        <v/>
      </c>
    </row>
    <row r="1349">
      <c r="A1349" s="7" t="inlineStr">
        <is>
          <t>Net working capital — on days</t>
        </is>
      </c>
      <c r="C1349" s="18">
        <f>'Income Statement'!$B$44*DCF!$B$9/365*C1336+'Income Statement'!$B$45*DCF!$B$9/365*C1335-'Income Statement'!$B$46*DCF!$B$9/365*C1336</f>
        <v/>
      </c>
      <c r="D1349" s="18">
        <f>'Income Statement'!$B$44*DCF!$B$9/365*D1336+'Income Statement'!$B$45*DCF!$B$9/365*D1335-'Income Statement'!$B$46*DCF!$B$9/365*D1336</f>
        <v/>
      </c>
      <c r="E1349" s="18">
        <f>'Income Statement'!$B$44*DCF!$B$9/365*E1336+'Income Statement'!$B$45*DCF!$B$9/365*E1335-'Income Statement'!$B$46*DCF!$B$9/365*E1336</f>
        <v/>
      </c>
      <c r="F1349" s="18">
        <f>'Income Statement'!$B$44*DCF!$B$9/365*F1336+'Income Statement'!$B$45*DCF!$B$9/365*F1335-'Income Statement'!$B$46*DCF!$B$9/365*F1336</f>
        <v/>
      </c>
      <c r="G1349" s="18">
        <f>'Income Statement'!$B$44*DCF!$B$9/365*G1336+'Income Statement'!$B$45*DCF!$B$9/365*G1335-'Income Statement'!$B$46*DCF!$B$9/365*G1336</f>
        <v/>
      </c>
    </row>
    <row r="1350">
      <c r="A1350" s="7" t="inlineStr">
        <is>
          <t xml:space="preserve">  change in working capital</t>
        </is>
      </c>
      <c r="C1350" s="18">
        <f>C1349-('Income Statement'!$B$44/365*'Income Statement'!$B$21+'Income Statement'!$B$45/365*'Income Statement'!$B$19-'Income Statement'!$B$46/365*'Income Statement'!$B$21)</f>
        <v/>
      </c>
      <c r="D1350" s="18">
        <f>D1349-C1349</f>
        <v/>
      </c>
      <c r="E1350" s="18">
        <f>E1349-D1349</f>
        <v/>
      </c>
      <c r="F1350" s="18">
        <f>F1349-E1349</f>
        <v/>
      </c>
      <c r="G1350" s="18">
        <f>G1349-F1349</f>
        <v/>
      </c>
    </row>
    <row r="1351">
      <c r="A1351" s="15" t="inlineStr">
        <is>
          <t>FREE CASH FLOW TO THE FIRM</t>
        </is>
      </c>
      <c r="C1351" s="37">
        <f>C1348+C1343-C1341-C1350</f>
        <v/>
      </c>
      <c r="D1351" s="37">
        <f>D1348+D1343-D1341-D1350</f>
        <v/>
      </c>
      <c r="E1351" s="37">
        <f>E1348+E1343-E1341-E1350</f>
        <v/>
      </c>
      <c r="F1351" s="37">
        <f>F1348+F1343-F1341-F1350</f>
        <v/>
      </c>
      <c r="G1351" s="37">
        <f>G1348+G1343-G1341-G1350</f>
        <v/>
      </c>
    </row>
    <row r="1352">
      <c r="A1352" s="7" t="inlineStr">
        <is>
          <t>Glide fraction</t>
        </is>
      </c>
      <c r="C1352" s="23">
        <f>0.0000000000</f>
        <v/>
      </c>
      <c r="D1352" s="23">
        <f>0.5166487648</f>
        <v/>
      </c>
      <c r="E1352" s="23">
        <f>0.7314715360</f>
        <v/>
      </c>
      <c r="F1352" s="23">
        <f>0.8925886144</f>
        <v/>
      </c>
      <c r="G1352" s="23">
        <f>1.0000000000</f>
        <v/>
      </c>
    </row>
    <row r="1353">
      <c r="A1353" s="7" t="inlineStr">
        <is>
          <t>Forward cost of capital</t>
        </is>
      </c>
      <c r="C1353" s="24">
        <f>DCF!$B$14-(DCF!$B$14-DCF!$B$17)*C1352</f>
        <v/>
      </c>
      <c r="D1353" s="24">
        <f>DCF!$B$14-(DCF!$B$14-DCF!$B$17)*D1352</f>
        <v/>
      </c>
      <c r="E1353" s="24">
        <f>DCF!$B$14-(DCF!$B$14-DCF!$B$17)*E1352</f>
        <v/>
      </c>
      <c r="F1353" s="24">
        <f>DCF!$B$14-(DCF!$B$14-DCF!$B$17)*F1352</f>
        <v/>
      </c>
      <c r="G1353" s="24">
        <f>DCF!$B$14-(DCF!$B$14-DCF!$B$17)*G1352</f>
        <v/>
      </c>
    </row>
    <row r="1354">
      <c r="A1354" s="7" t="inlineStr">
        <is>
          <t>Cumulative discount factor</t>
        </is>
      </c>
      <c r="C1354" s="40">
        <f>1/(1+C1353)</f>
        <v/>
      </c>
      <c r="D1354" s="40">
        <f>C1354/(1+D1353)</f>
        <v/>
      </c>
      <c r="E1354" s="40">
        <f>D1354/(1+E1353)</f>
        <v/>
      </c>
      <c r="F1354" s="40">
        <f>E1354/(1+F1353)</f>
        <v/>
      </c>
      <c r="G1354" s="40">
        <f>F1354/(1+G1353)</f>
        <v/>
      </c>
    </row>
    <row r="1355">
      <c r="A1355" s="7" t="inlineStr">
        <is>
          <t>Present value</t>
        </is>
      </c>
      <c r="C1355" s="18">
        <f>C1351*C1354</f>
        <v/>
      </c>
      <c r="D1355" s="18">
        <f>D1351*D1354</f>
        <v/>
      </c>
      <c r="E1355" s="18">
        <f>E1351*E1354</f>
        <v/>
      </c>
      <c r="F1355" s="18">
        <f>F1351*F1354</f>
        <v/>
      </c>
      <c r="G1355" s="18">
        <f>G1351*G1354</f>
        <v/>
      </c>
    </row>
    <row r="1356">
      <c r="A1356" s="15" t="inlineStr">
        <is>
          <t>PV of the explicit window</t>
        </is>
      </c>
      <c r="B1356" s="37">
        <f>SUM(C1355:G1355)</f>
        <v/>
      </c>
      <c r="C1356" s="18">
        <f>C1349+C1342</f>
        <v/>
      </c>
      <c r="D1356" s="18">
        <f>D1349+D1342</f>
        <v/>
      </c>
      <c r="E1356" s="18">
        <f>E1349+E1342</f>
        <v/>
      </c>
      <c r="F1356" s="18">
        <f>F1349+F1342</f>
        <v/>
      </c>
      <c r="G1356" s="18">
        <f>G1349+G1342</f>
        <v/>
      </c>
    </row>
    <row r="1357">
      <c r="A1357" s="7" t="inlineStr">
        <is>
          <t>Terminal return on invested capital, at REPLACEMENT cost</t>
        </is>
      </c>
      <c r="B1357" s="24">
        <f>G1348*(1+$H$42)/G1356</f>
        <v/>
      </c>
    </row>
    <row r="1358">
      <c r="A1358" s="7" t="inlineStr">
        <is>
          <t>Required reinvestment = growth / return</t>
        </is>
      </c>
      <c r="B1358" s="24">
        <f>MIN($H$42/B1357,0.95)</f>
        <v/>
      </c>
    </row>
    <row r="1359">
      <c r="A1359" s="7" t="inlineStr">
        <is>
          <t>Terminal value</t>
        </is>
      </c>
      <c r="B1359" s="18">
        <f>G1348*(1+$H$42)*(1-B1358)/MAX(DCF!$B$17-$H$42,0.02)</f>
        <v/>
      </c>
    </row>
    <row r="1360">
      <c r="A1360" s="7" t="inlineStr">
        <is>
          <t>PV of the terminal block</t>
        </is>
      </c>
      <c r="B1360" s="18">
        <f>B1359*G1354</f>
        <v/>
      </c>
    </row>
    <row r="1361">
      <c r="A1361" s="15" t="inlineStr">
        <is>
          <t>ENTERPRISE VALUE</t>
        </is>
      </c>
      <c r="B1361" s="37">
        <f>B1356+B1360</f>
        <v/>
      </c>
    </row>
    <row r="1362">
      <c r="A1362" s="7" t="inlineStr">
        <is>
          <t>plus net cash</t>
        </is>
      </c>
      <c r="B1362" s="18">
        <f>(Assumptions!$B$100-Assumptions!$B$103-Assumptions!$B$104)/10^6</f>
        <v/>
      </c>
    </row>
    <row r="1363">
      <c r="A1363" s="7" t="inlineStr">
        <is>
          <t>Enterprise value including cash</t>
        </is>
      </c>
      <c r="B1363" s="18">
        <f>B1361+B1362</f>
        <v/>
      </c>
    </row>
    <row r="1364">
      <c r="A1364" s="7" t="inlineStr">
        <is>
          <t>less minority — on the WHOLE enterprise, cash included</t>
        </is>
      </c>
      <c r="B1364" s="18">
        <f>B1363*'Income Statement'!$B$41</f>
        <v/>
      </c>
    </row>
    <row r="1365">
      <c r="A1365" s="7" t="inlineStr">
        <is>
          <t>less the tax-disputes provision</t>
        </is>
      </c>
      <c r="B1365" s="18">
        <f>Assumptions!$B$99/10^6</f>
        <v/>
      </c>
    </row>
    <row r="1366">
      <c r="A1366" s="7" t="inlineStr">
        <is>
          <t>less dividends payable — declared, out of working capital</t>
        </is>
      </c>
      <c r="B1366" s="18">
        <f>Assumptions!$B$98/10^6</f>
        <v/>
      </c>
    </row>
    <row r="1367">
      <c r="A1367" s="7" t="inlineStr">
        <is>
          <t>plus non-operating investments and pledged deposits</t>
        </is>
      </c>
      <c r="B1367" s="18">
        <f>(Assumptions!$B$102+Assumptions!$B$101)/10^6</f>
        <v/>
      </c>
    </row>
    <row r="1368">
      <c r="A1368" s="15" t="inlineStr">
        <is>
          <t>EQUITY ATTRIBUTABLE</t>
        </is>
      </c>
      <c r="B1368" s="37">
        <f>B1363-B1364-B1365-B1366+B1367</f>
        <v/>
      </c>
    </row>
    <row r="1369">
      <c r="A1369" s="15" t="inlineStr">
        <is>
          <t>VALUE PER SHARE, EGP</t>
        </is>
      </c>
      <c r="B1369" s="22">
        <f>B1368/Assumptions!$B$8</f>
        <v/>
      </c>
    </row>
    <row r="1372">
      <c r="A1372" s="6" t="inlineStr">
        <is>
          <t>Terminal growth — 5.0%</t>
        </is>
      </c>
      <c r="B1372" s="6" t="inlineStr">
        <is>
          <t>2026E</t>
        </is>
      </c>
      <c r="C1372" s="6" t="inlineStr">
        <is>
          <t>2027E</t>
        </is>
      </c>
      <c r="D1372" s="6" t="inlineStr">
        <is>
          <t>2028E</t>
        </is>
      </c>
      <c r="E1372" s="6" t="inlineStr">
        <is>
          <t>2029E</t>
        </is>
      </c>
      <c r="F1372" s="6" t="inlineStr">
        <is>
          <t>2030E</t>
        </is>
      </c>
    </row>
    <row r="1373">
      <c r="A1373" s="7" t="inlineStr">
        <is>
          <t>Inflation index, cumulative</t>
        </is>
      </c>
      <c r="C1373" s="23">
        <f>Assumptions!$B$167</f>
        <v/>
      </c>
      <c r="D1373" s="23">
        <f>C1373*Assumptions!$B$168</f>
        <v/>
      </c>
      <c r="E1373" s="23">
        <f>D1373*Assumptions!$B$169</f>
        <v/>
      </c>
      <c r="F1373" s="23">
        <f>E1373*Assumptions!$B$170</f>
        <v/>
      </c>
      <c r="G1373" s="23">
        <f>F1373*Assumptions!$B$171</f>
        <v/>
      </c>
    </row>
    <row r="1374">
      <c r="A1374" s="7" t="inlineStr">
        <is>
          <t>Realisation index, cumulative</t>
        </is>
      </c>
      <c r="C1374" s="23">
        <f>(1+Assumptions!$B$122*DCF!$B$8)</f>
        <v/>
      </c>
      <c r="D1374" s="23">
        <f>C1374*(1+Assumptions!$B$123*DCF!$B$8)</f>
        <v/>
      </c>
      <c r="E1374" s="23">
        <f>D1374*(1+Assumptions!$B$124*DCF!$B$8)</f>
        <v/>
      </c>
      <c r="F1374" s="23">
        <f>E1374*(1+Assumptions!$B$125*DCF!$B$8)</f>
        <v/>
      </c>
      <c r="G1374" s="23">
        <f>F1374*(1+Assumptions!$B$126*DCF!$B$8)</f>
        <v/>
      </c>
    </row>
    <row r="1375">
      <c r="A1375" s="7" t="inlineStr">
        <is>
          <t xml:space="preserve">  Volume — Base and special oils, mn t</t>
        </is>
      </c>
      <c r="C1375" s="23">
        <f>'Segments'!E6*(1+Assumptions!$B$127+DCF!$B$6)</f>
        <v/>
      </c>
      <c r="D1375" s="23">
        <f>C1375*(1+Assumptions!$B$128+DCF!$B$6)</f>
        <v/>
      </c>
      <c r="E1375" s="23">
        <f>D1375*(1+Assumptions!$B$129+DCF!$B$6)</f>
        <v/>
      </c>
      <c r="F1375" s="23">
        <f>E1375*(1+Assumptions!$B$130+DCF!$B$6)</f>
        <v/>
      </c>
      <c r="G1375" s="23">
        <f>F1375*(1+Assumptions!$B$131+DCF!$B$6)</f>
        <v/>
      </c>
    </row>
    <row r="1376">
      <c r="A1376" s="7" t="inlineStr">
        <is>
          <t xml:space="preserve">  Volume — Paraffin wax, mn t</t>
        </is>
      </c>
      <c r="C1376" s="23">
        <f>'Segments'!E7*(1+Assumptions!$B$132+DCF!$B$6)</f>
        <v/>
      </c>
      <c r="D1376" s="23">
        <f>C1376*(1+Assumptions!$B$133+DCF!$B$6)</f>
        <v/>
      </c>
      <c r="E1376" s="23">
        <f>D1376*(1+Assumptions!$B$134+DCF!$B$6)</f>
        <v/>
      </c>
      <c r="F1376" s="23">
        <f>E1376*(1+Assumptions!$B$135+DCF!$B$6)</f>
        <v/>
      </c>
      <c r="G1376" s="23">
        <f>F1376*(1+Assumptions!$B$136+DCF!$B$6)</f>
        <v/>
      </c>
    </row>
    <row r="1377">
      <c r="A1377" s="7" t="inlineStr">
        <is>
          <t xml:space="preserve">  Volume — Gas oil, mn t</t>
        </is>
      </c>
      <c r="C1377" s="23">
        <f>'Segments'!E8*(1+Assumptions!$B$137+DCF!$B$6)</f>
        <v/>
      </c>
      <c r="D1377" s="23">
        <f>C1377*(1+Assumptions!$B$138+DCF!$B$6)</f>
        <v/>
      </c>
      <c r="E1377" s="23">
        <f>D1377*(1+Assumptions!$B$139+DCF!$B$6)</f>
        <v/>
      </c>
      <c r="F1377" s="23">
        <f>E1377*(1+Assumptions!$B$140+DCF!$B$6)</f>
        <v/>
      </c>
      <c r="G1377" s="23">
        <f>F1377*(1+Assumptions!$B$141+DCF!$B$6)</f>
        <v/>
      </c>
    </row>
    <row r="1378">
      <c r="A1378" s="7" t="inlineStr">
        <is>
          <t xml:space="preserve">  Volume — Naphtha, mn t</t>
        </is>
      </c>
      <c r="C1378" s="23">
        <f>'Segments'!E9*(1+Assumptions!$B$142+DCF!$B$6)</f>
        <v/>
      </c>
      <c r="D1378" s="23">
        <f>C1378*(1+Assumptions!$B$143+DCF!$B$6)</f>
        <v/>
      </c>
      <c r="E1378" s="23">
        <f>D1378*(1+Assumptions!$B$144+DCF!$B$6)</f>
        <v/>
      </c>
      <c r="F1378" s="23">
        <f>E1378*(1+Assumptions!$B$145+DCF!$B$6)</f>
        <v/>
      </c>
      <c r="G1378" s="23">
        <f>F1378*(1+Assumptions!$B$146+DCF!$B$6)</f>
        <v/>
      </c>
    </row>
    <row r="1379">
      <c r="A1379" s="7" t="inlineStr">
        <is>
          <t xml:space="preserve">  Volume — Liquefied petroleum gas, mn t</t>
        </is>
      </c>
      <c r="C1379" s="23">
        <f>'Segments'!E10*(1+Assumptions!$B$147+DCF!$B$6)</f>
        <v/>
      </c>
      <c r="D1379" s="23">
        <f>C1379*(1+Assumptions!$B$148+DCF!$B$6)</f>
        <v/>
      </c>
      <c r="E1379" s="23">
        <f>D1379*(1+Assumptions!$B$149+DCF!$B$6)</f>
        <v/>
      </c>
      <c r="F1379" s="23">
        <f>E1379*(1+Assumptions!$B$150+DCF!$B$6)</f>
        <v/>
      </c>
      <c r="G1379" s="23">
        <f>F1379*(1+Assumptions!$B$151+DCF!$B$6)</f>
        <v/>
      </c>
    </row>
    <row r="1380">
      <c r="A1380" s="7" t="inlineStr">
        <is>
          <t xml:space="preserve">  Volume — Fuel oil (mix), mn t</t>
        </is>
      </c>
      <c r="C1380" s="23">
        <f>'Segments'!E11*(1+Assumptions!$B$152+DCF!$B$6)</f>
        <v/>
      </c>
      <c r="D1380" s="23">
        <f>C1380*(1+Assumptions!$B$153+DCF!$B$6)</f>
        <v/>
      </c>
      <c r="E1380" s="23">
        <f>D1380*(1+Assumptions!$B$154+DCF!$B$6)</f>
        <v/>
      </c>
      <c r="F1380" s="23">
        <f>E1380*(1+Assumptions!$B$155+DCF!$B$6)</f>
        <v/>
      </c>
      <c r="G1380" s="23">
        <f>F1380*(1+Assumptions!$B$156+DCF!$B$6)</f>
        <v/>
      </c>
    </row>
    <row r="1381">
      <c r="A1381" s="7" t="inlineStr">
        <is>
          <t xml:space="preserve">  Volume — Heavy fuel oil, mn t</t>
        </is>
      </c>
      <c r="C1381" s="23">
        <f>'Segments'!E12*(1+Assumptions!$B$157+DCF!$B$6)</f>
        <v/>
      </c>
      <c r="D1381" s="23">
        <f>C1381*(1+Assumptions!$B$158+DCF!$B$6)</f>
        <v/>
      </c>
      <c r="E1381" s="23">
        <f>D1381*(1+Assumptions!$B$159+DCF!$B$6)</f>
        <v/>
      </c>
      <c r="F1381" s="23">
        <f>E1381*(1+Assumptions!$B$160+DCF!$B$6)</f>
        <v/>
      </c>
      <c r="G1381" s="23">
        <f>F1381*(1+Assumptions!$B$161+DCF!$B$6)</f>
        <v/>
      </c>
    </row>
    <row r="1382">
      <c r="A1382" s="7" t="inlineStr">
        <is>
          <t xml:space="preserve">  Volume — Waste, mn t</t>
        </is>
      </c>
      <c r="C1382" s="23">
        <f>'Segments'!E13*(1+Assumptions!$B$162+DCF!$B$6)</f>
        <v/>
      </c>
      <c r="D1382" s="23">
        <f>C1382*(1+Assumptions!$B$163+DCF!$B$6)</f>
        <v/>
      </c>
      <c r="E1382" s="23">
        <f>D1382*(1+Assumptions!$B$164+DCF!$B$6)</f>
        <v/>
      </c>
      <c r="F1382" s="23">
        <f>E1382*(1+Assumptions!$B$165+DCF!$B$6)</f>
        <v/>
      </c>
      <c r="G1382" s="23">
        <f>F1382*(1+Assumptions!$B$166+DCF!$B$6)</f>
        <v/>
      </c>
    </row>
    <row r="1383">
      <c r="A1383" s="15" t="inlineStr">
        <is>
          <t>Total volume, mn t</t>
        </is>
      </c>
      <c r="C1383" s="36">
        <f>SUM(C1375:C1382)</f>
        <v/>
      </c>
      <c r="D1383" s="36">
        <f>SUM(D1375:D1382)</f>
        <v/>
      </c>
      <c r="E1383" s="36">
        <f>SUM(E1375:E1382)</f>
        <v/>
      </c>
      <c r="F1383" s="36">
        <f>SUM(F1375:F1382)</f>
        <v/>
      </c>
      <c r="G1383" s="36">
        <f>SUM(G1375:G1382)</f>
        <v/>
      </c>
    </row>
    <row r="1384">
      <c r="A1384" s="15" t="inlineStr">
        <is>
          <t>REVENUE</t>
        </is>
      </c>
      <c r="C1384" s="37">
        <f>C1375*'Segments'!$F$6*C1374+C1376*'Segments'!$F$7*C1374+C1377*'Segments'!$F$8*C1374+C1378*'Segments'!$F$9*C1374+C1379*'Segments'!$F$10*C1374+C1380*'Segments'!$F$11*C1374+C1381*'Segments'!$F$12*C1374+C1382*'Segments'!$F$13*C1374</f>
        <v/>
      </c>
      <c r="D1384" s="37">
        <f>D1375*'Segments'!$F$6*D1374+D1376*'Segments'!$F$7*D1374+D1377*'Segments'!$F$8*D1374+D1378*'Segments'!$F$9*D1374+D1379*'Segments'!$F$10*D1374+D1380*'Segments'!$F$11*D1374+D1381*'Segments'!$F$12*D1374+D1382*'Segments'!$F$13*D1374</f>
        <v/>
      </c>
      <c r="E1384" s="37">
        <f>E1375*'Segments'!$F$6*E1374+E1376*'Segments'!$F$7*E1374+E1377*'Segments'!$F$8*E1374+E1378*'Segments'!$F$9*E1374+E1379*'Segments'!$F$10*E1374+E1380*'Segments'!$F$11*E1374+E1381*'Segments'!$F$12*E1374+E1382*'Segments'!$F$13*E1374</f>
        <v/>
      </c>
      <c r="F1384" s="37">
        <f>F1375*'Segments'!$F$6*F1374+F1376*'Segments'!$F$7*F1374+F1377*'Segments'!$F$8*F1374+F1378*'Segments'!$F$9*F1374+F1379*'Segments'!$F$10*F1374+F1380*'Segments'!$F$11*F1374+F1381*'Segments'!$F$12*F1374+F1382*'Segments'!$F$13*F1374</f>
        <v/>
      </c>
      <c r="G1384" s="37">
        <f>G1375*'Segments'!$F$6*G1374+G1376*'Segments'!$F$7*G1374+G1377*'Segments'!$F$8*G1374+G1378*'Segments'!$F$9*G1374+G1379*'Segments'!$F$10*G1374+G1380*'Segments'!$F$11*G1374+G1381*'Segments'!$F$12*G1374+G1382*'Segments'!$F$13*G1374</f>
        <v/>
      </c>
    </row>
    <row r="1385">
      <c r="A1385" s="7" t="inlineStr">
        <is>
          <t>Cost of sales</t>
        </is>
      </c>
      <c r="C1385" s="18">
        <f>C1375*('Segments'!$D$27*C1374*Assumptions!$B$109+'Segments'!$B$27*(0.4983251709*C1374+0.4357405005*C1374+0.0330936548*C1374+0.0328406739))+C1376*('Segments'!$D$28*C1374*Assumptions!$B$109+'Segments'!$B$28*(0.4983251709*C1374+0.4357405005*C1374+0.0330936548*C1374+0.0328406739))+C1377*('Segments'!$D$29*C1374*Assumptions!$B$109+'Segments'!$B$29*(0.4983251709*C1374+0.4357405005*C1374+0.0330936548*C1374+0.0328406739))+C1378*('Segments'!$D$30*C1374*Assumptions!$B$109+'Segments'!$B$30*(0.4983251709*C1374+0.4357405005*C1374+0.0330936548*C1374+0.0328406739))+C1379*('Segments'!$D$31*C1374*Assumptions!$B$109+'Segments'!$B$31*(0.4983251709*C1374+0.4357405005*C1374+0.0330936548*C1374+0.0328406739))+C1380*('Segments'!$D$32*C1374*Assumptions!$B$109+'Segments'!$B$32*(0.4983251709*C1374+0.4357405005*C1374+0.0330936548*C1374+0.0328406739))+C1381*('Segments'!$D$33*C1374*Assumptions!$B$109+'Segments'!$B$33*(0.4983251709*C1374+0.4357405005*C1374+0.0330936548*C1374+0.0328406739))+C1382*('Segments'!$D$34*C1374*Assumptions!$B$109+'Segments'!$B$34*(0.4983251709*C1374+0.4357405005*C1374+0.0330936548*C1374+0.0328406739))</f>
        <v/>
      </c>
      <c r="D1385" s="18">
        <f>D1375*('Segments'!$D$27*D1374*Assumptions!$B$109+'Segments'!$B$27*(0.4983251709*D1374+0.4357405005*D1374+0.0330936548*D1374+0.0328406739))+D1376*('Segments'!$D$28*D1374*Assumptions!$B$109+'Segments'!$B$28*(0.4983251709*D1374+0.4357405005*D1374+0.0330936548*D1374+0.0328406739))+D1377*('Segments'!$D$29*D1374*Assumptions!$B$109+'Segments'!$B$29*(0.4983251709*D1374+0.4357405005*D1374+0.0330936548*D1374+0.0328406739))+D1378*('Segments'!$D$30*D1374*Assumptions!$B$109+'Segments'!$B$30*(0.4983251709*D1374+0.4357405005*D1374+0.0330936548*D1374+0.0328406739))+D1379*('Segments'!$D$31*D1374*Assumptions!$B$109+'Segments'!$B$31*(0.4983251709*D1374+0.4357405005*D1374+0.0330936548*D1374+0.0328406739))+D1380*('Segments'!$D$32*D1374*Assumptions!$B$109+'Segments'!$B$32*(0.4983251709*D1374+0.4357405005*D1374+0.0330936548*D1374+0.0328406739))+D1381*('Segments'!$D$33*D1374*Assumptions!$B$109+'Segments'!$B$33*(0.4983251709*D1374+0.4357405005*D1374+0.0330936548*D1374+0.0328406739))+D1382*('Segments'!$D$34*D1374*Assumptions!$B$109+'Segments'!$B$34*(0.4983251709*D1374+0.4357405005*D1374+0.0330936548*D1374+0.0328406739))</f>
        <v/>
      </c>
      <c r="E1385" s="18">
        <f>E1375*('Segments'!$D$27*E1374*Assumptions!$B$109+'Segments'!$B$27*(0.4983251709*E1374+0.4357405005*E1374+0.0330936548*E1374+0.0328406739))+E1376*('Segments'!$D$28*E1374*Assumptions!$B$109+'Segments'!$B$28*(0.4983251709*E1374+0.4357405005*E1374+0.0330936548*E1374+0.0328406739))+E1377*('Segments'!$D$29*E1374*Assumptions!$B$109+'Segments'!$B$29*(0.4983251709*E1374+0.4357405005*E1374+0.0330936548*E1374+0.0328406739))+E1378*('Segments'!$D$30*E1374*Assumptions!$B$109+'Segments'!$B$30*(0.4983251709*E1374+0.4357405005*E1374+0.0330936548*E1374+0.0328406739))+E1379*('Segments'!$D$31*E1374*Assumptions!$B$109+'Segments'!$B$31*(0.4983251709*E1374+0.4357405005*E1374+0.0330936548*E1374+0.0328406739))+E1380*('Segments'!$D$32*E1374*Assumptions!$B$109+'Segments'!$B$32*(0.4983251709*E1374+0.4357405005*E1374+0.0330936548*E1374+0.0328406739))+E1381*('Segments'!$D$33*E1374*Assumptions!$B$109+'Segments'!$B$33*(0.4983251709*E1374+0.4357405005*E1374+0.0330936548*E1374+0.0328406739))+E1382*('Segments'!$D$34*E1374*Assumptions!$B$109+'Segments'!$B$34*(0.4983251709*E1374+0.4357405005*E1374+0.0330936548*E1374+0.0328406739))</f>
        <v/>
      </c>
      <c r="F1385" s="18">
        <f>F1375*('Segments'!$D$27*F1374*Assumptions!$B$109+'Segments'!$B$27*(0.4983251709*F1374+0.4357405005*F1374+0.0330936548*F1374+0.0328406739))+F1376*('Segments'!$D$28*F1374*Assumptions!$B$109+'Segments'!$B$28*(0.4983251709*F1374+0.4357405005*F1374+0.0330936548*F1374+0.0328406739))+F1377*('Segments'!$D$29*F1374*Assumptions!$B$109+'Segments'!$B$29*(0.4983251709*F1374+0.4357405005*F1374+0.0330936548*F1374+0.0328406739))+F1378*('Segments'!$D$30*F1374*Assumptions!$B$109+'Segments'!$B$30*(0.4983251709*F1374+0.4357405005*F1374+0.0330936548*F1374+0.0328406739))+F1379*('Segments'!$D$31*F1374*Assumptions!$B$109+'Segments'!$B$31*(0.4983251709*F1374+0.4357405005*F1374+0.0330936548*F1374+0.0328406739))+F1380*('Segments'!$D$32*F1374*Assumptions!$B$109+'Segments'!$B$32*(0.4983251709*F1374+0.4357405005*F1374+0.0330936548*F1374+0.0328406739))+F1381*('Segments'!$D$33*F1374*Assumptions!$B$109+'Segments'!$B$33*(0.4983251709*F1374+0.4357405005*F1374+0.0330936548*F1374+0.0328406739))+F1382*('Segments'!$D$34*F1374*Assumptions!$B$109+'Segments'!$B$34*(0.4983251709*F1374+0.4357405005*F1374+0.0330936548*F1374+0.0328406739))</f>
        <v/>
      </c>
      <c r="G1385" s="18">
        <f>G1375*('Segments'!$D$27*G1374*Assumptions!$B$109+'Segments'!$B$27*(0.4983251709*G1374+0.4357405005*G1374+0.0330936548*G1374+0.0328406739))+G1376*('Segments'!$D$28*G1374*Assumptions!$B$109+'Segments'!$B$28*(0.4983251709*G1374+0.4357405005*G1374+0.0330936548*G1374+0.0328406739))+G1377*('Segments'!$D$29*G1374*Assumptions!$B$109+'Segments'!$B$29*(0.4983251709*G1374+0.4357405005*G1374+0.0330936548*G1374+0.0328406739))+G1378*('Segments'!$D$30*G1374*Assumptions!$B$109+'Segments'!$B$30*(0.4983251709*G1374+0.4357405005*G1374+0.0330936548*G1374+0.0328406739))+G1379*('Segments'!$D$31*G1374*Assumptions!$B$109+'Segments'!$B$31*(0.4983251709*G1374+0.4357405005*G1374+0.0330936548*G1374+0.0328406739))+G1380*('Segments'!$D$32*G1374*Assumptions!$B$109+'Segments'!$B$32*(0.4983251709*G1374+0.4357405005*G1374+0.0330936548*G1374+0.0328406739))+G1381*('Segments'!$D$33*G1374*Assumptions!$B$109+'Segments'!$B$33*(0.4983251709*G1374+0.4357405005*G1374+0.0330936548*G1374+0.0328406739))+G1382*('Segments'!$D$34*G1374*Assumptions!$B$109+'Segments'!$B$34*(0.4983251709*G1374+0.4357405005*G1374+0.0330936548*G1374+0.0328406739))</f>
        <v/>
      </c>
    </row>
    <row r="1386">
      <c r="A1386" s="15" t="inlineStr">
        <is>
          <t>GROSS PROFIT</t>
        </is>
      </c>
      <c r="C1386" s="37">
        <f>C1384-C1385+DCF!$B$7*C1384</f>
        <v/>
      </c>
      <c r="D1386" s="37">
        <f>D1384-D1385+DCF!$B$7*D1384</f>
        <v/>
      </c>
      <c r="E1386" s="37">
        <f>E1384-E1385+DCF!$B$7*E1384</f>
        <v/>
      </c>
      <c r="F1386" s="37">
        <f>F1384-F1385+DCF!$B$7*F1384</f>
        <v/>
      </c>
      <c r="G1386" s="37">
        <f>G1384-G1385+DCF!$B$7*G1384</f>
        <v/>
      </c>
    </row>
    <row r="1387">
      <c r="A1387" s="7" t="inlineStr">
        <is>
          <t>Gross margin</t>
        </is>
      </c>
      <c r="C1387" s="24">
        <f>C1386/C1384</f>
        <v/>
      </c>
      <c r="D1387" s="24">
        <f>D1386/D1384</f>
        <v/>
      </c>
      <c r="E1387" s="24">
        <f>E1386/E1384</f>
        <v/>
      </c>
      <c r="F1387" s="24">
        <f>F1386/F1384</f>
        <v/>
      </c>
      <c r="G1387" s="24">
        <f>G1386/G1384</f>
        <v/>
      </c>
    </row>
    <row r="1388">
      <c r="A1388" s="7" t="inlineStr">
        <is>
          <t>Operating expense</t>
        </is>
      </c>
      <c r="C1388" s="18">
        <f>('Income Statement'!$B$28*C1373)+('Income Statement'!$B$29*C1373*C1383/'Segments'!$E$14)+('Income Statement'!$B$30*C1373)+('Income Statement'!$B$31*C1373)</f>
        <v/>
      </c>
      <c r="D1388" s="18">
        <f>('Income Statement'!$B$28*D1373)+('Income Statement'!$B$29*D1373*D1383/'Segments'!$E$14)+('Income Statement'!$B$30*D1373)+('Income Statement'!$B$31*D1373)</f>
        <v/>
      </c>
      <c r="E1388" s="18">
        <f>('Income Statement'!$B$28*E1373)+('Income Statement'!$B$29*E1373*E1383/'Segments'!$E$14)+('Income Statement'!$B$30*E1373)+('Income Statement'!$B$31*E1373)</f>
        <v/>
      </c>
      <c r="F1388" s="18">
        <f>('Income Statement'!$B$28*F1373)+('Income Statement'!$B$29*F1373*F1383/'Segments'!$E$14)+('Income Statement'!$B$30*F1373)+('Income Statement'!$B$31*F1373)</f>
        <v/>
      </c>
      <c r="G1388" s="18">
        <f>('Income Statement'!$B$28*G1373)+('Income Statement'!$B$29*G1373*G1383/'Segments'!$E$14)+('Income Statement'!$B$30*G1373)+('Income Statement'!$B$31*G1373)</f>
        <v/>
      </c>
    </row>
    <row r="1389">
      <c r="A1389" s="15" t="inlineStr">
        <is>
          <t>EBITDA</t>
        </is>
      </c>
      <c r="C1389" s="37">
        <f>C1386-C1388</f>
        <v/>
      </c>
      <c r="D1389" s="37">
        <f>D1386-D1388</f>
        <v/>
      </c>
      <c r="E1389" s="37">
        <f>E1386-E1388</f>
        <v/>
      </c>
      <c r="F1389" s="37">
        <f>F1386-F1388</f>
        <v/>
      </c>
      <c r="G1389" s="37">
        <f>G1386-G1388</f>
        <v/>
      </c>
    </row>
    <row r="1390">
      <c r="A1390" s="7" t="inlineStr">
        <is>
          <t>Capital expenditure — maintenance + growth</t>
        </is>
      </c>
      <c r="C1390" s="18">
        <f>'Income Statement'!$B$43*C1373+MAX(C1383-'Segments'!$E$14,0)*2100.379938*C1373</f>
        <v/>
      </c>
      <c r="D1390" s="18">
        <f>'Income Statement'!$B$43*D1373+MAX(D1383-C1383,0)*2100.379938*D1373</f>
        <v/>
      </c>
      <c r="E1390" s="18">
        <f>'Income Statement'!$B$43*E1373+MAX(E1383-D1383,0)*2100.379938*E1373</f>
        <v/>
      </c>
      <c r="F1390" s="18">
        <f>'Income Statement'!$B$43*F1373+MAX(F1383-E1383,0)*2100.379938*F1373</f>
        <v/>
      </c>
      <c r="G1390" s="18">
        <f>'Income Statement'!$B$43*G1373+MAX(G1383-F1383,0)*2100.379938*G1373</f>
        <v/>
      </c>
    </row>
    <row r="1391">
      <c r="A1391" s="7" t="inlineStr">
        <is>
          <t>Fixed assets at cost, closing</t>
        </is>
      </c>
      <c r="C1391" s="18">
        <f>(Assumptions!$B$91+Assumptions!$B$92)/10^6+C1390</f>
        <v/>
      </c>
      <c r="D1391" s="18">
        <f>C1391+D1390</f>
        <v/>
      </c>
      <c r="E1391" s="18">
        <f>D1391+E1390</f>
        <v/>
      </c>
      <c r="F1391" s="18">
        <f>E1391+F1390</f>
        <v/>
      </c>
      <c r="G1391" s="18">
        <f>F1391+G1390</f>
        <v/>
      </c>
    </row>
    <row r="1392">
      <c r="A1392" s="7" t="inlineStr">
        <is>
          <t>Depreciation — rolls off the asset register</t>
        </is>
      </c>
      <c r="C1392" s="18">
        <f>(Assumptions!$B$91+Assumptions!$B$92)/10^6/'Income Statement'!$B$42</f>
        <v/>
      </c>
      <c r="D1392" s="18">
        <f>C1391/'Income Statement'!$B$42</f>
        <v/>
      </c>
      <c r="E1392" s="18">
        <f>D1391/'Income Statement'!$B$42</f>
        <v/>
      </c>
      <c r="F1392" s="18">
        <f>E1391/'Income Statement'!$B$42</f>
        <v/>
      </c>
      <c r="G1392" s="18">
        <f>F1391/'Income Statement'!$B$42</f>
        <v/>
      </c>
    </row>
    <row r="1393">
      <c r="A1393" s="7" t="inlineStr">
        <is>
          <t>Fixed assets, net book, closing</t>
        </is>
      </c>
      <c r="C1393" s="18">
        <f>(Assumptions!$B$90+Assumptions!$B$92)/10^6+C1390-C1392</f>
        <v/>
      </c>
      <c r="D1393" s="18">
        <f>C1393+D1390-D1392</f>
        <v/>
      </c>
      <c r="E1393" s="18">
        <f>D1393+E1390-E1392</f>
        <v/>
      </c>
      <c r="F1393" s="18">
        <f>E1393+F1390-F1392</f>
        <v/>
      </c>
      <c r="G1393" s="18">
        <f>F1393+G1390-G1392</f>
        <v/>
      </c>
    </row>
    <row r="1394">
      <c r="A1394" s="15" t="inlineStr">
        <is>
          <t>EBIT</t>
        </is>
      </c>
      <c r="C1394" s="37">
        <f>C1389-C1392</f>
        <v/>
      </c>
      <c r="D1394" s="37">
        <f>D1389-D1392</f>
        <v/>
      </c>
      <c r="E1394" s="37">
        <f>E1389-E1392</f>
        <v/>
      </c>
      <c r="F1394" s="37">
        <f>F1389-F1392</f>
        <v/>
      </c>
      <c r="G1394" s="37">
        <f>G1389-G1392</f>
        <v/>
      </c>
    </row>
    <row r="1395">
      <c r="A1395" s="7" t="inlineStr">
        <is>
          <t>NOPAT before the profit share</t>
        </is>
      </c>
      <c r="C1395" s="18">
        <f>C1394*(1-Assumptions!$B$108)</f>
        <v/>
      </c>
      <c r="D1395" s="18">
        <f>D1394*(1-Assumptions!$B$108)</f>
        <v/>
      </c>
      <c r="E1395" s="18">
        <f>E1394*(1-Assumptions!$B$108)</f>
        <v/>
      </c>
      <c r="F1395" s="18">
        <f>F1394*(1-Assumptions!$B$108)</f>
        <v/>
      </c>
      <c r="G1395" s="18">
        <f>G1394*(1-Assumptions!$B$108)</f>
        <v/>
      </c>
    </row>
    <row r="1396">
      <c r="A1396" s="7" t="inlineStr">
        <is>
          <t xml:space="preserve">  less employees' profit share and board bonuses</t>
        </is>
      </c>
      <c r="C1396" s="18">
        <f>MAX(C1395,0)*'Income Statement'!$B$40</f>
        <v/>
      </c>
      <c r="D1396" s="18">
        <f>MAX(D1395,0)*'Income Statement'!$B$40</f>
        <v/>
      </c>
      <c r="E1396" s="18">
        <f>MAX(E1395,0)*'Income Statement'!$B$40</f>
        <v/>
      </c>
      <c r="F1396" s="18">
        <f>MAX(F1395,0)*'Income Statement'!$B$40</f>
        <v/>
      </c>
      <c r="G1396" s="18">
        <f>MAX(G1395,0)*'Income Statement'!$B$40</f>
        <v/>
      </c>
    </row>
    <row r="1397">
      <c r="A1397" s="15" t="inlineStr">
        <is>
          <t>NOPAT</t>
        </is>
      </c>
      <c r="C1397" s="37">
        <f>C1395-C1396</f>
        <v/>
      </c>
      <c r="D1397" s="37">
        <f>D1395-D1396</f>
        <v/>
      </c>
      <c r="E1397" s="37">
        <f>E1395-E1396</f>
        <v/>
      </c>
      <c r="F1397" s="37">
        <f>F1395-F1396</f>
        <v/>
      </c>
      <c r="G1397" s="37">
        <f>G1395-G1396</f>
        <v/>
      </c>
    </row>
    <row r="1398">
      <c r="A1398" s="7" t="inlineStr">
        <is>
          <t>Net working capital — on days</t>
        </is>
      </c>
      <c r="C1398" s="18">
        <f>'Income Statement'!$B$44*DCF!$B$9/365*C1385+'Income Statement'!$B$45*DCF!$B$9/365*C1384-'Income Statement'!$B$46*DCF!$B$9/365*C1385</f>
        <v/>
      </c>
      <c r="D1398" s="18">
        <f>'Income Statement'!$B$44*DCF!$B$9/365*D1385+'Income Statement'!$B$45*DCF!$B$9/365*D1384-'Income Statement'!$B$46*DCF!$B$9/365*D1385</f>
        <v/>
      </c>
      <c r="E1398" s="18">
        <f>'Income Statement'!$B$44*DCF!$B$9/365*E1385+'Income Statement'!$B$45*DCF!$B$9/365*E1384-'Income Statement'!$B$46*DCF!$B$9/365*E1385</f>
        <v/>
      </c>
      <c r="F1398" s="18">
        <f>'Income Statement'!$B$44*DCF!$B$9/365*F1385+'Income Statement'!$B$45*DCF!$B$9/365*F1384-'Income Statement'!$B$46*DCF!$B$9/365*F1385</f>
        <v/>
      </c>
      <c r="G1398" s="18">
        <f>'Income Statement'!$B$44*DCF!$B$9/365*G1385+'Income Statement'!$B$45*DCF!$B$9/365*G1384-'Income Statement'!$B$46*DCF!$B$9/365*G1385</f>
        <v/>
      </c>
    </row>
    <row r="1399">
      <c r="A1399" s="7" t="inlineStr">
        <is>
          <t xml:space="preserve">  change in working capital</t>
        </is>
      </c>
      <c r="C1399" s="18">
        <f>C1398-('Income Statement'!$B$44/365*'Income Statement'!$B$21+'Income Statement'!$B$45/365*'Income Statement'!$B$19-'Income Statement'!$B$46/365*'Income Statement'!$B$21)</f>
        <v/>
      </c>
      <c r="D1399" s="18">
        <f>D1398-C1398</f>
        <v/>
      </c>
      <c r="E1399" s="18">
        <f>E1398-D1398</f>
        <v/>
      </c>
      <c r="F1399" s="18">
        <f>F1398-E1398</f>
        <v/>
      </c>
      <c r="G1399" s="18">
        <f>G1398-F1398</f>
        <v/>
      </c>
    </row>
    <row r="1400">
      <c r="A1400" s="15" t="inlineStr">
        <is>
          <t>FREE CASH FLOW TO THE FIRM</t>
        </is>
      </c>
      <c r="C1400" s="37">
        <f>C1397+C1392-C1390-C1399</f>
        <v/>
      </c>
      <c r="D1400" s="37">
        <f>D1397+D1392-D1390-D1399</f>
        <v/>
      </c>
      <c r="E1400" s="37">
        <f>E1397+E1392-E1390-E1399</f>
        <v/>
      </c>
      <c r="F1400" s="37">
        <f>F1397+F1392-F1390-F1399</f>
        <v/>
      </c>
      <c r="G1400" s="37">
        <f>G1397+G1392-G1390-G1399</f>
        <v/>
      </c>
    </row>
    <row r="1401">
      <c r="A1401" s="7" t="inlineStr">
        <is>
          <t>Glide fraction</t>
        </is>
      </c>
      <c r="C1401" s="23">
        <f>0.0000000000</f>
        <v/>
      </c>
      <c r="D1401" s="23">
        <f>0.5166487648</f>
        <v/>
      </c>
      <c r="E1401" s="23">
        <f>0.7314715360</f>
        <v/>
      </c>
      <c r="F1401" s="23">
        <f>0.8925886144</f>
        <v/>
      </c>
      <c r="G1401" s="23">
        <f>1.0000000000</f>
        <v/>
      </c>
    </row>
    <row r="1402">
      <c r="A1402" s="7" t="inlineStr">
        <is>
          <t>Forward cost of capital</t>
        </is>
      </c>
      <c r="C1402" s="24">
        <f>DCF!$B$14-(DCF!$B$14-DCF!$B$17)*C1401</f>
        <v/>
      </c>
      <c r="D1402" s="24">
        <f>DCF!$B$14-(DCF!$B$14-DCF!$B$17)*D1401</f>
        <v/>
      </c>
      <c r="E1402" s="24">
        <f>DCF!$B$14-(DCF!$B$14-DCF!$B$17)*E1401</f>
        <v/>
      </c>
      <c r="F1402" s="24">
        <f>DCF!$B$14-(DCF!$B$14-DCF!$B$17)*F1401</f>
        <v/>
      </c>
      <c r="G1402" s="24">
        <f>DCF!$B$14-(DCF!$B$14-DCF!$B$17)*G1401</f>
        <v/>
      </c>
    </row>
    <row r="1403">
      <c r="A1403" s="7" t="inlineStr">
        <is>
          <t>Cumulative discount factor</t>
        </is>
      </c>
      <c r="C1403" s="40">
        <f>1/(1+C1402)</f>
        <v/>
      </c>
      <c r="D1403" s="40">
        <f>C1403/(1+D1402)</f>
        <v/>
      </c>
      <c r="E1403" s="40">
        <f>D1403/(1+E1402)</f>
        <v/>
      </c>
      <c r="F1403" s="40">
        <f>E1403/(1+F1402)</f>
        <v/>
      </c>
      <c r="G1403" s="40">
        <f>F1403/(1+G1402)</f>
        <v/>
      </c>
    </row>
    <row r="1404">
      <c r="A1404" s="7" t="inlineStr">
        <is>
          <t>Present value</t>
        </is>
      </c>
      <c r="C1404" s="18">
        <f>C1400*C1403</f>
        <v/>
      </c>
      <c r="D1404" s="18">
        <f>D1400*D1403</f>
        <v/>
      </c>
      <c r="E1404" s="18">
        <f>E1400*E1403</f>
        <v/>
      </c>
      <c r="F1404" s="18">
        <f>F1400*F1403</f>
        <v/>
      </c>
      <c r="G1404" s="18">
        <f>G1400*G1403</f>
        <v/>
      </c>
    </row>
    <row r="1405">
      <c r="A1405" s="15" t="inlineStr">
        <is>
          <t>PV of the explicit window</t>
        </is>
      </c>
      <c r="B1405" s="37">
        <f>SUM(C1404:G1404)</f>
        <v/>
      </c>
      <c r="C1405" s="18">
        <f>C1398+C1391</f>
        <v/>
      </c>
      <c r="D1405" s="18">
        <f>D1398+D1391</f>
        <v/>
      </c>
      <c r="E1405" s="18">
        <f>E1398+E1391</f>
        <v/>
      </c>
      <c r="F1405" s="18">
        <f>F1398+F1391</f>
        <v/>
      </c>
      <c r="G1405" s="18">
        <f>G1398+G1391</f>
        <v/>
      </c>
    </row>
    <row r="1406">
      <c r="A1406" s="7" t="inlineStr">
        <is>
          <t>Terminal return on invested capital, at REPLACEMENT cost</t>
        </is>
      </c>
      <c r="B1406" s="24">
        <f>G1397*(1+$H$43)/G1405</f>
        <v/>
      </c>
    </row>
    <row r="1407">
      <c r="A1407" s="7" t="inlineStr">
        <is>
          <t>Required reinvestment = growth / return</t>
        </is>
      </c>
      <c r="B1407" s="24">
        <f>MIN($H$43/B1406,0.95)</f>
        <v/>
      </c>
    </row>
    <row r="1408">
      <c r="A1408" s="7" t="inlineStr">
        <is>
          <t>Terminal value</t>
        </is>
      </c>
      <c r="B1408" s="18">
        <f>G1397*(1+$H$43)*(1-B1407)/MAX(DCF!$B$17-$H$43,0.02)</f>
        <v/>
      </c>
    </row>
    <row r="1409">
      <c r="A1409" s="7" t="inlineStr">
        <is>
          <t>PV of the terminal block</t>
        </is>
      </c>
      <c r="B1409" s="18">
        <f>B1408*G1403</f>
        <v/>
      </c>
    </row>
    <row r="1410">
      <c r="A1410" s="15" t="inlineStr">
        <is>
          <t>ENTERPRISE VALUE</t>
        </is>
      </c>
      <c r="B1410" s="37">
        <f>B1405+B1409</f>
        <v/>
      </c>
    </row>
    <row r="1411">
      <c r="A1411" s="7" t="inlineStr">
        <is>
          <t>plus net cash</t>
        </is>
      </c>
      <c r="B1411" s="18">
        <f>(Assumptions!$B$100-Assumptions!$B$103-Assumptions!$B$104)/10^6</f>
        <v/>
      </c>
    </row>
    <row r="1412">
      <c r="A1412" s="7" t="inlineStr">
        <is>
          <t>Enterprise value including cash</t>
        </is>
      </c>
      <c r="B1412" s="18">
        <f>B1410+B1411</f>
        <v/>
      </c>
    </row>
    <row r="1413">
      <c r="A1413" s="7" t="inlineStr">
        <is>
          <t>less minority — on the WHOLE enterprise, cash included</t>
        </is>
      </c>
      <c r="B1413" s="18">
        <f>B1412*'Income Statement'!$B$41</f>
        <v/>
      </c>
    </row>
    <row r="1414">
      <c r="A1414" s="7" t="inlineStr">
        <is>
          <t>less the tax-disputes provision</t>
        </is>
      </c>
      <c r="B1414" s="18">
        <f>Assumptions!$B$99/10^6</f>
        <v/>
      </c>
    </row>
    <row r="1415">
      <c r="A1415" s="7" t="inlineStr">
        <is>
          <t>less dividends payable — declared, out of working capital</t>
        </is>
      </c>
      <c r="B1415" s="18">
        <f>Assumptions!$B$98/10^6</f>
        <v/>
      </c>
    </row>
    <row r="1416">
      <c r="A1416" s="7" t="inlineStr">
        <is>
          <t>plus non-operating investments and pledged deposits</t>
        </is>
      </c>
      <c r="B1416" s="18">
        <f>(Assumptions!$B$102+Assumptions!$B$101)/10^6</f>
        <v/>
      </c>
    </row>
    <row r="1417">
      <c r="A1417" s="15" t="inlineStr">
        <is>
          <t>EQUITY ATTRIBUTABLE</t>
        </is>
      </c>
      <c r="B1417" s="37">
        <f>B1412-B1413-B1414-B1415+B1416</f>
        <v/>
      </c>
    </row>
    <row r="1418">
      <c r="A1418" s="15" t="inlineStr">
        <is>
          <t>VALUE PER SHARE, EGP</t>
        </is>
      </c>
      <c r="B1418" s="22">
        <f>B1417/Assumptions!$B$8</f>
        <v/>
      </c>
    </row>
    <row r="1421">
      <c r="A1421" s="6" t="inlineStr">
        <is>
          <t>Terminal growth — 6.0%</t>
        </is>
      </c>
      <c r="B1421" s="6" t="inlineStr">
        <is>
          <t>2026E</t>
        </is>
      </c>
      <c r="C1421" s="6" t="inlineStr">
        <is>
          <t>2027E</t>
        </is>
      </c>
      <c r="D1421" s="6" t="inlineStr">
        <is>
          <t>2028E</t>
        </is>
      </c>
      <c r="E1421" s="6" t="inlineStr">
        <is>
          <t>2029E</t>
        </is>
      </c>
      <c r="F1421" s="6" t="inlineStr">
        <is>
          <t>2030E</t>
        </is>
      </c>
    </row>
    <row r="1422">
      <c r="A1422" s="7" t="inlineStr">
        <is>
          <t>Inflation index, cumulative</t>
        </is>
      </c>
      <c r="C1422" s="23">
        <f>Assumptions!$B$167</f>
        <v/>
      </c>
      <c r="D1422" s="23">
        <f>C1422*Assumptions!$B$168</f>
        <v/>
      </c>
      <c r="E1422" s="23">
        <f>D1422*Assumptions!$B$169</f>
        <v/>
      </c>
      <c r="F1422" s="23">
        <f>E1422*Assumptions!$B$170</f>
        <v/>
      </c>
      <c r="G1422" s="23">
        <f>F1422*Assumptions!$B$171</f>
        <v/>
      </c>
    </row>
    <row r="1423">
      <c r="A1423" s="7" t="inlineStr">
        <is>
          <t>Realisation index, cumulative</t>
        </is>
      </c>
      <c r="C1423" s="23">
        <f>(1+Assumptions!$B$122*DCF!$B$8)</f>
        <v/>
      </c>
      <c r="D1423" s="23">
        <f>C1423*(1+Assumptions!$B$123*DCF!$B$8)</f>
        <v/>
      </c>
      <c r="E1423" s="23">
        <f>D1423*(1+Assumptions!$B$124*DCF!$B$8)</f>
        <v/>
      </c>
      <c r="F1423" s="23">
        <f>E1423*(1+Assumptions!$B$125*DCF!$B$8)</f>
        <v/>
      </c>
      <c r="G1423" s="23">
        <f>F1423*(1+Assumptions!$B$126*DCF!$B$8)</f>
        <v/>
      </c>
    </row>
    <row r="1424">
      <c r="A1424" s="7" t="inlineStr">
        <is>
          <t xml:space="preserve">  Volume — Base and special oils, mn t</t>
        </is>
      </c>
      <c r="C1424" s="23">
        <f>'Segments'!E6*(1+Assumptions!$B$127+DCF!$B$6)</f>
        <v/>
      </c>
      <c r="D1424" s="23">
        <f>C1424*(1+Assumptions!$B$128+DCF!$B$6)</f>
        <v/>
      </c>
      <c r="E1424" s="23">
        <f>D1424*(1+Assumptions!$B$129+DCF!$B$6)</f>
        <v/>
      </c>
      <c r="F1424" s="23">
        <f>E1424*(1+Assumptions!$B$130+DCF!$B$6)</f>
        <v/>
      </c>
      <c r="G1424" s="23">
        <f>F1424*(1+Assumptions!$B$131+DCF!$B$6)</f>
        <v/>
      </c>
    </row>
    <row r="1425">
      <c r="A1425" s="7" t="inlineStr">
        <is>
          <t xml:space="preserve">  Volume — Paraffin wax, mn t</t>
        </is>
      </c>
      <c r="C1425" s="23">
        <f>'Segments'!E7*(1+Assumptions!$B$132+DCF!$B$6)</f>
        <v/>
      </c>
      <c r="D1425" s="23">
        <f>C1425*(1+Assumptions!$B$133+DCF!$B$6)</f>
        <v/>
      </c>
      <c r="E1425" s="23">
        <f>D1425*(1+Assumptions!$B$134+DCF!$B$6)</f>
        <v/>
      </c>
      <c r="F1425" s="23">
        <f>E1425*(1+Assumptions!$B$135+DCF!$B$6)</f>
        <v/>
      </c>
      <c r="G1425" s="23">
        <f>F1425*(1+Assumptions!$B$136+DCF!$B$6)</f>
        <v/>
      </c>
    </row>
    <row r="1426">
      <c r="A1426" s="7" t="inlineStr">
        <is>
          <t xml:space="preserve">  Volume — Gas oil, mn t</t>
        </is>
      </c>
      <c r="C1426" s="23">
        <f>'Segments'!E8*(1+Assumptions!$B$137+DCF!$B$6)</f>
        <v/>
      </c>
      <c r="D1426" s="23">
        <f>C1426*(1+Assumptions!$B$138+DCF!$B$6)</f>
        <v/>
      </c>
      <c r="E1426" s="23">
        <f>D1426*(1+Assumptions!$B$139+DCF!$B$6)</f>
        <v/>
      </c>
      <c r="F1426" s="23">
        <f>E1426*(1+Assumptions!$B$140+DCF!$B$6)</f>
        <v/>
      </c>
      <c r="G1426" s="23">
        <f>F1426*(1+Assumptions!$B$141+DCF!$B$6)</f>
        <v/>
      </c>
    </row>
    <row r="1427">
      <c r="A1427" s="7" t="inlineStr">
        <is>
          <t xml:space="preserve">  Volume — Naphtha, mn t</t>
        </is>
      </c>
      <c r="C1427" s="23">
        <f>'Segments'!E9*(1+Assumptions!$B$142+DCF!$B$6)</f>
        <v/>
      </c>
      <c r="D1427" s="23">
        <f>C1427*(1+Assumptions!$B$143+DCF!$B$6)</f>
        <v/>
      </c>
      <c r="E1427" s="23">
        <f>D1427*(1+Assumptions!$B$144+DCF!$B$6)</f>
        <v/>
      </c>
      <c r="F1427" s="23">
        <f>E1427*(1+Assumptions!$B$145+DCF!$B$6)</f>
        <v/>
      </c>
      <c r="G1427" s="23">
        <f>F1427*(1+Assumptions!$B$146+DCF!$B$6)</f>
        <v/>
      </c>
    </row>
    <row r="1428">
      <c r="A1428" s="7" t="inlineStr">
        <is>
          <t xml:space="preserve">  Volume — Liquefied petroleum gas, mn t</t>
        </is>
      </c>
      <c r="C1428" s="23">
        <f>'Segments'!E10*(1+Assumptions!$B$147+DCF!$B$6)</f>
        <v/>
      </c>
      <c r="D1428" s="23">
        <f>C1428*(1+Assumptions!$B$148+DCF!$B$6)</f>
        <v/>
      </c>
      <c r="E1428" s="23">
        <f>D1428*(1+Assumptions!$B$149+DCF!$B$6)</f>
        <v/>
      </c>
      <c r="F1428" s="23">
        <f>E1428*(1+Assumptions!$B$150+DCF!$B$6)</f>
        <v/>
      </c>
      <c r="G1428" s="23">
        <f>F1428*(1+Assumptions!$B$151+DCF!$B$6)</f>
        <v/>
      </c>
    </row>
    <row r="1429">
      <c r="A1429" s="7" t="inlineStr">
        <is>
          <t xml:space="preserve">  Volume — Fuel oil (mix), mn t</t>
        </is>
      </c>
      <c r="C1429" s="23">
        <f>'Segments'!E11*(1+Assumptions!$B$152+DCF!$B$6)</f>
        <v/>
      </c>
      <c r="D1429" s="23">
        <f>C1429*(1+Assumptions!$B$153+DCF!$B$6)</f>
        <v/>
      </c>
      <c r="E1429" s="23">
        <f>D1429*(1+Assumptions!$B$154+DCF!$B$6)</f>
        <v/>
      </c>
      <c r="F1429" s="23">
        <f>E1429*(1+Assumptions!$B$155+DCF!$B$6)</f>
        <v/>
      </c>
      <c r="G1429" s="23">
        <f>F1429*(1+Assumptions!$B$156+DCF!$B$6)</f>
        <v/>
      </c>
    </row>
    <row r="1430">
      <c r="A1430" s="7" t="inlineStr">
        <is>
          <t xml:space="preserve">  Volume — Heavy fuel oil, mn t</t>
        </is>
      </c>
      <c r="C1430" s="23">
        <f>'Segments'!E12*(1+Assumptions!$B$157+DCF!$B$6)</f>
        <v/>
      </c>
      <c r="D1430" s="23">
        <f>C1430*(1+Assumptions!$B$158+DCF!$B$6)</f>
        <v/>
      </c>
      <c r="E1430" s="23">
        <f>D1430*(1+Assumptions!$B$159+DCF!$B$6)</f>
        <v/>
      </c>
      <c r="F1430" s="23">
        <f>E1430*(1+Assumptions!$B$160+DCF!$B$6)</f>
        <v/>
      </c>
      <c r="G1430" s="23">
        <f>F1430*(1+Assumptions!$B$161+DCF!$B$6)</f>
        <v/>
      </c>
    </row>
    <row r="1431">
      <c r="A1431" s="7" t="inlineStr">
        <is>
          <t xml:space="preserve">  Volume — Waste, mn t</t>
        </is>
      </c>
      <c r="C1431" s="23">
        <f>'Segments'!E13*(1+Assumptions!$B$162+DCF!$B$6)</f>
        <v/>
      </c>
      <c r="D1431" s="23">
        <f>C1431*(1+Assumptions!$B$163+DCF!$B$6)</f>
        <v/>
      </c>
      <c r="E1431" s="23">
        <f>D1431*(1+Assumptions!$B$164+DCF!$B$6)</f>
        <v/>
      </c>
      <c r="F1431" s="23">
        <f>E1431*(1+Assumptions!$B$165+DCF!$B$6)</f>
        <v/>
      </c>
      <c r="G1431" s="23">
        <f>F1431*(1+Assumptions!$B$166+DCF!$B$6)</f>
        <v/>
      </c>
    </row>
    <row r="1432">
      <c r="A1432" s="15" t="inlineStr">
        <is>
          <t>Total volume, mn t</t>
        </is>
      </c>
      <c r="C1432" s="36">
        <f>SUM(C1424:C1431)</f>
        <v/>
      </c>
      <c r="D1432" s="36">
        <f>SUM(D1424:D1431)</f>
        <v/>
      </c>
      <c r="E1432" s="36">
        <f>SUM(E1424:E1431)</f>
        <v/>
      </c>
      <c r="F1432" s="36">
        <f>SUM(F1424:F1431)</f>
        <v/>
      </c>
      <c r="G1432" s="36">
        <f>SUM(G1424:G1431)</f>
        <v/>
      </c>
    </row>
    <row r="1433">
      <c r="A1433" s="15" t="inlineStr">
        <is>
          <t>REVENUE</t>
        </is>
      </c>
      <c r="C1433" s="37">
        <f>C1424*'Segments'!$F$6*C1423+C1425*'Segments'!$F$7*C1423+C1426*'Segments'!$F$8*C1423+C1427*'Segments'!$F$9*C1423+C1428*'Segments'!$F$10*C1423+C1429*'Segments'!$F$11*C1423+C1430*'Segments'!$F$12*C1423+C1431*'Segments'!$F$13*C1423</f>
        <v/>
      </c>
      <c r="D1433" s="37">
        <f>D1424*'Segments'!$F$6*D1423+D1425*'Segments'!$F$7*D1423+D1426*'Segments'!$F$8*D1423+D1427*'Segments'!$F$9*D1423+D1428*'Segments'!$F$10*D1423+D1429*'Segments'!$F$11*D1423+D1430*'Segments'!$F$12*D1423+D1431*'Segments'!$F$13*D1423</f>
        <v/>
      </c>
      <c r="E1433" s="37">
        <f>E1424*'Segments'!$F$6*E1423+E1425*'Segments'!$F$7*E1423+E1426*'Segments'!$F$8*E1423+E1427*'Segments'!$F$9*E1423+E1428*'Segments'!$F$10*E1423+E1429*'Segments'!$F$11*E1423+E1430*'Segments'!$F$12*E1423+E1431*'Segments'!$F$13*E1423</f>
        <v/>
      </c>
      <c r="F1433" s="37">
        <f>F1424*'Segments'!$F$6*F1423+F1425*'Segments'!$F$7*F1423+F1426*'Segments'!$F$8*F1423+F1427*'Segments'!$F$9*F1423+F1428*'Segments'!$F$10*F1423+F1429*'Segments'!$F$11*F1423+F1430*'Segments'!$F$12*F1423+F1431*'Segments'!$F$13*F1423</f>
        <v/>
      </c>
      <c r="G1433" s="37">
        <f>G1424*'Segments'!$F$6*G1423+G1425*'Segments'!$F$7*G1423+G1426*'Segments'!$F$8*G1423+G1427*'Segments'!$F$9*G1423+G1428*'Segments'!$F$10*G1423+G1429*'Segments'!$F$11*G1423+G1430*'Segments'!$F$12*G1423+G1431*'Segments'!$F$13*G1423</f>
        <v/>
      </c>
    </row>
    <row r="1434">
      <c r="A1434" s="7" t="inlineStr">
        <is>
          <t>Cost of sales</t>
        </is>
      </c>
      <c r="C1434" s="18">
        <f>C1424*('Segments'!$D$27*C1423*Assumptions!$B$109+'Segments'!$B$27*(0.4983251709*C1423+0.4357405005*C1423+0.0330936548*C1423+0.0328406739))+C1425*('Segments'!$D$28*C1423*Assumptions!$B$109+'Segments'!$B$28*(0.4983251709*C1423+0.4357405005*C1423+0.0330936548*C1423+0.0328406739))+C1426*('Segments'!$D$29*C1423*Assumptions!$B$109+'Segments'!$B$29*(0.4983251709*C1423+0.4357405005*C1423+0.0330936548*C1423+0.0328406739))+C1427*('Segments'!$D$30*C1423*Assumptions!$B$109+'Segments'!$B$30*(0.4983251709*C1423+0.4357405005*C1423+0.0330936548*C1423+0.0328406739))+C1428*('Segments'!$D$31*C1423*Assumptions!$B$109+'Segments'!$B$31*(0.4983251709*C1423+0.4357405005*C1423+0.0330936548*C1423+0.0328406739))+C1429*('Segments'!$D$32*C1423*Assumptions!$B$109+'Segments'!$B$32*(0.4983251709*C1423+0.4357405005*C1423+0.0330936548*C1423+0.0328406739))+C1430*('Segments'!$D$33*C1423*Assumptions!$B$109+'Segments'!$B$33*(0.4983251709*C1423+0.4357405005*C1423+0.0330936548*C1423+0.0328406739))+C1431*('Segments'!$D$34*C1423*Assumptions!$B$109+'Segments'!$B$34*(0.4983251709*C1423+0.4357405005*C1423+0.0330936548*C1423+0.0328406739))</f>
        <v/>
      </c>
      <c r="D1434" s="18">
        <f>D1424*('Segments'!$D$27*D1423*Assumptions!$B$109+'Segments'!$B$27*(0.4983251709*D1423+0.4357405005*D1423+0.0330936548*D1423+0.0328406739))+D1425*('Segments'!$D$28*D1423*Assumptions!$B$109+'Segments'!$B$28*(0.4983251709*D1423+0.4357405005*D1423+0.0330936548*D1423+0.0328406739))+D1426*('Segments'!$D$29*D1423*Assumptions!$B$109+'Segments'!$B$29*(0.4983251709*D1423+0.4357405005*D1423+0.0330936548*D1423+0.0328406739))+D1427*('Segments'!$D$30*D1423*Assumptions!$B$109+'Segments'!$B$30*(0.4983251709*D1423+0.4357405005*D1423+0.0330936548*D1423+0.0328406739))+D1428*('Segments'!$D$31*D1423*Assumptions!$B$109+'Segments'!$B$31*(0.4983251709*D1423+0.4357405005*D1423+0.0330936548*D1423+0.0328406739))+D1429*('Segments'!$D$32*D1423*Assumptions!$B$109+'Segments'!$B$32*(0.4983251709*D1423+0.4357405005*D1423+0.0330936548*D1423+0.0328406739))+D1430*('Segments'!$D$33*D1423*Assumptions!$B$109+'Segments'!$B$33*(0.4983251709*D1423+0.4357405005*D1423+0.0330936548*D1423+0.0328406739))+D1431*('Segments'!$D$34*D1423*Assumptions!$B$109+'Segments'!$B$34*(0.4983251709*D1423+0.4357405005*D1423+0.0330936548*D1423+0.0328406739))</f>
        <v/>
      </c>
      <c r="E1434" s="18">
        <f>E1424*('Segments'!$D$27*E1423*Assumptions!$B$109+'Segments'!$B$27*(0.4983251709*E1423+0.4357405005*E1423+0.0330936548*E1423+0.0328406739))+E1425*('Segments'!$D$28*E1423*Assumptions!$B$109+'Segments'!$B$28*(0.4983251709*E1423+0.4357405005*E1423+0.0330936548*E1423+0.0328406739))+E1426*('Segments'!$D$29*E1423*Assumptions!$B$109+'Segments'!$B$29*(0.4983251709*E1423+0.4357405005*E1423+0.0330936548*E1423+0.0328406739))+E1427*('Segments'!$D$30*E1423*Assumptions!$B$109+'Segments'!$B$30*(0.4983251709*E1423+0.4357405005*E1423+0.0330936548*E1423+0.0328406739))+E1428*('Segments'!$D$31*E1423*Assumptions!$B$109+'Segments'!$B$31*(0.4983251709*E1423+0.4357405005*E1423+0.0330936548*E1423+0.0328406739))+E1429*('Segments'!$D$32*E1423*Assumptions!$B$109+'Segments'!$B$32*(0.4983251709*E1423+0.4357405005*E1423+0.0330936548*E1423+0.0328406739))+E1430*('Segments'!$D$33*E1423*Assumptions!$B$109+'Segments'!$B$33*(0.4983251709*E1423+0.4357405005*E1423+0.0330936548*E1423+0.0328406739))+E1431*('Segments'!$D$34*E1423*Assumptions!$B$109+'Segments'!$B$34*(0.4983251709*E1423+0.4357405005*E1423+0.0330936548*E1423+0.0328406739))</f>
        <v/>
      </c>
      <c r="F1434" s="18">
        <f>F1424*('Segments'!$D$27*F1423*Assumptions!$B$109+'Segments'!$B$27*(0.4983251709*F1423+0.4357405005*F1423+0.0330936548*F1423+0.0328406739))+F1425*('Segments'!$D$28*F1423*Assumptions!$B$109+'Segments'!$B$28*(0.4983251709*F1423+0.4357405005*F1423+0.0330936548*F1423+0.0328406739))+F1426*('Segments'!$D$29*F1423*Assumptions!$B$109+'Segments'!$B$29*(0.4983251709*F1423+0.4357405005*F1423+0.0330936548*F1423+0.0328406739))+F1427*('Segments'!$D$30*F1423*Assumptions!$B$109+'Segments'!$B$30*(0.4983251709*F1423+0.4357405005*F1423+0.0330936548*F1423+0.0328406739))+F1428*('Segments'!$D$31*F1423*Assumptions!$B$109+'Segments'!$B$31*(0.4983251709*F1423+0.4357405005*F1423+0.0330936548*F1423+0.0328406739))+F1429*('Segments'!$D$32*F1423*Assumptions!$B$109+'Segments'!$B$32*(0.4983251709*F1423+0.4357405005*F1423+0.0330936548*F1423+0.0328406739))+F1430*('Segments'!$D$33*F1423*Assumptions!$B$109+'Segments'!$B$33*(0.4983251709*F1423+0.4357405005*F1423+0.0330936548*F1423+0.0328406739))+F1431*('Segments'!$D$34*F1423*Assumptions!$B$109+'Segments'!$B$34*(0.4983251709*F1423+0.4357405005*F1423+0.0330936548*F1423+0.0328406739))</f>
        <v/>
      </c>
      <c r="G1434" s="18">
        <f>G1424*('Segments'!$D$27*G1423*Assumptions!$B$109+'Segments'!$B$27*(0.4983251709*G1423+0.4357405005*G1423+0.0330936548*G1423+0.0328406739))+G1425*('Segments'!$D$28*G1423*Assumptions!$B$109+'Segments'!$B$28*(0.4983251709*G1423+0.4357405005*G1423+0.0330936548*G1423+0.0328406739))+G1426*('Segments'!$D$29*G1423*Assumptions!$B$109+'Segments'!$B$29*(0.4983251709*G1423+0.4357405005*G1423+0.0330936548*G1423+0.0328406739))+G1427*('Segments'!$D$30*G1423*Assumptions!$B$109+'Segments'!$B$30*(0.4983251709*G1423+0.4357405005*G1423+0.0330936548*G1423+0.0328406739))+G1428*('Segments'!$D$31*G1423*Assumptions!$B$109+'Segments'!$B$31*(0.4983251709*G1423+0.4357405005*G1423+0.0330936548*G1423+0.0328406739))+G1429*('Segments'!$D$32*G1423*Assumptions!$B$109+'Segments'!$B$32*(0.4983251709*G1423+0.4357405005*G1423+0.0330936548*G1423+0.0328406739))+G1430*('Segments'!$D$33*G1423*Assumptions!$B$109+'Segments'!$B$33*(0.4983251709*G1423+0.4357405005*G1423+0.0330936548*G1423+0.0328406739))+G1431*('Segments'!$D$34*G1423*Assumptions!$B$109+'Segments'!$B$34*(0.4983251709*G1423+0.4357405005*G1423+0.0330936548*G1423+0.0328406739))</f>
        <v/>
      </c>
    </row>
    <row r="1435">
      <c r="A1435" s="15" t="inlineStr">
        <is>
          <t>GROSS PROFIT</t>
        </is>
      </c>
      <c r="C1435" s="37">
        <f>C1433-C1434+DCF!$B$7*C1433</f>
        <v/>
      </c>
      <c r="D1435" s="37">
        <f>D1433-D1434+DCF!$B$7*D1433</f>
        <v/>
      </c>
      <c r="E1435" s="37">
        <f>E1433-E1434+DCF!$B$7*E1433</f>
        <v/>
      </c>
      <c r="F1435" s="37">
        <f>F1433-F1434+DCF!$B$7*F1433</f>
        <v/>
      </c>
      <c r="G1435" s="37">
        <f>G1433-G1434+DCF!$B$7*G1433</f>
        <v/>
      </c>
    </row>
    <row r="1436">
      <c r="A1436" s="7" t="inlineStr">
        <is>
          <t>Gross margin</t>
        </is>
      </c>
      <c r="C1436" s="24">
        <f>C1435/C1433</f>
        <v/>
      </c>
      <c r="D1436" s="24">
        <f>D1435/D1433</f>
        <v/>
      </c>
      <c r="E1436" s="24">
        <f>E1435/E1433</f>
        <v/>
      </c>
      <c r="F1436" s="24">
        <f>F1435/F1433</f>
        <v/>
      </c>
      <c r="G1436" s="24">
        <f>G1435/G1433</f>
        <v/>
      </c>
    </row>
    <row r="1437">
      <c r="A1437" s="7" t="inlineStr">
        <is>
          <t>Operating expense</t>
        </is>
      </c>
      <c r="C1437" s="18">
        <f>('Income Statement'!$B$28*C1422)+('Income Statement'!$B$29*C1422*C1432/'Segments'!$E$14)+('Income Statement'!$B$30*C1422)+('Income Statement'!$B$31*C1422)</f>
        <v/>
      </c>
      <c r="D1437" s="18">
        <f>('Income Statement'!$B$28*D1422)+('Income Statement'!$B$29*D1422*D1432/'Segments'!$E$14)+('Income Statement'!$B$30*D1422)+('Income Statement'!$B$31*D1422)</f>
        <v/>
      </c>
      <c r="E1437" s="18">
        <f>('Income Statement'!$B$28*E1422)+('Income Statement'!$B$29*E1422*E1432/'Segments'!$E$14)+('Income Statement'!$B$30*E1422)+('Income Statement'!$B$31*E1422)</f>
        <v/>
      </c>
      <c r="F1437" s="18">
        <f>('Income Statement'!$B$28*F1422)+('Income Statement'!$B$29*F1422*F1432/'Segments'!$E$14)+('Income Statement'!$B$30*F1422)+('Income Statement'!$B$31*F1422)</f>
        <v/>
      </c>
      <c r="G1437" s="18">
        <f>('Income Statement'!$B$28*G1422)+('Income Statement'!$B$29*G1422*G1432/'Segments'!$E$14)+('Income Statement'!$B$30*G1422)+('Income Statement'!$B$31*G1422)</f>
        <v/>
      </c>
    </row>
    <row r="1438">
      <c r="A1438" s="15" t="inlineStr">
        <is>
          <t>EBITDA</t>
        </is>
      </c>
      <c r="C1438" s="37">
        <f>C1435-C1437</f>
        <v/>
      </c>
      <c r="D1438" s="37">
        <f>D1435-D1437</f>
        <v/>
      </c>
      <c r="E1438" s="37">
        <f>E1435-E1437</f>
        <v/>
      </c>
      <c r="F1438" s="37">
        <f>F1435-F1437</f>
        <v/>
      </c>
      <c r="G1438" s="37">
        <f>G1435-G1437</f>
        <v/>
      </c>
    </row>
    <row r="1439">
      <c r="A1439" s="7" t="inlineStr">
        <is>
          <t>Capital expenditure — maintenance + growth</t>
        </is>
      </c>
      <c r="C1439" s="18">
        <f>'Income Statement'!$B$43*C1422+MAX(C1432-'Segments'!$E$14,0)*2100.379938*C1422</f>
        <v/>
      </c>
      <c r="D1439" s="18">
        <f>'Income Statement'!$B$43*D1422+MAX(D1432-C1432,0)*2100.379938*D1422</f>
        <v/>
      </c>
      <c r="E1439" s="18">
        <f>'Income Statement'!$B$43*E1422+MAX(E1432-D1432,0)*2100.379938*E1422</f>
        <v/>
      </c>
      <c r="F1439" s="18">
        <f>'Income Statement'!$B$43*F1422+MAX(F1432-E1432,0)*2100.379938*F1422</f>
        <v/>
      </c>
      <c r="G1439" s="18">
        <f>'Income Statement'!$B$43*G1422+MAX(G1432-F1432,0)*2100.379938*G1422</f>
        <v/>
      </c>
    </row>
    <row r="1440">
      <c r="A1440" s="7" t="inlineStr">
        <is>
          <t>Fixed assets at cost, closing</t>
        </is>
      </c>
      <c r="C1440" s="18">
        <f>(Assumptions!$B$91+Assumptions!$B$92)/10^6+C1439</f>
        <v/>
      </c>
      <c r="D1440" s="18">
        <f>C1440+D1439</f>
        <v/>
      </c>
      <c r="E1440" s="18">
        <f>D1440+E1439</f>
        <v/>
      </c>
      <c r="F1440" s="18">
        <f>E1440+F1439</f>
        <v/>
      </c>
      <c r="G1440" s="18">
        <f>F1440+G1439</f>
        <v/>
      </c>
    </row>
    <row r="1441">
      <c r="A1441" s="7" t="inlineStr">
        <is>
          <t>Depreciation — rolls off the asset register</t>
        </is>
      </c>
      <c r="C1441" s="18">
        <f>(Assumptions!$B$91+Assumptions!$B$92)/10^6/'Income Statement'!$B$42</f>
        <v/>
      </c>
      <c r="D1441" s="18">
        <f>C1440/'Income Statement'!$B$42</f>
        <v/>
      </c>
      <c r="E1441" s="18">
        <f>D1440/'Income Statement'!$B$42</f>
        <v/>
      </c>
      <c r="F1441" s="18">
        <f>E1440/'Income Statement'!$B$42</f>
        <v/>
      </c>
      <c r="G1441" s="18">
        <f>F1440/'Income Statement'!$B$42</f>
        <v/>
      </c>
    </row>
    <row r="1442">
      <c r="A1442" s="7" t="inlineStr">
        <is>
          <t>Fixed assets, net book, closing</t>
        </is>
      </c>
      <c r="C1442" s="18">
        <f>(Assumptions!$B$90+Assumptions!$B$92)/10^6+C1439-C1441</f>
        <v/>
      </c>
      <c r="D1442" s="18">
        <f>C1442+D1439-D1441</f>
        <v/>
      </c>
      <c r="E1442" s="18">
        <f>D1442+E1439-E1441</f>
        <v/>
      </c>
      <c r="F1442" s="18">
        <f>E1442+F1439-F1441</f>
        <v/>
      </c>
      <c r="G1442" s="18">
        <f>F1442+G1439-G1441</f>
        <v/>
      </c>
    </row>
    <row r="1443">
      <c r="A1443" s="15" t="inlineStr">
        <is>
          <t>EBIT</t>
        </is>
      </c>
      <c r="C1443" s="37">
        <f>C1438-C1441</f>
        <v/>
      </c>
      <c r="D1443" s="37">
        <f>D1438-D1441</f>
        <v/>
      </c>
      <c r="E1443" s="37">
        <f>E1438-E1441</f>
        <v/>
      </c>
      <c r="F1443" s="37">
        <f>F1438-F1441</f>
        <v/>
      </c>
      <c r="G1443" s="37">
        <f>G1438-G1441</f>
        <v/>
      </c>
    </row>
    <row r="1444">
      <c r="A1444" s="7" t="inlineStr">
        <is>
          <t>NOPAT before the profit share</t>
        </is>
      </c>
      <c r="C1444" s="18">
        <f>C1443*(1-Assumptions!$B$108)</f>
        <v/>
      </c>
      <c r="D1444" s="18">
        <f>D1443*(1-Assumptions!$B$108)</f>
        <v/>
      </c>
      <c r="E1444" s="18">
        <f>E1443*(1-Assumptions!$B$108)</f>
        <v/>
      </c>
      <c r="F1444" s="18">
        <f>F1443*(1-Assumptions!$B$108)</f>
        <v/>
      </c>
      <c r="G1444" s="18">
        <f>G1443*(1-Assumptions!$B$108)</f>
        <v/>
      </c>
    </row>
    <row r="1445">
      <c r="A1445" s="7" t="inlineStr">
        <is>
          <t xml:space="preserve">  less employees' profit share and board bonuses</t>
        </is>
      </c>
      <c r="C1445" s="18">
        <f>MAX(C1444,0)*'Income Statement'!$B$40</f>
        <v/>
      </c>
      <c r="D1445" s="18">
        <f>MAX(D1444,0)*'Income Statement'!$B$40</f>
        <v/>
      </c>
      <c r="E1445" s="18">
        <f>MAX(E1444,0)*'Income Statement'!$B$40</f>
        <v/>
      </c>
      <c r="F1445" s="18">
        <f>MAX(F1444,0)*'Income Statement'!$B$40</f>
        <v/>
      </c>
      <c r="G1445" s="18">
        <f>MAX(G1444,0)*'Income Statement'!$B$40</f>
        <v/>
      </c>
    </row>
    <row r="1446">
      <c r="A1446" s="15" t="inlineStr">
        <is>
          <t>NOPAT</t>
        </is>
      </c>
      <c r="C1446" s="37">
        <f>C1444-C1445</f>
        <v/>
      </c>
      <c r="D1446" s="37">
        <f>D1444-D1445</f>
        <v/>
      </c>
      <c r="E1446" s="37">
        <f>E1444-E1445</f>
        <v/>
      </c>
      <c r="F1446" s="37">
        <f>F1444-F1445</f>
        <v/>
      </c>
      <c r="G1446" s="37">
        <f>G1444-G1445</f>
        <v/>
      </c>
    </row>
    <row r="1447">
      <c r="A1447" s="7" t="inlineStr">
        <is>
          <t>Net working capital — on days</t>
        </is>
      </c>
      <c r="C1447" s="18">
        <f>'Income Statement'!$B$44*DCF!$B$9/365*C1434+'Income Statement'!$B$45*DCF!$B$9/365*C1433-'Income Statement'!$B$46*DCF!$B$9/365*C1434</f>
        <v/>
      </c>
      <c r="D1447" s="18">
        <f>'Income Statement'!$B$44*DCF!$B$9/365*D1434+'Income Statement'!$B$45*DCF!$B$9/365*D1433-'Income Statement'!$B$46*DCF!$B$9/365*D1434</f>
        <v/>
      </c>
      <c r="E1447" s="18">
        <f>'Income Statement'!$B$44*DCF!$B$9/365*E1434+'Income Statement'!$B$45*DCF!$B$9/365*E1433-'Income Statement'!$B$46*DCF!$B$9/365*E1434</f>
        <v/>
      </c>
      <c r="F1447" s="18">
        <f>'Income Statement'!$B$44*DCF!$B$9/365*F1434+'Income Statement'!$B$45*DCF!$B$9/365*F1433-'Income Statement'!$B$46*DCF!$B$9/365*F1434</f>
        <v/>
      </c>
      <c r="G1447" s="18">
        <f>'Income Statement'!$B$44*DCF!$B$9/365*G1434+'Income Statement'!$B$45*DCF!$B$9/365*G1433-'Income Statement'!$B$46*DCF!$B$9/365*G1434</f>
        <v/>
      </c>
    </row>
    <row r="1448">
      <c r="A1448" s="7" t="inlineStr">
        <is>
          <t xml:space="preserve">  change in working capital</t>
        </is>
      </c>
      <c r="C1448" s="18">
        <f>C1447-('Income Statement'!$B$44/365*'Income Statement'!$B$21+'Income Statement'!$B$45/365*'Income Statement'!$B$19-'Income Statement'!$B$46/365*'Income Statement'!$B$21)</f>
        <v/>
      </c>
      <c r="D1448" s="18">
        <f>D1447-C1447</f>
        <v/>
      </c>
      <c r="E1448" s="18">
        <f>E1447-D1447</f>
        <v/>
      </c>
      <c r="F1448" s="18">
        <f>F1447-E1447</f>
        <v/>
      </c>
      <c r="G1448" s="18">
        <f>G1447-F1447</f>
        <v/>
      </c>
    </row>
    <row r="1449">
      <c r="A1449" s="15" t="inlineStr">
        <is>
          <t>FREE CASH FLOW TO THE FIRM</t>
        </is>
      </c>
      <c r="C1449" s="37">
        <f>C1446+C1441-C1439-C1448</f>
        <v/>
      </c>
      <c r="D1449" s="37">
        <f>D1446+D1441-D1439-D1448</f>
        <v/>
      </c>
      <c r="E1449" s="37">
        <f>E1446+E1441-E1439-E1448</f>
        <v/>
      </c>
      <c r="F1449" s="37">
        <f>F1446+F1441-F1439-F1448</f>
        <v/>
      </c>
      <c r="G1449" s="37">
        <f>G1446+G1441-G1439-G1448</f>
        <v/>
      </c>
    </row>
    <row r="1450">
      <c r="A1450" s="7" t="inlineStr">
        <is>
          <t>Glide fraction</t>
        </is>
      </c>
      <c r="C1450" s="23">
        <f>0.0000000000</f>
        <v/>
      </c>
      <c r="D1450" s="23">
        <f>0.5166487648</f>
        <v/>
      </c>
      <c r="E1450" s="23">
        <f>0.7314715360</f>
        <v/>
      </c>
      <c r="F1450" s="23">
        <f>0.8925886144</f>
        <v/>
      </c>
      <c r="G1450" s="23">
        <f>1.0000000000</f>
        <v/>
      </c>
    </row>
    <row r="1451">
      <c r="A1451" s="7" t="inlineStr">
        <is>
          <t>Forward cost of capital</t>
        </is>
      </c>
      <c r="C1451" s="24">
        <f>DCF!$B$14-(DCF!$B$14-DCF!$B$17)*C1450</f>
        <v/>
      </c>
      <c r="D1451" s="24">
        <f>DCF!$B$14-(DCF!$B$14-DCF!$B$17)*D1450</f>
        <v/>
      </c>
      <c r="E1451" s="24">
        <f>DCF!$B$14-(DCF!$B$14-DCF!$B$17)*E1450</f>
        <v/>
      </c>
      <c r="F1451" s="24">
        <f>DCF!$B$14-(DCF!$B$14-DCF!$B$17)*F1450</f>
        <v/>
      </c>
      <c r="G1451" s="24">
        <f>DCF!$B$14-(DCF!$B$14-DCF!$B$17)*G1450</f>
        <v/>
      </c>
    </row>
    <row r="1452">
      <c r="A1452" s="7" t="inlineStr">
        <is>
          <t>Cumulative discount factor</t>
        </is>
      </c>
      <c r="C1452" s="40">
        <f>1/(1+C1451)</f>
        <v/>
      </c>
      <c r="D1452" s="40">
        <f>C1452/(1+D1451)</f>
        <v/>
      </c>
      <c r="E1452" s="40">
        <f>D1452/(1+E1451)</f>
        <v/>
      </c>
      <c r="F1452" s="40">
        <f>E1452/(1+F1451)</f>
        <v/>
      </c>
      <c r="G1452" s="40">
        <f>F1452/(1+G1451)</f>
        <v/>
      </c>
    </row>
    <row r="1453">
      <c r="A1453" s="7" t="inlineStr">
        <is>
          <t>Present value</t>
        </is>
      </c>
      <c r="C1453" s="18">
        <f>C1449*C1452</f>
        <v/>
      </c>
      <c r="D1453" s="18">
        <f>D1449*D1452</f>
        <v/>
      </c>
      <c r="E1453" s="18">
        <f>E1449*E1452</f>
        <v/>
      </c>
      <c r="F1453" s="18">
        <f>F1449*F1452</f>
        <v/>
      </c>
      <c r="G1453" s="18">
        <f>G1449*G1452</f>
        <v/>
      </c>
    </row>
    <row r="1454">
      <c r="A1454" s="15" t="inlineStr">
        <is>
          <t>PV of the explicit window</t>
        </is>
      </c>
      <c r="B1454" s="37">
        <f>SUM(C1453:G1453)</f>
        <v/>
      </c>
      <c r="C1454" s="18">
        <f>C1447+C1440</f>
        <v/>
      </c>
      <c r="D1454" s="18">
        <f>D1447+D1440</f>
        <v/>
      </c>
      <c r="E1454" s="18">
        <f>E1447+E1440</f>
        <v/>
      </c>
      <c r="F1454" s="18">
        <f>F1447+F1440</f>
        <v/>
      </c>
      <c r="G1454" s="18">
        <f>G1447+G1440</f>
        <v/>
      </c>
    </row>
    <row r="1455">
      <c r="A1455" s="7" t="inlineStr">
        <is>
          <t>Terminal return on invested capital, at REPLACEMENT cost</t>
        </is>
      </c>
      <c r="B1455" s="24">
        <f>G1446*(1+$H$44)/G1454</f>
        <v/>
      </c>
    </row>
    <row r="1456">
      <c r="A1456" s="7" t="inlineStr">
        <is>
          <t>Required reinvestment = growth / return</t>
        </is>
      </c>
      <c r="B1456" s="24">
        <f>MIN($H$44/B1455,0.95)</f>
        <v/>
      </c>
    </row>
    <row r="1457">
      <c r="A1457" s="7" t="inlineStr">
        <is>
          <t>Terminal value</t>
        </is>
      </c>
      <c r="B1457" s="18">
        <f>G1446*(1+$H$44)*(1-B1456)/MAX(DCF!$B$17-$H$44,0.02)</f>
        <v/>
      </c>
    </row>
    <row r="1458">
      <c r="A1458" s="7" t="inlineStr">
        <is>
          <t>PV of the terminal block</t>
        </is>
      </c>
      <c r="B1458" s="18">
        <f>B1457*G1452</f>
        <v/>
      </c>
    </row>
    <row r="1459">
      <c r="A1459" s="15" t="inlineStr">
        <is>
          <t>ENTERPRISE VALUE</t>
        </is>
      </c>
      <c r="B1459" s="37">
        <f>B1454+B1458</f>
        <v/>
      </c>
    </row>
    <row r="1460">
      <c r="A1460" s="7" t="inlineStr">
        <is>
          <t>plus net cash</t>
        </is>
      </c>
      <c r="B1460" s="18">
        <f>(Assumptions!$B$100-Assumptions!$B$103-Assumptions!$B$104)/10^6</f>
        <v/>
      </c>
    </row>
    <row r="1461">
      <c r="A1461" s="7" t="inlineStr">
        <is>
          <t>Enterprise value including cash</t>
        </is>
      </c>
      <c r="B1461" s="18">
        <f>B1459+B1460</f>
        <v/>
      </c>
    </row>
    <row r="1462">
      <c r="A1462" s="7" t="inlineStr">
        <is>
          <t>less minority — on the WHOLE enterprise, cash included</t>
        </is>
      </c>
      <c r="B1462" s="18">
        <f>B1461*'Income Statement'!$B$41</f>
        <v/>
      </c>
    </row>
    <row r="1463">
      <c r="A1463" s="7" t="inlineStr">
        <is>
          <t>less the tax-disputes provision</t>
        </is>
      </c>
      <c r="B1463" s="18">
        <f>Assumptions!$B$99/10^6</f>
        <v/>
      </c>
    </row>
    <row r="1464">
      <c r="A1464" s="7" t="inlineStr">
        <is>
          <t>less dividends payable — declared, out of working capital</t>
        </is>
      </c>
      <c r="B1464" s="18">
        <f>Assumptions!$B$98/10^6</f>
        <v/>
      </c>
    </row>
    <row r="1465">
      <c r="A1465" s="7" t="inlineStr">
        <is>
          <t>plus non-operating investments and pledged deposits</t>
        </is>
      </c>
      <c r="B1465" s="18">
        <f>(Assumptions!$B$102+Assumptions!$B$101)/10^6</f>
        <v/>
      </c>
    </row>
    <row r="1466">
      <c r="A1466" s="15" t="inlineStr">
        <is>
          <t>EQUITY ATTRIBUTABLE</t>
        </is>
      </c>
      <c r="B1466" s="37">
        <f>B1461-B1462-B1463-B1464+B1465</f>
        <v/>
      </c>
    </row>
    <row r="1467">
      <c r="A1467" s="15" t="inlineStr">
        <is>
          <t>VALUE PER SHARE, EGP</t>
        </is>
      </c>
      <c r="B1467" s="22">
        <f>B1466/Assumptions!$B$8</f>
        <v/>
      </c>
    </row>
    <row r="1470">
      <c r="A1470" s="6" t="inlineStr">
        <is>
          <t>Terminal growth — 7.0%</t>
        </is>
      </c>
      <c r="B1470" s="6" t="inlineStr">
        <is>
          <t>2026E</t>
        </is>
      </c>
      <c r="C1470" s="6" t="inlineStr">
        <is>
          <t>2027E</t>
        </is>
      </c>
      <c r="D1470" s="6" t="inlineStr">
        <is>
          <t>2028E</t>
        </is>
      </c>
      <c r="E1470" s="6" t="inlineStr">
        <is>
          <t>2029E</t>
        </is>
      </c>
      <c r="F1470" s="6" t="inlineStr">
        <is>
          <t>2030E</t>
        </is>
      </c>
    </row>
    <row r="1471">
      <c r="A1471" s="7" t="inlineStr">
        <is>
          <t>Inflation index, cumulative</t>
        </is>
      </c>
      <c r="C1471" s="23">
        <f>Assumptions!$B$167</f>
        <v/>
      </c>
      <c r="D1471" s="23">
        <f>C1471*Assumptions!$B$168</f>
        <v/>
      </c>
      <c r="E1471" s="23">
        <f>D1471*Assumptions!$B$169</f>
        <v/>
      </c>
      <c r="F1471" s="23">
        <f>E1471*Assumptions!$B$170</f>
        <v/>
      </c>
      <c r="G1471" s="23">
        <f>F1471*Assumptions!$B$171</f>
        <v/>
      </c>
    </row>
    <row r="1472">
      <c r="A1472" s="7" t="inlineStr">
        <is>
          <t>Realisation index, cumulative</t>
        </is>
      </c>
      <c r="C1472" s="23">
        <f>(1+Assumptions!$B$122*DCF!$B$8)</f>
        <v/>
      </c>
      <c r="D1472" s="23">
        <f>C1472*(1+Assumptions!$B$123*DCF!$B$8)</f>
        <v/>
      </c>
      <c r="E1472" s="23">
        <f>D1472*(1+Assumptions!$B$124*DCF!$B$8)</f>
        <v/>
      </c>
      <c r="F1472" s="23">
        <f>E1472*(1+Assumptions!$B$125*DCF!$B$8)</f>
        <v/>
      </c>
      <c r="G1472" s="23">
        <f>F1472*(1+Assumptions!$B$126*DCF!$B$8)</f>
        <v/>
      </c>
    </row>
    <row r="1473">
      <c r="A1473" s="7" t="inlineStr">
        <is>
          <t xml:space="preserve">  Volume — Base and special oils, mn t</t>
        </is>
      </c>
      <c r="C1473" s="23">
        <f>'Segments'!E6*(1+Assumptions!$B$127+DCF!$B$6)</f>
        <v/>
      </c>
      <c r="D1473" s="23">
        <f>C1473*(1+Assumptions!$B$128+DCF!$B$6)</f>
        <v/>
      </c>
      <c r="E1473" s="23">
        <f>D1473*(1+Assumptions!$B$129+DCF!$B$6)</f>
        <v/>
      </c>
      <c r="F1473" s="23">
        <f>E1473*(1+Assumptions!$B$130+DCF!$B$6)</f>
        <v/>
      </c>
      <c r="G1473" s="23">
        <f>F1473*(1+Assumptions!$B$131+DCF!$B$6)</f>
        <v/>
      </c>
    </row>
    <row r="1474">
      <c r="A1474" s="7" t="inlineStr">
        <is>
          <t xml:space="preserve">  Volume — Paraffin wax, mn t</t>
        </is>
      </c>
      <c r="C1474" s="23">
        <f>'Segments'!E7*(1+Assumptions!$B$132+DCF!$B$6)</f>
        <v/>
      </c>
      <c r="D1474" s="23">
        <f>C1474*(1+Assumptions!$B$133+DCF!$B$6)</f>
        <v/>
      </c>
      <c r="E1474" s="23">
        <f>D1474*(1+Assumptions!$B$134+DCF!$B$6)</f>
        <v/>
      </c>
      <c r="F1474" s="23">
        <f>E1474*(1+Assumptions!$B$135+DCF!$B$6)</f>
        <v/>
      </c>
      <c r="G1474" s="23">
        <f>F1474*(1+Assumptions!$B$136+DCF!$B$6)</f>
        <v/>
      </c>
    </row>
    <row r="1475">
      <c r="A1475" s="7" t="inlineStr">
        <is>
          <t xml:space="preserve">  Volume — Gas oil, mn t</t>
        </is>
      </c>
      <c r="C1475" s="23">
        <f>'Segments'!E8*(1+Assumptions!$B$137+DCF!$B$6)</f>
        <v/>
      </c>
      <c r="D1475" s="23">
        <f>C1475*(1+Assumptions!$B$138+DCF!$B$6)</f>
        <v/>
      </c>
      <c r="E1475" s="23">
        <f>D1475*(1+Assumptions!$B$139+DCF!$B$6)</f>
        <v/>
      </c>
      <c r="F1475" s="23">
        <f>E1475*(1+Assumptions!$B$140+DCF!$B$6)</f>
        <v/>
      </c>
      <c r="G1475" s="23">
        <f>F1475*(1+Assumptions!$B$141+DCF!$B$6)</f>
        <v/>
      </c>
    </row>
    <row r="1476">
      <c r="A1476" s="7" t="inlineStr">
        <is>
          <t xml:space="preserve">  Volume — Naphtha, mn t</t>
        </is>
      </c>
      <c r="C1476" s="23">
        <f>'Segments'!E9*(1+Assumptions!$B$142+DCF!$B$6)</f>
        <v/>
      </c>
      <c r="D1476" s="23">
        <f>C1476*(1+Assumptions!$B$143+DCF!$B$6)</f>
        <v/>
      </c>
      <c r="E1476" s="23">
        <f>D1476*(1+Assumptions!$B$144+DCF!$B$6)</f>
        <v/>
      </c>
      <c r="F1476" s="23">
        <f>E1476*(1+Assumptions!$B$145+DCF!$B$6)</f>
        <v/>
      </c>
      <c r="G1476" s="23">
        <f>F1476*(1+Assumptions!$B$146+DCF!$B$6)</f>
        <v/>
      </c>
    </row>
    <row r="1477">
      <c r="A1477" s="7" t="inlineStr">
        <is>
          <t xml:space="preserve">  Volume — Liquefied petroleum gas, mn t</t>
        </is>
      </c>
      <c r="C1477" s="23">
        <f>'Segments'!E10*(1+Assumptions!$B$147+DCF!$B$6)</f>
        <v/>
      </c>
      <c r="D1477" s="23">
        <f>C1477*(1+Assumptions!$B$148+DCF!$B$6)</f>
        <v/>
      </c>
      <c r="E1477" s="23">
        <f>D1477*(1+Assumptions!$B$149+DCF!$B$6)</f>
        <v/>
      </c>
      <c r="F1477" s="23">
        <f>E1477*(1+Assumptions!$B$150+DCF!$B$6)</f>
        <v/>
      </c>
      <c r="G1477" s="23">
        <f>F1477*(1+Assumptions!$B$151+DCF!$B$6)</f>
        <v/>
      </c>
    </row>
    <row r="1478">
      <c r="A1478" s="7" t="inlineStr">
        <is>
          <t xml:space="preserve">  Volume — Fuel oil (mix), mn t</t>
        </is>
      </c>
      <c r="C1478" s="23">
        <f>'Segments'!E11*(1+Assumptions!$B$152+DCF!$B$6)</f>
        <v/>
      </c>
      <c r="D1478" s="23">
        <f>C1478*(1+Assumptions!$B$153+DCF!$B$6)</f>
        <v/>
      </c>
      <c r="E1478" s="23">
        <f>D1478*(1+Assumptions!$B$154+DCF!$B$6)</f>
        <v/>
      </c>
      <c r="F1478" s="23">
        <f>E1478*(1+Assumptions!$B$155+DCF!$B$6)</f>
        <v/>
      </c>
      <c r="G1478" s="23">
        <f>F1478*(1+Assumptions!$B$156+DCF!$B$6)</f>
        <v/>
      </c>
    </row>
    <row r="1479">
      <c r="A1479" s="7" t="inlineStr">
        <is>
          <t xml:space="preserve">  Volume — Heavy fuel oil, mn t</t>
        </is>
      </c>
      <c r="C1479" s="23">
        <f>'Segments'!E12*(1+Assumptions!$B$157+DCF!$B$6)</f>
        <v/>
      </c>
      <c r="D1479" s="23">
        <f>C1479*(1+Assumptions!$B$158+DCF!$B$6)</f>
        <v/>
      </c>
      <c r="E1479" s="23">
        <f>D1479*(1+Assumptions!$B$159+DCF!$B$6)</f>
        <v/>
      </c>
      <c r="F1479" s="23">
        <f>E1479*(1+Assumptions!$B$160+DCF!$B$6)</f>
        <v/>
      </c>
      <c r="G1479" s="23">
        <f>F1479*(1+Assumptions!$B$161+DCF!$B$6)</f>
        <v/>
      </c>
    </row>
    <row r="1480">
      <c r="A1480" s="7" t="inlineStr">
        <is>
          <t xml:space="preserve">  Volume — Waste, mn t</t>
        </is>
      </c>
      <c r="C1480" s="23">
        <f>'Segments'!E13*(1+Assumptions!$B$162+DCF!$B$6)</f>
        <v/>
      </c>
      <c r="D1480" s="23">
        <f>C1480*(1+Assumptions!$B$163+DCF!$B$6)</f>
        <v/>
      </c>
      <c r="E1480" s="23">
        <f>D1480*(1+Assumptions!$B$164+DCF!$B$6)</f>
        <v/>
      </c>
      <c r="F1480" s="23">
        <f>E1480*(1+Assumptions!$B$165+DCF!$B$6)</f>
        <v/>
      </c>
      <c r="G1480" s="23">
        <f>F1480*(1+Assumptions!$B$166+DCF!$B$6)</f>
        <v/>
      </c>
    </row>
    <row r="1481">
      <c r="A1481" s="15" t="inlineStr">
        <is>
          <t>Total volume, mn t</t>
        </is>
      </c>
      <c r="C1481" s="36">
        <f>SUM(C1473:C1480)</f>
        <v/>
      </c>
      <c r="D1481" s="36">
        <f>SUM(D1473:D1480)</f>
        <v/>
      </c>
      <c r="E1481" s="36">
        <f>SUM(E1473:E1480)</f>
        <v/>
      </c>
      <c r="F1481" s="36">
        <f>SUM(F1473:F1480)</f>
        <v/>
      </c>
      <c r="G1481" s="36">
        <f>SUM(G1473:G1480)</f>
        <v/>
      </c>
    </row>
    <row r="1482">
      <c r="A1482" s="15" t="inlineStr">
        <is>
          <t>REVENUE</t>
        </is>
      </c>
      <c r="C1482" s="37">
        <f>C1473*'Segments'!$F$6*C1472+C1474*'Segments'!$F$7*C1472+C1475*'Segments'!$F$8*C1472+C1476*'Segments'!$F$9*C1472+C1477*'Segments'!$F$10*C1472+C1478*'Segments'!$F$11*C1472+C1479*'Segments'!$F$12*C1472+C1480*'Segments'!$F$13*C1472</f>
        <v/>
      </c>
      <c r="D1482" s="37">
        <f>D1473*'Segments'!$F$6*D1472+D1474*'Segments'!$F$7*D1472+D1475*'Segments'!$F$8*D1472+D1476*'Segments'!$F$9*D1472+D1477*'Segments'!$F$10*D1472+D1478*'Segments'!$F$11*D1472+D1479*'Segments'!$F$12*D1472+D1480*'Segments'!$F$13*D1472</f>
        <v/>
      </c>
      <c r="E1482" s="37">
        <f>E1473*'Segments'!$F$6*E1472+E1474*'Segments'!$F$7*E1472+E1475*'Segments'!$F$8*E1472+E1476*'Segments'!$F$9*E1472+E1477*'Segments'!$F$10*E1472+E1478*'Segments'!$F$11*E1472+E1479*'Segments'!$F$12*E1472+E1480*'Segments'!$F$13*E1472</f>
        <v/>
      </c>
      <c r="F1482" s="37">
        <f>F1473*'Segments'!$F$6*F1472+F1474*'Segments'!$F$7*F1472+F1475*'Segments'!$F$8*F1472+F1476*'Segments'!$F$9*F1472+F1477*'Segments'!$F$10*F1472+F1478*'Segments'!$F$11*F1472+F1479*'Segments'!$F$12*F1472+F1480*'Segments'!$F$13*F1472</f>
        <v/>
      </c>
      <c r="G1482" s="37">
        <f>G1473*'Segments'!$F$6*G1472+G1474*'Segments'!$F$7*G1472+G1475*'Segments'!$F$8*G1472+G1476*'Segments'!$F$9*G1472+G1477*'Segments'!$F$10*G1472+G1478*'Segments'!$F$11*G1472+G1479*'Segments'!$F$12*G1472+G1480*'Segments'!$F$13*G1472</f>
        <v/>
      </c>
    </row>
    <row r="1483">
      <c r="A1483" s="7" t="inlineStr">
        <is>
          <t>Cost of sales</t>
        </is>
      </c>
      <c r="C1483" s="18">
        <f>C1473*('Segments'!$D$27*C1472*Assumptions!$B$109+'Segments'!$B$27*(0.4983251709*C1472+0.4357405005*C1472+0.0330936548*C1472+0.0328406739))+C1474*('Segments'!$D$28*C1472*Assumptions!$B$109+'Segments'!$B$28*(0.4983251709*C1472+0.4357405005*C1472+0.0330936548*C1472+0.0328406739))+C1475*('Segments'!$D$29*C1472*Assumptions!$B$109+'Segments'!$B$29*(0.4983251709*C1472+0.4357405005*C1472+0.0330936548*C1472+0.0328406739))+C1476*('Segments'!$D$30*C1472*Assumptions!$B$109+'Segments'!$B$30*(0.4983251709*C1472+0.4357405005*C1472+0.0330936548*C1472+0.0328406739))+C1477*('Segments'!$D$31*C1472*Assumptions!$B$109+'Segments'!$B$31*(0.4983251709*C1472+0.4357405005*C1472+0.0330936548*C1472+0.0328406739))+C1478*('Segments'!$D$32*C1472*Assumptions!$B$109+'Segments'!$B$32*(0.4983251709*C1472+0.4357405005*C1472+0.0330936548*C1472+0.0328406739))+C1479*('Segments'!$D$33*C1472*Assumptions!$B$109+'Segments'!$B$33*(0.4983251709*C1472+0.4357405005*C1472+0.0330936548*C1472+0.0328406739))+C1480*('Segments'!$D$34*C1472*Assumptions!$B$109+'Segments'!$B$34*(0.4983251709*C1472+0.4357405005*C1472+0.0330936548*C1472+0.0328406739))</f>
        <v/>
      </c>
      <c r="D1483" s="18">
        <f>D1473*('Segments'!$D$27*D1472*Assumptions!$B$109+'Segments'!$B$27*(0.4983251709*D1472+0.4357405005*D1472+0.0330936548*D1472+0.0328406739))+D1474*('Segments'!$D$28*D1472*Assumptions!$B$109+'Segments'!$B$28*(0.4983251709*D1472+0.4357405005*D1472+0.0330936548*D1472+0.0328406739))+D1475*('Segments'!$D$29*D1472*Assumptions!$B$109+'Segments'!$B$29*(0.4983251709*D1472+0.4357405005*D1472+0.0330936548*D1472+0.0328406739))+D1476*('Segments'!$D$30*D1472*Assumptions!$B$109+'Segments'!$B$30*(0.4983251709*D1472+0.4357405005*D1472+0.0330936548*D1472+0.0328406739))+D1477*('Segments'!$D$31*D1472*Assumptions!$B$109+'Segments'!$B$31*(0.4983251709*D1472+0.4357405005*D1472+0.0330936548*D1472+0.0328406739))+D1478*('Segments'!$D$32*D1472*Assumptions!$B$109+'Segments'!$B$32*(0.4983251709*D1472+0.4357405005*D1472+0.0330936548*D1472+0.0328406739))+D1479*('Segments'!$D$33*D1472*Assumptions!$B$109+'Segments'!$B$33*(0.4983251709*D1472+0.4357405005*D1472+0.0330936548*D1472+0.0328406739))+D1480*('Segments'!$D$34*D1472*Assumptions!$B$109+'Segments'!$B$34*(0.4983251709*D1472+0.4357405005*D1472+0.0330936548*D1472+0.0328406739))</f>
        <v/>
      </c>
      <c r="E1483" s="18">
        <f>E1473*('Segments'!$D$27*E1472*Assumptions!$B$109+'Segments'!$B$27*(0.4983251709*E1472+0.4357405005*E1472+0.0330936548*E1472+0.0328406739))+E1474*('Segments'!$D$28*E1472*Assumptions!$B$109+'Segments'!$B$28*(0.4983251709*E1472+0.4357405005*E1472+0.0330936548*E1472+0.0328406739))+E1475*('Segments'!$D$29*E1472*Assumptions!$B$109+'Segments'!$B$29*(0.4983251709*E1472+0.4357405005*E1472+0.0330936548*E1472+0.0328406739))+E1476*('Segments'!$D$30*E1472*Assumptions!$B$109+'Segments'!$B$30*(0.4983251709*E1472+0.4357405005*E1472+0.0330936548*E1472+0.0328406739))+E1477*('Segments'!$D$31*E1472*Assumptions!$B$109+'Segments'!$B$31*(0.4983251709*E1472+0.4357405005*E1472+0.0330936548*E1472+0.0328406739))+E1478*('Segments'!$D$32*E1472*Assumptions!$B$109+'Segments'!$B$32*(0.4983251709*E1472+0.4357405005*E1472+0.0330936548*E1472+0.0328406739))+E1479*('Segments'!$D$33*E1472*Assumptions!$B$109+'Segments'!$B$33*(0.4983251709*E1472+0.4357405005*E1472+0.0330936548*E1472+0.0328406739))+E1480*('Segments'!$D$34*E1472*Assumptions!$B$109+'Segments'!$B$34*(0.4983251709*E1472+0.4357405005*E1472+0.0330936548*E1472+0.0328406739))</f>
        <v/>
      </c>
      <c r="F1483" s="18">
        <f>F1473*('Segments'!$D$27*F1472*Assumptions!$B$109+'Segments'!$B$27*(0.4983251709*F1472+0.4357405005*F1472+0.0330936548*F1472+0.0328406739))+F1474*('Segments'!$D$28*F1472*Assumptions!$B$109+'Segments'!$B$28*(0.4983251709*F1472+0.4357405005*F1472+0.0330936548*F1472+0.0328406739))+F1475*('Segments'!$D$29*F1472*Assumptions!$B$109+'Segments'!$B$29*(0.4983251709*F1472+0.4357405005*F1472+0.0330936548*F1472+0.0328406739))+F1476*('Segments'!$D$30*F1472*Assumptions!$B$109+'Segments'!$B$30*(0.4983251709*F1472+0.4357405005*F1472+0.0330936548*F1472+0.0328406739))+F1477*('Segments'!$D$31*F1472*Assumptions!$B$109+'Segments'!$B$31*(0.4983251709*F1472+0.4357405005*F1472+0.0330936548*F1472+0.0328406739))+F1478*('Segments'!$D$32*F1472*Assumptions!$B$109+'Segments'!$B$32*(0.4983251709*F1472+0.4357405005*F1472+0.0330936548*F1472+0.0328406739))+F1479*('Segments'!$D$33*F1472*Assumptions!$B$109+'Segments'!$B$33*(0.4983251709*F1472+0.4357405005*F1472+0.0330936548*F1472+0.0328406739))+F1480*('Segments'!$D$34*F1472*Assumptions!$B$109+'Segments'!$B$34*(0.4983251709*F1472+0.4357405005*F1472+0.0330936548*F1472+0.0328406739))</f>
        <v/>
      </c>
      <c r="G1483" s="18">
        <f>G1473*('Segments'!$D$27*G1472*Assumptions!$B$109+'Segments'!$B$27*(0.4983251709*G1472+0.4357405005*G1472+0.0330936548*G1472+0.0328406739))+G1474*('Segments'!$D$28*G1472*Assumptions!$B$109+'Segments'!$B$28*(0.4983251709*G1472+0.4357405005*G1472+0.0330936548*G1472+0.0328406739))+G1475*('Segments'!$D$29*G1472*Assumptions!$B$109+'Segments'!$B$29*(0.4983251709*G1472+0.4357405005*G1472+0.0330936548*G1472+0.0328406739))+G1476*('Segments'!$D$30*G1472*Assumptions!$B$109+'Segments'!$B$30*(0.4983251709*G1472+0.4357405005*G1472+0.0330936548*G1472+0.0328406739))+G1477*('Segments'!$D$31*G1472*Assumptions!$B$109+'Segments'!$B$31*(0.4983251709*G1472+0.4357405005*G1472+0.0330936548*G1472+0.0328406739))+G1478*('Segments'!$D$32*G1472*Assumptions!$B$109+'Segments'!$B$32*(0.4983251709*G1472+0.4357405005*G1472+0.0330936548*G1472+0.0328406739))+G1479*('Segments'!$D$33*G1472*Assumptions!$B$109+'Segments'!$B$33*(0.4983251709*G1472+0.4357405005*G1472+0.0330936548*G1472+0.0328406739))+G1480*('Segments'!$D$34*G1472*Assumptions!$B$109+'Segments'!$B$34*(0.4983251709*G1472+0.4357405005*G1472+0.0330936548*G1472+0.0328406739))</f>
        <v/>
      </c>
    </row>
    <row r="1484">
      <c r="A1484" s="15" t="inlineStr">
        <is>
          <t>GROSS PROFIT</t>
        </is>
      </c>
      <c r="C1484" s="37">
        <f>C1482-C1483+DCF!$B$7*C1482</f>
        <v/>
      </c>
      <c r="D1484" s="37">
        <f>D1482-D1483+DCF!$B$7*D1482</f>
        <v/>
      </c>
      <c r="E1484" s="37">
        <f>E1482-E1483+DCF!$B$7*E1482</f>
        <v/>
      </c>
      <c r="F1484" s="37">
        <f>F1482-F1483+DCF!$B$7*F1482</f>
        <v/>
      </c>
      <c r="G1484" s="37">
        <f>G1482-G1483+DCF!$B$7*G1482</f>
        <v/>
      </c>
    </row>
    <row r="1485">
      <c r="A1485" s="7" t="inlineStr">
        <is>
          <t>Gross margin</t>
        </is>
      </c>
      <c r="C1485" s="24">
        <f>C1484/C1482</f>
        <v/>
      </c>
      <c r="D1485" s="24">
        <f>D1484/D1482</f>
        <v/>
      </c>
      <c r="E1485" s="24">
        <f>E1484/E1482</f>
        <v/>
      </c>
      <c r="F1485" s="24">
        <f>F1484/F1482</f>
        <v/>
      </c>
      <c r="G1485" s="24">
        <f>G1484/G1482</f>
        <v/>
      </c>
    </row>
    <row r="1486">
      <c r="A1486" s="7" t="inlineStr">
        <is>
          <t>Operating expense</t>
        </is>
      </c>
      <c r="C1486" s="18">
        <f>('Income Statement'!$B$28*C1471)+('Income Statement'!$B$29*C1471*C1481/'Segments'!$E$14)+('Income Statement'!$B$30*C1471)+('Income Statement'!$B$31*C1471)</f>
        <v/>
      </c>
      <c r="D1486" s="18">
        <f>('Income Statement'!$B$28*D1471)+('Income Statement'!$B$29*D1471*D1481/'Segments'!$E$14)+('Income Statement'!$B$30*D1471)+('Income Statement'!$B$31*D1471)</f>
        <v/>
      </c>
      <c r="E1486" s="18">
        <f>('Income Statement'!$B$28*E1471)+('Income Statement'!$B$29*E1471*E1481/'Segments'!$E$14)+('Income Statement'!$B$30*E1471)+('Income Statement'!$B$31*E1471)</f>
        <v/>
      </c>
      <c r="F1486" s="18">
        <f>('Income Statement'!$B$28*F1471)+('Income Statement'!$B$29*F1471*F1481/'Segments'!$E$14)+('Income Statement'!$B$30*F1471)+('Income Statement'!$B$31*F1471)</f>
        <v/>
      </c>
      <c r="G1486" s="18">
        <f>('Income Statement'!$B$28*G1471)+('Income Statement'!$B$29*G1471*G1481/'Segments'!$E$14)+('Income Statement'!$B$30*G1471)+('Income Statement'!$B$31*G1471)</f>
        <v/>
      </c>
    </row>
    <row r="1487">
      <c r="A1487" s="15" t="inlineStr">
        <is>
          <t>EBITDA</t>
        </is>
      </c>
      <c r="C1487" s="37">
        <f>C1484-C1486</f>
        <v/>
      </c>
      <c r="D1487" s="37">
        <f>D1484-D1486</f>
        <v/>
      </c>
      <c r="E1487" s="37">
        <f>E1484-E1486</f>
        <v/>
      </c>
      <c r="F1487" s="37">
        <f>F1484-F1486</f>
        <v/>
      </c>
      <c r="G1487" s="37">
        <f>G1484-G1486</f>
        <v/>
      </c>
    </row>
    <row r="1488">
      <c r="A1488" s="7" t="inlineStr">
        <is>
          <t>Capital expenditure — maintenance + growth</t>
        </is>
      </c>
      <c r="C1488" s="18">
        <f>'Income Statement'!$B$43*C1471+MAX(C1481-'Segments'!$E$14,0)*2100.379938*C1471</f>
        <v/>
      </c>
      <c r="D1488" s="18">
        <f>'Income Statement'!$B$43*D1471+MAX(D1481-C1481,0)*2100.379938*D1471</f>
        <v/>
      </c>
      <c r="E1488" s="18">
        <f>'Income Statement'!$B$43*E1471+MAX(E1481-D1481,0)*2100.379938*E1471</f>
        <v/>
      </c>
      <c r="F1488" s="18">
        <f>'Income Statement'!$B$43*F1471+MAX(F1481-E1481,0)*2100.379938*F1471</f>
        <v/>
      </c>
      <c r="G1488" s="18">
        <f>'Income Statement'!$B$43*G1471+MAX(G1481-F1481,0)*2100.379938*G1471</f>
        <v/>
      </c>
    </row>
    <row r="1489">
      <c r="A1489" s="7" t="inlineStr">
        <is>
          <t>Fixed assets at cost, closing</t>
        </is>
      </c>
      <c r="C1489" s="18">
        <f>(Assumptions!$B$91+Assumptions!$B$92)/10^6+C1488</f>
        <v/>
      </c>
      <c r="D1489" s="18">
        <f>C1489+D1488</f>
        <v/>
      </c>
      <c r="E1489" s="18">
        <f>D1489+E1488</f>
        <v/>
      </c>
      <c r="F1489" s="18">
        <f>E1489+F1488</f>
        <v/>
      </c>
      <c r="G1489" s="18">
        <f>F1489+G1488</f>
        <v/>
      </c>
    </row>
    <row r="1490">
      <c r="A1490" s="7" t="inlineStr">
        <is>
          <t>Depreciation — rolls off the asset register</t>
        </is>
      </c>
      <c r="C1490" s="18">
        <f>(Assumptions!$B$91+Assumptions!$B$92)/10^6/'Income Statement'!$B$42</f>
        <v/>
      </c>
      <c r="D1490" s="18">
        <f>C1489/'Income Statement'!$B$42</f>
        <v/>
      </c>
      <c r="E1490" s="18">
        <f>D1489/'Income Statement'!$B$42</f>
        <v/>
      </c>
      <c r="F1490" s="18">
        <f>E1489/'Income Statement'!$B$42</f>
        <v/>
      </c>
      <c r="G1490" s="18">
        <f>F1489/'Income Statement'!$B$42</f>
        <v/>
      </c>
    </row>
    <row r="1491">
      <c r="A1491" s="7" t="inlineStr">
        <is>
          <t>Fixed assets, net book, closing</t>
        </is>
      </c>
      <c r="C1491" s="18">
        <f>(Assumptions!$B$90+Assumptions!$B$92)/10^6+C1488-C1490</f>
        <v/>
      </c>
      <c r="D1491" s="18">
        <f>C1491+D1488-D1490</f>
        <v/>
      </c>
      <c r="E1491" s="18">
        <f>D1491+E1488-E1490</f>
        <v/>
      </c>
      <c r="F1491" s="18">
        <f>E1491+F1488-F1490</f>
        <v/>
      </c>
      <c r="G1491" s="18">
        <f>F1491+G1488-G1490</f>
        <v/>
      </c>
    </row>
    <row r="1492">
      <c r="A1492" s="15" t="inlineStr">
        <is>
          <t>EBIT</t>
        </is>
      </c>
      <c r="C1492" s="37">
        <f>C1487-C1490</f>
        <v/>
      </c>
      <c r="D1492" s="37">
        <f>D1487-D1490</f>
        <v/>
      </c>
      <c r="E1492" s="37">
        <f>E1487-E1490</f>
        <v/>
      </c>
      <c r="F1492" s="37">
        <f>F1487-F1490</f>
        <v/>
      </c>
      <c r="G1492" s="37">
        <f>G1487-G1490</f>
        <v/>
      </c>
    </row>
    <row r="1493">
      <c r="A1493" s="7" t="inlineStr">
        <is>
          <t>NOPAT before the profit share</t>
        </is>
      </c>
      <c r="C1493" s="18">
        <f>C1492*(1-Assumptions!$B$108)</f>
        <v/>
      </c>
      <c r="D1493" s="18">
        <f>D1492*(1-Assumptions!$B$108)</f>
        <v/>
      </c>
      <c r="E1493" s="18">
        <f>E1492*(1-Assumptions!$B$108)</f>
        <v/>
      </c>
      <c r="F1493" s="18">
        <f>F1492*(1-Assumptions!$B$108)</f>
        <v/>
      </c>
      <c r="G1493" s="18">
        <f>G1492*(1-Assumptions!$B$108)</f>
        <v/>
      </c>
    </row>
    <row r="1494">
      <c r="A1494" s="7" t="inlineStr">
        <is>
          <t xml:space="preserve">  less employees' profit share and board bonuses</t>
        </is>
      </c>
      <c r="C1494" s="18">
        <f>MAX(C1493,0)*'Income Statement'!$B$40</f>
        <v/>
      </c>
      <c r="D1494" s="18">
        <f>MAX(D1493,0)*'Income Statement'!$B$40</f>
        <v/>
      </c>
      <c r="E1494" s="18">
        <f>MAX(E1493,0)*'Income Statement'!$B$40</f>
        <v/>
      </c>
      <c r="F1494" s="18">
        <f>MAX(F1493,0)*'Income Statement'!$B$40</f>
        <v/>
      </c>
      <c r="G1494" s="18">
        <f>MAX(G1493,0)*'Income Statement'!$B$40</f>
        <v/>
      </c>
    </row>
    <row r="1495">
      <c r="A1495" s="15" t="inlineStr">
        <is>
          <t>NOPAT</t>
        </is>
      </c>
      <c r="C1495" s="37">
        <f>C1493-C1494</f>
        <v/>
      </c>
      <c r="D1495" s="37">
        <f>D1493-D1494</f>
        <v/>
      </c>
      <c r="E1495" s="37">
        <f>E1493-E1494</f>
        <v/>
      </c>
      <c r="F1495" s="37">
        <f>F1493-F1494</f>
        <v/>
      </c>
      <c r="G1495" s="37">
        <f>G1493-G1494</f>
        <v/>
      </c>
    </row>
    <row r="1496">
      <c r="A1496" s="7" t="inlineStr">
        <is>
          <t>Net working capital — on days</t>
        </is>
      </c>
      <c r="C1496" s="18">
        <f>'Income Statement'!$B$44*DCF!$B$9/365*C1483+'Income Statement'!$B$45*DCF!$B$9/365*C1482-'Income Statement'!$B$46*DCF!$B$9/365*C1483</f>
        <v/>
      </c>
      <c r="D1496" s="18">
        <f>'Income Statement'!$B$44*DCF!$B$9/365*D1483+'Income Statement'!$B$45*DCF!$B$9/365*D1482-'Income Statement'!$B$46*DCF!$B$9/365*D1483</f>
        <v/>
      </c>
      <c r="E1496" s="18">
        <f>'Income Statement'!$B$44*DCF!$B$9/365*E1483+'Income Statement'!$B$45*DCF!$B$9/365*E1482-'Income Statement'!$B$46*DCF!$B$9/365*E1483</f>
        <v/>
      </c>
      <c r="F1496" s="18">
        <f>'Income Statement'!$B$44*DCF!$B$9/365*F1483+'Income Statement'!$B$45*DCF!$B$9/365*F1482-'Income Statement'!$B$46*DCF!$B$9/365*F1483</f>
        <v/>
      </c>
      <c r="G1496" s="18">
        <f>'Income Statement'!$B$44*DCF!$B$9/365*G1483+'Income Statement'!$B$45*DCF!$B$9/365*G1482-'Income Statement'!$B$46*DCF!$B$9/365*G1483</f>
        <v/>
      </c>
    </row>
    <row r="1497">
      <c r="A1497" s="7" t="inlineStr">
        <is>
          <t xml:space="preserve">  change in working capital</t>
        </is>
      </c>
      <c r="C1497" s="18">
        <f>C1496-('Income Statement'!$B$44/365*'Income Statement'!$B$21+'Income Statement'!$B$45/365*'Income Statement'!$B$19-'Income Statement'!$B$46/365*'Income Statement'!$B$21)</f>
        <v/>
      </c>
      <c r="D1497" s="18">
        <f>D1496-C1496</f>
        <v/>
      </c>
      <c r="E1497" s="18">
        <f>E1496-D1496</f>
        <v/>
      </c>
      <c r="F1497" s="18">
        <f>F1496-E1496</f>
        <v/>
      </c>
      <c r="G1497" s="18">
        <f>G1496-F1496</f>
        <v/>
      </c>
    </row>
    <row r="1498">
      <c r="A1498" s="15" t="inlineStr">
        <is>
          <t>FREE CASH FLOW TO THE FIRM</t>
        </is>
      </c>
      <c r="C1498" s="37">
        <f>C1495+C1490-C1488-C1497</f>
        <v/>
      </c>
      <c r="D1498" s="37">
        <f>D1495+D1490-D1488-D1497</f>
        <v/>
      </c>
      <c r="E1498" s="37">
        <f>E1495+E1490-E1488-E1497</f>
        <v/>
      </c>
      <c r="F1498" s="37">
        <f>F1495+F1490-F1488-F1497</f>
        <v/>
      </c>
      <c r="G1498" s="37">
        <f>G1495+G1490-G1488-G1497</f>
        <v/>
      </c>
    </row>
    <row r="1499">
      <c r="A1499" s="7" t="inlineStr">
        <is>
          <t>Glide fraction</t>
        </is>
      </c>
      <c r="C1499" s="23">
        <f>0.0000000000</f>
        <v/>
      </c>
      <c r="D1499" s="23">
        <f>0.5166487648</f>
        <v/>
      </c>
      <c r="E1499" s="23">
        <f>0.7314715360</f>
        <v/>
      </c>
      <c r="F1499" s="23">
        <f>0.8925886144</f>
        <v/>
      </c>
      <c r="G1499" s="23">
        <f>1.0000000000</f>
        <v/>
      </c>
    </row>
    <row r="1500">
      <c r="A1500" s="7" t="inlineStr">
        <is>
          <t>Forward cost of capital</t>
        </is>
      </c>
      <c r="C1500" s="24">
        <f>DCF!$B$14-(DCF!$B$14-DCF!$B$17)*C1499</f>
        <v/>
      </c>
      <c r="D1500" s="24">
        <f>DCF!$B$14-(DCF!$B$14-DCF!$B$17)*D1499</f>
        <v/>
      </c>
      <c r="E1500" s="24">
        <f>DCF!$B$14-(DCF!$B$14-DCF!$B$17)*E1499</f>
        <v/>
      </c>
      <c r="F1500" s="24">
        <f>DCF!$B$14-(DCF!$B$14-DCF!$B$17)*F1499</f>
        <v/>
      </c>
      <c r="G1500" s="24">
        <f>DCF!$B$14-(DCF!$B$14-DCF!$B$17)*G1499</f>
        <v/>
      </c>
    </row>
    <row r="1501">
      <c r="A1501" s="7" t="inlineStr">
        <is>
          <t>Cumulative discount factor</t>
        </is>
      </c>
      <c r="C1501" s="40">
        <f>1/(1+C1500)</f>
        <v/>
      </c>
      <c r="D1501" s="40">
        <f>C1501/(1+D1500)</f>
        <v/>
      </c>
      <c r="E1501" s="40">
        <f>D1501/(1+E1500)</f>
        <v/>
      </c>
      <c r="F1501" s="40">
        <f>E1501/(1+F1500)</f>
        <v/>
      </c>
      <c r="G1501" s="40">
        <f>F1501/(1+G1500)</f>
        <v/>
      </c>
    </row>
    <row r="1502">
      <c r="A1502" s="7" t="inlineStr">
        <is>
          <t>Present value</t>
        </is>
      </c>
      <c r="C1502" s="18">
        <f>C1498*C1501</f>
        <v/>
      </c>
      <c r="D1502" s="18">
        <f>D1498*D1501</f>
        <v/>
      </c>
      <c r="E1502" s="18">
        <f>E1498*E1501</f>
        <v/>
      </c>
      <c r="F1502" s="18">
        <f>F1498*F1501</f>
        <v/>
      </c>
      <c r="G1502" s="18">
        <f>G1498*G1501</f>
        <v/>
      </c>
    </row>
    <row r="1503">
      <c r="A1503" s="15" t="inlineStr">
        <is>
          <t>PV of the explicit window</t>
        </is>
      </c>
      <c r="B1503" s="37">
        <f>SUM(C1502:G1502)</f>
        <v/>
      </c>
      <c r="C1503" s="18">
        <f>C1496+C1489</f>
        <v/>
      </c>
      <c r="D1503" s="18">
        <f>D1496+D1489</f>
        <v/>
      </c>
      <c r="E1503" s="18">
        <f>E1496+E1489</f>
        <v/>
      </c>
      <c r="F1503" s="18">
        <f>F1496+F1489</f>
        <v/>
      </c>
      <c r="G1503" s="18">
        <f>G1496+G1489</f>
        <v/>
      </c>
    </row>
    <row r="1504">
      <c r="A1504" s="7" t="inlineStr">
        <is>
          <t>Terminal return on invested capital, at REPLACEMENT cost</t>
        </is>
      </c>
      <c r="B1504" s="24">
        <f>G1495*(1+$H$45)/G1503</f>
        <v/>
      </c>
    </row>
    <row r="1505">
      <c r="A1505" s="7" t="inlineStr">
        <is>
          <t>Required reinvestment = growth / return</t>
        </is>
      </c>
      <c r="B1505" s="24">
        <f>MIN($H$45/B1504,0.95)</f>
        <v/>
      </c>
    </row>
    <row r="1506">
      <c r="A1506" s="7" t="inlineStr">
        <is>
          <t>Terminal value</t>
        </is>
      </c>
      <c r="B1506" s="18">
        <f>G1495*(1+$H$45)*(1-B1505)/MAX(DCF!$B$17-$H$45,0.02)</f>
        <v/>
      </c>
    </row>
    <row r="1507">
      <c r="A1507" s="7" t="inlineStr">
        <is>
          <t>PV of the terminal block</t>
        </is>
      </c>
      <c r="B1507" s="18">
        <f>B1506*G1501</f>
        <v/>
      </c>
    </row>
    <row r="1508">
      <c r="A1508" s="15" t="inlineStr">
        <is>
          <t>ENTERPRISE VALUE</t>
        </is>
      </c>
      <c r="B1508" s="37">
        <f>B1503+B1507</f>
        <v/>
      </c>
    </row>
    <row r="1509">
      <c r="A1509" s="7" t="inlineStr">
        <is>
          <t>plus net cash</t>
        </is>
      </c>
      <c r="B1509" s="18">
        <f>(Assumptions!$B$100-Assumptions!$B$103-Assumptions!$B$104)/10^6</f>
        <v/>
      </c>
    </row>
    <row r="1510">
      <c r="A1510" s="7" t="inlineStr">
        <is>
          <t>Enterprise value including cash</t>
        </is>
      </c>
      <c r="B1510" s="18">
        <f>B1508+B1509</f>
        <v/>
      </c>
    </row>
    <row r="1511">
      <c r="A1511" s="7" t="inlineStr">
        <is>
          <t>less minority — on the WHOLE enterprise, cash included</t>
        </is>
      </c>
      <c r="B1511" s="18">
        <f>B1510*'Income Statement'!$B$41</f>
        <v/>
      </c>
    </row>
    <row r="1512">
      <c r="A1512" s="7" t="inlineStr">
        <is>
          <t>less the tax-disputes provision</t>
        </is>
      </c>
      <c r="B1512" s="18">
        <f>Assumptions!$B$99/10^6</f>
        <v/>
      </c>
    </row>
    <row r="1513">
      <c r="A1513" s="7" t="inlineStr">
        <is>
          <t>less dividends payable — declared, out of working capital</t>
        </is>
      </c>
      <c r="B1513" s="18">
        <f>Assumptions!$B$98/10^6</f>
        <v/>
      </c>
    </row>
    <row r="1514">
      <c r="A1514" s="7" t="inlineStr">
        <is>
          <t>plus non-operating investments and pledged deposits</t>
        </is>
      </c>
      <c r="B1514" s="18">
        <f>(Assumptions!$B$102+Assumptions!$B$101)/10^6</f>
        <v/>
      </c>
    </row>
    <row r="1515">
      <c r="A1515" s="15" t="inlineStr">
        <is>
          <t>EQUITY ATTRIBUTABLE</t>
        </is>
      </c>
      <c r="B1515" s="37">
        <f>B1510-B1511-B1512-B1513+B1514</f>
        <v/>
      </c>
    </row>
    <row r="1516">
      <c r="A1516" s="15" t="inlineStr">
        <is>
          <t>VALUE PER SHARE, EGP</t>
        </is>
      </c>
      <c r="B1516" s="22">
        <f>B1515/Assumptions!$B$8</f>
        <v/>
      </c>
    </row>
  </sheetData>
  <mergeCells count="1">
    <mergeCell ref="A2:I2"/>
  </mergeCells>
  <pageMargins left="0.75" right="0.75" top="1" bottom="1" header="0.5" footer="0.5"/>
</worksheet>
</file>

<file path=xl/worksheets/sheet15.xml><?xml version="1.0" encoding="utf-8"?>
<worksheet xmlns="http://schemas.openxmlformats.org/spreadsheetml/2006/main">
  <sheetPr>
    <tabColor rgb="001C3A36"/>
    <outlinePr summaryBelow="1" summaryRight="1"/>
    <pageSetUpPr/>
  </sheetPr>
  <dimension ref="A1:F22"/>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Per share, and the multiples the answer implies</t>
        </is>
      </c>
    </row>
    <row r="2" ht="32" customHeight="1">
      <c r="A2" s="5" t="inlineStr">
        <is>
          <t>What the central and the market price each imply, on the same base-year figures. Every cell is a formula off the Summary and Income Statement sheets.</t>
        </is>
      </c>
    </row>
    <row r="3">
      <c r="A3" s="2" t="n"/>
      <c r="B3" s="2" t="n"/>
      <c r="C3" s="2" t="n"/>
      <c r="D3" s="2" t="n"/>
      <c r="E3" s="2" t="n"/>
      <c r="F3" s="2" t="n"/>
    </row>
    <row r="5">
      <c r="A5" s="15" t="inlineStr">
        <is>
          <t>Central, EGP</t>
        </is>
      </c>
      <c r="B5" s="38">
        <f>Summary!C10</f>
        <v/>
      </c>
    </row>
    <row r="6">
      <c r="A6" s="7" t="inlineStr">
        <is>
          <t>Market price, EGP</t>
        </is>
      </c>
      <c r="B6" s="14">
        <f>Assumptions!$B$7</f>
        <v/>
      </c>
    </row>
    <row r="7">
      <c r="A7" s="7" t="inlineStr">
        <is>
          <t>Book value per share, EGP</t>
        </is>
      </c>
      <c r="B7" s="14">
        <f>'Fundamental Valuation'!B13</f>
        <v/>
      </c>
    </row>
    <row r="8">
      <c r="A8" s="7" t="inlineStr">
        <is>
          <t>Base-year revenue per share, EGP</t>
        </is>
      </c>
      <c r="B8" s="14">
        <f>'Income Statement'!B19/Assumptions!$B$8</f>
        <v/>
      </c>
    </row>
    <row r="9">
      <c r="A9" s="7" t="inlineStr">
        <is>
          <t>Base-year EBITDA per share, EGP</t>
        </is>
      </c>
      <c r="B9" s="14">
        <f>'Fundamental Valuation'!B5/Assumptions!$B$8</f>
        <v/>
      </c>
    </row>
    <row r="10">
      <c r="A10" s="7" t="inlineStr">
        <is>
          <t>Dividend declared and payable, per share, EGP</t>
        </is>
      </c>
      <c r="B10" s="14">
        <f>Assumptions!$B$98/10^6/Assumptions!$B$8</f>
        <v/>
      </c>
    </row>
    <row r="12">
      <c r="A12" s="6" t="inlineStr">
        <is>
          <t>Multiple</t>
        </is>
      </c>
      <c r="B12" s="6" t="inlineStr">
        <is>
          <t>At the central</t>
        </is>
      </c>
      <c r="C12" s="6" t="inlineStr">
        <is>
          <t>At the market price</t>
        </is>
      </c>
      <c r="D12" s="13" t="n"/>
      <c r="E12" s="13" t="n"/>
      <c r="F12" s="13" t="n"/>
    </row>
    <row r="13">
      <c r="A13" s="7" t="inlineStr">
        <is>
          <t>Price / book</t>
        </is>
      </c>
      <c r="B13" s="20">
        <f>B$5/'Fundamental Valuation'!B13</f>
        <v/>
      </c>
      <c r="C13" s="20">
        <f>Assumptions!$B$7/'Fundamental Valuation'!B13</f>
        <v/>
      </c>
    </row>
    <row r="14">
      <c r="A14" s="7" t="inlineStr">
        <is>
          <t>Enterprise value / base-year EBITDA</t>
        </is>
      </c>
      <c r="B14" s="20">
        <f>(B$5*Assumptions!$B$8+(Assumptions!$B$103+Assumptions!$B$104-Assumptions!$B$100)/10^6)/'Fundamental Valuation'!B5</f>
        <v/>
      </c>
      <c r="C14" s="20">
        <f>'Fundamental Valuation'!B6/'Fundamental Valuation'!B5</f>
        <v/>
      </c>
    </row>
    <row r="15">
      <c r="A15" s="7" t="inlineStr">
        <is>
          <t>Enterprise value / base-year revenue</t>
        </is>
      </c>
      <c r="B15" s="20">
        <f>(B$5*Assumptions!$B$8+(Assumptions!$B$103+Assumptions!$B$104-Assumptions!$B$100)/10^6)/'Income Statement'!B19</f>
        <v/>
      </c>
      <c r="C15" s="20">
        <f>'Fundamental Valuation'!B6/'Income Statement'!B19</f>
        <v/>
      </c>
    </row>
    <row r="16">
      <c r="A16" s="7" t="inlineStr">
        <is>
          <t>Yield on the dividend already declared and payable</t>
        </is>
      </c>
      <c r="B16" s="10">
        <f>Assumptions!$B$98/10^6/Assumptions!$B$8/B$5</f>
        <v/>
      </c>
      <c r="C16" s="10">
        <f>Assumptions!$B$98/10^6/Assumptions!$B$8/Assumptions!$B$7</f>
        <v/>
      </c>
    </row>
    <row r="18">
      <c r="A18" s="11" t="inlineStr">
        <is>
          <t>RETURNS</t>
        </is>
      </c>
      <c r="B18" s="13" t="n"/>
      <c r="C18" s="13" t="n"/>
      <c r="D18" s="13" t="n"/>
      <c r="E18" s="13" t="n"/>
      <c r="F18" s="13" t="n"/>
    </row>
    <row r="19">
      <c r="A19" s="7" t="inlineStr">
        <is>
          <t>Trailing return on equity</t>
        </is>
      </c>
      <c r="B19" s="10">
        <f>Assumptions!$B$111</f>
        <v/>
      </c>
    </row>
    <row r="20">
      <c r="A20" s="7" t="inlineStr">
        <is>
          <t>Terminal return on invested capital, at replacement cost</t>
        </is>
      </c>
      <c r="B20" s="24">
        <f>DCF!B53</f>
        <v/>
      </c>
    </row>
    <row r="21">
      <c r="A21" s="7" t="inlineStr">
        <is>
          <t>Required reinvestment rate in the terminal year</t>
        </is>
      </c>
      <c r="B21" s="24">
        <f>DCF!B54</f>
        <v/>
      </c>
    </row>
    <row r="22">
      <c r="A22" s="7" t="inlineStr">
        <is>
          <t>Terminal growth</t>
        </is>
      </c>
      <c r="B22" s="24">
        <f>Assumptions!$B$110</f>
        <v/>
      </c>
    </row>
  </sheetData>
  <mergeCells count="1">
    <mergeCell ref="A2:F2"/>
  </mergeCells>
  <pageMargins left="0.75" right="0.75" top="1" bottom="1" header="0.5" footer="0.5"/>
</worksheet>
</file>

<file path=xl/worksheets/sheet16.xml><?xml version="1.0" encoding="utf-8"?>
<worksheet xmlns="http://schemas.openxmlformats.org/spreadsheetml/2006/main">
  <sheetPr>
    <tabColor rgb="001C3A36"/>
    <outlinePr summaryBelow="1" summaryRight="1"/>
    <pageSetUpPr/>
  </sheetPr>
  <dimension ref="A1:I17"/>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Sector context — a refiner and lubricant base-oil producer</t>
        </is>
      </c>
    </row>
    <row r="2" ht="32" customHeight="1">
      <c r="A2" s="5" t="inlineStr">
        <is>
          <t>The comparator basis is the company's OWN traded multiple and a stated re-rating, not a peer set: no Egyptian listed refiner discloses a comparable base-oil split, and importing a foreign multiple into an EGP valuation would price a different cost of capital. That is a gap and it is named as one rather than filled.</t>
        </is>
      </c>
    </row>
    <row r="3">
      <c r="A3" s="2" t="n"/>
      <c r="B3" s="2" t="n"/>
      <c r="C3" s="2" t="n"/>
      <c r="D3" s="2" t="n"/>
      <c r="E3" s="2" t="n"/>
      <c r="F3" s="2" t="n"/>
      <c r="G3" s="2" t="n"/>
    </row>
    <row r="5">
      <c r="A5" s="6" t="inlineStr">
        <is>
          <t>Comparator basis</t>
        </is>
      </c>
      <c r="B5" s="6" t="inlineStr">
        <is>
          <t>Multiple</t>
        </is>
      </c>
      <c r="C5" s="6" t="inlineStr">
        <is>
          <t>Applied to (EGP mn)</t>
        </is>
      </c>
      <c r="D5" s="6" t="inlineStr">
        <is>
          <t>Implied EGP/share</t>
        </is>
      </c>
    </row>
    <row r="6">
      <c r="A6" s="7" t="inlineStr">
        <is>
          <t>The company's own trailing enterprise value / EBITDA</t>
        </is>
      </c>
      <c r="B6" s="20">
        <f>'Fundamental Valuation'!B7</f>
        <v/>
      </c>
      <c r="C6" s="18">
        <f>'Fundamental Valuation'!B5</f>
        <v/>
      </c>
      <c r="D6" s="14">
        <f>(B6*C6-(Assumptions!$B$103+Assumptions!$B$104-Assumptions!$B$100)/10^6)*(1-'Income Statement'!B41)/Assumptions!$B$8</f>
        <v/>
      </c>
    </row>
    <row r="7">
      <c r="A7" s="7" t="inlineStr">
        <is>
          <t>Justified multiple, after the stated re-rating</t>
        </is>
      </c>
      <c r="B7" s="20">
        <f>'Fundamental Valuation'!B8</f>
        <v/>
      </c>
      <c r="C7" s="18">
        <f>'Fundamental Valuation'!B5</f>
        <v/>
      </c>
      <c r="D7" s="14">
        <f>(B7*C7-(Assumptions!$B$103+Assumptions!$B$104-Assumptions!$B$100)/10^6)*(1-'Income Statement'!B41)/Assumptions!$B$8</f>
        <v/>
      </c>
    </row>
    <row r="9">
      <c r="A9" s="11" t="inlineStr">
        <is>
          <t>WHAT ACTUALLY DRIVES A PROCESSOR</t>
        </is>
      </c>
      <c r="B9" s="13" t="n"/>
      <c r="C9" s="13" t="n"/>
      <c r="D9" s="13" t="n"/>
      <c r="E9" s="13" t="n"/>
      <c r="F9" s="13" t="n"/>
      <c r="G9" s="13" t="n"/>
    </row>
    <row r="10">
      <c r="A10" s="6" t="inlineStr">
        <is>
          <t>Indicator</t>
        </is>
      </c>
      <c r="B10" s="6" t="inlineStr">
        <is>
          <t>2026E</t>
        </is>
      </c>
      <c r="C10" s="6" t="inlineStr">
        <is>
          <t>2027E</t>
        </is>
      </c>
      <c r="D10" s="6" t="inlineStr">
        <is>
          <t>2028E</t>
        </is>
      </c>
      <c r="E10" s="6" t="inlineStr">
        <is>
          <t>2029E</t>
        </is>
      </c>
      <c r="F10" s="6" t="inlineStr">
        <is>
          <t>2030E</t>
        </is>
      </c>
    </row>
    <row r="11">
      <c r="A11" s="7" t="inlineStr">
        <is>
          <t>Throughput, million tonnes</t>
        </is>
      </c>
      <c r="C11" s="23">
        <f>DCF!C30</f>
        <v/>
      </c>
      <c r="D11" s="23">
        <f>DCF!D30</f>
        <v/>
      </c>
      <c r="E11" s="23">
        <f>DCF!E30</f>
        <v/>
      </c>
      <c r="F11" s="23">
        <f>DCF!F30</f>
        <v/>
      </c>
      <c r="G11" s="23">
        <f>DCF!G30</f>
        <v/>
      </c>
    </row>
    <row r="12">
      <c r="A12" s="7" t="inlineStr">
        <is>
          <t>Gross profit per tonne, EGP</t>
        </is>
      </c>
      <c r="C12" s="18">
        <f>DCF!C33/DCF!C30</f>
        <v/>
      </c>
      <c r="D12" s="18">
        <f>DCF!D33/DCF!D30</f>
        <v/>
      </c>
      <c r="E12" s="18">
        <f>DCF!E33/DCF!E30</f>
        <v/>
      </c>
      <c r="F12" s="18">
        <f>DCF!F33/DCF!F30</f>
        <v/>
      </c>
      <c r="G12" s="18">
        <f>DCF!G33/DCF!G30</f>
        <v/>
      </c>
    </row>
    <row r="13">
      <c r="A13" s="7" t="inlineStr">
        <is>
          <t>EBITDA per tonne, EGP</t>
        </is>
      </c>
      <c r="C13" s="18">
        <f>DCF!C36/DCF!C30</f>
        <v/>
      </c>
      <c r="D13" s="18">
        <f>DCF!D36/DCF!D30</f>
        <v/>
      </c>
      <c r="E13" s="18">
        <f>DCF!E36/DCF!E30</f>
        <v/>
      </c>
      <c r="F13" s="18">
        <f>DCF!F36/DCF!F30</f>
        <v/>
      </c>
      <c r="G13" s="18">
        <f>DCF!G36/DCF!G30</f>
        <v/>
      </c>
    </row>
    <row r="14">
      <c r="A14" s="7" t="inlineStr">
        <is>
          <t>Gross margin</t>
        </is>
      </c>
      <c r="C14" s="24">
        <f>DCF!C34</f>
        <v/>
      </c>
      <c r="D14" s="24">
        <f>DCF!D34</f>
        <v/>
      </c>
      <c r="E14" s="24">
        <f>DCF!E34</f>
        <v/>
      </c>
      <c r="F14" s="24">
        <f>DCF!F34</f>
        <v/>
      </c>
      <c r="G14" s="24">
        <f>DCF!G34</f>
        <v/>
      </c>
    </row>
    <row r="15">
      <c r="A15" s="7" t="inlineStr">
        <is>
          <t>Capital expenditure as a share of revenue</t>
        </is>
      </c>
      <c r="C15" s="24">
        <f>DCF!C37/DCF!C31</f>
        <v/>
      </c>
      <c r="D15" s="24">
        <f>DCF!D37/DCF!D31</f>
        <v/>
      </c>
      <c r="E15" s="24">
        <f>DCF!E37/DCF!E31</f>
        <v/>
      </c>
      <c r="F15" s="24">
        <f>DCF!F37/DCF!F31</f>
        <v/>
      </c>
      <c r="G15" s="24">
        <f>DCF!G37/DCF!G31</f>
        <v/>
      </c>
    </row>
    <row r="17" ht="44" customHeight="1">
      <c r="A17" s="19" t="inlineStr">
        <is>
          <t>The crude slate is bought from a single counterparty at a disclosed formula and the refined product is sold into a market whose price is set outside the company, so what a reader can actually compare across the sector is the spread per tonne and how much of the plant is running — not a price/earnings ratio struck on a different tax regime and a different currency.</t>
        </is>
      </c>
    </row>
  </sheetData>
  <mergeCells count="2">
    <mergeCell ref="A17:I17"/>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2026-09-09T00:08:41Z</dcterms:created>
  <dcterms:modified xmlns:dcterms="http://purl.org/dc/terms/" xmlns:xsi="http://www.w3.org/2001/XMLSchema-instance" xsi:type="dcterms:W3CDTF">2026-09-09T00:08:42Z</dcterms:modified>
</cp:coreProperties>
</file>