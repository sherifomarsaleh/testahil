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;(0.00);&quot;-&quot;"/>
    <numFmt numFmtId="165" formatCode="#,##0;(#,##0);&quot;-&quot;"/>
    <numFmt numFmtId="166" formatCode="0.0%;(0.0%);&quot;-&quot;"/>
    <numFmt numFmtId="167" formatCode="0.00x"/>
    <numFmt numFmtId="168" formatCode="0.0000"/>
  </numFmts>
  <fonts count="10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color rgb="00000000"/>
    </font>
    <font>
      <color rgb="000000FF"/>
    </font>
    <font>
      <b val="1"/>
      <color rgb="00000000"/>
    </font>
    <font>
      <color rgb="00008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166" fontId="7" fillId="4" borderId="0" pivotButton="0" quotePrefix="0" xfId="0"/>
    <xf numFmtId="0" fontId="4" fillId="4" borderId="0" pivotButton="0" quotePrefix="0" xfId="0"/>
    <xf numFmtId="164" fontId="9" fillId="4" borderId="0" pivotButton="0" quotePrefix="0" xfId="0"/>
    <xf numFmtId="165" fontId="5" fillId="0" borderId="0" pivotButton="0" quotePrefix="0" xfId="0"/>
    <xf numFmtId="165" fontId="8" fillId="0" borderId="0" pivotButton="0" quotePrefix="0" xfId="0"/>
    <xf numFmtId="165" fontId="6" fillId="0" borderId="0" pivotButton="0" quotePrefix="0" xfId="0"/>
    <xf numFmtId="10" fontId="8" fillId="0" borderId="0" pivotButton="0" quotePrefix="0" xfId="0"/>
    <xf numFmtId="1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5" fontId="7" fillId="4" borderId="0" pivotButton="0" quotePrefix="0" xfId="0"/>
    <xf numFmtId="165" fontId="7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0" fontId="5" fillId="0" borderId="0" pivotButton="0" quotePrefix="0" xfId="0"/>
    <xf numFmtId="10" fontId="7" fillId="0" borderId="0" pivotButton="0" quotePrefix="0" xfId="0"/>
    <xf numFmtId="166" fontId="7" fillId="0" borderId="0" pivotButton="0" quotePrefix="0" xfId="0"/>
    <xf numFmtId="165" fontId="9" fillId="0" borderId="0" pivotButton="0" quotePrefix="0" xfId="0"/>
    <xf numFmtId="0" fontId="6" fillId="0" borderId="0" pivotButton="0" quotePrefix="0" xfId="0"/>
    <xf numFmtId="168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Modon Holding PSC (ADX: MODON)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MODON valuation study. Every blue cell is an input;</t>
        </is>
      </c>
    </row>
    <row r="6">
      <c r="A6" s="3" t="inlineStr">
        <is>
          <t>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that can be derived arithmetically from a driver is a live formula, so</t>
        </is>
      </c>
    </row>
    <row r="9">
      <c r="A9" s="3" t="inlineStr">
        <is>
          <t>you can change a blue cell on Assumptions and watch the model reprice: the cost of capital is built from</t>
        </is>
      </c>
    </row>
    <row r="10">
      <c r="A10" s="3" t="inlineStr">
        <is>
          <t>the AED government yield net of the sovereign spread, beta and the premium rather than pasted; the</t>
        </is>
      </c>
    </row>
    <row r="11">
      <c r="A11" s="3" t="inlineStr">
        <is>
          <t>development backlog rolls forward in front of you (opening backlog + new sales − recognised revenue);</t>
        </is>
      </c>
    </row>
    <row r="12">
      <c r="A12" s="3" t="inlineStr">
        <is>
          <t>the DCF waterfall chains EBITDA → EBIT → NOPAT → free cash flow → present value; the terminal block</t>
        </is>
      </c>
    </row>
    <row r="13">
      <c r="A13" s="3" t="inlineStr">
        <is>
          <t>derives its reinvestment rate from growth over return on capital; and the income statement, balance</t>
        </is>
      </c>
    </row>
    <row r="14">
      <c r="A14" s="3" t="inlineStr">
        <is>
          <t>sheet, cash flow, ratios and all four lenses chain off the same cells.</t>
        </is>
      </c>
    </row>
    <row r="15">
      <c r="A15" s="3" t="inlineStr"/>
    </row>
    <row r="16">
      <c r="A16" s="3" t="inlineStr">
        <is>
          <t>THREE THINGS ARE PASTED VALUES, and it is worth knowing exactly which. First, audited and disclosed</t>
        </is>
      </c>
    </row>
    <row r="17">
      <c r="A17" s="3" t="inlineStr">
        <is>
          <t>history — the primary record, not a calculation (where a line is both disclosed and derivable, the</t>
        </is>
      </c>
    </row>
    <row r="18">
      <c r="A18" s="3" t="inlineStr">
        <is>
          <t>DISCLOSED figure is carried). Second, the FY2025 four-segment base — revenue, gross profit and assets</t>
        </is>
      </c>
    </row>
    <row r="19">
      <c r="A19" s="3" t="inlineStr">
        <is>
          <t>for the segments the company itself discloses (Real Estate Development; Asset &amp; Investment Management;</t>
        </is>
      </c>
    </row>
    <row r="20">
      <c r="A20" s="3" t="inlineStr">
        <is>
          <t>Hospitality; Events, Catering &amp; Tourism) — pasted once, with the entire five-year forecast chaining off</t>
        </is>
      </c>
    </row>
    <row r="21">
      <c r="A21" s="3" t="inlineStr">
        <is>
          <t>it as formulas. Third, whole-model engine outputs, where each figure is a complete re-run of the entire</t>
        </is>
      </c>
    </row>
    <row r="22">
      <c r="A22" s="3" t="inlineStr">
        <is>
          <t>valuation and cannot be one formula: the Monte Carlo price map, the sensitivity grids, the DCF bear/bull</t>
        </is>
      </c>
    </row>
    <row r="23">
      <c r="A23" s="3" t="inlineStr">
        <is>
          <t>scenario bounds (the backlog run-off and growth-hold alternatives) and the Egypt-risk stress. Those grids</t>
        </is>
      </c>
    </row>
    <row r="24">
      <c r="A24" s="3" t="inlineStr">
        <is>
          <t>do NOT redraw when a driver changes; everything else reprices live.</t>
        </is>
      </c>
    </row>
    <row r="25">
      <c r="A25" s="3" t="inlineStr"/>
    </row>
    <row r="26">
      <c r="A26" s="3" t="inlineStr">
        <is>
          <t>How revenue is built. Not as one growth rate. Development revenue converts the disclosed AED 42.6bn</t>
        </is>
      </c>
    </row>
    <row r="27">
      <c r="A27" s="3" t="inlineStr">
        <is>
          <t>development backlog at a visible conversion rate, plus point-in-time land sales, with new launches</t>
        </is>
      </c>
    </row>
    <row r="28">
      <c r="A28" s="3" t="inlineStr">
        <is>
          <t>rolling the backlog forward on the sheet; the other three segments grow on their own drivers (occupancy</t>
        </is>
      </c>
    </row>
    <row r="29">
      <c r="A29" s="3" t="inlineStr">
        <is>
          <t>and GLA for asset management, keys × occupancy for hospitality, the events calendar for ECT). Margins</t>
        </is>
      </c>
    </row>
    <row r="30">
      <c r="A30" s="3" t="inlineStr">
        <is>
          <t>are OUTPUTS of the segment build, not inputs to it.</t>
        </is>
      </c>
    </row>
    <row r="31">
      <c r="A31" s="3" t="inlineStr"/>
    </row>
    <row r="32">
      <c r="A32" s="3" t="inlineStr">
        <is>
          <t>The contested judgement, shown both ways. Whether the record FY2025-26 development surge persists</t>
        </is>
      </c>
    </row>
    <row r="33">
      <c r="A33" s="3" t="inlineStr">
        <is>
          <t>(base: normalising-but-sustained launches) or fades to backlog run-off is the single judgement that</t>
        </is>
      </c>
    </row>
    <row r="34">
      <c r="A34" s="3" t="inlineStr">
        <is>
          <t>moves this valuation most. Both DCFs are shown side by side on Fundamental Valuation and Summary;</t>
        </is>
      </c>
    </row>
    <row r="35">
      <c r="A35" s="3" t="inlineStr">
        <is>
          <t>they are never averaged.</t>
        </is>
      </c>
    </row>
    <row r="36">
      <c r="A36" s="3" t="inlineStr"/>
    </row>
    <row r="37">
      <c r="A37" s="3" t="inlineStr">
        <is>
          <t>What it is not. It is not investment advice, a recommendation, or a price target. Values are model</t>
        </is>
      </c>
    </row>
    <row r="38">
      <c r="A38" s="3" t="inlineStr">
        <is>
          <t>outputs shown as ranges.</t>
        </is>
      </c>
    </row>
    <row r="39">
      <c r="A39" s="3" t="inlineStr"/>
    </row>
    <row r="40">
      <c r="A40" s="3" t="inlineStr">
        <is>
          <t>Sourcing note, up front. FY2023 (Q Holding perimeter), FY2024 and FY2025 all come from the company's own</t>
        </is>
      </c>
    </row>
    <row r="41">
      <c r="A41" s="3" t="inlineStr">
        <is>
          <t>audited consolidated financial statements, retrieved from modon.com investor relations; H1-2026 from the</t>
        </is>
      </c>
    </row>
    <row r="42">
      <c r="A42" s="3" t="inlineStr">
        <is>
          <t>reviewed interim. FY2024 is a perimeter break (the Modon Properties/ADNEC combination; bargain-purchase</t>
        </is>
      </c>
    </row>
    <row r="43">
      <c r="A43" s="3" t="inlineStr">
        <is>
          <t>gain AED 9,192mn) and is dual-framed wherever it appears. Every input is annotated where it appears and</t>
        </is>
      </c>
    </row>
    <row r="44">
      <c r="A44" s="3" t="inlineStr">
        <is>
          <t>listed with source and date in the companion bibliography document.</t>
        </is>
      </c>
    </row>
    <row r="45">
      <c r="A45" s="3" t="inlineStr"/>
    </row>
    <row r="46">
      <c r="A46" s="3" t="inlineStr">
        <is>
          <t>Discount convention. The explicit window discounts at a single AED cost of capital built on the sheet</t>
        </is>
      </c>
    </row>
    <row r="47">
      <c r="A47" s="3" t="inlineStr">
        <is>
          <t>(the AED curve is flat-pegged to the USD; there is no easing glide to derive, and the discount factors</t>
        </is>
      </c>
    </row>
    <row r="48">
      <c r="A48" s="3" t="inlineStr">
        <is>
          <t>compound in front of you on the DCF sheet). The terminal value is capitalised at the terminal rate and</t>
        </is>
      </c>
    </row>
    <row r="49">
      <c r="A49" s="3" t="inlineStr">
        <is>
          <t>discounted at the year-5 factor. One date, one price of time.</t>
        </is>
      </c>
    </row>
    <row r="50">
      <c r="A50" s="3" t="inlineStr"/>
    </row>
    <row r="51">
      <c r="A51" s="3" t="inlineStr">
        <is>
          <t>Currency. AED million unless stated. Spot AED 2.83 (2026-08-09 anchor; close 07-Aug-2026).</t>
        </is>
      </c>
    </row>
    <row r="52">
      <c r="A52" s="3" t="inlineStr">
        <is>
          <t>Sheets: READ FIRST · Summary · Fundamental Valuation · Assumptions · SOTP Bridge · Segments · Relative &amp;</t>
        </is>
      </c>
    </row>
    <row r="53">
      <c r="A53" s="3" t="inlineStr">
        <is>
          <t>Normalized · DCF · Income Statement · Balance Sheet · Cash Flow · Summary Financials · Monte Carlo ·</t>
        </is>
      </c>
    </row>
    <row r="54">
      <c r="A54" s="3" t="inlineStr">
        <is>
          <t>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Summary — valuation at a glance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(primary)</t>
        </is>
      </c>
      <c r="B5" s="7" t="n">
        <v>4.179391161327742</v>
      </c>
      <c r="C5" s="8">
        <f>DCF!C54</f>
        <v/>
      </c>
      <c r="D5" s="7" t="n">
        <v>7.393430194946205</v>
      </c>
      <c r="E5" s="9">
        <f>Assumptions!$C$57</f>
        <v/>
      </c>
      <c r="F5" s="10">
        <f>C5*E5</f>
        <v/>
      </c>
      <c r="G5" s="11">
        <f>C5/$C$14-1</f>
        <v/>
      </c>
    </row>
    <row r="6">
      <c r="A6" s="6" t="inlineStr">
        <is>
          <t>Relative multiples</t>
        </is>
      </c>
      <c r="B6" s="8">
        <f>'Relative &amp; Normalized'!C12</f>
        <v/>
      </c>
      <c r="C6" s="8">
        <f>'Relative &amp; Normalized'!C11</f>
        <v/>
      </c>
      <c r="D6" s="8">
        <f>'Relative &amp; Normalized'!D12</f>
        <v/>
      </c>
      <c r="E6" s="9">
        <f>Assumptions!$C$58</f>
        <v/>
      </c>
      <c r="F6" s="10">
        <f>C6*E6</f>
        <v/>
      </c>
      <c r="G6" s="11">
        <f>C6/$C$14-1</f>
        <v/>
      </c>
    </row>
    <row r="7">
      <c r="A7" s="6" t="inlineStr">
        <is>
          <t>Normalised earnings power</t>
        </is>
      </c>
      <c r="B7" s="8">
        <f>'Relative &amp; Normalized'!E28</f>
        <v/>
      </c>
      <c r="C7" s="8">
        <f>'Relative &amp; Normalized'!C28</f>
        <v/>
      </c>
      <c r="D7" s="8">
        <f>'Relative &amp; Normalized'!F28</f>
        <v/>
      </c>
      <c r="E7" s="9">
        <f>Assumptions!$C$59</f>
        <v/>
      </c>
      <c r="F7" s="10">
        <f>C7*E7</f>
        <v/>
      </c>
      <c r="G7" s="11">
        <f>C7/$C$14-1</f>
        <v/>
      </c>
    </row>
    <row r="8">
      <c r="A8" s="6" t="inlineStr">
        <is>
          <t>Book value and sustainable return</t>
        </is>
      </c>
      <c r="B8" s="8">
        <f>'Relative &amp; Normalized'!E36</f>
        <v/>
      </c>
      <c r="C8" s="8">
        <f>'Relative &amp; Normalized'!C36</f>
        <v/>
      </c>
      <c r="D8" s="8">
        <f>'Relative &amp; Normalized'!F36</f>
        <v/>
      </c>
      <c r="E8" s="9">
        <f>Assumptions!$C$60</f>
        <v/>
      </c>
      <c r="F8" s="10">
        <f>C8*E8</f>
        <v/>
      </c>
      <c r="G8" s="11">
        <f>C8/$C$14-1</f>
        <v/>
      </c>
    </row>
    <row r="9">
      <c r="A9" s="12" t="inlineStr">
        <is>
          <t>Weighted central</t>
        </is>
      </c>
      <c r="B9" s="13">
        <f>MIN(B5:B8)</f>
        <v/>
      </c>
      <c r="C9" s="13">
        <f>SUM(F5:F8)</f>
        <v/>
      </c>
      <c r="D9" s="13">
        <f>MAX(D5:D8)</f>
        <v/>
      </c>
      <c r="E9" s="14">
        <f>SUM(E5:E8)</f>
        <v/>
      </c>
      <c r="F9" s="15" t="n"/>
      <c r="G9" s="14">
        <f>C9/$C$14-1</f>
        <v/>
      </c>
    </row>
    <row r="11">
      <c r="A11" s="6" t="inlineStr">
        <is>
          <t>The contested judgement, both ways: DCF base vs backlog run-off</t>
        </is>
      </c>
      <c r="C11" s="8">
        <f>DCF!C54</f>
        <v/>
      </c>
      <c r="D11" s="7" t="n">
        <v>4.179391161327742</v>
      </c>
    </row>
    <row r="12">
      <c r="A12" s="6" t="inlineStr">
        <is>
          <t>Terminal value share of DCF enterprise value</t>
        </is>
      </c>
      <c r="C12" s="9">
        <f>DCF!C42</f>
        <v/>
      </c>
    </row>
    <row r="13">
      <c r="A13" s="6" t="inlineStr">
        <is>
          <t>Expert panel median</t>
        </is>
      </c>
      <c r="C13" s="7" t="n">
        <v>3.923210931248883</v>
      </c>
    </row>
    <row r="14">
      <c r="A14" s="12" t="inlineStr">
        <is>
          <t>Market price (anchor, 7-Aug-2026)</t>
        </is>
      </c>
      <c r="B14" s="15" t="n"/>
      <c r="C14" s="16">
        <f>Assumptions!$C$4</f>
        <v/>
      </c>
      <c r="D14" s="15" t="n"/>
      <c r="E14" s="15" t="n"/>
      <c r="F14" s="15" t="n"/>
      <c r="G14" s="15" t="n"/>
    </row>
    <row r="16">
      <c r="A16" s="5" t="inlineStr">
        <is>
          <t>Key figure</t>
        </is>
      </c>
      <c r="B16" s="5" t="inlineStr">
        <is>
          <t>Value</t>
        </is>
      </c>
    </row>
    <row r="17">
      <c r="A17" s="6" t="inlineStr">
        <is>
          <t>Market capitalisation (AED mn)</t>
        </is>
      </c>
      <c r="C17" s="17">
        <f>Assumptions!$C$4*Assumptions!$C$5</f>
        <v/>
      </c>
    </row>
    <row r="18">
      <c r="A18" s="6" t="inlineStr">
        <is>
          <t>Net cash, strict basis (cash − debt, FY2025)</t>
        </is>
      </c>
      <c r="C18" s="18">
        <f>Assumptions!$C$42-Assumptions!$C$43</f>
        <v/>
      </c>
    </row>
    <row r="19">
      <c r="A19" s="6" t="inlineStr">
        <is>
          <t>Net cash, company definition (disclosed)</t>
        </is>
      </c>
      <c r="C19" s="19" t="n">
        <v>1800</v>
      </c>
    </row>
    <row r="20">
      <c r="A20" s="6" t="inlineStr">
        <is>
          <t>FY2025 revenue (AED mn)</t>
        </is>
      </c>
      <c r="C20" s="18">
        <f>'Income Statement'!D5</f>
        <v/>
      </c>
    </row>
    <row r="21">
      <c r="A21" s="6" t="inlineStr">
        <is>
          <t>FY2025 EBITDA (AED mn)</t>
        </is>
      </c>
      <c r="C21" s="18">
        <f>'Income Statement'!D7</f>
        <v/>
      </c>
    </row>
    <row r="22">
      <c r="A22" s="6" t="inlineStr">
        <is>
          <t>FY2025 attributable profit (AED mn)</t>
        </is>
      </c>
      <c r="C22" s="18">
        <f>'Income Statement'!D17</f>
        <v/>
      </c>
    </row>
    <row r="23">
      <c r="A23" s="6" t="inlineStr">
        <is>
          <t>Cost of capital (explicit window)</t>
        </is>
      </c>
      <c r="C23" s="20">
        <f>DCF!C30</f>
        <v/>
      </c>
    </row>
    <row r="24">
      <c r="A24" s="6" t="inlineStr">
        <is>
          <t>Cost of capital (terminal)</t>
        </is>
      </c>
      <c r="C24" s="20">
        <f>DCF!C31</f>
        <v/>
      </c>
    </row>
    <row r="25">
      <c r="A25" s="6" t="inlineStr">
        <is>
          <t>Terminal growth</t>
        </is>
      </c>
      <c r="C25" s="20">
        <f>Assumptions!$C$38</f>
        <v/>
      </c>
    </row>
    <row r="27">
      <c r="A27" s="5" t="inlineStr">
        <is>
          <t>Monte Carlo price map (engine re-run, pasted)</t>
        </is>
      </c>
      <c r="B27" s="5" t="inlineStr">
        <is>
          <t>1 month</t>
        </is>
      </c>
      <c r="C27" s="5" t="inlineStr">
        <is>
          <t>3 months</t>
        </is>
      </c>
    </row>
    <row r="28">
      <c r="A28" s="6" t="inlineStr">
        <is>
          <t>5th percentile</t>
        </is>
      </c>
      <c r="B28" s="7" t="n">
        <v>2.537067974301798</v>
      </c>
      <c r="C28" s="7" t="n">
        <v>2.319965747344324</v>
      </c>
    </row>
    <row r="29">
      <c r="A29" s="6" t="inlineStr">
        <is>
          <t>25th percentile</t>
        </is>
      </c>
      <c r="B29" s="7" t="n">
        <v>2.718595960543321</v>
      </c>
      <c r="C29" s="7" t="n">
        <v>2.637975726186433</v>
      </c>
    </row>
    <row r="30">
      <c r="A30" s="6" t="inlineStr">
        <is>
          <t>Median</t>
        </is>
      </c>
      <c r="B30" s="7" t="n">
        <v>2.838308856303401</v>
      </c>
      <c r="C30" s="7" t="n">
        <v>2.857647930306376</v>
      </c>
    </row>
    <row r="31">
      <c r="A31" s="6" t="inlineStr">
        <is>
          <t>75th percentile</t>
        </is>
      </c>
      <c r="B31" s="7" t="n">
        <v>2.963942198127806</v>
      </c>
      <c r="C31" s="7" t="n">
        <v>3.094773382373537</v>
      </c>
    </row>
    <row r="32">
      <c r="A32" s="6" t="inlineStr">
        <is>
          <t>95th percentile</t>
        </is>
      </c>
      <c r="B32" s="7" t="n">
        <v>3.169632883184554</v>
      </c>
      <c r="C32" s="7" t="n">
        <v>3.523723381103312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Fundamental valuation — four lenses, the contested judgement and the stress readings</t>
        </is>
      </c>
      <c r="B1" s="2" t="n"/>
      <c r="C1" s="2" t="n"/>
      <c r="D1" s="2" t="n"/>
      <c r="E1" s="2" t="n"/>
      <c r="F1" s="2" t="n"/>
    </row>
    <row r="4">
      <c r="A4" s="5" t="inlineStr">
        <is>
          <t>Lens / step</t>
        </is>
      </c>
      <c r="B4" s="5" t="inlineStr">
        <is>
          <t>Basis</t>
        </is>
      </c>
      <c r="C4" s="5" t="inlineStr">
        <is>
          <t>AED per share</t>
        </is>
      </c>
    </row>
    <row r="5">
      <c r="A5" s="6" t="inlineStr">
        <is>
          <t>Discounted cash flow (primary)</t>
        </is>
      </c>
      <c r="B5" s="6" t="inlineStr">
        <is>
          <t>links to the DCF sheet</t>
        </is>
      </c>
      <c r="C5" s="8">
        <f>DCF!C54</f>
        <v/>
      </c>
    </row>
    <row r="6">
      <c r="A6" s="6" t="inlineStr">
        <is>
          <t xml:space="preserve">  backlog run-off alternative</t>
        </is>
      </c>
      <c r="B6" s="6" t="inlineStr">
        <is>
          <t>new sales halve and fade; margins compress (engine re-run)</t>
        </is>
      </c>
      <c r="C6" s="7" t="n">
        <v>4.179391161327742</v>
      </c>
    </row>
    <row r="7">
      <c r="A7" s="6" t="inlineStr">
        <is>
          <t xml:space="preserve">  growth-hold alternative</t>
        </is>
      </c>
      <c r="B7" s="6" t="inlineStr">
        <is>
          <t>sales hold at AED 30bn; margins hold (engine re-run)</t>
        </is>
      </c>
      <c r="C7" s="7" t="n">
        <v>7.393430194946205</v>
      </c>
    </row>
    <row r="8">
      <c r="A8" s="6" t="inlineStr">
        <is>
          <t xml:space="preserve">  Egypt-risk stress</t>
        </is>
      </c>
      <c r="B8" s="6" t="inlineStr">
        <is>
          <t>non-UAE revenue share carries the Egypt country premium (engine re-run)</t>
        </is>
      </c>
      <c r="C8" s="7" t="n">
        <v>5.086676693032556</v>
      </c>
    </row>
    <row r="9">
      <c r="A9" s="6" t="inlineStr">
        <is>
          <t>Relative multiples</t>
        </is>
      </c>
      <c r="B9" s="6" t="inlineStr">
        <is>
          <t>justified P/E and EV/EBITDA against the UAE developer set</t>
        </is>
      </c>
      <c r="C9" s="8">
        <f>'Relative &amp; Normalized'!C11</f>
        <v/>
      </c>
    </row>
    <row r="10">
      <c r="A10" s="6" t="inlineStr">
        <is>
          <t>Normalised earnings power</t>
        </is>
      </c>
      <c r="B10" s="6" t="inlineStr">
        <is>
          <t>through-cycle sales and margin at a through-cycle multiple</t>
        </is>
      </c>
      <c r="C10" s="8">
        <f>'Relative &amp; Normalized'!C28</f>
        <v/>
      </c>
    </row>
    <row r="11">
      <c r="A11" s="6" t="inlineStr">
        <is>
          <t>Book value and sustainable return</t>
        </is>
      </c>
      <c r="B11" s="6" t="inlineStr">
        <is>
          <t>justified price-to-book on sustainable return on equity</t>
        </is>
      </c>
      <c r="C11" s="8">
        <f>'Relative &amp; Normalized'!C36</f>
        <v/>
      </c>
    </row>
    <row r="13">
      <c r="A13" s="12" t="inlineStr">
        <is>
          <t>Weighted central (links to Summary)</t>
        </is>
      </c>
      <c r="B13" s="15" t="n"/>
      <c r="C13" s="13">
        <f>Summary!C9</f>
        <v/>
      </c>
    </row>
    <row r="15">
      <c r="A15" s="6" t="inlineStr">
        <is>
          <t>What the market price implies</t>
        </is>
      </c>
      <c r="B15" s="6" t="inlineStr">
        <is>
          <t>cost-of-equity adder that reconciles the base DCF to spot (engine solve)</t>
        </is>
      </c>
      <c r="C15" s="21" t="n">
        <v>0.1140908329246707</v>
      </c>
    </row>
    <row r="17">
      <c r="A17" s="5" t="inlineStr">
        <is>
          <t>Expert panel (engine re-runs, worked in Appendix C)</t>
        </is>
      </c>
      <c r="B17" s="5" t="inlineStr">
        <is>
          <t>Method</t>
        </is>
      </c>
      <c r="C17" s="5" t="inlineStr">
        <is>
          <t>AED per share</t>
        </is>
      </c>
    </row>
    <row r="18">
      <c r="A18" s="6" t="inlineStr">
        <is>
          <t>Expert 1</t>
        </is>
      </c>
      <c r="B18" s="6" t="inlineStr">
        <is>
          <t>asset value (RNAV)</t>
        </is>
      </c>
      <c r="C18" s="7" t="n">
        <v>3.923210931248883</v>
      </c>
    </row>
    <row r="19">
      <c r="A19" s="6" t="inlineStr">
        <is>
          <t>Expert 2</t>
        </is>
      </c>
      <c r="B19" s="6" t="inlineStr">
        <is>
          <t>owner cash flow, run-off basis</t>
        </is>
      </c>
      <c r="C19" s="7" t="n">
        <v>4.05809229633167</v>
      </c>
    </row>
    <row r="20">
      <c r="A20" s="6" t="inlineStr">
        <is>
          <t>Expert 3</t>
        </is>
      </c>
      <c r="B20" s="6" t="inlineStr">
        <is>
          <t>peer-multiple convergence</t>
        </is>
      </c>
      <c r="C20" s="7" t="n">
        <v>1.737438233090195</v>
      </c>
    </row>
    <row r="21">
      <c r="A21" s="22" t="inlineStr">
        <is>
          <t>Panel median</t>
        </is>
      </c>
      <c r="C21" s="23">
        <f>MEDIAN(C18:C20)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Assumptions — every blue cell reprices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Vectors run FY2026E..FY2030E across columns C..G</t>
        </is>
      </c>
    </row>
    <row r="3">
      <c r="A3" s="5" t="inlineStr">
        <is>
          <t>Driver</t>
        </is>
      </c>
      <c r="B3" s="5" t="inlineStr"/>
      <c r="C3" s="5" t="inlineStr">
        <is>
          <t>FY26E / value</t>
        </is>
      </c>
      <c r="D3" s="5" t="inlineStr">
        <is>
          <t>FY27E</t>
        </is>
      </c>
      <c r="E3" s="5" t="inlineStr">
        <is>
          <t>FY28E</t>
        </is>
      </c>
      <c r="F3" s="5" t="inlineStr">
        <is>
          <t>FY29E</t>
        </is>
      </c>
      <c r="G3" s="5" t="inlineStr">
        <is>
          <t>FY30E</t>
        </is>
      </c>
    </row>
    <row r="4">
      <c r="A4" s="6" t="inlineStr">
        <is>
          <t>Spot price (AED, 7-Aug-2026 close)</t>
        </is>
      </c>
      <c r="C4" s="7" t="n">
        <v>2.83</v>
      </c>
    </row>
    <row r="5">
      <c r="A5" s="6" t="inlineStr">
        <is>
          <t>Shares outstanding (mn)</t>
        </is>
      </c>
      <c r="C5" s="19" t="n">
        <v>16347.08</v>
      </c>
    </row>
    <row r="6">
      <c r="A6" s="6" t="inlineStr">
        <is>
          <t>Backlog conversion rate on opening development backlog</t>
        </is>
      </c>
      <c r="C6" s="24" t="n">
        <v>0.24</v>
      </c>
      <c r="D6" s="24" t="n">
        <v>0.27</v>
      </c>
      <c r="E6" s="24" t="n">
        <v>0.29</v>
      </c>
      <c r="F6" s="24" t="n">
        <v>0.31</v>
      </c>
      <c r="G6" s="24" t="n">
        <v>0.33</v>
      </c>
    </row>
    <row r="7">
      <c r="A7" s="6" t="inlineStr">
        <is>
          <t>New development sales (AED mn)</t>
        </is>
      </c>
      <c r="C7" s="19" t="n">
        <v>26000</v>
      </c>
      <c r="D7" s="19" t="n">
        <v>24000</v>
      </c>
      <c r="E7" s="19" t="n">
        <v>22000</v>
      </c>
      <c r="F7" s="19" t="n">
        <v>20500</v>
      </c>
      <c r="G7" s="19" t="n">
        <v>19000</v>
      </c>
    </row>
    <row r="8">
      <c r="A8" s="6" t="inlineStr">
        <is>
          <t>Land and plot sales revenue (AED mn)</t>
        </is>
      </c>
      <c r="C8" s="19" t="n">
        <v>1800</v>
      </c>
      <c r="D8" s="19" t="n">
        <v>1600</v>
      </c>
      <c r="E8" s="19" t="n">
        <v>1400</v>
      </c>
      <c r="F8" s="19" t="n">
        <v>1200</v>
      </c>
      <c r="G8" s="19" t="n">
        <v>1000</v>
      </c>
    </row>
    <row r="9">
      <c r="A9" s="6" t="inlineStr">
        <is>
          <t>Development gross margin</t>
        </is>
      </c>
      <c r="C9" s="24" t="n">
        <v>0.41</v>
      </c>
      <c r="D9" s="24" t="n">
        <v>0.4</v>
      </c>
      <c r="E9" s="24" t="n">
        <v>0.39</v>
      </c>
      <c r="F9" s="24" t="n">
        <v>0.385</v>
      </c>
      <c r="G9" s="24" t="n">
        <v>0.38</v>
      </c>
    </row>
    <row r="10">
      <c r="A10" s="6" t="inlineStr">
        <is>
          <t>Asset &amp; investment management revenue growth</t>
        </is>
      </c>
      <c r="C10" s="24" t="n">
        <v>0.1</v>
      </c>
      <c r="D10" s="24" t="n">
        <v>0.08500000000000001</v>
      </c>
      <c r="E10" s="24" t="n">
        <v>0.08500000000000001</v>
      </c>
      <c r="F10" s="24" t="n">
        <v>0.08</v>
      </c>
      <c r="G10" s="24" t="n">
        <v>0.08</v>
      </c>
    </row>
    <row r="11">
      <c r="A11" s="6" t="inlineStr">
        <is>
          <t>Asset &amp; investment management gross margin</t>
        </is>
      </c>
      <c r="C11" s="24" t="n">
        <v>0.64</v>
      </c>
      <c r="D11" s="24" t="n">
        <v>0.64</v>
      </c>
      <c r="E11" s="24" t="n">
        <v>0.64</v>
      </c>
      <c r="F11" s="24" t="n">
        <v>0.64</v>
      </c>
      <c r="G11" s="24" t="n">
        <v>0.64</v>
      </c>
    </row>
    <row r="12">
      <c r="A12" s="6" t="inlineStr">
        <is>
          <t>Hospitality revenue growth</t>
        </is>
      </c>
      <c r="C12" s="24" t="n">
        <v>0.06</v>
      </c>
      <c r="D12" s="24" t="n">
        <v>0.07000000000000001</v>
      </c>
      <c r="E12" s="24" t="n">
        <v>0.07000000000000001</v>
      </c>
      <c r="F12" s="24" t="n">
        <v>0.06</v>
      </c>
      <c r="G12" s="24" t="n">
        <v>0.06</v>
      </c>
    </row>
    <row r="13">
      <c r="A13" s="6" t="inlineStr">
        <is>
          <t>Hospitality gross margin</t>
        </is>
      </c>
      <c r="C13" s="24" t="n">
        <v>0.27</v>
      </c>
      <c r="D13" s="24" t="n">
        <v>0.28</v>
      </c>
      <c r="E13" s="24" t="n">
        <v>0.29</v>
      </c>
      <c r="F13" s="24" t="n">
        <v>0.3</v>
      </c>
      <c r="G13" s="24" t="n">
        <v>0.3</v>
      </c>
    </row>
    <row r="14">
      <c r="A14" s="6" t="inlineStr">
        <is>
          <t>Events, catering &amp; tourism revenue growth</t>
        </is>
      </c>
      <c r="C14" s="24" t="n">
        <v>0.118</v>
      </c>
      <c r="D14" s="24" t="n">
        <v>0.045</v>
      </c>
      <c r="E14" s="24" t="n">
        <v>0.043</v>
      </c>
      <c r="F14" s="24" t="n">
        <v>0.041</v>
      </c>
      <c r="G14" s="24" t="n">
        <v>0.039</v>
      </c>
    </row>
    <row r="15">
      <c r="A15" s="6" t="inlineStr">
        <is>
          <t>Events, catering &amp; tourism gross margin</t>
        </is>
      </c>
      <c r="C15" s="24" t="n">
        <v>0.265</v>
      </c>
      <c r="D15" s="24" t="n">
        <v>0.27</v>
      </c>
      <c r="E15" s="24" t="n">
        <v>0.275</v>
      </c>
      <c r="F15" s="24" t="n">
        <v>0.28</v>
      </c>
      <c r="G15" s="24" t="n">
        <v>0.28</v>
      </c>
    </row>
    <row r="16">
      <c r="A16" s="6" t="inlineStr">
        <is>
          <t>Others / eliminations revenue (AED mn)</t>
        </is>
      </c>
      <c r="C16" s="19" t="n">
        <v>-30</v>
      </c>
    </row>
    <row r="17">
      <c r="A17" s="6" t="inlineStr">
        <is>
          <t>Others gross loss (AED mn)</t>
        </is>
      </c>
      <c r="C17" s="19" t="n">
        <v>-120</v>
      </c>
    </row>
    <row r="18">
      <c r="A18" s="6" t="inlineStr">
        <is>
          <t>General &amp; administrative / revenue</t>
        </is>
      </c>
      <c r="C18" s="24" t="n">
        <v>0.08799999999999999</v>
      </c>
      <c r="D18" s="24" t="n">
        <v>0.08799999999999999</v>
      </c>
      <c r="E18" s="24" t="n">
        <v>0.08699999999999999</v>
      </c>
      <c r="F18" s="24" t="n">
        <v>0.08599999999999999</v>
      </c>
      <c r="G18" s="24" t="n">
        <v>0.08500000000000001</v>
      </c>
    </row>
    <row r="19">
      <c r="A19" s="6" t="inlineStr">
        <is>
          <t>Selling &amp; marketing / revenue</t>
        </is>
      </c>
      <c r="C19" s="24" t="n">
        <v>0.018</v>
      </c>
      <c r="D19" s="24" t="n">
        <v>0.018</v>
      </c>
      <c r="E19" s="24" t="n">
        <v>0.017</v>
      </c>
      <c r="F19" s="24" t="n">
        <v>0.017</v>
      </c>
      <c r="G19" s="24" t="n">
        <v>0.016</v>
      </c>
    </row>
    <row r="20">
      <c r="A20" s="6" t="inlineStr">
        <is>
          <t>Investment and other income, recurring (AED mn)</t>
        </is>
      </c>
      <c r="C20" s="19" t="n">
        <v>160</v>
      </c>
      <c r="D20" s="19" t="n">
        <v>165</v>
      </c>
      <c r="E20" s="19" t="n">
        <v>170</v>
      </c>
      <c r="F20" s="19" t="n">
        <v>175</v>
      </c>
      <c r="G20" s="19" t="n">
        <v>180</v>
      </c>
    </row>
    <row r="21">
      <c r="A21" s="6" t="inlineStr">
        <is>
          <t>Depreciation &amp; amortisation / revenue</t>
        </is>
      </c>
      <c r="C21" s="24" t="n">
        <v>0.042</v>
      </c>
    </row>
    <row r="22">
      <c r="A22" s="6" t="inlineStr">
        <is>
          <t>Capital expenditure (AED mn)</t>
        </is>
      </c>
      <c r="C22" s="19" t="n">
        <v>1400</v>
      </c>
      <c r="D22" s="19" t="n">
        <v>1500</v>
      </c>
      <c r="E22" s="19" t="n">
        <v>1550</v>
      </c>
      <c r="F22" s="19" t="n">
        <v>1600</v>
      </c>
      <c r="G22" s="19" t="n">
        <v>1650</v>
      </c>
    </row>
    <row r="23">
      <c r="A23" s="6" t="inlineStr">
        <is>
          <t>Working-capital release, negative = absorption (AED mn)</t>
        </is>
      </c>
      <c r="C23" s="19" t="n">
        <v>-1500</v>
      </c>
      <c r="D23" s="19" t="n">
        <v>800</v>
      </c>
      <c r="E23" s="19" t="n">
        <v>1200</v>
      </c>
      <c r="F23" s="19" t="n">
        <v>1400</v>
      </c>
      <c r="G23" s="19" t="n">
        <v>1400</v>
      </c>
    </row>
    <row r="24">
      <c r="A24" s="6" t="inlineStr">
        <is>
          <t>Effective tax rate (DMTT floor + foreign uplift)</t>
        </is>
      </c>
      <c r="C24" s="24" t="n">
        <v>0.155</v>
      </c>
    </row>
    <row r="25">
      <c r="A25" s="6" t="inlineStr">
        <is>
          <t>NCI share of profit</t>
        </is>
      </c>
      <c r="C25" s="24" t="n">
        <v>0.02</v>
      </c>
    </row>
    <row r="26">
      <c r="A26" s="6" t="inlineStr">
        <is>
          <t>Associate income FY2026E base (AED mn)</t>
        </is>
      </c>
      <c r="C26" s="19" t="n">
        <v>200</v>
      </c>
    </row>
    <row r="27">
      <c r="A27" s="6" t="inlineStr">
        <is>
          <t>Associate income growth</t>
        </is>
      </c>
      <c r="C27" s="24" t="n">
        <v>0.08</v>
      </c>
    </row>
    <row r="28">
      <c r="A28" s="6" t="inlineStr">
        <is>
          <t>Gross debt path incl. related-party loan (AED mn)</t>
        </is>
      </c>
      <c r="C28" s="19" t="n">
        <v>9700</v>
      </c>
      <c r="D28" s="19" t="n">
        <v>9900</v>
      </c>
      <c r="E28" s="19" t="n">
        <v>9200</v>
      </c>
      <c r="F28" s="19" t="n">
        <v>8300</v>
      </c>
      <c r="G28" s="19" t="n">
        <v>7400</v>
      </c>
    </row>
    <row r="29">
      <c r="A29" s="6" t="inlineStr">
        <is>
          <t>Yield on cash balances</t>
        </is>
      </c>
      <c r="C29" s="24" t="n">
        <v>0.035</v>
      </c>
    </row>
    <row r="30">
      <c r="A30" s="12" t="inlineStr">
        <is>
          <t>Cost of capital build</t>
        </is>
      </c>
      <c r="B30" s="15" t="n"/>
      <c r="C30" s="15" t="n"/>
      <c r="D30" s="15" t="n"/>
      <c r="E30" s="15" t="n"/>
      <c r="F30" s="15" t="n"/>
      <c r="G30" s="15" t="n"/>
      <c r="H30" s="15" t="n"/>
    </row>
    <row r="31">
      <c r="A31" s="6" t="inlineStr">
        <is>
          <t>AED government bond yield (Jan-2031 T-Bond auction)</t>
        </is>
      </c>
      <c r="C31" s="21" t="n">
        <v>0.0448</v>
      </c>
    </row>
    <row r="32">
      <c r="A32" s="6" t="inlineStr">
        <is>
          <t>UAE sovereign default spread (rating basis, netted out)</t>
        </is>
      </c>
      <c r="C32" s="21" t="n">
        <v>0.0042</v>
      </c>
    </row>
    <row r="33">
      <c r="A33" s="6" t="inlineStr">
        <is>
          <t>Equity risk premium (UAE row, rating basis)</t>
        </is>
      </c>
      <c r="C33" s="21" t="n">
        <v>0.0487</v>
      </c>
    </row>
    <row r="34">
      <c r="A34" s="6" t="inlineStr">
        <is>
          <t>Beta (tier-3 fallback, flagged; sensitised 0.8-1.2)</t>
        </is>
      </c>
      <c r="C34" s="7" t="n">
        <v>1</v>
      </c>
    </row>
    <row r="35">
      <c r="A35" s="6" t="inlineStr">
        <is>
          <t>6-month EIBOR</t>
        </is>
      </c>
      <c r="C35" s="21" t="n">
        <v>0.0371</v>
      </c>
    </row>
    <row r="36">
      <c r="A36" s="6" t="inlineStr">
        <is>
          <t>Marginal debt margin over 6M EIBOR</t>
        </is>
      </c>
      <c r="C36" s="21" t="n">
        <v>0.0165</v>
      </c>
    </row>
    <row r="37">
      <c r="A37" s="6" t="inlineStr">
        <is>
          <t>Terminal debt weight D/(D+E)</t>
        </is>
      </c>
      <c r="C37" s="24" t="n">
        <v>0.15</v>
      </c>
    </row>
    <row r="38">
      <c r="A38" s="6" t="inlineStr">
        <is>
          <t>Terminal growth</t>
        </is>
      </c>
      <c r="C38" s="21" t="n">
        <v>0.025</v>
      </c>
    </row>
    <row r="39">
      <c r="A39" s="6" t="inlineStr">
        <is>
          <t>Terminal return on invested capital</t>
        </is>
      </c>
      <c r="C39" s="21" t="n">
        <v>0.08500000000000001</v>
      </c>
    </row>
    <row r="40">
      <c r="A40" s="6" t="inlineStr">
        <is>
          <t>Days from 31-Dec-2025 valuation date to the 7-Aug-2026 anchor</t>
        </is>
      </c>
      <c r="C40" s="19" t="n">
        <v>219</v>
      </c>
    </row>
    <row r="41">
      <c r="A41" s="12" t="inlineStr">
        <is>
          <t>FY2025 balance-sheet anchors (audited, pasted)</t>
        </is>
      </c>
      <c r="B41" s="15" t="n"/>
      <c r="C41" s="15" t="n"/>
      <c r="D41" s="15" t="n"/>
      <c r="E41" s="15" t="n"/>
      <c r="F41" s="15" t="n"/>
      <c r="G41" s="15" t="n"/>
      <c r="H41" s="15" t="n"/>
    </row>
    <row r="42">
      <c r="A42" s="6" t="inlineStr">
        <is>
          <t>Cash and bank balances FY2025 (AED mn, disclosed)</t>
        </is>
      </c>
      <c r="C42" s="19" t="n">
        <v>12641.987</v>
      </c>
    </row>
    <row r="43">
      <c r="A43" s="6" t="inlineStr">
        <is>
          <t>Gross debt FY2025 incl. related-party loan (AED mn, disclosed)</t>
        </is>
      </c>
      <c r="C43" s="19" t="n">
        <v>6789.085999999999</v>
      </c>
    </row>
    <row r="44">
      <c r="A44" s="6" t="inlineStr">
        <is>
          <t>Lease liabilities FY2025 (AED mn, disclosed)</t>
        </is>
      </c>
      <c r="C44" s="19" t="n">
        <v>623.7660000000001</v>
      </c>
    </row>
    <row r="45">
      <c r="A45" s="6" t="inlineStr">
        <is>
          <t>Associates &amp; JVs at carrying value FY2025 (AED mn, disclosed)</t>
        </is>
      </c>
      <c r="C45" s="19" t="n">
        <v>3723.897</v>
      </c>
    </row>
    <row r="46">
      <c r="A46" s="6" t="inlineStr">
        <is>
          <t>Investments in financial assets FY2025 (AED mn, disclosed)</t>
        </is>
      </c>
      <c r="C46" s="19" t="n">
        <v>394.305</v>
      </c>
    </row>
    <row r="47">
      <c r="A47" s="6" t="inlineStr">
        <is>
          <t>Non-controlling interests FY2025 (AED mn, disclosed)</t>
        </is>
      </c>
      <c r="C47" s="19" t="n">
        <v>847.48</v>
      </c>
    </row>
    <row r="48">
      <c r="A48" s="6" t="inlineStr">
        <is>
          <t>Equity attributable to owners FY2025 (AED mn, disclosed)</t>
        </is>
      </c>
      <c r="C48" s="19" t="n">
        <v>53902.504</v>
      </c>
    </row>
    <row r="49">
      <c r="A49" s="6" t="inlineStr">
        <is>
          <t>Development backlog at 31-Dec-2025 (AED mn, disclosed)</t>
        </is>
      </c>
      <c r="C49" s="19" t="n">
        <v>42600</v>
      </c>
    </row>
    <row r="50">
      <c r="A50" s="12" t="inlineStr">
        <is>
          <t>Lens settings</t>
        </is>
      </c>
      <c r="B50" s="15" t="n"/>
      <c r="C50" s="15" t="n"/>
      <c r="D50" s="15" t="n"/>
      <c r="E50" s="15" t="n"/>
      <c r="F50" s="15" t="n"/>
      <c r="G50" s="15" t="n"/>
      <c r="H50" s="15" t="n"/>
    </row>
    <row r="51">
      <c r="A51" s="6" t="inlineStr">
        <is>
          <t>Justified price/earnings (FY2026E attributable)</t>
        </is>
      </c>
      <c r="C51" s="25" t="n">
        <v>8</v>
      </c>
    </row>
    <row r="52">
      <c r="A52" s="6" t="inlineStr">
        <is>
          <t>Justified EV/EBITDA (FY2026E)</t>
        </is>
      </c>
      <c r="C52" s="25" t="n">
        <v>7</v>
      </c>
    </row>
    <row r="53">
      <c r="A53" s="6" t="inlineStr">
        <is>
          <t>Through-cycle development sales (AED mn)</t>
        </is>
      </c>
      <c r="C53" s="19" t="n">
        <v>18000</v>
      </c>
    </row>
    <row r="54">
      <c r="A54" s="6" t="inlineStr">
        <is>
          <t>Through-cycle net margin on revenue</t>
        </is>
      </c>
      <c r="C54" s="24" t="n">
        <v>0.115</v>
      </c>
    </row>
    <row r="55">
      <c r="A55" s="6" t="inlineStr">
        <is>
          <t>Through-cycle price/earnings</t>
        </is>
      </c>
      <c r="C55" s="25" t="n">
        <v>8.5</v>
      </c>
    </row>
    <row r="56">
      <c r="A56" s="6" t="inlineStr">
        <is>
          <t>Sustainable return on equity</t>
        </is>
      </c>
      <c r="C56" s="24" t="n">
        <v>0.075</v>
      </c>
    </row>
    <row r="57">
      <c r="A57" s="6" t="inlineStr">
        <is>
          <t>Weight — discounted cash flow</t>
        </is>
      </c>
      <c r="C57" s="24" t="n">
        <v>0.4</v>
      </c>
    </row>
    <row r="58">
      <c r="A58" s="6" t="inlineStr">
        <is>
          <t>Weight — relative</t>
        </is>
      </c>
      <c r="C58" s="24" t="n">
        <v>0.2</v>
      </c>
    </row>
    <row r="59">
      <c r="A59" s="6" t="inlineStr">
        <is>
          <t>Weight — normalised</t>
        </is>
      </c>
      <c r="C59" s="24" t="n">
        <v>0.2</v>
      </c>
    </row>
    <row r="60">
      <c r="A60" s="6" t="inlineStr">
        <is>
          <t>Weight — book</t>
        </is>
      </c>
      <c r="C60" s="24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SOTP bridge — segment EV split and the EV → equity walk</t>
        </is>
      </c>
      <c r="B1" s="2" t="n"/>
      <c r="C1" s="2" t="n"/>
      <c r="D1" s="2" t="n"/>
      <c r="E1" s="2" t="n"/>
      <c r="F1" s="2" t="n"/>
    </row>
    <row r="2">
      <c r="A2" s="4" t="inlineStr">
        <is>
          <t>The four legs share one AED discount rate; the Egypt stress prices the cross-border leg separately</t>
        </is>
      </c>
    </row>
    <row r="4">
      <c r="A4" s="5" t="inlineStr">
        <is>
          <t>Enterprise value by segment</t>
        </is>
      </c>
      <c r="B4" s="5" t="inlineStr">
        <is>
          <t>Weight base (FY2025 GP less corporate load)</t>
        </is>
      </c>
      <c r="C4" s="5" t="inlineStr">
        <is>
          <t>AED mn</t>
        </is>
      </c>
    </row>
    <row r="5">
      <c r="A5" s="6" t="inlineStr">
        <is>
          <t>Real Estate Development</t>
        </is>
      </c>
      <c r="B5" s="19" t="n">
        <v>2261.929994799141</v>
      </c>
      <c r="C5" s="17">
        <f>MAX(B5,0)/3372.324009*DCF!C41</f>
        <v/>
      </c>
    </row>
    <row r="6">
      <c r="A6" s="6" t="inlineStr">
        <is>
          <t>Asset &amp; Investment Management</t>
        </is>
      </c>
      <c r="B6" s="19" t="n">
        <v>335.223143778497</v>
      </c>
      <c r="C6" s="17">
        <f>MAX(B6,0)/3372.324009*DCF!C41</f>
        <v/>
      </c>
    </row>
    <row r="7">
      <c r="A7" s="6" t="inlineStr">
        <is>
          <t>Hospitality</t>
        </is>
      </c>
      <c r="B7" s="19" t="n">
        <v>107.0504681431287</v>
      </c>
      <c r="C7" s="17">
        <f>MAX(B7,0)/3372.324009*DCF!C41</f>
        <v/>
      </c>
    </row>
    <row r="8">
      <c r="A8" s="6" t="inlineStr">
        <is>
          <t>Events, Catering &amp; Tourism</t>
        </is>
      </c>
      <c r="B8" s="19" t="n">
        <v>668.1204019387269</v>
      </c>
      <c r="C8" s="17">
        <f>MAX(B8,0)/3372.324009*DCF!C41</f>
        <v/>
      </c>
    </row>
    <row r="9">
      <c r="A9" s="12" t="inlineStr">
        <is>
          <t>Enterprise value (links to DCF)</t>
        </is>
      </c>
      <c r="B9" s="15" t="n"/>
      <c r="C9" s="26">
        <f>DCF!C41</f>
        <v/>
      </c>
      <c r="D9" s="15" t="n"/>
      <c r="E9" s="15" t="n"/>
      <c r="F9" s="15" t="n"/>
    </row>
    <row r="10">
      <c r="A10" s="6" t="inlineStr">
        <is>
          <t>Terminal value share of enterprise value</t>
        </is>
      </c>
      <c r="C10" s="11">
        <f>DCF!C42</f>
        <v/>
      </c>
    </row>
    <row r="11">
      <c r="A11" s="6" t="inlineStr">
        <is>
          <t>+ Cash and bank balances</t>
        </is>
      </c>
      <c r="C11" s="18">
        <f>Assumptions!$C$42</f>
        <v/>
      </c>
    </row>
    <row r="12">
      <c r="A12" s="6" t="inlineStr">
        <is>
          <t>− Gross debt incl. related-party loan</t>
        </is>
      </c>
      <c r="C12" s="18">
        <f>-Assumptions!$C$43</f>
        <v/>
      </c>
    </row>
    <row r="13">
      <c r="A13" s="6" t="inlineStr">
        <is>
          <t>− Lease liabilities</t>
        </is>
      </c>
      <c r="C13" s="18">
        <f>-Assumptions!$C$44</f>
        <v/>
      </c>
    </row>
    <row r="14">
      <c r="A14" s="6" t="inlineStr">
        <is>
          <t>+ Associates &amp; JVs</t>
        </is>
      </c>
      <c r="C14" s="18">
        <f>Assumptions!$C$45</f>
        <v/>
      </c>
    </row>
    <row r="15">
      <c r="A15" s="6" t="inlineStr">
        <is>
          <t>+ Financial assets</t>
        </is>
      </c>
      <c r="C15" s="18">
        <f>Assumptions!$C$46</f>
        <v/>
      </c>
    </row>
    <row r="16">
      <c r="A16" s="6" t="inlineStr">
        <is>
          <t>− Non-controlling interests (book)</t>
        </is>
      </c>
      <c r="C16" s="18">
        <f>-Assumptions!$C$47</f>
        <v/>
      </c>
    </row>
    <row r="17">
      <c r="A17" s="12" t="inlineStr">
        <is>
          <t>Equity attributable → per share → at anchor</t>
        </is>
      </c>
      <c r="B17" s="15" t="n"/>
      <c r="C17" s="26">
        <f>C9+SUM(C11:C16)</f>
        <v/>
      </c>
      <c r="D17" s="15" t="n"/>
      <c r="E17" s="15" t="n"/>
      <c r="F17" s="15" t="n"/>
    </row>
    <row r="18">
      <c r="A18" s="6" t="inlineStr">
        <is>
          <t>per share, 31-Dec-2025</t>
        </is>
      </c>
      <c r="C18" s="10">
        <f>C17/Assumptions!$C$5</f>
        <v/>
      </c>
    </row>
    <row r="19">
      <c r="A19" s="6" t="inlineStr">
        <is>
          <t>per share at the 7-Aug-2026 anchor</t>
        </is>
      </c>
      <c r="C19" s="23">
        <f>C18*DCF!C53</f>
        <v/>
      </c>
    </row>
    <row r="21">
      <c r="A21" s="6" t="inlineStr">
        <is>
          <t>NCI alternative framing (capitalised at share of profit, engine)</t>
        </is>
      </c>
      <c r="C21" s="7" t="n">
        <v>5.958324419657603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Segments — the four disclosed legs, FY2025 base and forecast build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FY2025 base pasted from IFRS 8 note 33 (audited); every forecast cell is a formula off Assumptions</t>
        </is>
      </c>
    </row>
    <row r="4">
      <c r="A4" s="5" t="inlineStr">
        <is>
          <t>FY2025 base (audited)</t>
        </is>
      </c>
      <c r="B4" s="5" t="inlineStr">
        <is>
          <t>Revenue</t>
        </is>
      </c>
      <c r="C4" s="5" t="inlineStr">
        <is>
          <t>Gross profit</t>
        </is>
      </c>
      <c r="D4" s="5" t="inlineStr">
        <is>
          <t>GP margin</t>
        </is>
      </c>
      <c r="E4" s="5" t="inlineStr">
        <is>
          <t>PBT</t>
        </is>
      </c>
      <c r="F4" s="5" t="inlineStr">
        <is>
          <t>Assets</t>
        </is>
      </c>
    </row>
    <row r="5">
      <c r="A5" s="6" t="inlineStr">
        <is>
          <t>Real Estate Development</t>
        </is>
      </c>
      <c r="B5" s="19" t="n">
        <v>7403.313</v>
      </c>
      <c r="C5" s="19" t="n">
        <v>3232.891</v>
      </c>
      <c r="D5" s="11">
        <f>C5/B5</f>
        <v/>
      </c>
      <c r="E5" s="19" t="n">
        <v>2547.573</v>
      </c>
      <c r="F5" s="19" t="n">
        <v>55738.581</v>
      </c>
    </row>
    <row r="6">
      <c r="A6" s="6" t="inlineStr">
        <is>
          <t>Asset &amp; Investment Management</t>
        </is>
      </c>
      <c r="B6" s="19" t="n">
        <v>654.658</v>
      </c>
      <c r="C6" s="19" t="n">
        <v>421.083</v>
      </c>
      <c r="D6" s="11">
        <f>C6/B6</f>
        <v/>
      </c>
      <c r="E6" s="19" t="n">
        <v>685.082</v>
      </c>
      <c r="F6" s="19" t="n">
        <v>11095.849</v>
      </c>
    </row>
    <row r="7">
      <c r="A7" s="6" t="inlineStr">
        <is>
          <t>Hospitality</t>
        </is>
      </c>
      <c r="B7" s="19" t="n">
        <v>791.771</v>
      </c>
      <c r="C7" s="19" t="n">
        <v>210.893</v>
      </c>
      <c r="D7" s="11">
        <f>C7/B7</f>
        <v/>
      </c>
      <c r="E7" s="19" t="n">
        <v>-69.15000000000001</v>
      </c>
      <c r="F7" s="19" t="n">
        <v>4601.757</v>
      </c>
    </row>
    <row r="8">
      <c r="A8" s="6" t="inlineStr">
        <is>
          <t>Events, Catering &amp; Tourism</t>
        </is>
      </c>
      <c r="B8" s="19" t="n">
        <v>5008.749</v>
      </c>
      <c r="C8" s="19" t="n">
        <v>1325.029</v>
      </c>
      <c r="D8" s="11">
        <f>C8/B8</f>
        <v/>
      </c>
      <c r="E8" s="19" t="n">
        <v>1061.602</v>
      </c>
      <c r="F8" s="19" t="n">
        <v>14118.268</v>
      </c>
    </row>
    <row r="9">
      <c r="A9" s="6" t="inlineStr">
        <is>
          <t>Others / eliminations</t>
        </is>
      </c>
      <c r="B9" s="19" t="n">
        <v>-29.622</v>
      </c>
      <c r="C9" s="19" t="n">
        <v>-164.637</v>
      </c>
    </row>
    <row r="10">
      <c r="A10" s="12" t="inlineStr">
        <is>
          <t>Group FY2025</t>
        </is>
      </c>
      <c r="B10" s="26">
        <f>SUM(B5:B9)</f>
        <v/>
      </c>
      <c r="C10" s="26">
        <f>SUM(C5:C9)</f>
        <v/>
      </c>
      <c r="D10" s="15" t="n"/>
      <c r="E10" s="15" t="n"/>
      <c r="F10" s="15" t="n"/>
      <c r="G10" s="15" t="n"/>
      <c r="H10" s="15" t="n"/>
    </row>
    <row r="12">
      <c r="A12" s="5" t="inlineStr">
        <is>
          <t>Development build</t>
        </is>
      </c>
      <c r="B12" s="5" t="inlineStr">
        <is>
          <t>FY26E</t>
        </is>
      </c>
      <c r="C12" s="5" t="inlineStr">
        <is>
          <t>FY27E</t>
        </is>
      </c>
      <c r="D12" s="5" t="inlineStr">
        <is>
          <t>FY28E</t>
        </is>
      </c>
      <c r="E12" s="5" t="inlineStr">
        <is>
          <t>FY29E</t>
        </is>
      </c>
      <c r="F12" s="5" t="inlineStr">
        <is>
          <t>FY30E</t>
        </is>
      </c>
    </row>
    <row r="13">
      <c r="A13" s="6" t="inlineStr">
        <is>
          <t>Opening development backlog</t>
        </is>
      </c>
      <c r="B13" s="18">
        <f>Assumptions!$C$49</f>
        <v/>
      </c>
      <c r="C13" s="17">
        <f>B16</f>
        <v/>
      </c>
      <c r="D13" s="17">
        <f>C16</f>
        <v/>
      </c>
      <c r="E13" s="17">
        <f>D16</f>
        <v/>
      </c>
      <c r="F13" s="17">
        <f>E16</f>
        <v/>
      </c>
    </row>
    <row r="14">
      <c r="A14" s="6" t="inlineStr">
        <is>
          <t>New development sales</t>
        </is>
      </c>
      <c r="B14" s="18">
        <f>Assumptions!$C$7</f>
        <v/>
      </c>
      <c r="C14" s="18">
        <f>Assumptions!$D$7</f>
        <v/>
      </c>
      <c r="D14" s="18">
        <f>Assumptions!$E$7</f>
        <v/>
      </c>
      <c r="E14" s="18">
        <f>Assumptions!$F$7</f>
        <v/>
      </c>
      <c r="F14" s="18">
        <f>Assumptions!$G$7</f>
        <v/>
      </c>
    </row>
    <row r="15">
      <c r="A15" s="6" t="inlineStr">
        <is>
          <t>Development revenue recognised (conv × opening)</t>
        </is>
      </c>
      <c r="B15" s="17">
        <f>Assumptions!$C$6*B13</f>
        <v/>
      </c>
      <c r="C15" s="17">
        <f>Assumptions!$D$6*C13</f>
        <v/>
      </c>
      <c r="D15" s="17">
        <f>Assumptions!$E$6*D13</f>
        <v/>
      </c>
      <c r="E15" s="17">
        <f>Assumptions!$F$6*E13</f>
        <v/>
      </c>
      <c r="F15" s="17">
        <f>Assumptions!$G$6*F13</f>
        <v/>
      </c>
    </row>
    <row r="16">
      <c r="A16" s="6" t="inlineStr">
        <is>
          <t>Closing backlog</t>
        </is>
      </c>
      <c r="B16" s="17">
        <f>B13+B14-B15</f>
        <v/>
      </c>
      <c r="C16" s="17">
        <f>C13+C14-C15</f>
        <v/>
      </c>
      <c r="D16" s="17">
        <f>D13+D14-D15</f>
        <v/>
      </c>
      <c r="E16" s="17">
        <f>E13+E14-E15</f>
        <v/>
      </c>
      <c r="F16" s="17">
        <f>F13+F14-F15</f>
        <v/>
      </c>
    </row>
    <row r="17">
      <c r="A17" s="6" t="inlineStr">
        <is>
          <t>Land and plot sales</t>
        </is>
      </c>
      <c r="B17" s="18">
        <f>Assumptions!$C$8</f>
        <v/>
      </c>
      <c r="C17" s="18">
        <f>Assumptions!$D$8</f>
        <v/>
      </c>
      <c r="D17" s="18">
        <f>Assumptions!$E$8</f>
        <v/>
      </c>
      <c r="E17" s="18">
        <f>Assumptions!$F$8</f>
        <v/>
      </c>
      <c r="F17" s="18">
        <f>Assumptions!$G$8</f>
        <v/>
      </c>
    </row>
    <row r="18">
      <c r="A18" s="6" t="inlineStr">
        <is>
          <t>Real Estate Development revenue</t>
        </is>
      </c>
      <c r="B18" s="27">
        <f>B15+B17</f>
        <v/>
      </c>
      <c r="C18" s="27">
        <f>C15+C17</f>
        <v/>
      </c>
      <c r="D18" s="27">
        <f>D15+D17</f>
        <v/>
      </c>
      <c r="E18" s="27">
        <f>E15+E17</f>
        <v/>
      </c>
      <c r="F18" s="27">
        <f>F15+F17</f>
        <v/>
      </c>
    </row>
    <row r="20">
      <c r="A20" s="5" t="inlineStr">
        <is>
          <t>Segment revenue forecast</t>
        </is>
      </c>
      <c r="B20" s="5" t="inlineStr">
        <is>
          <t>FY26E</t>
        </is>
      </c>
      <c r="C20" s="5" t="inlineStr">
        <is>
          <t>FY27E</t>
        </is>
      </c>
      <c r="D20" s="5" t="inlineStr">
        <is>
          <t>FY28E</t>
        </is>
      </c>
      <c r="E20" s="5" t="inlineStr">
        <is>
          <t>FY29E</t>
        </is>
      </c>
      <c r="F20" s="5" t="inlineStr">
        <is>
          <t>FY30E</t>
        </is>
      </c>
    </row>
    <row r="21">
      <c r="A21" s="6" t="inlineStr">
        <is>
          <t>Real Estate Development</t>
        </is>
      </c>
      <c r="B21" s="17">
        <f>B18</f>
        <v/>
      </c>
      <c r="C21" s="17">
        <f>C18</f>
        <v/>
      </c>
      <c r="D21" s="17">
        <f>D18</f>
        <v/>
      </c>
      <c r="E21" s="17">
        <f>E18</f>
        <v/>
      </c>
      <c r="F21" s="17">
        <f>F18</f>
        <v/>
      </c>
    </row>
    <row r="22">
      <c r="A22" s="6" t="inlineStr">
        <is>
          <t>Asset &amp; Investment Management</t>
        </is>
      </c>
      <c r="B22" s="17">
        <f>B6*(1+Assumptions!$C$10)</f>
        <v/>
      </c>
      <c r="C22" s="17">
        <f>B22*(1+Assumptions!$D$10)</f>
        <v/>
      </c>
      <c r="D22" s="17">
        <f>C22*(1+Assumptions!$E$10)</f>
        <v/>
      </c>
      <c r="E22" s="17">
        <f>D22*(1+Assumptions!$F$10)</f>
        <v/>
      </c>
      <c r="F22" s="17">
        <f>E22*(1+Assumptions!$G$10)</f>
        <v/>
      </c>
    </row>
    <row r="23">
      <c r="A23" s="6" t="inlineStr">
        <is>
          <t>Hospitality</t>
        </is>
      </c>
      <c r="B23" s="17">
        <f>B7*(1+Assumptions!$C$12)</f>
        <v/>
      </c>
      <c r="C23" s="17">
        <f>B23*(1+Assumptions!$D$12)</f>
        <v/>
      </c>
      <c r="D23" s="17">
        <f>C23*(1+Assumptions!$E$12)</f>
        <v/>
      </c>
      <c r="E23" s="17">
        <f>D23*(1+Assumptions!$F$12)</f>
        <v/>
      </c>
      <c r="F23" s="17">
        <f>E23*(1+Assumptions!$G$12)</f>
        <v/>
      </c>
    </row>
    <row r="24">
      <c r="A24" s="6" t="inlineStr">
        <is>
          <t>Events, Catering &amp; Tourism</t>
        </is>
      </c>
      <c r="B24" s="17">
        <f>B8*(1+Assumptions!$C$14)</f>
        <v/>
      </c>
      <c r="C24" s="17">
        <f>B24*(1+Assumptions!$D$14)</f>
        <v/>
      </c>
      <c r="D24" s="17">
        <f>C24*(1+Assumptions!$E$14)</f>
        <v/>
      </c>
      <c r="E24" s="17">
        <f>D24*(1+Assumptions!$F$14)</f>
        <v/>
      </c>
      <c r="F24" s="17">
        <f>E24*(1+Assumptions!$G$14)</f>
        <v/>
      </c>
    </row>
    <row r="25">
      <c r="A25" s="6" t="inlineStr">
        <is>
          <t>Others / eliminations</t>
        </is>
      </c>
      <c r="B25" s="18">
        <f>Assumptions!$C$16</f>
        <v/>
      </c>
      <c r="C25" s="18">
        <f>Assumptions!$C$16</f>
        <v/>
      </c>
      <c r="D25" s="18">
        <f>Assumptions!$C$16</f>
        <v/>
      </c>
      <c r="E25" s="18">
        <f>Assumptions!$C$16</f>
        <v/>
      </c>
      <c r="F25" s="18">
        <f>Assumptions!$C$16</f>
        <v/>
      </c>
    </row>
    <row r="26">
      <c r="A26" s="6" t="inlineStr">
        <is>
          <t>Group revenue</t>
        </is>
      </c>
      <c r="B26" s="27">
        <f>SUM(B21:B25)</f>
        <v/>
      </c>
      <c r="C26" s="27">
        <f>SUM(C21:C25)</f>
        <v/>
      </c>
      <c r="D26" s="27">
        <f>SUM(D21:D25)</f>
        <v/>
      </c>
      <c r="E26" s="27">
        <f>SUM(E21:E25)</f>
        <v/>
      </c>
      <c r="F26" s="27">
        <f>SUM(F21:F25)</f>
        <v/>
      </c>
    </row>
    <row r="28">
      <c r="A28" s="5" t="inlineStr">
        <is>
          <t>Gross profit build (margin × revenue)</t>
        </is>
      </c>
      <c r="B28" s="5" t="inlineStr">
        <is>
          <t>FY26E</t>
        </is>
      </c>
      <c r="C28" s="5" t="inlineStr">
        <is>
          <t>FY27E</t>
        </is>
      </c>
      <c r="D28" s="5" t="inlineStr">
        <is>
          <t>FY28E</t>
        </is>
      </c>
      <c r="E28" s="5" t="inlineStr">
        <is>
          <t>FY29E</t>
        </is>
      </c>
      <c r="F28" s="5" t="inlineStr">
        <is>
          <t>FY30E</t>
        </is>
      </c>
    </row>
    <row r="29">
      <c r="A29" s="6" t="inlineStr">
        <is>
          <t>Real Estate Development</t>
        </is>
      </c>
      <c r="B29" s="17">
        <f>B21*Assumptions!$C$9</f>
        <v/>
      </c>
      <c r="C29" s="17">
        <f>C21*Assumptions!$D$9</f>
        <v/>
      </c>
      <c r="D29" s="17">
        <f>D21*Assumptions!$E$9</f>
        <v/>
      </c>
      <c r="E29" s="17">
        <f>E21*Assumptions!$F$9</f>
        <v/>
      </c>
      <c r="F29" s="17">
        <f>F21*Assumptions!$G$9</f>
        <v/>
      </c>
    </row>
    <row r="30">
      <c r="A30" s="6" t="inlineStr">
        <is>
          <t>Asset &amp; Investment Management</t>
        </is>
      </c>
      <c r="B30" s="17">
        <f>B22*Assumptions!$C$11</f>
        <v/>
      </c>
      <c r="C30" s="17">
        <f>C22*Assumptions!$D$11</f>
        <v/>
      </c>
      <c r="D30" s="17">
        <f>D22*Assumptions!$E$11</f>
        <v/>
      </c>
      <c r="E30" s="17">
        <f>E22*Assumptions!$F$11</f>
        <v/>
      </c>
      <c r="F30" s="17">
        <f>F22*Assumptions!$G$11</f>
        <v/>
      </c>
    </row>
    <row r="31">
      <c r="A31" s="6" t="inlineStr">
        <is>
          <t>Hospitality</t>
        </is>
      </c>
      <c r="B31" s="17">
        <f>B23*Assumptions!$C$13</f>
        <v/>
      </c>
      <c r="C31" s="17">
        <f>C23*Assumptions!$D$13</f>
        <v/>
      </c>
      <c r="D31" s="17">
        <f>D23*Assumptions!$E$13</f>
        <v/>
      </c>
      <c r="E31" s="17">
        <f>E23*Assumptions!$F$13</f>
        <v/>
      </c>
      <c r="F31" s="17">
        <f>F23*Assumptions!$G$13</f>
        <v/>
      </c>
    </row>
    <row r="32">
      <c r="A32" s="6" t="inlineStr">
        <is>
          <t>Events, Catering &amp; Tourism</t>
        </is>
      </c>
      <c r="B32" s="17">
        <f>B24*Assumptions!$C$15</f>
        <v/>
      </c>
      <c r="C32" s="17">
        <f>C24*Assumptions!$D$15</f>
        <v/>
      </c>
      <c r="D32" s="17">
        <f>D24*Assumptions!$E$15</f>
        <v/>
      </c>
      <c r="E32" s="17">
        <f>E24*Assumptions!$F$15</f>
        <v/>
      </c>
      <c r="F32" s="17">
        <f>F24*Assumptions!$G$15</f>
        <v/>
      </c>
    </row>
    <row r="33">
      <c r="A33" s="6" t="inlineStr">
        <is>
          <t>Others</t>
        </is>
      </c>
      <c r="B33" s="18">
        <f>Assumptions!$C$17</f>
        <v/>
      </c>
      <c r="C33" s="18">
        <f>Assumptions!$C$17</f>
        <v/>
      </c>
      <c r="D33" s="18">
        <f>Assumptions!$C$17</f>
        <v/>
      </c>
      <c r="E33" s="18">
        <f>Assumptions!$C$17</f>
        <v/>
      </c>
      <c r="F33" s="18">
        <f>Assumptions!$C$17</f>
        <v/>
      </c>
    </row>
    <row r="34">
      <c r="A34" s="6" t="inlineStr">
        <is>
          <t>Group gross profit</t>
        </is>
      </c>
      <c r="B34" s="27">
        <f>SUM(B29:B33)</f>
        <v/>
      </c>
      <c r="C34" s="27">
        <f>SUM(C29:C33)</f>
        <v/>
      </c>
      <c r="D34" s="27">
        <f>SUM(D29:D33)</f>
        <v/>
      </c>
      <c r="E34" s="27">
        <f>SUM(E29:E33)</f>
        <v/>
      </c>
      <c r="F34" s="27">
        <f>SUM(F29:F33)</f>
        <v/>
      </c>
    </row>
    <row r="35">
      <c r="A35" s="6" t="inlineStr">
        <is>
          <t>Group gross margin (output)</t>
        </is>
      </c>
      <c r="B35" s="11">
        <f>B34/B26</f>
        <v/>
      </c>
      <c r="C35" s="11">
        <f>C34/C26</f>
        <v/>
      </c>
      <c r="D35" s="11">
        <f>D34/D26</f>
        <v/>
      </c>
      <c r="E35" s="11">
        <f>E34/E26</f>
        <v/>
      </c>
      <c r="F35" s="11">
        <f>F34/F26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Relative multiples · normalised earnings power · book value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Peer figures are cross-checks from the peers' own releases (pasted, labelled); every implied value is a formula</t>
        </is>
      </c>
    </row>
    <row r="4">
      <c r="A4" s="5" t="inlineStr">
        <is>
          <t>Relative multiples</t>
        </is>
      </c>
      <c r="B4" s="5" t="inlineStr">
        <is>
          <t>Value</t>
        </is>
      </c>
    </row>
    <row r="5">
      <c r="A5" s="6" t="inlineStr">
        <is>
          <t>FY2026E attributable profit (AED mn)</t>
        </is>
      </c>
      <c r="C5" s="18">
        <f>'Income Statement'!E17</f>
        <v/>
      </c>
    </row>
    <row r="6">
      <c r="A6" s="6" t="inlineStr">
        <is>
          <t>Justified P/E × FY2026E EPS</t>
        </is>
      </c>
      <c r="C6" s="10">
        <f>Assumptions!$C$51*C5/Assumptions!$C$5</f>
        <v/>
      </c>
    </row>
    <row r="7">
      <c r="A7" s="6" t="inlineStr">
        <is>
          <t>FY2026E EBITDA (AED mn)</t>
        </is>
      </c>
      <c r="C7" s="18">
        <f>DCF!B13</f>
        <v/>
      </c>
    </row>
    <row r="8">
      <c r="A8" s="6" t="inlineStr">
        <is>
          <t>Justified EV/EBITDA → EV</t>
        </is>
      </c>
      <c r="C8" s="17">
        <f>Assumptions!$C$52*C7</f>
        <v/>
      </c>
    </row>
    <row r="9">
      <c r="A9" s="6" t="inlineStr">
        <is>
          <t>→ equity per share through the same bridge</t>
        </is>
      </c>
      <c r="C9" s="10">
        <f>(C8+Assumptions!$C$42-Assumptions!$C$43-Assumptions!$C$44+Assumptions!$C$45+Assumptions!$C$46-Assumptions!$C$47)/Assumptions!$C$5</f>
        <v/>
      </c>
    </row>
    <row r="11">
      <c r="A11" s="12" t="inlineStr">
        <is>
          <t>Relative lens (mean of the two)</t>
        </is>
      </c>
      <c r="B11" s="15" t="n"/>
      <c r="C11" s="13">
        <f>AVERAGE(C6,C9)</f>
        <v/>
      </c>
      <c r="D11" s="15" t="n"/>
      <c r="E11" s="15" t="n"/>
      <c r="F11" s="15" t="n"/>
      <c r="G11" s="15" t="n"/>
    </row>
    <row r="12">
      <c r="A12" s="6" t="inlineStr">
        <is>
          <t>bear / bull (blended lens scaled to the 4.08x floor · 9.5x ceiling)</t>
        </is>
      </c>
      <c r="C12" s="10">
        <f>C11*4.08/Assumptions!$C$51</f>
        <v/>
      </c>
      <c r="D12" s="10">
        <f>C11*9.5/Assumptions!$C$51</f>
        <v/>
      </c>
    </row>
    <row r="14">
      <c r="A14" s="5" t="inlineStr">
        <is>
          <t>Trailing cross-checks (formulas on disclosed figures)</t>
        </is>
      </c>
      <c r="B14" s="5" t="inlineStr">
        <is>
          <t>Value</t>
        </is>
      </c>
    </row>
    <row r="15">
      <c r="A15" s="6" t="inlineStr">
        <is>
          <t>Trailing P/E on FY2025 profit</t>
        </is>
      </c>
      <c r="C15" s="28">
        <f>DCF!C27/3925.705</f>
        <v/>
      </c>
    </row>
    <row r="16">
      <c r="A16" s="6" t="inlineStr">
        <is>
          <t>Trailing EV/EBITDA (EV = mktcap + net debt)</t>
        </is>
      </c>
      <c r="C16" s="28">
        <f>(DCF!C27+Assumptions!$C$43-Assumptions!$C$42)/4895.552000000001</f>
        <v/>
      </c>
    </row>
    <row r="18">
      <c r="A18" s="5" t="inlineStr">
        <is>
          <t>Normalised earnings power</t>
        </is>
      </c>
      <c r="B18" s="5" t="inlineStr">
        <is>
          <t>Value</t>
        </is>
      </c>
    </row>
    <row r="19">
      <c r="A19" s="6" t="inlineStr">
        <is>
          <t>Through-cycle development sales → recognised revenue (85%)</t>
        </is>
      </c>
      <c r="C19" s="17">
        <f>Assumptions!$C$53*0.85+(654.658+791.771+5008.749)*1.15</f>
        <v/>
      </c>
    </row>
    <row r="20">
      <c r="A20" s="6" t="inlineStr">
        <is>
          <t>Through-cycle net margin</t>
        </is>
      </c>
      <c r="C20" s="9">
        <f>Assumptions!$C$54</f>
        <v/>
      </c>
    </row>
    <row r="21">
      <c r="A21" s="6" t="inlineStr">
        <is>
          <t>Normalised net profit</t>
        </is>
      </c>
      <c r="C21" s="17">
        <f>C19*C20</f>
        <v/>
      </c>
    </row>
    <row r="22">
      <c r="A22" s="6" t="inlineStr">
        <is>
          <t>Normalised EPS</t>
        </is>
      </c>
      <c r="C22" s="10">
        <f>C21/Assumptions!$C$5</f>
        <v/>
      </c>
    </row>
    <row r="28">
      <c r="A28" s="22" t="inlineStr">
        <is>
          <t>Normalised lens = EPS × through-cycle P/E</t>
        </is>
      </c>
      <c r="C28" s="23">
        <f>C22*Assumptions!$C$55</f>
        <v/>
      </c>
      <c r="E28" s="10">
        <f>C22*6</f>
        <v/>
      </c>
      <c r="F28" s="10">
        <f>C22*10.5</f>
        <v/>
      </c>
    </row>
    <row r="30">
      <c r="A30" s="5" t="inlineStr">
        <is>
          <t>Book value &amp; sustainable return</t>
        </is>
      </c>
      <c r="B30" s="5" t="inlineStr">
        <is>
          <t>Value</t>
        </is>
      </c>
    </row>
    <row r="31">
      <c r="A31" s="6" t="inlineStr">
        <is>
          <t>Book value per share (audited FY2025 attributable equity)</t>
        </is>
      </c>
      <c r="C31" s="10">
        <f>Assumptions!$C$48/Assumptions!$C$5</f>
        <v/>
      </c>
    </row>
    <row r="32">
      <c r="A32" s="6" t="inlineStr">
        <is>
          <t>Justified P/B = (ROE − g)/(Ke − g)</t>
        </is>
      </c>
      <c r="C32" s="28">
        <f>(Assumptions!$C$56-Assumptions!$C$38)/(DCF!C24-Assumptions!$C$38)</f>
        <v/>
      </c>
    </row>
    <row r="36">
      <c r="A36" s="22" t="inlineStr">
        <is>
          <t>Book lens = BVPS × justified P/B</t>
        </is>
      </c>
      <c r="C36" s="23">
        <f>C31*C32</f>
        <v/>
      </c>
      <c r="E36" s="10">
        <f>C31*((0.055-Assumptions!$C$38)/(DCF!C24-Assumptions!$C$38))</f>
        <v/>
      </c>
      <c r="F36" s="10">
        <f>C31*((0.095-Assumptions!$C$38)/(DCF!C24-Assumptions!$C$38))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DCF — waterfall, cost of capital build, terminal block, bridge to per-share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Chains live off Segments and Assumptions; the three engine alternatives are labelled pastes</t>
        </is>
      </c>
    </row>
    <row r="4">
      <c r="A4" s="5" t="inlineStr">
        <is>
          <t>Waterfall (AED mn)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Revenue</t>
        </is>
      </c>
      <c r="B5" s="18">
        <f>Segments!B26</f>
        <v/>
      </c>
      <c r="C5" s="18">
        <f>Segments!C26</f>
        <v/>
      </c>
      <c r="D5" s="18">
        <f>Segments!D26</f>
        <v/>
      </c>
      <c r="E5" s="18">
        <f>Segments!E26</f>
        <v/>
      </c>
      <c r="F5" s="18">
        <f>Segments!F26</f>
        <v/>
      </c>
    </row>
    <row r="6">
      <c r="A6" s="6" t="inlineStr">
        <is>
          <t>Gross profit</t>
        </is>
      </c>
      <c r="B6" s="18">
        <f>Segments!B34</f>
        <v/>
      </c>
      <c r="C6" s="18">
        <f>Segments!C34</f>
        <v/>
      </c>
      <c r="D6" s="18">
        <f>Segments!D34</f>
        <v/>
      </c>
      <c r="E6" s="18">
        <f>Segments!E34</f>
        <v/>
      </c>
      <c r="F6" s="18">
        <f>Segments!F34</f>
        <v/>
      </c>
    </row>
    <row r="7">
      <c r="A7" s="6" t="inlineStr">
        <is>
          <t>General &amp; administrative</t>
        </is>
      </c>
      <c r="B7" s="17">
        <f>-Assumptions!$C$18*B5</f>
        <v/>
      </c>
      <c r="C7" s="17">
        <f>-Assumptions!$D$18*C5</f>
        <v/>
      </c>
      <c r="D7" s="17">
        <f>-Assumptions!$E$18*D5</f>
        <v/>
      </c>
      <c r="E7" s="17">
        <f>-Assumptions!$F$18*E5</f>
        <v/>
      </c>
      <c r="F7" s="17">
        <f>-Assumptions!$G$18*F5</f>
        <v/>
      </c>
    </row>
    <row r="8">
      <c r="A8" s="6" t="inlineStr">
        <is>
          <t>Selling &amp; marketing</t>
        </is>
      </c>
      <c r="B8" s="17">
        <f>-Assumptions!$C$19*B5</f>
        <v/>
      </c>
      <c r="C8" s="17">
        <f>-Assumptions!$D$19*C5</f>
        <v/>
      </c>
      <c r="D8" s="17">
        <f>-Assumptions!$E$19*D5</f>
        <v/>
      </c>
      <c r="E8" s="17">
        <f>-Assumptions!$F$19*E5</f>
        <v/>
      </c>
      <c r="F8" s="17">
        <f>-Assumptions!$G$19*F5</f>
        <v/>
      </c>
    </row>
    <row r="9">
      <c r="A9" s="6" t="inlineStr">
        <is>
          <t>Investment and other income</t>
        </is>
      </c>
      <c r="B9" s="18">
        <f>Assumptions!$C$20</f>
        <v/>
      </c>
      <c r="C9" s="18">
        <f>Assumptions!$D$20</f>
        <v/>
      </c>
      <c r="D9" s="18">
        <f>Assumptions!$E$20</f>
        <v/>
      </c>
      <c r="E9" s="18">
        <f>Assumptions!$F$20</f>
        <v/>
      </c>
      <c r="F9" s="18">
        <f>Assumptions!$G$20</f>
        <v/>
      </c>
    </row>
    <row r="10">
      <c r="A10" s="6" t="inlineStr">
        <is>
          <t>EBIT (post-D&amp;A, ex-fair-value items)</t>
        </is>
      </c>
      <c r="B10" s="27">
        <f>SUM(B6:B9)</f>
        <v/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</row>
    <row r="11">
      <c r="A11" s="6" t="inlineStr">
        <is>
          <t>EBITDA margin (output)</t>
        </is>
      </c>
      <c r="B11" s="11">
        <f>(B10+B12)/B5</f>
        <v/>
      </c>
      <c r="C11" s="11">
        <f>(C10+C12)/C5</f>
        <v/>
      </c>
      <c r="D11" s="11">
        <f>(D10+D12)/D5</f>
        <v/>
      </c>
      <c r="E11" s="11">
        <f>(E10+E12)/E5</f>
        <v/>
      </c>
      <c r="F11" s="11">
        <f>(F10+F12)/F5</f>
        <v/>
      </c>
    </row>
    <row r="12">
      <c r="A12" s="6" t="inlineStr">
        <is>
          <t>Depreciation &amp; amortisation</t>
        </is>
      </c>
      <c r="B12" s="17">
        <f>Assumptions!$C$21*B5</f>
        <v/>
      </c>
      <c r="C12" s="17">
        <f>Assumptions!$C$21*C5</f>
        <v/>
      </c>
      <c r="D12" s="17">
        <f>Assumptions!$C$21*D5</f>
        <v/>
      </c>
      <c r="E12" s="17">
        <f>Assumptions!$C$21*E5</f>
        <v/>
      </c>
      <c r="F12" s="17">
        <f>Assumptions!$C$21*F5</f>
        <v/>
      </c>
    </row>
    <row r="13">
      <c r="A13" s="6" t="inlineStr">
        <is>
          <t>EBITDA</t>
        </is>
      </c>
      <c r="B13" s="17">
        <f>B10+B12</f>
        <v/>
      </c>
      <c r="C13" s="17">
        <f>C10+C12</f>
        <v/>
      </c>
      <c r="D13" s="17">
        <f>D10+D12</f>
        <v/>
      </c>
      <c r="E13" s="17">
        <f>E10+E12</f>
        <v/>
      </c>
      <c r="F13" s="17">
        <f>F10+F12</f>
        <v/>
      </c>
    </row>
    <row r="14">
      <c r="A14" s="6" t="inlineStr">
        <is>
          <t>NOPAT = EBIT × (1 − t)</t>
        </is>
      </c>
      <c r="B14" s="17">
        <f>B10*(1-Assumptions!$C$24)</f>
        <v/>
      </c>
      <c r="C14" s="17">
        <f>C10*(1-Assumptions!$C$24)</f>
        <v/>
      </c>
      <c r="D14" s="17">
        <f>D10*(1-Assumptions!$C$24)</f>
        <v/>
      </c>
      <c r="E14" s="17">
        <f>E10*(1-Assumptions!$C$24)</f>
        <v/>
      </c>
      <c r="F14" s="17">
        <f>F10*(1-Assumptions!$C$24)</f>
        <v/>
      </c>
    </row>
    <row r="15">
      <c r="A15" s="6" t="inlineStr">
        <is>
          <t>+ D&amp;A</t>
        </is>
      </c>
      <c r="B15" s="17">
        <f>B12</f>
        <v/>
      </c>
      <c r="C15" s="17">
        <f>C12</f>
        <v/>
      </c>
      <c r="D15" s="17">
        <f>D12</f>
        <v/>
      </c>
      <c r="E15" s="17">
        <f>E12</f>
        <v/>
      </c>
      <c r="F15" s="17">
        <f>F12</f>
        <v/>
      </c>
    </row>
    <row r="16">
      <c r="A16" s="6" t="inlineStr">
        <is>
          <t>− Capital expenditure</t>
        </is>
      </c>
      <c r="B16" s="17">
        <f>-Assumptions!$C$22</f>
        <v/>
      </c>
      <c r="C16" s="17">
        <f>-Assumptions!$D$22</f>
        <v/>
      </c>
      <c r="D16" s="17">
        <f>-Assumptions!$E$22</f>
        <v/>
      </c>
      <c r="E16" s="17">
        <f>-Assumptions!$F$22</f>
        <v/>
      </c>
      <c r="F16" s="17">
        <f>-Assumptions!$G$22</f>
        <v/>
      </c>
    </row>
    <row r="17">
      <c r="A17" s="6" t="inlineStr">
        <is>
          <t>− Δ working capital (release enters +)</t>
        </is>
      </c>
      <c r="B17" s="18">
        <f>Assumptions!$C$23</f>
        <v/>
      </c>
      <c r="C17" s="18">
        <f>Assumptions!$D$23</f>
        <v/>
      </c>
      <c r="D17" s="18">
        <f>Assumptions!$E$23</f>
        <v/>
      </c>
      <c r="E17" s="18">
        <f>Assumptions!$F$23</f>
        <v/>
      </c>
      <c r="F17" s="18">
        <f>Assumptions!$G$23</f>
        <v/>
      </c>
    </row>
    <row r="18">
      <c r="A18" s="6" t="inlineStr">
        <is>
          <t>Free cash flow to firm</t>
        </is>
      </c>
      <c r="B18" s="27">
        <f>SUM(B14:B17)</f>
        <v/>
      </c>
      <c r="C18" s="27">
        <f>SUM(C14:C17)</f>
        <v/>
      </c>
      <c r="D18" s="27">
        <f>SUM(D14:D17)</f>
        <v/>
      </c>
      <c r="E18" s="27">
        <f>SUM(E14:E17)</f>
        <v/>
      </c>
      <c r="F18" s="27">
        <f>SUM(F14:F17)</f>
        <v/>
      </c>
    </row>
    <row r="19">
      <c r="A19" s="6" t="inlineStr">
        <is>
          <t>Discount factor</t>
        </is>
      </c>
      <c r="B19" s="29">
        <f>1/(1+$C$30)^1</f>
        <v/>
      </c>
      <c r="C19" s="29">
        <f>1/(1+$C$30)^2</f>
        <v/>
      </c>
      <c r="D19" s="29">
        <f>1/(1+$C$30)^3</f>
        <v/>
      </c>
      <c r="E19" s="29">
        <f>1/(1+$C$30)^4</f>
        <v/>
      </c>
      <c r="F19" s="29">
        <f>1/(1+$C$30)^5</f>
        <v/>
      </c>
    </row>
    <row r="20">
      <c r="A20" s="6" t="inlineStr">
        <is>
          <t>PV of FCFF</t>
        </is>
      </c>
      <c r="B20" s="17">
        <f>B18*B19</f>
        <v/>
      </c>
      <c r="C20" s="17">
        <f>C18*C19</f>
        <v/>
      </c>
      <c r="D20" s="17">
        <f>D18*D19</f>
        <v/>
      </c>
      <c r="E20" s="17">
        <f>E18*E19</f>
        <v/>
      </c>
      <c r="F20" s="17">
        <f>F18*F19</f>
        <v/>
      </c>
    </row>
    <row r="22">
      <c r="A22" s="12" t="inlineStr">
        <is>
          <t>Cost of capital — built on the sheet, never pasted</t>
        </is>
      </c>
      <c r="B22" s="15" t="n"/>
      <c r="C22" s="15" t="n"/>
      <c r="D22" s="15" t="n"/>
      <c r="E22" s="15" t="n"/>
      <c r="F22" s="15" t="n"/>
      <c r="G22" s="15" t="n"/>
      <c r="H22" s="15" t="n"/>
    </row>
    <row r="23">
      <c r="A23" s="6" t="inlineStr">
        <is>
          <t>Normalised risk-free rate rf* = AED yield − sovereign spread</t>
        </is>
      </c>
      <c r="C23" s="20">
        <f>Assumptions!$C$31-Assumptions!$C$32</f>
        <v/>
      </c>
    </row>
    <row r="24">
      <c r="A24" s="6" t="inlineStr">
        <is>
          <t>Cost of equity Ke = rf* + β × ERP</t>
        </is>
      </c>
      <c r="C24" s="30">
        <f>C23+Assumptions!$C$34*Assumptions!$C$33</f>
        <v/>
      </c>
    </row>
    <row r="25">
      <c r="A25" s="6" t="inlineStr">
        <is>
          <t>Marginal cost of debt Kd = 6M EIBOR + margin</t>
        </is>
      </c>
      <c r="C25" s="30">
        <f>Assumptions!$C$35+Assumptions!$C$36</f>
        <v/>
      </c>
    </row>
    <row r="26">
      <c r="A26" s="6" t="inlineStr">
        <is>
          <t>Kd after tax</t>
        </is>
      </c>
      <c r="C26" s="30">
        <f>C25*(1-Assumptions!$C$24)</f>
        <v/>
      </c>
    </row>
    <row r="27">
      <c r="A27" s="6" t="inlineStr">
        <is>
          <t>Market capitalisation (spot × shares)</t>
        </is>
      </c>
      <c r="C27" s="17">
        <f>Assumptions!$C$4*Assumptions!$C$5</f>
        <v/>
      </c>
    </row>
    <row r="28">
      <c r="A28" s="6" t="inlineStr">
        <is>
          <t>Equity weight  E/(E+D)</t>
        </is>
      </c>
      <c r="C28" s="30">
        <f>C27/(C27+Assumptions!$C$43)</f>
        <v/>
      </c>
    </row>
    <row r="29">
      <c r="A29" s="6" t="inlineStr">
        <is>
          <t>Debt weight  D/(E+D), book debt at market</t>
        </is>
      </c>
      <c r="C29" s="30">
        <f>1-C28</f>
        <v/>
      </c>
    </row>
    <row r="30">
      <c r="A30" s="6" t="inlineStr">
        <is>
          <t>Cost of capital (explicit window)</t>
        </is>
      </c>
      <c r="C30" s="31">
        <f>C28*C24+C29*C26</f>
        <v/>
      </c>
    </row>
    <row r="31">
      <c r="A31" s="6" t="inlineStr">
        <is>
          <t>Terminal cost of capital (terminal weights)</t>
        </is>
      </c>
      <c r="C31" s="31">
        <f>(1-Assumptions!$C$37)*C24+Assumptions!$C$37*C25*(1-Assumptions!$C$24)</f>
        <v/>
      </c>
    </row>
    <row r="33">
      <c r="A33" s="12" t="inlineStr">
        <is>
          <t>Terminal block — reinvestment derived, never typed</t>
        </is>
      </c>
      <c r="B33" s="15" t="n"/>
      <c r="C33" s="15" t="n"/>
      <c r="D33" s="15" t="n"/>
      <c r="E33" s="15" t="n"/>
      <c r="F33" s="15" t="n"/>
      <c r="G33" s="15" t="n"/>
      <c r="H33" s="15" t="n"/>
    </row>
    <row r="34">
      <c r="A34" s="6" t="inlineStr">
        <is>
          <t>Terminal growth g</t>
        </is>
      </c>
      <c r="C34" s="20">
        <f>Assumptions!$C$38</f>
        <v/>
      </c>
    </row>
    <row r="35">
      <c r="A35" s="6" t="inlineStr">
        <is>
          <t>Terminal return on invested capital</t>
        </is>
      </c>
      <c r="C35" s="20">
        <f>Assumptions!$C$39</f>
        <v/>
      </c>
    </row>
    <row r="36">
      <c r="A36" s="6" t="inlineStr">
        <is>
          <t>Reinvestment rate = g / ROIC</t>
        </is>
      </c>
      <c r="C36" s="30">
        <f>C34/C35</f>
        <v/>
      </c>
    </row>
    <row r="37">
      <c r="A37" s="6" t="inlineStr">
        <is>
          <t>Terminal NOPAT = FY2030E NOPAT × (1+g)</t>
        </is>
      </c>
      <c r="C37" s="17">
        <f>F14*(1+C34)</f>
        <v/>
      </c>
    </row>
    <row r="38">
      <c r="A38" s="6" t="inlineStr">
        <is>
          <t>Terminal value = NOPAT × (1−RR) / (WACCterm − g)</t>
        </is>
      </c>
      <c r="C38" s="17">
        <f>C37*(1-C36)/(C31-C34)</f>
        <v/>
      </c>
    </row>
    <row r="39">
      <c r="A39" s="6" t="inlineStr">
        <is>
          <t>PV of terminal value (year-5 factor)</t>
        </is>
      </c>
      <c r="C39" s="17">
        <f>C38*F19</f>
        <v/>
      </c>
    </row>
    <row r="40">
      <c r="A40" s="6" t="inlineStr">
        <is>
          <t>PV of explicit years</t>
        </is>
      </c>
      <c r="C40" s="17">
        <f>SUM(B20:F20)</f>
        <v/>
      </c>
    </row>
    <row r="41">
      <c r="A41" s="6" t="inlineStr">
        <is>
          <t>Enterprise value</t>
        </is>
      </c>
      <c r="C41" s="27">
        <f>C39+C40</f>
        <v/>
      </c>
    </row>
    <row r="42">
      <c r="A42" s="6" t="inlineStr">
        <is>
          <t>Terminal value share of enterprise value</t>
        </is>
      </c>
      <c r="C42" s="32">
        <f>C39/C41</f>
        <v/>
      </c>
    </row>
    <row r="44">
      <c r="A44" s="12" t="inlineStr">
        <is>
          <t>EV → equity bridge (31-Dec-2025, audited anchors)</t>
        </is>
      </c>
      <c r="B44" s="15" t="n"/>
      <c r="C44" s="15" t="n"/>
      <c r="D44" s="15" t="n"/>
      <c r="E44" s="15" t="n"/>
      <c r="F44" s="15" t="n"/>
      <c r="G44" s="15" t="n"/>
      <c r="H44" s="15" t="n"/>
    </row>
    <row r="45">
      <c r="A45" s="6" t="inlineStr">
        <is>
          <t>+ Cash and bank balances</t>
        </is>
      </c>
      <c r="C45" s="18">
        <f>Assumptions!$C$42</f>
        <v/>
      </c>
    </row>
    <row r="46">
      <c r="A46" s="6" t="inlineStr">
        <is>
          <t>− Gross debt incl. related-party loan</t>
        </is>
      </c>
      <c r="C46" s="18">
        <f>-Assumptions!$C$43</f>
        <v/>
      </c>
    </row>
    <row r="47">
      <c r="A47" s="6" t="inlineStr">
        <is>
          <t>− Lease liabilities</t>
        </is>
      </c>
      <c r="C47" s="18">
        <f>-Assumptions!$C$44</f>
        <v/>
      </c>
    </row>
    <row r="48">
      <c r="A48" s="6" t="inlineStr">
        <is>
          <t>+ Associates &amp; JVs at carrying value</t>
        </is>
      </c>
      <c r="C48" s="18">
        <f>Assumptions!$C$45</f>
        <v/>
      </c>
    </row>
    <row r="49">
      <c r="A49" s="6" t="inlineStr">
        <is>
          <t>+ Investments in financial assets</t>
        </is>
      </c>
      <c r="C49" s="18">
        <f>Assumptions!$C$46</f>
        <v/>
      </c>
    </row>
    <row r="50">
      <c r="A50" s="6" t="inlineStr">
        <is>
          <t>− Non-controlling interests (book)</t>
        </is>
      </c>
      <c r="C50" s="18">
        <f>-Assumptions!$C$47</f>
        <v/>
      </c>
    </row>
    <row r="51">
      <c r="A51" s="6" t="inlineStr">
        <is>
          <t>Equity value attributable (31-Dec-2025)</t>
        </is>
      </c>
      <c r="C51" s="27">
        <f>C41+SUM(C45:C50)</f>
        <v/>
      </c>
    </row>
    <row r="52">
      <c r="A52" s="6" t="inlineStr">
        <is>
          <t>Fair value per share at 31-Dec-2025</t>
        </is>
      </c>
      <c r="C52" s="23">
        <f>C51/Assumptions!$C$5</f>
        <v/>
      </c>
    </row>
    <row r="53">
      <c r="A53" s="6" t="inlineStr">
        <is>
          <t>Anchor accretion factor (1+Ke)^(days/365)</t>
        </is>
      </c>
      <c r="C53" s="29">
        <f>(1+C24)^(Assumptions!$C$40/365)</f>
        <v/>
      </c>
    </row>
    <row r="54">
      <c r="A54" s="6" t="inlineStr">
        <is>
          <t>Fair value per share at the 7-Aug-2026 anchor</t>
        </is>
      </c>
      <c r="C54" s="23">
        <f>C52*C53</f>
        <v/>
      </c>
    </row>
    <row r="56">
      <c r="A56" s="6" t="inlineStr">
        <is>
          <t>Scenario re-runs (engine outputs, pasted): backlog run-off / growth-hold / Egypt stress</t>
        </is>
      </c>
      <c r="C56" s="7" t="n">
        <v>4.179391161327742</v>
      </c>
      <c r="D56" s="7" t="n">
        <v>7.393430194946205</v>
      </c>
      <c r="E56" s="7" t="n">
        <v>5.086676693032556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Income statement — 3 years audited + 5 years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FY2023 is the Q Holding perimeter; FY2024 contains the AED 9,192mn bargain-purchase gain (dual-framed)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Revenue</t>
        </is>
      </c>
      <c r="B5" s="19" t="n">
        <v>994.293</v>
      </c>
      <c r="C5" s="19" t="n">
        <v>6511.182</v>
      </c>
      <c r="D5" s="19" t="n">
        <v>13828.869</v>
      </c>
      <c r="E5" s="18">
        <f>DCF!B5</f>
        <v/>
      </c>
      <c r="F5" s="18">
        <f>DCF!C5</f>
        <v/>
      </c>
      <c r="G5" s="18">
        <f>DCF!D5</f>
        <v/>
      </c>
      <c r="H5" s="18">
        <f>DCF!E5</f>
        <v/>
      </c>
      <c r="I5" s="18">
        <f>DCF!F5</f>
        <v/>
      </c>
    </row>
    <row r="6">
      <c r="A6" s="6" t="inlineStr">
        <is>
          <t>Gross profit</t>
        </is>
      </c>
      <c r="B6" s="19" t="n">
        <v>599.559</v>
      </c>
      <c r="C6" s="19" t="n">
        <v>2316.507</v>
      </c>
      <c r="D6" s="19" t="n">
        <v>5025.259</v>
      </c>
      <c r="E6" s="18">
        <f>DCF!B6</f>
        <v/>
      </c>
      <c r="F6" s="18">
        <f>DCF!C6</f>
        <v/>
      </c>
      <c r="G6" s="18">
        <f>DCF!D6</f>
        <v/>
      </c>
      <c r="H6" s="18">
        <f>DCF!E6</f>
        <v/>
      </c>
      <c r="I6" s="18">
        <f>DCF!F6</f>
        <v/>
      </c>
    </row>
    <row r="7">
      <c r="A7" s="6" t="inlineStr">
        <is>
          <t>EBITDA (house)</t>
        </is>
      </c>
      <c r="B7" s="19" t="n">
        <v>673.3530000000001</v>
      </c>
      <c r="C7" s="19" t="n">
        <v>9794.941999999999</v>
      </c>
      <c r="D7" s="19" t="n">
        <v>4895.552000000001</v>
      </c>
      <c r="E7" s="18">
        <f>DCF!B13</f>
        <v/>
      </c>
      <c r="F7" s="18">
        <f>DCF!C13</f>
        <v/>
      </c>
      <c r="G7" s="18">
        <f>DCF!D13</f>
        <v/>
      </c>
      <c r="H7" s="18">
        <f>DCF!E13</f>
        <v/>
      </c>
      <c r="I7" s="18">
        <f>DCF!F13</f>
        <v/>
      </c>
    </row>
    <row r="8">
      <c r="A8" s="6" t="inlineStr">
        <is>
          <t>EBITDA margin</t>
        </is>
      </c>
      <c r="B8" s="11">
        <f>B7/B5</f>
        <v/>
      </c>
      <c r="C8" s="11">
        <f>C7/C5</f>
        <v/>
      </c>
      <c r="D8" s="11">
        <f>D7/D5</f>
        <v/>
      </c>
      <c r="E8" s="11">
        <f>E7/E5</f>
        <v/>
      </c>
      <c r="F8" s="11">
        <f>F7/F5</f>
        <v/>
      </c>
      <c r="G8" s="11">
        <f>G7/G5</f>
        <v/>
      </c>
      <c r="H8" s="11">
        <f>H7/H5</f>
        <v/>
      </c>
      <c r="I8" s="11">
        <f>I7/I5</f>
        <v/>
      </c>
    </row>
    <row r="9">
      <c r="A9" s="6" t="inlineStr">
        <is>
          <t>Depreciation &amp; amortisation</t>
        </is>
      </c>
      <c r="B9" s="19" t="n">
        <v>27.719</v>
      </c>
      <c r="C9" s="19" t="n">
        <v>265.122</v>
      </c>
      <c r="D9" s="19" t="n">
        <v>610.4829999999999</v>
      </c>
      <c r="E9" s="18">
        <f>DCF!B12</f>
        <v/>
      </c>
      <c r="F9" s="18">
        <f>DCF!C12</f>
        <v/>
      </c>
      <c r="G9" s="18">
        <f>DCF!D12</f>
        <v/>
      </c>
      <c r="H9" s="18">
        <f>DCF!E12</f>
        <v/>
      </c>
      <c r="I9" s="18">
        <f>DCF!F12</f>
        <v/>
      </c>
    </row>
    <row r="10">
      <c r="A10" s="6" t="inlineStr">
        <is>
          <t>EBIT</t>
        </is>
      </c>
      <c r="B10" s="17">
        <f>B7-B9</f>
        <v/>
      </c>
      <c r="C10" s="17">
        <f>C7-C9</f>
        <v/>
      </c>
      <c r="D10" s="17">
        <f>D7-D9</f>
        <v/>
      </c>
      <c r="E10" s="17">
        <f>E7-E9</f>
        <v/>
      </c>
      <c r="F10" s="17">
        <f>F7-F9</f>
        <v/>
      </c>
      <c r="G10" s="17">
        <f>G7-G9</f>
        <v/>
      </c>
      <c r="H10" s="17">
        <f>H7-H9</f>
        <v/>
      </c>
      <c r="I10" s="17">
        <f>I7-I9</f>
        <v/>
      </c>
    </row>
    <row r="11">
      <c r="A11" s="6" t="inlineStr">
        <is>
          <t>Net finance result</t>
        </is>
      </c>
      <c r="B11" s="19" t="n">
        <v>8.518000000000001</v>
      </c>
      <c r="C11" s="19" t="n">
        <v>-156.667</v>
      </c>
      <c r="D11" s="19" t="n">
        <v>-127.466</v>
      </c>
      <c r="E11" s="17">
        <f>Assumptions!$C$29*'Balance Sheet'!D9-(DCF!$C$25*(Assumptions!$C$43+Assumptions!$C$28)/2+35)</f>
        <v/>
      </c>
      <c r="F11" s="17">
        <f>Assumptions!$C$29*'Balance Sheet'!E9-(DCF!$C$25*(Assumptions!$C$28+Assumptions!$D$28)/2+35)</f>
        <v/>
      </c>
      <c r="G11" s="17">
        <f>Assumptions!$C$29*'Balance Sheet'!F9-(DCF!$C$25*(Assumptions!$D$28+Assumptions!$E$28)/2+35)</f>
        <v/>
      </c>
      <c r="H11" s="17">
        <f>Assumptions!$C$29*'Balance Sheet'!G9-(DCF!$C$25*(Assumptions!$E$28+Assumptions!$F$28)/2+35)</f>
        <v/>
      </c>
      <c r="I11" s="17">
        <f>Assumptions!$C$29*'Balance Sheet'!H9-(DCF!$C$25*(Assumptions!$F$28+Assumptions!$G$28)/2+35)</f>
        <v/>
      </c>
    </row>
    <row r="12">
      <c r="A12" s="6" t="inlineStr">
        <is>
          <t>Associates &amp; JVs</t>
        </is>
      </c>
      <c r="B12" s="19" t="n">
        <v>-0.697</v>
      </c>
      <c r="C12" s="19" t="n">
        <v>115.114</v>
      </c>
      <c r="D12" s="19" t="n">
        <v>263.592</v>
      </c>
      <c r="E12" s="17">
        <f>Assumptions!$C$26*(1+Assumptions!$C$27)^0</f>
        <v/>
      </c>
      <c r="F12" s="17">
        <f>Assumptions!$C$26*(1+Assumptions!$C$27)^1</f>
        <v/>
      </c>
      <c r="G12" s="17">
        <f>Assumptions!$C$26*(1+Assumptions!$C$27)^2</f>
        <v/>
      </c>
      <c r="H12" s="17">
        <f>Assumptions!$C$26*(1+Assumptions!$C$27)^3</f>
        <v/>
      </c>
      <c r="I12" s="17">
        <f>Assumptions!$C$26*(1+Assumptions!$C$27)^4</f>
        <v/>
      </c>
    </row>
    <row r="13">
      <c r="A13" s="6" t="inlineStr">
        <is>
          <t>Profit before tax</t>
        </is>
      </c>
      <c r="B13" s="17">
        <f>B10+B11+B12</f>
        <v/>
      </c>
      <c r="C13" s="17">
        <f>C10+C11+C12</f>
        <v/>
      </c>
      <c r="D13" s="17">
        <f>D10+D11+D12</f>
        <v/>
      </c>
      <c r="E13" s="17">
        <f>E10+E11+E12</f>
        <v/>
      </c>
      <c r="F13" s="17">
        <f>F10+F11+F12</f>
        <v/>
      </c>
      <c r="G13" s="17">
        <f>G10+G11+G12</f>
        <v/>
      </c>
      <c r="H13" s="17">
        <f>H10+H11+H12</f>
        <v/>
      </c>
      <c r="I13" s="17">
        <f>I10+I11+I12</f>
        <v/>
      </c>
    </row>
    <row r="14">
      <c r="A14" s="6" t="inlineStr">
        <is>
          <t>Income tax</t>
        </is>
      </c>
      <c r="B14" s="19" t="n">
        <v>-79.504</v>
      </c>
      <c r="C14" s="19" t="n">
        <v>-98.815</v>
      </c>
      <c r="D14" s="19" t="n">
        <v>-495.49</v>
      </c>
      <c r="E14" s="17">
        <f>-E13*Assumptions!$C$24</f>
        <v/>
      </c>
      <c r="F14" s="17">
        <f>-F13*Assumptions!$C$24</f>
        <v/>
      </c>
      <c r="G14" s="17">
        <f>-G13*Assumptions!$C$24</f>
        <v/>
      </c>
      <c r="H14" s="17">
        <f>-H13*Assumptions!$C$24</f>
        <v/>
      </c>
      <c r="I14" s="17">
        <f>-I13*Assumptions!$C$24</f>
        <v/>
      </c>
    </row>
    <row r="15">
      <c r="A15" s="6" t="inlineStr">
        <is>
          <t>Profit for the year</t>
        </is>
      </c>
      <c r="B15" s="17">
        <f>B13+B14</f>
        <v/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</row>
    <row r="16">
      <c r="A16" s="6" t="inlineStr">
        <is>
          <t>Non-controlling interests</t>
        </is>
      </c>
      <c r="B16" s="19" t="n">
        <v>112.682</v>
      </c>
      <c r="C16" s="19" t="n">
        <v>-33.7390000000014</v>
      </c>
      <c r="D16" s="19" t="n">
        <v>-94.39699999999993</v>
      </c>
      <c r="E16" s="17">
        <f>E15*Assumptions!$C$25</f>
        <v/>
      </c>
      <c r="F16" s="17">
        <f>F15*Assumptions!$C$25</f>
        <v/>
      </c>
      <c r="G16" s="17">
        <f>G15*Assumptions!$C$25</f>
        <v/>
      </c>
      <c r="H16" s="17">
        <f>H15*Assumptions!$C$25</f>
        <v/>
      </c>
      <c r="I16" s="17">
        <f>I15*Assumptions!$C$25</f>
        <v/>
      </c>
    </row>
    <row r="17">
      <c r="A17" s="6" t="inlineStr">
        <is>
          <t>Attributable profit</t>
        </is>
      </c>
      <c r="B17" s="27">
        <f>B15-B16</f>
        <v/>
      </c>
      <c r="C17" s="27">
        <f>C15-C16</f>
        <v/>
      </c>
      <c r="D17" s="27">
        <f>D15-D16</f>
        <v/>
      </c>
      <c r="E17" s="27">
        <f>E15-E16</f>
        <v/>
      </c>
      <c r="F17" s="27">
        <f>F15-F16</f>
        <v/>
      </c>
      <c r="G17" s="27">
        <f>G15-G16</f>
        <v/>
      </c>
      <c r="H17" s="27">
        <f>H15-H16</f>
        <v/>
      </c>
      <c r="I17" s="27">
        <f>I15-I16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Balance sheet — 3 years audited + 5-year roll-forward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Forecast: equity rolls on retained profit (no dividend); debt is the drawn path; cash balances derive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Property, plant &amp; equipment</t>
        </is>
      </c>
      <c r="B5" s="19" t="n">
        <v>789.463</v>
      </c>
      <c r="C5" s="19" t="n">
        <v>7593.191</v>
      </c>
      <c r="D5" s="19" t="n">
        <v>8812.397000000001</v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</row>
    <row r="6">
      <c r="A6" s="6" t="inlineStr">
        <is>
          <t>Investment properties</t>
        </is>
      </c>
      <c r="B6" s="19" t="n">
        <v>7536.858</v>
      </c>
      <c r="C6" s="19" t="n">
        <v>9336.725</v>
      </c>
      <c r="D6" s="19" t="n">
        <v>9461.777</v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</row>
    <row r="7">
      <c r="A7" s="6" t="inlineStr">
        <is>
          <t>Inventories (land bank)</t>
        </is>
      </c>
      <c r="B7" s="19" t="n">
        <v>2246.917</v>
      </c>
      <c r="C7" s="19" t="n">
        <v>29586.274</v>
      </c>
      <c r="D7" s="19" t="n">
        <v>27297.588</v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</row>
    <row r="8">
      <c r="A8" s="6" t="inlineStr">
        <is>
          <t>Development work-in-progress</t>
        </is>
      </c>
      <c r="B8" s="19" t="n">
        <v>0</v>
      </c>
      <c r="C8" s="19" t="n">
        <v>2461.672</v>
      </c>
      <c r="D8" s="19" t="n">
        <v>6111.794</v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</row>
    <row r="9">
      <c r="A9" s="6" t="inlineStr">
        <is>
          <t>Cash and bank balances</t>
        </is>
      </c>
      <c r="B9" s="19" t="n">
        <v>2259.902</v>
      </c>
      <c r="C9" s="19" t="n">
        <v>7009.67</v>
      </c>
      <c r="D9" s="19" t="n">
        <v>12641.987</v>
      </c>
      <c r="E9" s="17">
        <f>D9+DCF!B18+'Income Statement'!E11-('Income Statement'!E13-DCF!B10)*Assumptions!$C$24+(Assumptions!$C$28-Assumptions!$C$43)</f>
        <v/>
      </c>
      <c r="F9" s="17">
        <f>E9+DCF!C18+'Income Statement'!F11-('Income Statement'!F13-DCF!C10)*Assumptions!$C$24+(Assumptions!$D$28-Assumptions!$C$28)</f>
        <v/>
      </c>
      <c r="G9" s="17">
        <f>F9+DCF!D18+'Income Statement'!G11-('Income Statement'!G13-DCF!D10)*Assumptions!$C$24+(Assumptions!$E$28-Assumptions!$D$28)</f>
        <v/>
      </c>
      <c r="H9" s="17">
        <f>G9+DCF!E18+'Income Statement'!H11-('Income Statement'!H13-DCF!E10)*Assumptions!$C$24+(Assumptions!$F$28-Assumptions!$E$28)</f>
        <v/>
      </c>
      <c r="I9" s="17">
        <f>H9+DCF!F18+'Income Statement'!I11-('Income Statement'!I13-DCF!F10)*Assumptions!$C$24+(Assumptions!$G$28-Assumptions!$F$28)</f>
        <v/>
      </c>
    </row>
    <row r="10">
      <c r="A10" s="6" t="inlineStr">
        <is>
          <t>Total assets (audited)</t>
        </is>
      </c>
      <c r="B10" s="19" t="n">
        <v>21311.081</v>
      </c>
      <c r="C10" s="19" t="n">
        <v>75925.281</v>
      </c>
      <c r="D10" s="19" t="n">
        <v>87030.985</v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</row>
    <row r="11">
      <c r="A11" s="6" t="inlineStr">
        <is>
          <t>Gross debt incl. related-party loan</t>
        </is>
      </c>
      <c r="B11" s="19" t="n">
        <v>1976.135</v>
      </c>
      <c r="C11" s="19" t="n">
        <v>5364.11</v>
      </c>
      <c r="D11" s="19" t="n">
        <v>6789.085999999999</v>
      </c>
      <c r="E11" s="18">
        <f>Assumptions!$C$28</f>
        <v/>
      </c>
      <c r="F11" s="18">
        <f>Assumptions!$D$28</f>
        <v/>
      </c>
      <c r="G11" s="18">
        <f>Assumptions!$E$28</f>
        <v/>
      </c>
      <c r="H11" s="18">
        <f>Assumptions!$F$28</f>
        <v/>
      </c>
      <c r="I11" s="18">
        <f>Assumptions!$G$28</f>
        <v/>
      </c>
    </row>
    <row r="12">
      <c r="A12" s="6" t="inlineStr">
        <is>
          <t>Net working capital (house)</t>
        </is>
      </c>
      <c r="B12" s="6" t="inlineStr">
        <is>
          <t>-</t>
        </is>
      </c>
      <c r="C12" s="19" t="n">
        <v>26861.838</v>
      </c>
      <c r="D12" s="19" t="n">
        <v>26942.91</v>
      </c>
      <c r="E12" s="17">
        <f>26942.910-Assumptions!$C$23</f>
        <v/>
      </c>
      <c r="F12" s="17">
        <f>E12-Assumptions!$D$23</f>
        <v/>
      </c>
      <c r="G12" s="17">
        <f>F12-Assumptions!$E$23</f>
        <v/>
      </c>
      <c r="H12" s="17">
        <f>G12-Assumptions!$F$23</f>
        <v/>
      </c>
      <c r="I12" s="17">
        <f>H12-Assumptions!$G$23</f>
        <v/>
      </c>
    </row>
    <row r="13">
      <c r="A13" s="6" t="inlineStr">
        <is>
          <t>Equity attributable to owners</t>
        </is>
      </c>
      <c r="B13" s="19" t="n">
        <v>13769.094</v>
      </c>
      <c r="C13" s="19" t="n">
        <v>49676.408</v>
      </c>
      <c r="D13" s="19" t="n">
        <v>53902.504</v>
      </c>
      <c r="E13" s="17">
        <f>D13+'Income Statement'!E17</f>
        <v/>
      </c>
      <c r="F13" s="17">
        <f>E13+'Income Statement'!F17</f>
        <v/>
      </c>
      <c r="G13" s="17">
        <f>F13+'Income Statement'!G17</f>
        <v/>
      </c>
      <c r="H13" s="17">
        <f>G13+'Income Statement'!H17</f>
        <v/>
      </c>
      <c r="I13" s="17">
        <f>H13+'Income Statement'!I17</f>
        <v/>
      </c>
    </row>
    <row r="14">
      <c r="A14" s="6" t="inlineStr">
        <is>
          <t>Non-controlling interests</t>
        </is>
      </c>
      <c r="B14" s="19" t="n">
        <v>1149.566</v>
      </c>
      <c r="C14" s="19" t="n">
        <v>1186.183</v>
      </c>
      <c r="D14" s="19" t="n">
        <v>847.48</v>
      </c>
      <c r="E14" s="17">
        <f>D14+'Income Statement'!E16</f>
        <v/>
      </c>
      <c r="F14" s="17">
        <f>E14+'Income Statement'!F16</f>
        <v/>
      </c>
      <c r="G14" s="17">
        <f>F14+'Income Statement'!G16</f>
        <v/>
      </c>
      <c r="H14" s="17">
        <f>G14+'Income Statement'!H16</f>
        <v/>
      </c>
      <c r="I14" s="17">
        <f>H14+'Income Statement'!I16</f>
        <v/>
      </c>
    </row>
    <row r="15">
      <c r="A15" s="6" t="inlineStr">
        <is>
          <t>Net debt (− = net cash)</t>
        </is>
      </c>
      <c r="B15" s="17">
        <f>B11-B9</f>
        <v/>
      </c>
      <c r="C15" s="17">
        <f>C11-C9</f>
        <v/>
      </c>
      <c r="D15" s="17">
        <f>D11-D9</f>
        <v/>
      </c>
      <c r="E15" s="17">
        <f>E11-E9</f>
        <v/>
      </c>
      <c r="F15" s="17">
        <f>F11-F9</f>
        <v/>
      </c>
      <c r="G15" s="17">
        <f>G11-G9</f>
        <v/>
      </c>
      <c r="H15" s="17">
        <f>H11-H9</f>
        <v/>
      </c>
      <c r="I15" s="17">
        <f>I11-I9</f>
        <v/>
      </c>
    </row>
    <row r="16">
      <c r="A16" s="6" t="inlineStr">
        <is>
          <t>Net debt / EBITDA</t>
        </is>
      </c>
      <c r="B16" s="28">
        <f>(B11-B9)/673.3530000000001</f>
        <v/>
      </c>
      <c r="C16" s="28">
        <f>(C11-C9)/9794.942</f>
        <v/>
      </c>
      <c r="D16" s="28">
        <f>(D11-D9)/4895.552000000001</f>
        <v/>
      </c>
      <c r="E16" s="28">
        <f>(E11-E9)/DCF!B13</f>
        <v/>
      </c>
      <c r="F16" s="28">
        <f>(F11-F9)/DCF!C13</f>
        <v/>
      </c>
      <c r="G16" s="28">
        <f>(G11-G9)/DCF!D13</f>
        <v/>
      </c>
      <c r="H16" s="28">
        <f>(H11-H9)/DCF!E13</f>
        <v/>
      </c>
      <c r="I16" s="28">
        <f>(I11-I9)/DCF!F13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— history (audited) and the forecast free-cash-flow chain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Forecast rows link to the DCF waterfall; history is the audited record</t>
        </is>
      </c>
    </row>
    <row r="4">
      <c r="A4" s="5" t="inlineStr"/>
      <c r="B4" s="5" t="inlineStr">
        <is>
          <t>FY2024</t>
        </is>
      </c>
      <c r="C4" s="5" t="inlineStr">
        <is>
          <t>FY2025</t>
        </is>
      </c>
      <c r="D4" s="5" t="inlineStr">
        <is>
          <t>FY26E</t>
        </is>
      </c>
      <c r="E4" s="5" t="inlineStr">
        <is>
          <t>FY27E</t>
        </is>
      </c>
      <c r="F4" s="5" t="inlineStr">
        <is>
          <t>FY28E</t>
        </is>
      </c>
      <c r="G4" s="5" t="inlineStr">
        <is>
          <t>FY29E</t>
        </is>
      </c>
      <c r="H4" s="5" t="inlineStr">
        <is>
          <t>FY30E</t>
        </is>
      </c>
    </row>
    <row r="5">
      <c r="A5" s="6" t="inlineStr">
        <is>
          <t>Net cash from operating activities (audited)</t>
        </is>
      </c>
      <c r="B5" s="19" t="n">
        <v>3231.447</v>
      </c>
      <c r="C5" s="19" t="n">
        <v>3860.373</v>
      </c>
    </row>
    <row r="6">
      <c r="A6" s="6" t="inlineStr">
        <is>
          <t>Capital expenditure (PP&amp;E + intangibles + IP, audited)</t>
        </is>
      </c>
      <c r="B6" s="19" t="n">
        <v>1247</v>
      </c>
      <c r="C6" s="19" t="n">
        <v>1260.566</v>
      </c>
    </row>
    <row r="7">
      <c r="A7" s="6" t="inlineStr">
        <is>
          <t>H1-2026 operating cash flow (reviewed interim)</t>
        </is>
      </c>
      <c r="B7" s="19" t="n">
        <v>-3921.027</v>
      </c>
    </row>
    <row r="9">
      <c r="A9" s="22" t="inlineStr">
        <is>
          <t>Forecast chain (links to the DCF waterfall)</t>
        </is>
      </c>
    </row>
    <row r="10">
      <c r="A10" s="6" t="inlineStr">
        <is>
          <t>NOPAT</t>
        </is>
      </c>
      <c r="D10" s="18">
        <f>DCF!B14</f>
        <v/>
      </c>
      <c r="E10" s="18">
        <f>DCF!C14</f>
        <v/>
      </c>
      <c r="F10" s="18">
        <f>DCF!D14</f>
        <v/>
      </c>
      <c r="G10" s="18">
        <f>DCF!E14</f>
        <v/>
      </c>
      <c r="H10" s="18">
        <f>DCF!F14</f>
        <v/>
      </c>
    </row>
    <row r="11">
      <c r="A11" s="6" t="inlineStr">
        <is>
          <t>+ D&amp;A</t>
        </is>
      </c>
      <c r="D11" s="18">
        <f>DCF!B15</f>
        <v/>
      </c>
      <c r="E11" s="18">
        <f>DCF!C15</f>
        <v/>
      </c>
      <c r="F11" s="18">
        <f>DCF!D15</f>
        <v/>
      </c>
      <c r="G11" s="18">
        <f>DCF!E15</f>
        <v/>
      </c>
      <c r="H11" s="18">
        <f>DCF!F15</f>
        <v/>
      </c>
    </row>
    <row r="12">
      <c r="A12" s="6" t="inlineStr">
        <is>
          <t>− Capex</t>
        </is>
      </c>
      <c r="D12" s="18">
        <f>DCF!B16</f>
        <v/>
      </c>
      <c r="E12" s="18">
        <f>DCF!C16</f>
        <v/>
      </c>
      <c r="F12" s="18">
        <f>DCF!D16</f>
        <v/>
      </c>
      <c r="G12" s="18">
        <f>DCF!E16</f>
        <v/>
      </c>
      <c r="H12" s="18">
        <f>DCF!F16</f>
        <v/>
      </c>
    </row>
    <row r="13">
      <c r="A13" s="6" t="inlineStr">
        <is>
          <t>− Δ working capital</t>
        </is>
      </c>
      <c r="D13" s="18">
        <f>DCF!B17</f>
        <v/>
      </c>
      <c r="E13" s="18">
        <f>DCF!C17</f>
        <v/>
      </c>
      <c r="F13" s="18">
        <f>DCF!D17</f>
        <v/>
      </c>
      <c r="G13" s="18">
        <f>DCF!E17</f>
        <v/>
      </c>
      <c r="H13" s="18">
        <f>DCF!F17</f>
        <v/>
      </c>
    </row>
    <row r="14">
      <c r="A14" s="6" t="inlineStr">
        <is>
          <t>Free cash flow to firm</t>
        </is>
      </c>
      <c r="D14" s="33">
        <f>DCF!B18</f>
        <v/>
      </c>
      <c r="E14" s="33">
        <f>DCF!C18</f>
        <v/>
      </c>
      <c r="F14" s="33">
        <f>DCF!D18</f>
        <v/>
      </c>
      <c r="G14" s="33">
        <f>DCF!E18</f>
        <v/>
      </c>
      <c r="H14" s="33">
        <f>DCF!F18</f>
        <v/>
      </c>
    </row>
    <row r="16">
      <c r="A16" s="5" t="inlineStr">
        <is>
          <t>Forecast years run FY2026E..FY2030E in columns D..H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Summary financials — the model in one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Every row links live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Revenue</t>
        </is>
      </c>
      <c r="B5" s="18">
        <f>'Income Statement'!B5</f>
        <v/>
      </c>
      <c r="C5" s="18">
        <f>'Income Statement'!C5</f>
        <v/>
      </c>
      <c r="D5" s="18">
        <f>'Income Statement'!D5</f>
        <v/>
      </c>
      <c r="E5" s="18">
        <f>'Income Statement'!E5</f>
        <v/>
      </c>
      <c r="F5" s="18">
        <f>'Income Statement'!F5</f>
        <v/>
      </c>
      <c r="G5" s="18">
        <f>'Income Statement'!G5</f>
        <v/>
      </c>
      <c r="H5" s="18">
        <f>'Income Statement'!H5</f>
        <v/>
      </c>
      <c r="I5" s="18">
        <f>'Income Statement'!I5</f>
        <v/>
      </c>
    </row>
    <row r="6">
      <c r="A6" s="6" t="inlineStr">
        <is>
          <t>EBITDA</t>
        </is>
      </c>
      <c r="B6" s="18">
        <f>'Income Statement'!B7</f>
        <v/>
      </c>
      <c r="C6" s="18">
        <f>'Income Statement'!C7</f>
        <v/>
      </c>
      <c r="D6" s="18">
        <f>'Income Statement'!D7</f>
        <v/>
      </c>
      <c r="E6" s="18">
        <f>'Income Statement'!E7</f>
        <v/>
      </c>
      <c r="F6" s="18">
        <f>'Income Statement'!F7</f>
        <v/>
      </c>
      <c r="G6" s="18">
        <f>'Income Statement'!G7</f>
        <v/>
      </c>
      <c r="H6" s="18">
        <f>'Income Statement'!H7</f>
        <v/>
      </c>
      <c r="I6" s="18">
        <f>'Income Statement'!I7</f>
        <v/>
      </c>
    </row>
    <row r="7">
      <c r="A7" s="6" t="inlineStr">
        <is>
          <t>EBITDA margin</t>
        </is>
      </c>
      <c r="B7" s="9">
        <f>'Income Statement'!B8</f>
        <v/>
      </c>
      <c r="C7" s="9">
        <f>'Income Statement'!C8</f>
        <v/>
      </c>
      <c r="D7" s="9">
        <f>'Income Statement'!D8</f>
        <v/>
      </c>
      <c r="E7" s="9">
        <f>'Income Statement'!E8</f>
        <v/>
      </c>
      <c r="F7" s="9">
        <f>'Income Statement'!F8</f>
        <v/>
      </c>
      <c r="G7" s="9">
        <f>'Income Statement'!G8</f>
        <v/>
      </c>
      <c r="H7" s="9">
        <f>'Income Statement'!H8</f>
        <v/>
      </c>
      <c r="I7" s="9">
        <f>'Income Statement'!I8</f>
        <v/>
      </c>
    </row>
    <row r="8">
      <c r="A8" s="6" t="inlineStr">
        <is>
          <t>Attributable profit</t>
        </is>
      </c>
      <c r="B8" s="18">
        <f>'Income Statement'!B17</f>
        <v/>
      </c>
      <c r="C8" s="18">
        <f>'Income Statement'!C17</f>
        <v/>
      </c>
      <c r="D8" s="18">
        <f>'Income Statement'!D17</f>
        <v/>
      </c>
      <c r="E8" s="18">
        <f>'Income Statement'!E17</f>
        <v/>
      </c>
      <c r="F8" s="18">
        <f>'Income Statement'!F17</f>
        <v/>
      </c>
      <c r="G8" s="18">
        <f>'Income Statement'!G17</f>
        <v/>
      </c>
      <c r="H8" s="18">
        <f>'Income Statement'!H17</f>
        <v/>
      </c>
      <c r="I8" s="18">
        <f>'Income Statement'!I17</f>
        <v/>
      </c>
    </row>
    <row r="9">
      <c r="A9" s="6" t="inlineStr">
        <is>
          <t>Free cash flow to firm</t>
        </is>
      </c>
      <c r="B9" s="6" t="inlineStr">
        <is>
          <t>-</t>
        </is>
      </c>
      <c r="C9" s="6" t="inlineStr">
        <is>
          <t>-</t>
        </is>
      </c>
      <c r="D9" s="6" t="inlineStr">
        <is>
          <t>-</t>
        </is>
      </c>
      <c r="E9" s="18">
        <f>'Cash Flow'!D14</f>
        <v/>
      </c>
      <c r="F9" s="18">
        <f>'Cash Flow'!E14</f>
        <v/>
      </c>
      <c r="G9" s="18">
        <f>'Cash Flow'!F14</f>
        <v/>
      </c>
      <c r="H9" s="18">
        <f>'Cash Flow'!G14</f>
        <v/>
      </c>
      <c r="I9" s="18">
        <f>'Cash Flow'!H14</f>
        <v/>
      </c>
    </row>
    <row r="10">
      <c r="A10" s="6" t="inlineStr">
        <is>
          <t>Net debt (− = net cash)</t>
        </is>
      </c>
      <c r="B10" s="18">
        <f>'Balance Sheet'!B15</f>
        <v/>
      </c>
      <c r="C10" s="18">
        <f>'Balance Sheet'!C15</f>
        <v/>
      </c>
      <c r="D10" s="18">
        <f>'Balance Sheet'!D15</f>
        <v/>
      </c>
      <c r="E10" s="18">
        <f>'Balance Sheet'!E15</f>
        <v/>
      </c>
      <c r="F10" s="18">
        <f>'Balance Sheet'!F15</f>
        <v/>
      </c>
      <c r="G10" s="18">
        <f>'Balance Sheet'!G15</f>
        <v/>
      </c>
      <c r="H10" s="18">
        <f>'Balance Sheet'!H15</f>
        <v/>
      </c>
      <c r="I10" s="18">
        <f>'Balance Sheet'!I15</f>
        <v/>
      </c>
    </row>
    <row r="11">
      <c r="A11" s="6" t="inlineStr">
        <is>
          <t>Equity attributable</t>
        </is>
      </c>
      <c r="B11" s="18">
        <f>'Balance Sheet'!B13</f>
        <v/>
      </c>
      <c r="C11" s="18">
        <f>'Balance Sheet'!C13</f>
        <v/>
      </c>
      <c r="D11" s="18">
        <f>'Balance Sheet'!D13</f>
        <v/>
      </c>
      <c r="E11" s="18">
        <f>'Balance Sheet'!E13</f>
        <v/>
      </c>
      <c r="F11" s="18">
        <f>'Balance Sheet'!F13</f>
        <v/>
      </c>
      <c r="G11" s="18">
        <f>'Balance Sheet'!G13</f>
        <v/>
      </c>
      <c r="H11" s="18">
        <f>'Balance Sheet'!H13</f>
        <v/>
      </c>
      <c r="I11" s="18">
        <f>'Balance Sheet'!I13</f>
        <v/>
      </c>
    </row>
    <row r="13">
      <c r="A13" s="6" t="inlineStr">
        <is>
          <t>Invested capital (FY2025 base + cumulative capex − D&amp;A + ΔWC)</t>
        </is>
      </c>
      <c r="E13" s="17">
        <f>48897.083+DCF!B16*-1-DCF!B12-DCF!B17</f>
        <v/>
      </c>
      <c r="F13" s="17">
        <f>48897.083+DCF!B16*-1-DCF!B12-DCF!B17+DCF!C16*-1-DCF!C12-DCF!C17</f>
        <v/>
      </c>
      <c r="G13" s="17">
        <f>48897.083+DCF!B16*-1-DCF!B12-DCF!B17+DCF!C16*-1-DCF!C12-DCF!C17+DCF!D16*-1-DCF!D12-DCF!D17</f>
        <v/>
      </c>
      <c r="H13" s="17">
        <f>48897.083+DCF!B16*-1-DCF!B12-DCF!B17+DCF!C16*-1-DCF!C12-DCF!C17+DCF!D16*-1-DCF!D12-DCF!D17+DCF!E16*-1-DCF!E12-DCF!E17</f>
        <v/>
      </c>
      <c r="I13" s="17">
        <f>48897.083+DCF!B16*-1-DCF!B12-DCF!B17+DCF!C16*-1-DCF!C12-DCF!C17+DCF!D16*-1-DCF!D12-DCF!D17+DCF!E16*-1-DCF!E12-DCF!E17+DCF!F16*-1-DCF!F12-DCF!F17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Monte Carlo price map — engine re-run (pasted, does not reprice)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Struck 2026-08-07 at spot 2.83; 50,000 paths, seed 42; grade dates are calendar-resolved</t>
        </is>
      </c>
    </row>
    <row r="4">
      <c r="A4" s="5" t="inlineStr"/>
      <c r="B4" s="5" t="inlineStr">
        <is>
          <t>1 month</t>
        </is>
      </c>
      <c r="C4" s="5" t="inlineStr">
        <is>
          <t>3 months</t>
        </is>
      </c>
    </row>
    <row r="5">
      <c r="A5" s="6" t="inlineStr">
        <is>
          <t>Sessions in window</t>
        </is>
      </c>
      <c r="B5" s="19" t="n">
        <v>20</v>
      </c>
      <c r="C5" s="19" t="n">
        <v>63</v>
      </c>
    </row>
    <row r="6">
      <c r="A6" s="6" t="inlineStr">
        <is>
          <t>Grade date</t>
        </is>
      </c>
      <c r="B6" s="34" t="inlineStr">
        <is>
          <t>2026-09-07</t>
        </is>
      </c>
      <c r="C6" s="34" t="inlineStr">
        <is>
          <t>2026-11-09</t>
        </is>
      </c>
    </row>
    <row r="7">
      <c r="A7" s="6" t="inlineStr">
        <is>
          <t>Annualised anchor volatility</t>
        </is>
      </c>
      <c r="B7" s="24" t="n">
        <v>0.2516632167115939</v>
      </c>
      <c r="C7" s="24" t="n">
        <v>0.2637248510898824</v>
      </c>
    </row>
    <row r="8">
      <c r="A8" s="6" t="inlineStr">
        <is>
          <t>5th percentile</t>
        </is>
      </c>
      <c r="B8" s="7" t="n">
        <v>2.537067974301798</v>
      </c>
      <c r="C8" s="7" t="n">
        <v>2.319965747344324</v>
      </c>
    </row>
    <row r="9">
      <c r="A9" s="6" t="inlineStr">
        <is>
          <t>25th percentile</t>
        </is>
      </c>
      <c r="B9" s="7" t="n">
        <v>2.718595960543321</v>
      </c>
      <c r="C9" s="7" t="n">
        <v>2.637975726186433</v>
      </c>
    </row>
    <row r="10">
      <c r="A10" s="6" t="inlineStr">
        <is>
          <t>Median</t>
        </is>
      </c>
      <c r="B10" s="7" t="n">
        <v>2.838308856303401</v>
      </c>
      <c r="C10" s="7" t="n">
        <v>2.857647930306376</v>
      </c>
    </row>
    <row r="11">
      <c r="A11" s="6" t="inlineStr">
        <is>
          <t>75th percentile</t>
        </is>
      </c>
      <c r="B11" s="7" t="n">
        <v>2.963942198127806</v>
      </c>
      <c r="C11" s="7" t="n">
        <v>3.094773382373537</v>
      </c>
    </row>
    <row r="12">
      <c r="A12" s="6" t="inlineStr">
        <is>
          <t>95th percentile</t>
        </is>
      </c>
      <c r="B12" s="7" t="n">
        <v>3.169632883184554</v>
      </c>
      <c r="C12" s="7" t="n">
        <v>3.523723381103312</v>
      </c>
    </row>
    <row r="13">
      <c r="A13" s="6" t="inlineStr">
        <is>
          <t>P(close above spot)</t>
        </is>
      </c>
      <c r="B13" s="24" t="n">
        <v>0.51874</v>
      </c>
      <c r="C13" s="24" t="n">
        <v>0.53302</v>
      </c>
    </row>
    <row r="14">
      <c r="A14" s="6" t="inlineStr">
        <is>
          <t>P(≥ +10%)</t>
        </is>
      </c>
      <c r="B14" s="24" t="n">
        <v>0.08014</v>
      </c>
      <c r="C14" s="24" t="n">
        <v>0.23496</v>
      </c>
    </row>
    <row r="15">
      <c r="A15" s="6" t="inlineStr">
        <is>
          <t>P(≤ −10%)</t>
        </is>
      </c>
      <c r="B15" s="24" t="n">
        <v>0.05528</v>
      </c>
      <c r="C15" s="24" t="n">
        <v>0.16866</v>
      </c>
    </row>
    <row r="16">
      <c r="A16" s="6" t="inlineStr">
        <is>
          <t>P(touch +5% at any point)</t>
        </is>
      </c>
      <c r="B16" s="24" t="n">
        <v>0.3935</v>
      </c>
      <c r="C16" s="24" t="n">
        <v>0.6544</v>
      </c>
    </row>
    <row r="17">
      <c r="A17" s="6" t="inlineStr">
        <is>
          <t>P(touch −5% at any point)</t>
        </is>
      </c>
      <c r="B17" s="24" t="n">
        <v>0.34584</v>
      </c>
      <c r="C17" s="24" t="n">
        <v>0.589</v>
      </c>
    </row>
    <row r="19">
      <c r="A19" s="22" t="inlineStr">
        <is>
          <t>Calibration evidence (walk-forward, this name)</t>
        </is>
      </c>
    </row>
    <row r="20">
      <c r="A20" s="6" t="inlineStr">
        <is>
          <t>Windows scored (post-break)</t>
        </is>
      </c>
      <c r="B20" s="19" t="n">
        <v>17</v>
      </c>
    </row>
    <row r="21">
      <c r="A21" s="6" t="inlineStr">
        <is>
          <t>CRPS skill vs carry-anchored random walk</t>
        </is>
      </c>
      <c r="B21" s="21" t="n">
        <v>0.04239890936861235</v>
      </c>
    </row>
    <row r="22">
      <c r="A22" s="6" t="inlineStr">
        <is>
          <t>Verdict</t>
        </is>
      </c>
      <c r="B22" s="34" t="inlineStr">
        <is>
          <t>PASS</t>
        </is>
      </c>
    </row>
    <row r="23">
      <c r="A23" s="6" t="inlineStr">
        <is>
          <t>Coverage of the 80% band</t>
        </is>
      </c>
      <c r="B23" s="24" t="n">
        <v>0.9411764705882353</v>
      </c>
    </row>
    <row r="24">
      <c r="A24" s="6" t="inlineStr">
        <is>
          <t>Coverage of the 90% band</t>
        </is>
      </c>
      <c r="B24" s="24" t="n">
        <v>0.9411764705882353</v>
      </c>
    </row>
    <row r="25">
      <c r="A25" s="6" t="inlineStr">
        <is>
          <t>PIT mean (0.5 = centred)</t>
        </is>
      </c>
      <c r="B25" s="35" t="n">
        <v>0.439185294117647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— each cell is a complete engine revaluation (pasted)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Rows: cost of capital; columns: terminal growth. Additional one-way strips below</t>
        </is>
      </c>
    </row>
    <row r="4">
      <c r="A4" s="5" t="inlineStr">
        <is>
          <t>WACC \ g</t>
        </is>
      </c>
      <c r="B4" s="5" t="inlineStr">
        <is>
          <t>1.5%</t>
        </is>
      </c>
      <c r="C4" s="5" t="inlineStr">
        <is>
          <t>2.0%</t>
        </is>
      </c>
      <c r="D4" s="5" t="inlineStr">
        <is>
          <t>2.5%</t>
        </is>
      </c>
      <c r="E4" s="5" t="inlineStr">
        <is>
          <t>3.0%</t>
        </is>
      </c>
      <c r="F4" s="5" t="inlineStr">
        <is>
          <t>3.5%</t>
        </is>
      </c>
    </row>
    <row r="5">
      <c r="A5" s="6" t="inlineStr">
        <is>
          <t>7.37%</t>
        </is>
      </c>
      <c r="B5" s="7" t="n">
        <v>6.816452482925069</v>
      </c>
      <c r="C5" s="7" t="n">
        <v>6.909873380799658</v>
      </c>
      <c r="D5" s="7" t="n">
        <v>7.018543394391232</v>
      </c>
      <c r="E5" s="7" t="n">
        <v>7.147700584854253</v>
      </c>
      <c r="F5" s="7" t="n">
        <v>7.305292247434371</v>
      </c>
    </row>
    <row r="6">
      <c r="A6" s="6" t="inlineStr">
        <is>
          <t>7.87%</t>
        </is>
      </c>
      <c r="B6" s="7" t="n">
        <v>6.327851843498262</v>
      </c>
      <c r="C6" s="7" t="n">
        <v>6.380928636790108</v>
      </c>
      <c r="D6" s="7" t="n">
        <v>6.44039871910471</v>
      </c>
      <c r="E6" s="7" t="n">
        <v>6.50823256238644</v>
      </c>
      <c r="F6" s="7" t="n">
        <v>6.587303112991017</v>
      </c>
    </row>
    <row r="7">
      <c r="A7" s="6" t="inlineStr">
        <is>
          <t>8.37%</t>
        </is>
      </c>
      <c r="B7" s="7" t="n">
        <v>5.909838209003201</v>
      </c>
      <c r="C7" s="7" t="n">
        <v>5.934227354209989</v>
      </c>
      <c r="D7" s="7" t="n">
        <v>5.959648219937487</v>
      </c>
      <c r="E7" s="7" t="n">
        <v>5.986389167001941</v>
      </c>
      <c r="F7" s="7" t="n">
        <v>6.014857056915395</v>
      </c>
    </row>
    <row r="8">
      <c r="A8" s="6" t="inlineStr">
        <is>
          <t>8.87%</t>
        </is>
      </c>
      <c r="B8" s="7" t="n">
        <v>5.548060984956186</v>
      </c>
      <c r="C8" s="7" t="n">
        <v>5.551834193925449</v>
      </c>
      <c r="D8" s="7" t="n">
        <v>5.55338560371135</v>
      </c>
      <c r="E8" s="7" t="n">
        <v>5.55214715556825</v>
      </c>
      <c r="F8" s="7" t="n">
        <v>5.547339097912793</v>
      </c>
    </row>
    <row r="9">
      <c r="A9" s="6" t="inlineStr">
        <is>
          <t>9.37%</t>
        </is>
      </c>
      <c r="B9" s="7" t="n">
        <v>5.231817129849231</v>
      </c>
      <c r="C9" s="7" t="n">
        <v>5.220681935737598</v>
      </c>
      <c r="D9" s="7" t="n">
        <v>5.205374749702586</v>
      </c>
      <c r="E9" s="7" t="n">
        <v>5.184912665481165</v>
      </c>
      <c r="F9" s="7" t="n">
        <v>5.157977703923985</v>
      </c>
    </row>
    <row r="11">
      <c r="A11" s="5" t="inlineStr">
        <is>
          <t>Beta</t>
        </is>
      </c>
      <c r="B11" s="5" t="inlineStr">
        <is>
          <t>0.8</t>
        </is>
      </c>
      <c r="C11" s="5" t="inlineStr">
        <is>
          <t>0.9</t>
        </is>
      </c>
      <c r="D11" s="5" t="inlineStr">
        <is>
          <t>1.0</t>
        </is>
      </c>
      <c r="E11" s="5" t="inlineStr">
        <is>
          <t>1.1</t>
        </is>
      </c>
      <c r="F11" s="5" t="inlineStr">
        <is>
          <t>1.2</t>
        </is>
      </c>
    </row>
    <row r="12">
      <c r="A12" s="6" t="inlineStr">
        <is>
          <t>DCF per share</t>
        </is>
      </c>
      <c r="B12" s="7" t="n">
        <v>6.866679344218397</v>
      </c>
      <c r="C12" s="7" t="n">
        <v>6.413169493505883</v>
      </c>
      <c r="D12" s="7" t="n">
        <v>6.024236149749804</v>
      </c>
      <c r="E12" s="7" t="n">
        <v>5.686927547554161</v>
      </c>
      <c r="F12" s="7" t="n">
        <v>5.391541877257699</v>
      </c>
    </row>
    <row r="14">
      <c r="A14" s="5" t="inlineStr">
        <is>
          <t>Development margin shift</t>
        </is>
      </c>
      <c r="B14" s="5" t="inlineStr">
        <is>
          <t>-0.04</t>
        </is>
      </c>
      <c r="C14" s="5" t="inlineStr">
        <is>
          <t>-0.02</t>
        </is>
      </c>
      <c r="D14" s="5" t="inlineStr">
        <is>
          <t>0.0</t>
        </is>
      </c>
      <c r="E14" s="5" t="inlineStr">
        <is>
          <t>0.02</t>
        </is>
      </c>
      <c r="F14" s="5" t="inlineStr">
        <is>
          <t>0.04</t>
        </is>
      </c>
    </row>
    <row r="15">
      <c r="A15" s="6" t="inlineStr">
        <is>
          <t>DCF per share</t>
        </is>
      </c>
      <c r="B15" s="7" t="n">
        <v>5.43240572430237</v>
      </c>
      <c r="C15" s="7" t="n">
        <v>5.728320937026088</v>
      </c>
      <c r="D15" s="7" t="n">
        <v>6.024236149749804</v>
      </c>
      <c r="E15" s="7" t="n">
        <v>6.320151362473521</v>
      </c>
      <c r="F15" s="7" t="n">
        <v>6.616066575197236</v>
      </c>
    </row>
    <row r="17">
      <c r="A17" s="5" t="inlineStr">
        <is>
          <t>Conversion-rate shift</t>
        </is>
      </c>
      <c r="B17" s="5" t="inlineStr">
        <is>
          <t>-0.06</t>
        </is>
      </c>
      <c r="C17" s="5" t="inlineStr">
        <is>
          <t>-0.03</t>
        </is>
      </c>
      <c r="D17" s="5" t="inlineStr">
        <is>
          <t>0.0</t>
        </is>
      </c>
      <c r="E17" s="5" t="inlineStr">
        <is>
          <t>0.03</t>
        </is>
      </c>
      <c r="F17" s="5" t="inlineStr">
        <is>
          <t>0.06</t>
        </is>
      </c>
    </row>
    <row r="18">
      <c r="A18" s="6" t="inlineStr">
        <is>
          <t>DCF per share</t>
        </is>
      </c>
      <c r="B18" s="7" t="n">
        <v>5.68305748265587</v>
      </c>
      <c r="C18" s="7" t="n">
        <v>5.869617894273379</v>
      </c>
      <c r="D18" s="7" t="n">
        <v>6.024236149749804</v>
      </c>
      <c r="E18" s="7" t="n">
        <v>6.151121771303977</v>
      </c>
      <c r="F18" s="7" t="n">
        <v>6.254107573264127</v>
      </c>
    </row>
    <row r="20">
      <c r="A20" s="5" t="inlineStr">
        <is>
          <t>New-sales multiple</t>
        </is>
      </c>
      <c r="B20" s="5" t="inlineStr">
        <is>
          <t>0.5</t>
        </is>
      </c>
      <c r="C20" s="5" t="inlineStr">
        <is>
          <t>0.75</t>
        </is>
      </c>
      <c r="D20" s="5" t="inlineStr">
        <is>
          <t>1.0</t>
        </is>
      </c>
      <c r="E20" s="5" t="inlineStr">
        <is>
          <t>1.25</t>
        </is>
      </c>
      <c r="F20" s="5" t="inlineStr">
        <is>
          <t>1.5</t>
        </is>
      </c>
    </row>
    <row r="21">
      <c r="A21" s="6" t="inlineStr">
        <is>
          <t>DCF per share</t>
        </is>
      </c>
      <c r="B21" s="7" t="n">
        <v>4.467805933968548</v>
      </c>
      <c r="C21" s="7" t="n">
        <v>5.246021041859176</v>
      </c>
      <c r="D21" s="7" t="n">
        <v>6.024236149749804</v>
      </c>
      <c r="E21" s="7" t="n">
        <v>6.80245125764043</v>
      </c>
      <c r="F21" s="7" t="n">
        <v>7.580666365531059</v>
      </c>
    </row>
    <row r="23">
      <c r="A23" s="5" t="inlineStr">
        <is>
          <t>Working-capital release shift (AED mn/yr)</t>
        </is>
      </c>
      <c r="B23" s="5" t="inlineStr">
        <is>
          <t>-1000.0</t>
        </is>
      </c>
      <c r="C23" s="5" t="inlineStr">
        <is>
          <t>-500.0</t>
        </is>
      </c>
      <c r="D23" s="5" t="inlineStr">
        <is>
          <t>0.0</t>
        </is>
      </c>
      <c r="E23" s="5" t="inlineStr">
        <is>
          <t>500.0</t>
        </is>
      </c>
      <c r="F23" s="5" t="inlineStr">
        <is>
          <t>1000.0</t>
        </is>
      </c>
    </row>
    <row r="24">
      <c r="A24" s="6" t="inlineStr">
        <is>
          <t>DCF per share</t>
        </is>
      </c>
      <c r="B24" s="7" t="n">
        <v>5.76959452732698</v>
      </c>
      <c r="C24" s="7" t="n">
        <v>5.896915338538393</v>
      </c>
      <c r="D24" s="7" t="n">
        <v>6.024236149749804</v>
      </c>
      <c r="E24" s="7" t="n">
        <v>6.151556960961216</v>
      </c>
      <c r="F24" s="7" t="n">
        <v>6.278877772172628</v>
      </c>
    </row>
    <row r="26">
      <c r="A26" s="5" t="inlineStr">
        <is>
          <t>Cost-of-equity adder</t>
        </is>
      </c>
      <c r="B26" s="5" t="inlineStr">
        <is>
          <t>0.0</t>
        </is>
      </c>
      <c r="C26" s="5" t="inlineStr">
        <is>
          <t>0.005</t>
        </is>
      </c>
      <c r="D26" s="5" t="inlineStr">
        <is>
          <t>0.01</t>
        </is>
      </c>
      <c r="E26" s="5" t="inlineStr">
        <is>
          <t>0.015</t>
        </is>
      </c>
      <c r="F26" s="5" t="inlineStr">
        <is>
          <t>0.02</t>
        </is>
      </c>
    </row>
    <row r="27">
      <c r="A27" s="6" t="inlineStr">
        <is>
          <t>DCF per share</t>
        </is>
      </c>
      <c r="B27" s="7" t="n">
        <v>6.024236149749804</v>
      </c>
      <c r="C27" s="7" t="n">
        <v>5.678535191814055</v>
      </c>
      <c r="D27" s="7" t="n">
        <v>5.376799558560899</v>
      </c>
      <c r="E27" s="7" t="n">
        <v>5.111087154173134</v>
      </c>
      <c r="F27" s="7" t="n">
        <v>4.875262927275586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Per-share figures and ratios — all formulas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EPS (attributable)</t>
        </is>
      </c>
      <c r="B5" s="8">
        <f>'Income Statement'!B17/Assumptions!$C$5</f>
        <v/>
      </c>
      <c r="C5" s="8">
        <f>'Income Statement'!C17/Assumptions!$C$5</f>
        <v/>
      </c>
      <c r="D5" s="8">
        <f>'Income Statement'!D17/Assumptions!$C$5</f>
        <v/>
      </c>
      <c r="E5" s="8">
        <f>'Income Statement'!E17/Assumptions!$C$5</f>
        <v/>
      </c>
      <c r="F5" s="8">
        <f>'Income Statement'!F17/Assumptions!$C$5</f>
        <v/>
      </c>
      <c r="G5" s="8">
        <f>'Income Statement'!G17/Assumptions!$C$5</f>
        <v/>
      </c>
      <c r="H5" s="8">
        <f>'Income Statement'!H17/Assumptions!$C$5</f>
        <v/>
      </c>
      <c r="I5" s="8">
        <f>'Income Statement'!I17/Assumptions!$C$5</f>
        <v/>
      </c>
    </row>
    <row r="6">
      <c r="A6" s="6" t="inlineStr">
        <is>
          <t>Book value per share</t>
        </is>
      </c>
      <c r="B6" s="8">
        <f>'Balance Sheet'!B13/Assumptions!$C$5</f>
        <v/>
      </c>
      <c r="C6" s="8">
        <f>'Balance Sheet'!C13/Assumptions!$C$5</f>
        <v/>
      </c>
      <c r="D6" s="8">
        <f>'Balance Sheet'!D13/Assumptions!$C$5</f>
        <v/>
      </c>
      <c r="E6" s="8">
        <f>'Balance Sheet'!E13/Assumptions!$C$5</f>
        <v/>
      </c>
      <c r="F6" s="8">
        <f>'Balance Sheet'!F13/Assumptions!$C$5</f>
        <v/>
      </c>
      <c r="G6" s="8">
        <f>'Balance Sheet'!G13/Assumptions!$C$5</f>
        <v/>
      </c>
      <c r="H6" s="8">
        <f>'Balance Sheet'!H13/Assumptions!$C$5</f>
        <v/>
      </c>
      <c r="I6" s="8">
        <f>'Balance Sheet'!I13/Assumptions!$C$5</f>
        <v/>
      </c>
    </row>
    <row r="7">
      <c r="A7" s="6" t="inlineStr">
        <is>
          <t>Return on attributable equity (avg)</t>
        </is>
      </c>
      <c r="B7" s="6" t="inlineStr">
        <is>
          <t>-</t>
        </is>
      </c>
      <c r="C7" s="9">
        <f>'Income Statement'!C17/(('Balance Sheet'!C13+'Balance Sheet'!B13)/2)</f>
        <v/>
      </c>
      <c r="D7" s="9">
        <f>'Income Statement'!D17/(('Balance Sheet'!D13+'Balance Sheet'!C13)/2)</f>
        <v/>
      </c>
      <c r="E7" s="9">
        <f>'Income Statement'!E17/(('Balance Sheet'!E13+'Balance Sheet'!D13)/2)</f>
        <v/>
      </c>
      <c r="F7" s="9">
        <f>'Income Statement'!F17/(('Balance Sheet'!F13+'Balance Sheet'!E13)/2)</f>
        <v/>
      </c>
      <c r="G7" s="9">
        <f>'Income Statement'!G17/(('Balance Sheet'!G13+'Balance Sheet'!F13)/2)</f>
        <v/>
      </c>
      <c r="H7" s="9">
        <f>'Income Statement'!H17/(('Balance Sheet'!H13+'Balance Sheet'!G13)/2)</f>
        <v/>
      </c>
      <c r="I7" s="9">
        <f>'Income Statement'!I17/(('Balance Sheet'!I13+'Balance Sheet'!H13)/2)</f>
        <v/>
      </c>
    </row>
    <row r="8">
      <c r="A8" s="6" t="inlineStr">
        <is>
          <t>Return on invested capital (fwd, avg base)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24" t="n">
        <v>0.08647173741449364</v>
      </c>
      <c r="F8" s="24" t="n">
        <v>0.1111631649217001</v>
      </c>
      <c r="G8" s="24" t="n">
        <v>0.1288010053835826</v>
      </c>
      <c r="H8" s="24" t="n">
        <v>0.141920554298667</v>
      </c>
      <c r="I8" s="24" t="n">
        <v>0.1502532912420733</v>
      </c>
    </row>
    <row r="9">
      <c r="A9" s="6" t="inlineStr">
        <is>
          <t>P/E at spot</t>
        </is>
      </c>
      <c r="B9" s="28">
        <f>Assumptions!$C$4/B5</f>
        <v/>
      </c>
      <c r="C9" s="28">
        <f>Assumptions!$C$4/C5</f>
        <v/>
      </c>
      <c r="D9" s="28">
        <f>Assumptions!$C$4/D5</f>
        <v/>
      </c>
      <c r="E9" s="28">
        <f>Assumptions!$C$4/E5</f>
        <v/>
      </c>
      <c r="F9" s="28">
        <f>Assumptions!$C$4/F5</f>
        <v/>
      </c>
      <c r="G9" s="28">
        <f>Assumptions!$C$4/G5</f>
        <v/>
      </c>
      <c r="H9" s="28">
        <f>Assumptions!$C$4/H5</f>
        <v/>
      </c>
      <c r="I9" s="28">
        <f>Assumptions!$C$4/I5</f>
        <v/>
      </c>
    </row>
    <row r="10">
      <c r="A10" s="6" t="inlineStr">
        <is>
          <t>P/B at spot</t>
        </is>
      </c>
      <c r="B10" s="28">
        <f>Assumptions!$C$4/B6</f>
        <v/>
      </c>
      <c r="C10" s="28">
        <f>Assumptions!$C$4/C6</f>
        <v/>
      </c>
      <c r="D10" s="28">
        <f>Assumptions!$C$4/D6</f>
        <v/>
      </c>
      <c r="E10" s="28">
        <f>Assumptions!$C$4/E6</f>
        <v/>
      </c>
      <c r="F10" s="28">
        <f>Assumptions!$C$4/F6</f>
        <v/>
      </c>
      <c r="G10" s="28">
        <f>Assumptions!$C$4/G6</f>
        <v/>
      </c>
      <c r="H10" s="28">
        <f>Assumptions!$C$4/H6</f>
        <v/>
      </c>
      <c r="I10" s="28">
        <f>Assumptions!$C$4/I6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Peer &amp; sector — cross-checks only, never build sources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Peer fundamentals from each company's own FY2025 release; prices/multiples from stockanalysis.com 07-Aug-2026 (aggregator, labelled)</t>
        </is>
      </c>
    </row>
    <row r="4">
      <c r="A4" s="5" t="inlineStr">
        <is>
          <t>Peer</t>
        </is>
      </c>
      <c r="B4" s="5" t="inlineStr">
        <is>
          <t>Spot</t>
        </is>
      </c>
      <c r="C4" s="5" t="inlineStr">
        <is>
          <t>Mkt cap (AED mn)</t>
        </is>
      </c>
      <c r="D4" s="5" t="inlineStr">
        <is>
          <t>FY2025 NP (AED mn)</t>
        </is>
      </c>
      <c r="E4" s="5" t="inlineStr">
        <is>
          <t>Trailing P/E</t>
        </is>
      </c>
      <c r="F4" s="5" t="inlineStr">
        <is>
          <t>FY2025 revenue</t>
        </is>
      </c>
      <c r="G4" s="5" t="inlineStr">
        <is>
          <t>Backlog</t>
        </is>
      </c>
    </row>
    <row r="5">
      <c r="A5" s="6" t="inlineStr">
        <is>
          <t>Aldar Properties (ADX)</t>
        </is>
      </c>
      <c r="B5" s="7" t="n">
        <v>7.78</v>
      </c>
      <c r="C5" s="19" t="n">
        <v>61170</v>
      </c>
      <c r="D5" s="19" t="n">
        <v>8800</v>
      </c>
      <c r="E5" s="25" t="n">
        <v>7.54</v>
      </c>
      <c r="F5" s="19" t="n">
        <v>33800</v>
      </c>
      <c r="G5" s="19" t="n">
        <v>66500</v>
      </c>
    </row>
    <row r="6">
      <c r="A6" s="6" t="inlineStr">
        <is>
          <t>Emaar Properties (DFM)</t>
        </is>
      </c>
      <c r="B6" s="7" t="n">
        <v>11.5</v>
      </c>
      <c r="C6" s="19" t="n">
        <v>101650</v>
      </c>
      <c r="D6" s="19" t="inlineStr">
        <is>
          <t>-</t>
        </is>
      </c>
      <c r="E6" s="25" t="n">
        <v>5.3</v>
      </c>
      <c r="F6" s="19" t="n">
        <v>49600</v>
      </c>
      <c r="G6" s="19" t="n">
        <v>155000</v>
      </c>
    </row>
    <row r="7">
      <c r="A7" s="6" t="inlineStr">
        <is>
          <t>Emaar Development (DFM)</t>
        </is>
      </c>
      <c r="B7" s="7" t="n">
        <v>13.38</v>
      </c>
      <c r="C7" s="19" t="n">
        <v>53520</v>
      </c>
      <c r="D7" s="19" t="n">
        <v>11320</v>
      </c>
      <c r="E7" s="25" t="n">
        <v>4.08</v>
      </c>
      <c r="F7" s="19" t="n">
        <v>27490</v>
      </c>
      <c r="G7" s="19" t="n">
        <v>134300</v>
      </c>
    </row>
    <row r="8">
      <c r="A8" s="22" t="inlineStr">
        <is>
          <t>Modon Holding (this study)</t>
        </is>
      </c>
      <c r="B8" s="8">
        <f>Assumptions!$C$4</f>
        <v/>
      </c>
      <c r="C8" s="17">
        <f>Assumptions!$C$4*Assumptions!$C$5</f>
        <v/>
      </c>
      <c r="D8" s="19" t="n">
        <v>3925.705</v>
      </c>
      <c r="E8" s="28">
        <f>C8/D8</f>
        <v/>
      </c>
      <c r="F8" s="18">
        <f>'Income Statement'!D5</f>
        <v/>
      </c>
      <c r="G8" s="19" t="n">
        <v>46000</v>
      </c>
    </row>
    <row r="10">
      <c r="A10" s="36" t="inlineStr">
        <is>
          <t>Sector context (ADREC 2025, regulator): AED 142bn transactions (+44%); residential AED 76bn (+67%); off-plan 71% of residential deals; foreign buyers 62% of growth.</t>
        </is>
      </c>
    </row>
    <row r="11"/>
    <row r="12"/>
  </sheetData>
  <mergeCells count="1">
    <mergeCell ref="A10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2026-08-09T15:27:54Z</dcterms:created>
  <dcterms:modified xmlns:dcterms="http://purl.org/dc/terms/" xmlns:xsi="http://www.w3.org/2001/XMLSchema-instance" xsi:type="dcterms:W3CDTF">2026-08-09T15:27:54Z</dcterms:modified>
</cp:coreProperties>
</file>