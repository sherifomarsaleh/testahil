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 Bridge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<sst xmlns="http://schemas.openxmlformats.org/spreadsheetml/2006/main" count="387" uniqueCount="306">
  <si>
    <t xml:space="preserve">Testahil — Electro Cable Egypt Co. S.A.E. (EGX: ELEC)</t>
  </si>
  <si>
    <t xml:space="preserve">Companion model · Independent Valuation Study · Educational analysis · Not investment advice</t>
  </si>
  <si>
    <t xml:space="preserve">What this workbook is. A transparent companion to the ELEC valuation study. Every blue cell is an input; every</t>
  </si>
  <si>
    <t xml:space="preserve">black cell is a formula; green cells link across sheets. All inputs live on the Assumptions sheet — change one</t>
  </si>
  <si>
    <t xml:space="preserve">(the EBITDA margin path, the working-capital intensity, the terminal WACC, the net-debt anchor) and the whole</t>
  </si>
  <si>
    <t xml:space="preserve">model reprices.</t>
  </si>
  <si>
    <t xml:space="preserve">What it is not. It is not investment advice, a recommendation, or a price target. Values are model outputs</t>
  </si>
  <si>
    <t xml:space="preserve">shown as ranges. The preparer is not licensed by any securities regulator and may hold a position.</t>
  </si>
  <si>
    <t xml:space="preserve">Sourcing note, up front. ELEC's audited statements were unreachable through available channels. Headline</t>
  </si>
  <si>
    <t xml:space="preserve">revenue/profit/assets are multiply-sourced from bourse-disclosure reporting; several lines (interest, capex,</t>
  </si>
  <si>
    <t xml:space="preserve">the working-capital split, the FY25 net-debt anchor) are DERIVED — each is annotated where it appears and</t>
  </si>
  <si>
    <t xml:space="preserve">listed with source and date in the companion Source Register document. FY2024, the one fully-triangulated</t>
  </si>
  <si>
    <t xml:space="preserve">year, closes to the reported net profit within 0.8% using the derived lines.</t>
  </si>
  <si>
    <t xml:space="preserve">Discount convention. Each explicit year is discounted at its own forward WACC, gliding 22.6% -&gt; 14.1% on the</t>
  </si>
  <si>
    <t xml:space="preserve">same easing calendar as the interest forecast; the terminal value is capitalised at the terminal WACC and</t>
  </si>
  <si>
    <t xml:space="preserve">discounted at the year-5 cumulative factor. One date, one price of time.</t>
  </si>
  <si>
    <t xml:space="preserve">Currency. EGP million unless stated. Spot EGP 2.19 (5 Aug 2026 close). Sheets: Summary · Fundamental</t>
  </si>
  <si>
    <t xml:space="preserve">Valuation · Assumptions · SOTP Bridge · Segments · Relative &amp; Normalized · DCF · Income Statement ·</t>
  </si>
  <si>
    <t xml:space="preserve">Balance Sheet · Cash Flow · Summary Financials · Monte Carlo · Sensitivity · Per-Share &amp; Ratios · Peer &amp; Sector.</t>
  </si>
  <si>
    <t xml:space="preserve">Valuation summary — Electro Cable Egypt (EGX: ELEC)</t>
  </si>
  <si>
    <t xml:space="preserve">Four-lens fair value vs spot. Base cells link live; bear/bull are engine scenario outputs (study §1.5).</t>
  </si>
  <si>
    <t xml:space="preserve">Bear</t>
  </si>
  <si>
    <t xml:space="preserve">Base</t>
  </si>
  <si>
    <t xml:space="preserve">Bull</t>
  </si>
  <si>
    <t xml:space="preserve">Weight</t>
  </si>
  <si>
    <t xml:space="preserve">FCFF DCF (glide schedule)</t>
  </si>
  <si>
    <t xml:space="preserve">Relative (EV/EBITDA)</t>
  </si>
  <si>
    <t xml:space="preserve">Normalized earnings</t>
  </si>
  <si>
    <t xml:space="preserve">Book / replacement</t>
  </si>
  <si>
    <t xml:space="preserve">Weighted central</t>
  </si>
  <si>
    <t xml:space="preserve">Spot price (EGP)</t>
  </si>
  <si>
    <t xml:space="preserve">Upside / (downside) to central base</t>
  </si>
  <si>
    <t xml:space="preserve">Read: meaningfully overvalued — the price capitalises devaluation-era earnings; the swing factors are working-capital collection, margin normalisation, and the easing path.</t>
  </si>
  <si>
    <t xml:space="preserve">Fundamental valuation — football-field data</t>
  </si>
  <si>
    <t xml:space="preserve">Bear/base/bull per lens (links to Summary).</t>
  </si>
  <si>
    <t xml:space="preserve">Lens</t>
  </si>
  <si>
    <t xml:space="preserve">Spot</t>
  </si>
  <si>
    <t xml:space="preserve">Assumptions — the single input layer</t>
  </si>
  <si>
    <t xml:space="preserve">All blue cells are inputs. Every other sheet links here.</t>
  </si>
  <si>
    <t xml:space="preserve">ANCHORS</t>
  </si>
  <si>
    <t xml:space="preserve">Spot price (EGP/share)</t>
  </si>
  <si>
    <t xml:space="preserve">5-Aug-2026 close, uploaded EGX history</t>
  </si>
  <si>
    <t xml:space="preserve">Shares outstanding (mn)</t>
  </si>
  <si>
    <t xml:space="preserve">Mubasher paid-in capital 662,708,074.60 / par 0.20; EPS arithmetic confirms</t>
  </si>
  <si>
    <t xml:space="preserve">Tax rate</t>
  </si>
  <si>
    <t xml:space="preserve">PwC Tax Summaries Egypt — 22.5% unchanged</t>
  </si>
  <si>
    <t xml:space="preserve">COST OF CAPITAL — sovereign double-count removed; sliding schedule below</t>
  </si>
  <si>
    <t xml:space="preserve">Egypt 10Y local yield (observed)</t>
  </si>
  <si>
    <t xml:space="preserve">investing.com print 21-Jul-2026; May-26 window avg 21.3% corroborates</t>
  </si>
  <si>
    <t xml:space="preserve">Sovereign default spread (CDS-implied)</t>
  </si>
  <si>
    <t xml:space="preserve">Damodaran Jan-2026 original file; market 5Y CDS ~330bp May-26</t>
  </si>
  <si>
    <t xml:space="preserve">rf* for the equity build</t>
  </si>
  <si>
    <t xml:space="preserve">ERP — Egypt, CDS-based (primary)</t>
  </si>
  <si>
    <t xml:space="preserve">Damodaran ORIGINAL ctryprem, Egypt row, Jan-2026 (rating basis 13.94% in sensitivity)</t>
  </si>
  <si>
    <t xml:space="preserve">Beta (own weekly regression, 5yr)</t>
  </si>
  <si>
    <t xml:space="preserve">vs 30-name equal-weight EGX composite: R2 0.222, n=257, SE 0.113, CI90 [0.78,1.15]</t>
  </si>
  <si>
    <t xml:space="preserve">Ke = rf* + beta × ERP</t>
  </si>
  <si>
    <t xml:space="preserve">Kd pre-tax (marginal EGP)</t>
  </si>
  <si>
    <t xml:space="preserve">Corridor + levered margin; effective-rate checks 23.4% (FY24) / 23.2% (FY25) inside 150bp</t>
  </si>
  <si>
    <t xml:space="preserve">Kd after tax</t>
  </si>
  <si>
    <t xml:space="preserve">Market cap (spot × shares)</t>
  </si>
  <si>
    <t xml:space="preserve">Total debt for weights (FY24 disclosed vintage)</t>
  </si>
  <si>
    <t xml:space="preserve">Simply Wall St, 22-May-2025 — the sourced debt print</t>
  </si>
  <si>
    <t xml:space="preserve">Equity weight E/(D+E)</t>
  </si>
  <si>
    <t xml:space="preserve">WACC — explicit window</t>
  </si>
  <si>
    <t xml:space="preserve">Terminal rf (norm-built)</t>
  </si>
  <si>
    <t xml:space="preserve">CBE's Q4-2028 inflation target 5% + 5.5pp real-rate convention</t>
  </si>
  <si>
    <t xml:space="preserve">Terminal ERP (normalised)</t>
  </si>
  <si>
    <t xml:space="preserve">Below the crisis-era 9.41%, toward the B-rating norm</t>
  </si>
  <si>
    <t xml:space="preserve">Terminal Ke</t>
  </si>
  <si>
    <t xml:space="preserve">Terminal Kd</t>
  </si>
  <si>
    <t xml:space="preserve">Egyptian long-run corporate norm 14-16%, midpoint</t>
  </si>
  <si>
    <t xml:space="preserve">WACC — terminal</t>
  </si>
  <si>
    <t xml:space="preserve">Terminal growth g</t>
  </si>
  <si>
    <t xml:space="preserve">Standing center 5%; grid 3-7% on Sensitivity</t>
  </si>
  <si>
    <t xml:space="preserve">BRIDGE</t>
  </si>
  <si>
    <t xml:space="preserve">Net debt (FY25, derived)</t>
  </si>
  <si>
    <t xml:space="preserve">Derived from twice-sourced FY25 assets 16,460 + FY24 anchors; FY24-vintage sourced alt: 8,172</t>
  </si>
  <si>
    <t xml:space="preserve">Non-controlling interests</t>
  </si>
  <si>
    <t xml:space="preserve">Consolidated-vs-attributable gap ~1.1mn FY25 — immaterial</t>
  </si>
  <si>
    <t xml:space="preserve">LENS INPUTS</t>
  </si>
  <si>
    <t xml:space="preserve">EV/EBITDA multiple (base)</t>
  </si>
  <si>
    <t xml:space="preserve">SWDY ~6.0x; discount for leverage/concentration</t>
  </si>
  <si>
    <t xml:space="preserve">Normalized P/E (base)</t>
  </si>
  <si>
    <t xml:space="preserve">SWDY 10.4x trailing; deep discount</t>
  </si>
  <si>
    <t xml:space="preserve">Sustainable ROE (book lens)</t>
  </si>
  <si>
    <t xml:space="preserve">Normalized NP ~700 on ~4.6-5bn book</t>
  </si>
  <si>
    <t xml:space="preserve">Equity FY25e (book, derived)</t>
  </si>
  <si>
    <t xml:space="preserve">FY24 equity 3,600 + FY25 NP 500.3, no dividends</t>
  </si>
  <si>
    <t xml:space="preserve">Weight: DCF</t>
  </si>
  <si>
    <t xml:space="preserve">Weight: Relative</t>
  </si>
  <si>
    <t xml:space="preserve">Weight: Normalized</t>
  </si>
  <si>
    <t xml:space="preserve">Weight: Book</t>
  </si>
  <si>
    <t xml:space="preserve">FORECAST DRIVERS (FY26E-FY30E)</t>
  </si>
  <si>
    <t xml:space="preserve">Driver \ year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</si>
  <si>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</si>
  <si>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</si>
  <si>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</si>
  <si>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</si>
  <si>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</si>
  <si>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Revenue growth</t>
  </si>
  <si>
    <t xml:space="preserve">FY26E on Q1-26 -44%; recovery on the grid-capex cycle</t>
  </si>
  <si>
    <t xml:space="preserve">EBITDA margin</t>
  </si>
  <si>
    <t xml:space="preserve">Between the 1Q26 trough (~14%) and windfall prints (~25%)</t>
  </si>
  <si>
    <t xml:space="preserve">D&amp;A (% of revenue)</t>
  </si>
  <si>
    <t xml:space="preserve">Capex (% of revenue)</t>
  </si>
  <si>
    <t xml:space="preserve">No disclosed capex any year — flagged derivation</t>
  </si>
  <si>
    <t xml:space="preserve">Net working capital (% of revenue)</t>
  </si>
  <si>
    <t xml:space="preserve">From ~111% FY25e; NOT full reversion to FY24 76%</t>
  </si>
  <si>
    <t xml:space="preserve">Forward Kd path</t>
  </si>
  <si>
    <t xml:space="preserve">CBE easing resumption; sets the WACC glide shape</t>
  </si>
  <si>
    <t xml:space="preserve">Glide fraction (from the Kd path)</t>
  </si>
  <si>
    <t xml:space="preserve">Forward WACC (that year)</t>
  </si>
  <si>
    <t xml:space="preserve">Cumulative discount factor</t>
  </si>
  <si>
    <t xml:space="preserve">BASE-YEAR ANCHORS (FY2025)</t>
  </si>
  <si>
    <t xml:space="preserve">Revenue FY25</t>
  </si>
  <si>
    <t xml:space="preserve">Arab Finance/Zawya FY2025 results</t>
  </si>
  <si>
    <t xml:space="preserve">Net working capital FY25 (derived)</t>
  </si>
  <si>
    <t xml:space="preserve">~111% of FY25 revenue — construction in study §1.6</t>
  </si>
  <si>
    <t xml:space="preserve">EV → equity bridge</t>
  </si>
  <si>
    <t xml:space="preserve">Single-business company: the bridge is the DCF EV less net claims. Links to DCF / Assumptions.</t>
  </si>
  <si>
    <t xml:space="preserve">Core enterprise value (DCF)</t>
  </si>
  <si>
    <t xml:space="preserve">+ Surplus / non-core assets</t>
  </si>
  <si>
    <t xml:space="preserve">− Net debt (FY25, derived; ±1,000 sensitized)</t>
  </si>
  <si>
    <t xml:space="preserve">− Non-controlling interests</t>
  </si>
  <si>
    <t xml:space="preserve">Equity value</t>
  </si>
  <si>
    <t xml:space="preserve">per share (EGP)</t>
  </si>
  <si>
    <t xml:space="preserve">Upside / (downside) vs spot</t>
  </si>
  <si>
    <t xml:space="preserve">Market-implied read (the same bridge run backwards)</t>
  </si>
  <si>
    <t xml:space="preserve">Market cap at spot</t>
  </si>
  <si>
    <t xml:space="preserve">+ Net debt = market-implied EV</t>
  </si>
  <si>
    <t xml:space="preserve">Market-implied EV / FY27E EBITDA</t>
  </si>
  <si>
    <t xml:space="preserve">Market-implied EV / FY25 EBITDA (windfall-vintage)</t>
  </si>
  <si>
    <t xml:space="preserve">The market pays a peer-level multiple on windfall-vintage EBITDA — the study’s central observation.</t>
  </si>
  <si>
    <t xml:space="preserve">Segment view — the revenue and margin build</t>
  </si>
  <si>
    <t xml:space="preserve">Single-segment build (power ~2/3, telecom ~1/3 of revenue — memo estimate; no segment disclosure). Forecast links to Assumptions.</t>
  </si>
  <si>
    <t xml:space="preserve">FY23</t>
  </si>
  <si>
    <t xml:space="preserve">FY24</t>
  </si>
  <si>
    <t xml:space="preserve">FY25</t>
  </si>
  <si>
    <t xml:space="preserve">Revenue</t>
  </si>
  <si>
    <t xml:space="preserve">  memo: power cables (~2/3, est.)</t>
  </si>
  <si>
    <t xml:space="preserve">  memo: telecom &amp; other (~1/3, est.)</t>
  </si>
  <si>
    <t xml:space="preserve">EBITDA</t>
  </si>
  <si>
    <t xml:space="preserve">D&amp;A</t>
  </si>
  <si>
    <t xml:space="preserve">EBIT</t>
  </si>
  <si>
    <t xml:space="preserve">Historical EBITDA/D&amp;A/EBIT: FY24 aggregator-sourced (EBIT 3,400, SWS; EBITDA 3,490, Investing.com); FY23/FY25 derived by closing the P&amp;L to the reported net profit — flagged (d) in the study.</t>
  </si>
  <si>
    <t xml:space="preserve">Relative &amp; normalized-earnings lenses</t>
  </si>
  <si>
    <t xml:space="preserve">Links to Assumptions / Segments / Balance Sheet.</t>
  </si>
  <si>
    <t xml:space="preserve">Workings</t>
  </si>
  <si>
    <t xml:space="preserve">EGP/share</t>
  </si>
  <si>
    <t xml:space="preserve">Relative EV/EBITDA</t>
  </si>
  <si>
    <t xml:space="preserve">FY27E EBITDA × multiple − net debt end-FY26E, /sh</t>
  </si>
  <si>
    <t xml:space="preserve">Normalized earnings power</t>
  </si>
  <si>
    <t xml:space="preserve">FY28E EBIT − 15% money on 6,000 mid-cycle ND, × (1−t), × P/E, /sh</t>
  </si>
  <si>
    <t xml:space="preserve">  normalized EPS (EGP)</t>
  </si>
  <si>
    <t xml:space="preserve">Book lens: justified P/B × BVPS</t>
  </si>
  <si>
    <t xml:space="preserve">(ROE−g)/(Ke_term−g) × FY25e book/sh</t>
  </si>
  <si>
    <t xml:space="preserve">P/B at spot (memo)</t>
  </si>
  <si>
    <t xml:space="preserve">DCF — explicit 5-year FCFF on the forward-WACC schedule</t>
  </si>
  <si>
    <t xml:space="preserve">Revenue -&gt; EBITDA -&gt; D&amp;A -&gt; EBIT -&gt; NOPAT -&gt; +D&amp;A -&gt; -Capex -&gt; -dWC -&gt; FCFF -&gt; forward WACC -&gt; cumulative DF -&gt; PV. Terminal is ROIC-consistent.</t>
  </si>
  <si>
    <t xml:space="preserve">− D&amp;A</t>
  </si>
  <si>
    <t xml:space="preserve">NOPAT = EBIT × (1 − tax)</t>
  </si>
  <si>
    <t xml:space="preserve">+ D&amp;A</t>
  </si>
  <si>
    <t xml:space="preserve">− Capex</t>
  </si>
  <si>
    <t xml:space="preserve">Net working capital</t>
  </si>
  <si>
    <t xml:space="preserve">− Δ working capital</t>
  </si>
  <si>
    <t xml:space="preserve">Free cash flow to firm</t>
  </si>
  <si>
    <t xml:space="preserve">PV of FCFF</t>
  </si>
  <si>
    <t xml:space="preserve">Σ PV of explicit FCFF (FY26–30E)</t>
  </si>
  <si>
    <t xml:space="preserve">Terminal ROIC (NOPAT ÷ [NWC + 5% of revenue])</t>
  </si>
  <si>
    <t xml:space="preserve">Terminal reinvestment rate = g ÷ ROIC</t>
  </si>
  <si>
    <t xml:space="preserve">Terminal FCFF = NOPAT × (1+g) × (1 − RR)</t>
  </si>
  <si>
    <t xml:space="preserve">Terminal value (at terminal WACC)</t>
  </si>
  <si>
    <t xml:space="preserve">PV of terminal value (year-5 factor)</t>
  </si>
  <si>
    <t xml:space="preserve">Enterprise value</t>
  </si>
  <si>
    <t xml:space="preserve">Terminal value as % of EV</t>
  </si>
  <si>
    <t xml:space="preserve">less: net debt</t>
  </si>
  <si>
    <t xml:space="preserve">less: non-controlling interests</t>
  </si>
  <si>
    <t xml:space="preserve">Fair value per share (EGP)</t>
  </si>
  <si>
    <t xml:space="preserve">The glide: each year at its own forward WACC (22.6% -&gt; 14.1%), shape from the forward Kd path; the terminal is capitalised at the terminal WACC and discounted at the identical year-5 cumulative factor.</t>
  </si>
  <si>
    <t xml:space="preserve">Income statement (EGP mn, consolidated)</t>
  </si>
  <si>
    <t xml:space="preserve">FY23–FY25 as sourced/derived (blue; (d)-flagged in the study); FY26E–FY30E formulas. Interest on OPENING net debt at that year’s forward Kd; tax on positive EBT net of loss carryforward.</t>
  </si>
  <si>
    <t xml:space="preserve">Net finance cost</t>
  </si>
  <si>
    <t xml:space="preserve">Earnings before tax</t>
  </si>
  <si>
    <t xml:space="preserve">Cumulative EBT since FY26E (memo)</t>
  </si>
  <si>
    <t xml:space="preserve">Income tax (22.5% of positive cumulative EBT, incremental)</t>
  </si>
  <si>
    <t xml:space="preserve">Net profit (attributable)</t>
  </si>
  <si>
    <t xml:space="preserve">EPS (EGP)</t>
  </si>
  <si>
    <t xml:space="preserve">Historical net finance cost is (d)-derived (FY24 via the disclosed 2.0x coverage; FY23/FY25 back-solved to the reported NP). Loss carryforward per Egyptian tax law (5yr) modelled via cumulative-EBT tax.</t>
  </si>
  <si>
    <t xml:space="preserve">Balance sheet — condensed invested-capital layout (EGP mn)</t>
  </si>
  <si>
    <t xml:space="preserve">IC = NWC + PP&amp;E + other assets; financed by net debt + equity + flat non-debt liabilities. Check row is zero by construction.</t>
  </si>
  <si>
    <t xml:space="preserve">FY25e</t>
  </si>
  <si>
    <t xml:space="preserve">PP&amp;E (roll: + capex - D&amp;A)</t>
  </si>
  <si>
    <t xml:space="preserve">Other assets (held flat)</t>
  </si>
  <si>
    <t xml:space="preserve">Invested capital (net of payables)</t>
  </si>
  <si>
    <t xml:space="preserve">Net debt (schedule: opening − equity FCF)</t>
  </si>
  <si>
    <t xml:space="preserve">Equity (roll: + net profit, no dividends)</t>
  </si>
  <si>
    <t xml:space="preserve">Non-debt liabilities &amp; other (flat plug at FY25e)</t>
  </si>
  <si>
    <t xml:space="preserve">Total financing</t>
  </si>
  <si>
    <t xml:space="preserve">Balance check (IC − financing)</t>
  </si>
  <si>
    <t xml:space="preserve">FY24 column: SWS-sourced anchors (debt 9,000/cash 828/equity 3,600); FY25e column: derived (study §1.6). The forecast check row is zero by construction: PP&amp;E rolls with capex − D&amp;A, NWC with its driver, net debt with the cash-flow sheet, equity with net profit, and the non-debt-liabilities plug is held flat.</t>
  </si>
  <si>
    <t xml:space="preserve">Cash flow (EGP mn, forecast)</t>
  </si>
  <si>
    <t xml:space="preserve">Equity free cash flow feeds the net-debt schedule (surplus repays debt; deficit is drawn). FCFF memo ties to the DCF.</t>
  </si>
  <si>
    <t xml:space="preserve">Net profit</t>
  </si>
  <si>
    <t xml:space="preserve">Operating − investing cash flow</t>
  </si>
  <si>
    <t xml:space="preserve">Dividends</t>
  </si>
  <si>
    <t xml:space="preserve">Equity free cash flow (repays / draws net debt)</t>
  </si>
  <si>
    <t xml:space="preserve">memo: FCFF (ties to DCF row)</t>
  </si>
  <si>
    <t xml:space="preserve">memo: net debt, closing</t>
  </si>
  <si>
    <t xml:space="preserve">No dividends modelled — the company has never paid one and the balance sheet argues against a first.</t>
  </si>
  <si>
    <t xml:space="preserve">Summary financials (EGP mn)</t>
  </si>
  <si>
    <t xml:space="preserve">Every forecast cell links to the statement sheets; history as sourced/derived.</t>
  </si>
  <si>
    <t xml:space="preserve">Net debt (closing)</t>
  </si>
  <si>
    <t xml:space="preserve">Equity (attributable)</t>
  </si>
  <si>
    <t xml:space="preserve">FCFF (forecast)</t>
  </si>
  <si>
    <t xml:space="preserve">Monte Carlo — engine outputs (carry-anchored YZ-HAR-t)</t>
  </si>
  <si>
    <t xml:space="preserve">50,000 paths · Student-t(6) · width calibrated on the 30-name Egyptian panel · drift = local carry (19.50%) · values computed by the engine, not a sheet simulation.</t>
  </si>
  <si>
    <t xml:space="preserve">The probability read (3 months)</t>
  </si>
  <si>
    <t xml:space="preserve">P(price above spot)</t>
  </si>
  <si>
    <t xml:space="preserve">P(+10%) vs P(−10%) — odds</t>
  </si>
  <si>
    <t xml:space="preserve">37% vs 18% · 2.1:1</t>
  </si>
  <si>
    <t xml:space="preserve">Median level (EGP) and % move</t>
  </si>
  <si>
    <t xml:space="preserve">2.29 (+4.7%)</t>
  </si>
  <si>
    <t xml:space="preserve">50% band (25th–75th)</t>
  </si>
  <si>
    <t xml:space="preserve">2.06 – 2.55</t>
  </si>
  <si>
    <t xml:space="preserve">Touch(+10%) / touch(−10%)</t>
  </si>
  <si>
    <t xml:space="preserve">60% / 39%</t>
  </si>
  <si>
    <t xml:space="preserve">Percentile map (EGP/share)</t>
  </si>
  <si>
    <t xml:space="preserve">Horizon</t>
  </si>
  <si>
    <t xml:space="preserve">p5</t>
  </si>
  <si>
    <t xml:space="preserve">p25</t>
  </si>
  <si>
    <t xml:space="preserve">p50</t>
  </si>
  <si>
    <t xml:space="preserve">p75</t>
  </si>
  <si>
    <t xml:space="preserve">p95</t>
  </si>
  <si>
    <t xml:space="preserve">1 month</t>
  </si>
  <si>
    <t xml:space="preserve">3 months</t>
  </si>
  <si>
    <t xml:space="preserve">Level-touch ladder (probability of touching by horizon)</t>
  </si>
  <si>
    <t xml:space="preserve">Level (EGP)</t>
  </si>
  <si>
    <t xml:space="preserve">Probability zones (3 months)</t>
  </si>
  <si>
    <t xml:space="preserve">Deep downside</t>
  </si>
  <si>
    <t xml:space="preserve">&lt; 1.80</t>
  </si>
  <si>
    <t xml:space="preserve">Lower band</t>
  </si>
  <si>
    <t xml:space="preserve">1.80–2.05</t>
  </si>
  <si>
    <t xml:space="preserve">Around spot</t>
  </si>
  <si>
    <t xml:space="preserve">2.05–2.35</t>
  </si>
  <si>
    <t xml:space="preserve">Upper band</t>
  </si>
  <si>
    <t xml:space="preserve">2.35–2.70</t>
  </si>
  <si>
    <t xml:space="preserve">Strong upside</t>
  </si>
  <si>
    <t xml:space="preserve">&gt; 2.70</t>
  </si>
  <si>
    <t xml:space="preserve">Sensitivity — engine grids (values) + the live base cell</t>
  </si>
  <si>
    <t xml:space="preserve">Grids are engine outputs under the full glide re-computation; the base cell reprices live off Assumptions.</t>
  </si>
  <si>
    <t xml:space="preserve">Live base DCF (links to the DCF sheet)</t>
  </si>
  <si>
    <t xml:space="preserve">Terminal WACC × terminal g (EGP/share)</t>
  </si>
  <si>
    <t xml:space="preserve">Terminal WACC \ g</t>
  </si>
  <si>
    <t xml:space="preserve">Explicit-window WACC × terminal WACC (EGP/share)</t>
  </si>
  <si>
    <t xml:space="preserve">Explicit \ terminal</t>
  </si>
  <si>
    <t xml:space="preserve">EBITDA-margin shift × terminal NWC intensity (EGP/share)</t>
  </si>
  <si>
    <t xml:space="preserve">Margin shift \ NWC %</t>
  </si>
  <si>
    <t xml:space="preserve">Beta grid (Ke / WACCs / DCF)</t>
  </si>
  <si>
    <t xml:space="preserve">Beta</t>
  </si>
  <si>
    <t xml:space="preserve">Ke</t>
  </si>
  <si>
    <t xml:space="preserve">WACC explicit</t>
  </si>
  <si>
    <t xml:space="preserve">WACC terminal</t>
  </si>
  <si>
    <t xml:space="preserve">DCF (EGP/sh)</t>
  </si>
  <si>
    <t xml:space="preserve">Per-share &amp; ratios — the standing dashboard</t>
  </si>
  <si>
    <t xml:space="preserve">Links to statements / Assumptions.</t>
  </si>
  <si>
    <t xml:space="preserve">P/E at spot (×)</t>
  </si>
  <si>
    <t xml:space="preserve">Net margin</t>
  </si>
  <si>
    <t xml:space="preserve">Revenue YoY</t>
  </si>
  <si>
    <t xml:space="preserve">Book value / share (EGP)</t>
  </si>
  <si>
    <t xml:space="preserve">P/B at spot (×)</t>
  </si>
  <si>
    <t xml:space="preserve">Net debt / EBITDA (×)</t>
  </si>
  <si>
    <t xml:space="preserve">Net debt / equity</t>
  </si>
  <si>
    <t xml:space="preserve">ROE (attributable)</t>
  </si>
  <si>
    <t xml:space="preserve">Historical per-share ratios beyond EPS are omitted where the year-end balance sheet was never published (flagged gap).</t>
  </si>
  <si>
    <t xml:space="preserve">Peer set &amp; sector</t>
  </si>
  <si>
    <t xml:space="preserve">One giant (Elsewedy) above a tier of mid-caps competing on price and local content in tenders.</t>
  </si>
  <si>
    <t xml:space="preserve">Name</t>
  </si>
  <si>
    <t xml:space="preserve">Mkt cap</t>
  </si>
  <si>
    <t xml:space="preserve">P/E</t>
  </si>
  <si>
    <t xml:space="preserve">EV/EBITDA</t>
  </si>
  <si>
    <t xml:space="preserve">D/E</t>
  </si>
  <si>
    <t xml:space="preserve">Note</t>
  </si>
  <si>
    <t xml:space="preserve">El Sewedy Electric (EGX: SWDY)</t>
  </si>
  <si>
    <t xml:space="preserve">EGP 196bn</t>
  </si>
  <si>
    <t xml:space="preserve">10.4x</t>
  </si>
  <si>
    <t xml:space="preserve">~6.0x</t>
  </si>
  <si>
    <t xml:space="preserve">moderate</t>
  </si>
  <si>
    <t xml:space="preserve">FY25 rev EGP 281bn, NP 17.3bn; W&amp;C segment +66% — the demand proof</t>
  </si>
  <si>
    <t xml:space="preserve">Riyadh Cables (Tadawul: 4142)</t>
  </si>
  <si>
    <t xml:space="preserve">SAR 18.0bn</t>
  </si>
  <si>
    <t xml:space="preserve">18.0x</t>
  </si>
  <si>
    <t xml:space="preserve">15.0x</t>
  </si>
  <si>
    <t xml:space="preserve">0.27x</t>
  </si>
  <si>
    <t xml:space="preserve">Same industry, clean balance sheet, different market</t>
  </si>
  <si>
    <t xml:space="preserve">Electro Cable Egypt (ELEC)</t>
  </si>
  <si>
    <t xml:space="preserve">EGP 7.3bn</t>
  </si>
  <si>
    <t xml:space="preserve">14.6x trailing</t>
  </si>
  <si>
    <t xml:space="preserve">~5.3x FY25e</t>
  </si>
  <si>
    <t xml:space="preserve">~2.5x</t>
  </si>
  <si>
    <t xml:space="preserve">Loss-making 1Q26; ~5.5x on FY24 windfall EPS</t>
  </si>
  <si>
    <t xml:space="preserve">Giza Cables (private)</t>
  </si>
  <si>
    <t xml:space="preserve">—</t>
  </si>
  <si>
    <t xml:space="preserve">No public financials</t>
  </si>
  <si>
    <t xml:space="preserve">Sector: EETC EGP 45bn FY25/26 transmission plan + EU €690mn package + Egypt–Saudi interconnector (95% complete) drive demand; LME-linked pass-through pricing keeps margins thin; copper +51% y/y strains working capital at 20%+ funding.</t>
  </si>
  <si>
    <t xml:space="preserve">Analyst context: none exists — ELEC is uncovered; no rating and no target here either (house rule).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</si>
</sst>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;\(0.00\);\-"/>
    <numFmt numFmtId="167" formatCode="0.0%;\(0.0%\);\-"/>
    <numFmt numFmtId="168" formatCode="0.00\x"/>
    <numFmt numFmtId="169" formatCode="0.000"/>
    <numFmt numFmtId="170" formatCode="@"/>
    <numFmt numFmtId="171" formatCode="\+0.0%;\-0.0%;&quot;base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3" t="s">
        <v>16</v>
      </c>
    </row>
    <row r="24" customFormat="false" ht="15" hidden="false" customHeight="false" outlineLevel="0" collapsed="false">
      <c r="A24" s="3" t="s">
        <v>17</v>
      </c>
    </row>
    <row r="25" customFormat="false" ht="15" hidden="false" customHeight="false" outlineLevel="0" collapsed="false">
      <c r="A25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19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20</v>
      </c>
    </row>
    <row r="5" customFormat="false" ht="15" hidden="false" customHeight="false" outlineLevel="0" collapsed="false">
      <c r="B5" s="5" t="s">
        <v>21</v>
      </c>
      <c r="C5" s="5" t="s">
        <v>22</v>
      </c>
      <c r="D5" s="5" t="s">
        <v>23</v>
      </c>
      <c r="E5" s="5" t="s">
        <v>24</v>
      </c>
    </row>
    <row r="6" customFormat="false" ht="15" hidden="false" customHeight="false" outlineLevel="0" collapsed="false">
      <c r="A6" s="6" t="s">
        <v>25</v>
      </c>
      <c r="B6" s="7" t="n">
        <v>0.05</v>
      </c>
      <c r="C6" s="8" t="n">
        <f aca="false">DCF!B31</f>
        <v>0.533988597838447</v>
      </c>
      <c r="D6" s="7" t="n">
        <v>2.81</v>
      </c>
      <c r="E6" s="9" t="n">
        <f aca="false">Assumptions!B35</f>
        <v>0.4</v>
      </c>
    </row>
    <row r="7" customFormat="false" ht="15" hidden="false" customHeight="false" outlineLevel="0" collapsed="false">
      <c r="A7" s="6" t="s">
        <v>26</v>
      </c>
      <c r="B7" s="7" t="n">
        <v>0.05</v>
      </c>
      <c r="C7" s="8" t="n">
        <f aca="false">'Relative &amp; Normalized'!C6</f>
        <v>0.439283407880179</v>
      </c>
      <c r="D7" s="7" t="n">
        <v>0.92</v>
      </c>
      <c r="E7" s="9" t="n">
        <f aca="false">Assumptions!B36</f>
        <v>0.2</v>
      </c>
    </row>
    <row r="8" customFormat="false" ht="15" hidden="false" customHeight="false" outlineLevel="0" collapsed="false">
      <c r="A8" s="6" t="s">
        <v>27</v>
      </c>
      <c r="B8" s="7" t="n">
        <v>0.75</v>
      </c>
      <c r="C8" s="8" t="n">
        <f aca="false">'Relative &amp; Normalized'!C7</f>
        <v>1.36704346653529</v>
      </c>
      <c r="D8" s="7" t="n">
        <v>2.26</v>
      </c>
      <c r="E8" s="9" t="n">
        <f aca="false">Assumptions!B37</f>
        <v>0.2</v>
      </c>
    </row>
    <row r="9" customFormat="false" ht="15" hidden="false" customHeight="false" outlineLevel="0" collapsed="false">
      <c r="A9" s="6" t="s">
        <v>28</v>
      </c>
      <c r="B9" s="7" t="n">
        <v>0.61</v>
      </c>
      <c r="C9" s="8" t="n">
        <f aca="false">'Relative &amp; Normalized'!C9</f>
        <v>0.909219877898483</v>
      </c>
      <c r="D9" s="7" t="n">
        <v>1.43</v>
      </c>
      <c r="E9" s="9" t="n">
        <f aca="false">Assumptions!B38</f>
        <v>0.2</v>
      </c>
    </row>
    <row r="10" customFormat="false" ht="15" hidden="false" customHeight="false" outlineLevel="0" collapsed="false">
      <c r="A10" s="10" t="s">
        <v>29</v>
      </c>
      <c r="B10" s="11" t="n">
        <f aca="false">SUMPRODUCT(B6:B9,$E$6:$E$9)</f>
        <v>0.302</v>
      </c>
      <c r="C10" s="11" t="n">
        <f aca="false">SUMPRODUCT(C6:C9,$E$6:$E$9)</f>
        <v>0.756704789598169</v>
      </c>
      <c r="D10" s="11" t="n">
        <f aca="false">SUMPRODUCT(D6:D9,$E$6:$E$9)</f>
        <v>2.046</v>
      </c>
    </row>
    <row r="12" customFormat="false" ht="15" hidden="false" customHeight="false" outlineLevel="0" collapsed="false">
      <c r="A12" s="6" t="s">
        <v>30</v>
      </c>
      <c r="B12" s="8" t="n">
        <f aca="false">Assumptions!B5</f>
        <v>2.19</v>
      </c>
    </row>
    <row r="13" customFormat="false" ht="15" hidden="false" customHeight="false" outlineLevel="0" collapsed="false">
      <c r="A13" s="6" t="s">
        <v>31</v>
      </c>
      <c r="B13" s="12" t="n">
        <f aca="false">C10/Assumptions!B5-1</f>
        <v>-0.654472698813621</v>
      </c>
    </row>
    <row r="15" customFormat="false" ht="15" hidden="false" customHeight="false" outlineLevel="0" collapsed="false">
      <c r="A15" s="1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33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34</v>
      </c>
    </row>
    <row r="5" customFormat="false" ht="15" hidden="false" customHeight="false" outlineLevel="0" collapsed="false">
      <c r="A5" s="5" t="s">
        <v>35</v>
      </c>
      <c r="B5" s="5" t="s">
        <v>21</v>
      </c>
      <c r="C5" s="5" t="s">
        <v>22</v>
      </c>
      <c r="D5" s="5" t="s">
        <v>23</v>
      </c>
    </row>
    <row r="6" customFormat="false" ht="15" hidden="false" customHeight="false" outlineLevel="0" collapsed="false">
      <c r="A6" s="14" t="s">
        <v>25</v>
      </c>
      <c r="B6" s="8" t="n">
        <f aca="false">Summary!B6</f>
        <v>0.05</v>
      </c>
      <c r="C6" s="8" t="n">
        <f aca="false">Summary!C6</f>
        <v>0.533988597838447</v>
      </c>
      <c r="D6" s="8" t="n">
        <f aca="false">Summary!D6</f>
        <v>2.81</v>
      </c>
    </row>
    <row r="7" customFormat="false" ht="15" hidden="false" customHeight="false" outlineLevel="0" collapsed="false">
      <c r="A7" s="14" t="s">
        <v>26</v>
      </c>
      <c r="B7" s="8" t="n">
        <f aca="false">Summary!B7</f>
        <v>0.05</v>
      </c>
      <c r="C7" s="8" t="n">
        <f aca="false">Summary!C7</f>
        <v>0.439283407880179</v>
      </c>
      <c r="D7" s="8" t="n">
        <f aca="false">Summary!D7</f>
        <v>0.92</v>
      </c>
    </row>
    <row r="8" customFormat="false" ht="15" hidden="false" customHeight="false" outlineLevel="0" collapsed="false">
      <c r="A8" s="14" t="s">
        <v>27</v>
      </c>
      <c r="B8" s="8" t="n">
        <f aca="false">Summary!B8</f>
        <v>0.75</v>
      </c>
      <c r="C8" s="8" t="n">
        <f aca="false">Summary!C8</f>
        <v>1.36704346653529</v>
      </c>
      <c r="D8" s="8" t="n">
        <f aca="false">Summary!D8</f>
        <v>2.26</v>
      </c>
    </row>
    <row r="9" customFormat="false" ht="15" hidden="false" customHeight="false" outlineLevel="0" collapsed="false">
      <c r="A9" s="14" t="s">
        <v>28</v>
      </c>
      <c r="B9" s="8" t="n">
        <f aca="false">Summary!B9</f>
        <v>0.61</v>
      </c>
      <c r="C9" s="8" t="n">
        <f aca="false">Summary!C9</f>
        <v>0.909219877898483</v>
      </c>
      <c r="D9" s="8" t="n">
        <f aca="false">Summary!D9</f>
        <v>1.43</v>
      </c>
    </row>
    <row r="10" customFormat="false" ht="15" hidden="false" customHeight="false" outlineLevel="0" collapsed="false">
      <c r="A10" s="10" t="s">
        <v>29</v>
      </c>
      <c r="B10" s="15" t="n">
        <f aca="false">Summary!B10</f>
        <v>0.302</v>
      </c>
      <c r="C10" s="15" t="n">
        <f aca="false">Summary!C10</f>
        <v>0.756704789598169</v>
      </c>
      <c r="D10" s="15" t="n">
        <f aca="false">Summary!D10</f>
        <v>2.046</v>
      </c>
    </row>
    <row r="11" customFormat="false" ht="15" hidden="false" customHeight="false" outlineLevel="0" collapsed="false">
      <c r="A11" s="6" t="s">
        <v>36</v>
      </c>
      <c r="B11" s="8" t="n">
        <f aca="false">Assumptions!B5</f>
        <v>2.19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7" min="4" style="0" width="12"/>
    <col collapsed="false" customWidth="true" hidden="false" outlineLevel="0" max="8" min="8" style="0" width="60"/>
    <col collapsed="false" customWidth="true" hidden="false" outlineLevel="0" max="9" min="9" style="0" width="12"/>
  </cols>
  <sheetData>
    <row r="1" customFormat="false" ht="16.15" hidden="false" customHeight="false" outlineLevel="0" collapsed="false">
      <c r="A1" s="1" t="s">
        <v>37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38</v>
      </c>
    </row>
    <row r="4" customFormat="false" ht="15" hidden="false" customHeight="false" outlineLevel="0" collapsed="false">
      <c r="A4" s="16" t="s">
        <v>39</v>
      </c>
    </row>
    <row r="5" customFormat="false" ht="15" hidden="false" customHeight="false" outlineLevel="0" collapsed="false">
      <c r="A5" s="6" t="s">
        <v>40</v>
      </c>
      <c r="B5" s="7" t="n">
        <v>2.19</v>
      </c>
      <c r="C5" s="13" t="s">
        <v>41</v>
      </c>
    </row>
    <row r="6" customFormat="false" ht="15" hidden="false" customHeight="false" outlineLevel="0" collapsed="false">
      <c r="A6" s="6" t="s">
        <v>42</v>
      </c>
      <c r="B6" s="17" t="n">
        <v>3313.540373</v>
      </c>
      <c r="C6" s="13" t="s">
        <v>43</v>
      </c>
    </row>
    <row r="7" customFormat="false" ht="15" hidden="false" customHeight="false" outlineLevel="0" collapsed="false">
      <c r="A7" s="6" t="s">
        <v>44</v>
      </c>
      <c r="B7" s="18" t="n">
        <v>0.225</v>
      </c>
      <c r="C7" s="13" t="s">
        <v>45</v>
      </c>
    </row>
    <row r="8" customFormat="false" ht="15" hidden="false" customHeight="false" outlineLevel="0" collapsed="false">
      <c r="A8" s="16" t="s">
        <v>46</v>
      </c>
    </row>
    <row r="9" customFormat="false" ht="15" hidden="false" customHeight="false" outlineLevel="0" collapsed="false">
      <c r="A9" s="6" t="s">
        <v>47</v>
      </c>
      <c r="B9" s="18" t="n">
        <v>0.2231</v>
      </c>
      <c r="C9" s="13" t="s">
        <v>48</v>
      </c>
    </row>
    <row r="10" customFormat="false" ht="15" hidden="false" customHeight="false" outlineLevel="0" collapsed="false">
      <c r="A10" s="6" t="s">
        <v>49</v>
      </c>
      <c r="B10" s="18" t="n">
        <v>0.034</v>
      </c>
      <c r="C10" s="13" t="s">
        <v>50</v>
      </c>
    </row>
    <row r="11" customFormat="false" ht="15" hidden="false" customHeight="false" outlineLevel="0" collapsed="false">
      <c r="A11" s="6" t="s">
        <v>51</v>
      </c>
      <c r="B11" s="12" t="n">
        <f aca="false">B9-B10</f>
        <v>0.1891</v>
      </c>
    </row>
    <row r="12" customFormat="false" ht="15" hidden="false" customHeight="false" outlineLevel="0" collapsed="false">
      <c r="A12" s="6" t="s">
        <v>52</v>
      </c>
      <c r="B12" s="18" t="n">
        <v>0.0941</v>
      </c>
      <c r="C12" s="13" t="s">
        <v>53</v>
      </c>
    </row>
    <row r="13" customFormat="false" ht="15" hidden="false" customHeight="false" outlineLevel="0" collapsed="false">
      <c r="A13" s="6" t="s">
        <v>54</v>
      </c>
      <c r="B13" s="7" t="n">
        <v>0.964</v>
      </c>
      <c r="C13" s="13" t="s">
        <v>55</v>
      </c>
    </row>
    <row r="14" customFormat="false" ht="15" hidden="false" customHeight="false" outlineLevel="0" collapsed="false">
      <c r="A14" s="6" t="s">
        <v>56</v>
      </c>
      <c r="B14" s="12" t="n">
        <f aca="false">B11+B13*B12</f>
        <v>0.2798124</v>
      </c>
    </row>
    <row r="15" customFormat="false" ht="15" hidden="false" customHeight="false" outlineLevel="0" collapsed="false">
      <c r="A15" s="6" t="s">
        <v>57</v>
      </c>
      <c r="B15" s="18" t="n">
        <v>0.235</v>
      </c>
      <c r="C15" s="13" t="s">
        <v>58</v>
      </c>
    </row>
    <row r="16" customFormat="false" ht="15" hidden="false" customHeight="false" outlineLevel="0" collapsed="false">
      <c r="A16" s="6" t="s">
        <v>59</v>
      </c>
      <c r="B16" s="12" t="n">
        <f aca="false">B15*(1-B7)</f>
        <v>0.182125</v>
      </c>
    </row>
    <row r="17" customFormat="false" ht="15" hidden="false" customHeight="false" outlineLevel="0" collapsed="false">
      <c r="A17" s="6" t="s">
        <v>60</v>
      </c>
      <c r="B17" s="6" t="n">
        <f aca="false">B5*B6</f>
        <v>7256.65341687</v>
      </c>
    </row>
    <row r="18" customFormat="false" ht="15" hidden="false" customHeight="false" outlineLevel="0" collapsed="false">
      <c r="A18" s="6" t="s">
        <v>61</v>
      </c>
      <c r="B18" s="17" t="n">
        <v>9000</v>
      </c>
      <c r="C18" s="13" t="s">
        <v>62</v>
      </c>
    </row>
    <row r="19" customFormat="false" ht="15" hidden="false" customHeight="false" outlineLevel="0" collapsed="false">
      <c r="A19" s="6" t="s">
        <v>63</v>
      </c>
      <c r="B19" s="12" t="n">
        <f aca="false">B17/(B17+B18)</f>
        <v>0.446380520688198</v>
      </c>
    </row>
    <row r="20" customFormat="false" ht="15" hidden="false" customHeight="false" outlineLevel="0" collapsed="false">
      <c r="A20" s="19" t="s">
        <v>64</v>
      </c>
      <c r="B20" s="20" t="n">
        <f aca="false">B19*B14+(1-B19)*B16</f>
        <v>0.225730752476676</v>
      </c>
    </row>
    <row r="21" customFormat="false" ht="15" hidden="false" customHeight="false" outlineLevel="0" collapsed="false">
      <c r="A21" s="6" t="s">
        <v>65</v>
      </c>
      <c r="B21" s="18" t="n">
        <v>0.105</v>
      </c>
      <c r="C21" s="13" t="s">
        <v>66</v>
      </c>
    </row>
    <row r="22" customFormat="false" ht="15" hidden="false" customHeight="false" outlineLevel="0" collapsed="false">
      <c r="A22" s="6" t="s">
        <v>67</v>
      </c>
      <c r="B22" s="18" t="n">
        <v>0.07</v>
      </c>
      <c r="C22" s="13" t="s">
        <v>68</v>
      </c>
    </row>
    <row r="23" customFormat="false" ht="15" hidden="false" customHeight="false" outlineLevel="0" collapsed="false">
      <c r="A23" s="6" t="s">
        <v>69</v>
      </c>
      <c r="B23" s="12" t="n">
        <f aca="false">B21+B13*B22</f>
        <v>0.17248</v>
      </c>
    </row>
    <row r="24" customFormat="false" ht="15" hidden="false" customHeight="false" outlineLevel="0" collapsed="false">
      <c r="A24" s="6" t="s">
        <v>70</v>
      </c>
      <c r="B24" s="18" t="n">
        <v>0.15</v>
      </c>
      <c r="C24" s="13" t="s">
        <v>71</v>
      </c>
    </row>
    <row r="25" customFormat="false" ht="15" hidden="false" customHeight="false" outlineLevel="0" collapsed="false">
      <c r="A25" s="19" t="s">
        <v>72</v>
      </c>
      <c r="B25" s="20" t="n">
        <f aca="false">B19*B23+(1-B19)*B24*(1-B7)</f>
        <v>0.141349976678297</v>
      </c>
    </row>
    <row r="26" customFormat="false" ht="15" hidden="false" customHeight="false" outlineLevel="0" collapsed="false">
      <c r="A26" s="6" t="s">
        <v>73</v>
      </c>
      <c r="B26" s="18" t="n">
        <v>0.05</v>
      </c>
      <c r="C26" s="13" t="s">
        <v>74</v>
      </c>
    </row>
    <row r="27" customFormat="false" ht="15" hidden="false" customHeight="false" outlineLevel="0" collapsed="false">
      <c r="A27" s="16" t="s">
        <v>75</v>
      </c>
    </row>
    <row r="28" customFormat="false" ht="15" hidden="false" customHeight="false" outlineLevel="0" collapsed="false">
      <c r="A28" s="6" t="s">
        <v>76</v>
      </c>
      <c r="B28" s="17" t="n">
        <v>8800</v>
      </c>
      <c r="C28" s="13" t="s">
        <v>77</v>
      </c>
    </row>
    <row r="29" customFormat="false" ht="15" hidden="false" customHeight="false" outlineLevel="0" collapsed="false">
      <c r="A29" s="6" t="s">
        <v>78</v>
      </c>
      <c r="B29" s="17" t="n">
        <v>0</v>
      </c>
      <c r="C29" s="13" t="s">
        <v>79</v>
      </c>
    </row>
    <row r="30" customFormat="false" ht="15" hidden="false" customHeight="false" outlineLevel="0" collapsed="false">
      <c r="A30" s="16" t="s">
        <v>80</v>
      </c>
    </row>
    <row r="31" customFormat="false" ht="15" hidden="false" customHeight="false" outlineLevel="0" collapsed="false">
      <c r="A31" s="6" t="s">
        <v>81</v>
      </c>
      <c r="B31" s="21" t="n">
        <v>5.5</v>
      </c>
      <c r="C31" s="13" t="s">
        <v>82</v>
      </c>
    </row>
    <row r="32" customFormat="false" ht="15" hidden="false" customHeight="false" outlineLevel="0" collapsed="false">
      <c r="A32" s="6" t="s">
        <v>83</v>
      </c>
      <c r="B32" s="21" t="n">
        <v>6.5</v>
      </c>
      <c r="C32" s="13" t="s">
        <v>84</v>
      </c>
    </row>
    <row r="33" customFormat="false" ht="15" hidden="false" customHeight="false" outlineLevel="0" collapsed="false">
      <c r="A33" s="6" t="s">
        <v>85</v>
      </c>
      <c r="B33" s="18" t="n">
        <v>0.14</v>
      </c>
      <c r="C33" s="13" t="s">
        <v>86</v>
      </c>
    </row>
    <row r="34" customFormat="false" ht="15" hidden="false" customHeight="false" outlineLevel="0" collapsed="false">
      <c r="A34" s="6" t="s">
        <v>87</v>
      </c>
      <c r="B34" s="17" t="n">
        <v>4100</v>
      </c>
      <c r="C34" s="13" t="s">
        <v>88</v>
      </c>
    </row>
    <row r="35" customFormat="false" ht="15" hidden="false" customHeight="false" outlineLevel="0" collapsed="false">
      <c r="A35" s="6" t="s">
        <v>89</v>
      </c>
      <c r="B35" s="18" t="n">
        <v>0.4</v>
      </c>
    </row>
    <row r="36" customFormat="false" ht="15" hidden="false" customHeight="false" outlineLevel="0" collapsed="false">
      <c r="A36" s="6" t="s">
        <v>90</v>
      </c>
      <c r="B36" s="18" t="n">
        <v>0.2</v>
      </c>
    </row>
    <row r="37" customFormat="false" ht="15" hidden="false" customHeight="false" outlineLevel="0" collapsed="false">
      <c r="A37" s="6" t="s">
        <v>91</v>
      </c>
      <c r="B37" s="18" t="n">
        <v>0.2</v>
      </c>
    </row>
    <row r="38" customFormat="false" ht="15" hidden="false" customHeight="false" outlineLevel="0" collapsed="false">
      <c r="A38" s="6" t="s">
        <v>92</v>
      </c>
      <c r="B38" s="18" t="n">
        <v>0.2</v>
      </c>
    </row>
    <row r="39" customFormat="false" ht="15" hidden="false" customHeight="false" outlineLevel="0" collapsed="false">
      <c r="A39" s="16" t="s">
        <v>93</v>
      </c>
    </row>
    <row r="40" customFormat="false" ht="15" hidden="false" customHeight="false" outlineLevel="0" collapsed="false">
      <c r="A40" s="19" t="s">
        <v>94</v>
      </c>
      <c r="C40" s="5" t="s">
        <v>95</v>
      </c>
      <c r="D40" s="5" t="s">
        <v>96</v>
      </c>
      <c r="E40" s="5" t="s">
        <v>97</v>
      </c>
      <c r="F40" s="5" t="s">
        <v>98</v>
      </c>
      <c r="G40" s="5" t="s">
        <v>99</v>
      </c>
    </row>
    <row r="41" customFormat="false" ht="15" hidden="false" customHeight="false" outlineLevel="0" collapsed="false">
      <c r="A41" s="6" t="s">
        <v>100</v>
      </c>
      <c r="C41" s="18" t="n">
        <v>-0.196</v>
      </c>
      <c r="D41" s="18" t="n">
        <v>0.14</v>
      </c>
      <c r="E41" s="18" t="n">
        <v>0.12</v>
      </c>
      <c r="F41" s="18" t="n">
        <v>0.1</v>
      </c>
      <c r="G41" s="18" t="n">
        <v>0.08</v>
      </c>
      <c r="H41" s="13" t="s">
        <v>101</v>
      </c>
    </row>
    <row r="42" customFormat="false" ht="15" hidden="false" customHeight="false" outlineLevel="0" collapsed="false">
      <c r="A42" s="6" t="s">
        <v>102</v>
      </c>
      <c r="C42" s="18" t="n">
        <v>0.13</v>
      </c>
      <c r="D42" s="18" t="n">
        <v>0.16</v>
      </c>
      <c r="E42" s="18" t="n">
        <v>0.175</v>
      </c>
      <c r="F42" s="18" t="n">
        <v>0.185</v>
      </c>
      <c r="G42" s="18" t="n">
        <v>0.19</v>
      </c>
      <c r="H42" s="13" t="s">
        <v>103</v>
      </c>
    </row>
    <row r="43" customFormat="false" ht="15" hidden="false" customHeight="false" outlineLevel="0" collapsed="false">
      <c r="A43" s="6" t="s">
        <v>104</v>
      </c>
      <c r="C43" s="18" t="n">
        <v>0.013</v>
      </c>
      <c r="D43" s="18" t="n">
        <v>0.013</v>
      </c>
      <c r="E43" s="18" t="n">
        <v>0.013</v>
      </c>
      <c r="F43" s="18" t="n">
        <v>0.013</v>
      </c>
      <c r="G43" s="18" t="n">
        <v>0.013</v>
      </c>
    </row>
    <row r="44" customFormat="false" ht="15" hidden="false" customHeight="false" outlineLevel="0" collapsed="false">
      <c r="A44" s="6" t="s">
        <v>105</v>
      </c>
      <c r="C44" s="18" t="n">
        <v>0.016</v>
      </c>
      <c r="D44" s="18" t="n">
        <v>0.016</v>
      </c>
      <c r="E44" s="18" t="n">
        <v>0.016</v>
      </c>
      <c r="F44" s="18" t="n">
        <v>0.016</v>
      </c>
      <c r="G44" s="18" t="n">
        <v>0.016</v>
      </c>
      <c r="H44" s="13" t="s">
        <v>106</v>
      </c>
    </row>
    <row r="45" customFormat="false" ht="15" hidden="false" customHeight="false" outlineLevel="0" collapsed="false">
      <c r="A45" s="6" t="s">
        <v>107</v>
      </c>
      <c r="C45" s="18" t="n">
        <v>1.08</v>
      </c>
      <c r="D45" s="18" t="n">
        <v>1.03</v>
      </c>
      <c r="E45" s="18" t="n">
        <v>0.98</v>
      </c>
      <c r="F45" s="18" t="n">
        <v>0.93</v>
      </c>
      <c r="G45" s="18" t="n">
        <v>0.88</v>
      </c>
      <c r="H45" s="13" t="s">
        <v>108</v>
      </c>
    </row>
    <row r="46" customFormat="false" ht="15" hidden="false" customHeight="false" outlineLevel="0" collapsed="false">
      <c r="A46" s="6" t="s">
        <v>109</v>
      </c>
      <c r="C46" s="18" t="n">
        <v>0.235</v>
      </c>
      <c r="D46" s="18" t="n">
        <v>0.21</v>
      </c>
      <c r="E46" s="18" t="n">
        <v>0.19</v>
      </c>
      <c r="F46" s="18" t="n">
        <v>0.17</v>
      </c>
      <c r="G46" s="18" t="n">
        <v>0.155</v>
      </c>
      <c r="H46" s="13" t="s">
        <v>110</v>
      </c>
    </row>
    <row r="47" customFormat="false" ht="15" hidden="false" customHeight="false" outlineLevel="0" collapsed="false">
      <c r="A47" s="6" t="s">
        <v>111</v>
      </c>
      <c r="C47" s="12" t="n">
        <f aca="false">($C$46-C46)/($C$46-$G$46)</f>
        <v>0</v>
      </c>
      <c r="D47" s="12" t="n">
        <f aca="false">($C$46-D46)/($C$46-$G$46)</f>
        <v>0.3125</v>
      </c>
      <c r="E47" s="12" t="n">
        <f aca="false">($C$46-E46)/($C$46-$G$46)</f>
        <v>0.5625</v>
      </c>
      <c r="F47" s="12" t="n">
        <f aca="false">($C$46-F46)/($C$46-$G$46)</f>
        <v>0.8125</v>
      </c>
      <c r="G47" s="12" t="n">
        <f aca="false">($C$46-G46)/($C$46-$G$46)</f>
        <v>1</v>
      </c>
    </row>
    <row r="48" customFormat="false" ht="15" hidden="false" customHeight="false" outlineLevel="0" collapsed="false">
      <c r="A48" s="6" t="s">
        <v>112</v>
      </c>
      <c r="C48" s="12" t="n">
        <f aca="false">$B$20-($B$20-$B$25)*C47</f>
        <v>0.225730752476676</v>
      </c>
      <c r="D48" s="12" t="n">
        <f aca="false">$B$20-($B$20-$B$25)*D47</f>
        <v>0.199361760039683</v>
      </c>
      <c r="E48" s="12" t="n">
        <f aca="false">$B$20-($B$20-$B$25)*E47</f>
        <v>0.178266566090088</v>
      </c>
      <c r="F48" s="12" t="n">
        <f aca="false">$B$20-($B$20-$B$25)*F47</f>
        <v>0.157171372140493</v>
      </c>
      <c r="G48" s="12" t="n">
        <f aca="false">$B$20-($B$20-$B$25)*G47</f>
        <v>0.141349976678297</v>
      </c>
    </row>
    <row r="49" customFormat="false" ht="15" hidden="false" customHeight="false" outlineLevel="0" collapsed="false">
      <c r="A49" s="6" t="s">
        <v>113</v>
      </c>
      <c r="C49" s="22" t="n">
        <f aca="false">1/(1+C48)</f>
        <v>0.815839855514295</v>
      </c>
      <c r="D49" s="22" t="n">
        <f aca="false">C49/(1+D48)</f>
        <v>0.6802283370176</v>
      </c>
      <c r="E49" s="22" t="n">
        <f aca="false">D49/(1+E48)</f>
        <v>0.577312771654756</v>
      </c>
      <c r="F49" s="22" t="n">
        <f aca="false">E49/(1+F48)</f>
        <v>0.498899977612532</v>
      </c>
      <c r="G49" s="22" t="n">
        <f aca="false">F49/(1+G48)</f>
        <v>0.437113933330507</v>
      </c>
    </row>
    <row r="50" customFormat="false" ht="15" hidden="false" customHeight="false" outlineLevel="0" collapsed="false">
      <c r="A50" s="16" t="s">
        <v>114</v>
      </c>
    </row>
    <row r="51" customFormat="false" ht="15" hidden="false" customHeight="false" outlineLevel="0" collapsed="false">
      <c r="A51" s="6" t="s">
        <v>115</v>
      </c>
      <c r="B51" s="17" t="n">
        <v>10819</v>
      </c>
      <c r="C51" s="13" t="s">
        <v>116</v>
      </c>
    </row>
    <row r="52" customFormat="false" ht="15" hidden="false" customHeight="false" outlineLevel="0" collapsed="false">
      <c r="A52" s="6" t="s">
        <v>117</v>
      </c>
      <c r="B52" s="17" t="n">
        <v>12000</v>
      </c>
      <c r="C52" s="13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119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120</v>
      </c>
    </row>
    <row r="5" customFormat="false" ht="15" hidden="false" customHeight="false" outlineLevel="0" collapsed="false">
      <c r="A5" s="10" t="s">
        <v>121</v>
      </c>
      <c r="B5" s="23" t="n">
        <f aca="false">DCF!B26</f>
        <v>10569.3927776594</v>
      </c>
    </row>
    <row r="6" customFormat="false" ht="15" hidden="false" customHeight="false" outlineLevel="0" collapsed="false">
      <c r="A6" s="14" t="s">
        <v>122</v>
      </c>
      <c r="B6" s="6" t="n">
        <v>0</v>
      </c>
    </row>
    <row r="7" customFormat="false" ht="15" hidden="false" customHeight="false" outlineLevel="0" collapsed="false">
      <c r="A7" s="14" t="s">
        <v>123</v>
      </c>
      <c r="B7" s="24" t="n">
        <f aca="false">-Assumptions!B28</f>
        <v>-8800</v>
      </c>
    </row>
    <row r="8" customFormat="false" ht="15" hidden="false" customHeight="false" outlineLevel="0" collapsed="false">
      <c r="A8" s="14" t="s">
        <v>124</v>
      </c>
      <c r="B8" s="24" t="n">
        <f aca="false">-Assumptions!B29</f>
        <v>-0</v>
      </c>
    </row>
    <row r="9" customFormat="false" ht="15" hidden="false" customHeight="false" outlineLevel="0" collapsed="false">
      <c r="A9" s="10" t="s">
        <v>125</v>
      </c>
      <c r="B9" s="23" t="n">
        <f aca="false">B5+B6+B7+B8</f>
        <v>1769.39277765935</v>
      </c>
    </row>
    <row r="10" customFormat="false" ht="15" hidden="false" customHeight="false" outlineLevel="0" collapsed="false">
      <c r="A10" s="10" t="s">
        <v>126</v>
      </c>
      <c r="B10" s="15" t="n">
        <f aca="false">B9/Assumptions!B6</f>
        <v>0.533988597838447</v>
      </c>
    </row>
    <row r="11" customFormat="false" ht="15" hidden="false" customHeight="false" outlineLevel="0" collapsed="false">
      <c r="A11" s="10" t="s">
        <v>127</v>
      </c>
      <c r="B11" s="25" t="n">
        <f aca="false">B10/Assumptions!B5-1</f>
        <v>-0.756169590028107</v>
      </c>
    </row>
    <row r="13" customFormat="false" ht="15" hidden="false" customHeight="false" outlineLevel="0" collapsed="false">
      <c r="A13" s="5" t="s">
        <v>128</v>
      </c>
    </row>
    <row r="14" customFormat="false" ht="15" hidden="false" customHeight="false" outlineLevel="0" collapsed="false">
      <c r="A14" s="6" t="s">
        <v>129</v>
      </c>
      <c r="B14" s="24" t="n">
        <f aca="false">Assumptions!B17</f>
        <v>7256.65341687</v>
      </c>
    </row>
    <row r="15" customFormat="false" ht="15" hidden="false" customHeight="false" outlineLevel="0" collapsed="false">
      <c r="A15" s="6" t="s">
        <v>130</v>
      </c>
      <c r="B15" s="6" t="n">
        <f aca="false">B14+Assumptions!B28</f>
        <v>16056.65341687</v>
      </c>
    </row>
    <row r="16" customFormat="false" ht="15" hidden="false" customHeight="false" outlineLevel="0" collapsed="false">
      <c r="A16" s="6" t="s">
        <v>131</v>
      </c>
      <c r="B16" s="26" t="n">
        <f aca="false">B15/Segments!F9</f>
        <v>10.1201518655457</v>
      </c>
    </row>
    <row r="17" customFormat="false" ht="15" hidden="false" customHeight="false" outlineLevel="0" collapsed="false">
      <c r="A17" s="6" t="s">
        <v>132</v>
      </c>
      <c r="B17" s="26" t="n">
        <f aca="false">B15/Segments!D9</f>
        <v>5.59213086272187</v>
      </c>
    </row>
    <row r="19" customFormat="false" ht="15" hidden="false" customHeight="false" outlineLevel="0" collapsed="false">
      <c r="A19" s="13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134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135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10" t="s">
        <v>139</v>
      </c>
      <c r="B6" s="27" t="n">
        <v>8673.4</v>
      </c>
      <c r="C6" s="27" t="n">
        <v>13778.2</v>
      </c>
      <c r="D6" s="27" t="n">
        <v>10819</v>
      </c>
      <c r="E6" s="23" t="n">
        <f aca="false">Assumptions!$B$51*(1+Assumptions!C41)</f>
        <v>8698.476</v>
      </c>
      <c r="F6" s="23" t="n">
        <f aca="false">E6*(1+Assumptions!D41)</f>
        <v>9916.26264</v>
      </c>
      <c r="G6" s="23" t="n">
        <f aca="false">F6*(1+Assumptions!E41)</f>
        <v>11106.2141568</v>
      </c>
      <c r="H6" s="23" t="n">
        <f aca="false">G6*(1+Assumptions!F41)</f>
        <v>12216.83557248</v>
      </c>
      <c r="I6" s="23" t="n">
        <f aca="false">H6*(1+Assumptions!G41)</f>
        <v>13194.1824182784</v>
      </c>
    </row>
    <row r="7" customFormat="false" ht="15" hidden="false" customHeight="false" outlineLevel="0" collapsed="false">
      <c r="A7" s="14" t="s">
        <v>140</v>
      </c>
      <c r="E7" s="6" t="n">
        <f aca="false">E6*2/3</f>
        <v>5798.984</v>
      </c>
      <c r="F7" s="6" t="n">
        <f aca="false">F6*2/3</f>
        <v>6610.84176</v>
      </c>
      <c r="G7" s="6" t="n">
        <f aca="false">G6*2/3</f>
        <v>7404.1427712</v>
      </c>
      <c r="H7" s="6" t="n">
        <f aca="false">H6*2/3</f>
        <v>8144.55704832</v>
      </c>
      <c r="I7" s="6" t="n">
        <f aca="false">I6*2/3</f>
        <v>8796.1216121856</v>
      </c>
    </row>
    <row r="8" customFormat="false" ht="15" hidden="false" customHeight="false" outlineLevel="0" collapsed="false">
      <c r="A8" s="14" t="s">
        <v>141</v>
      </c>
      <c r="E8" s="6" t="n">
        <f aca="false">E6/3</f>
        <v>2899.492</v>
      </c>
      <c r="F8" s="6" t="n">
        <f aca="false">F6/3</f>
        <v>3305.42088</v>
      </c>
      <c r="G8" s="6" t="n">
        <f aca="false">G6/3</f>
        <v>3702.0713856</v>
      </c>
      <c r="H8" s="6" t="n">
        <f aca="false">H6/3</f>
        <v>4072.27852416</v>
      </c>
      <c r="I8" s="6" t="n">
        <f aca="false">I6/3</f>
        <v>4398.0608060928</v>
      </c>
    </row>
    <row r="9" customFormat="false" ht="15" hidden="false" customHeight="false" outlineLevel="0" collapsed="false">
      <c r="A9" s="14" t="s">
        <v>142</v>
      </c>
      <c r="B9" s="17" t="n">
        <v>2661.03638064516</v>
      </c>
      <c r="C9" s="17" t="n">
        <v>3490</v>
      </c>
      <c r="D9" s="17" t="n">
        <v>2871.29429032258</v>
      </c>
      <c r="E9" s="24" t="n">
        <f aca="false">E6*Assumptions!C42</f>
        <v>1130.80188</v>
      </c>
      <c r="F9" s="24" t="n">
        <f aca="false">F6*Assumptions!D42</f>
        <v>1586.6020224</v>
      </c>
      <c r="G9" s="24" t="n">
        <f aca="false">G6*Assumptions!E42</f>
        <v>1943.58747744</v>
      </c>
      <c r="H9" s="24" t="n">
        <f aca="false">H6*Assumptions!F42</f>
        <v>2260.1145809088</v>
      </c>
      <c r="I9" s="24" t="n">
        <f aca="false">I6*Assumptions!G42</f>
        <v>2506.8946594729</v>
      </c>
    </row>
    <row r="10" customFormat="false" ht="15" hidden="false" customHeight="false" outlineLevel="0" collapsed="false">
      <c r="A10" s="14" t="s">
        <v>102</v>
      </c>
      <c r="B10" s="12" t="n">
        <f aca="false">B9/B6</f>
        <v>0.306804295967575</v>
      </c>
      <c r="C10" s="12" t="n">
        <f aca="false">C9/C6</f>
        <v>0.253298689233717</v>
      </c>
      <c r="D10" s="12" t="n">
        <f aca="false">D9/D6</f>
        <v>0.26539368613759</v>
      </c>
      <c r="E10" s="12" t="n">
        <f aca="false">E9/E6</f>
        <v>0.13</v>
      </c>
      <c r="F10" s="12" t="n">
        <f aca="false">F9/F6</f>
        <v>0.16</v>
      </c>
      <c r="G10" s="12" t="n">
        <f aca="false">G9/G6</f>
        <v>0.175</v>
      </c>
      <c r="H10" s="12" t="n">
        <f aca="false">H9/H6</f>
        <v>0.185</v>
      </c>
      <c r="I10" s="12" t="n">
        <f aca="false">I9/I6</f>
        <v>0.19</v>
      </c>
    </row>
    <row r="11" customFormat="false" ht="15" hidden="false" customHeight="false" outlineLevel="0" collapsed="false">
      <c r="A11" s="14" t="s">
        <v>143</v>
      </c>
      <c r="B11" s="17" t="n">
        <v>60.7138</v>
      </c>
      <c r="C11" s="17" t="n">
        <v>90</v>
      </c>
      <c r="D11" s="17" t="n">
        <v>75.733</v>
      </c>
      <c r="E11" s="24" t="n">
        <f aca="false">E6*Assumptions!C43</f>
        <v>113.080188</v>
      </c>
      <c r="F11" s="24" t="n">
        <f aca="false">F6*Assumptions!D43</f>
        <v>128.91141432</v>
      </c>
      <c r="G11" s="24" t="n">
        <f aca="false">G6*Assumptions!E43</f>
        <v>144.3807840384</v>
      </c>
      <c r="H11" s="24" t="n">
        <f aca="false">H6*Assumptions!F43</f>
        <v>158.81886244224</v>
      </c>
      <c r="I11" s="24" t="n">
        <f aca="false">I6*Assumptions!G43</f>
        <v>171.524371437619</v>
      </c>
    </row>
    <row r="12" customFormat="false" ht="15" hidden="false" customHeight="false" outlineLevel="0" collapsed="false">
      <c r="A12" s="10" t="s">
        <v>144</v>
      </c>
      <c r="B12" s="27" t="n">
        <v>2600.32258064516</v>
      </c>
      <c r="C12" s="27" t="n">
        <v>3400</v>
      </c>
      <c r="D12" s="27" t="n">
        <v>2795.56129032258</v>
      </c>
      <c r="E12" s="19" t="n">
        <f aca="false">E9-E11</f>
        <v>1017.721692</v>
      </c>
      <c r="F12" s="19" t="n">
        <f aca="false">F9-F11</f>
        <v>1457.69060808</v>
      </c>
      <c r="G12" s="19" t="n">
        <f aca="false">G9-G11</f>
        <v>1799.2066934016</v>
      </c>
      <c r="H12" s="19" t="n">
        <f aca="false">H9-H11</f>
        <v>2101.29571846656</v>
      </c>
      <c r="I12" s="19" t="n">
        <f aca="false">I9-I11</f>
        <v>2335.37028803528</v>
      </c>
    </row>
    <row r="14" customFormat="false" ht="15" hidden="false" customHeight="false" outlineLevel="0" collapsed="false">
      <c r="A14" s="1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7" min="3" style="0" width="12"/>
  </cols>
  <sheetData>
    <row r="1" customFormat="false" ht="16.15" hidden="false" customHeight="false" outlineLevel="0" collapsed="false">
      <c r="A1" s="1" t="s">
        <v>146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147</v>
      </c>
    </row>
    <row r="5" customFormat="false" ht="15" hidden="false" customHeight="false" outlineLevel="0" collapsed="false">
      <c r="A5" s="5" t="s">
        <v>35</v>
      </c>
      <c r="B5" s="5" t="s">
        <v>148</v>
      </c>
      <c r="C5" s="5" t="s">
        <v>149</v>
      </c>
    </row>
    <row r="6" customFormat="false" ht="15" hidden="false" customHeight="false" outlineLevel="0" collapsed="false">
      <c r="A6" s="6" t="s">
        <v>150</v>
      </c>
      <c r="B6" s="13" t="s">
        <v>151</v>
      </c>
      <c r="C6" s="8" t="n">
        <f aca="false">MAX((Assumptions!B31*Segments!F9-'Balance Sheet'!D11)/Assumptions!B6,0.05)</f>
        <v>0.439283407880179</v>
      </c>
    </row>
    <row r="7" customFormat="false" ht="15" hidden="false" customHeight="false" outlineLevel="0" collapsed="false">
      <c r="A7" s="6" t="s">
        <v>152</v>
      </c>
      <c r="B7" s="13" t="s">
        <v>153</v>
      </c>
      <c r="C7" s="8" t="n">
        <f aca="false">(Segments!G12-Assumptions!B24*6000)*(1-Assumptions!B7)*Assumptions!B32/Assumptions!B6</f>
        <v>1.36704346653529</v>
      </c>
    </row>
    <row r="8" customFormat="false" ht="15" hidden="false" customHeight="false" outlineLevel="0" collapsed="false">
      <c r="A8" s="6" t="s">
        <v>154</v>
      </c>
      <c r="C8" s="8" t="n">
        <f aca="false">(Segments!G12-Assumptions!B24*6000)*(1-Assumptions!B7)/Assumptions!B6</f>
        <v>0.210314379466968</v>
      </c>
    </row>
    <row r="9" customFormat="false" ht="15" hidden="false" customHeight="false" outlineLevel="0" collapsed="false">
      <c r="A9" s="6" t="s">
        <v>155</v>
      </c>
      <c r="B9" s="13" t="s">
        <v>156</v>
      </c>
      <c r="C9" s="8" t="n">
        <f aca="false">MAX((Assumptions!B33-Assumptions!B26)/(Assumptions!B23-Assumptions!B26),0.1)*Assumptions!B34/Assumptions!B6</f>
        <v>0.909219877898483</v>
      </c>
    </row>
    <row r="11" customFormat="false" ht="15" hidden="false" customHeight="false" outlineLevel="0" collapsed="false">
      <c r="A11" s="6" t="s">
        <v>157</v>
      </c>
      <c r="C11" s="26" t="n">
        <f aca="false">Assumptions!B5/(Assumptions!B34/Assumptions!B6)</f>
        <v>1.76991546752927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158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159</v>
      </c>
    </row>
    <row r="4" customFormat="false" ht="15" hidden="false" customHeight="false" outlineLevel="0" collapsed="false">
      <c r="B4" s="5" t="s">
        <v>95</v>
      </c>
      <c r="C4" s="5" t="s">
        <v>96</v>
      </c>
      <c r="D4" s="5" t="s">
        <v>97</v>
      </c>
      <c r="E4" s="5" t="s">
        <v>98</v>
      </c>
      <c r="F4" s="5" t="s">
        <v>99</v>
      </c>
    </row>
    <row r="6" customFormat="false" ht="15" hidden="false" customHeight="false" outlineLevel="0" collapsed="false">
      <c r="A6" s="14" t="s">
        <v>139</v>
      </c>
      <c r="B6" s="24" t="n">
        <f aca="false">Segments!E6</f>
        <v>8698.476</v>
      </c>
      <c r="C6" s="24" t="n">
        <f aca="false">Segments!F6</f>
        <v>9916.26264</v>
      </c>
      <c r="D6" s="24" t="n">
        <f aca="false">Segments!G6</f>
        <v>11106.2141568</v>
      </c>
      <c r="E6" s="24" t="n">
        <f aca="false">Segments!H6</f>
        <v>12216.83557248</v>
      </c>
      <c r="F6" s="24" t="n">
        <f aca="false">Segments!I6</f>
        <v>13194.1824182784</v>
      </c>
    </row>
    <row r="7" customFormat="false" ht="15" hidden="false" customHeight="false" outlineLevel="0" collapsed="false">
      <c r="A7" s="14" t="s">
        <v>142</v>
      </c>
      <c r="B7" s="24" t="n">
        <f aca="false">Segments!E9</f>
        <v>1130.80188</v>
      </c>
      <c r="C7" s="24" t="n">
        <f aca="false">Segments!F9</f>
        <v>1586.6020224</v>
      </c>
      <c r="D7" s="24" t="n">
        <f aca="false">Segments!G9</f>
        <v>1943.58747744</v>
      </c>
      <c r="E7" s="24" t="n">
        <f aca="false">Segments!H9</f>
        <v>2260.1145809088</v>
      </c>
      <c r="F7" s="24" t="n">
        <f aca="false">Segments!I9</f>
        <v>2506.8946594729</v>
      </c>
    </row>
    <row r="8" customFormat="false" ht="15" hidden="false" customHeight="false" outlineLevel="0" collapsed="false">
      <c r="A8" s="14" t="s">
        <v>160</v>
      </c>
      <c r="B8" s="24" t="n">
        <f aca="false">-Segments!E11</f>
        <v>-113.080188</v>
      </c>
      <c r="C8" s="24" t="n">
        <f aca="false">-Segments!F11</f>
        <v>-128.91141432</v>
      </c>
      <c r="D8" s="24" t="n">
        <f aca="false">-Segments!G11</f>
        <v>-144.3807840384</v>
      </c>
      <c r="E8" s="24" t="n">
        <f aca="false">-Segments!H11</f>
        <v>-158.81886244224</v>
      </c>
      <c r="F8" s="24" t="n">
        <f aca="false">-Segments!I11</f>
        <v>-171.524371437619</v>
      </c>
    </row>
    <row r="9" customFormat="false" ht="15" hidden="false" customHeight="false" outlineLevel="0" collapsed="false">
      <c r="A9" s="14" t="s">
        <v>144</v>
      </c>
      <c r="B9" s="24" t="n">
        <f aca="false">Segments!E12</f>
        <v>1017.721692</v>
      </c>
      <c r="C9" s="24" t="n">
        <f aca="false">Segments!F12</f>
        <v>1457.69060808</v>
      </c>
      <c r="D9" s="24" t="n">
        <f aca="false">Segments!G12</f>
        <v>1799.2066934016</v>
      </c>
      <c r="E9" s="24" t="n">
        <f aca="false">Segments!H12</f>
        <v>2101.29571846656</v>
      </c>
      <c r="F9" s="24" t="n">
        <f aca="false">Segments!I12</f>
        <v>2335.37028803528</v>
      </c>
    </row>
    <row r="10" customFormat="false" ht="15" hidden="false" customHeight="false" outlineLevel="0" collapsed="false">
      <c r="A10" s="14" t="s">
        <v>161</v>
      </c>
      <c r="B10" s="24" t="n">
        <f aca="false">B9*(1-Assumptions!$B$7)</f>
        <v>788.7343113</v>
      </c>
      <c r="C10" s="24" t="n">
        <f aca="false">C9*(1-Assumptions!$B$7)</f>
        <v>1129.710221262</v>
      </c>
      <c r="D10" s="24" t="n">
        <f aca="false">D9*(1-Assumptions!$B$7)</f>
        <v>1394.38518738624</v>
      </c>
      <c r="E10" s="24" t="n">
        <f aca="false">E9*(1-Assumptions!$B$7)</f>
        <v>1628.50418181158</v>
      </c>
      <c r="F10" s="24" t="n">
        <f aca="false">F9*(1-Assumptions!$B$7)</f>
        <v>1809.91197322734</v>
      </c>
    </row>
    <row r="11" customFormat="false" ht="15" hidden="false" customHeight="false" outlineLevel="0" collapsed="false">
      <c r="A11" s="14" t="s">
        <v>162</v>
      </c>
      <c r="B11" s="24" t="n">
        <f aca="false">Segments!E11</f>
        <v>113.080188</v>
      </c>
      <c r="C11" s="24" t="n">
        <f aca="false">Segments!F11</f>
        <v>128.91141432</v>
      </c>
      <c r="D11" s="24" t="n">
        <f aca="false">Segments!G11</f>
        <v>144.3807840384</v>
      </c>
      <c r="E11" s="24" t="n">
        <f aca="false">Segments!H11</f>
        <v>158.81886244224</v>
      </c>
      <c r="F11" s="24" t="n">
        <f aca="false">Segments!I11</f>
        <v>171.524371437619</v>
      </c>
    </row>
    <row r="12" customFormat="false" ht="15" hidden="false" customHeight="false" outlineLevel="0" collapsed="false">
      <c r="A12" s="14" t="s">
        <v>163</v>
      </c>
      <c r="B12" s="24" t="n">
        <f aca="false">-B6*Assumptions!C44</f>
        <v>-139.175616</v>
      </c>
      <c r="C12" s="24" t="n">
        <f aca="false">-C6*Assumptions!D44</f>
        <v>-158.66020224</v>
      </c>
      <c r="D12" s="24" t="n">
        <f aca="false">-D6*Assumptions!E44</f>
        <v>-177.6994265088</v>
      </c>
      <c r="E12" s="24" t="n">
        <f aca="false">-E6*Assumptions!F44</f>
        <v>-195.46936915968</v>
      </c>
      <c r="F12" s="24" t="n">
        <f aca="false">-F6*Assumptions!G44</f>
        <v>-211.106918692454</v>
      </c>
    </row>
    <row r="13" customFormat="false" ht="15" hidden="false" customHeight="false" outlineLevel="0" collapsed="false">
      <c r="A13" s="14" t="s">
        <v>164</v>
      </c>
      <c r="B13" s="24" t="n">
        <f aca="false">B6*Assumptions!C45</f>
        <v>9394.35408</v>
      </c>
      <c r="C13" s="24" t="n">
        <f aca="false">C6*Assumptions!D45</f>
        <v>10213.7505192</v>
      </c>
      <c r="D13" s="24" t="n">
        <f aca="false">D6*Assumptions!E45</f>
        <v>10884.089873664</v>
      </c>
      <c r="E13" s="24" t="n">
        <f aca="false">E6*Assumptions!F45</f>
        <v>11361.6570824064</v>
      </c>
      <c r="F13" s="24" t="n">
        <f aca="false">F6*Assumptions!G45</f>
        <v>11610.880528085</v>
      </c>
    </row>
    <row r="14" customFormat="false" ht="15" hidden="false" customHeight="false" outlineLevel="0" collapsed="false">
      <c r="A14" s="14" t="s">
        <v>165</v>
      </c>
      <c r="B14" s="24" t="n">
        <f aca="false">-(B13-Assumptions!$B$52)</f>
        <v>2605.64592</v>
      </c>
      <c r="C14" s="6" t="n">
        <f aca="false">-(C13-B13)</f>
        <v>-819.3964392</v>
      </c>
      <c r="D14" s="6" t="n">
        <f aca="false">-(D13-C13)</f>
        <v>-670.339354464002</v>
      </c>
      <c r="E14" s="6" t="n">
        <f aca="false">-(E13-D13)</f>
        <v>-477.567208742401</v>
      </c>
      <c r="F14" s="6" t="n">
        <f aca="false">-(F13-E13)</f>
        <v>-249.223445678594</v>
      </c>
    </row>
    <row r="15" customFormat="false" ht="15" hidden="false" customHeight="false" outlineLevel="0" collapsed="false">
      <c r="A15" s="10" t="s">
        <v>166</v>
      </c>
      <c r="B15" s="19" t="n">
        <f aca="false">B10+B11+B12+B14</f>
        <v>3368.2848033</v>
      </c>
      <c r="C15" s="19" t="n">
        <f aca="false">C10+C11+C12+C14</f>
        <v>280.564994142</v>
      </c>
      <c r="D15" s="19" t="n">
        <f aca="false">D10+D11+D12+D14</f>
        <v>690.727190451838</v>
      </c>
      <c r="E15" s="19" t="n">
        <f aca="false">E10+E11+E12+E14</f>
        <v>1114.28646635174</v>
      </c>
      <c r="F15" s="19" t="n">
        <f aca="false">F10+F11+F12+F14</f>
        <v>1521.10598029391</v>
      </c>
    </row>
    <row r="16" customFormat="false" ht="15" hidden="false" customHeight="false" outlineLevel="0" collapsed="false">
      <c r="A16" s="14" t="s">
        <v>112</v>
      </c>
      <c r="B16" s="9" t="n">
        <f aca="false">Assumptions!C48</f>
        <v>0.225730752476676</v>
      </c>
      <c r="C16" s="9" t="n">
        <f aca="false">Assumptions!D48</f>
        <v>0.199361760039683</v>
      </c>
      <c r="D16" s="9" t="n">
        <f aca="false">Assumptions!E48</f>
        <v>0.178266566090088</v>
      </c>
      <c r="E16" s="9" t="n">
        <f aca="false">Assumptions!F48</f>
        <v>0.157171372140493</v>
      </c>
      <c r="F16" s="9" t="n">
        <f aca="false">Assumptions!G48</f>
        <v>0.141349976678297</v>
      </c>
    </row>
    <row r="17" customFormat="false" ht="15" hidden="false" customHeight="false" outlineLevel="0" collapsed="false">
      <c r="A17" s="14" t="s">
        <v>113</v>
      </c>
      <c r="B17" s="28" t="n">
        <f aca="false">Assumptions!C49</f>
        <v>0.815839855514295</v>
      </c>
      <c r="C17" s="28" t="n">
        <f aca="false">Assumptions!D49</f>
        <v>0.6802283370176</v>
      </c>
      <c r="D17" s="28" t="n">
        <f aca="false">Assumptions!E49</f>
        <v>0.577312771654756</v>
      </c>
      <c r="E17" s="28" t="n">
        <f aca="false">Assumptions!F49</f>
        <v>0.498899977612532</v>
      </c>
      <c r="F17" s="28" t="n">
        <f aca="false">Assumptions!G49</f>
        <v>0.437113933330507</v>
      </c>
    </row>
    <row r="18" customFormat="false" ht="15" hidden="false" customHeight="false" outlineLevel="0" collapsed="false">
      <c r="A18" s="10" t="s">
        <v>167</v>
      </c>
      <c r="B18" s="19" t="n">
        <f aca="false">B15*B17</f>
        <v>2747.98098725527</v>
      </c>
      <c r="C18" s="19" t="n">
        <f aca="false">C15*C17</f>
        <v>190.848259390566</v>
      </c>
      <c r="D18" s="19" t="n">
        <f aca="false">D15*D17</f>
        <v>398.765628777053</v>
      </c>
      <c r="E18" s="19" t="n">
        <f aca="false">E15*E17</f>
        <v>555.917493116833</v>
      </c>
      <c r="F18" s="19" t="n">
        <f aca="false">F15*F17</f>
        <v>664.896618058828</v>
      </c>
    </row>
    <row r="20" customFormat="false" ht="15" hidden="false" customHeight="false" outlineLevel="0" collapsed="false">
      <c r="A20" s="10" t="s">
        <v>168</v>
      </c>
      <c r="B20" s="19" t="n">
        <f aca="false">SUM(B18:F18)</f>
        <v>4558.40898659855</v>
      </c>
    </row>
    <row r="21" customFormat="false" ht="15" hidden="false" customHeight="false" outlineLevel="0" collapsed="false">
      <c r="A21" s="14" t="s">
        <v>169</v>
      </c>
      <c r="B21" s="12" t="n">
        <f aca="false">F10/(F13+0.05*F6)</f>
        <v>0.1475</v>
      </c>
    </row>
    <row r="22" customFormat="false" ht="15" hidden="false" customHeight="false" outlineLevel="0" collapsed="false">
      <c r="A22" s="14" t="s">
        <v>170</v>
      </c>
      <c r="B22" s="12" t="n">
        <f aca="false">Assumptions!$B$26/B21</f>
        <v>0.338983050847458</v>
      </c>
    </row>
    <row r="23" customFormat="false" ht="15" hidden="false" customHeight="false" outlineLevel="0" collapsed="false">
      <c r="A23" s="14" t="s">
        <v>171</v>
      </c>
      <c r="B23" s="6" t="n">
        <f aca="false">F10*(1+Assumptions!$B$26)*(1-B22)</f>
        <v>1256.20161531626</v>
      </c>
    </row>
    <row r="24" customFormat="false" ht="15" hidden="false" customHeight="false" outlineLevel="0" collapsed="false">
      <c r="A24" s="14" t="s">
        <v>172</v>
      </c>
      <c r="B24" s="6" t="n">
        <f aca="false">B23/(Assumptions!$B$25-Assumptions!$B$26)</f>
        <v>13751.5263932707</v>
      </c>
    </row>
    <row r="25" customFormat="false" ht="15" hidden="false" customHeight="false" outlineLevel="0" collapsed="false">
      <c r="A25" s="14" t="s">
        <v>173</v>
      </c>
      <c r="B25" s="6" t="n">
        <f aca="false">B24*F17</f>
        <v>6010.98379106081</v>
      </c>
    </row>
    <row r="26" customFormat="false" ht="15" hidden="false" customHeight="false" outlineLevel="0" collapsed="false">
      <c r="A26" s="10" t="s">
        <v>174</v>
      </c>
      <c r="B26" s="19" t="n">
        <f aca="false">B20+B25</f>
        <v>10569.3927776594</v>
      </c>
    </row>
    <row r="27" customFormat="false" ht="15" hidden="false" customHeight="false" outlineLevel="0" collapsed="false">
      <c r="A27" s="14" t="s">
        <v>175</v>
      </c>
      <c r="B27" s="12" t="n">
        <f aca="false">B25/B26</f>
        <v>0.568716095381212</v>
      </c>
    </row>
    <row r="28" customFormat="false" ht="15" hidden="false" customHeight="false" outlineLevel="0" collapsed="false">
      <c r="A28" s="14" t="s">
        <v>176</v>
      </c>
      <c r="B28" s="24" t="n">
        <f aca="false">-Assumptions!$B$28</f>
        <v>-8800</v>
      </c>
    </row>
    <row r="29" customFormat="false" ht="15" hidden="false" customHeight="false" outlineLevel="0" collapsed="false">
      <c r="A29" s="14" t="s">
        <v>177</v>
      </c>
      <c r="B29" s="24" t="n">
        <f aca="false">-Assumptions!$B$29</f>
        <v>-0</v>
      </c>
    </row>
    <row r="30" customFormat="false" ht="15" hidden="false" customHeight="false" outlineLevel="0" collapsed="false">
      <c r="A30" s="10" t="s">
        <v>125</v>
      </c>
      <c r="B30" s="19" t="n">
        <f aca="false">B26-Assumptions!$B$28-Assumptions!$B$29</f>
        <v>1769.39277765935</v>
      </c>
    </row>
    <row r="31" customFormat="false" ht="15" hidden="false" customHeight="false" outlineLevel="0" collapsed="false">
      <c r="A31" s="10" t="s">
        <v>178</v>
      </c>
      <c r="B31" s="11" t="n">
        <f aca="false">B30/Assumptions!$B$6</f>
        <v>0.533988597838447</v>
      </c>
    </row>
    <row r="32" customFormat="false" ht="15" hidden="false" customHeight="false" outlineLevel="0" collapsed="false">
      <c r="A32" s="10" t="s">
        <v>127</v>
      </c>
      <c r="B32" s="20" t="n">
        <f aca="false">B31/Assumptions!$B$5-1</f>
        <v>-0.756169590028107</v>
      </c>
    </row>
    <row r="34" customFormat="false" ht="15" hidden="false" customHeight="false" outlineLevel="0" collapsed="false">
      <c r="A34" s="13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180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181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10" t="s">
        <v>139</v>
      </c>
      <c r="B6" s="27" t="n">
        <v>8673.4</v>
      </c>
      <c r="C6" s="27" t="n">
        <v>13778.2</v>
      </c>
      <c r="D6" s="27" t="n">
        <v>10819</v>
      </c>
      <c r="E6" s="23" t="n">
        <f aca="false">Segments!E6</f>
        <v>8698.476</v>
      </c>
      <c r="F6" s="23" t="n">
        <f aca="false">Segments!F6</f>
        <v>9916.26264</v>
      </c>
      <c r="G6" s="23" t="n">
        <f aca="false">Segments!G6</f>
        <v>11106.2141568</v>
      </c>
      <c r="H6" s="23" t="n">
        <f aca="false">Segments!H6</f>
        <v>12216.83557248</v>
      </c>
      <c r="I6" s="23" t="n">
        <f aca="false">Segments!I6</f>
        <v>13194.1824182784</v>
      </c>
    </row>
    <row r="7" customFormat="false" ht="15" hidden="false" customHeight="false" outlineLevel="0" collapsed="false">
      <c r="A7" s="14" t="s">
        <v>142</v>
      </c>
      <c r="B7" s="17" t="n">
        <v>2661.03638064516</v>
      </c>
      <c r="C7" s="17" t="n">
        <v>3490</v>
      </c>
      <c r="D7" s="17" t="n">
        <v>2871.29429032258</v>
      </c>
      <c r="E7" s="24" t="n">
        <f aca="false">Segments!E9</f>
        <v>1130.80188</v>
      </c>
      <c r="F7" s="24" t="n">
        <f aca="false">Segments!F9</f>
        <v>1586.6020224</v>
      </c>
      <c r="G7" s="24" t="n">
        <f aca="false">Segments!G9</f>
        <v>1943.58747744</v>
      </c>
      <c r="H7" s="24" t="n">
        <f aca="false">Segments!H9</f>
        <v>2260.1145809088</v>
      </c>
      <c r="I7" s="24" t="n">
        <f aca="false">Segments!I9</f>
        <v>2506.8946594729</v>
      </c>
    </row>
    <row r="8" customFormat="false" ht="15" hidden="false" customHeight="false" outlineLevel="0" collapsed="false">
      <c r="A8" s="14" t="s">
        <v>143</v>
      </c>
      <c r="B8" s="17" t="n">
        <v>-60.7138</v>
      </c>
      <c r="C8" s="17" t="n">
        <v>-90</v>
      </c>
      <c r="D8" s="17" t="n">
        <v>-75.733</v>
      </c>
      <c r="E8" s="24" t="n">
        <f aca="false">-Segments!E11</f>
        <v>-113.080188</v>
      </c>
      <c r="F8" s="24" t="n">
        <f aca="false">-Segments!F11</f>
        <v>-128.91141432</v>
      </c>
      <c r="G8" s="24" t="n">
        <f aca="false">-Segments!G11</f>
        <v>-144.3807840384</v>
      </c>
      <c r="H8" s="24" t="n">
        <f aca="false">-Segments!H11</f>
        <v>-158.81886244224</v>
      </c>
      <c r="I8" s="24" t="n">
        <f aca="false">-Segments!I11</f>
        <v>-171.524371437619</v>
      </c>
    </row>
    <row r="9" customFormat="false" ht="15" hidden="false" customHeight="false" outlineLevel="0" collapsed="false">
      <c r="A9" s="10" t="s">
        <v>144</v>
      </c>
      <c r="B9" s="27" t="n">
        <v>2600.32258064516</v>
      </c>
      <c r="C9" s="27" t="n">
        <v>3400</v>
      </c>
      <c r="D9" s="27" t="n">
        <v>2795.56129032258</v>
      </c>
      <c r="E9" s="23" t="n">
        <f aca="false">Segments!E12</f>
        <v>1017.721692</v>
      </c>
      <c r="F9" s="23" t="n">
        <f aca="false">Segments!F12</f>
        <v>1457.69060808</v>
      </c>
      <c r="G9" s="23" t="n">
        <f aca="false">Segments!G12</f>
        <v>1799.2066934016</v>
      </c>
      <c r="H9" s="23" t="n">
        <f aca="false">Segments!H12</f>
        <v>2101.29571846656</v>
      </c>
      <c r="I9" s="23" t="n">
        <f aca="false">Segments!I12</f>
        <v>2335.37028803528</v>
      </c>
    </row>
    <row r="10" customFormat="false" ht="15" hidden="false" customHeight="false" outlineLevel="0" collapsed="false">
      <c r="A10" s="14" t="s">
        <v>182</v>
      </c>
      <c r="B10" s="17" t="n">
        <v>-990</v>
      </c>
      <c r="C10" s="17" t="n">
        <v>-1700</v>
      </c>
      <c r="D10" s="17" t="n">
        <v>-2150</v>
      </c>
      <c r="E10" s="24" t="n">
        <f aca="false">-Assumptions!C46*Assumptions!$B$28</f>
        <v>-2068</v>
      </c>
      <c r="F10" s="24" t="n">
        <f aca="false">-Assumptions!D46*'Balance Sheet'!D11</f>
        <v>-1526.85284136</v>
      </c>
      <c r="G10" s="24" t="n">
        <f aca="false">-Assumptions!E46*'Balance Sheet'!E11</f>
        <v>-1555.916702516</v>
      </c>
      <c r="H10" s="24" t="n">
        <f aca="false">-Assumptions!F46*'Balance Sheet'!F11</f>
        <v>-1470.3985580163</v>
      </c>
      <c r="I10" s="24" t="n">
        <f aca="false">-Assumptions!G46*'Balance Sheet'!G11</f>
        <v>-1322.57219480605</v>
      </c>
    </row>
    <row r="11" customFormat="false" ht="15" hidden="false" customHeight="false" outlineLevel="0" collapsed="false">
      <c r="A11" s="10" t="s">
        <v>183</v>
      </c>
      <c r="B11" s="19" t="n">
        <v>1610.32258064516</v>
      </c>
      <c r="C11" s="19" t="n">
        <v>1700</v>
      </c>
      <c r="D11" s="19" t="n">
        <v>645.561290322581</v>
      </c>
      <c r="E11" s="19" t="n">
        <f aca="false">E9+E10</f>
        <v>-1050.278308</v>
      </c>
      <c r="F11" s="19" t="n">
        <f aca="false">F9+F10</f>
        <v>-69.1622332799998</v>
      </c>
      <c r="G11" s="19" t="n">
        <f aca="false">G9+G10</f>
        <v>243.2899908856</v>
      </c>
      <c r="H11" s="19" t="n">
        <f aca="false">H9+H10</f>
        <v>630.897160450264</v>
      </c>
      <c r="I11" s="19" t="n">
        <f aca="false">I9+I10</f>
        <v>1012.79809322923</v>
      </c>
    </row>
    <row r="12" customFormat="false" ht="15" hidden="false" customHeight="false" outlineLevel="0" collapsed="false">
      <c r="A12" s="14" t="s">
        <v>184</v>
      </c>
      <c r="E12" s="6" t="n">
        <f aca="false">SUM($E$11:E11)</f>
        <v>-1050.278308</v>
      </c>
      <c r="F12" s="6" t="n">
        <f aca="false">SUM($E$11:F11)</f>
        <v>-1119.44054128</v>
      </c>
      <c r="G12" s="6" t="n">
        <f aca="false">SUM($E$11:G11)</f>
        <v>-876.150550394399</v>
      </c>
      <c r="H12" s="6" t="n">
        <f aca="false">SUM($E$11:H11)</f>
        <v>-245.253389944135</v>
      </c>
      <c r="I12" s="6" t="n">
        <f aca="false">SUM($E$11:I11)</f>
        <v>767.544703285094</v>
      </c>
    </row>
    <row r="13" customFormat="false" ht="15" hidden="false" customHeight="false" outlineLevel="0" collapsed="false">
      <c r="A13" s="14" t="s">
        <v>185</v>
      </c>
      <c r="B13" s="17" t="n">
        <v>-362.322580645161</v>
      </c>
      <c r="C13" s="17" t="n">
        <v>-372.2</v>
      </c>
      <c r="D13" s="17" t="n">
        <v>-145.251290322581</v>
      </c>
      <c r="E13" s="24" t="n">
        <f aca="false">-Assumptions!$B$7*MAX(0,E12)</f>
        <v>-0</v>
      </c>
      <c r="F13" s="24" t="n">
        <f aca="false">-(Assumptions!$B$7*MAX(0,F12)-Assumptions!$B$7*MAX(0,C12))</f>
        <v>-0</v>
      </c>
      <c r="G13" s="24" t="n">
        <f aca="false">-(Assumptions!$B$7*MAX(0,G12)-Assumptions!$B$7*MAX(0,D12))</f>
        <v>-0</v>
      </c>
      <c r="H13" s="24" t="n">
        <f aca="false">-(Assumptions!$B$7*MAX(0,H12)-Assumptions!$B$7*MAX(0,E12))</f>
        <v>-0</v>
      </c>
      <c r="I13" s="24" t="n">
        <f aca="false">-(Assumptions!$B$7*MAX(0,I12)-Assumptions!$B$7*MAX(0,F12))</f>
        <v>-172.697558239146</v>
      </c>
    </row>
    <row r="14" customFormat="false" ht="15" hidden="false" customHeight="false" outlineLevel="0" collapsed="false">
      <c r="A14" s="10" t="s">
        <v>186</v>
      </c>
      <c r="B14" s="27" t="n">
        <v>1248</v>
      </c>
      <c r="C14" s="27" t="n">
        <v>1327.8</v>
      </c>
      <c r="D14" s="27" t="n">
        <v>500.31</v>
      </c>
      <c r="E14" s="19" t="n">
        <f aca="false">E11+E13</f>
        <v>-1050.278308</v>
      </c>
      <c r="F14" s="19" t="n">
        <f aca="false">F11+F13</f>
        <v>-69.1622332799998</v>
      </c>
      <c r="G14" s="19" t="n">
        <f aca="false">G11+G13</f>
        <v>243.2899908856</v>
      </c>
      <c r="H14" s="19" t="n">
        <f aca="false">H11+H13</f>
        <v>630.897160450264</v>
      </c>
      <c r="I14" s="19" t="n">
        <f aca="false">I11+I13</f>
        <v>840.100534990083</v>
      </c>
    </row>
    <row r="15" customFormat="false" ht="15" hidden="false" customHeight="false" outlineLevel="0" collapsed="false">
      <c r="A15" s="14" t="s">
        <v>187</v>
      </c>
      <c r="B15" s="29" t="n">
        <f aca="false">B14/Assumptions!$B$6</f>
        <v>0.376636424945712</v>
      </c>
      <c r="C15" s="29" t="n">
        <f aca="false">C14/Assumptions!$B$6</f>
        <v>0.400719427117721</v>
      </c>
      <c r="D15" s="29" t="n">
        <f aca="false">D14/Assumptions!$B$6</f>
        <v>0.150989559106241</v>
      </c>
      <c r="E15" s="8" t="n">
        <f aca="false">E14/Assumptions!$B$6</f>
        <v>-0.316965598656371</v>
      </c>
      <c r="F15" s="8" t="n">
        <f aca="false">F14/Assumptions!$B$6</f>
        <v>-0.0208726092017952</v>
      </c>
      <c r="G15" s="8" t="n">
        <f aca="false">G14/Assumptions!$B$6</f>
        <v>0.0734229746732591</v>
      </c>
      <c r="H15" s="8" t="n">
        <f aca="false">H14/Assumptions!$B$6</f>
        <v>0.190399720368901</v>
      </c>
      <c r="I15" s="8" t="n">
        <f aca="false">I14/Assumptions!$B$6</f>
        <v>0.2535356266776</v>
      </c>
    </row>
    <row r="17" customFormat="false" ht="15" hidden="false" customHeight="false" outlineLevel="0" collapsed="false">
      <c r="A17" s="1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189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190</v>
      </c>
    </row>
    <row r="4" customFormat="false" ht="15" hidden="false" customHeight="false" outlineLevel="0" collapsed="false">
      <c r="A4" s="5"/>
      <c r="B4" s="5" t="s">
        <v>137</v>
      </c>
      <c r="C4" s="5" t="s">
        <v>191</v>
      </c>
      <c r="D4" s="5" t="s">
        <v>95</v>
      </c>
      <c r="E4" s="5" t="s">
        <v>96</v>
      </c>
      <c r="F4" s="5" t="s">
        <v>97</v>
      </c>
      <c r="G4" s="5" t="s">
        <v>98</v>
      </c>
      <c r="H4" s="5" t="s">
        <v>99</v>
      </c>
    </row>
    <row r="6" customFormat="false" ht="15" hidden="false" customHeight="false" outlineLevel="0" collapsed="false">
      <c r="A6" s="14" t="s">
        <v>164</v>
      </c>
      <c r="B6" s="17" t="n">
        <v>10500</v>
      </c>
      <c r="C6" s="17" t="n">
        <f aca="false">Assumptions!B52</f>
        <v>12000</v>
      </c>
      <c r="D6" s="24" t="n">
        <f aca="false">DCF!B13</f>
        <v>9394.35408</v>
      </c>
      <c r="E6" s="24" t="n">
        <f aca="false">DCF!C13</f>
        <v>10213.7505192</v>
      </c>
      <c r="F6" s="24" t="n">
        <f aca="false">DCF!D13</f>
        <v>10884.089873664</v>
      </c>
      <c r="G6" s="24" t="n">
        <f aca="false">DCF!E13</f>
        <v>11361.6570824064</v>
      </c>
      <c r="H6" s="24" t="n">
        <f aca="false">DCF!F13</f>
        <v>11610.880528085</v>
      </c>
    </row>
    <row r="7" customFormat="false" ht="15" hidden="false" customHeight="false" outlineLevel="0" collapsed="false">
      <c r="A7" s="14" t="s">
        <v>192</v>
      </c>
      <c r="B7" s="17" t="n">
        <v>650</v>
      </c>
      <c r="C7" s="17" t="n">
        <v>680</v>
      </c>
      <c r="D7" s="24" t="n">
        <f aca="false">C7-DCF!B12-Segments!E11</f>
        <v>706.095428</v>
      </c>
      <c r="E7" s="24" t="n">
        <f aca="false">D7-DCF!C12-Segments!F11</f>
        <v>735.84421592</v>
      </c>
      <c r="F7" s="24" t="n">
        <f aca="false">E7-DCF!D12-Segments!G11</f>
        <v>769.1628583904</v>
      </c>
      <c r="G7" s="24" t="n">
        <f aca="false">F7-DCF!E12-Segments!H11</f>
        <v>805.81336510784</v>
      </c>
      <c r="H7" s="24" t="n">
        <f aca="false">G7-DCF!F12-Segments!I11</f>
        <v>845.395912362675</v>
      </c>
    </row>
    <row r="8" customFormat="false" ht="15" hidden="false" customHeight="false" outlineLevel="0" collapsed="false">
      <c r="A8" s="14" t="s">
        <v>193</v>
      </c>
      <c r="B8" s="17" t="n">
        <v>3000</v>
      </c>
      <c r="C8" s="17" t="n">
        <v>2980</v>
      </c>
      <c r="D8" s="6" t="n">
        <f aca="false">C8</f>
        <v>2980</v>
      </c>
      <c r="E8" s="6" t="n">
        <f aca="false">D8</f>
        <v>2980</v>
      </c>
      <c r="F8" s="6" t="n">
        <f aca="false">E8</f>
        <v>2980</v>
      </c>
      <c r="G8" s="6" t="n">
        <f aca="false">F8</f>
        <v>2980</v>
      </c>
      <c r="H8" s="6" t="n">
        <f aca="false">G8</f>
        <v>2980</v>
      </c>
    </row>
    <row r="9" customFormat="false" ht="15" hidden="false" customHeight="false" outlineLevel="0" collapsed="false">
      <c r="A9" s="10" t="s">
        <v>194</v>
      </c>
      <c r="B9" s="30" t="n">
        <f aca="false">SUM(B6:B8)</f>
        <v>14150</v>
      </c>
      <c r="C9" s="30" t="n">
        <f aca="false">SUM(C6:C8)</f>
        <v>15660</v>
      </c>
      <c r="D9" s="19" t="n">
        <f aca="false">SUM(D6:D8)</f>
        <v>13080.449508</v>
      </c>
      <c r="E9" s="19" t="n">
        <f aca="false">SUM(E6:E8)</f>
        <v>13929.59473512</v>
      </c>
      <c r="F9" s="19" t="n">
        <f aca="false">SUM(F6:F8)</f>
        <v>14633.2527320544</v>
      </c>
      <c r="G9" s="19" t="n">
        <f aca="false">SUM(G6:G8)</f>
        <v>15147.4704475142</v>
      </c>
      <c r="H9" s="19" t="n">
        <f aca="false">SUM(H6:H8)</f>
        <v>15436.2764404477</v>
      </c>
    </row>
    <row r="11" customFormat="false" ht="15" hidden="false" customHeight="false" outlineLevel="0" collapsed="false">
      <c r="A11" s="14" t="s">
        <v>195</v>
      </c>
      <c r="B11" s="17" t="n">
        <v>8172</v>
      </c>
      <c r="C11" s="17" t="n">
        <f aca="false">Assumptions!B28</f>
        <v>8800</v>
      </c>
      <c r="D11" s="24" t="n">
        <f aca="false">Assumptions!$B$28-'Cash Flow'!C12</f>
        <v>7270.727816</v>
      </c>
      <c r="E11" s="24" t="n">
        <f aca="false">D11-'Cash Flow'!D12</f>
        <v>8189.0352764</v>
      </c>
      <c r="F11" s="24" t="n">
        <f aca="false">E11-'Cash Flow'!E12</f>
        <v>8649.4032824488</v>
      </c>
      <c r="G11" s="24" t="n">
        <f aca="false">F11-'Cash Flow'!F12</f>
        <v>8532.72383745838</v>
      </c>
      <c r="H11" s="24" t="n">
        <f aca="false">G11-'Cash Flow'!G12</f>
        <v>7981.42929540173</v>
      </c>
    </row>
    <row r="12" customFormat="false" ht="15" hidden="false" customHeight="false" outlineLevel="0" collapsed="false">
      <c r="A12" s="14" t="s">
        <v>196</v>
      </c>
      <c r="B12" s="17" t="n">
        <f aca="false">Assumptions!B34-500.31</f>
        <v>3599.69</v>
      </c>
      <c r="C12" s="17" t="n">
        <f aca="false">Assumptions!B34</f>
        <v>4100</v>
      </c>
      <c r="D12" s="24" t="n">
        <f aca="false">C12+'Income Statement'!E14</f>
        <v>3049.721692</v>
      </c>
      <c r="E12" s="24" t="n">
        <f aca="false">D12+'Income Statement'!F14</f>
        <v>2980.55945872</v>
      </c>
      <c r="F12" s="24" t="n">
        <f aca="false">E12+'Income Statement'!G14</f>
        <v>3223.8494496056</v>
      </c>
      <c r="G12" s="24" t="n">
        <f aca="false">F12+'Income Statement'!H14</f>
        <v>3854.74661005587</v>
      </c>
      <c r="H12" s="24" t="n">
        <f aca="false">G12+'Income Statement'!I14</f>
        <v>4694.84714504595</v>
      </c>
    </row>
    <row r="13" customFormat="false" ht="15" hidden="false" customHeight="false" outlineLevel="0" collapsed="false">
      <c r="A13" s="14" t="s">
        <v>197</v>
      </c>
      <c r="B13" s="31" t="n">
        <f aca="false">B9-B11-B12</f>
        <v>2378.31</v>
      </c>
      <c r="C13" s="31" t="n">
        <f aca="false">C9-C11-C12</f>
        <v>2760</v>
      </c>
      <c r="D13" s="31" t="n">
        <f aca="false">$C13</f>
        <v>2760</v>
      </c>
      <c r="E13" s="31" t="n">
        <f aca="false">$C13</f>
        <v>2760</v>
      </c>
      <c r="F13" s="31" t="n">
        <f aca="false">$C13</f>
        <v>2760</v>
      </c>
      <c r="G13" s="31" t="n">
        <f aca="false">$C13</f>
        <v>2760</v>
      </c>
      <c r="H13" s="31" t="n">
        <f aca="false">$C13</f>
        <v>2760</v>
      </c>
    </row>
    <row r="14" customFormat="false" ht="15" hidden="false" customHeight="false" outlineLevel="0" collapsed="false">
      <c r="A14" s="10" t="s">
        <v>198</v>
      </c>
      <c r="B14" s="30" t="n">
        <f aca="false">B11+B12+B13</f>
        <v>14150</v>
      </c>
      <c r="C14" s="30" t="n">
        <f aca="false">C11+C12+C13</f>
        <v>15660</v>
      </c>
      <c r="D14" s="19" t="n">
        <f aca="false">D11+D12+D13</f>
        <v>13080.449508</v>
      </c>
      <c r="E14" s="19" t="n">
        <f aca="false">E11+E12+E13</f>
        <v>13929.59473512</v>
      </c>
      <c r="F14" s="19" t="n">
        <f aca="false">F11+F12+F13</f>
        <v>14633.2527320544</v>
      </c>
      <c r="G14" s="19" t="n">
        <f aca="false">G11+G12+G13</f>
        <v>15147.4704475142</v>
      </c>
      <c r="H14" s="19" t="n">
        <f aca="false">H11+H12+H13</f>
        <v>15436.2764404477</v>
      </c>
    </row>
    <row r="15" customFormat="false" ht="15" hidden="false" customHeight="false" outlineLevel="0" collapsed="false">
      <c r="A15" s="10" t="s">
        <v>199</v>
      </c>
      <c r="B15" s="31" t="n">
        <f aca="false">B9-B14</f>
        <v>0</v>
      </c>
      <c r="C15" s="31" t="n">
        <f aca="false">C9-C14</f>
        <v>0</v>
      </c>
      <c r="D15" s="19" t="n">
        <f aca="false">D9-D14</f>
        <v>0</v>
      </c>
      <c r="E15" s="19" t="n">
        <f aca="false">E9-E14</f>
        <v>0</v>
      </c>
      <c r="F15" s="19" t="n">
        <f aca="false">F9-F14</f>
        <v>0</v>
      </c>
      <c r="G15" s="19" t="n">
        <f aca="false">G9-G14</f>
        <v>0</v>
      </c>
      <c r="H15" s="19" t="n">
        <f aca="false">H9-H14</f>
        <v>0</v>
      </c>
    </row>
    <row r="17" customFormat="false" ht="15" hidden="false" customHeight="false" outlineLevel="0" collapsed="false">
      <c r="A17" s="13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201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202</v>
      </c>
    </row>
    <row r="4" customFormat="false" ht="15" hidden="false" customHeight="false" outlineLevel="0" collapsed="false">
      <c r="B4" s="5"/>
      <c r="C4" s="5" t="s">
        <v>95</v>
      </c>
      <c r="D4" s="5" t="s">
        <v>96</v>
      </c>
      <c r="E4" s="5" t="s">
        <v>97</v>
      </c>
      <c r="F4" s="5" t="s">
        <v>98</v>
      </c>
      <c r="G4" s="5" t="s">
        <v>99</v>
      </c>
    </row>
    <row r="6" customFormat="false" ht="15" hidden="false" customHeight="false" outlineLevel="0" collapsed="false">
      <c r="A6" s="14" t="s">
        <v>203</v>
      </c>
      <c r="C6" s="24" t="n">
        <f aca="false">'Income Statement'!E14</f>
        <v>-1050.278308</v>
      </c>
      <c r="D6" s="24" t="n">
        <f aca="false">'Income Statement'!F14</f>
        <v>-69.1622332799998</v>
      </c>
      <c r="E6" s="24" t="n">
        <f aca="false">'Income Statement'!G14</f>
        <v>243.2899908856</v>
      </c>
      <c r="F6" s="24" t="n">
        <f aca="false">'Income Statement'!H14</f>
        <v>630.897160450264</v>
      </c>
      <c r="G6" s="24" t="n">
        <f aca="false">'Income Statement'!I14</f>
        <v>840.100534990083</v>
      </c>
    </row>
    <row r="7" customFormat="false" ht="15" hidden="false" customHeight="false" outlineLevel="0" collapsed="false">
      <c r="A7" s="14" t="s">
        <v>162</v>
      </c>
      <c r="C7" s="24" t="n">
        <f aca="false">Segments!E11</f>
        <v>113.080188</v>
      </c>
      <c r="D7" s="24" t="n">
        <f aca="false">Segments!F11</f>
        <v>128.91141432</v>
      </c>
      <c r="E7" s="24" t="n">
        <f aca="false">Segments!G11</f>
        <v>144.3807840384</v>
      </c>
      <c r="F7" s="24" t="n">
        <f aca="false">Segments!H11</f>
        <v>158.81886244224</v>
      </c>
      <c r="G7" s="24" t="n">
        <f aca="false">Segments!I11</f>
        <v>171.524371437619</v>
      </c>
    </row>
    <row r="8" customFormat="false" ht="15" hidden="false" customHeight="false" outlineLevel="0" collapsed="false">
      <c r="A8" s="14" t="s">
        <v>165</v>
      </c>
      <c r="C8" s="24" t="n">
        <f aca="false">DCF!B14</f>
        <v>2605.64592</v>
      </c>
      <c r="D8" s="24" t="n">
        <f aca="false">DCF!C14</f>
        <v>-819.3964392</v>
      </c>
      <c r="E8" s="24" t="n">
        <f aca="false">DCF!D14</f>
        <v>-670.339354464002</v>
      </c>
      <c r="F8" s="24" t="n">
        <f aca="false">DCF!E14</f>
        <v>-477.567208742401</v>
      </c>
      <c r="G8" s="24" t="n">
        <f aca="false">DCF!F14</f>
        <v>-249.223445678594</v>
      </c>
    </row>
    <row r="9" customFormat="false" ht="15" hidden="false" customHeight="false" outlineLevel="0" collapsed="false">
      <c r="A9" s="14" t="s">
        <v>163</v>
      </c>
      <c r="C9" s="24" t="n">
        <f aca="false">DCF!B12</f>
        <v>-139.175616</v>
      </c>
      <c r="D9" s="24" t="n">
        <f aca="false">DCF!C12</f>
        <v>-158.66020224</v>
      </c>
      <c r="E9" s="24" t="n">
        <f aca="false">DCF!D12</f>
        <v>-177.6994265088</v>
      </c>
      <c r="F9" s="24" t="n">
        <f aca="false">DCF!E12</f>
        <v>-195.46936915968</v>
      </c>
      <c r="G9" s="24" t="n">
        <f aca="false">DCF!F12</f>
        <v>-211.106918692454</v>
      </c>
    </row>
    <row r="10" customFormat="false" ht="15" hidden="false" customHeight="false" outlineLevel="0" collapsed="false">
      <c r="A10" s="10" t="s">
        <v>204</v>
      </c>
      <c r="C10" s="19" t="n">
        <f aca="false">SUM(C6:C9)</f>
        <v>1529.272184</v>
      </c>
      <c r="D10" s="19" t="n">
        <f aca="false">SUM(D6:D9)</f>
        <v>-918.3074604</v>
      </c>
      <c r="E10" s="19" t="n">
        <f aca="false">SUM(E6:E9)</f>
        <v>-460.368006048802</v>
      </c>
      <c r="F10" s="19" t="n">
        <f aca="false">SUM(F6:F9)</f>
        <v>116.679444990423</v>
      </c>
      <c r="G10" s="19" t="n">
        <f aca="false">SUM(G6:G9)</f>
        <v>551.294542056654</v>
      </c>
    </row>
    <row r="11" customFormat="false" ht="15" hidden="false" customHeight="false" outlineLevel="0" collapsed="false">
      <c r="A11" s="14" t="s">
        <v>205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 customFormat="false" ht="15" hidden="false" customHeight="false" outlineLevel="0" collapsed="false">
      <c r="A12" s="10" t="s">
        <v>206</v>
      </c>
      <c r="C12" s="19" t="n">
        <f aca="false">C10+C11</f>
        <v>1529.272184</v>
      </c>
      <c r="D12" s="19" t="n">
        <f aca="false">D10+D11</f>
        <v>-918.3074604</v>
      </c>
      <c r="E12" s="19" t="n">
        <f aca="false">E10+E11</f>
        <v>-460.368006048802</v>
      </c>
      <c r="F12" s="19" t="n">
        <f aca="false">F10+F11</f>
        <v>116.679444990423</v>
      </c>
      <c r="G12" s="19" t="n">
        <f aca="false">G10+G11</f>
        <v>551.294542056654</v>
      </c>
    </row>
    <row r="14" customFormat="false" ht="15" hidden="false" customHeight="false" outlineLevel="0" collapsed="false">
      <c r="A14" s="14" t="s">
        <v>207</v>
      </c>
      <c r="C14" s="24" t="n">
        <f aca="false">DCF!B15</f>
        <v>3368.2848033</v>
      </c>
      <c r="D14" s="24" t="n">
        <f aca="false">DCF!C15</f>
        <v>280.564994142</v>
      </c>
      <c r="E14" s="24" t="n">
        <f aca="false">DCF!D15</f>
        <v>690.727190451838</v>
      </c>
      <c r="F14" s="24" t="n">
        <f aca="false">DCF!E15</f>
        <v>1114.28646635174</v>
      </c>
      <c r="G14" s="24" t="n">
        <f aca="false">DCF!F15</f>
        <v>1521.10598029391</v>
      </c>
    </row>
    <row r="15" customFormat="false" ht="15" hidden="false" customHeight="false" outlineLevel="0" collapsed="false">
      <c r="A15" s="14" t="s">
        <v>208</v>
      </c>
      <c r="C15" s="24" t="n">
        <f aca="false">'Balance Sheet'!D11</f>
        <v>7270.727816</v>
      </c>
      <c r="D15" s="24" t="n">
        <f aca="false">'Balance Sheet'!E11</f>
        <v>8189.0352764</v>
      </c>
      <c r="E15" s="24" t="n">
        <f aca="false">'Balance Sheet'!F11</f>
        <v>8649.4032824488</v>
      </c>
      <c r="F15" s="24" t="n">
        <f aca="false">'Balance Sheet'!G11</f>
        <v>8532.72383745838</v>
      </c>
      <c r="G15" s="24" t="n">
        <f aca="false">'Balance Sheet'!H11</f>
        <v>7981.42929540173</v>
      </c>
    </row>
    <row r="17" customFormat="false" ht="15" hidden="false" customHeight="false" outlineLevel="0" collapsed="false">
      <c r="A17" s="13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210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211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6" t="s">
        <v>139</v>
      </c>
      <c r="B6" s="17" t="n">
        <v>8673.4</v>
      </c>
      <c r="C6" s="17" t="n">
        <v>13778.2</v>
      </c>
      <c r="D6" s="17" t="n">
        <v>10819</v>
      </c>
      <c r="E6" s="24" t="n">
        <f aca="false">'Income Statement'!E6</f>
        <v>8698.476</v>
      </c>
      <c r="F6" s="24" t="n">
        <f aca="false">'Income Statement'!F6</f>
        <v>9916.26264</v>
      </c>
      <c r="G6" s="24" t="n">
        <f aca="false">'Income Statement'!G6</f>
        <v>11106.2141568</v>
      </c>
      <c r="H6" s="24" t="n">
        <f aca="false">'Income Statement'!H6</f>
        <v>12216.83557248</v>
      </c>
      <c r="I6" s="24" t="n">
        <f aca="false">'Income Statement'!I6</f>
        <v>13194.1824182784</v>
      </c>
    </row>
    <row r="7" customFormat="false" ht="15" hidden="false" customHeight="false" outlineLevel="0" collapsed="false">
      <c r="A7" s="6" t="s">
        <v>142</v>
      </c>
      <c r="B7" s="17" t="n">
        <v>2661.03638064516</v>
      </c>
      <c r="C7" s="17" t="n">
        <v>3490</v>
      </c>
      <c r="D7" s="17" t="n">
        <v>2871.29429032258</v>
      </c>
      <c r="E7" s="24" t="n">
        <f aca="false">'Income Statement'!E7</f>
        <v>1130.80188</v>
      </c>
      <c r="F7" s="24" t="n">
        <f aca="false">'Income Statement'!F7</f>
        <v>1586.6020224</v>
      </c>
      <c r="G7" s="24" t="n">
        <f aca="false">'Income Statement'!G7</f>
        <v>1943.58747744</v>
      </c>
      <c r="H7" s="24" t="n">
        <f aca="false">'Income Statement'!H7</f>
        <v>2260.1145809088</v>
      </c>
      <c r="I7" s="24" t="n">
        <f aca="false">'Income Statement'!I7</f>
        <v>2506.8946594729</v>
      </c>
    </row>
    <row r="8" customFormat="false" ht="15" hidden="false" customHeight="false" outlineLevel="0" collapsed="false">
      <c r="A8" s="6" t="s">
        <v>144</v>
      </c>
      <c r="B8" s="17" t="n">
        <v>2600.32258064516</v>
      </c>
      <c r="C8" s="17" t="n">
        <v>3400</v>
      </c>
      <c r="D8" s="17" t="n">
        <v>2795.56129032258</v>
      </c>
      <c r="E8" s="24" t="n">
        <f aca="false">'Income Statement'!E9</f>
        <v>1017.721692</v>
      </c>
      <c r="F8" s="24" t="n">
        <f aca="false">'Income Statement'!F9</f>
        <v>1457.69060808</v>
      </c>
      <c r="G8" s="24" t="n">
        <f aca="false">'Income Statement'!G9</f>
        <v>1799.2066934016</v>
      </c>
      <c r="H8" s="24" t="n">
        <f aca="false">'Income Statement'!H9</f>
        <v>2101.29571846656</v>
      </c>
      <c r="I8" s="24" t="n">
        <f aca="false">'Income Statement'!I9</f>
        <v>2335.37028803528</v>
      </c>
    </row>
    <row r="9" customFormat="false" ht="15" hidden="false" customHeight="false" outlineLevel="0" collapsed="false">
      <c r="A9" s="6" t="s">
        <v>186</v>
      </c>
      <c r="B9" s="17" t="n">
        <v>1248</v>
      </c>
      <c r="C9" s="17" t="n">
        <v>1327.8</v>
      </c>
      <c r="D9" s="17" t="n">
        <v>500.31</v>
      </c>
      <c r="E9" s="24" t="n">
        <f aca="false">'Income Statement'!E14</f>
        <v>-1050.278308</v>
      </c>
      <c r="F9" s="24" t="n">
        <f aca="false">'Income Statement'!F14</f>
        <v>-69.1622332799998</v>
      </c>
      <c r="G9" s="24" t="n">
        <f aca="false">'Income Statement'!G14</f>
        <v>243.2899908856</v>
      </c>
      <c r="H9" s="24" t="n">
        <f aca="false">'Income Statement'!H14</f>
        <v>630.897160450264</v>
      </c>
      <c r="I9" s="24" t="n">
        <f aca="false">'Income Statement'!I14</f>
        <v>840.100534990083</v>
      </c>
    </row>
    <row r="10" customFormat="false" ht="15" hidden="false" customHeight="false" outlineLevel="0" collapsed="false">
      <c r="A10" s="6" t="s">
        <v>212</v>
      </c>
      <c r="D10" s="24" t="n">
        <f aca="false">Assumptions!B28</f>
        <v>8800</v>
      </c>
      <c r="E10" s="24" t="n">
        <f aca="false">'Balance Sheet'!D11</f>
        <v>7270.727816</v>
      </c>
      <c r="F10" s="24" t="n">
        <f aca="false">'Balance Sheet'!E11</f>
        <v>8189.0352764</v>
      </c>
      <c r="G10" s="24" t="n">
        <f aca="false">'Balance Sheet'!F11</f>
        <v>8649.4032824488</v>
      </c>
      <c r="H10" s="24" t="n">
        <f aca="false">'Balance Sheet'!G11</f>
        <v>8532.72383745838</v>
      </c>
      <c r="I10" s="24" t="n">
        <f aca="false">'Balance Sheet'!H11</f>
        <v>7981.42929540173</v>
      </c>
    </row>
    <row r="11" customFormat="false" ht="15" hidden="false" customHeight="false" outlineLevel="0" collapsed="false">
      <c r="A11" s="6" t="s">
        <v>213</v>
      </c>
      <c r="D11" s="24" t="n">
        <f aca="false">Assumptions!B34</f>
        <v>4100</v>
      </c>
      <c r="E11" s="24" t="n">
        <f aca="false">'Balance Sheet'!D12</f>
        <v>3049.721692</v>
      </c>
      <c r="F11" s="24" t="n">
        <f aca="false">'Balance Sheet'!E12</f>
        <v>2980.55945872</v>
      </c>
      <c r="G11" s="24" t="n">
        <f aca="false">'Balance Sheet'!F12</f>
        <v>3223.8494496056</v>
      </c>
      <c r="H11" s="24" t="n">
        <f aca="false">'Balance Sheet'!G12</f>
        <v>3854.74661005587</v>
      </c>
      <c r="I11" s="24" t="n">
        <f aca="false">'Balance Sheet'!H12</f>
        <v>4694.84714504595</v>
      </c>
    </row>
    <row r="12" customFormat="false" ht="15" hidden="false" customHeight="false" outlineLevel="0" collapsed="false">
      <c r="A12" s="6" t="s">
        <v>214</v>
      </c>
      <c r="E12" s="24" t="n">
        <f aca="false">DCF!B15</f>
        <v>3368.2848033</v>
      </c>
      <c r="F12" s="24" t="n">
        <f aca="false">DCF!C15</f>
        <v>280.564994142</v>
      </c>
      <c r="G12" s="24" t="n">
        <f aca="false">DCF!D15</f>
        <v>690.727190451838</v>
      </c>
      <c r="H12" s="24" t="n">
        <f aca="false">DCF!E15</f>
        <v>1114.28646635174</v>
      </c>
      <c r="I12" s="24" t="n">
        <f aca="false">DCF!F15</f>
        <v>1521.10598029391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216</v>
      </c>
    </row>
    <row r="5" customFormat="false" ht="15" hidden="false" customHeight="false" outlineLevel="0" collapsed="false">
      <c r="A5" s="32" t="s">
        <v>217</v>
      </c>
    </row>
    <row r="6" customFormat="false" ht="15" hidden="false" customHeight="false" outlineLevel="0" collapsed="false">
      <c r="A6" s="6" t="s">
        <v>218</v>
      </c>
      <c r="B6" s="12" t="n">
        <v>0.6135</v>
      </c>
    </row>
    <row r="7" customFormat="false" ht="15" hidden="false" customHeight="false" outlineLevel="0" collapsed="false">
      <c r="A7" s="6" t="s">
        <v>219</v>
      </c>
      <c r="B7" s="33" t="s">
        <v>220</v>
      </c>
    </row>
    <row r="8" customFormat="false" ht="15" hidden="false" customHeight="false" outlineLevel="0" collapsed="false">
      <c r="A8" s="6" t="s">
        <v>221</v>
      </c>
      <c r="B8" s="33" t="s">
        <v>222</v>
      </c>
    </row>
    <row r="9" customFormat="false" ht="15" hidden="false" customHeight="false" outlineLevel="0" collapsed="false">
      <c r="A9" s="6" t="s">
        <v>223</v>
      </c>
      <c r="B9" s="33" t="s">
        <v>224</v>
      </c>
    </row>
    <row r="10" customFormat="false" ht="15" hidden="false" customHeight="false" outlineLevel="0" collapsed="false">
      <c r="A10" s="6" t="s">
        <v>225</v>
      </c>
      <c r="B10" s="33" t="s">
        <v>226</v>
      </c>
    </row>
    <row r="12" customFormat="false" ht="15" hidden="false" customHeight="false" outlineLevel="0" collapsed="false">
      <c r="A12" s="5" t="s">
        <v>227</v>
      </c>
    </row>
    <row r="13" customFormat="false" ht="15" hidden="false" customHeight="false" outlineLevel="0" collapsed="false">
      <c r="A13" s="5" t="s">
        <v>228</v>
      </c>
      <c r="B13" s="5" t="s">
        <v>229</v>
      </c>
      <c r="C13" s="5" t="s">
        <v>230</v>
      </c>
      <c r="D13" s="5" t="s">
        <v>231</v>
      </c>
      <c r="E13" s="5" t="s">
        <v>232</v>
      </c>
      <c r="F13" s="5" t="s">
        <v>233</v>
      </c>
    </row>
    <row r="14" customFormat="false" ht="15" hidden="false" customHeight="false" outlineLevel="0" collapsed="false">
      <c r="A14" s="6" t="s">
        <v>234</v>
      </c>
      <c r="B14" s="29" t="n">
        <v>1.91</v>
      </c>
      <c r="C14" s="29" t="n">
        <v>2.1</v>
      </c>
      <c r="D14" s="29" t="n">
        <v>2.22</v>
      </c>
      <c r="E14" s="29" t="n">
        <v>2.35</v>
      </c>
      <c r="F14" s="29" t="n">
        <v>2.59</v>
      </c>
    </row>
    <row r="15" customFormat="false" ht="15" hidden="false" customHeight="false" outlineLevel="0" collapsed="false">
      <c r="A15" s="6" t="s">
        <v>235</v>
      </c>
      <c r="B15" s="29" t="n">
        <v>1.71</v>
      </c>
      <c r="C15" s="29" t="n">
        <v>2.06</v>
      </c>
      <c r="D15" s="29" t="n">
        <v>2.29</v>
      </c>
      <c r="E15" s="29" t="n">
        <v>2.55</v>
      </c>
      <c r="F15" s="29" t="n">
        <v>3.07</v>
      </c>
    </row>
    <row r="17" customFormat="false" ht="15" hidden="false" customHeight="false" outlineLevel="0" collapsed="false">
      <c r="A17" s="5" t="s">
        <v>236</v>
      </c>
    </row>
    <row r="18" customFormat="false" ht="15" hidden="false" customHeight="false" outlineLevel="0" collapsed="false">
      <c r="A18" s="5" t="s">
        <v>237</v>
      </c>
      <c r="B18" s="5" t="s">
        <v>234</v>
      </c>
      <c r="C18" s="5" t="s">
        <v>235</v>
      </c>
    </row>
    <row r="19" customFormat="false" ht="15" hidden="false" customHeight="false" outlineLevel="0" collapsed="false">
      <c r="A19" s="29" t="n">
        <v>3</v>
      </c>
      <c r="B19" s="12" t="n">
        <v>0.00645</v>
      </c>
      <c r="C19" s="12" t="n">
        <v>0.09835</v>
      </c>
    </row>
    <row r="20" customFormat="false" ht="15" hidden="false" customHeight="false" outlineLevel="0" collapsed="false">
      <c r="A20" s="29" t="n">
        <v>2.75</v>
      </c>
      <c r="B20" s="12" t="n">
        <v>0.0259</v>
      </c>
      <c r="C20" s="12" t="n">
        <v>0.21765</v>
      </c>
    </row>
    <row r="21" customFormat="false" ht="15" hidden="false" customHeight="false" outlineLevel="0" collapsed="false">
      <c r="A21" s="29" t="n">
        <v>2.5</v>
      </c>
      <c r="B21" s="12" t="n">
        <v>0.1412</v>
      </c>
      <c r="C21" s="12" t="n">
        <v>0.47315</v>
      </c>
    </row>
    <row r="22" customFormat="false" ht="15" hidden="false" customHeight="false" outlineLevel="0" collapsed="false">
      <c r="A22" s="29" t="n">
        <v>2.35</v>
      </c>
      <c r="B22" s="12" t="n">
        <v>0.39565</v>
      </c>
      <c r="C22" s="12" t="n">
        <v>0.70025</v>
      </c>
    </row>
    <row r="23" customFormat="false" ht="15" hidden="false" customHeight="false" outlineLevel="0" collapsed="false">
      <c r="A23" s="29" t="n">
        <v>2.19</v>
      </c>
      <c r="B23" s="12" t="n">
        <v>1</v>
      </c>
      <c r="C23" s="12" t="n">
        <v>1</v>
      </c>
    </row>
    <row r="24" customFormat="false" ht="15" hidden="false" customHeight="false" outlineLevel="0" collapsed="false">
      <c r="A24" s="29" t="n">
        <v>2.05</v>
      </c>
      <c r="B24" s="12" t="n">
        <v>0.31065</v>
      </c>
      <c r="C24" s="12" t="n">
        <v>0.54345</v>
      </c>
    </row>
    <row r="25" customFormat="false" ht="15" hidden="false" customHeight="false" outlineLevel="0" collapsed="false">
      <c r="A25" s="29" t="n">
        <v>1.9</v>
      </c>
      <c r="B25" s="12" t="n">
        <v>0.07835</v>
      </c>
      <c r="C25" s="12" t="n">
        <v>0.27225</v>
      </c>
    </row>
    <row r="26" customFormat="false" ht="15" hidden="false" customHeight="false" outlineLevel="0" collapsed="false">
      <c r="A26" s="29" t="n">
        <v>1.7</v>
      </c>
      <c r="B26" s="12" t="n">
        <v>0.0113</v>
      </c>
      <c r="C26" s="12" t="n">
        <v>0.09345</v>
      </c>
    </row>
    <row r="28" customFormat="false" ht="15" hidden="false" customHeight="false" outlineLevel="0" collapsed="false">
      <c r="A28" s="5" t="s">
        <v>238</v>
      </c>
    </row>
    <row r="29" customFormat="false" ht="15" hidden="false" customHeight="false" outlineLevel="0" collapsed="false">
      <c r="A29" s="6" t="s">
        <v>239</v>
      </c>
      <c r="B29" s="33" t="s">
        <v>240</v>
      </c>
      <c r="C29" s="12" t="n">
        <v>0.0814</v>
      </c>
    </row>
    <row r="30" customFormat="false" ht="15" hidden="false" customHeight="false" outlineLevel="0" collapsed="false">
      <c r="A30" s="6" t="s">
        <v>241</v>
      </c>
      <c r="B30" s="33" t="s">
        <v>242</v>
      </c>
      <c r="C30" s="12" t="n">
        <v>0.1618</v>
      </c>
    </row>
    <row r="31" customFormat="false" ht="15" hidden="false" customHeight="false" outlineLevel="0" collapsed="false">
      <c r="A31" s="6" t="s">
        <v>243</v>
      </c>
      <c r="B31" s="33" t="s">
        <v>244</v>
      </c>
      <c r="C31" s="12" t="n">
        <v>0.32145</v>
      </c>
    </row>
    <row r="32" customFormat="false" ht="15" hidden="false" customHeight="false" outlineLevel="0" collapsed="false">
      <c r="A32" s="6" t="s">
        <v>245</v>
      </c>
      <c r="B32" s="33" t="s">
        <v>246</v>
      </c>
      <c r="C32" s="12" t="n">
        <v>0.27745</v>
      </c>
    </row>
    <row r="33" customFormat="false" ht="15" hidden="false" customHeight="false" outlineLevel="0" collapsed="false">
      <c r="A33" s="6" t="s">
        <v>247</v>
      </c>
      <c r="B33" s="33" t="s">
        <v>248</v>
      </c>
      <c r="C33" s="12" t="n">
        <v>0.1579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249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250</v>
      </c>
    </row>
    <row r="5" customFormat="false" ht="15" hidden="false" customHeight="false" outlineLevel="0" collapsed="false">
      <c r="A5" s="6" t="s">
        <v>251</v>
      </c>
      <c r="B5" s="8" t="n">
        <f aca="false">DCF!B31</f>
        <v>0.533988597838447</v>
      </c>
    </row>
    <row r="7" customFormat="false" ht="15" hidden="false" customHeight="false" outlineLevel="0" collapsed="false">
      <c r="A7" s="5" t="s">
        <v>252</v>
      </c>
    </row>
    <row r="8" customFormat="false" ht="15" hidden="false" customHeight="false" outlineLevel="0" collapsed="false">
      <c r="A8" s="5" t="s">
        <v>253</v>
      </c>
      <c r="B8" s="34" t="n">
        <v>0.03</v>
      </c>
      <c r="C8" s="34" t="n">
        <v>0.04</v>
      </c>
      <c r="D8" s="34" t="n">
        <v>0.05</v>
      </c>
      <c r="E8" s="34" t="n">
        <v>0.06</v>
      </c>
      <c r="F8" s="34" t="n">
        <v>0.07</v>
      </c>
    </row>
    <row r="9" customFormat="false" ht="15" hidden="false" customHeight="false" outlineLevel="0" collapsed="false">
      <c r="A9" s="12" t="n">
        <v>0.121349976678297</v>
      </c>
      <c r="B9" s="29" t="n">
        <v>0.98</v>
      </c>
      <c r="C9" s="29" t="n">
        <v>1.07</v>
      </c>
      <c r="D9" s="29" t="n">
        <v>1.17</v>
      </c>
      <c r="E9" s="29" t="n">
        <v>1.3</v>
      </c>
      <c r="F9" s="29" t="n">
        <v>1.48</v>
      </c>
    </row>
    <row r="10" customFormat="false" ht="15" hidden="false" customHeight="false" outlineLevel="0" collapsed="false">
      <c r="A10" s="12" t="n">
        <v>0.131349976678297</v>
      </c>
      <c r="B10" s="29" t="n">
        <v>0.71</v>
      </c>
      <c r="C10" s="29" t="n">
        <v>0.76</v>
      </c>
      <c r="D10" s="29" t="n">
        <v>0.81</v>
      </c>
      <c r="E10" s="29" t="n">
        <v>0.88</v>
      </c>
      <c r="F10" s="29" t="n">
        <v>0.97</v>
      </c>
    </row>
    <row r="11" customFormat="false" ht="15" hidden="false" customHeight="false" outlineLevel="0" collapsed="false">
      <c r="A11" s="12" t="n">
        <v>0.141349976678297</v>
      </c>
      <c r="B11" s="29" t="n">
        <v>0.48</v>
      </c>
      <c r="C11" s="29" t="n">
        <v>0.51</v>
      </c>
      <c r="D11" s="29" t="n">
        <v>0.53</v>
      </c>
      <c r="E11" s="29" t="n">
        <v>0.57</v>
      </c>
      <c r="F11" s="29" t="n">
        <v>0.6</v>
      </c>
    </row>
    <row r="12" customFormat="false" ht="15" hidden="false" customHeight="false" outlineLevel="0" collapsed="false">
      <c r="A12" s="12" t="n">
        <v>0.151349976678297</v>
      </c>
      <c r="B12" s="29" t="n">
        <v>0.29</v>
      </c>
      <c r="C12" s="29" t="n">
        <v>0.3</v>
      </c>
      <c r="D12" s="29" t="n">
        <v>0.31</v>
      </c>
      <c r="E12" s="29" t="n">
        <v>0.32</v>
      </c>
      <c r="F12" s="29" t="n">
        <v>0.32</v>
      </c>
    </row>
    <row r="13" customFormat="false" ht="15" hidden="false" customHeight="false" outlineLevel="0" collapsed="false">
      <c r="A13" s="12" t="n">
        <v>0.161349976678297</v>
      </c>
      <c r="B13" s="29" t="n">
        <v>0.13</v>
      </c>
      <c r="C13" s="29" t="n">
        <v>0.13</v>
      </c>
      <c r="D13" s="29" t="n">
        <v>0.13</v>
      </c>
      <c r="E13" s="29" t="n">
        <v>0.12</v>
      </c>
      <c r="F13" s="29" t="n">
        <v>0.11</v>
      </c>
    </row>
    <row r="15" customFormat="false" ht="15" hidden="false" customHeight="false" outlineLevel="0" collapsed="false">
      <c r="A15" s="5" t="s">
        <v>254</v>
      </c>
    </row>
    <row r="16" customFormat="false" ht="15" hidden="false" customHeight="false" outlineLevel="0" collapsed="false">
      <c r="A16" s="5" t="s">
        <v>255</v>
      </c>
      <c r="B16" s="34" t="n">
        <v>0.121349976678297</v>
      </c>
      <c r="C16" s="34" t="n">
        <v>0.131349976678297</v>
      </c>
      <c r="D16" s="34" t="n">
        <v>0.141349976678297</v>
      </c>
      <c r="E16" s="34" t="n">
        <v>0.151349976678297</v>
      </c>
      <c r="F16" s="34" t="n">
        <v>0.161349976678297</v>
      </c>
    </row>
    <row r="17" customFormat="false" ht="15" hidden="false" customHeight="false" outlineLevel="0" collapsed="false">
      <c r="A17" s="12" t="n">
        <v>0.205730752476676</v>
      </c>
      <c r="B17" s="29" t="n">
        <v>1.3</v>
      </c>
      <c r="C17" s="29" t="n">
        <v>0.93</v>
      </c>
      <c r="D17" s="29" t="n">
        <v>0.64</v>
      </c>
      <c r="E17" s="29" t="n">
        <v>0.41</v>
      </c>
      <c r="F17" s="29" t="n">
        <v>0.21</v>
      </c>
    </row>
    <row r="18" customFormat="false" ht="15" hidden="false" customHeight="false" outlineLevel="0" collapsed="false">
      <c r="A18" s="12" t="n">
        <v>0.215730752476676</v>
      </c>
      <c r="B18" s="29" t="n">
        <v>1.23</v>
      </c>
      <c r="C18" s="29" t="n">
        <v>0.87</v>
      </c>
      <c r="D18" s="29" t="n">
        <v>0.59</v>
      </c>
      <c r="E18" s="29" t="n">
        <v>0.36</v>
      </c>
      <c r="F18" s="29" t="n">
        <v>0.17</v>
      </c>
    </row>
    <row r="19" customFormat="false" ht="15" hidden="false" customHeight="false" outlineLevel="0" collapsed="false">
      <c r="A19" s="12" t="n">
        <v>0.225730752476676</v>
      </c>
      <c r="B19" s="29" t="n">
        <v>1.17</v>
      </c>
      <c r="C19" s="29" t="n">
        <v>0.81</v>
      </c>
      <c r="D19" s="29" t="n">
        <v>0.53</v>
      </c>
      <c r="E19" s="29" t="n">
        <v>0.31</v>
      </c>
      <c r="F19" s="29" t="n">
        <v>0.13</v>
      </c>
    </row>
    <row r="20" customFormat="false" ht="15" hidden="false" customHeight="false" outlineLevel="0" collapsed="false">
      <c r="A20" s="12" t="n">
        <v>0.235730752476676</v>
      </c>
      <c r="B20" s="29" t="n">
        <v>1.11</v>
      </c>
      <c r="C20" s="29" t="n">
        <v>0.76</v>
      </c>
      <c r="D20" s="29" t="n">
        <v>0.48</v>
      </c>
      <c r="E20" s="29" t="n">
        <v>0.26</v>
      </c>
      <c r="F20" s="29" t="n">
        <v>0.08</v>
      </c>
    </row>
    <row r="21" customFormat="false" ht="15" hidden="false" customHeight="false" outlineLevel="0" collapsed="false">
      <c r="A21" s="12" t="n">
        <v>0.245730752476676</v>
      </c>
      <c r="B21" s="29" t="n">
        <v>1.04</v>
      </c>
      <c r="C21" s="29" t="n">
        <v>0.7</v>
      </c>
      <c r="D21" s="29" t="n">
        <v>0.43</v>
      </c>
      <c r="E21" s="29" t="n">
        <v>0.22</v>
      </c>
      <c r="F21" s="29" t="n">
        <v>0.04</v>
      </c>
    </row>
    <row r="23" customFormat="false" ht="15" hidden="false" customHeight="false" outlineLevel="0" collapsed="false">
      <c r="A23" s="5" t="s">
        <v>256</v>
      </c>
    </row>
    <row r="24" customFormat="false" ht="15" hidden="false" customHeight="false" outlineLevel="0" collapsed="false">
      <c r="A24" s="5" t="s">
        <v>257</v>
      </c>
      <c r="B24" s="34" t="n">
        <v>1</v>
      </c>
      <c r="C24" s="34" t="n">
        <v>0.94</v>
      </c>
      <c r="D24" s="34" t="n">
        <v>0.88</v>
      </c>
      <c r="E24" s="34" t="n">
        <v>0.82</v>
      </c>
      <c r="F24" s="34" t="n">
        <v>0.76</v>
      </c>
    </row>
    <row r="25" customFormat="false" ht="15" hidden="false" customHeight="false" outlineLevel="0" collapsed="false">
      <c r="A25" s="35" t="n">
        <v>-0.03</v>
      </c>
      <c r="B25" s="29" t="n">
        <v>-0.53</v>
      </c>
      <c r="C25" s="29" t="n">
        <v>-0.34</v>
      </c>
      <c r="D25" s="29" t="n">
        <v>-0.16</v>
      </c>
      <c r="E25" s="29" t="n">
        <v>0.03</v>
      </c>
      <c r="F25" s="29" t="n">
        <v>0.22</v>
      </c>
    </row>
    <row r="26" customFormat="false" ht="15" hidden="false" customHeight="false" outlineLevel="0" collapsed="false">
      <c r="A26" s="35" t="n">
        <v>-0.015</v>
      </c>
      <c r="B26" s="29" t="n">
        <v>-0.19</v>
      </c>
      <c r="C26" s="29" t="n">
        <v>0</v>
      </c>
      <c r="D26" s="29" t="n">
        <v>0.19</v>
      </c>
      <c r="E26" s="29" t="n">
        <v>0.38</v>
      </c>
      <c r="F26" s="29" t="n">
        <v>0.56</v>
      </c>
    </row>
    <row r="27" customFormat="false" ht="15" hidden="false" customHeight="false" outlineLevel="0" collapsed="false">
      <c r="A27" s="35" t="n">
        <v>0</v>
      </c>
      <c r="B27" s="29" t="n">
        <v>0.16</v>
      </c>
      <c r="C27" s="29" t="n">
        <v>0.35</v>
      </c>
      <c r="D27" s="29" t="n">
        <v>0.53</v>
      </c>
      <c r="E27" s="29" t="n">
        <v>0.72</v>
      </c>
      <c r="F27" s="29" t="n">
        <v>0.91</v>
      </c>
    </row>
    <row r="28" customFormat="false" ht="15" hidden="false" customHeight="false" outlineLevel="0" collapsed="false">
      <c r="A28" s="35" t="n">
        <v>0.015</v>
      </c>
      <c r="B28" s="29" t="n">
        <v>0.5</v>
      </c>
      <c r="C28" s="29" t="n">
        <v>0.69</v>
      </c>
      <c r="D28" s="29" t="n">
        <v>0.88</v>
      </c>
      <c r="E28" s="29" t="n">
        <v>1.07</v>
      </c>
      <c r="F28" s="29" t="n">
        <v>1.25</v>
      </c>
    </row>
    <row r="29" customFormat="false" ht="15" hidden="false" customHeight="false" outlineLevel="0" collapsed="false">
      <c r="A29" s="35" t="n">
        <v>0.03</v>
      </c>
      <c r="B29" s="29" t="n">
        <v>0.85</v>
      </c>
      <c r="C29" s="29" t="n">
        <v>1.04</v>
      </c>
      <c r="D29" s="29" t="n">
        <v>1.22</v>
      </c>
      <c r="E29" s="29" t="n">
        <v>1.41</v>
      </c>
      <c r="F29" s="29" t="n">
        <v>1.6</v>
      </c>
    </row>
    <row r="31" customFormat="false" ht="15" hidden="false" customHeight="false" outlineLevel="0" collapsed="false">
      <c r="A31" s="5" t="s">
        <v>258</v>
      </c>
    </row>
    <row r="32" customFormat="false" ht="15" hidden="false" customHeight="false" outlineLevel="0" collapsed="false">
      <c r="A32" s="5" t="s">
        <v>259</v>
      </c>
      <c r="B32" s="5" t="s">
        <v>260</v>
      </c>
      <c r="C32" s="5" t="s">
        <v>261</v>
      </c>
      <c r="D32" s="5" t="s">
        <v>262</v>
      </c>
      <c r="E32" s="5" t="s">
        <v>263</v>
      </c>
    </row>
    <row r="33" customFormat="false" ht="15" hidden="false" customHeight="false" outlineLevel="0" collapsed="false">
      <c r="A33" s="29" t="n">
        <v>0.6</v>
      </c>
      <c r="B33" s="12" t="n">
        <v>0.24556</v>
      </c>
      <c r="C33" s="12" t="n">
        <v>0.210441148329856</v>
      </c>
      <c r="D33" s="12" t="n">
        <v>0.129976201011162</v>
      </c>
      <c r="E33" s="29" t="n">
        <v>0.86</v>
      </c>
    </row>
    <row r="34" customFormat="false" ht="15" hidden="false" customHeight="false" outlineLevel="0" collapsed="false">
      <c r="A34" s="29" t="n">
        <v>0.78</v>
      </c>
      <c r="B34" s="12" t="n">
        <v>0.262498</v>
      </c>
      <c r="C34" s="12" t="n">
        <v>0.218001941589273</v>
      </c>
      <c r="D34" s="12" t="n">
        <v>0.135600595571833</v>
      </c>
      <c r="E34" s="29" t="n">
        <v>0.69</v>
      </c>
    </row>
    <row r="35" customFormat="false" ht="15" hidden="false" customHeight="false" outlineLevel="0" collapsed="false">
      <c r="A35" s="29" t="n">
        <v>0.8</v>
      </c>
      <c r="B35" s="12" t="n">
        <v>0.26438</v>
      </c>
      <c r="C35" s="12" t="n">
        <v>0.218842029729208</v>
      </c>
      <c r="D35" s="12" t="n">
        <v>0.136225528300797</v>
      </c>
      <c r="E35" s="29" t="n">
        <v>0.67</v>
      </c>
    </row>
    <row r="36" customFormat="false" ht="15" hidden="false" customHeight="false" outlineLevel="0" collapsed="false">
      <c r="A36" s="29" t="n">
        <v>0.964</v>
      </c>
      <c r="B36" s="12" t="n">
        <v>0.2798124</v>
      </c>
      <c r="C36" s="12" t="n">
        <v>0.225730752476676</v>
      </c>
      <c r="D36" s="12" t="n">
        <v>0.141349976678297</v>
      </c>
      <c r="E36" s="29" t="n">
        <v>0.53</v>
      </c>
    </row>
    <row r="37" customFormat="false" ht="15" hidden="false" customHeight="false" outlineLevel="0" collapsed="false">
      <c r="A37" s="29" t="n">
        <v>1</v>
      </c>
      <c r="B37" s="12" t="n">
        <v>0.2832</v>
      </c>
      <c r="C37" s="12" t="n">
        <v>0.22724291112856</v>
      </c>
      <c r="D37" s="12" t="n">
        <v>0.142474855590432</v>
      </c>
      <c r="E37" s="29" t="n">
        <v>0.51</v>
      </c>
    </row>
    <row r="38" customFormat="false" ht="15" hidden="false" customHeight="false" outlineLevel="0" collapsed="false">
      <c r="A38" s="29" t="n">
        <v>1.15</v>
      </c>
      <c r="B38" s="12" t="n">
        <v>0.297315</v>
      </c>
      <c r="C38" s="12" t="n">
        <v>0.233543572178074</v>
      </c>
      <c r="D38" s="12" t="n">
        <v>0.147161851057658</v>
      </c>
      <c r="E38" s="29" t="n">
        <v>0.4</v>
      </c>
    </row>
    <row r="39" customFormat="false" ht="15" hidden="false" customHeight="false" outlineLevel="0" collapsed="false">
      <c r="A39" s="29" t="n">
        <v>1.3</v>
      </c>
      <c r="B39" s="12" t="n">
        <v>0.31143</v>
      </c>
      <c r="C39" s="12" t="n">
        <v>0.239844233227587</v>
      </c>
      <c r="D39" s="12" t="n">
        <v>0.151848846524884</v>
      </c>
      <c r="E39" s="29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265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6" t="s">
        <v>187</v>
      </c>
      <c r="B6" s="29" t="n">
        <f aca="false">'Income Statement'!B14/Assumptions!$B$6</f>
        <v>0.376636424945712</v>
      </c>
      <c r="C6" s="29" t="n">
        <f aca="false">'Income Statement'!C14/Assumptions!$B$6</f>
        <v>0.400719427117721</v>
      </c>
      <c r="D6" s="29" t="n">
        <f aca="false">'Income Statement'!D14/Assumptions!$B$6</f>
        <v>0.150989559106241</v>
      </c>
      <c r="E6" s="29" t="n">
        <f aca="false">'Income Statement'!E14/Assumptions!$B$6</f>
        <v>-0.316965598656371</v>
      </c>
      <c r="F6" s="29" t="n">
        <f aca="false">'Income Statement'!F14/Assumptions!$B$6</f>
        <v>-0.0208726092017952</v>
      </c>
      <c r="G6" s="29" t="n">
        <f aca="false">'Income Statement'!G14/Assumptions!$B$6</f>
        <v>0.0734229746732591</v>
      </c>
      <c r="H6" s="29" t="n">
        <f aca="false">'Income Statement'!H14/Assumptions!$B$6</f>
        <v>0.190399720368901</v>
      </c>
      <c r="I6" s="29" t="n">
        <f aca="false">'Income Statement'!I14/Assumptions!$B$6</f>
        <v>0.2535356266776</v>
      </c>
    </row>
    <row r="7" customFormat="false" ht="15" hidden="false" customHeight="false" outlineLevel="0" collapsed="false">
      <c r="A7" s="6" t="s">
        <v>266</v>
      </c>
      <c r="B7" s="26" t="n">
        <f aca="false">IF('Income Statement'!B14&gt;0,Assumptions!$B$5/('Income Statement'!B14/Assumptions!$B$6),"n.m.")</f>
        <v>5.8146261353125</v>
      </c>
      <c r="C7" s="26" t="n">
        <f aca="false">IF('Income Statement'!C14&gt;0,Assumptions!$B$5/('Income Statement'!C14/Assumptions!$B$6),"n.m.")</f>
        <v>5.46517052031179</v>
      </c>
      <c r="D7" s="26" t="n">
        <f aca="false">IF('Income Statement'!D14&gt;0,Assumptions!$B$5/('Income Statement'!D14/Assumptions!$B$6),"n.m.")</f>
        <v>14.5043141589614</v>
      </c>
      <c r="E7" s="26" t="str">
        <f aca="false">IF('Income Statement'!E14&gt;0,Assumptions!$B$5/('Income Statement'!E14/Assumptions!$B$6),"n.m.")</f>
        <v>n.m.</v>
      </c>
      <c r="F7" s="26" t="str">
        <f aca="false">IF('Income Statement'!F14&gt;0,Assumptions!$B$5/('Income Statement'!F14/Assumptions!$B$6),"n.m.")</f>
        <v>n.m.</v>
      </c>
      <c r="G7" s="26" t="n">
        <f aca="false">IF('Income Statement'!G14&gt;0,Assumptions!$B$5/('Income Statement'!G14/Assumptions!$B$6),"n.m.")</f>
        <v>29.8271761631255</v>
      </c>
      <c r="H7" s="26" t="n">
        <f aca="false">IF('Income Statement'!H14&gt;0,Assumptions!$B$5/('Income Statement'!H14/Assumptions!$B$6),"n.m.")</f>
        <v>11.5021177329297</v>
      </c>
      <c r="I7" s="26" t="n">
        <f aca="false">IF('Income Statement'!I14&gt;0,Assumptions!$B$5/('Income Statement'!I14/Assumptions!$B$6),"n.m.")</f>
        <v>8.63783929974008</v>
      </c>
    </row>
    <row r="8" customFormat="false" ht="15" hidden="false" customHeight="false" outlineLevel="0" collapsed="false">
      <c r="A8" s="6" t="s">
        <v>102</v>
      </c>
      <c r="B8" s="12" t="n">
        <f aca="false">'Income Statement'!B7/'Income Statement'!B6</f>
        <v>0.306804295967575</v>
      </c>
      <c r="C8" s="12" t="n">
        <f aca="false">'Income Statement'!C7/'Income Statement'!C6</f>
        <v>0.253298689233717</v>
      </c>
      <c r="D8" s="12" t="n">
        <f aca="false">'Income Statement'!D7/'Income Statement'!D6</f>
        <v>0.26539368613759</v>
      </c>
      <c r="E8" s="12" t="n">
        <f aca="false">'Income Statement'!E7/'Income Statement'!E6</f>
        <v>0.13</v>
      </c>
      <c r="F8" s="12" t="n">
        <f aca="false">'Income Statement'!F7/'Income Statement'!F6</f>
        <v>0.16</v>
      </c>
      <c r="G8" s="12" t="n">
        <f aca="false">'Income Statement'!G7/'Income Statement'!G6</f>
        <v>0.175</v>
      </c>
      <c r="H8" s="12" t="n">
        <f aca="false">'Income Statement'!H7/'Income Statement'!H6</f>
        <v>0.185</v>
      </c>
      <c r="I8" s="12" t="n">
        <f aca="false">'Income Statement'!I7/'Income Statement'!I6</f>
        <v>0.19</v>
      </c>
    </row>
    <row r="9" customFormat="false" ht="15" hidden="false" customHeight="false" outlineLevel="0" collapsed="false">
      <c r="A9" s="6" t="s">
        <v>267</v>
      </c>
      <c r="B9" s="12" t="n">
        <f aca="false">'Income Statement'!B14/'Income Statement'!B6</f>
        <v>0.143888209929209</v>
      </c>
      <c r="C9" s="12" t="n">
        <f aca="false">'Income Statement'!C14/'Income Statement'!C6</f>
        <v>0.0963696273823867</v>
      </c>
      <c r="D9" s="12" t="n">
        <f aca="false">'Income Statement'!D14/'Income Statement'!D6</f>
        <v>0.0462436454385803</v>
      </c>
      <c r="E9" s="12" t="n">
        <f aca="false">'Income Statement'!E14/'Income Statement'!E6</f>
        <v>-0.12074279540462</v>
      </c>
      <c r="F9" s="12" t="n">
        <f aca="false">'Income Statement'!F14/'Income Statement'!F6</f>
        <v>-0.00697462701330789</v>
      </c>
      <c r="G9" s="12" t="n">
        <f aca="false">'Income Statement'!G14/'Income Statement'!G6</f>
        <v>0.0219057536124172</v>
      </c>
      <c r="H9" s="12" t="n">
        <f aca="false">'Income Statement'!H14/'Income Statement'!H6</f>
        <v>0.0516416183804128</v>
      </c>
      <c r="I9" s="12" t="n">
        <f aca="false">'Income Statement'!I14/'Income Statement'!I6</f>
        <v>0.0636720418406721</v>
      </c>
    </row>
    <row r="10" customFormat="false" ht="15" hidden="false" customHeight="false" outlineLevel="0" collapsed="false">
      <c r="A10" s="6" t="s">
        <v>268</v>
      </c>
      <c r="C10" s="12" t="n">
        <f aca="false">'Income Statement'!C6/'Income Statement'!B6-1</f>
        <v>0.588558120229668</v>
      </c>
      <c r="D10" s="12" t="n">
        <f aca="false">'Income Statement'!D6/'Income Statement'!C6-1</f>
        <v>-0.214774063375477</v>
      </c>
      <c r="E10" s="12" t="n">
        <f aca="false">'Income Statement'!E6/'Income Statement'!D6-1</f>
        <v>-0.196</v>
      </c>
      <c r="F10" s="12" t="n">
        <f aca="false">'Income Statement'!F6/'Income Statement'!E6-1</f>
        <v>0.14</v>
      </c>
      <c r="G10" s="12" t="n">
        <f aca="false">'Income Statement'!G6/'Income Statement'!F6-1</f>
        <v>0.12</v>
      </c>
      <c r="H10" s="12" t="n">
        <f aca="false">'Income Statement'!H6/'Income Statement'!G6-1</f>
        <v>0.1</v>
      </c>
      <c r="I10" s="12" t="n">
        <f aca="false">'Income Statement'!I6/'Income Statement'!H6-1</f>
        <v>0.0800000000000001</v>
      </c>
    </row>
    <row r="11" customFormat="false" ht="15" hidden="false" customHeight="false" outlineLevel="0" collapsed="false">
      <c r="A11" s="6" t="s">
        <v>269</v>
      </c>
      <c r="D11" s="29" t="n">
        <f aca="false">Assumptions!$B$34/Assumptions!$B$6</f>
        <v>1.23734722938896</v>
      </c>
      <c r="E11" s="29" t="n">
        <f aca="false">'Balance Sheet'!D12/Assumptions!$B$6</f>
        <v>0.920381630732586</v>
      </c>
      <c r="F11" s="29" t="n">
        <f aca="false">'Balance Sheet'!E12/Assumptions!$B$6</f>
        <v>0.899509021530791</v>
      </c>
      <c r="G11" s="29" t="n">
        <f aca="false">'Balance Sheet'!F12/Assumptions!$B$6</f>
        <v>0.97293199620405</v>
      </c>
      <c r="H11" s="29" t="n">
        <f aca="false">'Balance Sheet'!G12/Assumptions!$B$6</f>
        <v>1.16333171657295</v>
      </c>
      <c r="I11" s="29" t="n">
        <f aca="false">'Balance Sheet'!H12/Assumptions!$B$6</f>
        <v>1.41686734325055</v>
      </c>
    </row>
    <row r="12" customFormat="false" ht="15" hidden="false" customHeight="false" outlineLevel="0" collapsed="false">
      <c r="A12" s="6" t="s">
        <v>270</v>
      </c>
      <c r="B12" s="36"/>
      <c r="C12" s="36"/>
      <c r="D12" s="26" t="n">
        <f aca="false">Assumptions!$B$5/(Assumptions!$B$34/Assumptions!$B$6)</f>
        <v>1.76991546752927</v>
      </c>
      <c r="E12" s="26" t="n">
        <f aca="false">Assumptions!$B$5/('Balance Sheet'!D12/Assumptions!$B$6)</f>
        <v>2.37944774957846</v>
      </c>
      <c r="F12" s="26" t="n">
        <f aca="false">Assumptions!$B$5/('Balance Sheet'!E12/Assumptions!$B$6)</f>
        <v>2.43466151820584</v>
      </c>
      <c r="G12" s="26" t="n">
        <f aca="false">Assumptions!$B$5/('Balance Sheet'!F12/Assumptions!$B$6)</f>
        <v>2.25092813119973</v>
      </c>
      <c r="H12" s="26" t="n">
        <f aca="false">Assumptions!$B$5/('Balance Sheet'!G12/Assumptions!$B$6)</f>
        <v>1.88252410623816</v>
      </c>
      <c r="I12" s="26" t="n">
        <f aca="false">Assumptions!$B$5/('Balance Sheet'!H12/Assumptions!$B$6)</f>
        <v>1.5456634034459</v>
      </c>
    </row>
    <row r="13" customFormat="false" ht="15" hidden="false" customHeight="false" outlineLevel="0" collapsed="false">
      <c r="A13" s="6" t="s">
        <v>271</v>
      </c>
      <c r="B13" s="36"/>
      <c r="C13" s="36"/>
      <c r="D13" s="26" t="n">
        <f aca="false">Assumptions!$B$28/'Income Statement'!D7</f>
        <v>3.06481994188459</v>
      </c>
      <c r="E13" s="26" t="n">
        <f aca="false">'Balance Sheet'!D11/'Income Statement'!E7</f>
        <v>6.42970969945681</v>
      </c>
      <c r="F13" s="26" t="n">
        <f aca="false">'Balance Sheet'!E11/'Income Statement'!F7</f>
        <v>5.16136697217411</v>
      </c>
      <c r="G13" s="26" t="n">
        <f aca="false">'Balance Sheet'!F11/'Income Statement'!G7</f>
        <v>4.45022587500995</v>
      </c>
      <c r="H13" s="26" t="n">
        <f aca="false">'Balance Sheet'!G11/'Income Statement'!H7</f>
        <v>3.77535011257143</v>
      </c>
      <c r="I13" s="26" t="n">
        <f aca="false">'Balance Sheet'!H11/'Income Statement'!I7</f>
        <v>3.18379125554478</v>
      </c>
    </row>
    <row r="14" customFormat="false" ht="15" hidden="false" customHeight="false" outlineLevel="0" collapsed="false">
      <c r="A14" s="6" t="s">
        <v>272</v>
      </c>
      <c r="D14" s="12" t="n">
        <f aca="false">Assumptions!$B$28/Assumptions!$B$34</f>
        <v>2.14634146341463</v>
      </c>
      <c r="E14" s="12" t="n">
        <f aca="false">'Balance Sheet'!D11/'Balance Sheet'!D12</f>
        <v>2.38406272778021</v>
      </c>
      <c r="F14" s="12" t="n">
        <f aca="false">'Balance Sheet'!E11/'Balance Sheet'!E12</f>
        <v>2.7474826084888</v>
      </c>
      <c r="G14" s="12" t="n">
        <f aca="false">'Balance Sheet'!F11/'Balance Sheet'!F12</f>
        <v>2.68294268006434</v>
      </c>
      <c r="H14" s="12" t="n">
        <f aca="false">'Balance Sheet'!G11/'Balance Sheet'!G12</f>
        <v>2.21356283580329</v>
      </c>
      <c r="I14" s="12" t="n">
        <f aca="false">'Balance Sheet'!H11/'Balance Sheet'!H12</f>
        <v>1.70004028860105</v>
      </c>
    </row>
    <row r="15" customFormat="false" ht="15" hidden="false" customHeight="false" outlineLevel="0" collapsed="false">
      <c r="A15" s="6" t="s">
        <v>273</v>
      </c>
      <c r="E15" s="12" t="n">
        <f aca="false">'Income Statement'!E14/'Balance Sheet'!D12</f>
        <v>-0.344384968226799</v>
      </c>
      <c r="F15" s="12" t="n">
        <f aca="false">'Income Statement'!F14/'Balance Sheet'!E12</f>
        <v>-0.0232044467617168</v>
      </c>
      <c r="G15" s="12" t="n">
        <f aca="false">'Income Statement'!G14/'Balance Sheet'!F12</f>
        <v>0.0754656799855725</v>
      </c>
      <c r="H15" s="12" t="n">
        <f aca="false">'Income Statement'!H14/'Balance Sheet'!G12</f>
        <v>0.163667608865508</v>
      </c>
      <c r="I15" s="12" t="n">
        <f aca="false">'Income Statement'!I14/'Balance Sheet'!H12</f>
        <v>0.178940976997849</v>
      </c>
    </row>
    <row r="17" customFormat="false" ht="15" hidden="false" customHeight="false" outlineLevel="0" collapsed="false">
      <c r="A17" s="13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2"/>
    <col collapsed="false" customWidth="true" hidden="false" outlineLevel="0" max="6" min="6" style="0" width="56"/>
    <col collapsed="false" customWidth="true" hidden="false" outlineLevel="0" max="7" min="7" style="0" width="12"/>
  </cols>
  <sheetData>
    <row r="1" customFormat="false" ht="16.15" hidden="false" customHeight="false" outlineLevel="0" collapsed="false">
      <c r="A1" s="1" t="s">
        <v>275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276</v>
      </c>
    </row>
    <row r="5" customFormat="false" ht="15" hidden="false" customHeight="false" outlineLevel="0" collapsed="false">
      <c r="A5" s="5" t="s">
        <v>277</v>
      </c>
      <c r="B5" s="5" t="s">
        <v>278</v>
      </c>
      <c r="C5" s="5" t="s">
        <v>279</v>
      </c>
      <c r="D5" s="5" t="s">
        <v>280</v>
      </c>
      <c r="E5" s="5" t="s">
        <v>281</v>
      </c>
      <c r="F5" s="5" t="s">
        <v>282</v>
      </c>
    </row>
    <row r="6" customFormat="false" ht="15" hidden="false" customHeight="false" outlineLevel="0" collapsed="false">
      <c r="A6" s="14" t="s">
        <v>283</v>
      </c>
      <c r="B6" s="14" t="s">
        <v>284</v>
      </c>
      <c r="C6" s="14" t="s">
        <v>285</v>
      </c>
      <c r="D6" s="14" t="s">
        <v>286</v>
      </c>
      <c r="E6" s="14" t="s">
        <v>287</v>
      </c>
      <c r="F6" s="14" t="s">
        <v>288</v>
      </c>
    </row>
    <row r="7" customFormat="false" ht="15" hidden="false" customHeight="false" outlineLevel="0" collapsed="false">
      <c r="A7" s="14" t="s">
        <v>289</v>
      </c>
      <c r="B7" s="14" t="s">
        <v>290</v>
      </c>
      <c r="C7" s="14" t="s">
        <v>291</v>
      </c>
      <c r="D7" s="14" t="s">
        <v>292</v>
      </c>
      <c r="E7" s="14" t="s">
        <v>293</v>
      </c>
      <c r="F7" s="14" t="s">
        <v>294</v>
      </c>
    </row>
    <row r="8" customFormat="false" ht="15" hidden="false" customHeight="false" outlineLevel="0" collapsed="false">
      <c r="A8" s="14" t="s">
        <v>295</v>
      </c>
      <c r="B8" s="14" t="s">
        <v>296</v>
      </c>
      <c r="C8" s="14" t="s">
        <v>297</v>
      </c>
      <c r="D8" s="14" t="s">
        <v>298</v>
      </c>
      <c r="E8" s="14" t="s">
        <v>299</v>
      </c>
      <c r="F8" s="14" t="s">
        <v>300</v>
      </c>
    </row>
    <row r="9" customFormat="false" ht="15" hidden="false" customHeight="false" outlineLevel="0" collapsed="false">
      <c r="A9" s="14" t="s">
        <v>301</v>
      </c>
      <c r="B9" s="14" t="s">
        <v>302</v>
      </c>
      <c r="C9" s="14" t="s">
        <v>302</v>
      </c>
      <c r="D9" s="14" t="s">
        <v>302</v>
      </c>
      <c r="E9" s="14" t="s">
        <v>302</v>
      </c>
      <c r="F9" s="14" t="s">
        <v>303</v>
      </c>
    </row>
    <row r="11" customFormat="false" ht="15" hidden="false" customHeight="false" outlineLevel="0" collapsed="false">
      <c r="A11" s="13" t="s">
        <v>304</v>
      </c>
    </row>
    <row r="12" customFormat="false" ht="15" hidden="false" customHeight="false" outlineLevel="0" collapsed="false">
      <c r="A12" s="13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2026-08-05T12:30:32Z</dcterms:created>
  <dc:creator>openpyxl</dc:creator>
  <dc:description/>
  <dc:language>en-US</dc:language>
  <cp:lastModifiedBy/>
  <dcterms:modified xsi:type="dcterms:W3CDTF">2026-08-05T12:30:32Z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