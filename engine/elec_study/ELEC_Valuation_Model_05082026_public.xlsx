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FIRST" sheetId="1" state="visible" r:id="rId3"/>
    <sheet name="Summary" sheetId="2" state="visible" r:id="rId4"/>
    <sheet name="Fundamental Valuation" sheetId="3" state="visible" r:id="rId5"/>
    <sheet name="Assumptions" sheetId="4" state="visible" r:id="rId6"/>
    <sheet name="SOTP Bridge" sheetId="5" state="visible" r:id="rId7"/>
    <sheet name="Segments" sheetId="6" state="visible" r:id="rId8"/>
    <sheet name="Relative &amp; Normalized" sheetId="7" state="visible" r:id="rId9"/>
    <sheet name="DCF" sheetId="8" state="visible" r:id="rId10"/>
    <sheet name="Income Statement" sheetId="9" state="visible" r:id="rId11"/>
    <sheet name="Balance Sheet" sheetId="10" state="visible" r:id="rId12"/>
    <sheet name="Cash Flow" sheetId="11" state="visible" r:id="rId13"/>
    <sheet name="Summary Financials" sheetId="12" state="visible" r:id="rId14"/>
    <sheet name="Monte Carlo" sheetId="13" state="visible" r:id="rId15"/>
    <sheet name="Sensitivity" sheetId="14" state="visible" r:id="rId16"/>
    <sheet name="Per-Share &amp; Ratios" sheetId="15" state="visible" r:id="rId17"/>
    <sheet name="Peer &amp; Sector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<sst xmlns="http://schemas.openxmlformats.org/spreadsheetml/2006/main" count="408" uniqueCount="330">
  <si>
    <t xml:space="preserve">Testahil — Electro Cable Egypt Co. S.A.E. (EGX: ELEC)</t>
  </si>
  <si>
    <t xml:space="preserve">Companion model · Independent Valuation Study · Educational analysis · Not investment advice</t>
  </si>
  <si>
    <t xml:space="preserve">What this workbook is. A transparent companion to the ELEC valuation study. Every blue cell is an input; every</t>
  </si>
  <si>
    <t xml:space="preserve">black cell is a formula; green cells link across sheets. All inputs live on the Assumptions sheet — change one</t>
  </si>
  <si>
    <t xml:space="preserve">(volumes, copper, the EGP path, conversion EBITDA per tonne, the working-capital intensity, the net-debt</t>
  </si>
  <si>
    <t xml:space="preserve">anchor) and the whole model reprices. The forecast is a bottom-up TONNAGE build: revenue = volume x (LME x</t>
  </si>
  <si>
    <t xml:space="preserve">EGP x 1.387 fabrication uplift); EBITDA = volume x conversion EBITDA/t. Margins are outputs, not inputs.</t>
  </si>
  <si>
    <t xml:space="preserve">What it is not. It is not investment advice, a recommendation, or a price target. Values are model outputs</t>
  </si>
  <si>
    <t xml:space="preserve">shown as ranges. The preparer is not licensed by any securities regulator and may hold a position.</t>
  </si>
  <si>
    <t xml:space="preserve">Sourcing note, up front. ELEC's audited statements were unreachable through available channels. Headline</t>
  </si>
  <si>
    <t xml:space="preserve">revenue/profit/assets are multiply-sourced from bourse-disclosure reporting; several lines (interest, capex,</t>
  </si>
  <si>
    <t xml:space="preserve">the working-capital split, the FY25 net-debt anchor) are DERIVED — each is annotated where it appears and</t>
  </si>
  <si>
    <t xml:space="preserve">listed with source and date in the companion Source Register document. FY2024, the one fully-triangulated</t>
  </si>
  <si>
    <t xml:space="preserve">year, closes to the reported net profit within 0.8% using the derived lines.</t>
  </si>
  <si>
    <t xml:space="preserve">Discount convention. Each explicit year is discounted at its own forward WACC, gliding 21.4% -&gt; 15.0% on the</t>
  </si>
  <si>
    <t xml:space="preserve">same easing calendar as the interest forecast; the terminal value is capitalised at the terminal WACC and</t>
  </si>
  <si>
    <t xml:space="preserve">discounted at the year-5 cumulative factor. One date, one price of time.</t>
  </si>
  <si>
    <t xml:space="preserve">Currency. EGP million unless stated. Spot EGP 2.19 (5 Aug 2026 close). Sheets: Summary · Fundamental</t>
  </si>
  <si>
    <t xml:space="preserve">Valuation · Assumptions · SOTP Bridge · Segments · Relative &amp; Normalized · DCF · Income Statement ·</t>
  </si>
  <si>
    <t xml:space="preserve">Balance Sheet · Cash Flow · Summary Financials · Monte Carlo · Sensitivity · Per-Share &amp; Ratios · Peer &amp; Sector.</t>
  </si>
  <si>
    <t xml:space="preserve">Valuation summary — Electro Cable Egypt (EGX: ELEC)</t>
  </si>
  <si>
    <t xml:space="preserve">Four-lens fair value vs spot. Base cells link live; bear/bull are engine scenario outputs (study §1.5).</t>
  </si>
  <si>
    <t xml:space="preserve">Bear</t>
  </si>
  <si>
    <t xml:space="preserve">Base</t>
  </si>
  <si>
    <t xml:space="preserve">Bull</t>
  </si>
  <si>
    <t xml:space="preserve">Weight</t>
  </si>
  <si>
    <t xml:space="preserve">FCFF DCF (glide schedule)</t>
  </si>
  <si>
    <t xml:space="preserve">Relative (EV/EBITDA)</t>
  </si>
  <si>
    <t xml:space="preserve">Normalized earnings</t>
  </si>
  <si>
    <t xml:space="preserve">Book / replacement</t>
  </si>
  <si>
    <t xml:space="preserve">Weighted central</t>
  </si>
  <si>
    <t xml:space="preserve">Spot price (EGP)</t>
  </si>
  <si>
    <t xml:space="preserve">Upside / (downside) to central base</t>
  </si>
  <si>
    <t xml:space="preserve">Read: meaningfully overvalued — the price capitalises devaluation-era earnings; the swing factors are working-capital collection, margin normalisation, and the easing path.</t>
  </si>
  <si>
    <t xml:space="preserve">Fundamental valuation — football-field data</t>
  </si>
  <si>
    <t xml:space="preserve">Bear/base/bull per lens (links to Summary).</t>
  </si>
  <si>
    <t xml:space="preserve">Lens</t>
  </si>
  <si>
    <t xml:space="preserve">Spot</t>
  </si>
  <si>
    <t xml:space="preserve">Assumptions — the single input layer</t>
  </si>
  <si>
    <t xml:space="preserve">All blue cells are inputs. Every other sheet links here.</t>
  </si>
  <si>
    <t xml:space="preserve">ANCHORS</t>
  </si>
  <si>
    <t xml:space="preserve">Spot price (EGP/share)</t>
  </si>
  <si>
    <t xml:space="preserve">5-Aug-2026 close, uploaded EGX history</t>
  </si>
  <si>
    <t xml:space="preserve">Shares outstanding (mn)</t>
  </si>
  <si>
    <t xml:space="preserve">Mubasher paid-in capital 662,708,074.60 / par 0.20; EPS arithmetic confirms</t>
  </si>
  <si>
    <t xml:space="preserve">Tax rate</t>
  </si>
  <si>
    <t xml:space="preserve">PwC Tax Summaries Egypt — 22.5% unchanged</t>
  </si>
  <si>
    <t xml:space="preserve">COST OF CAPITAL — sovereign double-count removed; sliding schedule below</t>
  </si>
  <si>
    <t xml:space="preserve">Egypt 10Y local yield (observed)</t>
  </si>
  <si>
    <t xml:space="preserve">investing.com print 21-Jul-2026; May-26 window avg 21.3% corroborates</t>
  </si>
  <si>
    <t xml:space="preserve">Sovereign default spread (CDS-implied)</t>
  </si>
  <si>
    <t xml:space="preserve">Damodaran Jan-2026 original file; market 5Y CDS ~330bp May-26</t>
  </si>
  <si>
    <t xml:space="preserve">rf* for the equity build</t>
  </si>
  <si>
    <t xml:space="preserve">ERP — Egypt, CDS-based (primary)</t>
  </si>
  <si>
    <t xml:space="preserve">Damodaran ORIGINAL ctryprem, Egypt row, Jan-2026 (rating basis 13.94% in sensitivity)</t>
  </si>
  <si>
    <t xml:space="preserve">Beta (own weekly regression, 5yr)</t>
  </si>
  <si>
    <t xml:space="preserve">vs 30-name equal-weight EGX composite: R2 0.222, n=257, SE 0.113, CI90 [0.78,1.15]</t>
  </si>
  <si>
    <t xml:space="preserve">Ke = rf* + beta × ERP</t>
  </si>
  <si>
    <t xml:space="preserve">Kd pre-tax (marginal EGP)</t>
  </si>
  <si>
    <t xml:space="preserve">Corridor + credit margin; effective-rate checks 23.5% (FY24) / 21.7% (FY25, disclosed debt path) inside 150bp</t>
  </si>
  <si>
    <t xml:space="preserve">Kd after tax</t>
  </si>
  <si>
    <t xml:space="preserve">Market cap (spot × shares)</t>
  </si>
  <si>
    <t xml:space="preserve">Total debt for weights (FY25 disclosed facilities)</t>
  </si>
  <si>
    <t xml:space="preserve">FY25 results coverage: EGP 10.9bn bank facilities vs 8.96bn FY24 (matches the FY24 debt print — cross-validated)</t>
  </si>
  <si>
    <t xml:space="preserve">Equity weight E/(D+E)</t>
  </si>
  <si>
    <t xml:space="preserve">WACC — explicit window</t>
  </si>
  <si>
    <t xml:space="preserve">Terminal rf (norm-built)</t>
  </si>
  <si>
    <t xml:space="preserve">CBE's Q4-2028 inflation target 5% + 5.5pp real-rate convention</t>
  </si>
  <si>
    <t xml:space="preserve">Terminal ERP (normalised)</t>
  </si>
  <si>
    <t xml:space="preserve">Below the crisis-era 9.41%, toward the B-rating norm</t>
  </si>
  <si>
    <t xml:space="preserve">Terminal Ke</t>
  </si>
  <si>
    <t xml:space="preserve">Terminal Kd</t>
  </si>
  <si>
    <t xml:space="preserve">Egyptian long-run corporate norm 14-16%, midpoint</t>
  </si>
  <si>
    <t xml:space="preserve">WACC — terminal (normalized structure, see B56)</t>
  </si>
  <si>
    <t xml:space="preserve">Terminal growth g</t>
  </si>
  <si>
    <t xml:space="preserve">Standing center 5%; grid 3-7% on Sensitivity</t>
  </si>
  <si>
    <t xml:space="preserve">BRIDGE</t>
  </si>
  <si>
    <t xml:space="preserve">Net debt (FY25, derived)</t>
  </si>
  <si>
    <t xml:space="preserve">Disclosed facilities 10,900 less estimated cash ~700; FY24-vintage sourced alt: 8,172 — worth ±EGP 0.6/sh, see Sensitivity</t>
  </si>
  <si>
    <t xml:space="preserve">Non-controlling interests</t>
  </si>
  <si>
    <t xml:space="preserve">Consolidated-vs-attributable gap ~1.1mn FY25 — immaterial</t>
  </si>
  <si>
    <t xml:space="preserve">LENS INPUTS</t>
  </si>
  <si>
    <t xml:space="preserve">EV/EBITDA multiple (base)</t>
  </si>
  <si>
    <t xml:space="preserve">SWDY ~6.0x; discount for leverage/concentration</t>
  </si>
  <si>
    <t xml:space="preserve">Normalized P/E (base)</t>
  </si>
  <si>
    <t xml:space="preserve">SWDY 10.4x trailing; deep discount</t>
  </si>
  <si>
    <t xml:space="preserve">Sustainable ROE (book lens)</t>
  </si>
  <si>
    <t xml:space="preserve">Normalized NP ~700 on ~4.6-5bn book</t>
  </si>
  <si>
    <t xml:space="preserve">Equity FY25e (book, derived)</t>
  </si>
  <si>
    <t xml:space="preserve">FY24 equity 3,600 + FY25 NP 500.3, no dividends</t>
  </si>
  <si>
    <t xml:space="preserve">Weight: DCF</t>
  </si>
  <si>
    <t xml:space="preserve">Weight: Relative</t>
  </si>
  <si>
    <t xml:space="preserve">Weight: Normalized</t>
  </si>
  <si>
    <t xml:space="preserve">Weight: Book</t>
  </si>
  <si>
    <t xml:space="preserve">FORECAST DRIVERS (FY26E-FY30E)</t>
  </si>
  <si>
    <t xml:space="preserve">Driver \ year</t>
  </si>
  <si>
    <t xml:space="preserve">FY26E</t>
  </si>
  <si>
    <t xml:space="preserve">FY27E</t>
  </si>
  <si>
    <t xml:space="preserve">FY28E</t>
  </si>
  <si>
    <t xml:space="preserve">FY29E</t>
  </si>
  <si>
    <t xml:space="preserve">FY30E</t>
  </si>
  <si>
    <t xml:space="preserve">Volume (kt)</t>
  </si>
  <si>
    <t xml:space="preserve">Q1-26 implied ~2.4kt/qtr sets FY26E (~42% util.); recovery to 64% by FY30E on the grid-capex cycle</t>
  </si>
  <si>
    <t xml:space="preserve">LME copper (USD/t)</t>
  </si>
  <si>
    <t xml:space="preserve">Flat at the 2026 consensus avg — no house commodity view; bull/bear move it</t>
  </si>
  <si>
    <t xml:space="preserve">EGP/USD (avg)</t>
  </si>
  <si>
    <t xml:space="preserve">~3%/yr crawl; inflation differential narrows as CBE targets bite</t>
  </si>
  <si>
    <t xml:space="preserve">Conversion EBITDA per tonne (k EGP/t)</t>
  </si>
  <si>
    <t xml:space="preserve">Hist: 111 (FY23), 146 (FY24), 182 (FY25, copper-gain inflated), 11 (Q1-26). FY30E 13.7% of price = pre-windfall 2022 norm</t>
  </si>
  <si>
    <t xml:space="preserve">Capex (EGP mn)</t>
  </si>
  <si>
    <t xml:space="preserve">Maintenance ~EGP 9k per tonne of 25kt capacity, escalated ~8%/yr</t>
  </si>
  <si>
    <t xml:space="preserve">D&amp;A (% of revenue)</t>
  </si>
  <si>
    <t xml:space="preserve">Net working capital (% of revenue)</t>
  </si>
  <si>
    <t xml:space="preserve">From ~117% FY25e; NOT full reversion to FY24 76%</t>
  </si>
  <si>
    <t xml:space="preserve">Forward Kd path</t>
  </si>
  <si>
    <t xml:space="preserve">CBE easing resumption; sets the WACC glide shape</t>
  </si>
  <si>
    <t xml:space="preserve">Glide fraction (from the Kd path)</t>
  </si>
  <si>
    <t xml:space="preserve">Forward WACC (that year)</t>
  </si>
  <si>
    <t xml:space="preserve">Cumulative discount factor</t>
  </si>
  <si>
    <t xml:space="preserve">BASE-YEAR ANCHORS (FY2025)</t>
  </si>
  <si>
    <t xml:space="preserve">Revenue FY25</t>
  </si>
  <si>
    <t xml:space="preserve">Arab Finance/Zawya FY2025 results</t>
  </si>
  <si>
    <t xml:space="preserve">Net working capital FY25 (derived)</t>
  </si>
  <si>
    <t xml:space="preserve">~117% of FY25 revenue — construction in study §1.6</t>
  </si>
  <si>
    <t xml:space="preserve">Fabrication uplift k (price/t ÷ copper cost/t)</t>
  </si>
  <si>
    <t xml:space="preserve">Copper ~72% of cable price (industry norm); FY24 back-solves to 24.0kt = 96% of capacity — the validation</t>
  </si>
  <si>
    <t xml:space="preserve">Terminal debt weight D/(D+E)</t>
  </si>
  <si>
    <t xml:space="preserve">NORMALIZED structure — not today’s ~60% distress weight (circular into perpetuity); conservative direction</t>
  </si>
  <si>
    <t xml:space="preserve">Capacity (kt/yr)</t>
  </si>
  <si>
    <t xml:space="preserve">Company profile via IATF page — single-sourced, possibly parent-only; utilization indicative</t>
  </si>
  <si>
    <t xml:space="preserve">EV → equity bridge</t>
  </si>
  <si>
    <t xml:space="preserve">Single-business company: the bridge is the DCF EV less net claims. Links to DCF / Assumptions.</t>
  </si>
  <si>
    <t xml:space="preserve">Core enterprise value (DCF)</t>
  </si>
  <si>
    <t xml:space="preserve">+ Surplus / non-core assets</t>
  </si>
  <si>
    <t xml:space="preserve">− Net debt (FY25: disclosed facilities − est. cash)</t>
  </si>
  <si>
    <t xml:space="preserve">− Non-controlling interests</t>
  </si>
  <si>
    <t xml:space="preserve">Equity value — intrinsic (may be negative)</t>
  </si>
  <si>
    <t xml:space="preserve">Equity value — floored (limited liability)</t>
  </si>
  <si>
    <t xml:space="preserve">per share (EGP) — floored</t>
  </si>
  <si>
    <t xml:space="preserve">Upside / (downside) vs spot</t>
  </si>
  <si>
    <t xml:space="preserve">Market-implied read (the same bridge run backwards)</t>
  </si>
  <si>
    <t xml:space="preserve">Market cap at spot</t>
  </si>
  <si>
    <t xml:space="preserve">+ Net debt = market-implied EV</t>
  </si>
  <si>
    <t xml:space="preserve">Market-implied EV / FY27E EBITDA</t>
  </si>
  <si>
    <t xml:space="preserve">Market-implied EV / FY25 EBITDA (windfall-vintage)</t>
  </si>
  <si>
    <t xml:space="preserve">The market pays a peer-level multiple on windfall-vintage EBITDA — the study’s central observation.</t>
  </si>
  <si>
    <t xml:space="preserve">Segment view — the revenue and margin build</t>
  </si>
  <si>
    <t xml:space="preserve">Single-segment build (power ~2/3, telecom ~1/3 of revenue — memo estimate; no segment disclosure). Forecast links to Assumptions.</t>
  </si>
  <si>
    <t xml:space="preserve">FY23</t>
  </si>
  <si>
    <t xml:space="preserve">FY24</t>
  </si>
  <si>
    <t xml:space="preserve">FY25</t>
  </si>
  <si>
    <t xml:space="preserve">Volume (kt) — implied hist / driver fwd</t>
  </si>
  <si>
    <t xml:space="preserve">Utilization (÷ 25 kt capacity)</t>
  </si>
  <si>
    <t xml:space="preserve">LME copper (USD/t, avg)</t>
  </si>
  <si>
    <t xml:space="preserve">Price per tonne (EGP, = Cu × EGP × k)</t>
  </si>
  <si>
    <t xml:space="preserve">Revenue (= volume × price/t)</t>
  </si>
  <si>
    <t xml:space="preserve">  memo: power cables (~2/3, est.)</t>
  </si>
  <si>
    <t xml:space="preserve">  memo: telecom &amp; other (~1/3, est.)</t>
  </si>
  <si>
    <t xml:space="preserve">EBITDA (= volume × EBITDA/t)</t>
  </si>
  <si>
    <t xml:space="preserve">EBITDA margin — OUTPUT</t>
  </si>
  <si>
    <t xml:space="preserve">D&amp;A</t>
  </si>
  <si>
    <t xml:space="preserve">EBIT</t>
  </si>
  <si>
    <t xml:space="preserve">BOTTOM-UP TONNAGE BUILD. Historical volumes are IMPLIED (revenue ÷ [LME × EGP × k]; k = 1.387 from the industry copper-share norm; FY24 back-solves to 24.0kt = 96% of stated capacity — the validation). Historical conversion EBITDA/t: 111 (FY23) / 146 (FY24) / 182 (FY25, copper-gain inflated) / 11 (Q1-26 annualized ~9.5kt, 38% utilization). Q1-26 disclosed: GM 5.7%, operating profit ~0. Forecast volumes/copper/EGP/EBITDA-per-t are Assumptions drivers; margins are outputs. Capacity single-sourced, possibly parent-only — utilization indicative.</t>
  </si>
  <si>
    <t xml:space="preserve">FY23 note: at the 2023 parallel rate (~38 vs official 30.7) implied volume is 19.4kt (78%) — the honest range for that year.</t>
  </si>
  <si>
    <t xml:space="preserve">Relative &amp; normalized-earnings lenses</t>
  </si>
  <si>
    <t xml:space="preserve">Links to Assumptions / Segments / Balance Sheet.</t>
  </si>
  <si>
    <t xml:space="preserve">Workings</t>
  </si>
  <si>
    <t xml:space="preserve">EGP/share</t>
  </si>
  <si>
    <t xml:space="preserve">Relative EV/EBITDA</t>
  </si>
  <si>
    <t xml:space="preserve">FY27E EBITDA × multiple − net debt end-FY26E, /sh</t>
  </si>
  <si>
    <t xml:space="preserve">Normalized earnings power</t>
  </si>
  <si>
    <t xml:space="preserve">FY28E EBIT − 15% money on 6,000 mid-cycle ND, × (1−t), × P/E, /sh</t>
  </si>
  <si>
    <t xml:space="preserve">  normalized EPS (EGP)</t>
  </si>
  <si>
    <t xml:space="preserve">Book lens: justified P/B × BVPS</t>
  </si>
  <si>
    <t xml:space="preserve">(ROE−g)/(Ke_term−g) × FY25e book/sh</t>
  </si>
  <si>
    <t xml:space="preserve">P/B at spot (memo)</t>
  </si>
  <si>
    <t xml:space="preserve">DCF — explicit 5-year FCFF on the forward-WACC schedule</t>
  </si>
  <si>
    <t xml:space="preserve">Revenue -&gt; EBITDA -&gt; D&amp;A -&gt; EBIT -&gt; NOPAT -&gt; +D&amp;A -&gt; -Capex -&gt; -dWC -&gt; FCFF -&gt; forward WACC -&gt; cumulative DF -&gt; PV. Terminal is ROIC-consistent.</t>
  </si>
  <si>
    <t xml:space="preserve">Revenue</t>
  </si>
  <si>
    <t xml:space="preserve">EBITDA</t>
  </si>
  <si>
    <t xml:space="preserve">− D&amp;A</t>
  </si>
  <si>
    <t xml:space="preserve">NOPAT = EBIT × (1 − tax)</t>
  </si>
  <si>
    <t xml:space="preserve">+ D&amp;A</t>
  </si>
  <si>
    <t xml:space="preserve">− Capex</t>
  </si>
  <si>
    <t xml:space="preserve">Net working capital</t>
  </si>
  <si>
    <t xml:space="preserve">− Δ working capital</t>
  </si>
  <si>
    <t xml:space="preserve">Free cash flow to firm</t>
  </si>
  <si>
    <t xml:space="preserve">PV of FCFF</t>
  </si>
  <si>
    <t xml:space="preserve">Σ PV of explicit FCFF (FY26–30E)</t>
  </si>
  <si>
    <t xml:space="preserve">Terminal ROIC (NOPAT ÷ [NWC + 5% of revenue])</t>
  </si>
  <si>
    <t xml:space="preserve">Terminal reinvestment rate = g ÷ ROIC</t>
  </si>
  <si>
    <t xml:space="preserve">Terminal FCFF = NOPAT × (1+g) × (1 − RR)</t>
  </si>
  <si>
    <t xml:space="preserve">Terminal value (at terminal WACC)</t>
  </si>
  <si>
    <t xml:space="preserve">PV of terminal value (year-5 factor)</t>
  </si>
  <si>
    <t xml:space="preserve">Enterprise value</t>
  </si>
  <si>
    <t xml:space="preserve">Terminal value as % of EV</t>
  </si>
  <si>
    <t xml:space="preserve">less: net debt</t>
  </si>
  <si>
    <t xml:space="preserve">less: non-controlling interests</t>
  </si>
  <si>
    <t xml:space="preserve">Equity value — INTRINSIC (may be negative)</t>
  </si>
  <si>
    <t xml:space="preserve">Equity value — floored at zero (limited liability)</t>
  </si>
  <si>
    <t xml:space="preserve">Intrinsic per share (EGP, unfloored)</t>
  </si>
  <si>
    <t xml:space="preserve">Fair value per share (EGP) — floored</t>
  </si>
  <si>
    <t xml:space="preserve">The glide: each year at its own forward WACC (22.6% -&gt; 14.1%), shape from the forward Kd path; the terminal is capitalised at the terminal WACC and discounted at the identical year-5 cumulative factor.</t>
  </si>
  <si>
    <t xml:space="preserve">Income statement (EGP mn, consolidated)</t>
  </si>
  <si>
    <t xml:space="preserve">FY23–FY25 as sourced/derived (blue; (d)-flagged in the study); FY26E–FY30E formulas. Interest on OPENING net debt at that year’s forward Kd; tax on positive EBT net of loss carryforward.</t>
  </si>
  <si>
    <t xml:space="preserve">Net finance cost</t>
  </si>
  <si>
    <t xml:space="preserve">Earnings before tax</t>
  </si>
  <si>
    <t xml:space="preserve">Cumulative EBT since FY26E (memo)</t>
  </si>
  <si>
    <t xml:space="preserve">Income tax (22.5% of positive cumulative EBT, incremental)</t>
  </si>
  <si>
    <t xml:space="preserve">Net profit (attributable)</t>
  </si>
  <si>
    <t xml:space="preserve">EPS (EGP)</t>
  </si>
  <si>
    <t xml:space="preserve">Historical net finance cost is (d)-derived (FY24 via the disclosed 2.0x coverage; FY23/FY25 back-solved to the reported NP). Loss carryforward per Egyptian tax law (5yr) modelled via cumulative-EBT tax.</t>
  </si>
  <si>
    <t xml:space="preserve">Balance sheet — condensed invested-capital layout (EGP mn)</t>
  </si>
  <si>
    <t xml:space="preserve">IC = NWC + PP&amp;E + other assets; financed by net debt + equity + flat non-debt liabilities. Check row is zero by construction.</t>
  </si>
  <si>
    <t xml:space="preserve">FY25e</t>
  </si>
  <si>
    <t xml:space="preserve">PP&amp;E (roll: + capex - D&amp;A)</t>
  </si>
  <si>
    <t xml:space="preserve">Other assets (held flat)</t>
  </si>
  <si>
    <t xml:space="preserve">Invested capital (net of payables)</t>
  </si>
  <si>
    <t xml:space="preserve">Net debt (schedule: opening − equity FCF)</t>
  </si>
  <si>
    <t xml:space="preserve">Equity (roll: + net profit, no dividends)</t>
  </si>
  <si>
    <t xml:space="preserve">Non-debt liabilities &amp; other (flat plug at FY25e)</t>
  </si>
  <si>
    <t xml:space="preserve">Total financing</t>
  </si>
  <si>
    <t xml:space="preserve">Balance check (IC − financing)</t>
  </si>
  <si>
    <t xml:space="preserve">FY24 column: SWS-sourced anchors (debt 9,000/cash 828/equity 3,600); FY25e column: derived (study §1.6). The forecast check row is zero by construction: PP&amp;E rolls with capex − D&amp;A, NWC with its driver, net debt with the cash-flow sheet, equity with net profit, and the non-debt-liabilities plug is held flat.</t>
  </si>
  <si>
    <t xml:space="preserve">Cash flow (EGP mn, forecast)</t>
  </si>
  <si>
    <t xml:space="preserve">Equity free cash flow feeds the net-debt schedule (surplus repays debt; deficit is drawn). FCFF memo ties to the DCF.</t>
  </si>
  <si>
    <t xml:space="preserve">Net profit</t>
  </si>
  <si>
    <t xml:space="preserve">Operating − investing cash flow</t>
  </si>
  <si>
    <t xml:space="preserve">Dividends</t>
  </si>
  <si>
    <t xml:space="preserve">Equity free cash flow (repays / draws net debt)</t>
  </si>
  <si>
    <t xml:space="preserve">memo: FCFF (ties to DCF row)</t>
  </si>
  <si>
    <t xml:space="preserve">memo: net debt, closing</t>
  </si>
  <si>
    <t xml:space="preserve">No dividends modelled — the company has never paid one and the balance sheet argues against a first.</t>
  </si>
  <si>
    <t xml:space="preserve">Summary financials (EGP mn)</t>
  </si>
  <si>
    <t xml:space="preserve">Every forecast cell links to the statement sheets; history as sourced/derived.</t>
  </si>
  <si>
    <t xml:space="preserve">Net debt (closing)</t>
  </si>
  <si>
    <t xml:space="preserve">Equity (attributable)</t>
  </si>
  <si>
    <t xml:space="preserve">FCFF (forecast)</t>
  </si>
  <si>
    <t xml:space="preserve">Monte Carlo — engine outputs (carry-anchored YZ-HAR-t)</t>
  </si>
  <si>
    <t xml:space="preserve">50,000 paths · Student-t(6) · width calibrated on the 30-name Egyptian panel · drift = local carry (19.50%) · values computed by the engine, not a sheet simulation.</t>
  </si>
  <si>
    <t xml:space="preserve">The probability read (3 months)</t>
  </si>
  <si>
    <t xml:space="preserve">P(price above spot)</t>
  </si>
  <si>
    <t xml:space="preserve">P(+10%) vs P(−10%) — odds</t>
  </si>
  <si>
    <t xml:space="preserve">37% vs 18% · 2.1:1</t>
  </si>
  <si>
    <t xml:space="preserve">Median level (EGP) and % move</t>
  </si>
  <si>
    <t xml:space="preserve">2.29 (+4.7%)</t>
  </si>
  <si>
    <t xml:space="preserve">50% band (25th–75th)</t>
  </si>
  <si>
    <t xml:space="preserve">2.06 – 2.55</t>
  </si>
  <si>
    <t xml:space="preserve">Touch(+10%) / touch(−10%)</t>
  </si>
  <si>
    <t xml:space="preserve">60% / 39%</t>
  </si>
  <si>
    <t xml:space="preserve">Percentile map (EGP/share)</t>
  </si>
  <si>
    <t xml:space="preserve">Horizon</t>
  </si>
  <si>
    <t xml:space="preserve">p5</t>
  </si>
  <si>
    <t xml:space="preserve">p25</t>
  </si>
  <si>
    <t xml:space="preserve">p50</t>
  </si>
  <si>
    <t xml:space="preserve">p75</t>
  </si>
  <si>
    <t xml:space="preserve">p95</t>
  </si>
  <si>
    <t xml:space="preserve">1 month</t>
  </si>
  <si>
    <t xml:space="preserve">3 months</t>
  </si>
  <si>
    <t xml:space="preserve">Level-touch ladder (probability of touching by horizon)</t>
  </si>
  <si>
    <t xml:space="preserve">Level (EGP)</t>
  </si>
  <si>
    <t xml:space="preserve">Probability zones (3 months)</t>
  </si>
  <si>
    <t xml:space="preserve">Deep downside</t>
  </si>
  <si>
    <t xml:space="preserve">&lt; 1.80</t>
  </si>
  <si>
    <t xml:space="preserve">Lower band</t>
  </si>
  <si>
    <t xml:space="preserve">1.80–2.05</t>
  </si>
  <si>
    <t xml:space="preserve">Around spot</t>
  </si>
  <si>
    <t xml:space="preserve">2.05–2.35</t>
  </si>
  <si>
    <t xml:space="preserve">Upper band</t>
  </si>
  <si>
    <t xml:space="preserve">2.35–2.70</t>
  </si>
  <si>
    <t xml:space="preserve">Strong upside</t>
  </si>
  <si>
    <t xml:space="preserve">&gt; 2.70</t>
  </si>
  <si>
    <t xml:space="preserve">Sensitivity — engine grids (values) + the live base cell</t>
  </si>
  <si>
    <t xml:space="preserve">Grids are engine outputs under the full glide re-computation; the base cell reprices live off Assumptions.</t>
  </si>
  <si>
    <t xml:space="preserve">Live base DCF (links to the DCF sheet)</t>
  </si>
  <si>
    <t xml:space="preserve">Terminal WACC × terminal g (EGP/share)</t>
  </si>
  <si>
    <t xml:space="preserve">Terminal WACC \ g</t>
  </si>
  <si>
    <t xml:space="preserve">Explicit-window WACC × terminal WACC (EGP/share)</t>
  </si>
  <si>
    <t xml:space="preserve">Explicit \ terminal</t>
  </si>
  <si>
    <t xml:space="preserve">EBITDA-margin shift × terminal NWC intensity (EGP/share)</t>
  </si>
  <si>
    <t xml:space="preserve">Margin shift \ NWC %</t>
  </si>
  <si>
    <t xml:space="preserve">Beta grid (Ke / WACCs / DCF)</t>
  </si>
  <si>
    <t xml:space="preserve">Beta</t>
  </si>
  <si>
    <t xml:space="preserve">Ke</t>
  </si>
  <si>
    <t xml:space="preserve">WACC explicit</t>
  </si>
  <si>
    <t xml:space="preserve">WACC terminal</t>
  </si>
  <si>
    <t xml:space="preserve">DCF (EGP/sh)</t>
  </si>
  <si>
    <t xml:space="preserve">Per-share &amp; ratios — the standing dashboard</t>
  </si>
  <si>
    <t xml:space="preserve">Links to statements / Assumptions.</t>
  </si>
  <si>
    <t xml:space="preserve">P/E at spot (×)</t>
  </si>
  <si>
    <t xml:space="preserve">EBITDA margin</t>
  </si>
  <si>
    <t xml:space="preserve">Net margin</t>
  </si>
  <si>
    <t xml:space="preserve">Revenue YoY</t>
  </si>
  <si>
    <t xml:space="preserve">Book value / share (EGP)</t>
  </si>
  <si>
    <t xml:space="preserve">P/B at spot (×)</t>
  </si>
  <si>
    <t xml:space="preserve">Net debt / EBITDA (×)</t>
  </si>
  <si>
    <t xml:space="preserve">Net debt / equity</t>
  </si>
  <si>
    <t xml:space="preserve">ROE (attributable)</t>
  </si>
  <si>
    <t xml:space="preserve">Historical per-share ratios beyond EPS are omitted where the year-end balance sheet was never published (flagged gap).</t>
  </si>
  <si>
    <t xml:space="preserve">Peer set &amp; sector</t>
  </si>
  <si>
    <t xml:space="preserve">One giant (Elsewedy) above a tier of mid-caps competing on price and local content in tenders.</t>
  </si>
  <si>
    <t xml:space="preserve">Name</t>
  </si>
  <si>
    <t xml:space="preserve">Mkt cap</t>
  </si>
  <si>
    <t xml:space="preserve">P/E</t>
  </si>
  <si>
    <t xml:space="preserve">EV/EBITDA</t>
  </si>
  <si>
    <t xml:space="preserve">D/E</t>
  </si>
  <si>
    <t xml:space="preserve">Note</t>
  </si>
  <si>
    <t xml:space="preserve">El Sewedy Electric (EGX: SWDY)</t>
  </si>
  <si>
    <t xml:space="preserve">EGP 196bn</t>
  </si>
  <si>
    <t xml:space="preserve">10.4x</t>
  </si>
  <si>
    <t xml:space="preserve">~6.0x</t>
  </si>
  <si>
    <t xml:space="preserve">moderate</t>
  </si>
  <si>
    <t xml:space="preserve">FY25 rev EGP 281bn, NP 17.3bn; W&amp;C segment +66% — the demand proof</t>
  </si>
  <si>
    <t xml:space="preserve">Riyadh Cables (Tadawul: 4142)</t>
  </si>
  <si>
    <t xml:space="preserve">SAR 18.0bn</t>
  </si>
  <si>
    <t xml:space="preserve">18.0x</t>
  </si>
  <si>
    <t xml:space="preserve">15.0x</t>
  </si>
  <si>
    <t xml:space="preserve">0.27x</t>
  </si>
  <si>
    <t xml:space="preserve">Same industry, clean balance sheet, different market</t>
  </si>
  <si>
    <t xml:space="preserve">Electro Cable Egypt (ELEC)</t>
  </si>
  <si>
    <t xml:space="preserve">EGP 7.3bn</t>
  </si>
  <si>
    <t xml:space="preserve">14.6x trailing</t>
  </si>
  <si>
    <t xml:space="preserve">~5.3x FY25e</t>
  </si>
  <si>
    <t xml:space="preserve">~2.5x</t>
  </si>
  <si>
    <t xml:space="preserve">Loss-making 1Q26; ~5.5x on FY24 windfall EPS</t>
  </si>
  <si>
    <t xml:space="preserve">Giza Cables (private)</t>
  </si>
  <si>
    <t xml:space="preserve">—</t>
  </si>
  <si>
    <t xml:space="preserve">No public financials</t>
  </si>
  <si>
    <t xml:space="preserve">Sector: EETC EGP 45bn FY25/26 transmission plan + EU €690mn package + Egypt–Saudi interconnector (95% complete) drive demand; LME-linked pass-through pricing keeps margins thin; copper +51% y/y strains working capital at 20%+ funding.</t>
  </si>
  <si>
    <t xml:space="preserve">Analyst context: none exists — ELEC is uncovered; no rating and no target here either (house rule).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</si>
</sst>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;\(#,##0\);\-"/>
    <numFmt numFmtId="166" formatCode="0.00;\(0.00\);\-"/>
    <numFmt numFmtId="167" formatCode="0.0%;\(0.0%\);\-"/>
    <numFmt numFmtId="168" formatCode="0.00\x"/>
    <numFmt numFmtId="169" formatCode="0.0"/>
    <numFmt numFmtId="170" formatCode="#,##0"/>
    <numFmt numFmtId="171" formatCode="0"/>
    <numFmt numFmtId="172" formatCode="0.000"/>
    <numFmt numFmtId="173" formatCode="@"/>
    <numFmt numFmtId="174" formatCode="\+0.0%;\-0.0%;&quot;base&quot;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6F1E6"/>
      <name val="Cambria"/>
      <family val="0"/>
      <charset val="1"/>
    </font>
    <font>
      <sz val="10"/>
      <name val="Cambria"/>
      <family val="0"/>
      <charset val="1"/>
    </font>
    <font>
      <sz val="9"/>
      <color rgb="FF6E7B77"/>
      <name val="Cambria"/>
      <family val="0"/>
      <charset val="1"/>
    </font>
    <font>
      <b val="true"/>
      <sz val="11"/>
      <color rgb="FF000000"/>
      <name val="Cambria"/>
      <family val="0"/>
      <charset val="1"/>
    </font>
    <font>
      <sz val="11"/>
      <color rgb="FF000000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  <font>
      <sz val="11"/>
      <color rgb="FF6E7B77"/>
      <name val="Cambria"/>
      <family val="0"/>
      <charset val="1"/>
    </font>
    <font>
      <b val="true"/>
      <sz val="11"/>
      <color rgb="FF008000"/>
      <name val="Cambria"/>
      <family val="0"/>
      <charset val="1"/>
    </font>
    <font>
      <b val="true"/>
      <sz val="11"/>
      <color rgb="FF0000FF"/>
      <name val="Cambria"/>
      <family val="0"/>
      <charset val="1"/>
    </font>
    <font>
      <b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C3A36"/>
        <bgColor rgb="FF333300"/>
      </patternFill>
    </fill>
    <fill>
      <patternFill patternType="solid">
        <fgColor rgb="FFEAF0EE"/>
        <bgColor rgb="FFF6F1E6"/>
      </patternFill>
    </fill>
    <fill>
      <patternFill patternType="solid">
        <fgColor rgb="FFF6F1E6"/>
        <bgColor rgb="FFEAF0E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6F1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6E7B77"/>
      <rgbColor rgb="FF9999FF"/>
      <rgbColor rgb="FF993366"/>
      <rgbColor rgb="FFEAF0EE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C3A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8"/>
    <col collapsed="false" customWidth="true" hidden="false" outlineLevel="0" max="9" min="2" style="0" width="12"/>
  </cols>
  <sheetData>
    <row r="1" customFormat="false" ht="16.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3"/>
    </row>
    <row r="5" customFormat="false" ht="15" hidden="false" customHeight="false" outlineLevel="0" collapsed="false">
      <c r="A5" s="3" t="s">
        <v>2</v>
      </c>
    </row>
    <row r="6" customFormat="false" ht="15" hidden="false" customHeight="false" outlineLevel="0" collapsed="false">
      <c r="A6" s="3" t="s">
        <v>3</v>
      </c>
    </row>
    <row r="7" customFormat="false" ht="15" hidden="false" customHeight="false" outlineLevel="0" collapsed="false">
      <c r="A7" s="3" t="s">
        <v>4</v>
      </c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/>
    </row>
    <row r="11" customFormat="false" ht="15" hidden="false" customHeight="false" outlineLevel="0" collapsed="false">
      <c r="A11" s="3" t="s">
        <v>7</v>
      </c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3"/>
    </row>
    <row r="14" customFormat="false" ht="15" hidden="false" customHeight="false" outlineLevel="0" collapsed="false">
      <c r="A14" s="3" t="s">
        <v>9</v>
      </c>
    </row>
    <row r="15" customFormat="false" ht="15" hidden="false" customHeight="false" outlineLevel="0" collapsed="false">
      <c r="A15" s="3" t="s">
        <v>10</v>
      </c>
    </row>
    <row r="16" customFormat="false" ht="15" hidden="false" customHeight="false" outlineLevel="0" collapsed="false">
      <c r="A16" s="3" t="s">
        <v>11</v>
      </c>
    </row>
    <row r="17" customFormat="false" ht="15" hidden="false" customHeight="false" outlineLevel="0" collapsed="false">
      <c r="A17" s="3" t="s">
        <v>12</v>
      </c>
    </row>
    <row r="18" customFormat="false" ht="15" hidden="false" customHeight="false" outlineLevel="0" collapsed="false">
      <c r="A18" s="3" t="s">
        <v>13</v>
      </c>
    </row>
    <row r="19" customFormat="false" ht="15" hidden="false" customHeight="false" outlineLevel="0" collapsed="false">
      <c r="A19" s="3"/>
    </row>
    <row r="20" customFormat="false" ht="15" hidden="false" customHeight="false" outlineLevel="0" collapsed="false">
      <c r="A20" s="3" t="s">
        <v>14</v>
      </c>
    </row>
    <row r="21" customFormat="false" ht="15" hidden="false" customHeight="false" outlineLevel="0" collapsed="false">
      <c r="A21" s="3" t="s">
        <v>15</v>
      </c>
    </row>
    <row r="22" customFormat="false" ht="15" hidden="false" customHeight="false" outlineLevel="0" collapsed="false">
      <c r="A22" s="3" t="s">
        <v>16</v>
      </c>
    </row>
    <row r="23" customFormat="false" ht="15" hidden="false" customHeight="false" outlineLevel="0" collapsed="false">
      <c r="A23" s="3"/>
    </row>
    <row r="24" customFormat="false" ht="15" hidden="false" customHeight="false" outlineLevel="0" collapsed="false">
      <c r="A24" s="3" t="s">
        <v>17</v>
      </c>
    </row>
    <row r="25" customFormat="false" ht="15" hidden="false" customHeight="false" outlineLevel="0" collapsed="false">
      <c r="A25" s="3" t="s">
        <v>18</v>
      </c>
    </row>
    <row r="26" customFormat="false" ht="15" hidden="false" customHeight="false" outlineLevel="0" collapsed="false">
      <c r="A26" s="3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2"/>
  </cols>
  <sheetData>
    <row r="1" customFormat="false" ht="16.15" hidden="false" customHeight="false" outlineLevel="0" collapsed="false">
      <c r="A1" s="1" t="s">
        <v>20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4" t="s">
        <v>21</v>
      </c>
    </row>
    <row r="5" customFormat="false" ht="15" hidden="false" customHeight="false" outlineLevel="0" collapsed="false">
      <c r="B5" s="5" t="s">
        <v>22</v>
      </c>
      <c r="C5" s="5" t="s">
        <v>23</v>
      </c>
      <c r="D5" s="5" t="s">
        <v>24</v>
      </c>
      <c r="E5" s="5" t="s">
        <v>25</v>
      </c>
    </row>
    <row r="6" customFormat="false" ht="15" hidden="false" customHeight="false" outlineLevel="0" collapsed="false">
      <c r="A6" s="6" t="s">
        <v>26</v>
      </c>
      <c r="B6" s="7" t="n">
        <v>0.01</v>
      </c>
      <c r="C6" s="8" t="n">
        <f aca="false">DCF!B33</f>
        <v>0.01</v>
      </c>
      <c r="D6" s="7" t="n">
        <v>1.53</v>
      </c>
      <c r="E6" s="9" t="n">
        <f aca="false">Assumptions!B35</f>
        <v>0.4</v>
      </c>
    </row>
    <row r="7" customFormat="false" ht="15" hidden="false" customHeight="false" outlineLevel="0" collapsed="false">
      <c r="A7" s="6" t="s">
        <v>27</v>
      </c>
      <c r="B7" s="7" t="n">
        <v>0.05</v>
      </c>
      <c r="C7" s="8" t="n">
        <f aca="false">'Relative &amp; Normalized'!C6</f>
        <v>0.05</v>
      </c>
      <c r="D7" s="7" t="n">
        <v>0.05</v>
      </c>
      <c r="E7" s="9" t="n">
        <f aca="false">Assumptions!B36</f>
        <v>0.2</v>
      </c>
    </row>
    <row r="8" customFormat="false" ht="15" hidden="false" customHeight="false" outlineLevel="0" collapsed="false">
      <c r="A8" s="6" t="s">
        <v>28</v>
      </c>
      <c r="B8" s="7" t="n">
        <v>0.26</v>
      </c>
      <c r="C8" s="8" t="n">
        <f aca="false">'Relative &amp; Normalized'!C7</f>
        <v>0.726885683552602</v>
      </c>
      <c r="D8" s="7" t="n">
        <v>1.4</v>
      </c>
      <c r="E8" s="9" t="n">
        <f aca="false">Assumptions!B37</f>
        <v>0.2</v>
      </c>
    </row>
    <row r="9" customFormat="false" ht="15" hidden="false" customHeight="false" outlineLevel="0" collapsed="false">
      <c r="A9" s="6" t="s">
        <v>29</v>
      </c>
      <c r="B9" s="7" t="n">
        <v>0.61</v>
      </c>
      <c r="C9" s="8" t="n">
        <f aca="false">'Relative &amp; Normalized'!C9</f>
        <v>0.909219877898483</v>
      </c>
      <c r="D9" s="7" t="n">
        <v>1.43</v>
      </c>
      <c r="E9" s="9" t="n">
        <f aca="false">Assumptions!B38</f>
        <v>0.2</v>
      </c>
    </row>
    <row r="10" customFormat="false" ht="15" hidden="false" customHeight="false" outlineLevel="0" collapsed="false">
      <c r="A10" s="10" t="s">
        <v>30</v>
      </c>
      <c r="B10" s="11" t="n">
        <f aca="false">SUMPRODUCT(B6:B9,$E$6:$E$9)</f>
        <v>0.188</v>
      </c>
      <c r="C10" s="11" t="n">
        <f aca="false">SUMPRODUCT(C6:C9,$E$6:$E$9)</f>
        <v>0.341221112290217</v>
      </c>
      <c r="D10" s="11" t="n">
        <f aca="false">SUMPRODUCT(D6:D9,$E$6:$E$9)</f>
        <v>1.188</v>
      </c>
    </row>
    <row r="12" customFormat="false" ht="15" hidden="false" customHeight="false" outlineLevel="0" collapsed="false">
      <c r="A12" s="6" t="s">
        <v>31</v>
      </c>
      <c r="B12" s="8" t="n">
        <f aca="false">Assumptions!B5</f>
        <v>2.19</v>
      </c>
    </row>
    <row r="13" customFormat="false" ht="15" hidden="false" customHeight="false" outlineLevel="0" collapsed="false">
      <c r="A13" s="6" t="s">
        <v>32</v>
      </c>
      <c r="B13" s="12" t="n">
        <f aca="false">C10/Assumptions!B5-1</f>
        <v>-0.844191272926842</v>
      </c>
    </row>
    <row r="15" customFormat="false" ht="15" hidden="false" customHeight="false" outlineLevel="0" collapsed="false">
      <c r="A15" s="13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2"/>
  </cols>
  <sheetData>
    <row r="1" customFormat="false" ht="16.15" hidden="false" customHeight="false" outlineLevel="0" collapsed="false">
      <c r="A1" s="1" t="s">
        <v>34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4" t="s">
        <v>35</v>
      </c>
    </row>
    <row r="5" customFormat="false" ht="15" hidden="false" customHeight="false" outlineLevel="0" collapsed="false">
      <c r="A5" s="5" t="s">
        <v>36</v>
      </c>
      <c r="B5" s="5" t="s">
        <v>22</v>
      </c>
      <c r="C5" s="5" t="s">
        <v>23</v>
      </c>
      <c r="D5" s="5" t="s">
        <v>24</v>
      </c>
    </row>
    <row r="6" customFormat="false" ht="15" hidden="false" customHeight="false" outlineLevel="0" collapsed="false">
      <c r="A6" s="14" t="s">
        <v>26</v>
      </c>
      <c r="B6" s="8" t="n">
        <f aca="false">Summary!B6</f>
        <v>0.01</v>
      </c>
      <c r="C6" s="8" t="n">
        <f aca="false">Summary!C6</f>
        <v>0.01</v>
      </c>
      <c r="D6" s="8" t="n">
        <f aca="false">Summary!D6</f>
        <v>1.53</v>
      </c>
    </row>
    <row r="7" customFormat="false" ht="15" hidden="false" customHeight="false" outlineLevel="0" collapsed="false">
      <c r="A7" s="14" t="s">
        <v>27</v>
      </c>
      <c r="B7" s="8" t="n">
        <f aca="false">Summary!B7</f>
        <v>0.05</v>
      </c>
      <c r="C7" s="8" t="n">
        <f aca="false">Summary!C7</f>
        <v>0.05</v>
      </c>
      <c r="D7" s="8" t="n">
        <f aca="false">Summary!D7</f>
        <v>0.05</v>
      </c>
    </row>
    <row r="8" customFormat="false" ht="15" hidden="false" customHeight="false" outlineLevel="0" collapsed="false">
      <c r="A8" s="14" t="s">
        <v>28</v>
      </c>
      <c r="B8" s="8" t="n">
        <f aca="false">Summary!B8</f>
        <v>0.26</v>
      </c>
      <c r="C8" s="8" t="n">
        <f aca="false">Summary!C8</f>
        <v>0.726885683552602</v>
      </c>
      <c r="D8" s="8" t="n">
        <f aca="false">Summary!D8</f>
        <v>1.4</v>
      </c>
    </row>
    <row r="9" customFormat="false" ht="15" hidden="false" customHeight="false" outlineLevel="0" collapsed="false">
      <c r="A9" s="14" t="s">
        <v>29</v>
      </c>
      <c r="B9" s="8" t="n">
        <f aca="false">Summary!B9</f>
        <v>0.61</v>
      </c>
      <c r="C9" s="8" t="n">
        <f aca="false">Summary!C9</f>
        <v>0.909219877898483</v>
      </c>
      <c r="D9" s="8" t="n">
        <f aca="false">Summary!D9</f>
        <v>1.43</v>
      </c>
    </row>
    <row r="10" customFormat="false" ht="15" hidden="false" customHeight="false" outlineLevel="0" collapsed="false">
      <c r="A10" s="10" t="s">
        <v>30</v>
      </c>
      <c r="B10" s="15" t="n">
        <f aca="false">Summary!B10</f>
        <v>0.188</v>
      </c>
      <c r="C10" s="15" t="n">
        <f aca="false">Summary!C10</f>
        <v>0.341221112290217</v>
      </c>
      <c r="D10" s="15" t="n">
        <f aca="false">Summary!D10</f>
        <v>1.188</v>
      </c>
    </row>
    <row r="11" customFormat="false" ht="15" hidden="false" customHeight="false" outlineLevel="0" collapsed="false">
      <c r="A11" s="6" t="s">
        <v>37</v>
      </c>
      <c r="B11" s="8" t="n">
        <f aca="false">Assumptions!B5</f>
        <v>2.19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7" min="4" style="0" width="12"/>
    <col collapsed="false" customWidth="true" hidden="false" outlineLevel="0" max="8" min="8" style="0" width="60"/>
    <col collapsed="false" customWidth="true" hidden="false" outlineLevel="0" max="9" min="9" style="0" width="12"/>
  </cols>
  <sheetData>
    <row r="1" customFormat="false" ht="16.15" hidden="false" customHeight="false" outlineLevel="0" collapsed="false">
      <c r="A1" s="1" t="s">
        <v>38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4" t="s">
        <v>39</v>
      </c>
    </row>
    <row r="4" customFormat="false" ht="15" hidden="false" customHeight="false" outlineLevel="0" collapsed="false">
      <c r="A4" s="16" t="s">
        <v>40</v>
      </c>
    </row>
    <row r="5" customFormat="false" ht="15" hidden="false" customHeight="false" outlineLevel="0" collapsed="false">
      <c r="A5" s="6" t="s">
        <v>41</v>
      </c>
      <c r="B5" s="7" t="n">
        <v>2.19</v>
      </c>
      <c r="C5" s="13" t="s">
        <v>42</v>
      </c>
    </row>
    <row r="6" customFormat="false" ht="15" hidden="false" customHeight="false" outlineLevel="0" collapsed="false">
      <c r="A6" s="6" t="s">
        <v>43</v>
      </c>
      <c r="B6" s="17" t="n">
        <v>3313.540373</v>
      </c>
      <c r="C6" s="13" t="s">
        <v>44</v>
      </c>
    </row>
    <row r="7" customFormat="false" ht="15" hidden="false" customHeight="false" outlineLevel="0" collapsed="false">
      <c r="A7" s="6" t="s">
        <v>45</v>
      </c>
      <c r="B7" s="18" t="n">
        <v>0.225</v>
      </c>
      <c r="C7" s="13" t="s">
        <v>46</v>
      </c>
    </row>
    <row r="8" customFormat="false" ht="15" hidden="false" customHeight="false" outlineLevel="0" collapsed="false">
      <c r="A8" s="16" t="s">
        <v>47</v>
      </c>
    </row>
    <row r="9" customFormat="false" ht="15" hidden="false" customHeight="false" outlineLevel="0" collapsed="false">
      <c r="A9" s="6" t="s">
        <v>48</v>
      </c>
      <c r="B9" s="18" t="n">
        <v>0.2231</v>
      </c>
      <c r="C9" s="13" t="s">
        <v>49</v>
      </c>
    </row>
    <row r="10" customFormat="false" ht="15" hidden="false" customHeight="false" outlineLevel="0" collapsed="false">
      <c r="A10" s="6" t="s">
        <v>50</v>
      </c>
      <c r="B10" s="18" t="n">
        <v>0.034</v>
      </c>
      <c r="C10" s="13" t="s">
        <v>51</v>
      </c>
    </row>
    <row r="11" customFormat="false" ht="15" hidden="false" customHeight="false" outlineLevel="0" collapsed="false">
      <c r="A11" s="6" t="s">
        <v>52</v>
      </c>
      <c r="B11" s="12" t="n">
        <f aca="false">B9-B10</f>
        <v>0.1891</v>
      </c>
    </row>
    <row r="12" customFormat="false" ht="15" hidden="false" customHeight="false" outlineLevel="0" collapsed="false">
      <c r="A12" s="6" t="s">
        <v>53</v>
      </c>
      <c r="B12" s="18" t="n">
        <v>0.0941</v>
      </c>
      <c r="C12" s="13" t="s">
        <v>54</v>
      </c>
    </row>
    <row r="13" customFormat="false" ht="15" hidden="false" customHeight="false" outlineLevel="0" collapsed="false">
      <c r="A13" s="6" t="s">
        <v>55</v>
      </c>
      <c r="B13" s="7" t="n">
        <v>0.964</v>
      </c>
      <c r="C13" s="13" t="s">
        <v>56</v>
      </c>
    </row>
    <row r="14" customFormat="false" ht="15" hidden="false" customHeight="false" outlineLevel="0" collapsed="false">
      <c r="A14" s="6" t="s">
        <v>57</v>
      </c>
      <c r="B14" s="12" t="n">
        <f aca="false">B11+B13*B12</f>
        <v>0.2798124</v>
      </c>
    </row>
    <row r="15" customFormat="false" ht="15" hidden="false" customHeight="false" outlineLevel="0" collapsed="false">
      <c r="A15" s="6" t="s">
        <v>58</v>
      </c>
      <c r="B15" s="18" t="n">
        <v>0.22</v>
      </c>
      <c r="C15" s="13" t="s">
        <v>59</v>
      </c>
    </row>
    <row r="16" customFormat="false" ht="15" hidden="false" customHeight="false" outlineLevel="0" collapsed="false">
      <c r="A16" s="6" t="s">
        <v>60</v>
      </c>
      <c r="B16" s="12" t="n">
        <f aca="false">B15*(1-B7)</f>
        <v>0.1705</v>
      </c>
    </row>
    <row r="17" customFormat="false" ht="15" hidden="false" customHeight="false" outlineLevel="0" collapsed="false">
      <c r="A17" s="6" t="s">
        <v>61</v>
      </c>
      <c r="B17" s="6" t="n">
        <f aca="false">B5*B6</f>
        <v>7256.65341687</v>
      </c>
    </row>
    <row r="18" customFormat="false" ht="15" hidden="false" customHeight="false" outlineLevel="0" collapsed="false">
      <c r="A18" s="6" t="s">
        <v>62</v>
      </c>
      <c r="B18" s="17" t="n">
        <v>10900</v>
      </c>
      <c r="C18" s="13" t="s">
        <v>63</v>
      </c>
    </row>
    <row r="19" customFormat="false" ht="15" hidden="false" customHeight="false" outlineLevel="0" collapsed="false">
      <c r="A19" s="6" t="s">
        <v>64</v>
      </c>
      <c r="B19" s="12" t="n">
        <f aca="false">B17/(B17+B18)</f>
        <v>0.399669104777182</v>
      </c>
    </row>
    <row r="20" customFormat="false" ht="15" hidden="false" customHeight="false" outlineLevel="0" collapsed="false">
      <c r="A20" s="19" t="s">
        <v>65</v>
      </c>
      <c r="B20" s="20" t="n">
        <f aca="false">B19*B14+(1-B19)*B16</f>
        <v>0.214188789049045</v>
      </c>
    </row>
    <row r="21" customFormat="false" ht="15" hidden="false" customHeight="false" outlineLevel="0" collapsed="false">
      <c r="A21" s="6" t="s">
        <v>66</v>
      </c>
      <c r="B21" s="18" t="n">
        <v>0.105</v>
      </c>
      <c r="C21" s="13" t="s">
        <v>67</v>
      </c>
    </row>
    <row r="22" customFormat="false" ht="15" hidden="false" customHeight="false" outlineLevel="0" collapsed="false">
      <c r="A22" s="6" t="s">
        <v>68</v>
      </c>
      <c r="B22" s="18" t="n">
        <v>0.07</v>
      </c>
      <c r="C22" s="13" t="s">
        <v>69</v>
      </c>
    </row>
    <row r="23" customFormat="false" ht="15" hidden="false" customHeight="false" outlineLevel="0" collapsed="false">
      <c r="A23" s="6" t="s">
        <v>70</v>
      </c>
      <c r="B23" s="12" t="n">
        <f aca="false">B21+B13*B22</f>
        <v>0.17248</v>
      </c>
    </row>
    <row r="24" customFormat="false" ht="15" hidden="false" customHeight="false" outlineLevel="0" collapsed="false">
      <c r="A24" s="6" t="s">
        <v>71</v>
      </c>
      <c r="B24" s="18" t="n">
        <v>0.15</v>
      </c>
      <c r="C24" s="13" t="s">
        <v>72</v>
      </c>
    </row>
    <row r="25" customFormat="false" ht="15" hidden="false" customHeight="false" outlineLevel="0" collapsed="false">
      <c r="A25" s="19" t="s">
        <v>73</v>
      </c>
      <c r="B25" s="20" t="n">
        <f aca="false">(1-$B$56)*B23+$B$56*B24*(1-B7)</f>
        <v>0.149988</v>
      </c>
    </row>
    <row r="26" customFormat="false" ht="15" hidden="false" customHeight="false" outlineLevel="0" collapsed="false">
      <c r="A26" s="6" t="s">
        <v>74</v>
      </c>
      <c r="B26" s="18" t="n">
        <v>0.05</v>
      </c>
      <c r="C26" s="13" t="s">
        <v>75</v>
      </c>
    </row>
    <row r="27" customFormat="false" ht="15" hidden="false" customHeight="false" outlineLevel="0" collapsed="false">
      <c r="A27" s="16" t="s">
        <v>76</v>
      </c>
    </row>
    <row r="28" customFormat="false" ht="15" hidden="false" customHeight="false" outlineLevel="0" collapsed="false">
      <c r="A28" s="6" t="s">
        <v>77</v>
      </c>
      <c r="B28" s="17" t="n">
        <v>10200</v>
      </c>
      <c r="C28" s="13" t="s">
        <v>78</v>
      </c>
    </row>
    <row r="29" customFormat="false" ht="15" hidden="false" customHeight="false" outlineLevel="0" collapsed="false">
      <c r="A29" s="6" t="s">
        <v>79</v>
      </c>
      <c r="B29" s="17" t="n">
        <v>0</v>
      </c>
      <c r="C29" s="13" t="s">
        <v>80</v>
      </c>
    </row>
    <row r="30" customFormat="false" ht="15" hidden="false" customHeight="false" outlineLevel="0" collapsed="false">
      <c r="A30" s="16" t="s">
        <v>81</v>
      </c>
    </row>
    <row r="31" customFormat="false" ht="15" hidden="false" customHeight="false" outlineLevel="0" collapsed="false">
      <c r="A31" s="6" t="s">
        <v>82</v>
      </c>
      <c r="B31" s="21" t="n">
        <v>5.5</v>
      </c>
      <c r="C31" s="13" t="s">
        <v>83</v>
      </c>
    </row>
    <row r="32" customFormat="false" ht="15" hidden="false" customHeight="false" outlineLevel="0" collapsed="false">
      <c r="A32" s="6" t="s">
        <v>84</v>
      </c>
      <c r="B32" s="21" t="n">
        <v>6.5</v>
      </c>
      <c r="C32" s="13" t="s">
        <v>85</v>
      </c>
    </row>
    <row r="33" customFormat="false" ht="15" hidden="false" customHeight="false" outlineLevel="0" collapsed="false">
      <c r="A33" s="6" t="s">
        <v>86</v>
      </c>
      <c r="B33" s="18" t="n">
        <v>0.14</v>
      </c>
      <c r="C33" s="13" t="s">
        <v>87</v>
      </c>
    </row>
    <row r="34" customFormat="false" ht="15" hidden="false" customHeight="false" outlineLevel="0" collapsed="false">
      <c r="A34" s="6" t="s">
        <v>88</v>
      </c>
      <c r="B34" s="17" t="n">
        <v>4100</v>
      </c>
      <c r="C34" s="13" t="s">
        <v>89</v>
      </c>
    </row>
    <row r="35" customFormat="false" ht="15" hidden="false" customHeight="false" outlineLevel="0" collapsed="false">
      <c r="A35" s="6" t="s">
        <v>90</v>
      </c>
      <c r="B35" s="18" t="n">
        <v>0.4</v>
      </c>
    </row>
    <row r="36" customFormat="false" ht="15" hidden="false" customHeight="false" outlineLevel="0" collapsed="false">
      <c r="A36" s="6" t="s">
        <v>91</v>
      </c>
      <c r="B36" s="18" t="n">
        <v>0.2</v>
      </c>
    </row>
    <row r="37" customFormat="false" ht="15" hidden="false" customHeight="false" outlineLevel="0" collapsed="false">
      <c r="A37" s="6" t="s">
        <v>92</v>
      </c>
      <c r="B37" s="18" t="n">
        <v>0.2</v>
      </c>
    </row>
    <row r="38" customFormat="false" ht="15" hidden="false" customHeight="false" outlineLevel="0" collapsed="false">
      <c r="A38" s="6" t="s">
        <v>93</v>
      </c>
      <c r="B38" s="18" t="n">
        <v>0.2</v>
      </c>
    </row>
    <row r="39" customFormat="false" ht="15" hidden="false" customHeight="false" outlineLevel="0" collapsed="false">
      <c r="A39" s="16" t="s">
        <v>94</v>
      </c>
    </row>
    <row r="40" customFormat="false" ht="15" hidden="false" customHeight="false" outlineLevel="0" collapsed="false">
      <c r="A40" s="19" t="s">
        <v>95</v>
      </c>
      <c r="C40" s="5" t="s">
        <v>96</v>
      </c>
      <c r="D40" s="5" t="s">
        <v>97</v>
      </c>
      <c r="E40" s="5" t="s">
        <v>98</v>
      </c>
      <c r="F40" s="5" t="s">
        <v>99</v>
      </c>
      <c r="G40" s="5" t="s">
        <v>100</v>
      </c>
    </row>
    <row r="41" customFormat="false" ht="15" hidden="false" customHeight="false" outlineLevel="0" collapsed="false">
      <c r="A41" s="6" t="s">
        <v>101</v>
      </c>
      <c r="C41" s="22" t="n">
        <v>10.4</v>
      </c>
      <c r="D41" s="22" t="n">
        <v>11.9</v>
      </c>
      <c r="E41" s="22" t="n">
        <v>13.4</v>
      </c>
      <c r="F41" s="22" t="n">
        <v>14.8</v>
      </c>
      <c r="G41" s="22" t="n">
        <v>16</v>
      </c>
      <c r="H41" s="13" t="s">
        <v>102</v>
      </c>
    </row>
    <row r="42" customFormat="false" ht="15" hidden="false" customHeight="false" outlineLevel="0" collapsed="false">
      <c r="A42" s="6" t="s">
        <v>103</v>
      </c>
      <c r="C42" s="23" t="n">
        <v>12600</v>
      </c>
      <c r="D42" s="23" t="n">
        <v>12600</v>
      </c>
      <c r="E42" s="23" t="n">
        <v>12600</v>
      </c>
      <c r="F42" s="23" t="n">
        <v>12600</v>
      </c>
      <c r="G42" s="23" t="n">
        <v>12600</v>
      </c>
      <c r="H42" s="13" t="s">
        <v>104</v>
      </c>
    </row>
    <row r="43" customFormat="false" ht="15" hidden="false" customHeight="false" outlineLevel="0" collapsed="false">
      <c r="A43" s="6" t="s">
        <v>105</v>
      </c>
      <c r="C43" s="22" t="n">
        <v>50.4</v>
      </c>
      <c r="D43" s="22" t="n">
        <v>52</v>
      </c>
      <c r="E43" s="22" t="n">
        <v>53.5</v>
      </c>
      <c r="F43" s="22" t="n">
        <v>55</v>
      </c>
      <c r="G43" s="22" t="n">
        <v>56.5</v>
      </c>
      <c r="H43" s="13" t="s">
        <v>106</v>
      </c>
    </row>
    <row r="44" customFormat="false" ht="15" hidden="false" customHeight="false" outlineLevel="0" collapsed="false">
      <c r="A44" s="6" t="s">
        <v>107</v>
      </c>
      <c r="C44" s="24" t="n">
        <v>40</v>
      </c>
      <c r="D44" s="24" t="n">
        <v>90</v>
      </c>
      <c r="E44" s="24" t="n">
        <v>115</v>
      </c>
      <c r="F44" s="24" t="n">
        <v>128</v>
      </c>
      <c r="G44" s="24" t="n">
        <v>135</v>
      </c>
      <c r="H44" s="13" t="s">
        <v>108</v>
      </c>
    </row>
    <row r="45" customFormat="false" ht="15" hidden="false" customHeight="false" outlineLevel="0" collapsed="false">
      <c r="A45" s="6" t="s">
        <v>109</v>
      </c>
      <c r="C45" s="23" t="n">
        <v>225</v>
      </c>
      <c r="D45" s="23" t="n">
        <v>243</v>
      </c>
      <c r="E45" s="23" t="n">
        <v>262</v>
      </c>
      <c r="F45" s="23" t="n">
        <v>283</v>
      </c>
      <c r="G45" s="23" t="n">
        <v>306</v>
      </c>
      <c r="H45" s="13" t="s">
        <v>110</v>
      </c>
    </row>
    <row r="46" customFormat="false" ht="15" hidden="false" customHeight="false" outlineLevel="0" collapsed="false">
      <c r="A46" s="6" t="s">
        <v>111</v>
      </c>
      <c r="C46" s="18" t="n">
        <v>0.013</v>
      </c>
      <c r="D46" s="18" t="n">
        <v>0.013</v>
      </c>
      <c r="E46" s="18" t="n">
        <v>0.013</v>
      </c>
      <c r="F46" s="18" t="n">
        <v>0.013</v>
      </c>
      <c r="G46" s="18" t="n">
        <v>0.013</v>
      </c>
    </row>
    <row r="47" customFormat="false" ht="15" hidden="false" customHeight="false" outlineLevel="0" collapsed="false">
      <c r="A47" s="6" t="s">
        <v>112</v>
      </c>
      <c r="C47" s="18" t="n">
        <v>1.12</v>
      </c>
      <c r="D47" s="18" t="n">
        <v>1.06</v>
      </c>
      <c r="E47" s="18" t="n">
        <v>1</v>
      </c>
      <c r="F47" s="18" t="n">
        <v>0.94</v>
      </c>
      <c r="G47" s="18" t="n">
        <v>0.88</v>
      </c>
      <c r="H47" s="13" t="s">
        <v>113</v>
      </c>
    </row>
    <row r="48" customFormat="false" ht="15" hidden="false" customHeight="false" outlineLevel="0" collapsed="false">
      <c r="A48" s="6" t="s">
        <v>114</v>
      </c>
      <c r="C48" s="18" t="n">
        <v>0.22</v>
      </c>
      <c r="D48" s="18" t="n">
        <v>0.2</v>
      </c>
      <c r="E48" s="18" t="n">
        <v>0.185</v>
      </c>
      <c r="F48" s="18" t="n">
        <v>0.168</v>
      </c>
      <c r="G48" s="18" t="n">
        <v>0.155</v>
      </c>
      <c r="H48" s="13" t="s">
        <v>115</v>
      </c>
    </row>
    <row r="49" customFormat="false" ht="15" hidden="false" customHeight="false" outlineLevel="0" collapsed="false">
      <c r="A49" s="6" t="s">
        <v>116</v>
      </c>
      <c r="C49" s="12" t="n">
        <f aca="false">($C$48-C48)/($C$48-$G$48)</f>
        <v>0</v>
      </c>
      <c r="D49" s="12" t="n">
        <f aca="false">($C$48-D48)/($C$48-$G$48)</f>
        <v>0.307692307692308</v>
      </c>
      <c r="E49" s="12" t="n">
        <f aca="false">($C$48-E48)/($C$48-$G$48)</f>
        <v>0.538461538461539</v>
      </c>
      <c r="F49" s="12" t="n">
        <f aca="false">($C$48-F48)/($C$48-$G$48)</f>
        <v>0.8</v>
      </c>
      <c r="G49" s="12" t="n">
        <f aca="false">($C$48-G48)/($C$48-$G$48)</f>
        <v>1</v>
      </c>
    </row>
    <row r="50" customFormat="false" ht="15" hidden="false" customHeight="false" outlineLevel="0" collapsed="false">
      <c r="A50" s="6" t="s">
        <v>117</v>
      </c>
      <c r="C50" s="12" t="n">
        <f aca="false">$B$20-($B$20-$B$25)*C49</f>
        <v>0.214188789049045</v>
      </c>
      <c r="D50" s="12" t="n">
        <f aca="false">$B$20-($B$20-$B$25)*D49</f>
        <v>0.194434700110878</v>
      </c>
      <c r="E50" s="12" t="n">
        <f aca="false">$B$20-($B$20-$B$25)*E49</f>
        <v>0.179619133407252</v>
      </c>
      <c r="F50" s="12" t="n">
        <f aca="false">$B$20-($B$20-$B$25)*F49</f>
        <v>0.162828157809809</v>
      </c>
      <c r="G50" s="12" t="n">
        <f aca="false">$B$20-($B$20-$B$25)*G49</f>
        <v>0.149988</v>
      </c>
    </row>
    <row r="51" customFormat="false" ht="15" hidden="false" customHeight="false" outlineLevel="0" collapsed="false">
      <c r="A51" s="6" t="s">
        <v>118</v>
      </c>
      <c r="C51" s="25" t="n">
        <f aca="false">1/(1+C50)</f>
        <v>0.82359515177471</v>
      </c>
      <c r="D51" s="25" t="n">
        <f aca="false">C51/(1+D50)</f>
        <v>0.689527147610713</v>
      </c>
      <c r="E51" s="25" t="n">
        <f aca="false">D51/(1+E50)</f>
        <v>0.584533709299085</v>
      </c>
      <c r="F51" s="25" t="n">
        <f aca="false">E51/(1+F50)</f>
        <v>0.502682795710809</v>
      </c>
      <c r="G51" s="25" t="n">
        <f aca="false">F51/(1+G50)</f>
        <v>0.437120035783686</v>
      </c>
    </row>
    <row r="52" customFormat="false" ht="15" hidden="false" customHeight="false" outlineLevel="0" collapsed="false">
      <c r="A52" s="16" t="s">
        <v>119</v>
      </c>
    </row>
    <row r="53" customFormat="false" ht="15" hidden="false" customHeight="false" outlineLevel="0" collapsed="false">
      <c r="A53" s="6" t="s">
        <v>120</v>
      </c>
      <c r="B53" s="17" t="n">
        <v>10819</v>
      </c>
      <c r="C53" s="13" t="s">
        <v>121</v>
      </c>
    </row>
    <row r="54" customFormat="false" ht="15" hidden="false" customHeight="false" outlineLevel="0" collapsed="false">
      <c r="A54" s="6" t="s">
        <v>122</v>
      </c>
      <c r="B54" s="17" t="n">
        <v>12640</v>
      </c>
      <c r="C54" s="13" t="s">
        <v>123</v>
      </c>
    </row>
    <row r="55" customFormat="false" ht="15" hidden="false" customHeight="false" outlineLevel="0" collapsed="false">
      <c r="A55" s="6" t="s">
        <v>124</v>
      </c>
      <c r="B55" s="26" t="n">
        <v>1.387</v>
      </c>
      <c r="C55" s="13" t="s">
        <v>125</v>
      </c>
    </row>
    <row r="56" customFormat="false" ht="15" hidden="false" customHeight="false" outlineLevel="0" collapsed="false">
      <c r="A56" s="6" t="s">
        <v>126</v>
      </c>
      <c r="B56" s="18" t="n">
        <v>0.4</v>
      </c>
      <c r="C56" s="13" t="s">
        <v>127</v>
      </c>
    </row>
    <row r="57" customFormat="false" ht="15" hidden="false" customHeight="false" outlineLevel="0" collapsed="false">
      <c r="A57" s="6" t="s">
        <v>128</v>
      </c>
      <c r="B57" s="22" t="n">
        <v>25</v>
      </c>
      <c r="C57" s="13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2"/>
  </cols>
  <sheetData>
    <row r="1" customFormat="false" ht="16.15" hidden="false" customHeight="false" outlineLevel="0" collapsed="false">
      <c r="A1" s="1" t="s">
        <v>130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4" t="s">
        <v>131</v>
      </c>
    </row>
    <row r="5" customFormat="false" ht="15" hidden="false" customHeight="false" outlineLevel="0" collapsed="false">
      <c r="A5" s="10" t="s">
        <v>132</v>
      </c>
      <c r="B5" s="27" t="n">
        <f aca="false">DCF!B26</f>
        <v>5763.33382151802</v>
      </c>
    </row>
    <row r="6" customFormat="false" ht="15" hidden="false" customHeight="false" outlineLevel="0" collapsed="false">
      <c r="A6" s="14" t="s">
        <v>133</v>
      </c>
      <c r="B6" s="6" t="n">
        <v>0</v>
      </c>
    </row>
    <row r="7" customFormat="false" ht="15" hidden="false" customHeight="false" outlineLevel="0" collapsed="false">
      <c r="A7" s="14" t="s">
        <v>134</v>
      </c>
      <c r="B7" s="28" t="n">
        <f aca="false">-Assumptions!B28</f>
        <v>-10200</v>
      </c>
    </row>
    <row r="8" customFormat="false" ht="15" hidden="false" customHeight="false" outlineLevel="0" collapsed="false">
      <c r="A8" s="14" t="s">
        <v>135</v>
      </c>
      <c r="B8" s="28" t="n">
        <f aca="false">-Assumptions!B29</f>
        <v>-0</v>
      </c>
    </row>
    <row r="9" customFormat="false" ht="15" hidden="false" customHeight="false" outlineLevel="0" collapsed="false">
      <c r="A9" s="10" t="s">
        <v>136</v>
      </c>
      <c r="B9" s="27" t="n">
        <f aca="false">B5+B6+B7+B8</f>
        <v>-4436.66617848198</v>
      </c>
    </row>
    <row r="10" customFormat="false" ht="15" hidden="false" customHeight="false" outlineLevel="0" collapsed="false">
      <c r="A10" s="10" t="s">
        <v>137</v>
      </c>
      <c r="B10" s="27" t="n">
        <f aca="false">MAX(B9,0)</f>
        <v>0</v>
      </c>
    </row>
    <row r="11" customFormat="false" ht="15" hidden="false" customHeight="false" outlineLevel="0" collapsed="false">
      <c r="A11" s="10" t="s">
        <v>138</v>
      </c>
      <c r="B11" s="15" t="n">
        <f aca="false">MAX(B10/Assumptions!B6,0.01)</f>
        <v>0.01</v>
      </c>
    </row>
    <row r="12" customFormat="false" ht="15" hidden="false" customHeight="false" outlineLevel="0" collapsed="false">
      <c r="A12" s="10" t="s">
        <v>139</v>
      </c>
      <c r="B12" s="29" t="n">
        <f aca="false">B11/Assumptions!B5-1</f>
        <v>-0.995433789954338</v>
      </c>
    </row>
    <row r="14" customFormat="false" ht="15" hidden="false" customHeight="false" outlineLevel="0" collapsed="false">
      <c r="A14" s="5" t="s">
        <v>140</v>
      </c>
    </row>
    <row r="15" customFormat="false" ht="15" hidden="false" customHeight="false" outlineLevel="0" collapsed="false">
      <c r="A15" s="6" t="s">
        <v>141</v>
      </c>
      <c r="B15" s="28" t="n">
        <f aca="false">Assumptions!B17</f>
        <v>7256.65341687</v>
      </c>
    </row>
    <row r="16" customFormat="false" ht="15" hidden="false" customHeight="false" outlineLevel="0" collapsed="false">
      <c r="A16" s="6" t="s">
        <v>142</v>
      </c>
      <c r="B16" s="6" t="n">
        <f aca="false">B15+Assumptions!B28</f>
        <v>17456.65341687</v>
      </c>
    </row>
    <row r="17" customFormat="false" ht="15" hidden="false" customHeight="false" outlineLevel="0" collapsed="false">
      <c r="A17" s="6" t="s">
        <v>143</v>
      </c>
      <c r="B17" s="30" t="n">
        <f aca="false">B16/Segments!F15</f>
        <v>16.2993962809244</v>
      </c>
    </row>
    <row r="18" customFormat="false" ht="15" hidden="false" customHeight="false" outlineLevel="0" collapsed="false">
      <c r="A18" s="6" t="s">
        <v>144</v>
      </c>
      <c r="B18" s="30" t="n">
        <f aca="false">B16/Segments!D15</f>
        <v>6.07971585347624</v>
      </c>
    </row>
    <row r="20" customFormat="false" ht="15" hidden="false" customHeight="false" outlineLevel="0" collapsed="false">
      <c r="A20" s="13" t="s">
        <v>145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0" min="2" style="0" width="12"/>
  </cols>
  <sheetData>
    <row r="1" customFormat="false" ht="16.15" hidden="false" customHeight="false" outlineLevel="0" collapsed="false">
      <c r="A1" s="1" t="s">
        <v>146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4" t="s">
        <v>147</v>
      </c>
    </row>
    <row r="4" customFormat="false" ht="15" hidden="false" customHeight="false" outlineLevel="0" collapsed="false">
      <c r="A4" s="5"/>
      <c r="B4" s="5" t="s">
        <v>148</v>
      </c>
      <c r="C4" s="5" t="s">
        <v>149</v>
      </c>
      <c r="D4" s="5" t="s">
        <v>150</v>
      </c>
      <c r="E4" s="5" t="s">
        <v>96</v>
      </c>
      <c r="F4" s="5" t="s">
        <v>97</v>
      </c>
      <c r="G4" s="5" t="s">
        <v>98</v>
      </c>
      <c r="H4" s="5" t="s">
        <v>99</v>
      </c>
      <c r="I4" s="5" t="s">
        <v>100</v>
      </c>
    </row>
    <row r="6" customFormat="false" ht="15" hidden="false" customHeight="false" outlineLevel="0" collapsed="false">
      <c r="A6" s="14" t="s">
        <v>151</v>
      </c>
      <c r="B6" s="31" t="n">
        <v>24</v>
      </c>
      <c r="C6" s="31" t="n">
        <v>24</v>
      </c>
      <c r="D6" s="31" t="n">
        <v>15.8</v>
      </c>
      <c r="E6" s="32" t="n">
        <f aca="false">Assumptions!C41</f>
        <v>10.4</v>
      </c>
      <c r="F6" s="32" t="n">
        <f aca="false">Assumptions!D41</f>
        <v>11.9</v>
      </c>
      <c r="G6" s="32" t="n">
        <f aca="false">Assumptions!E41</f>
        <v>13.4</v>
      </c>
      <c r="H6" s="32" t="n">
        <f aca="false">Assumptions!F41</f>
        <v>14.8</v>
      </c>
      <c r="I6" s="32" t="n">
        <f aca="false">Assumptions!G41</f>
        <v>16</v>
      </c>
    </row>
    <row r="7" customFormat="false" ht="15" hidden="false" customHeight="false" outlineLevel="0" collapsed="false">
      <c r="A7" s="14" t="s">
        <v>152</v>
      </c>
      <c r="B7" s="12" t="n">
        <f aca="false">B6/Assumptions!$B$57</f>
        <v>0.96</v>
      </c>
      <c r="C7" s="12" t="n">
        <f aca="false">C6/Assumptions!$B$57</f>
        <v>0.96</v>
      </c>
      <c r="D7" s="12" t="n">
        <f aca="false">D6/Assumptions!$B$57</f>
        <v>0.632</v>
      </c>
      <c r="E7" s="9" t="n">
        <f aca="false">E6/Assumptions!$B$57</f>
        <v>0.416</v>
      </c>
      <c r="F7" s="9" t="n">
        <f aca="false">F6/Assumptions!$B$57</f>
        <v>0.476</v>
      </c>
      <c r="G7" s="9" t="n">
        <f aca="false">G6/Assumptions!$B$57</f>
        <v>0.536</v>
      </c>
      <c r="H7" s="9" t="n">
        <f aca="false">H6/Assumptions!$B$57</f>
        <v>0.592</v>
      </c>
      <c r="I7" s="9" t="n">
        <f aca="false">I6/Assumptions!$B$57</f>
        <v>0.64</v>
      </c>
    </row>
    <row r="8" customFormat="false" ht="15" hidden="false" customHeight="false" outlineLevel="0" collapsed="false">
      <c r="A8" s="14" t="s">
        <v>153</v>
      </c>
      <c r="B8" s="23" t="n">
        <v>8478</v>
      </c>
      <c r="C8" s="23" t="n">
        <v>9147</v>
      </c>
      <c r="D8" s="23" t="n">
        <v>10000</v>
      </c>
      <c r="E8" s="33" t="n">
        <f aca="false">Assumptions!C42</f>
        <v>12600</v>
      </c>
      <c r="F8" s="33" t="n">
        <f aca="false">Assumptions!D42</f>
        <v>12600</v>
      </c>
      <c r="G8" s="33" t="n">
        <f aca="false">Assumptions!E42</f>
        <v>12600</v>
      </c>
      <c r="H8" s="33" t="n">
        <f aca="false">Assumptions!F42</f>
        <v>12600</v>
      </c>
      <c r="I8" s="33" t="n">
        <f aca="false">Assumptions!G42</f>
        <v>12600</v>
      </c>
    </row>
    <row r="9" customFormat="false" ht="15" hidden="false" customHeight="false" outlineLevel="0" collapsed="false">
      <c r="A9" s="14" t="s">
        <v>105</v>
      </c>
      <c r="B9" s="22" t="n">
        <v>30.7</v>
      </c>
      <c r="C9" s="22" t="n">
        <v>45.3</v>
      </c>
      <c r="D9" s="22" t="n">
        <v>49.5</v>
      </c>
      <c r="E9" s="32" t="n">
        <f aca="false">Assumptions!C43</f>
        <v>50.4</v>
      </c>
      <c r="F9" s="32" t="n">
        <f aca="false">Assumptions!D43</f>
        <v>52</v>
      </c>
      <c r="G9" s="32" t="n">
        <f aca="false">Assumptions!E43</f>
        <v>53.5</v>
      </c>
      <c r="H9" s="32" t="n">
        <f aca="false">Assumptions!F43</f>
        <v>55</v>
      </c>
      <c r="I9" s="32" t="n">
        <f aca="false">Assumptions!G43</f>
        <v>56.5</v>
      </c>
    </row>
    <row r="10" customFormat="false" ht="15" hidden="false" customHeight="false" outlineLevel="0" collapsed="false">
      <c r="A10" s="14" t="s">
        <v>154</v>
      </c>
      <c r="B10" s="34" t="n">
        <f aca="false">B8*B9*Assumptions!$B$55</f>
        <v>361000.8702</v>
      </c>
      <c r="C10" s="34" t="n">
        <f aca="false">C8*C9*Assumptions!$B$55</f>
        <v>574716.0717</v>
      </c>
      <c r="D10" s="34" t="n">
        <f aca="false">D8*D9*Assumptions!$B$55</f>
        <v>686565</v>
      </c>
      <c r="E10" s="33" t="n">
        <f aca="false">E8*E9*Assumptions!$B$55</f>
        <v>880800.48</v>
      </c>
      <c r="F10" s="33" t="n">
        <f aca="false">F8*F9*Assumptions!$B$55</f>
        <v>908762.4</v>
      </c>
      <c r="G10" s="33" t="n">
        <f aca="false">G8*G9*Assumptions!$B$55</f>
        <v>934976.7</v>
      </c>
      <c r="H10" s="33" t="n">
        <f aca="false">H8*H9*Assumptions!$B$55</f>
        <v>961191</v>
      </c>
      <c r="I10" s="33" t="n">
        <f aca="false">I8*I9*Assumptions!$B$55</f>
        <v>987405.3</v>
      </c>
    </row>
    <row r="11" customFormat="false" ht="15" hidden="false" customHeight="false" outlineLevel="0" collapsed="false">
      <c r="A11" s="10" t="s">
        <v>155</v>
      </c>
      <c r="B11" s="35" t="n">
        <v>8673.4</v>
      </c>
      <c r="C11" s="35" t="n">
        <v>13778.2</v>
      </c>
      <c r="D11" s="35" t="n">
        <v>10819</v>
      </c>
      <c r="E11" s="19" t="n">
        <f aca="false">E6*E10/1000</f>
        <v>9160.324992</v>
      </c>
      <c r="F11" s="19" t="n">
        <f aca="false">F6*F10/1000</f>
        <v>10814.27256</v>
      </c>
      <c r="G11" s="19" t="n">
        <f aca="false">G6*G10/1000</f>
        <v>12528.68778</v>
      </c>
      <c r="H11" s="19" t="n">
        <f aca="false">H6*H10/1000</f>
        <v>14225.6268</v>
      </c>
      <c r="I11" s="19" t="n">
        <f aca="false">I6*I10/1000</f>
        <v>15798.4848</v>
      </c>
    </row>
    <row r="12" customFormat="false" ht="15" hidden="false" customHeight="false" outlineLevel="0" collapsed="false">
      <c r="A12" s="14" t="s">
        <v>156</v>
      </c>
      <c r="E12" s="6" t="n">
        <f aca="false">E11*2/3</f>
        <v>6106.883328</v>
      </c>
      <c r="F12" s="6" t="n">
        <f aca="false">F11*2/3</f>
        <v>7209.51504</v>
      </c>
      <c r="G12" s="6" t="n">
        <f aca="false">G11*2/3</f>
        <v>8352.45852</v>
      </c>
      <c r="H12" s="6" t="n">
        <f aca="false">H11*2/3</f>
        <v>9483.7512</v>
      </c>
      <c r="I12" s="6" t="n">
        <f aca="false">I11*2/3</f>
        <v>10532.3232</v>
      </c>
    </row>
    <row r="13" customFormat="false" ht="15" hidden="false" customHeight="false" outlineLevel="0" collapsed="false">
      <c r="A13" s="14" t="s">
        <v>157</v>
      </c>
      <c r="E13" s="6" t="n">
        <f aca="false">E11/3</f>
        <v>3053.441664</v>
      </c>
      <c r="F13" s="6" t="n">
        <f aca="false">F11/3</f>
        <v>3604.75752</v>
      </c>
      <c r="G13" s="6" t="n">
        <f aca="false">G11/3</f>
        <v>4176.22926</v>
      </c>
      <c r="H13" s="6" t="n">
        <f aca="false">H11/3</f>
        <v>4741.8756</v>
      </c>
      <c r="I13" s="6" t="n">
        <f aca="false">I11/3</f>
        <v>5266.1616</v>
      </c>
    </row>
    <row r="14" customFormat="false" ht="15" hidden="false" customHeight="false" outlineLevel="0" collapsed="false">
      <c r="A14" s="14" t="s">
        <v>107</v>
      </c>
      <c r="B14" s="36" t="n">
        <v>111</v>
      </c>
      <c r="C14" s="36" t="n">
        <v>146</v>
      </c>
      <c r="D14" s="36" t="n">
        <v>182</v>
      </c>
      <c r="E14" s="37" t="n">
        <f aca="false">Assumptions!C44</f>
        <v>40</v>
      </c>
      <c r="F14" s="37" t="n">
        <f aca="false">Assumptions!D44</f>
        <v>90</v>
      </c>
      <c r="G14" s="37" t="n">
        <f aca="false">Assumptions!E44</f>
        <v>115</v>
      </c>
      <c r="H14" s="37" t="n">
        <f aca="false">Assumptions!F44</f>
        <v>128</v>
      </c>
      <c r="I14" s="37" t="n">
        <f aca="false">Assumptions!G44</f>
        <v>135</v>
      </c>
    </row>
    <row r="15" customFormat="false" ht="15" hidden="false" customHeight="false" outlineLevel="0" collapsed="false">
      <c r="A15" s="10" t="s">
        <v>158</v>
      </c>
      <c r="B15" s="35" t="n">
        <v>2661.03638064516</v>
      </c>
      <c r="C15" s="35" t="n">
        <v>3490</v>
      </c>
      <c r="D15" s="35" t="n">
        <v>2871.29429032258</v>
      </c>
      <c r="E15" s="19" t="n">
        <f aca="false">E6*E14</f>
        <v>416</v>
      </c>
      <c r="F15" s="19" t="n">
        <f aca="false">F6*F14</f>
        <v>1071</v>
      </c>
      <c r="G15" s="19" t="n">
        <f aca="false">G6*G14</f>
        <v>1541</v>
      </c>
      <c r="H15" s="19" t="n">
        <f aca="false">H6*H14</f>
        <v>1894.4</v>
      </c>
      <c r="I15" s="19" t="n">
        <f aca="false">I6*I14</f>
        <v>2160</v>
      </c>
    </row>
    <row r="16" customFormat="false" ht="15" hidden="false" customHeight="false" outlineLevel="0" collapsed="false">
      <c r="A16" s="14" t="s">
        <v>159</v>
      </c>
      <c r="B16" s="12" t="n">
        <f aca="false">B15/B11</f>
        <v>0.306804295967575</v>
      </c>
      <c r="C16" s="12" t="n">
        <f aca="false">C15/C11</f>
        <v>0.253298689233717</v>
      </c>
      <c r="D16" s="12" t="n">
        <f aca="false">D15/D11</f>
        <v>0.26539368613759</v>
      </c>
      <c r="E16" s="12" t="n">
        <f aca="false">E15/E11</f>
        <v>0.0454132359237588</v>
      </c>
      <c r="F16" s="12" t="n">
        <f aca="false">F15/F11</f>
        <v>0.0990357875721971</v>
      </c>
      <c r="G16" s="12" t="n">
        <f aca="false">G15/G11</f>
        <v>0.122997717483227</v>
      </c>
      <c r="H16" s="12" t="n">
        <f aca="false">H15/H11</f>
        <v>0.133168121632433</v>
      </c>
      <c r="I16" s="12" t="n">
        <f aca="false">I15/I11</f>
        <v>0.136721972223564</v>
      </c>
    </row>
    <row r="17" customFormat="false" ht="15" hidden="false" customHeight="false" outlineLevel="0" collapsed="false">
      <c r="A17" s="14" t="s">
        <v>160</v>
      </c>
      <c r="B17" s="17" t="n">
        <v>60.7138</v>
      </c>
      <c r="C17" s="17" t="n">
        <v>90</v>
      </c>
      <c r="D17" s="17" t="n">
        <v>75.733</v>
      </c>
      <c r="E17" s="28" t="n">
        <f aca="false">E11*Assumptions!C46</f>
        <v>119.084224896</v>
      </c>
      <c r="F17" s="28" t="n">
        <f aca="false">F11*Assumptions!D46</f>
        <v>140.58554328</v>
      </c>
      <c r="G17" s="28" t="n">
        <f aca="false">G11*Assumptions!E46</f>
        <v>162.87294114</v>
      </c>
      <c r="H17" s="28" t="n">
        <f aca="false">H11*Assumptions!F46</f>
        <v>184.9331484</v>
      </c>
      <c r="I17" s="28" t="n">
        <f aca="false">I11*Assumptions!G46</f>
        <v>205.3803024</v>
      </c>
    </row>
    <row r="18" customFormat="false" ht="15" hidden="false" customHeight="false" outlineLevel="0" collapsed="false">
      <c r="A18" s="10" t="s">
        <v>161</v>
      </c>
      <c r="B18" s="35" t="n">
        <v>2600.32258064516</v>
      </c>
      <c r="C18" s="35" t="n">
        <v>3400</v>
      </c>
      <c r="D18" s="35" t="n">
        <v>2795.56129032258</v>
      </c>
      <c r="E18" s="19" t="n">
        <f aca="false">E15-E17</f>
        <v>296.915775104</v>
      </c>
      <c r="F18" s="19" t="n">
        <f aca="false">F15-F17</f>
        <v>930.41445672</v>
      </c>
      <c r="G18" s="19" t="n">
        <f aca="false">G15-G17</f>
        <v>1378.12705886</v>
      </c>
      <c r="H18" s="19" t="n">
        <f aca="false">H15-H17</f>
        <v>1709.4668516</v>
      </c>
      <c r="I18" s="19" t="n">
        <f aca="false">I15-I17</f>
        <v>1954.6196976</v>
      </c>
    </row>
    <row r="20" customFormat="false" ht="15" hidden="false" customHeight="false" outlineLevel="0" collapsed="false">
      <c r="A20" s="13" t="s">
        <v>162</v>
      </c>
    </row>
    <row r="21" customFormat="false" ht="15" hidden="false" customHeight="false" outlineLevel="0" collapsed="false">
      <c r="A21" s="13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56"/>
    <col collapsed="false" customWidth="true" hidden="false" outlineLevel="0" max="7" min="3" style="0" width="12"/>
  </cols>
  <sheetData>
    <row r="1" customFormat="false" ht="16.15" hidden="false" customHeight="false" outlineLevel="0" collapsed="false">
      <c r="A1" s="1" t="s">
        <v>164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4" t="s">
        <v>165</v>
      </c>
    </row>
    <row r="5" customFormat="false" ht="15" hidden="false" customHeight="false" outlineLevel="0" collapsed="false">
      <c r="A5" s="5" t="s">
        <v>36</v>
      </c>
      <c r="B5" s="5" t="s">
        <v>166</v>
      </c>
      <c r="C5" s="5" t="s">
        <v>167</v>
      </c>
    </row>
    <row r="6" customFormat="false" ht="15" hidden="false" customHeight="false" outlineLevel="0" collapsed="false">
      <c r="A6" s="6" t="s">
        <v>168</v>
      </c>
      <c r="B6" s="13" t="s">
        <v>169</v>
      </c>
      <c r="C6" s="8" t="n">
        <f aca="false">MAX((Assumptions!B31*Segments!F15-'Balance Sheet'!D11)/Assumptions!B6,0.05)</f>
        <v>0.05</v>
      </c>
    </row>
    <row r="7" customFormat="false" ht="15" hidden="false" customHeight="false" outlineLevel="0" collapsed="false">
      <c r="A7" s="6" t="s">
        <v>170</v>
      </c>
      <c r="B7" s="13" t="s">
        <v>171</v>
      </c>
      <c r="C7" s="8" t="n">
        <f aca="false">(Segments!G18-Assumptions!B24*6000)*(1-Assumptions!B7)*Assumptions!B32/Assumptions!B6</f>
        <v>0.726885683552602</v>
      </c>
    </row>
    <row r="8" customFormat="false" ht="15" hidden="false" customHeight="false" outlineLevel="0" collapsed="false">
      <c r="A8" s="6" t="s">
        <v>172</v>
      </c>
      <c r="C8" s="8" t="n">
        <f aca="false">(Segments!G18-Assumptions!B24*6000)*(1-Assumptions!B7)/Assumptions!B6</f>
        <v>0.1118285667004</v>
      </c>
    </row>
    <row r="9" customFormat="false" ht="15" hidden="false" customHeight="false" outlineLevel="0" collapsed="false">
      <c r="A9" s="6" t="s">
        <v>173</v>
      </c>
      <c r="B9" s="13" t="s">
        <v>174</v>
      </c>
      <c r="C9" s="8" t="n">
        <f aca="false">MAX((Assumptions!B33-Assumptions!B26)/(Assumptions!B23-Assumptions!B26),0.1)*Assumptions!B34/Assumptions!B6</f>
        <v>0.909219877898483</v>
      </c>
    </row>
    <row r="11" customFormat="false" ht="15" hidden="false" customHeight="false" outlineLevel="0" collapsed="false">
      <c r="A11" s="6" t="s">
        <v>175</v>
      </c>
      <c r="C11" s="30" t="n">
        <f aca="false">Assumptions!B5/(Assumptions!B34/Assumptions!B6)</f>
        <v>1.76991546752927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8" min="2" style="0" width="12"/>
  </cols>
  <sheetData>
    <row r="1" customFormat="false" ht="16.15" hidden="false" customHeight="false" outlineLevel="0" collapsed="false">
      <c r="A1" s="1" t="s">
        <v>176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4" t="s">
        <v>177</v>
      </c>
    </row>
    <row r="4" customFormat="false" ht="15" hidden="false" customHeight="false" outlineLevel="0" collapsed="false">
      <c r="B4" s="5" t="s">
        <v>96</v>
      </c>
      <c r="C4" s="5" t="s">
        <v>97</v>
      </c>
      <c r="D4" s="5" t="s">
        <v>98</v>
      </c>
      <c r="E4" s="5" t="s">
        <v>99</v>
      </c>
      <c r="F4" s="5" t="s">
        <v>100</v>
      </c>
    </row>
    <row r="6" customFormat="false" ht="15" hidden="false" customHeight="false" outlineLevel="0" collapsed="false">
      <c r="A6" s="14" t="s">
        <v>178</v>
      </c>
      <c r="B6" s="28" t="n">
        <f aca="false">Segments!E11</f>
        <v>9160.324992</v>
      </c>
      <c r="C6" s="28" t="n">
        <f aca="false">Segments!F11</f>
        <v>10814.27256</v>
      </c>
      <c r="D6" s="28" t="n">
        <f aca="false">Segments!G11</f>
        <v>12528.68778</v>
      </c>
      <c r="E6" s="28" t="n">
        <f aca="false">Segments!H11</f>
        <v>14225.6268</v>
      </c>
      <c r="F6" s="28" t="n">
        <f aca="false">Segments!I11</f>
        <v>15798.4848</v>
      </c>
    </row>
    <row r="7" customFormat="false" ht="15" hidden="false" customHeight="false" outlineLevel="0" collapsed="false">
      <c r="A7" s="14" t="s">
        <v>179</v>
      </c>
      <c r="B7" s="28" t="n">
        <f aca="false">Segments!E15</f>
        <v>416</v>
      </c>
      <c r="C7" s="28" t="n">
        <f aca="false">Segments!F15</f>
        <v>1071</v>
      </c>
      <c r="D7" s="28" t="n">
        <f aca="false">Segments!G15</f>
        <v>1541</v>
      </c>
      <c r="E7" s="28" t="n">
        <f aca="false">Segments!H15</f>
        <v>1894.4</v>
      </c>
      <c r="F7" s="28" t="n">
        <f aca="false">Segments!I15</f>
        <v>2160</v>
      </c>
    </row>
    <row r="8" customFormat="false" ht="15" hidden="false" customHeight="false" outlineLevel="0" collapsed="false">
      <c r="A8" s="14" t="s">
        <v>180</v>
      </c>
      <c r="B8" s="28" t="n">
        <f aca="false">-Segments!E17</f>
        <v>-119.084224896</v>
      </c>
      <c r="C8" s="28" t="n">
        <f aca="false">-Segments!F17</f>
        <v>-140.58554328</v>
      </c>
      <c r="D8" s="28" t="n">
        <f aca="false">-Segments!G17</f>
        <v>-162.87294114</v>
      </c>
      <c r="E8" s="28" t="n">
        <f aca="false">-Segments!H17</f>
        <v>-184.9331484</v>
      </c>
      <c r="F8" s="28" t="n">
        <f aca="false">-Segments!I17</f>
        <v>-205.3803024</v>
      </c>
    </row>
    <row r="9" customFormat="false" ht="15" hidden="false" customHeight="false" outlineLevel="0" collapsed="false">
      <c r="A9" s="14" t="s">
        <v>161</v>
      </c>
      <c r="B9" s="28" t="n">
        <f aca="false">Segments!E18</f>
        <v>296.915775104</v>
      </c>
      <c r="C9" s="28" t="n">
        <f aca="false">Segments!F18</f>
        <v>930.41445672</v>
      </c>
      <c r="D9" s="28" t="n">
        <f aca="false">Segments!G18</f>
        <v>1378.12705886</v>
      </c>
      <c r="E9" s="28" t="n">
        <f aca="false">Segments!H18</f>
        <v>1709.4668516</v>
      </c>
      <c r="F9" s="28" t="n">
        <f aca="false">Segments!I18</f>
        <v>1954.6196976</v>
      </c>
    </row>
    <row r="10" customFormat="false" ht="15" hidden="false" customHeight="false" outlineLevel="0" collapsed="false">
      <c r="A10" s="14" t="s">
        <v>181</v>
      </c>
      <c r="B10" s="28" t="n">
        <f aca="false">B9*(1-Assumptions!$B$7)</f>
        <v>230.1097257056</v>
      </c>
      <c r="C10" s="28" t="n">
        <f aca="false">C9*(1-Assumptions!$B$7)</f>
        <v>721.071203958</v>
      </c>
      <c r="D10" s="28" t="n">
        <f aca="false">D9*(1-Assumptions!$B$7)</f>
        <v>1068.0484706165</v>
      </c>
      <c r="E10" s="28" t="n">
        <f aca="false">E9*(1-Assumptions!$B$7)</f>
        <v>1324.83680999</v>
      </c>
      <c r="F10" s="28" t="n">
        <f aca="false">F9*(1-Assumptions!$B$7)</f>
        <v>1514.83026564</v>
      </c>
    </row>
    <row r="11" customFormat="false" ht="15" hidden="false" customHeight="false" outlineLevel="0" collapsed="false">
      <c r="A11" s="14" t="s">
        <v>182</v>
      </c>
      <c r="B11" s="28" t="n">
        <f aca="false">Segments!E17</f>
        <v>119.084224896</v>
      </c>
      <c r="C11" s="28" t="n">
        <f aca="false">Segments!F17</f>
        <v>140.58554328</v>
      </c>
      <c r="D11" s="28" t="n">
        <f aca="false">Segments!G17</f>
        <v>162.87294114</v>
      </c>
      <c r="E11" s="28" t="n">
        <f aca="false">Segments!H17</f>
        <v>184.9331484</v>
      </c>
      <c r="F11" s="28" t="n">
        <f aca="false">Segments!I17</f>
        <v>205.3803024</v>
      </c>
    </row>
    <row r="12" customFormat="false" ht="15" hidden="false" customHeight="false" outlineLevel="0" collapsed="false">
      <c r="A12" s="14" t="s">
        <v>183</v>
      </c>
      <c r="B12" s="28" t="n">
        <f aca="false">-Assumptions!C45</f>
        <v>-225</v>
      </c>
      <c r="C12" s="28" t="n">
        <f aca="false">-Assumptions!D45</f>
        <v>-243</v>
      </c>
      <c r="D12" s="28" t="n">
        <f aca="false">-Assumptions!E45</f>
        <v>-262</v>
      </c>
      <c r="E12" s="28" t="n">
        <f aca="false">-Assumptions!F45</f>
        <v>-283</v>
      </c>
      <c r="F12" s="28" t="n">
        <f aca="false">-Assumptions!G45</f>
        <v>-306</v>
      </c>
    </row>
    <row r="13" customFormat="false" ht="15" hidden="false" customHeight="false" outlineLevel="0" collapsed="false">
      <c r="A13" s="14" t="s">
        <v>184</v>
      </c>
      <c r="B13" s="28" t="n">
        <f aca="false">B6*Assumptions!C47</f>
        <v>10259.56399104</v>
      </c>
      <c r="C13" s="28" t="n">
        <f aca="false">C6*Assumptions!D47</f>
        <v>11463.1289136</v>
      </c>
      <c r="D13" s="28" t="n">
        <f aca="false">D6*Assumptions!E47</f>
        <v>12528.68778</v>
      </c>
      <c r="E13" s="28" t="n">
        <f aca="false">E6*Assumptions!F47</f>
        <v>13372.089192</v>
      </c>
      <c r="F13" s="28" t="n">
        <f aca="false">F6*Assumptions!G47</f>
        <v>13902.666624</v>
      </c>
    </row>
    <row r="14" customFormat="false" ht="15" hidden="false" customHeight="false" outlineLevel="0" collapsed="false">
      <c r="A14" s="14" t="s">
        <v>185</v>
      </c>
      <c r="B14" s="28" t="n">
        <f aca="false">-(B13-Assumptions!$B$54)</f>
        <v>2380.43600896</v>
      </c>
      <c r="C14" s="6" t="n">
        <f aca="false">-(C13-B13)</f>
        <v>-1203.56492256</v>
      </c>
      <c r="D14" s="6" t="n">
        <f aca="false">-(D13-C13)</f>
        <v>-1065.5588664</v>
      </c>
      <c r="E14" s="6" t="n">
        <f aca="false">-(E13-D13)</f>
        <v>-843.401411999999</v>
      </c>
      <c r="F14" s="6" t="n">
        <f aca="false">-(F13-E13)</f>
        <v>-530.577432</v>
      </c>
    </row>
    <row r="15" customFormat="false" ht="15" hidden="false" customHeight="false" outlineLevel="0" collapsed="false">
      <c r="A15" s="10" t="s">
        <v>186</v>
      </c>
      <c r="B15" s="19" t="n">
        <f aca="false">B10+B11+B12+B14</f>
        <v>2504.6299595616</v>
      </c>
      <c r="C15" s="19" t="n">
        <f aca="false">C10+C11+C12+C14</f>
        <v>-584.908175322001</v>
      </c>
      <c r="D15" s="19" t="n">
        <f aca="false">D10+D11+D12+D14</f>
        <v>-96.6374546434988</v>
      </c>
      <c r="E15" s="19" t="n">
        <f aca="false">E10+E11+E12+E14</f>
        <v>383.368546390001</v>
      </c>
      <c r="F15" s="19" t="n">
        <f aca="false">F10+F11+F12+F14</f>
        <v>883.63313604</v>
      </c>
    </row>
    <row r="16" customFormat="false" ht="15" hidden="false" customHeight="false" outlineLevel="0" collapsed="false">
      <c r="A16" s="14" t="s">
        <v>117</v>
      </c>
      <c r="B16" s="9" t="n">
        <f aca="false">Assumptions!C50</f>
        <v>0.214188789049045</v>
      </c>
      <c r="C16" s="9" t="n">
        <f aca="false">Assumptions!D50</f>
        <v>0.194434700110878</v>
      </c>
      <c r="D16" s="9" t="n">
        <f aca="false">Assumptions!E50</f>
        <v>0.179619133407252</v>
      </c>
      <c r="E16" s="9" t="n">
        <f aca="false">Assumptions!F50</f>
        <v>0.162828157809809</v>
      </c>
      <c r="F16" s="9" t="n">
        <f aca="false">Assumptions!G50</f>
        <v>0.149988</v>
      </c>
    </row>
    <row r="17" customFormat="false" ht="15" hidden="false" customHeight="false" outlineLevel="0" collapsed="false">
      <c r="A17" s="14" t="s">
        <v>118</v>
      </c>
      <c r="B17" s="38" t="n">
        <f aca="false">Assumptions!C51</f>
        <v>0.82359515177471</v>
      </c>
      <c r="C17" s="38" t="n">
        <f aca="false">Assumptions!D51</f>
        <v>0.689527147610713</v>
      </c>
      <c r="D17" s="38" t="n">
        <f aca="false">Assumptions!E51</f>
        <v>0.584533709299085</v>
      </c>
      <c r="E17" s="38" t="n">
        <f aca="false">Assumptions!F51</f>
        <v>0.502682795710809</v>
      </c>
      <c r="F17" s="38" t="n">
        <f aca="false">Assumptions!G51</f>
        <v>0.437120035783686</v>
      </c>
    </row>
    <row r="18" customFormat="false" ht="15" hidden="false" customHeight="false" outlineLevel="0" collapsed="false">
      <c r="A18" s="10" t="s">
        <v>187</v>
      </c>
      <c r="B18" s="19" t="n">
        <f aca="false">B15*B17</f>
        <v>2062.80109168462</v>
      </c>
      <c r="C18" s="19" t="n">
        <f aca="false">C15*C17</f>
        <v>-403.310065743966</v>
      </c>
      <c r="D18" s="19" t="n">
        <f aca="false">D15*D17</f>
        <v>-56.4878498199864</v>
      </c>
      <c r="E18" s="19" t="n">
        <f aca="false">E15*E17</f>
        <v>192.712772686915</v>
      </c>
      <c r="F18" s="19" t="n">
        <f aca="false">F15*F17</f>
        <v>386.253748045455</v>
      </c>
    </row>
    <row r="20" customFormat="false" ht="15" hidden="false" customHeight="false" outlineLevel="0" collapsed="false">
      <c r="A20" s="10" t="s">
        <v>188</v>
      </c>
      <c r="B20" s="19" t="n">
        <f aca="false">SUM(B18:F18)</f>
        <v>2181.96969685304</v>
      </c>
    </row>
    <row r="21" customFormat="false" ht="15" hidden="false" customHeight="false" outlineLevel="0" collapsed="false">
      <c r="A21" s="14" t="s">
        <v>189</v>
      </c>
      <c r="B21" s="12" t="n">
        <f aca="false">F10/(F13+0.05*F6)</f>
        <v>0.103101643519637</v>
      </c>
    </row>
    <row r="22" customFormat="false" ht="15" hidden="false" customHeight="false" outlineLevel="0" collapsed="false">
      <c r="A22" s="14" t="s">
        <v>190</v>
      </c>
      <c r="B22" s="12" t="n">
        <f aca="false">Assumptions!$B$26/B21</f>
        <v>0.484958321643796</v>
      </c>
    </row>
    <row r="23" customFormat="false" ht="15" hidden="false" customHeight="false" outlineLevel="0" collapsed="false">
      <c r="A23" s="14" t="s">
        <v>191</v>
      </c>
      <c r="B23" s="6" t="n">
        <f aca="false">F10*(1+Assumptions!$B$26)*(1-B22)</f>
        <v>819.210758562</v>
      </c>
    </row>
    <row r="24" customFormat="false" ht="15" hidden="false" customHeight="false" outlineLevel="0" collapsed="false">
      <c r="A24" s="14" t="s">
        <v>192</v>
      </c>
      <c r="B24" s="6" t="n">
        <f aca="false">B23/(Assumptions!$B$25-Assumptions!$B$26)</f>
        <v>8193.09075651078</v>
      </c>
    </row>
    <row r="25" customFormat="false" ht="15" hidden="false" customHeight="false" outlineLevel="0" collapsed="false">
      <c r="A25" s="14" t="s">
        <v>193</v>
      </c>
      <c r="B25" s="6" t="n">
        <f aca="false">B24*F17</f>
        <v>3581.36412466498</v>
      </c>
    </row>
    <row r="26" customFormat="false" ht="15" hidden="false" customHeight="false" outlineLevel="0" collapsed="false">
      <c r="A26" s="10" t="s">
        <v>194</v>
      </c>
      <c r="B26" s="19" t="n">
        <f aca="false">B20+B25</f>
        <v>5763.33382151802</v>
      </c>
    </row>
    <row r="27" customFormat="false" ht="15" hidden="false" customHeight="false" outlineLevel="0" collapsed="false">
      <c r="A27" s="14" t="s">
        <v>195</v>
      </c>
      <c r="B27" s="12" t="n">
        <f aca="false">B25/B26</f>
        <v>0.621404942967831</v>
      </c>
    </row>
    <row r="28" customFormat="false" ht="15" hidden="false" customHeight="false" outlineLevel="0" collapsed="false">
      <c r="A28" s="14" t="s">
        <v>196</v>
      </c>
      <c r="B28" s="28" t="n">
        <f aca="false">-Assumptions!$B$28</f>
        <v>-10200</v>
      </c>
    </row>
    <row r="29" customFormat="false" ht="15" hidden="false" customHeight="false" outlineLevel="0" collapsed="false">
      <c r="A29" s="14" t="s">
        <v>197</v>
      </c>
      <c r="B29" s="28" t="n">
        <f aca="false">-Assumptions!$B$29</f>
        <v>-0</v>
      </c>
    </row>
    <row r="30" customFormat="false" ht="15" hidden="false" customHeight="false" outlineLevel="0" collapsed="false">
      <c r="A30" s="10" t="s">
        <v>198</v>
      </c>
      <c r="B30" s="19" t="n">
        <f aca="false">B26-Assumptions!$B$28-Assumptions!$B$29</f>
        <v>-4436.66617848198</v>
      </c>
    </row>
    <row r="31" customFormat="false" ht="15" hidden="false" customHeight="false" outlineLevel="0" collapsed="false">
      <c r="A31" s="10" t="s">
        <v>199</v>
      </c>
      <c r="B31" s="19" t="n">
        <f aca="false">MAX(B30,0)</f>
        <v>0</v>
      </c>
    </row>
    <row r="32" customFormat="false" ht="15" hidden="false" customHeight="false" outlineLevel="0" collapsed="false">
      <c r="A32" s="14" t="s">
        <v>200</v>
      </c>
      <c r="B32" s="39" t="n">
        <f aca="false">B30/Assumptions!$B$6</f>
        <v>-1.33895039113863</v>
      </c>
    </row>
    <row r="33" customFormat="false" ht="15" hidden="false" customHeight="false" outlineLevel="0" collapsed="false">
      <c r="A33" s="10" t="s">
        <v>201</v>
      </c>
      <c r="B33" s="11" t="n">
        <f aca="false">MAX(B31/Assumptions!$B$6,0.01)</f>
        <v>0.01</v>
      </c>
    </row>
    <row r="34" customFormat="false" ht="15" hidden="false" customHeight="false" outlineLevel="0" collapsed="false">
      <c r="A34" s="10" t="s">
        <v>139</v>
      </c>
      <c r="B34" s="20" t="n">
        <f aca="false">B33/Assumptions!$B$5-1</f>
        <v>-0.995433789954338</v>
      </c>
    </row>
    <row r="36" customFormat="false" ht="15" hidden="false" customHeight="false" outlineLevel="0" collapsed="false">
      <c r="A36" s="13" t="s">
        <v>202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0" min="2" style="0" width="12"/>
  </cols>
  <sheetData>
    <row r="1" customFormat="false" ht="16.15" hidden="false" customHeight="false" outlineLevel="0" collapsed="false">
      <c r="A1" s="1" t="s">
        <v>203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4" t="s">
        <v>204</v>
      </c>
    </row>
    <row r="4" customFormat="false" ht="15" hidden="false" customHeight="false" outlineLevel="0" collapsed="false">
      <c r="A4" s="5"/>
      <c r="B4" s="5" t="s">
        <v>148</v>
      </c>
      <c r="C4" s="5" t="s">
        <v>149</v>
      </c>
      <c r="D4" s="5" t="s">
        <v>150</v>
      </c>
      <c r="E4" s="5" t="s">
        <v>96</v>
      </c>
      <c r="F4" s="5" t="s">
        <v>97</v>
      </c>
      <c r="G4" s="5" t="s">
        <v>98</v>
      </c>
      <c r="H4" s="5" t="s">
        <v>99</v>
      </c>
      <c r="I4" s="5" t="s">
        <v>100</v>
      </c>
    </row>
    <row r="6" customFormat="false" ht="15" hidden="false" customHeight="false" outlineLevel="0" collapsed="false">
      <c r="A6" s="10" t="s">
        <v>178</v>
      </c>
      <c r="B6" s="35" t="n">
        <v>8673.4</v>
      </c>
      <c r="C6" s="35" t="n">
        <v>13778.2</v>
      </c>
      <c r="D6" s="35" t="n">
        <v>10819</v>
      </c>
      <c r="E6" s="27" t="n">
        <f aca="false">Segments!E11</f>
        <v>9160.324992</v>
      </c>
      <c r="F6" s="27" t="n">
        <f aca="false">Segments!F11</f>
        <v>10814.27256</v>
      </c>
      <c r="G6" s="27" t="n">
        <f aca="false">Segments!G11</f>
        <v>12528.68778</v>
      </c>
      <c r="H6" s="27" t="n">
        <f aca="false">Segments!H11</f>
        <v>14225.6268</v>
      </c>
      <c r="I6" s="27" t="n">
        <f aca="false">Segments!I11</f>
        <v>15798.4848</v>
      </c>
    </row>
    <row r="7" customFormat="false" ht="15" hidden="false" customHeight="false" outlineLevel="0" collapsed="false">
      <c r="A7" s="14" t="s">
        <v>179</v>
      </c>
      <c r="B7" s="17" t="n">
        <v>2661.03638064516</v>
      </c>
      <c r="C7" s="17" t="n">
        <v>3490</v>
      </c>
      <c r="D7" s="17" t="n">
        <v>2871.29429032258</v>
      </c>
      <c r="E7" s="28" t="n">
        <f aca="false">Segments!E15</f>
        <v>416</v>
      </c>
      <c r="F7" s="28" t="n">
        <f aca="false">Segments!F15</f>
        <v>1071</v>
      </c>
      <c r="G7" s="28" t="n">
        <f aca="false">Segments!G15</f>
        <v>1541</v>
      </c>
      <c r="H7" s="28" t="n">
        <f aca="false">Segments!H15</f>
        <v>1894.4</v>
      </c>
      <c r="I7" s="28" t="n">
        <f aca="false">Segments!I15</f>
        <v>2160</v>
      </c>
    </row>
    <row r="8" customFormat="false" ht="15" hidden="false" customHeight="false" outlineLevel="0" collapsed="false">
      <c r="A8" s="14" t="s">
        <v>160</v>
      </c>
      <c r="B8" s="17" t="n">
        <v>-60.7138</v>
      </c>
      <c r="C8" s="17" t="n">
        <v>-90</v>
      </c>
      <c r="D8" s="17" t="n">
        <v>-75.733</v>
      </c>
      <c r="E8" s="28" t="n">
        <f aca="false">-Segments!E17</f>
        <v>-119.084224896</v>
      </c>
      <c r="F8" s="28" t="n">
        <f aca="false">-Segments!F17</f>
        <v>-140.58554328</v>
      </c>
      <c r="G8" s="28" t="n">
        <f aca="false">-Segments!G17</f>
        <v>-162.87294114</v>
      </c>
      <c r="H8" s="28" t="n">
        <f aca="false">-Segments!H17</f>
        <v>-184.9331484</v>
      </c>
      <c r="I8" s="28" t="n">
        <f aca="false">-Segments!I17</f>
        <v>-205.3803024</v>
      </c>
    </row>
    <row r="9" customFormat="false" ht="15" hidden="false" customHeight="false" outlineLevel="0" collapsed="false">
      <c r="A9" s="10" t="s">
        <v>161</v>
      </c>
      <c r="B9" s="35" t="n">
        <v>2600.32258064516</v>
      </c>
      <c r="C9" s="35" t="n">
        <v>3400</v>
      </c>
      <c r="D9" s="35" t="n">
        <v>2795.56129032258</v>
      </c>
      <c r="E9" s="27" t="n">
        <f aca="false">Segments!E18</f>
        <v>296.915775104</v>
      </c>
      <c r="F9" s="27" t="n">
        <f aca="false">Segments!F18</f>
        <v>930.41445672</v>
      </c>
      <c r="G9" s="27" t="n">
        <f aca="false">Segments!G18</f>
        <v>1378.12705886</v>
      </c>
      <c r="H9" s="27" t="n">
        <f aca="false">Segments!H18</f>
        <v>1709.4668516</v>
      </c>
      <c r="I9" s="27" t="n">
        <f aca="false">Segments!I18</f>
        <v>1954.6196976</v>
      </c>
    </row>
    <row r="10" customFormat="false" ht="15" hidden="false" customHeight="false" outlineLevel="0" collapsed="false">
      <c r="A10" s="14" t="s">
        <v>205</v>
      </c>
      <c r="B10" s="17" t="n">
        <v>-990</v>
      </c>
      <c r="C10" s="17" t="n">
        <v>-1700</v>
      </c>
      <c r="D10" s="17" t="n">
        <v>-2150</v>
      </c>
      <c r="E10" s="28" t="n">
        <f aca="false">-Assumptions!C48*Assumptions!$B$28</f>
        <v>-2244</v>
      </c>
      <c r="F10" s="28" t="n">
        <f aca="false">-Assumptions!D48*'Balance Sheet'!D11</f>
        <v>-1974.512798208</v>
      </c>
      <c r="G10" s="28" t="n">
        <f aca="false">-Assumptions!E48*'Balance Sheet'!E11</f>
        <v>-2261.18871668448</v>
      </c>
      <c r="H10" s="28" t="n">
        <f aca="false">-Assumptions!F48*'Balance Sheet'!F11</f>
        <v>-2397.42540154194</v>
      </c>
      <c r="I10" s="28" t="n">
        <f aca="false">-Assumptions!G48*'Balance Sheet'!G11</f>
        <v>-2464.47149680733</v>
      </c>
    </row>
    <row r="11" customFormat="false" ht="15" hidden="false" customHeight="false" outlineLevel="0" collapsed="false">
      <c r="A11" s="10" t="s">
        <v>206</v>
      </c>
      <c r="B11" s="19" t="n">
        <v>1610.32258064516</v>
      </c>
      <c r="C11" s="19" t="n">
        <v>1700</v>
      </c>
      <c r="D11" s="19" t="n">
        <v>645.561290322581</v>
      </c>
      <c r="E11" s="19" t="n">
        <f aca="false">E9+E10</f>
        <v>-1947.084224896</v>
      </c>
      <c r="F11" s="19" t="n">
        <f aca="false">F9+F10</f>
        <v>-1044.098341488</v>
      </c>
      <c r="G11" s="19" t="n">
        <f aca="false">G9+G10</f>
        <v>-883.06165782448</v>
      </c>
      <c r="H11" s="19" t="n">
        <f aca="false">H9+H10</f>
        <v>-687.958549941937</v>
      </c>
      <c r="I11" s="19" t="n">
        <f aca="false">I9+I10</f>
        <v>-509.851799207334</v>
      </c>
    </row>
    <row r="12" customFormat="false" ht="15" hidden="false" customHeight="false" outlineLevel="0" collapsed="false">
      <c r="A12" s="14" t="s">
        <v>207</v>
      </c>
      <c r="E12" s="6" t="n">
        <f aca="false">SUM($E$11:E11)</f>
        <v>-1947.084224896</v>
      </c>
      <c r="F12" s="6" t="n">
        <f aca="false">SUM($E$11:F11)</f>
        <v>-2991.182566384</v>
      </c>
      <c r="G12" s="6" t="n">
        <f aca="false">SUM($E$11:G11)</f>
        <v>-3874.24422420848</v>
      </c>
      <c r="H12" s="6" t="n">
        <f aca="false">SUM($E$11:H11)</f>
        <v>-4562.20277415042</v>
      </c>
      <c r="I12" s="6" t="n">
        <f aca="false">SUM($E$11:I11)</f>
        <v>-5072.05457335775</v>
      </c>
    </row>
    <row r="13" customFormat="false" ht="15" hidden="false" customHeight="false" outlineLevel="0" collapsed="false">
      <c r="A13" s="14" t="s">
        <v>208</v>
      </c>
      <c r="B13" s="17" t="n">
        <v>-362.322580645161</v>
      </c>
      <c r="C13" s="17" t="n">
        <v>-372.2</v>
      </c>
      <c r="D13" s="17" t="n">
        <v>-145.251290322581</v>
      </c>
      <c r="E13" s="28" t="n">
        <f aca="false">-Assumptions!$B$7*MAX(0,E12)</f>
        <v>-0</v>
      </c>
      <c r="F13" s="28" t="n">
        <f aca="false">-(Assumptions!$B$7*MAX(0,F12)-Assumptions!$B$7*MAX(0,C12))</f>
        <v>-0</v>
      </c>
      <c r="G13" s="28" t="n">
        <f aca="false">-(Assumptions!$B$7*MAX(0,G12)-Assumptions!$B$7*MAX(0,D12))</f>
        <v>-0</v>
      </c>
      <c r="H13" s="28" t="n">
        <f aca="false">-(Assumptions!$B$7*MAX(0,H12)-Assumptions!$B$7*MAX(0,E12))</f>
        <v>-0</v>
      </c>
      <c r="I13" s="28" t="n">
        <f aca="false">-(Assumptions!$B$7*MAX(0,I12)-Assumptions!$B$7*MAX(0,F12))</f>
        <v>-0</v>
      </c>
    </row>
    <row r="14" customFormat="false" ht="15" hidden="false" customHeight="false" outlineLevel="0" collapsed="false">
      <c r="A14" s="10" t="s">
        <v>209</v>
      </c>
      <c r="B14" s="35" t="n">
        <v>1248</v>
      </c>
      <c r="C14" s="35" t="n">
        <v>1327.8</v>
      </c>
      <c r="D14" s="35" t="n">
        <v>500.31</v>
      </c>
      <c r="E14" s="19" t="n">
        <f aca="false">E11+E13</f>
        <v>-1947.084224896</v>
      </c>
      <c r="F14" s="19" t="n">
        <f aca="false">F11+F13</f>
        <v>-1044.098341488</v>
      </c>
      <c r="G14" s="19" t="n">
        <f aca="false">G11+G13</f>
        <v>-883.06165782448</v>
      </c>
      <c r="H14" s="19" t="n">
        <f aca="false">H11+H13</f>
        <v>-687.958549941937</v>
      </c>
      <c r="I14" s="19" t="n">
        <f aca="false">I11+I13</f>
        <v>-509.851799207334</v>
      </c>
    </row>
    <row r="15" customFormat="false" ht="15" hidden="false" customHeight="false" outlineLevel="0" collapsed="false">
      <c r="A15" s="14" t="s">
        <v>210</v>
      </c>
      <c r="B15" s="39" t="n">
        <f aca="false">B14/Assumptions!$B$6</f>
        <v>0.376636424945712</v>
      </c>
      <c r="C15" s="39" t="n">
        <f aca="false">C14/Assumptions!$B$6</f>
        <v>0.400719427117721</v>
      </c>
      <c r="D15" s="39" t="n">
        <f aca="false">D14/Assumptions!$B$6</f>
        <v>0.150989559106241</v>
      </c>
      <c r="E15" s="8" t="n">
        <f aca="false">E14/Assumptions!$B$6</f>
        <v>-0.587614456356588</v>
      </c>
      <c r="F15" s="8" t="n">
        <f aca="false">F14/Assumptions!$B$6</f>
        <v>-0.315100534158483</v>
      </c>
      <c r="G15" s="8" t="n">
        <f aca="false">G14/Assumptions!$B$6</f>
        <v>-0.266500950167985</v>
      </c>
      <c r="H15" s="8" t="n">
        <f aca="false">H14/Assumptions!$B$6</f>
        <v>-0.20762039163539</v>
      </c>
      <c r="I15" s="8" t="n">
        <f aca="false">I14/Assumptions!$B$6</f>
        <v>-0.153869197841017</v>
      </c>
    </row>
    <row r="17" customFormat="false" ht="15" hidden="false" customHeight="false" outlineLevel="0" collapsed="false">
      <c r="A17" s="13" t="s">
        <v>211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0" min="2" style="0" width="12"/>
  </cols>
  <sheetData>
    <row r="1" customFormat="false" ht="16.15" hidden="false" customHeight="false" outlineLevel="0" collapsed="false">
      <c r="A1" s="1" t="s">
        <v>212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4" t="s">
        <v>213</v>
      </c>
    </row>
    <row r="4" customFormat="false" ht="15" hidden="false" customHeight="false" outlineLevel="0" collapsed="false">
      <c r="A4" s="5"/>
      <c r="B4" s="5" t="s">
        <v>149</v>
      </c>
      <c r="C4" s="5" t="s">
        <v>214</v>
      </c>
      <c r="D4" s="5" t="s">
        <v>96</v>
      </c>
      <c r="E4" s="5" t="s">
        <v>97</v>
      </c>
      <c r="F4" s="5" t="s">
        <v>98</v>
      </c>
      <c r="G4" s="5" t="s">
        <v>99</v>
      </c>
      <c r="H4" s="5" t="s">
        <v>100</v>
      </c>
    </row>
    <row r="6" customFormat="false" ht="15" hidden="false" customHeight="false" outlineLevel="0" collapsed="false">
      <c r="A6" s="14" t="s">
        <v>184</v>
      </c>
      <c r="B6" s="17" t="n">
        <v>10500</v>
      </c>
      <c r="C6" s="17" t="n">
        <f aca="false">Assumptions!B54</f>
        <v>12640</v>
      </c>
      <c r="D6" s="28" t="n">
        <f aca="false">DCF!B13</f>
        <v>10259.56399104</v>
      </c>
      <c r="E6" s="28" t="n">
        <f aca="false">DCF!C13</f>
        <v>11463.1289136</v>
      </c>
      <c r="F6" s="28" t="n">
        <f aca="false">DCF!D13</f>
        <v>12528.68778</v>
      </c>
      <c r="G6" s="28" t="n">
        <f aca="false">DCF!E13</f>
        <v>13372.089192</v>
      </c>
      <c r="H6" s="28" t="n">
        <f aca="false">DCF!F13</f>
        <v>13902.666624</v>
      </c>
    </row>
    <row r="7" customFormat="false" ht="15" hidden="false" customHeight="false" outlineLevel="0" collapsed="false">
      <c r="A7" s="14" t="s">
        <v>215</v>
      </c>
      <c r="B7" s="17" t="n">
        <v>650</v>
      </c>
      <c r="C7" s="17" t="n">
        <v>680</v>
      </c>
      <c r="D7" s="28" t="n">
        <f aca="false">C7-DCF!B12-Segments!E17</f>
        <v>785.915775104</v>
      </c>
      <c r="E7" s="28" t="n">
        <f aca="false">D7-DCF!C12-Segments!F17</f>
        <v>888.330231824</v>
      </c>
      <c r="F7" s="28" t="n">
        <f aca="false">E7-DCF!D12-Segments!G17</f>
        <v>987.457290684</v>
      </c>
      <c r="G7" s="28" t="n">
        <f aca="false">F7-DCF!E12-Segments!H17</f>
        <v>1085.524142284</v>
      </c>
      <c r="H7" s="28" t="n">
        <f aca="false">G7-DCF!F12-Segments!I17</f>
        <v>1186.143839884</v>
      </c>
    </row>
    <row r="8" customFormat="false" ht="15" hidden="false" customHeight="false" outlineLevel="0" collapsed="false">
      <c r="A8" s="14" t="s">
        <v>216</v>
      </c>
      <c r="B8" s="17" t="n">
        <v>3000</v>
      </c>
      <c r="C8" s="17" t="n">
        <v>2980</v>
      </c>
      <c r="D8" s="6" t="n">
        <f aca="false">C8</f>
        <v>2980</v>
      </c>
      <c r="E8" s="6" t="n">
        <f aca="false">D8</f>
        <v>2980</v>
      </c>
      <c r="F8" s="6" t="n">
        <f aca="false">E8</f>
        <v>2980</v>
      </c>
      <c r="G8" s="6" t="n">
        <f aca="false">F8</f>
        <v>2980</v>
      </c>
      <c r="H8" s="6" t="n">
        <f aca="false">G8</f>
        <v>2980</v>
      </c>
    </row>
    <row r="9" customFormat="false" ht="15" hidden="false" customHeight="false" outlineLevel="0" collapsed="false">
      <c r="A9" s="10" t="s">
        <v>217</v>
      </c>
      <c r="B9" s="40" t="n">
        <f aca="false">SUM(B6:B8)</f>
        <v>14150</v>
      </c>
      <c r="C9" s="40" t="n">
        <f aca="false">SUM(C6:C8)</f>
        <v>16300</v>
      </c>
      <c r="D9" s="19" t="n">
        <f aca="false">SUM(D6:D8)</f>
        <v>14025.479766144</v>
      </c>
      <c r="E9" s="19" t="n">
        <f aca="false">SUM(E6:E8)</f>
        <v>15331.459145424</v>
      </c>
      <c r="F9" s="19" t="n">
        <f aca="false">SUM(F6:F8)</f>
        <v>16496.145070684</v>
      </c>
      <c r="G9" s="19" t="n">
        <f aca="false">SUM(G6:G8)</f>
        <v>17437.613334284</v>
      </c>
      <c r="H9" s="19" t="n">
        <f aca="false">SUM(H6:H8)</f>
        <v>18068.810463884</v>
      </c>
    </row>
    <row r="11" customFormat="false" ht="15" hidden="false" customHeight="false" outlineLevel="0" collapsed="false">
      <c r="A11" s="14" t="s">
        <v>218</v>
      </c>
      <c r="B11" s="17" t="n">
        <v>8172.4</v>
      </c>
      <c r="C11" s="17" t="n">
        <f aca="false">Assumptions!B28</f>
        <v>10200</v>
      </c>
      <c r="D11" s="28" t="n">
        <f aca="false">Assumptions!$B$28-'Cash Flow'!C12</f>
        <v>9872.56399104</v>
      </c>
      <c r="E11" s="28" t="n">
        <f aca="false">D11-'Cash Flow'!D12</f>
        <v>12222.641711808</v>
      </c>
      <c r="F11" s="28" t="n">
        <f aca="false">E11-'Cash Flow'!E12</f>
        <v>14270.3892948925</v>
      </c>
      <c r="G11" s="28" t="n">
        <f aca="false">F11-'Cash Flow'!F12</f>
        <v>15899.8161084344</v>
      </c>
      <c r="H11" s="28" t="n">
        <f aca="false">G11-'Cash Flow'!G12</f>
        <v>17040.8650372418</v>
      </c>
    </row>
    <row r="12" customFormat="false" ht="15" hidden="false" customHeight="false" outlineLevel="0" collapsed="false">
      <c r="A12" s="14" t="s">
        <v>219</v>
      </c>
      <c r="B12" s="17" t="n">
        <f aca="false">Assumptions!B34-500.31</f>
        <v>3599.69</v>
      </c>
      <c r="C12" s="17" t="n">
        <f aca="false">Assumptions!B34</f>
        <v>4100</v>
      </c>
      <c r="D12" s="28" t="n">
        <f aca="false">C12+'Income Statement'!E14</f>
        <v>2152.915775104</v>
      </c>
      <c r="E12" s="28" t="n">
        <f aca="false">D12+'Income Statement'!F14</f>
        <v>1108.817433616</v>
      </c>
      <c r="F12" s="28" t="n">
        <f aca="false">E12+'Income Statement'!G14</f>
        <v>225.75577579152</v>
      </c>
      <c r="G12" s="28" t="n">
        <f aca="false">F12+'Income Statement'!H14</f>
        <v>-462.202774150417</v>
      </c>
      <c r="H12" s="28" t="n">
        <f aca="false">G12+'Income Statement'!I14</f>
        <v>-972.054573357752</v>
      </c>
    </row>
    <row r="13" customFormat="false" ht="15" hidden="false" customHeight="false" outlineLevel="0" collapsed="false">
      <c r="A13" s="14" t="s">
        <v>220</v>
      </c>
      <c r="B13" s="41" t="n">
        <f aca="false">B9-B11-B12</f>
        <v>2377.91</v>
      </c>
      <c r="C13" s="41" t="n">
        <f aca="false">C9-C11-C12</f>
        <v>2000</v>
      </c>
      <c r="D13" s="41" t="n">
        <f aca="false">$C13</f>
        <v>2000</v>
      </c>
      <c r="E13" s="41" t="n">
        <f aca="false">$C13</f>
        <v>2000</v>
      </c>
      <c r="F13" s="41" t="n">
        <f aca="false">$C13</f>
        <v>2000</v>
      </c>
      <c r="G13" s="41" t="n">
        <f aca="false">$C13</f>
        <v>2000</v>
      </c>
      <c r="H13" s="41" t="n">
        <f aca="false">$C13</f>
        <v>2000</v>
      </c>
    </row>
    <row r="14" customFormat="false" ht="15" hidden="false" customHeight="false" outlineLevel="0" collapsed="false">
      <c r="A14" s="10" t="s">
        <v>221</v>
      </c>
      <c r="B14" s="40" t="n">
        <f aca="false">B11+B12+B13</f>
        <v>14150</v>
      </c>
      <c r="C14" s="40" t="n">
        <f aca="false">C11+C12+C13</f>
        <v>16300</v>
      </c>
      <c r="D14" s="19" t="n">
        <f aca="false">D11+D12+D13</f>
        <v>14025.479766144</v>
      </c>
      <c r="E14" s="19" t="n">
        <f aca="false">E11+E12+E13</f>
        <v>15331.459145424</v>
      </c>
      <c r="F14" s="19" t="n">
        <f aca="false">F11+F12+F13</f>
        <v>16496.145070684</v>
      </c>
      <c r="G14" s="19" t="n">
        <f aca="false">G11+G12+G13</f>
        <v>17437.613334284</v>
      </c>
      <c r="H14" s="19" t="n">
        <f aca="false">H11+H12+H13</f>
        <v>18068.810463884</v>
      </c>
    </row>
    <row r="15" customFormat="false" ht="15" hidden="false" customHeight="false" outlineLevel="0" collapsed="false">
      <c r="A15" s="10" t="s">
        <v>222</v>
      </c>
      <c r="B15" s="41" t="n">
        <f aca="false">B9-B14</f>
        <v>0</v>
      </c>
      <c r="C15" s="41" t="n">
        <f aca="false">C9-C14</f>
        <v>0</v>
      </c>
      <c r="D15" s="19" t="n">
        <f aca="false">D9-D14</f>
        <v>0</v>
      </c>
      <c r="E15" s="19" t="n">
        <f aca="false">E9-E14</f>
        <v>0</v>
      </c>
      <c r="F15" s="19" t="n">
        <f aca="false">F9-F14</f>
        <v>0</v>
      </c>
      <c r="G15" s="19" t="n">
        <f aca="false">G9-G14</f>
        <v>0</v>
      </c>
      <c r="H15" s="19" t="n">
        <f aca="false">H9-H14</f>
        <v>0</v>
      </c>
    </row>
    <row r="17" customFormat="false" ht="15" hidden="false" customHeight="false" outlineLevel="0" collapsed="false">
      <c r="A17" s="13" t="s">
        <v>223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9" min="2" style="0" width="12"/>
  </cols>
  <sheetData>
    <row r="1" customFormat="false" ht="16.15" hidden="false" customHeight="false" outlineLevel="0" collapsed="false">
      <c r="A1" s="1" t="s">
        <v>224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4" t="s">
        <v>225</v>
      </c>
    </row>
    <row r="4" customFormat="false" ht="15" hidden="false" customHeight="false" outlineLevel="0" collapsed="false">
      <c r="B4" s="5"/>
      <c r="C4" s="5" t="s">
        <v>96</v>
      </c>
      <c r="D4" s="5" t="s">
        <v>97</v>
      </c>
      <c r="E4" s="5" t="s">
        <v>98</v>
      </c>
      <c r="F4" s="5" t="s">
        <v>99</v>
      </c>
      <c r="G4" s="5" t="s">
        <v>100</v>
      </c>
    </row>
    <row r="6" customFormat="false" ht="15" hidden="false" customHeight="false" outlineLevel="0" collapsed="false">
      <c r="A6" s="14" t="s">
        <v>226</v>
      </c>
      <c r="C6" s="28" t="n">
        <f aca="false">'Income Statement'!E14</f>
        <v>-1947.084224896</v>
      </c>
      <c r="D6" s="28" t="n">
        <f aca="false">'Income Statement'!F14</f>
        <v>-1044.098341488</v>
      </c>
      <c r="E6" s="28" t="n">
        <f aca="false">'Income Statement'!G14</f>
        <v>-883.06165782448</v>
      </c>
      <c r="F6" s="28" t="n">
        <f aca="false">'Income Statement'!H14</f>
        <v>-687.958549941937</v>
      </c>
      <c r="G6" s="28" t="n">
        <f aca="false">'Income Statement'!I14</f>
        <v>-509.851799207334</v>
      </c>
    </row>
    <row r="7" customFormat="false" ht="15" hidden="false" customHeight="false" outlineLevel="0" collapsed="false">
      <c r="A7" s="14" t="s">
        <v>182</v>
      </c>
      <c r="C7" s="28" t="n">
        <f aca="false">Segments!E17</f>
        <v>119.084224896</v>
      </c>
      <c r="D7" s="28" t="n">
        <f aca="false">Segments!F17</f>
        <v>140.58554328</v>
      </c>
      <c r="E7" s="28" t="n">
        <f aca="false">Segments!G17</f>
        <v>162.87294114</v>
      </c>
      <c r="F7" s="28" t="n">
        <f aca="false">Segments!H17</f>
        <v>184.9331484</v>
      </c>
      <c r="G7" s="28" t="n">
        <f aca="false">Segments!I17</f>
        <v>205.3803024</v>
      </c>
    </row>
    <row r="8" customFormat="false" ht="15" hidden="false" customHeight="false" outlineLevel="0" collapsed="false">
      <c r="A8" s="14" t="s">
        <v>185</v>
      </c>
      <c r="C8" s="28" t="n">
        <f aca="false">DCF!B14</f>
        <v>2380.43600896</v>
      </c>
      <c r="D8" s="28" t="n">
        <f aca="false">DCF!C14</f>
        <v>-1203.56492256</v>
      </c>
      <c r="E8" s="28" t="n">
        <f aca="false">DCF!D14</f>
        <v>-1065.5588664</v>
      </c>
      <c r="F8" s="28" t="n">
        <f aca="false">DCF!E14</f>
        <v>-843.401411999999</v>
      </c>
      <c r="G8" s="28" t="n">
        <f aca="false">DCF!F14</f>
        <v>-530.577432</v>
      </c>
    </row>
    <row r="9" customFormat="false" ht="15" hidden="false" customHeight="false" outlineLevel="0" collapsed="false">
      <c r="A9" s="14" t="s">
        <v>183</v>
      </c>
      <c r="C9" s="28" t="n">
        <f aca="false">DCF!B12</f>
        <v>-225</v>
      </c>
      <c r="D9" s="28" t="n">
        <f aca="false">DCF!C12</f>
        <v>-243</v>
      </c>
      <c r="E9" s="28" t="n">
        <f aca="false">DCF!D12</f>
        <v>-262</v>
      </c>
      <c r="F9" s="28" t="n">
        <f aca="false">DCF!E12</f>
        <v>-283</v>
      </c>
      <c r="G9" s="28" t="n">
        <f aca="false">DCF!F12</f>
        <v>-306</v>
      </c>
    </row>
    <row r="10" customFormat="false" ht="15" hidden="false" customHeight="false" outlineLevel="0" collapsed="false">
      <c r="A10" s="10" t="s">
        <v>227</v>
      </c>
      <c r="C10" s="19" t="n">
        <f aca="false">SUM(C6:C9)</f>
        <v>327.43600896</v>
      </c>
      <c r="D10" s="19" t="n">
        <f aca="false">SUM(D6:D9)</f>
        <v>-2350.077720768</v>
      </c>
      <c r="E10" s="19" t="n">
        <f aca="false">SUM(E6:E9)</f>
        <v>-2047.74758308448</v>
      </c>
      <c r="F10" s="19" t="n">
        <f aca="false">SUM(F6:F9)</f>
        <v>-1629.42681354194</v>
      </c>
      <c r="G10" s="19" t="n">
        <f aca="false">SUM(G6:G9)</f>
        <v>-1141.04892880733</v>
      </c>
    </row>
    <row r="11" customFormat="false" ht="15" hidden="false" customHeight="false" outlineLevel="0" collapsed="false">
      <c r="A11" s="14" t="s">
        <v>228</v>
      </c>
      <c r="C11" s="6" t="n">
        <v>0</v>
      </c>
      <c r="D11" s="6" t="n">
        <v>0</v>
      </c>
      <c r="E11" s="6" t="n">
        <v>0</v>
      </c>
      <c r="F11" s="6" t="n">
        <v>0</v>
      </c>
      <c r="G11" s="6" t="n">
        <v>0</v>
      </c>
    </row>
    <row r="12" customFormat="false" ht="15" hidden="false" customHeight="false" outlineLevel="0" collapsed="false">
      <c r="A12" s="10" t="s">
        <v>229</v>
      </c>
      <c r="C12" s="19" t="n">
        <f aca="false">C10+C11</f>
        <v>327.43600896</v>
      </c>
      <c r="D12" s="19" t="n">
        <f aca="false">D10+D11</f>
        <v>-2350.077720768</v>
      </c>
      <c r="E12" s="19" t="n">
        <f aca="false">E10+E11</f>
        <v>-2047.74758308448</v>
      </c>
      <c r="F12" s="19" t="n">
        <f aca="false">F10+F11</f>
        <v>-1629.42681354194</v>
      </c>
      <c r="G12" s="19" t="n">
        <f aca="false">G10+G11</f>
        <v>-1141.04892880733</v>
      </c>
    </row>
    <row r="14" customFormat="false" ht="15" hidden="false" customHeight="false" outlineLevel="0" collapsed="false">
      <c r="A14" s="14" t="s">
        <v>230</v>
      </c>
      <c r="C14" s="28" t="n">
        <f aca="false">DCF!B15</f>
        <v>2504.6299595616</v>
      </c>
      <c r="D14" s="28" t="n">
        <f aca="false">DCF!C15</f>
        <v>-584.908175322001</v>
      </c>
      <c r="E14" s="28" t="n">
        <f aca="false">DCF!D15</f>
        <v>-96.6374546434988</v>
      </c>
      <c r="F14" s="28" t="n">
        <f aca="false">DCF!E15</f>
        <v>383.368546390001</v>
      </c>
      <c r="G14" s="28" t="n">
        <f aca="false">DCF!F15</f>
        <v>883.63313604</v>
      </c>
    </row>
    <row r="15" customFormat="false" ht="15" hidden="false" customHeight="false" outlineLevel="0" collapsed="false">
      <c r="A15" s="14" t="s">
        <v>231</v>
      </c>
      <c r="C15" s="28" t="n">
        <f aca="false">'Balance Sheet'!D11</f>
        <v>9872.56399104</v>
      </c>
      <c r="D15" s="28" t="n">
        <f aca="false">'Balance Sheet'!E11</f>
        <v>12222.641711808</v>
      </c>
      <c r="E15" s="28" t="n">
        <f aca="false">'Balance Sheet'!F11</f>
        <v>14270.3892948925</v>
      </c>
      <c r="F15" s="28" t="n">
        <f aca="false">'Balance Sheet'!G11</f>
        <v>15899.8161084344</v>
      </c>
      <c r="G15" s="28" t="n">
        <f aca="false">'Balance Sheet'!H11</f>
        <v>17040.8650372418</v>
      </c>
    </row>
    <row r="17" customFormat="false" ht="15" hidden="false" customHeight="false" outlineLevel="0" collapsed="false">
      <c r="A17" s="13" t="s">
        <v>232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0" min="2" style="0" width="12"/>
  </cols>
  <sheetData>
    <row r="1" customFormat="false" ht="16.15" hidden="false" customHeight="false" outlineLevel="0" collapsed="false">
      <c r="A1" s="1" t="s">
        <v>233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4" t="s">
        <v>234</v>
      </c>
    </row>
    <row r="4" customFormat="false" ht="15" hidden="false" customHeight="false" outlineLevel="0" collapsed="false">
      <c r="A4" s="5"/>
      <c r="B4" s="5" t="s">
        <v>148</v>
      </c>
      <c r="C4" s="5" t="s">
        <v>149</v>
      </c>
      <c r="D4" s="5" t="s">
        <v>150</v>
      </c>
      <c r="E4" s="5" t="s">
        <v>96</v>
      </c>
      <c r="F4" s="5" t="s">
        <v>97</v>
      </c>
      <c r="G4" s="5" t="s">
        <v>98</v>
      </c>
      <c r="H4" s="5" t="s">
        <v>99</v>
      </c>
      <c r="I4" s="5" t="s">
        <v>100</v>
      </c>
    </row>
    <row r="6" customFormat="false" ht="15" hidden="false" customHeight="false" outlineLevel="0" collapsed="false">
      <c r="A6" s="6" t="s">
        <v>178</v>
      </c>
      <c r="B6" s="17" t="n">
        <v>8673.4</v>
      </c>
      <c r="C6" s="17" t="n">
        <v>13778.2</v>
      </c>
      <c r="D6" s="17" t="n">
        <v>10819</v>
      </c>
      <c r="E6" s="28" t="n">
        <f aca="false">'Income Statement'!E6</f>
        <v>9160.324992</v>
      </c>
      <c r="F6" s="28" t="n">
        <f aca="false">'Income Statement'!F6</f>
        <v>10814.27256</v>
      </c>
      <c r="G6" s="28" t="n">
        <f aca="false">'Income Statement'!G6</f>
        <v>12528.68778</v>
      </c>
      <c r="H6" s="28" t="n">
        <f aca="false">'Income Statement'!H6</f>
        <v>14225.6268</v>
      </c>
      <c r="I6" s="28" t="n">
        <f aca="false">'Income Statement'!I6</f>
        <v>15798.4848</v>
      </c>
    </row>
    <row r="7" customFormat="false" ht="15" hidden="false" customHeight="false" outlineLevel="0" collapsed="false">
      <c r="A7" s="6" t="s">
        <v>179</v>
      </c>
      <c r="B7" s="17" t="n">
        <v>2661.03638064516</v>
      </c>
      <c r="C7" s="17" t="n">
        <v>3490</v>
      </c>
      <c r="D7" s="17" t="n">
        <v>2871.29429032258</v>
      </c>
      <c r="E7" s="28" t="n">
        <f aca="false">'Income Statement'!E7</f>
        <v>416</v>
      </c>
      <c r="F7" s="28" t="n">
        <f aca="false">'Income Statement'!F7</f>
        <v>1071</v>
      </c>
      <c r="G7" s="28" t="n">
        <f aca="false">'Income Statement'!G7</f>
        <v>1541</v>
      </c>
      <c r="H7" s="28" t="n">
        <f aca="false">'Income Statement'!H7</f>
        <v>1894.4</v>
      </c>
      <c r="I7" s="28" t="n">
        <f aca="false">'Income Statement'!I7</f>
        <v>2160</v>
      </c>
    </row>
    <row r="8" customFormat="false" ht="15" hidden="false" customHeight="false" outlineLevel="0" collapsed="false">
      <c r="A8" s="6" t="s">
        <v>161</v>
      </c>
      <c r="B8" s="17" t="n">
        <v>2600.32258064516</v>
      </c>
      <c r="C8" s="17" t="n">
        <v>3400</v>
      </c>
      <c r="D8" s="17" t="n">
        <v>2795.56129032258</v>
      </c>
      <c r="E8" s="28" t="n">
        <f aca="false">'Income Statement'!E9</f>
        <v>296.915775104</v>
      </c>
      <c r="F8" s="28" t="n">
        <f aca="false">'Income Statement'!F9</f>
        <v>930.41445672</v>
      </c>
      <c r="G8" s="28" t="n">
        <f aca="false">'Income Statement'!G9</f>
        <v>1378.12705886</v>
      </c>
      <c r="H8" s="28" t="n">
        <f aca="false">'Income Statement'!H9</f>
        <v>1709.4668516</v>
      </c>
      <c r="I8" s="28" t="n">
        <f aca="false">'Income Statement'!I9</f>
        <v>1954.6196976</v>
      </c>
    </row>
    <row r="9" customFormat="false" ht="15" hidden="false" customHeight="false" outlineLevel="0" collapsed="false">
      <c r="A9" s="6" t="s">
        <v>209</v>
      </c>
      <c r="B9" s="17" t="n">
        <v>1248</v>
      </c>
      <c r="C9" s="17" t="n">
        <v>1327.8</v>
      </c>
      <c r="D9" s="17" t="n">
        <v>500.31</v>
      </c>
      <c r="E9" s="28" t="n">
        <f aca="false">'Income Statement'!E14</f>
        <v>-1947.084224896</v>
      </c>
      <c r="F9" s="28" t="n">
        <f aca="false">'Income Statement'!F14</f>
        <v>-1044.098341488</v>
      </c>
      <c r="G9" s="28" t="n">
        <f aca="false">'Income Statement'!G14</f>
        <v>-883.06165782448</v>
      </c>
      <c r="H9" s="28" t="n">
        <f aca="false">'Income Statement'!H14</f>
        <v>-687.958549941937</v>
      </c>
      <c r="I9" s="28" t="n">
        <f aca="false">'Income Statement'!I14</f>
        <v>-509.851799207334</v>
      </c>
    </row>
    <row r="10" customFormat="false" ht="15" hidden="false" customHeight="false" outlineLevel="0" collapsed="false">
      <c r="A10" s="6" t="s">
        <v>235</v>
      </c>
      <c r="D10" s="28" t="n">
        <f aca="false">Assumptions!B28</f>
        <v>10200</v>
      </c>
      <c r="E10" s="28" t="n">
        <f aca="false">'Balance Sheet'!D11</f>
        <v>9872.56399104</v>
      </c>
      <c r="F10" s="28" t="n">
        <f aca="false">'Balance Sheet'!E11</f>
        <v>12222.641711808</v>
      </c>
      <c r="G10" s="28" t="n">
        <f aca="false">'Balance Sheet'!F11</f>
        <v>14270.3892948925</v>
      </c>
      <c r="H10" s="28" t="n">
        <f aca="false">'Balance Sheet'!G11</f>
        <v>15899.8161084344</v>
      </c>
      <c r="I10" s="28" t="n">
        <f aca="false">'Balance Sheet'!H11</f>
        <v>17040.8650372418</v>
      </c>
    </row>
    <row r="11" customFormat="false" ht="15" hidden="false" customHeight="false" outlineLevel="0" collapsed="false">
      <c r="A11" s="6" t="s">
        <v>236</v>
      </c>
      <c r="D11" s="28" t="n">
        <f aca="false">Assumptions!B34</f>
        <v>4100</v>
      </c>
      <c r="E11" s="28" t="n">
        <f aca="false">'Balance Sheet'!D12</f>
        <v>2152.915775104</v>
      </c>
      <c r="F11" s="28" t="n">
        <f aca="false">'Balance Sheet'!E12</f>
        <v>1108.817433616</v>
      </c>
      <c r="G11" s="28" t="n">
        <f aca="false">'Balance Sheet'!F12</f>
        <v>225.75577579152</v>
      </c>
      <c r="H11" s="28" t="n">
        <f aca="false">'Balance Sheet'!G12</f>
        <v>-462.202774150417</v>
      </c>
      <c r="I11" s="28" t="n">
        <f aca="false">'Balance Sheet'!H12</f>
        <v>-972.054573357752</v>
      </c>
    </row>
    <row r="12" customFormat="false" ht="15" hidden="false" customHeight="false" outlineLevel="0" collapsed="false">
      <c r="A12" s="6" t="s">
        <v>237</v>
      </c>
      <c r="E12" s="28" t="n">
        <f aca="false">DCF!B15</f>
        <v>2504.6299595616</v>
      </c>
      <c r="F12" s="28" t="n">
        <f aca="false">DCF!C15</f>
        <v>-584.908175322001</v>
      </c>
      <c r="G12" s="28" t="n">
        <f aca="false">DCF!D15</f>
        <v>-96.6374546434988</v>
      </c>
      <c r="H12" s="28" t="n">
        <f aca="false">DCF!E15</f>
        <v>383.368546390001</v>
      </c>
      <c r="I12" s="28" t="n">
        <f aca="false">DCF!F15</f>
        <v>883.63313604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8" min="2" style="0" width="12"/>
  </cols>
  <sheetData>
    <row r="1" customFormat="false" ht="16.15" hidden="false" customHeight="false" outlineLevel="0" collapsed="false">
      <c r="A1" s="1" t="s">
        <v>238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4" t="s">
        <v>239</v>
      </c>
    </row>
    <row r="5" customFormat="false" ht="15" hidden="false" customHeight="false" outlineLevel="0" collapsed="false">
      <c r="A5" s="42" t="s">
        <v>240</v>
      </c>
    </row>
    <row r="6" customFormat="false" ht="15" hidden="false" customHeight="false" outlineLevel="0" collapsed="false">
      <c r="A6" s="6" t="s">
        <v>241</v>
      </c>
      <c r="B6" s="12" t="n">
        <v>0.6135</v>
      </c>
    </row>
    <row r="7" customFormat="false" ht="15" hidden="false" customHeight="false" outlineLevel="0" collapsed="false">
      <c r="A7" s="6" t="s">
        <v>242</v>
      </c>
      <c r="B7" s="43" t="s">
        <v>243</v>
      </c>
    </row>
    <row r="8" customFormat="false" ht="15" hidden="false" customHeight="false" outlineLevel="0" collapsed="false">
      <c r="A8" s="6" t="s">
        <v>244</v>
      </c>
      <c r="B8" s="43" t="s">
        <v>245</v>
      </c>
    </row>
    <row r="9" customFormat="false" ht="15" hidden="false" customHeight="false" outlineLevel="0" collapsed="false">
      <c r="A9" s="6" t="s">
        <v>246</v>
      </c>
      <c r="B9" s="43" t="s">
        <v>247</v>
      </c>
    </row>
    <row r="10" customFormat="false" ht="15" hidden="false" customHeight="false" outlineLevel="0" collapsed="false">
      <c r="A10" s="6" t="s">
        <v>248</v>
      </c>
      <c r="B10" s="43" t="s">
        <v>249</v>
      </c>
    </row>
    <row r="12" customFormat="false" ht="15" hidden="false" customHeight="false" outlineLevel="0" collapsed="false">
      <c r="A12" s="5" t="s">
        <v>250</v>
      </c>
    </row>
    <row r="13" customFormat="false" ht="15" hidden="false" customHeight="false" outlineLevel="0" collapsed="false">
      <c r="A13" s="5" t="s">
        <v>251</v>
      </c>
      <c r="B13" s="5" t="s">
        <v>252</v>
      </c>
      <c r="C13" s="5" t="s">
        <v>253</v>
      </c>
      <c r="D13" s="5" t="s">
        <v>254</v>
      </c>
      <c r="E13" s="5" t="s">
        <v>255</v>
      </c>
      <c r="F13" s="5" t="s">
        <v>256</v>
      </c>
    </row>
    <row r="14" customFormat="false" ht="15" hidden="false" customHeight="false" outlineLevel="0" collapsed="false">
      <c r="A14" s="6" t="s">
        <v>257</v>
      </c>
      <c r="B14" s="39" t="n">
        <v>1.91</v>
      </c>
      <c r="C14" s="39" t="n">
        <v>2.1</v>
      </c>
      <c r="D14" s="39" t="n">
        <v>2.22</v>
      </c>
      <c r="E14" s="39" t="n">
        <v>2.35</v>
      </c>
      <c r="F14" s="39" t="n">
        <v>2.59</v>
      </c>
    </row>
    <row r="15" customFormat="false" ht="15" hidden="false" customHeight="false" outlineLevel="0" collapsed="false">
      <c r="A15" s="6" t="s">
        <v>258</v>
      </c>
      <c r="B15" s="39" t="n">
        <v>1.71</v>
      </c>
      <c r="C15" s="39" t="n">
        <v>2.06</v>
      </c>
      <c r="D15" s="39" t="n">
        <v>2.29</v>
      </c>
      <c r="E15" s="39" t="n">
        <v>2.55</v>
      </c>
      <c r="F15" s="39" t="n">
        <v>3.07</v>
      </c>
    </row>
    <row r="17" customFormat="false" ht="15" hidden="false" customHeight="false" outlineLevel="0" collapsed="false">
      <c r="A17" s="5" t="s">
        <v>259</v>
      </c>
    </row>
    <row r="18" customFormat="false" ht="15" hidden="false" customHeight="false" outlineLevel="0" collapsed="false">
      <c r="A18" s="5" t="s">
        <v>260</v>
      </c>
      <c r="B18" s="5" t="s">
        <v>257</v>
      </c>
      <c r="C18" s="5" t="s">
        <v>258</v>
      </c>
    </row>
    <row r="19" customFormat="false" ht="15" hidden="false" customHeight="false" outlineLevel="0" collapsed="false">
      <c r="A19" s="39" t="n">
        <v>3</v>
      </c>
      <c r="B19" s="12" t="n">
        <v>0.00645</v>
      </c>
      <c r="C19" s="12" t="n">
        <v>0.09835</v>
      </c>
    </row>
    <row r="20" customFormat="false" ht="15" hidden="false" customHeight="false" outlineLevel="0" collapsed="false">
      <c r="A20" s="39" t="n">
        <v>2.75</v>
      </c>
      <c r="B20" s="12" t="n">
        <v>0.0259</v>
      </c>
      <c r="C20" s="12" t="n">
        <v>0.21765</v>
      </c>
    </row>
    <row r="21" customFormat="false" ht="15" hidden="false" customHeight="false" outlineLevel="0" collapsed="false">
      <c r="A21" s="39" t="n">
        <v>2.5</v>
      </c>
      <c r="B21" s="12" t="n">
        <v>0.1412</v>
      </c>
      <c r="C21" s="12" t="n">
        <v>0.47315</v>
      </c>
    </row>
    <row r="22" customFormat="false" ht="15" hidden="false" customHeight="false" outlineLevel="0" collapsed="false">
      <c r="A22" s="39" t="n">
        <v>2.35</v>
      </c>
      <c r="B22" s="12" t="n">
        <v>0.39565</v>
      </c>
      <c r="C22" s="12" t="n">
        <v>0.70025</v>
      </c>
    </row>
    <row r="23" customFormat="false" ht="15" hidden="false" customHeight="false" outlineLevel="0" collapsed="false">
      <c r="A23" s="39" t="n">
        <v>2.19</v>
      </c>
      <c r="B23" s="12" t="n">
        <v>1</v>
      </c>
      <c r="C23" s="12" t="n">
        <v>1</v>
      </c>
    </row>
    <row r="24" customFormat="false" ht="15" hidden="false" customHeight="false" outlineLevel="0" collapsed="false">
      <c r="A24" s="39" t="n">
        <v>2.05</v>
      </c>
      <c r="B24" s="12" t="n">
        <v>0.31065</v>
      </c>
      <c r="C24" s="12" t="n">
        <v>0.54345</v>
      </c>
    </row>
    <row r="25" customFormat="false" ht="15" hidden="false" customHeight="false" outlineLevel="0" collapsed="false">
      <c r="A25" s="39" t="n">
        <v>1.9</v>
      </c>
      <c r="B25" s="12" t="n">
        <v>0.07835</v>
      </c>
      <c r="C25" s="12" t="n">
        <v>0.27225</v>
      </c>
    </row>
    <row r="26" customFormat="false" ht="15" hidden="false" customHeight="false" outlineLevel="0" collapsed="false">
      <c r="A26" s="39" t="n">
        <v>1.7</v>
      </c>
      <c r="B26" s="12" t="n">
        <v>0.0113</v>
      </c>
      <c r="C26" s="12" t="n">
        <v>0.09345</v>
      </c>
    </row>
    <row r="28" customFormat="false" ht="15" hidden="false" customHeight="false" outlineLevel="0" collapsed="false">
      <c r="A28" s="5" t="s">
        <v>261</v>
      </c>
    </row>
    <row r="29" customFormat="false" ht="15" hidden="false" customHeight="false" outlineLevel="0" collapsed="false">
      <c r="A29" s="6" t="s">
        <v>262</v>
      </c>
      <c r="B29" s="43" t="s">
        <v>263</v>
      </c>
      <c r="C29" s="12" t="n">
        <v>0.0814</v>
      </c>
    </row>
    <row r="30" customFormat="false" ht="15" hidden="false" customHeight="false" outlineLevel="0" collapsed="false">
      <c r="A30" s="6" t="s">
        <v>264</v>
      </c>
      <c r="B30" s="43" t="s">
        <v>265</v>
      </c>
      <c r="C30" s="12" t="n">
        <v>0.1618</v>
      </c>
    </row>
    <row r="31" customFormat="false" ht="15" hidden="false" customHeight="false" outlineLevel="0" collapsed="false">
      <c r="A31" s="6" t="s">
        <v>266</v>
      </c>
      <c r="B31" s="43" t="s">
        <v>267</v>
      </c>
      <c r="C31" s="12" t="n">
        <v>0.32145</v>
      </c>
    </row>
    <row r="32" customFormat="false" ht="15" hidden="false" customHeight="false" outlineLevel="0" collapsed="false">
      <c r="A32" s="6" t="s">
        <v>268</v>
      </c>
      <c r="B32" s="43" t="s">
        <v>269</v>
      </c>
      <c r="C32" s="12" t="n">
        <v>0.27745</v>
      </c>
    </row>
    <row r="33" customFormat="false" ht="15" hidden="false" customHeight="false" outlineLevel="0" collapsed="false">
      <c r="A33" s="6" t="s">
        <v>270</v>
      </c>
      <c r="B33" s="43" t="s">
        <v>271</v>
      </c>
      <c r="C33" s="12" t="n">
        <v>0.1579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8" min="2" style="0" width="12"/>
  </cols>
  <sheetData>
    <row r="1" customFormat="false" ht="16.15" hidden="false" customHeight="false" outlineLevel="0" collapsed="false">
      <c r="A1" s="1" t="s">
        <v>272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4" t="s">
        <v>273</v>
      </c>
    </row>
    <row r="5" customFormat="false" ht="15" hidden="false" customHeight="false" outlineLevel="0" collapsed="false">
      <c r="A5" s="6" t="s">
        <v>274</v>
      </c>
      <c r="B5" s="8" t="n">
        <f aca="false">DCF!B33</f>
        <v>0.01</v>
      </c>
    </row>
    <row r="7" customFormat="false" ht="15" hidden="false" customHeight="false" outlineLevel="0" collapsed="false">
      <c r="A7" s="5" t="s">
        <v>275</v>
      </c>
    </row>
    <row r="8" customFormat="false" ht="15" hidden="false" customHeight="false" outlineLevel="0" collapsed="false">
      <c r="A8" s="5" t="s">
        <v>276</v>
      </c>
      <c r="B8" s="44" t="n">
        <v>0.03</v>
      </c>
      <c r="C8" s="44" t="n">
        <v>0.04</v>
      </c>
      <c r="D8" s="44" t="n">
        <v>0.05</v>
      </c>
      <c r="E8" s="44" t="n">
        <v>0.06</v>
      </c>
      <c r="F8" s="44" t="n">
        <v>0.07</v>
      </c>
    </row>
    <row r="9" customFormat="false" ht="15" hidden="false" customHeight="false" outlineLevel="0" collapsed="false">
      <c r="A9" s="12" t="n">
        <v>0.129988</v>
      </c>
      <c r="B9" s="39" t="n">
        <v>-0.89</v>
      </c>
      <c r="C9" s="39" t="n">
        <v>-0.93</v>
      </c>
      <c r="D9" s="39" t="n">
        <v>-1</v>
      </c>
      <c r="E9" s="39" t="n">
        <v>-1.09</v>
      </c>
      <c r="F9" s="39" t="n">
        <v>-1.22</v>
      </c>
    </row>
    <row r="10" customFormat="false" ht="15" hidden="false" customHeight="false" outlineLevel="0" collapsed="false">
      <c r="A10" s="12" t="n">
        <v>0.139988</v>
      </c>
      <c r="B10" s="39" t="n">
        <v>-1.06</v>
      </c>
      <c r="C10" s="39" t="n">
        <v>-1.12</v>
      </c>
      <c r="D10" s="39" t="n">
        <v>-1.19</v>
      </c>
      <c r="E10" s="39" t="n">
        <v>-1.28</v>
      </c>
      <c r="F10" s="39" t="n">
        <v>-1.41</v>
      </c>
    </row>
    <row r="11" customFormat="false" ht="15" hidden="false" customHeight="false" outlineLevel="0" collapsed="false">
      <c r="A11" s="12" t="n">
        <v>0.149988</v>
      </c>
      <c r="B11" s="39" t="n">
        <v>-1.2</v>
      </c>
      <c r="C11" s="39" t="n">
        <v>-1.26</v>
      </c>
      <c r="D11" s="39" t="n">
        <v>-1.34</v>
      </c>
      <c r="E11" s="39" t="n">
        <v>-1.44</v>
      </c>
      <c r="F11" s="39" t="n">
        <v>-1.56</v>
      </c>
    </row>
    <row r="12" customFormat="false" ht="15" hidden="false" customHeight="false" outlineLevel="0" collapsed="false">
      <c r="A12" s="12" t="n">
        <v>0.159988</v>
      </c>
      <c r="B12" s="39" t="n">
        <v>-1.33</v>
      </c>
      <c r="C12" s="39" t="n">
        <v>-1.39</v>
      </c>
      <c r="D12" s="39" t="n">
        <v>-1.46</v>
      </c>
      <c r="E12" s="39" t="n">
        <v>-1.56</v>
      </c>
      <c r="F12" s="39" t="n">
        <v>-1.68</v>
      </c>
    </row>
    <row r="13" customFormat="false" ht="15" hidden="false" customHeight="false" outlineLevel="0" collapsed="false">
      <c r="A13" s="12" t="n">
        <v>0.169988</v>
      </c>
      <c r="B13" s="39" t="n">
        <v>-1.43</v>
      </c>
      <c r="C13" s="39" t="n">
        <v>-1.49</v>
      </c>
      <c r="D13" s="39" t="n">
        <v>-1.56</v>
      </c>
      <c r="E13" s="39" t="n">
        <v>-1.66</v>
      </c>
      <c r="F13" s="39" t="n">
        <v>-1.77</v>
      </c>
    </row>
    <row r="15" customFormat="false" ht="15" hidden="false" customHeight="false" outlineLevel="0" collapsed="false">
      <c r="A15" s="5" t="s">
        <v>277</v>
      </c>
    </row>
    <row r="16" customFormat="false" ht="15" hidden="false" customHeight="false" outlineLevel="0" collapsed="false">
      <c r="A16" s="5" t="s">
        <v>278</v>
      </c>
      <c r="B16" s="44" t="n">
        <v>0.129988</v>
      </c>
      <c r="C16" s="44" t="n">
        <v>0.139988</v>
      </c>
      <c r="D16" s="44" t="n">
        <v>0.149988</v>
      </c>
      <c r="E16" s="44" t="n">
        <v>0.159988</v>
      </c>
      <c r="F16" s="44" t="n">
        <v>0.169988</v>
      </c>
    </row>
    <row r="17" customFormat="false" ht="15" hidden="false" customHeight="false" outlineLevel="0" collapsed="false">
      <c r="A17" s="12" t="n">
        <v>0.194188789049045</v>
      </c>
      <c r="B17" s="39" t="n">
        <v>-0.93</v>
      </c>
      <c r="C17" s="39" t="n">
        <v>-1.12</v>
      </c>
      <c r="D17" s="39" t="n">
        <v>-1.28</v>
      </c>
      <c r="E17" s="39" t="n">
        <v>-1.41</v>
      </c>
      <c r="F17" s="39" t="n">
        <v>-1.52</v>
      </c>
    </row>
    <row r="18" customFormat="false" ht="15" hidden="false" customHeight="false" outlineLevel="0" collapsed="false">
      <c r="A18" s="12" t="n">
        <v>0.204188789049045</v>
      </c>
      <c r="B18" s="39" t="n">
        <v>-0.96</v>
      </c>
      <c r="C18" s="39" t="n">
        <v>-1.16</v>
      </c>
      <c r="D18" s="39" t="n">
        <v>-1.31</v>
      </c>
      <c r="E18" s="39" t="n">
        <v>-1.44</v>
      </c>
      <c r="F18" s="39" t="n">
        <v>-1.54</v>
      </c>
    </row>
    <row r="19" customFormat="false" ht="15" hidden="false" customHeight="false" outlineLevel="0" collapsed="false">
      <c r="A19" s="12" t="n">
        <v>0.214188789049045</v>
      </c>
      <c r="B19" s="39" t="n">
        <v>-1</v>
      </c>
      <c r="C19" s="39" t="n">
        <v>-1.19</v>
      </c>
      <c r="D19" s="39" t="n">
        <v>-1.34</v>
      </c>
      <c r="E19" s="39" t="n">
        <v>-1.46</v>
      </c>
      <c r="F19" s="39" t="n">
        <v>-1.56</v>
      </c>
    </row>
    <row r="20" customFormat="false" ht="15" hidden="false" customHeight="false" outlineLevel="0" collapsed="false">
      <c r="A20" s="12" t="n">
        <v>0.224188789049045</v>
      </c>
      <c r="B20" s="39" t="n">
        <v>-1.03</v>
      </c>
      <c r="C20" s="39" t="n">
        <v>-1.22</v>
      </c>
      <c r="D20" s="39" t="n">
        <v>-1.37</v>
      </c>
      <c r="E20" s="39" t="n">
        <v>-1.49</v>
      </c>
      <c r="F20" s="39" t="n">
        <v>-1.59</v>
      </c>
    </row>
    <row r="21" customFormat="false" ht="15" hidden="false" customHeight="false" outlineLevel="0" collapsed="false">
      <c r="A21" s="12" t="n">
        <v>0.234188789049045</v>
      </c>
      <c r="B21" s="39" t="n">
        <v>-1.07</v>
      </c>
      <c r="C21" s="39" t="n">
        <v>-1.25</v>
      </c>
      <c r="D21" s="39" t="n">
        <v>-1.39</v>
      </c>
      <c r="E21" s="39" t="n">
        <v>-1.51</v>
      </c>
      <c r="F21" s="39" t="n">
        <v>-1.61</v>
      </c>
    </row>
    <row r="23" customFormat="false" ht="15" hidden="false" customHeight="false" outlineLevel="0" collapsed="false">
      <c r="A23" s="5" t="s">
        <v>279</v>
      </c>
    </row>
    <row r="24" customFormat="false" ht="15" hidden="false" customHeight="false" outlineLevel="0" collapsed="false">
      <c r="A24" s="5" t="s">
        <v>280</v>
      </c>
      <c r="B24" s="44" t="n">
        <v>1</v>
      </c>
      <c r="C24" s="44" t="n">
        <v>0.94</v>
      </c>
      <c r="D24" s="44" t="n">
        <v>0.88</v>
      </c>
      <c r="E24" s="44" t="n">
        <v>0.82</v>
      </c>
      <c r="F24" s="44" t="n">
        <v>0.76</v>
      </c>
    </row>
    <row r="25" customFormat="false" ht="15" hidden="false" customHeight="false" outlineLevel="0" collapsed="false">
      <c r="A25" s="45" t="n">
        <v>-0.3</v>
      </c>
      <c r="B25" s="39" t="n">
        <v>-2.74</v>
      </c>
      <c r="C25" s="39" t="n">
        <v>-2.52</v>
      </c>
      <c r="D25" s="39" t="n">
        <v>-2.31</v>
      </c>
      <c r="E25" s="39" t="n">
        <v>-2.09</v>
      </c>
      <c r="F25" s="39" t="n">
        <v>-1.87</v>
      </c>
    </row>
    <row r="26" customFormat="false" ht="15" hidden="false" customHeight="false" outlineLevel="0" collapsed="false">
      <c r="A26" s="45" t="n">
        <v>-0.15</v>
      </c>
      <c r="B26" s="39" t="n">
        <v>-2.26</v>
      </c>
      <c r="C26" s="39" t="n">
        <v>-2.04</v>
      </c>
      <c r="D26" s="39" t="n">
        <v>-1.82</v>
      </c>
      <c r="E26" s="39" t="n">
        <v>-1.61</v>
      </c>
      <c r="F26" s="39" t="n">
        <v>-1.39</v>
      </c>
    </row>
    <row r="27" customFormat="false" ht="15" hidden="false" customHeight="false" outlineLevel="0" collapsed="false">
      <c r="A27" s="45" t="n">
        <v>0</v>
      </c>
      <c r="B27" s="39" t="n">
        <v>-1.77</v>
      </c>
      <c r="C27" s="39" t="n">
        <v>-1.56</v>
      </c>
      <c r="D27" s="39" t="n">
        <v>-1.34</v>
      </c>
      <c r="E27" s="39" t="n">
        <v>-1.12</v>
      </c>
      <c r="F27" s="39" t="n">
        <v>-0.9</v>
      </c>
    </row>
    <row r="28" customFormat="false" ht="15" hidden="false" customHeight="false" outlineLevel="0" collapsed="false">
      <c r="A28" s="45" t="n">
        <v>0.15</v>
      </c>
      <c r="B28" s="39" t="n">
        <v>-1.29</v>
      </c>
      <c r="C28" s="39" t="n">
        <v>-1.07</v>
      </c>
      <c r="D28" s="39" t="n">
        <v>-0.86</v>
      </c>
      <c r="E28" s="39" t="n">
        <v>-0.64</v>
      </c>
      <c r="F28" s="39" t="n">
        <v>-0.42</v>
      </c>
    </row>
    <row r="29" customFormat="false" ht="15" hidden="false" customHeight="false" outlineLevel="0" collapsed="false">
      <c r="A29" s="45" t="n">
        <v>0.3</v>
      </c>
      <c r="B29" s="39" t="n">
        <v>-0.81</v>
      </c>
      <c r="C29" s="39" t="n">
        <v>-0.59</v>
      </c>
      <c r="D29" s="39" t="n">
        <v>-0.37</v>
      </c>
      <c r="E29" s="39" t="n">
        <v>-0.15</v>
      </c>
      <c r="F29" s="39" t="n">
        <v>0.06</v>
      </c>
    </row>
    <row r="31" customFormat="false" ht="15" hidden="false" customHeight="false" outlineLevel="0" collapsed="false">
      <c r="A31" s="5" t="s">
        <v>281</v>
      </c>
    </row>
    <row r="32" customFormat="false" ht="15" hidden="false" customHeight="false" outlineLevel="0" collapsed="false">
      <c r="A32" s="5" t="s">
        <v>282</v>
      </c>
      <c r="B32" s="5" t="s">
        <v>283</v>
      </c>
      <c r="C32" s="5" t="s">
        <v>284</v>
      </c>
      <c r="D32" s="5" t="s">
        <v>285</v>
      </c>
      <c r="E32" s="5" t="s">
        <v>286</v>
      </c>
    </row>
    <row r="33" customFormat="false" ht="15" hidden="false" customHeight="false" outlineLevel="0" collapsed="false">
      <c r="A33" s="39" t="n">
        <v>0.6</v>
      </c>
      <c r="B33" s="12" t="n">
        <v>0.24556</v>
      </c>
      <c r="C33" s="12" t="n">
        <v>0.200499163004575</v>
      </c>
      <c r="D33" s="12" t="n">
        <v>0.1347</v>
      </c>
      <c r="E33" s="39" t="n">
        <v>-1.09</v>
      </c>
    </row>
    <row r="34" customFormat="false" ht="15" hidden="false" customHeight="false" outlineLevel="0" collapsed="false">
      <c r="A34" s="39" t="n">
        <v>0.78</v>
      </c>
      <c r="B34" s="12" t="n">
        <v>0.262498</v>
      </c>
      <c r="C34" s="12" t="n">
        <v>0.207268758301291</v>
      </c>
      <c r="D34" s="12" t="n">
        <v>0.14226</v>
      </c>
      <c r="E34" s="39" t="n">
        <v>-1.23</v>
      </c>
    </row>
    <row r="35" customFormat="false" ht="15" hidden="false" customHeight="false" outlineLevel="0" collapsed="false">
      <c r="A35" s="39" t="n">
        <v>0.8</v>
      </c>
      <c r="B35" s="12" t="n">
        <v>0.26438</v>
      </c>
      <c r="C35" s="12" t="n">
        <v>0.208020935556482</v>
      </c>
      <c r="D35" s="12" t="n">
        <v>0.1431</v>
      </c>
      <c r="E35" s="39" t="n">
        <v>-1.24</v>
      </c>
    </row>
    <row r="36" customFormat="false" ht="15" hidden="false" customHeight="false" outlineLevel="0" collapsed="false">
      <c r="A36" s="39" t="n">
        <v>0.964</v>
      </c>
      <c r="B36" s="12" t="n">
        <v>0.2798124</v>
      </c>
      <c r="C36" s="12" t="n">
        <v>0.214188789049045</v>
      </c>
      <c r="D36" s="12" t="n">
        <v>0.149988</v>
      </c>
      <c r="E36" s="39" t="n">
        <v>-1.34</v>
      </c>
    </row>
    <row r="37" customFormat="false" ht="15" hidden="false" customHeight="false" outlineLevel="0" collapsed="false">
      <c r="A37" s="39" t="n">
        <v>1</v>
      </c>
      <c r="B37" s="12" t="n">
        <v>0.2832</v>
      </c>
      <c r="C37" s="12" t="n">
        <v>0.215542708108388</v>
      </c>
      <c r="D37" s="12" t="n">
        <v>0.1515</v>
      </c>
      <c r="E37" s="39" t="n">
        <v>-1.36</v>
      </c>
    </row>
    <row r="38" customFormat="false" ht="15" hidden="false" customHeight="false" outlineLevel="0" collapsed="false">
      <c r="A38" s="39" t="n">
        <v>1.15</v>
      </c>
      <c r="B38" s="12" t="n">
        <v>0.297315</v>
      </c>
      <c r="C38" s="12" t="n">
        <v>0.221184037522318</v>
      </c>
      <c r="D38" s="12" t="n">
        <v>0.1578</v>
      </c>
      <c r="E38" s="39" t="n">
        <v>-1.44</v>
      </c>
    </row>
    <row r="39" customFormat="false" ht="15" hidden="false" customHeight="false" outlineLevel="0" collapsed="false">
      <c r="A39" s="39" t="n">
        <v>1.3</v>
      </c>
      <c r="B39" s="12" t="n">
        <v>0.31143</v>
      </c>
      <c r="C39" s="12" t="n">
        <v>0.226825366936248</v>
      </c>
      <c r="D39" s="12" t="n">
        <v>0.1641</v>
      </c>
      <c r="E39" s="39" t="n">
        <v>-1.51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0" min="2" style="0" width="12"/>
  </cols>
  <sheetData>
    <row r="1" customFormat="false" ht="16.15" hidden="false" customHeight="false" outlineLevel="0" collapsed="false">
      <c r="A1" s="1" t="s">
        <v>287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4" t="s">
        <v>288</v>
      </c>
    </row>
    <row r="4" customFormat="false" ht="15" hidden="false" customHeight="false" outlineLevel="0" collapsed="false">
      <c r="A4" s="5"/>
      <c r="B4" s="5" t="s">
        <v>148</v>
      </c>
      <c r="C4" s="5" t="s">
        <v>149</v>
      </c>
      <c r="D4" s="5" t="s">
        <v>150</v>
      </c>
      <c r="E4" s="5" t="s">
        <v>96</v>
      </c>
      <c r="F4" s="5" t="s">
        <v>97</v>
      </c>
      <c r="G4" s="5" t="s">
        <v>98</v>
      </c>
      <c r="H4" s="5" t="s">
        <v>99</v>
      </c>
      <c r="I4" s="5" t="s">
        <v>100</v>
      </c>
    </row>
    <row r="6" customFormat="false" ht="15" hidden="false" customHeight="false" outlineLevel="0" collapsed="false">
      <c r="A6" s="6" t="s">
        <v>210</v>
      </c>
      <c r="B6" s="39" t="n">
        <f aca="false">'Income Statement'!B14/Assumptions!$B$6</f>
        <v>0.376636424945712</v>
      </c>
      <c r="C6" s="39" t="n">
        <f aca="false">'Income Statement'!C14/Assumptions!$B$6</f>
        <v>0.400719427117721</v>
      </c>
      <c r="D6" s="39" t="n">
        <f aca="false">'Income Statement'!D14/Assumptions!$B$6</f>
        <v>0.150989559106241</v>
      </c>
      <c r="E6" s="39" t="n">
        <f aca="false">'Income Statement'!E14/Assumptions!$B$6</f>
        <v>-0.587614456356588</v>
      </c>
      <c r="F6" s="39" t="n">
        <f aca="false">'Income Statement'!F14/Assumptions!$B$6</f>
        <v>-0.315100534158483</v>
      </c>
      <c r="G6" s="39" t="n">
        <f aca="false">'Income Statement'!G14/Assumptions!$B$6</f>
        <v>-0.266500950167985</v>
      </c>
      <c r="H6" s="39" t="n">
        <f aca="false">'Income Statement'!H14/Assumptions!$B$6</f>
        <v>-0.20762039163539</v>
      </c>
      <c r="I6" s="39" t="n">
        <f aca="false">'Income Statement'!I14/Assumptions!$B$6</f>
        <v>-0.153869197841017</v>
      </c>
    </row>
    <row r="7" customFormat="false" ht="15" hidden="false" customHeight="false" outlineLevel="0" collapsed="false">
      <c r="A7" s="6" t="s">
        <v>289</v>
      </c>
      <c r="B7" s="30" t="n">
        <f aca="false">IF('Income Statement'!B14&gt;0,Assumptions!$B$5/('Income Statement'!B14/Assumptions!$B$6),"n.m.")</f>
        <v>5.8146261353125</v>
      </c>
      <c r="C7" s="30" t="n">
        <f aca="false">IF('Income Statement'!C14&gt;0,Assumptions!$B$5/('Income Statement'!C14/Assumptions!$B$6),"n.m.")</f>
        <v>5.46517052031179</v>
      </c>
      <c r="D7" s="30" t="n">
        <f aca="false">IF('Income Statement'!D14&gt;0,Assumptions!$B$5/('Income Statement'!D14/Assumptions!$B$6),"n.m.")</f>
        <v>14.5043141589614</v>
      </c>
      <c r="E7" s="30" t="str">
        <f aca="false">IF('Income Statement'!E14&gt;0,Assumptions!$B$5/('Income Statement'!E14/Assumptions!$B$6),"n.m.")</f>
        <v>n.m.</v>
      </c>
      <c r="F7" s="30" t="str">
        <f aca="false">IF('Income Statement'!F14&gt;0,Assumptions!$B$5/('Income Statement'!F14/Assumptions!$B$6),"n.m.")</f>
        <v>n.m.</v>
      </c>
      <c r="G7" s="30" t="str">
        <f aca="false">IF('Income Statement'!G14&gt;0,Assumptions!$B$5/('Income Statement'!G14/Assumptions!$B$6),"n.m.")</f>
        <v>n.m.</v>
      </c>
      <c r="H7" s="30" t="str">
        <f aca="false">IF('Income Statement'!H14&gt;0,Assumptions!$B$5/('Income Statement'!H14/Assumptions!$B$6),"n.m.")</f>
        <v>n.m.</v>
      </c>
      <c r="I7" s="30" t="str">
        <f aca="false">IF('Income Statement'!I14&gt;0,Assumptions!$B$5/('Income Statement'!I14/Assumptions!$B$6),"n.m.")</f>
        <v>n.m.</v>
      </c>
    </row>
    <row r="8" customFormat="false" ht="15" hidden="false" customHeight="false" outlineLevel="0" collapsed="false">
      <c r="A8" s="6" t="s">
        <v>290</v>
      </c>
      <c r="B8" s="12" t="n">
        <f aca="false">'Income Statement'!B7/'Income Statement'!B6</f>
        <v>0.306804295967575</v>
      </c>
      <c r="C8" s="12" t="n">
        <f aca="false">'Income Statement'!C7/'Income Statement'!C6</f>
        <v>0.253298689233717</v>
      </c>
      <c r="D8" s="12" t="n">
        <f aca="false">'Income Statement'!D7/'Income Statement'!D6</f>
        <v>0.26539368613759</v>
      </c>
      <c r="E8" s="12" t="n">
        <f aca="false">'Income Statement'!E7/'Income Statement'!E6</f>
        <v>0.0454132359237588</v>
      </c>
      <c r="F8" s="12" t="n">
        <f aca="false">'Income Statement'!F7/'Income Statement'!F6</f>
        <v>0.0990357875721971</v>
      </c>
      <c r="G8" s="12" t="n">
        <f aca="false">'Income Statement'!G7/'Income Statement'!G6</f>
        <v>0.122997717483227</v>
      </c>
      <c r="H8" s="12" t="n">
        <f aca="false">'Income Statement'!H7/'Income Statement'!H6</f>
        <v>0.133168121632433</v>
      </c>
      <c r="I8" s="12" t="n">
        <f aca="false">'Income Statement'!I7/'Income Statement'!I6</f>
        <v>0.136721972223564</v>
      </c>
    </row>
    <row r="9" customFormat="false" ht="15" hidden="false" customHeight="false" outlineLevel="0" collapsed="false">
      <c r="A9" s="6" t="s">
        <v>291</v>
      </c>
      <c r="B9" s="12" t="n">
        <f aca="false">'Income Statement'!B14/'Income Statement'!B6</f>
        <v>0.143888209929209</v>
      </c>
      <c r="C9" s="12" t="n">
        <f aca="false">'Income Statement'!C14/'Income Statement'!C6</f>
        <v>0.0963696273823867</v>
      </c>
      <c r="D9" s="12" t="n">
        <f aca="false">'Income Statement'!D14/'Income Statement'!D6</f>
        <v>0.0462436454385803</v>
      </c>
      <c r="E9" s="12" t="n">
        <f aca="false">'Income Statement'!E14/'Income Statement'!E6</f>
        <v>-0.212556238626517</v>
      </c>
      <c r="F9" s="12" t="n">
        <f aca="false">'Income Statement'!F14/'Income Statement'!F6</f>
        <v>-0.0965481807209046</v>
      </c>
      <c r="G9" s="12" t="n">
        <f aca="false">'Income Statement'!G14/'Income Statement'!G6</f>
        <v>-0.0704831721670121</v>
      </c>
      <c r="H9" s="12" t="n">
        <f aca="false">'Income Statement'!H14/'Income Statement'!H6</f>
        <v>-0.0483605087926204</v>
      </c>
      <c r="I9" s="12" t="n">
        <f aca="false">'Income Statement'!I14/'Income Statement'!I6</f>
        <v>-0.0322721960784071</v>
      </c>
    </row>
    <row r="10" customFormat="false" ht="15" hidden="false" customHeight="false" outlineLevel="0" collapsed="false">
      <c r="A10" s="6" t="s">
        <v>292</v>
      </c>
      <c r="C10" s="12" t="n">
        <f aca="false">'Income Statement'!C6/'Income Statement'!B6-1</f>
        <v>0.588558120229668</v>
      </c>
      <c r="D10" s="12" t="n">
        <f aca="false">'Income Statement'!D6/'Income Statement'!C6-1</f>
        <v>-0.214774063375477</v>
      </c>
      <c r="E10" s="12" t="n">
        <f aca="false">'Income Statement'!E6/'Income Statement'!D6-1</f>
        <v>-0.153311304926518</v>
      </c>
      <c r="F10" s="12" t="n">
        <f aca="false">'Income Statement'!F6/'Income Statement'!E6-1</f>
        <v>0.180555555555556</v>
      </c>
      <c r="G10" s="12" t="n">
        <f aca="false">'Income Statement'!G6/'Income Statement'!F6-1</f>
        <v>0.158532643826761</v>
      </c>
      <c r="H10" s="12" t="n">
        <f aca="false">'Income Statement'!H6/'Income Statement'!G6-1</f>
        <v>0.135444273957316</v>
      </c>
      <c r="I10" s="12" t="n">
        <f aca="false">'Income Statement'!I6/'Income Statement'!H6-1</f>
        <v>0.110565110565111</v>
      </c>
    </row>
    <row r="11" customFormat="false" ht="15" hidden="false" customHeight="false" outlineLevel="0" collapsed="false">
      <c r="A11" s="6" t="s">
        <v>293</v>
      </c>
      <c r="D11" s="39" t="n">
        <f aca="false">Assumptions!$B$34/Assumptions!$B$6</f>
        <v>1.23734722938896</v>
      </c>
      <c r="E11" s="39" t="n">
        <f aca="false">'Balance Sheet'!D12/Assumptions!$B$6</f>
        <v>0.649732773032369</v>
      </c>
      <c r="F11" s="39" t="n">
        <f aca="false">'Balance Sheet'!E12/Assumptions!$B$6</f>
        <v>0.334632238873886</v>
      </c>
      <c r="G11" s="39" t="n">
        <f aca="false">'Balance Sheet'!F12/Assumptions!$B$6</f>
        <v>0.0681312887059003</v>
      </c>
      <c r="H11" s="39" t="n">
        <f aca="false">'Balance Sheet'!G12/Assumptions!$B$6</f>
        <v>-0.13948910292949</v>
      </c>
      <c r="I11" s="39" t="n">
        <f aca="false">'Balance Sheet'!H12/Assumptions!$B$6</f>
        <v>-0.293358300770507</v>
      </c>
    </row>
    <row r="12" customFormat="false" ht="15" hidden="false" customHeight="false" outlineLevel="0" collapsed="false">
      <c r="A12" s="6" t="s">
        <v>294</v>
      </c>
      <c r="B12" s="46"/>
      <c r="C12" s="46"/>
      <c r="D12" s="30" t="n">
        <f aca="false">Assumptions!$B$5/(Assumptions!$B$34/Assumptions!$B$6)</f>
        <v>1.76991546752927</v>
      </c>
      <c r="E12" s="30" t="n">
        <f aca="false">Assumptions!$B$5/('Balance Sheet'!D12/Assumptions!$B$6)</f>
        <v>3.37061649172943</v>
      </c>
      <c r="F12" s="30" t="n">
        <f aca="false">Assumptions!$B$5/('Balance Sheet'!E12/Assumptions!$B$6)</f>
        <v>6.54449794607314</v>
      </c>
      <c r="G12" s="30" t="n">
        <f aca="false">Assumptions!$B$5/('Balance Sheet'!F12/Assumptions!$B$6)</f>
        <v>32.143821753519</v>
      </c>
      <c r="H12" s="30" t="n">
        <f aca="false">Assumptions!$B$5/('Balance Sheet'!G12/Assumptions!$B$6)</f>
        <v>-15.7001511516424</v>
      </c>
      <c r="I12" s="30" t="n">
        <f aca="false">Assumptions!$B$5/('Balance Sheet'!H12/Assumptions!$B$6)</f>
        <v>-7.46527367471094</v>
      </c>
    </row>
    <row r="13" customFormat="false" ht="15" hidden="false" customHeight="false" outlineLevel="0" collapsed="false">
      <c r="A13" s="6" t="s">
        <v>295</v>
      </c>
      <c r="B13" s="46"/>
      <c r="C13" s="46"/>
      <c r="D13" s="30" t="n">
        <f aca="false">Assumptions!$B$28/'Income Statement'!D7</f>
        <v>3.55240493263895</v>
      </c>
      <c r="E13" s="30" t="n">
        <f aca="false">'Balance Sheet'!D11/'Income Statement'!E7</f>
        <v>23.7321249784615</v>
      </c>
      <c r="F13" s="30" t="n">
        <f aca="false">'Balance Sheet'!E11/'Income Statement'!F7</f>
        <v>11.4123638765714</v>
      </c>
      <c r="G13" s="30" t="n">
        <f aca="false">'Balance Sheet'!F11/'Income Statement'!G7</f>
        <v>9.26047326079979</v>
      </c>
      <c r="H13" s="30" t="n">
        <f aca="false">'Balance Sheet'!G11/'Income Statement'!H7</f>
        <v>8.39306171264486</v>
      </c>
      <c r="I13" s="30" t="n">
        <f aca="false">'Balance Sheet'!H11/'Income Statement'!I7</f>
        <v>7.8892893690934</v>
      </c>
    </row>
    <row r="14" customFormat="false" ht="15" hidden="false" customHeight="false" outlineLevel="0" collapsed="false">
      <c r="A14" s="6" t="s">
        <v>296</v>
      </c>
      <c r="D14" s="12" t="n">
        <f aca="false">Assumptions!$B$28/Assumptions!$B$34</f>
        <v>2.48780487804878</v>
      </c>
      <c r="E14" s="12" t="n">
        <f aca="false">'Balance Sheet'!D11/'Balance Sheet'!D12</f>
        <v>4.58567125811649</v>
      </c>
      <c r="F14" s="12" t="n">
        <f aca="false">'Balance Sheet'!E11/'Balance Sheet'!E12</f>
        <v>11.0231327008887</v>
      </c>
      <c r="G14" s="12" t="n">
        <f aca="false">'Balance Sheet'!F11/'Balance Sheet'!F12</f>
        <v>63.2116243531721</v>
      </c>
      <c r="H14" s="12" t="n">
        <f aca="false">'Balance Sheet'!G11/'Balance Sheet'!G12</f>
        <v>-34.400088008256</v>
      </c>
      <c r="I14" s="12" t="n">
        <f aca="false">'Balance Sheet'!H11/'Balance Sheet'!H12</f>
        <v>-17.5307698809315</v>
      </c>
    </row>
    <row r="15" customFormat="false" ht="15" hidden="false" customHeight="false" outlineLevel="0" collapsed="false">
      <c r="A15" s="6" t="s">
        <v>297</v>
      </c>
      <c r="E15" s="12" t="n">
        <f aca="false">'Income Statement'!E14/'Balance Sheet'!D12</f>
        <v>-0.904394053595498</v>
      </c>
      <c r="F15" s="12" t="n">
        <f aca="false">'Income Statement'!F14/'Balance Sheet'!E12</f>
        <v>-0.941632328130933</v>
      </c>
      <c r="G15" s="12" t="n">
        <f aca="false">'Income Statement'!G14/'Balance Sheet'!F12</f>
        <v>-3.91157947001971</v>
      </c>
      <c r="H15" s="12" t="n">
        <f aca="false">'Income Statement'!H14/'Balance Sheet'!G12</f>
        <v>1.4884344889675</v>
      </c>
      <c r="I15" s="12" t="n">
        <f aca="false">'Income Statement'!I14/'Balance Sheet'!H12</f>
        <v>0.524509439265495</v>
      </c>
    </row>
    <row r="17" customFormat="false" ht="15" hidden="false" customHeight="false" outlineLevel="0" collapsed="false">
      <c r="A17" s="13" t="s">
        <v>298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2"/>
    <col collapsed="false" customWidth="true" hidden="false" outlineLevel="0" max="6" min="6" style="0" width="56"/>
    <col collapsed="false" customWidth="true" hidden="false" outlineLevel="0" max="7" min="7" style="0" width="12"/>
  </cols>
  <sheetData>
    <row r="1" customFormat="false" ht="16.15" hidden="false" customHeight="false" outlineLevel="0" collapsed="false">
      <c r="A1" s="1" t="s">
        <v>299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4" t="s">
        <v>300</v>
      </c>
    </row>
    <row r="5" customFormat="false" ht="15" hidden="false" customHeight="false" outlineLevel="0" collapsed="false">
      <c r="A5" s="5" t="s">
        <v>301</v>
      </c>
      <c r="B5" s="5" t="s">
        <v>302</v>
      </c>
      <c r="C5" s="5" t="s">
        <v>303</v>
      </c>
      <c r="D5" s="5" t="s">
        <v>304</v>
      </c>
      <c r="E5" s="5" t="s">
        <v>305</v>
      </c>
      <c r="F5" s="5" t="s">
        <v>306</v>
      </c>
    </row>
    <row r="6" customFormat="false" ht="15" hidden="false" customHeight="false" outlineLevel="0" collapsed="false">
      <c r="A6" s="14" t="s">
        <v>307</v>
      </c>
      <c r="B6" s="14" t="s">
        <v>308</v>
      </c>
      <c r="C6" s="14" t="s">
        <v>309</v>
      </c>
      <c r="D6" s="14" t="s">
        <v>310</v>
      </c>
      <c r="E6" s="14" t="s">
        <v>311</v>
      </c>
      <c r="F6" s="14" t="s">
        <v>312</v>
      </c>
    </row>
    <row r="7" customFormat="false" ht="15" hidden="false" customHeight="false" outlineLevel="0" collapsed="false">
      <c r="A7" s="14" t="s">
        <v>313</v>
      </c>
      <c r="B7" s="14" t="s">
        <v>314</v>
      </c>
      <c r="C7" s="14" t="s">
        <v>315</v>
      </c>
      <c r="D7" s="14" t="s">
        <v>316</v>
      </c>
      <c r="E7" s="14" t="s">
        <v>317</v>
      </c>
      <c r="F7" s="14" t="s">
        <v>318</v>
      </c>
    </row>
    <row r="8" customFormat="false" ht="15" hidden="false" customHeight="false" outlineLevel="0" collapsed="false">
      <c r="A8" s="14" t="s">
        <v>319</v>
      </c>
      <c r="B8" s="14" t="s">
        <v>320</v>
      </c>
      <c r="C8" s="14" t="s">
        <v>321</v>
      </c>
      <c r="D8" s="14" t="s">
        <v>322</v>
      </c>
      <c r="E8" s="14" t="s">
        <v>323</v>
      </c>
      <c r="F8" s="14" t="s">
        <v>324</v>
      </c>
    </row>
    <row r="9" customFormat="false" ht="15" hidden="false" customHeight="false" outlineLevel="0" collapsed="false">
      <c r="A9" s="14" t="s">
        <v>325</v>
      </c>
      <c r="B9" s="14" t="s">
        <v>326</v>
      </c>
      <c r="C9" s="14" t="s">
        <v>326</v>
      </c>
      <c r="D9" s="14" t="s">
        <v>326</v>
      </c>
      <c r="E9" s="14" t="s">
        <v>326</v>
      </c>
      <c r="F9" s="14" t="s">
        <v>327</v>
      </c>
    </row>
    <row r="11" customFormat="false" ht="15" hidden="false" customHeight="false" outlineLevel="0" collapsed="false">
      <c r="A11" s="13" t="s">
        <v>328</v>
      </c>
    </row>
    <row r="12" customFormat="false" ht="15" hidden="false" customHeight="false" outlineLevel="0" collapsed="false">
      <c r="A12" s="13" t="s">
        <v>329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2026-08-05T14:06:35Z</dcterms:created>
  <dc:creator>openpyxl</dc:creator>
  <dc:description/>
  <dc:language>en-US</dc:language>
  <cp:lastModifiedBy/>
  <dcterms:modified xsi:type="dcterms:W3CDTF">2026-08-05T14:06:35Z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