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0.00;(0.00);&quot;-&quot;"/>
    <numFmt numFmtId="166" formatCode="0.0%;(0.0%);&quot;-&quot;"/>
    <numFmt numFmtId="167" formatCode="0.00x"/>
    <numFmt numFmtId="168" formatCode="0.0"/>
    <numFmt numFmtId="169" formatCode="0.000"/>
    <numFmt numFmtId="170" formatCode="+0.0%;-0.0%;&quot;base&quot;"/>
  </numFmts>
  <fonts count="12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color rgb="006E7B77"/>
      <sz val="9"/>
    </font>
    <font>
      <b val="1"/>
      <color rgb="00000000"/>
    </font>
    <font>
      <color rgb="00000000"/>
    </font>
    <font>
      <color rgb="000000FF"/>
    </font>
    <font>
      <color rgb="006E7B77"/>
    </font>
    <font>
      <color rgb="00008000"/>
    </font>
    <font>
      <b val="1"/>
      <color rgb="000000FF"/>
    </font>
    <font>
      <b val="1"/>
      <color rgb="00008000"/>
    </font>
    <font>
      <b val="1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EAF0EE"/>
      </patternFill>
    </fill>
    <fill>
      <patternFill patternType="solid">
        <fgColor rgb="00F6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164" fontId="5" fillId="0" borderId="0" pivotButton="0" quotePrefix="0" xfId="0"/>
    <xf numFmtId="165" fontId="6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6" fontId="5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165" fontId="10" fillId="0" borderId="0" pivotButton="0" quotePrefix="0" xfId="0"/>
    <xf numFmtId="164" fontId="4" fillId="3" borderId="0" pivotButton="0" quotePrefix="0" xfId="0"/>
    <xf numFmtId="164" fontId="6" fillId="0" borderId="0" pivotButton="0" quotePrefix="0" xfId="0"/>
    <xf numFmtId="166" fontId="6" fillId="0" borderId="0" pivotButton="0" quotePrefix="0" xfId="0"/>
    <xf numFmtId="164" fontId="4" fillId="0" borderId="0" pivotButton="0" quotePrefix="0" xfId="0"/>
    <xf numFmtId="166" fontId="4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3" fontId="6" fillId="0" borderId="0" pivotButton="0" quotePrefix="0" xfId="0"/>
    <xf numFmtId="1" fontId="6" fillId="0" borderId="0" pivotButton="0" quotePrefix="0" xfId="0"/>
    <xf numFmtId="169" fontId="5" fillId="0" borderId="0" pivotButton="0" quotePrefix="0" xfId="0"/>
    <xf numFmtId="169" fontId="6" fillId="0" borderId="0" pivotButton="0" quotePrefix="0" xfId="0"/>
    <xf numFmtId="164" fontId="10" fillId="0" borderId="0" pivotButton="0" quotePrefix="0" xfId="0"/>
    <xf numFmtId="164" fontId="8" fillId="0" borderId="0" pivotButton="0" quotePrefix="0" xfId="0"/>
    <xf numFmtId="166" fontId="10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168" fontId="8" fillId="0" borderId="0" pivotButton="0" quotePrefix="0" xfId="0"/>
    <xf numFmtId="3" fontId="8" fillId="0" borderId="0" pivotButton="0" quotePrefix="0" xfId="0"/>
    <xf numFmtId="3" fontId="5" fillId="0" borderId="0" pivotButton="0" quotePrefix="0" xfId="0"/>
    <xf numFmtId="164" fontId="9" fillId="0" borderId="0" pivotButton="0" quotePrefix="0" xfId="0"/>
    <xf numFmtId="1" fontId="5" fillId="0" borderId="0" pivotButton="0" quotePrefix="0" xfId="0"/>
    <xf numFmtId="1" fontId="8" fillId="0" borderId="0" pivotButton="0" quotePrefix="0" xfId="0"/>
    <xf numFmtId="169" fontId="8" fillId="0" borderId="0" pivotButton="0" quotePrefix="0" xfId="0"/>
    <xf numFmtId="165" fontId="5" fillId="0" borderId="0" pivotButton="0" quotePrefix="0" xfId="0"/>
    <xf numFmtId="164" fontId="11" fillId="0" borderId="0" pivotButton="0" quotePrefix="0" xfId="0"/>
    <xf numFmtId="164" fontId="0" fillId="0" borderId="0" pivotButton="0" quotePrefix="0" xfId="0"/>
    <xf numFmtId="0" fontId="4" fillId="4" borderId="0" pivotButton="0" quotePrefix="0" xfId="0"/>
    <xf numFmtId="49" fontId="5" fillId="0" borderId="0" pivotButton="0" quotePrefix="0" xfId="0"/>
    <xf numFmtId="166" fontId="4" fillId="3" borderId="0" pivotButton="0" quotePrefix="0" xfId="0"/>
    <xf numFmtId="170" fontId="6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Testahil — Electro Cable Egypt Co. S.A.E. (EGX: ELEC)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Companion model · Independent Valuation Study · Educational analysis · Not investment advice</t>
        </is>
      </c>
    </row>
    <row r="4">
      <c r="A4" s="3" t="inlineStr"/>
    </row>
    <row r="5">
      <c r="A5" s="3" t="inlineStr">
        <is>
          <t>What this workbook is. A transparent companion to the ELEC valuation study. Every blue cell is an input; every</t>
        </is>
      </c>
    </row>
    <row r="6">
      <c r="A6" s="3" t="inlineStr">
        <is>
          <t>black cell is a formula; green cells link across sheets. All inputs live on the Assumptions sheet — change one</t>
        </is>
      </c>
    </row>
    <row r="7">
      <c r="A7" s="3" t="inlineStr">
        <is>
          <t>(volumes, copper, the EGP path, conversion EBITDA per tonne, the working-capital intensity, the net-debt</t>
        </is>
      </c>
    </row>
    <row r="8">
      <c r="A8" s="3" t="inlineStr">
        <is>
          <t>anchor) and the whole model reprices. The forecast is a bottom-up TONNAGE build: revenue = volume x (LME x</t>
        </is>
      </c>
    </row>
    <row r="9">
      <c r="A9" s="3" t="inlineStr">
        <is>
          <t>EGP x 1.387 fabrication uplift); EBITDA = volume x conversion EBITDA/t. Margins are outputs, not inputs.</t>
        </is>
      </c>
    </row>
    <row r="10">
      <c r="A10" s="3" t="inlineStr"/>
    </row>
    <row r="11">
      <c r="A11" s="3" t="inlineStr">
        <is>
          <t>What it is not. It is not investment advice, a recommendation, or a price target. Values are model outputs</t>
        </is>
      </c>
    </row>
    <row r="12">
      <c r="A12" s="3" t="inlineStr">
        <is>
          <t>shown as ranges. The preparer is not licensed by any securities regulator and may hold a position.</t>
        </is>
      </c>
    </row>
    <row r="13">
      <c r="A13" s="3" t="inlineStr"/>
    </row>
    <row r="14">
      <c r="A14" s="3" t="inlineStr">
        <is>
          <t>Sourcing note, up front. ELEC's audited statements were unreachable through available channels. Headline</t>
        </is>
      </c>
    </row>
    <row r="15">
      <c r="A15" s="3" t="inlineStr">
        <is>
          <t>revenue/profit/assets are multiply-sourced from bourse-disclosure reporting; several lines (interest, capex,</t>
        </is>
      </c>
    </row>
    <row r="16">
      <c r="A16" s="3" t="inlineStr">
        <is>
          <t>the working-capital split, the FY25 net-debt anchor) are DERIVED — each is annotated where it appears and</t>
        </is>
      </c>
    </row>
    <row r="17">
      <c r="A17" s="3" t="inlineStr">
        <is>
          <t>listed with source and date in the companion Source Register document. FY2024, the one fully-triangulated</t>
        </is>
      </c>
    </row>
    <row r="18">
      <c r="A18" s="3" t="inlineStr">
        <is>
          <t>year, closes to the reported net profit within 0.8% using the derived lines.</t>
        </is>
      </c>
    </row>
    <row r="19">
      <c r="A19" s="3" t="inlineStr"/>
    </row>
    <row r="20">
      <c r="A20" s="3" t="inlineStr">
        <is>
          <t>Discount convention. Each explicit year is discounted at its own forward WACC, gliding 21.5% -&gt; 15.0% on the</t>
        </is>
      </c>
    </row>
    <row r="21">
      <c r="A21" s="3" t="inlineStr">
        <is>
          <t>same easing calendar as the interest forecast; the terminal value is capitalised at the terminal WACC and</t>
        </is>
      </c>
    </row>
    <row r="22">
      <c r="A22" s="3" t="inlineStr">
        <is>
          <t>discounted at the year-5 cumulative factor. One date, one price of time.</t>
        </is>
      </c>
    </row>
    <row r="23">
      <c r="A23" s="3" t="inlineStr"/>
    </row>
    <row r="24">
      <c r="A24" s="3" t="inlineStr">
        <is>
          <t>Currency. EGP million unless stated. Spot EGP 2.08 (2026-09-03 close). Sheets: Summary · Fundamental</t>
        </is>
      </c>
    </row>
    <row r="25">
      <c r="A25" s="3" t="inlineStr">
        <is>
          <t>Valuation · Assumptions · SOTP Bridge · Segments · Relative &amp; Normalized · DCF · Income Statement ·</t>
        </is>
      </c>
    </row>
    <row r="26">
      <c r="A26" s="3" t="inlineStr">
        <is>
          <t>Balance Sheet · Cash Flow · Summary Financials · Monte Carlo · Sensitivity · Per-Share &amp; Ratios · Peer &amp; Sector.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Valuation summary — Electro Cable Egypt (EGX: ELEC)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Four-lens fair value vs spot. Base cells link live; bear/bull are engine scenario outputs (study §1.5).</t>
        </is>
      </c>
    </row>
    <row r="5">
      <c r="B5" s="5" t="inlineStr">
        <is>
          <t>Bear</t>
        </is>
      </c>
      <c r="C5" s="5" t="inlineStr">
        <is>
          <t>Base</t>
        </is>
      </c>
      <c r="D5" s="5" t="inlineStr">
        <is>
          <t>Bull</t>
        </is>
      </c>
      <c r="E5" s="5" t="inlineStr">
        <is>
          <t>Weight</t>
        </is>
      </c>
    </row>
    <row r="6">
      <c r="A6" s="6" t="inlineStr">
        <is>
          <t>FCFF DCF (glide schedule)</t>
        </is>
      </c>
      <c r="B6" s="7" t="n">
        <v>0.01</v>
      </c>
      <c r="C6" s="8">
        <f>DCF!B33</f>
        <v/>
      </c>
      <c r="D6" s="7" t="n">
        <v>1.02</v>
      </c>
      <c r="E6" s="9">
        <f>Assumptions!B35</f>
        <v/>
      </c>
    </row>
    <row r="7">
      <c r="A7" s="6" t="inlineStr">
        <is>
          <t>Relative (EV/EBITDA)</t>
        </is>
      </c>
      <c r="B7" s="7" t="n">
        <v>0.05</v>
      </c>
      <c r="C7" s="8">
        <f>'Relative &amp; Normalized'!C6</f>
        <v/>
      </c>
      <c r="D7" s="7" t="n">
        <v>0.05</v>
      </c>
      <c r="E7" s="9">
        <f>Assumptions!B36</f>
        <v/>
      </c>
    </row>
    <row r="8">
      <c r="A8" s="6" t="inlineStr">
        <is>
          <t>Normalized earnings</t>
        </is>
      </c>
      <c r="B8" s="7" t="n">
        <v>0.24</v>
      </c>
      <c r="C8" s="8">
        <f>'Relative &amp; Normalized'!C7</f>
        <v/>
      </c>
      <c r="D8" s="7" t="n">
        <v>1.36</v>
      </c>
      <c r="E8" s="9">
        <f>Assumptions!B37</f>
        <v/>
      </c>
    </row>
    <row r="9">
      <c r="A9" s="6" t="inlineStr">
        <is>
          <t>Book / replacement</t>
        </is>
      </c>
      <c r="B9" s="7" t="n">
        <v>0.48</v>
      </c>
      <c r="C9" s="8">
        <f>'Relative &amp; Normalized'!C9</f>
        <v/>
      </c>
      <c r="D9" s="7" t="n">
        <v>1.33</v>
      </c>
      <c r="E9" s="9">
        <f>Assumptions!B38</f>
        <v/>
      </c>
    </row>
    <row r="10">
      <c r="A10" s="10" t="inlineStr">
        <is>
          <t>Weighted central</t>
        </is>
      </c>
      <c r="B10" s="11">
        <f>SUMPRODUCT(B6:B9,$E$6:$E$9)</f>
        <v/>
      </c>
      <c r="C10" s="11">
        <f>SUMPRODUCT(C6:C9,$E$6:$E$9)</f>
        <v/>
      </c>
      <c r="D10" s="11">
        <f>SUMPRODUCT(D6:D9,$E$6:$E$9)</f>
        <v/>
      </c>
    </row>
    <row r="12">
      <c r="A12" s="6" t="inlineStr">
        <is>
          <t>Spot price (EGP)</t>
        </is>
      </c>
      <c r="B12" s="8">
        <f>Assumptions!B5</f>
        <v/>
      </c>
    </row>
    <row r="13">
      <c r="A13" s="6" t="inlineStr">
        <is>
          <t>Upside / (downside) to central base</t>
        </is>
      </c>
      <c r="B13" s="12">
        <f>C10/Assumptions!B5-1</f>
        <v/>
      </c>
    </row>
    <row r="14">
      <c r="A14" s="6" t="inlineStr">
        <is>
          <t>Terminal value share of DCF enterprise value</t>
        </is>
      </c>
      <c r="B14" s="9">
        <f>DCF!B27</f>
        <v/>
      </c>
    </row>
    <row r="16">
      <c r="A16" s="13" t="inlineStr">
        <is>
          <t>Read: meaningfully overvalued — the price capitalises devaluation-era earnings; the swing factors are working-capital collection, margin normalisation, and the easing path.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Fundamental valuation — football-field data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Bear/base/bull per lens (links to Summary).</t>
        </is>
      </c>
    </row>
    <row r="5">
      <c r="A5" s="5" t="inlineStr">
        <is>
          <t>Lens</t>
        </is>
      </c>
      <c r="B5" s="5" t="inlineStr">
        <is>
          <t>Bear</t>
        </is>
      </c>
      <c r="C5" s="5" t="inlineStr">
        <is>
          <t>Base</t>
        </is>
      </c>
      <c r="D5" s="5" t="inlineStr">
        <is>
          <t>Bull</t>
        </is>
      </c>
    </row>
    <row r="6">
      <c r="A6" s="14" t="inlineStr">
        <is>
          <t>FCFF DCF (glide schedule)</t>
        </is>
      </c>
      <c r="B6" s="8">
        <f>Summary!B6</f>
        <v/>
      </c>
      <c r="C6" s="8">
        <f>Summary!C6</f>
        <v/>
      </c>
      <c r="D6" s="8">
        <f>Summary!D6</f>
        <v/>
      </c>
    </row>
    <row r="7">
      <c r="A7" s="14" t="inlineStr">
        <is>
          <t>Relative (EV/EBITDA)</t>
        </is>
      </c>
      <c r="B7" s="8">
        <f>Summary!B7</f>
        <v/>
      </c>
      <c r="C7" s="8">
        <f>Summary!C7</f>
        <v/>
      </c>
      <c r="D7" s="8">
        <f>Summary!D7</f>
        <v/>
      </c>
    </row>
    <row r="8">
      <c r="A8" s="14" t="inlineStr">
        <is>
          <t>Normalized earnings</t>
        </is>
      </c>
      <c r="B8" s="8">
        <f>Summary!B8</f>
        <v/>
      </c>
      <c r="C8" s="8">
        <f>Summary!C8</f>
        <v/>
      </c>
      <c r="D8" s="8">
        <f>Summary!D8</f>
        <v/>
      </c>
    </row>
    <row r="9">
      <c r="A9" s="14" t="inlineStr">
        <is>
          <t>Book / replacement</t>
        </is>
      </c>
      <c r="B9" s="8">
        <f>Summary!B9</f>
        <v/>
      </c>
      <c r="C9" s="8">
        <f>Summary!C9</f>
        <v/>
      </c>
      <c r="D9" s="8">
        <f>Summary!D9</f>
        <v/>
      </c>
    </row>
    <row r="10">
      <c r="A10" s="10" t="inlineStr">
        <is>
          <t>Weighted central</t>
        </is>
      </c>
      <c r="B10" s="15">
        <f>Summary!B10</f>
        <v/>
      </c>
      <c r="C10" s="15">
        <f>Summary!C10</f>
        <v/>
      </c>
      <c r="D10" s="15">
        <f>Summary!D10</f>
        <v/>
      </c>
    </row>
    <row r="11">
      <c r="A11" s="6" t="inlineStr">
        <is>
          <t>Spot</t>
        </is>
      </c>
      <c r="B11" s="8">
        <f>Assumptions!B5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  <col width="12" customWidth="1" min="9" max="9"/>
  </cols>
  <sheetData>
    <row r="1">
      <c r="A1" s="1" t="inlineStr">
        <is>
          <t>Assumptions — the single input layer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All blue cells are inputs. Every other sheet links here.</t>
        </is>
      </c>
    </row>
    <row r="4">
      <c r="A4" s="16" t="inlineStr">
        <is>
          <t>ANCHORS</t>
        </is>
      </c>
    </row>
    <row r="5">
      <c r="A5" s="6" t="inlineStr">
        <is>
          <t>Spot price (EGP/share)</t>
        </is>
      </c>
      <c r="B5" s="7" t="n">
        <v>2.08</v>
      </c>
      <c r="C5" s="13" t="inlineStr">
        <is>
          <t>2026-09-03 close, uploaded EGX history</t>
        </is>
      </c>
    </row>
    <row r="6">
      <c r="A6" s="6" t="inlineStr">
        <is>
          <t>Shares outstanding (mn)</t>
        </is>
      </c>
      <c r="B6" s="17" t="n">
        <v>3313.540373</v>
      </c>
      <c r="C6" s="13" t="inlineStr">
        <is>
          <t>Mubasher paid-in capital 662,708,074.60 / par 0.20; EPS arithmetic confirms</t>
        </is>
      </c>
    </row>
    <row r="7">
      <c r="A7" s="6" t="inlineStr">
        <is>
          <t>Tax rate</t>
        </is>
      </c>
      <c r="B7" s="18" t="n">
        <v>0.225</v>
      </c>
      <c r="C7" s="13" t="inlineStr">
        <is>
          <t>PwC Tax Summaries Egypt — 22.5% unchanged</t>
        </is>
      </c>
    </row>
    <row r="8">
      <c r="A8" s="16" t="inlineStr">
        <is>
          <t>COST OF CAPITAL — sovereign double-count removed; sliding schedule below</t>
        </is>
      </c>
    </row>
    <row r="9">
      <c r="A9" s="6" t="inlineStr">
        <is>
          <t>Egypt 10Y local yield (observed)</t>
        </is>
      </c>
      <c r="B9" s="18" t="n">
        <v>0.2231</v>
      </c>
      <c r="C9" s="13" t="inlineStr">
        <is>
          <t>investing.com print 21-Jul-2026; May-26 window avg 21.3% corroborates</t>
        </is>
      </c>
    </row>
    <row r="10">
      <c r="A10" s="6" t="inlineStr">
        <is>
          <t>Sovereign default spread (CDS-implied)</t>
        </is>
      </c>
      <c r="B10" s="18" t="n">
        <v>0.034</v>
      </c>
      <c r="C10" s="13" t="inlineStr">
        <is>
          <t>Damodaran Jan-2026 original file; market 5Y CDS ~330bp May-26</t>
        </is>
      </c>
    </row>
    <row r="11">
      <c r="A11" s="6" t="inlineStr">
        <is>
          <t>rf* for the equity build</t>
        </is>
      </c>
      <c r="B11" s="12">
        <f>B9-B10</f>
        <v/>
      </c>
    </row>
    <row r="12">
      <c r="A12" s="6" t="inlineStr">
        <is>
          <t>ERP — Egypt, CDS-based (primary)</t>
        </is>
      </c>
      <c r="B12" s="18" t="n">
        <v>0.0941</v>
      </c>
      <c r="C12" s="13" t="inlineStr">
        <is>
          <t>Damodaran ORIGINAL ctryprem, Egypt row, Jan-2026 (rating basis 13.94% in sensitivity)</t>
        </is>
      </c>
    </row>
    <row r="13">
      <c r="A13" s="6" t="inlineStr">
        <is>
          <t>Beta (own weekly regression, 5yr)</t>
        </is>
      </c>
      <c r="B13" s="7" t="n">
        <v>0.964</v>
      </c>
      <c r="C13" s="13" t="inlineStr">
        <is>
          <t>vs 30-name equal-weight EGX composite: R2 0.222, n=257, SE 0.113, CI90 [0.78,1.15]</t>
        </is>
      </c>
    </row>
    <row r="14">
      <c r="A14" s="6" t="inlineStr">
        <is>
          <t>Ke = rf* + beta × ERP</t>
        </is>
      </c>
      <c r="B14" s="12">
        <f>B11+B13*B12</f>
        <v/>
      </c>
    </row>
    <row r="15">
      <c r="A15" s="6" t="inlineStr">
        <is>
          <t>Kd pre-tax (marginal EGP)</t>
        </is>
      </c>
      <c r="B15" s="18" t="n">
        <v>0.22</v>
      </c>
      <c r="C15" s="13" t="inlineStr">
        <is>
          <t>Corridor + credit margin; effective-rate checks 23.5% (FY24) / 22.1% (FY25, triangulated debt path) inside 150bp</t>
        </is>
      </c>
    </row>
    <row r="16">
      <c r="A16" s="6" t="inlineStr">
        <is>
          <t>Kd after tax</t>
        </is>
      </c>
      <c r="B16" s="12">
        <f>B15*(1-B7)</f>
        <v/>
      </c>
    </row>
    <row r="17">
      <c r="A17" s="6" t="inlineStr">
        <is>
          <t>Market cap (spot × shares)</t>
        </is>
      </c>
      <c r="B17" s="6">
        <f>B5*B6</f>
        <v/>
      </c>
    </row>
    <row r="18">
      <c r="A18" s="6" t="inlineStr">
        <is>
          <t>Total debt for weights (FY25, triangulated)</t>
        </is>
      </c>
      <c r="B18" s="17" t="n">
        <v>10465</v>
      </c>
      <c r="C18" s="13" t="inlineStr">
        <is>
          <t>Balance-sheet residual: disclosed assets 16,460 − rolled equity 4,100 − non-debt liabilities ~1,890; = 96% of the disclosed 10.9bn facilities</t>
        </is>
      </c>
    </row>
    <row r="19">
      <c r="A19" s="6" t="inlineStr">
        <is>
          <t>Equity weight E/(D+E)</t>
        </is>
      </c>
      <c r="B19" s="12">
        <f>B17/(B17+B18)</f>
        <v/>
      </c>
    </row>
    <row r="20">
      <c r="A20" s="19" t="inlineStr">
        <is>
          <t>WACC — explicit window</t>
        </is>
      </c>
      <c r="B20" s="20">
        <f>B19*B14+(1-B19)*B16</f>
        <v/>
      </c>
    </row>
    <row r="21">
      <c r="A21" s="6" t="inlineStr">
        <is>
          <t>Terminal rf (norm-built)</t>
        </is>
      </c>
      <c r="B21" s="18" t="n">
        <v>0.105</v>
      </c>
      <c r="C21" s="13" t="inlineStr">
        <is>
          <t>House terminal inflation 7.00% + the 3.5pp real-rate convention (engine/macro_paths/EG.json)</t>
        </is>
      </c>
    </row>
    <row r="22">
      <c r="A22" s="6" t="inlineStr">
        <is>
          <t>Terminal ERP (normalised)</t>
        </is>
      </c>
      <c r="B22" s="18" t="n">
        <v>0.07000000000000001</v>
      </c>
      <c r="C22" s="13" t="inlineStr">
        <is>
          <t>Below the crisis-era 9.41%, toward the B-rating norm</t>
        </is>
      </c>
    </row>
    <row r="23">
      <c r="A23" s="6" t="inlineStr">
        <is>
          <t>Terminal Ke</t>
        </is>
      </c>
      <c r="B23" s="12">
        <f>B21+B13*B22</f>
        <v/>
      </c>
    </row>
    <row r="24">
      <c r="A24" s="6" t="inlineStr">
        <is>
          <t>Terminal Kd</t>
        </is>
      </c>
      <c r="B24" s="18" t="n">
        <v>0.15</v>
      </c>
      <c r="C24" s="13" t="inlineStr">
        <is>
          <t>Egyptian long-run corporate norm 14-16%, midpoint</t>
        </is>
      </c>
    </row>
    <row r="25">
      <c r="A25" s="19" t="inlineStr">
        <is>
          <t>WACC — terminal (normalized structure, see B56)</t>
        </is>
      </c>
      <c r="B25" s="20">
        <f>(1-$B$56)*B23+$B$56*B24*(1-B7)</f>
        <v/>
      </c>
    </row>
    <row r="26">
      <c r="A26" s="6" t="inlineStr">
        <is>
          <t>Terminal growth g</t>
        </is>
      </c>
      <c r="B26" s="18" t="n">
        <v>0.07000000000000006</v>
      </c>
      <c r="C26" s="13" t="inlineStr">
        <is>
          <t>DERIVED, not typed: zero stated real growth on the house terminal inflation of 7.00% (engine/macro_paths/EG.json)</t>
        </is>
      </c>
    </row>
    <row r="27">
      <c r="A27" s="16" t="inlineStr">
        <is>
          <t>BRIDGE</t>
        </is>
      </c>
    </row>
    <row r="28">
      <c r="A28" s="6" t="inlineStr">
        <is>
          <t>Net debt (FY25, triangulated)</t>
        </is>
      </c>
      <c r="B28" s="17" t="n">
        <v>9805</v>
      </c>
      <c r="C28" s="13" t="inlineStr">
        <is>
          <t>Roll-forward from FY24 audited comparatives: drawn debt 10,465 − cash ~665; two methods agree ~9,800, facilities-as-drawn 10,235 is the upper check; range 9,120-10,360 (~±EGP 0.19/sh) — see study §1.6</t>
        </is>
      </c>
    </row>
    <row r="29">
      <c r="A29" s="6" t="inlineStr">
        <is>
          <t>Non-controlling interests</t>
        </is>
      </c>
      <c r="B29" s="17" t="n">
        <v>0</v>
      </c>
      <c r="C29" s="13" t="inlineStr">
        <is>
          <t>Consolidated-vs-attributable gap ~1.1mn FY25 — immaterial</t>
        </is>
      </c>
    </row>
    <row r="30">
      <c r="A30" s="16" t="inlineStr">
        <is>
          <t>LENS INPUTS</t>
        </is>
      </c>
    </row>
    <row r="31">
      <c r="A31" s="6" t="inlineStr">
        <is>
          <t>EV/EBITDA multiple (base)</t>
        </is>
      </c>
      <c r="B31" s="21" t="n">
        <v>5.5</v>
      </c>
      <c r="C31" s="13" t="inlineStr">
        <is>
          <t>SWDY ~7.1x COMPUTED from its FY25 filing (prior 6.0x aggregator print did not reproduce); discount for leverage/concentration</t>
        </is>
      </c>
    </row>
    <row r="32">
      <c r="A32" s="6" t="inlineStr">
        <is>
          <t>Normalized P/E (base)</t>
        </is>
      </c>
      <c r="B32" s="21" t="n">
        <v>6.5</v>
      </c>
      <c r="C32" s="13" t="inlineStr">
        <is>
          <t>SWDY 11.3x COMPUTED (prior 10.4x did not reproduce); ~42% discount held deliberately deep</t>
        </is>
      </c>
    </row>
    <row r="33">
      <c r="A33" s="6" t="inlineStr">
        <is>
          <t>Sustainable ROE (book lens)</t>
        </is>
      </c>
      <c r="B33" s="18" t="n">
        <v>0.14</v>
      </c>
      <c r="C33" s="13" t="inlineStr">
        <is>
          <t>Normalized NP ~700 on ~4.6-5bn book</t>
        </is>
      </c>
    </row>
    <row r="34">
      <c r="A34" s="6" t="inlineStr">
        <is>
          <t>Equity FY25e (book, derived)</t>
        </is>
      </c>
      <c r="B34" s="17" t="n">
        <v>4100</v>
      </c>
      <c r="C34" s="13" t="inlineStr">
        <is>
          <t>FY24 equity 3,600 + FY25 NP 500.3, no dividends</t>
        </is>
      </c>
    </row>
    <row r="35">
      <c r="A35" s="6" t="inlineStr">
        <is>
          <t>Weight: DCF</t>
        </is>
      </c>
      <c r="B35" s="18" t="n">
        <v>0.4</v>
      </c>
    </row>
    <row r="36">
      <c r="A36" s="6" t="inlineStr">
        <is>
          <t>Weight: Relative</t>
        </is>
      </c>
      <c r="B36" s="18" t="n">
        <v>0.2</v>
      </c>
    </row>
    <row r="37">
      <c r="A37" s="6" t="inlineStr">
        <is>
          <t>Weight: Normalized</t>
        </is>
      </c>
      <c r="B37" s="18" t="n">
        <v>0.2</v>
      </c>
    </row>
    <row r="38">
      <c r="A38" s="6" t="inlineStr">
        <is>
          <t>Weight: Book</t>
        </is>
      </c>
      <c r="B38" s="18" t="n">
        <v>0.2</v>
      </c>
    </row>
    <row r="39">
      <c r="A39" s="16" t="inlineStr">
        <is>
          <t>FORECAST DRIVERS (FY26E-FY30E)</t>
        </is>
      </c>
    </row>
    <row r="40">
      <c r="A40" s="19" t="inlineStr">
        <is>
          <t>Driver \ year</t>
        </is>
      </c>
      <c r="C40" s="5" t="inlineStr">
        <is>
          <t>FY26E</t>
        </is>
      </c>
      <c r="D40" s="5" t="inlineStr">
        <is>
          <t>FY27E</t>
        </is>
      </c>
      <c r="E40" s="5" t="inlineStr">
        <is>
          <t>FY28E</t>
        </is>
      </c>
      <c r="F40" s="5" t="inlineStr">
        <is>
          <t>FY29E</t>
        </is>
      </c>
      <c r="G40" s="5" t="inlineStr">
        <is>
          <t>FY30E</t>
        </is>
      </c>
    </row>
    <row r="41">
      <c r="A41" s="6" t="inlineStr">
        <is>
          <t>Volume (kt)</t>
        </is>
      </c>
      <c r="C41" s="22" t="n">
        <v>10.4</v>
      </c>
      <c r="D41" s="22" t="n">
        <v>11.9</v>
      </c>
      <c r="E41" s="22" t="n">
        <v>13.4</v>
      </c>
      <c r="F41" s="22" t="n">
        <v>14.8</v>
      </c>
      <c r="G41" s="22" t="n">
        <v>16</v>
      </c>
      <c r="H41" s="13" t="inlineStr">
        <is>
          <t>Q1-26 implied ~2.4kt/qtr sets FY26E (~42% util.); recovery to 64% by FY30E on the grid-capex cycle</t>
        </is>
      </c>
    </row>
    <row r="42">
      <c r="A42" s="6" t="inlineStr">
        <is>
          <t>LME copper (USD/t)</t>
        </is>
      </c>
      <c r="C42" s="23" t="n">
        <v>14000</v>
      </c>
      <c r="D42" s="23" t="n">
        <v>14000</v>
      </c>
      <c r="E42" s="23" t="n">
        <v>14000</v>
      </c>
      <c r="F42" s="23" t="n">
        <v>14000</v>
      </c>
      <c r="G42" s="23" t="n">
        <v>14000</v>
      </c>
      <c r="H42" s="13" t="inlineStr">
        <is>
          <t>Flat at the CURRENT market (~$14.0k LME cash 3-4 Aug-26); the -10% sensitivity (=12.6k) is the mean-reversion case</t>
        </is>
      </c>
    </row>
    <row r="43">
      <c r="A43" s="6" t="inlineStr">
        <is>
          <t>EGP/USD (avg)</t>
        </is>
      </c>
      <c r="C43" s="22" t="n">
        <v>50.4</v>
      </c>
      <c r="D43" s="22" t="n">
        <v>52</v>
      </c>
      <c r="E43" s="22" t="n">
        <v>53.5</v>
      </c>
      <c r="F43" s="22" t="n">
        <v>55</v>
      </c>
      <c r="G43" s="22" t="n">
        <v>56.5</v>
      </c>
      <c r="H43" s="13" t="inlineStr">
        <is>
          <t>~3%/yr crawl; inflation differential narrows as CBE targets bite</t>
        </is>
      </c>
    </row>
    <row r="44">
      <c r="A44" s="6" t="inlineStr">
        <is>
          <t>Conversion EBITDA per tonne (k EGP/t)</t>
        </is>
      </c>
      <c r="C44" s="24" t="n">
        <v>40</v>
      </c>
      <c r="D44" s="24" t="n">
        <v>90</v>
      </c>
      <c r="E44" s="24" t="n">
        <v>115</v>
      </c>
      <c r="F44" s="24" t="n">
        <v>128</v>
      </c>
      <c r="G44" s="24" t="n">
        <v>135</v>
      </c>
      <c r="H44" s="13" t="inlineStr">
        <is>
          <t>Hist: 111 (FY23), 146 (FY24), 182 (FY25, copper-gain inflated), 11 (Q1-26). FY30E 13.7% of price = pre-windfall 2022 norm</t>
        </is>
      </c>
    </row>
    <row r="45">
      <c r="A45" s="6" t="inlineStr">
        <is>
          <t>Capex (EGP mn)</t>
        </is>
      </c>
      <c r="C45" s="23" t="n">
        <v>225</v>
      </c>
      <c r="D45" s="23" t="n">
        <v>243</v>
      </c>
      <c r="E45" s="23" t="n">
        <v>262</v>
      </c>
      <c r="F45" s="23" t="n">
        <v>283</v>
      </c>
      <c r="G45" s="23" t="n">
        <v>306</v>
      </c>
      <c r="H45" s="13" t="inlineStr">
        <is>
          <t>Maintenance ~EGP 9k per tonne of 25kt capacity, escalated ~8%/yr</t>
        </is>
      </c>
    </row>
    <row r="46">
      <c r="A46" s="6" t="inlineStr">
        <is>
          <t>D&amp;A (% of revenue)</t>
        </is>
      </c>
      <c r="C46" s="18" t="n">
        <v>0.013</v>
      </c>
      <c r="D46" s="18" t="n">
        <v>0.013</v>
      </c>
      <c r="E46" s="18" t="n">
        <v>0.013</v>
      </c>
      <c r="F46" s="18" t="n">
        <v>0.013</v>
      </c>
      <c r="G46" s="18" t="n">
        <v>0.013</v>
      </c>
    </row>
    <row r="47">
      <c r="A47" s="6" t="inlineStr">
        <is>
          <t>Net working capital (% of revenue)</t>
        </is>
      </c>
      <c r="C47" s="18" t="n">
        <v>1.12</v>
      </c>
      <c r="D47" s="18" t="n">
        <v>1.06</v>
      </c>
      <c r="E47" s="18" t="n">
        <v>1</v>
      </c>
      <c r="F47" s="18" t="n">
        <v>0.9399999999999999</v>
      </c>
      <c r="G47" s="18" t="n">
        <v>0.88</v>
      </c>
      <c r="H47" s="13" t="inlineStr">
        <is>
          <t>From ~113% FY25e; NOT full reversion to FY24 76%</t>
        </is>
      </c>
    </row>
    <row r="48">
      <c r="A48" s="6" t="inlineStr">
        <is>
          <t>Forward Kd path</t>
        </is>
      </c>
      <c r="C48" s="18" t="n">
        <v>0.22</v>
      </c>
      <c r="D48" s="18" t="n">
        <v>0.2</v>
      </c>
      <c r="E48" s="18" t="n">
        <v>0.185</v>
      </c>
      <c r="F48" s="18" t="n">
        <v>0.168</v>
      </c>
      <c r="G48" s="18" t="n">
        <v>0.155</v>
      </c>
      <c r="H48" s="13" t="inlineStr">
        <is>
          <t>CBE easing resumption; sets the WACC glide shape</t>
        </is>
      </c>
    </row>
    <row r="49">
      <c r="A49" s="6" t="inlineStr">
        <is>
          <t>Glide fraction (from the Kd path)</t>
        </is>
      </c>
      <c r="C49" s="12">
        <f>($C$48-C48)/($C$48-$G$48)</f>
        <v/>
      </c>
      <c r="D49" s="12">
        <f>($C$48-D48)/($C$48-$G$48)</f>
        <v/>
      </c>
      <c r="E49" s="12">
        <f>($C$48-E48)/($C$48-$G$48)</f>
        <v/>
      </c>
      <c r="F49" s="12">
        <f>($C$48-F48)/($C$48-$G$48)</f>
        <v/>
      </c>
      <c r="G49" s="12">
        <f>($C$48-G48)/($C$48-$G$48)</f>
        <v/>
      </c>
    </row>
    <row r="50">
      <c r="A50" s="6" t="inlineStr">
        <is>
          <t>Forward WACC (that year)</t>
        </is>
      </c>
      <c r="C50" s="12">
        <f>$B$20-($B$20-$B$25)*C49</f>
        <v/>
      </c>
      <c r="D50" s="12">
        <f>$B$20-($B$20-$B$25)*D49</f>
        <v/>
      </c>
      <c r="E50" s="12">
        <f>$B$20-($B$20-$B$25)*E49</f>
        <v/>
      </c>
      <c r="F50" s="12">
        <f>$B$20-($B$20-$B$25)*F49</f>
        <v/>
      </c>
      <c r="G50" s="12">
        <f>$B$20-($B$20-$B$25)*G49</f>
        <v/>
      </c>
    </row>
    <row r="51">
      <c r="A51" s="6" t="inlineStr">
        <is>
          <t>Cumulative discount factor</t>
        </is>
      </c>
      <c r="C51" s="25">
        <f>1/(1+C50)</f>
        <v/>
      </c>
      <c r="D51" s="25">
        <f>C51/(1+D50)</f>
        <v/>
      </c>
      <c r="E51" s="25">
        <f>D51/(1+E50)</f>
        <v/>
      </c>
      <c r="F51" s="25">
        <f>E51/(1+F50)</f>
        <v/>
      </c>
      <c r="G51" s="25">
        <f>F51/(1+G50)</f>
        <v/>
      </c>
    </row>
    <row r="52">
      <c r="A52" s="16" t="inlineStr">
        <is>
          <t>BASE-YEAR ANCHORS (FY2025)</t>
        </is>
      </c>
    </row>
    <row r="53">
      <c r="A53" s="6" t="inlineStr">
        <is>
          <t>Revenue FY25</t>
        </is>
      </c>
      <c r="B53" s="17" t="n">
        <v>10819</v>
      </c>
      <c r="C53" s="13" t="inlineStr">
        <is>
          <t>Arab Finance/Zawya FY2025 results</t>
        </is>
      </c>
    </row>
    <row r="54">
      <c r="A54" s="6" t="inlineStr">
        <is>
          <t>Net working capital FY25 (derived)</t>
        </is>
      </c>
      <c r="B54" s="17" t="n">
        <v>12245</v>
      </c>
      <c r="C54" s="13" t="inlineStr">
        <is>
          <t>~113% of FY25 revenue — construction in study §1.6</t>
        </is>
      </c>
    </row>
    <row r="55">
      <c r="A55" s="6" t="inlineStr">
        <is>
          <t>Fabrication uplift k (price/t ÷ copper cost/t)</t>
        </is>
      </c>
      <c r="B55" s="26" t="n">
        <v>1.387</v>
      </c>
      <c r="C55" s="13" t="inlineStr">
        <is>
          <t>Copper ~72% of cable price (industry norm); FY24 back-solves to 24.0kt = 96% of capacity — the validation</t>
        </is>
      </c>
    </row>
    <row r="56">
      <c r="A56" s="6" t="inlineStr">
        <is>
          <t>Terminal debt weight D/(D+E)</t>
        </is>
      </c>
      <c r="B56" s="18" t="n">
        <v>0.4</v>
      </c>
      <c r="C56" s="13" t="inlineStr">
        <is>
          <t>NORMALIZED structure — not today’s ~60% distress weight (circular into perpetuity); conservative direction</t>
        </is>
      </c>
    </row>
    <row r="57">
      <c r="A57" s="6" t="inlineStr">
        <is>
          <t>Capacity (kt/yr)</t>
        </is>
      </c>
      <c r="B57" s="22" t="n">
        <v>25</v>
      </c>
      <c r="C57" s="13" t="inlineStr">
        <is>
          <t>Company profile via IATF page — single-sourced, possibly parent-only; utilization indicative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EV → equity bridge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Single-business company: the bridge is the DCF EV less net claims. Links to DCF / Assumptions.</t>
        </is>
      </c>
    </row>
    <row r="5">
      <c r="A5" s="10" t="inlineStr">
        <is>
          <t>Core enterprise value (DCF)</t>
        </is>
      </c>
      <c r="B5" s="27">
        <f>DCF!B26</f>
        <v/>
      </c>
    </row>
    <row r="6">
      <c r="A6" s="14" t="inlineStr">
        <is>
          <t>+ Surplus / non-core assets</t>
        </is>
      </c>
      <c r="B6" s="6" t="n">
        <v>0</v>
      </c>
    </row>
    <row r="7">
      <c r="A7" s="14" t="inlineStr">
        <is>
          <t>− Net debt (FY25: triangulated — study §1.6)</t>
        </is>
      </c>
      <c r="B7" s="28">
        <f>-Assumptions!B28</f>
        <v/>
      </c>
    </row>
    <row r="8">
      <c r="A8" s="14" t="inlineStr">
        <is>
          <t>− Non-controlling interests</t>
        </is>
      </c>
      <c r="B8" s="28">
        <f>-Assumptions!B29</f>
        <v/>
      </c>
    </row>
    <row r="9">
      <c r="A9" s="10" t="inlineStr">
        <is>
          <t>Equity value — intrinsic (may be negative)</t>
        </is>
      </c>
      <c r="B9" s="27">
        <f>B5+B6+B7+B8</f>
        <v/>
      </c>
    </row>
    <row r="10">
      <c r="A10" s="10" t="inlineStr">
        <is>
          <t>Equity value — floored (limited liability)</t>
        </is>
      </c>
      <c r="B10" s="27">
        <f>MAX(B9,0)</f>
        <v/>
      </c>
    </row>
    <row r="11">
      <c r="A11" s="10" t="inlineStr">
        <is>
          <t>per share (EGP) — floored</t>
        </is>
      </c>
      <c r="B11" s="15">
        <f>MAX(B10/Assumptions!B6,0.01)</f>
        <v/>
      </c>
    </row>
    <row r="12">
      <c r="A12" s="10" t="inlineStr">
        <is>
          <t>Upside / (downside) vs spot</t>
        </is>
      </c>
      <c r="B12" s="29">
        <f>B11/Assumptions!B5-1</f>
        <v/>
      </c>
    </row>
    <row r="14">
      <c r="A14" s="5" t="inlineStr">
        <is>
          <t>Market-implied read (the same bridge run backwards)</t>
        </is>
      </c>
    </row>
    <row r="15">
      <c r="A15" s="6" t="inlineStr">
        <is>
          <t>Market cap at spot</t>
        </is>
      </c>
      <c r="B15" s="28">
        <f>Assumptions!B17</f>
        <v/>
      </c>
    </row>
    <row r="16">
      <c r="A16" s="6" t="inlineStr">
        <is>
          <t>+ Net debt = market-implied EV</t>
        </is>
      </c>
      <c r="B16" s="6">
        <f>B15+Assumptions!B28</f>
        <v/>
      </c>
    </row>
    <row r="17">
      <c r="A17" s="6" t="inlineStr">
        <is>
          <t>Market-implied EV / FY27E EBITDA</t>
        </is>
      </c>
      <c r="B17" s="30">
        <f>B16/Segments!F15</f>
        <v/>
      </c>
    </row>
    <row r="18">
      <c r="A18" s="6" t="inlineStr">
        <is>
          <t>Market-implied EV / FY25 EBITDA (windfall-vintage)</t>
        </is>
      </c>
      <c r="B18" s="30">
        <f>B16/Segments!D15</f>
        <v/>
      </c>
    </row>
    <row r="20">
      <c r="A20" s="13" t="inlineStr">
        <is>
          <t>The market pays a peer-level multiple on windfall-vintage EBITDA — the study’s central observation.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Segment view — the revenue and margin build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Single-segment build (power ~2/3, telecom ~1/3 of revenue — memo estimate; no segment disclosure). Forecast links to Assumptions.</t>
        </is>
      </c>
    </row>
    <row r="4">
      <c r="A4" s="5" t="inlineStr"/>
      <c r="B4" s="5" t="inlineStr">
        <is>
          <t>FY23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14" t="inlineStr">
        <is>
          <t>Volume (kt) — implied hist / driver fwd</t>
        </is>
      </c>
      <c r="B6" s="31" t="n">
        <v>24</v>
      </c>
      <c r="C6" s="31" t="n">
        <v>24</v>
      </c>
      <c r="D6" s="31" t="n">
        <v>15.8</v>
      </c>
      <c r="E6" s="32">
        <f>Assumptions!C41</f>
        <v/>
      </c>
      <c r="F6" s="32">
        <f>Assumptions!D41</f>
        <v/>
      </c>
      <c r="G6" s="32">
        <f>Assumptions!E41</f>
        <v/>
      </c>
      <c r="H6" s="32">
        <f>Assumptions!F41</f>
        <v/>
      </c>
      <c r="I6" s="32">
        <f>Assumptions!G41</f>
        <v/>
      </c>
    </row>
    <row r="7">
      <c r="A7" s="14" t="inlineStr">
        <is>
          <t>Utilization (÷ 25 kt capacity)</t>
        </is>
      </c>
      <c r="B7" s="12">
        <f>B6/Assumptions!$B$57</f>
        <v/>
      </c>
      <c r="C7" s="12">
        <f>C6/Assumptions!$B$57</f>
        <v/>
      </c>
      <c r="D7" s="12">
        <f>D6/Assumptions!$B$57</f>
        <v/>
      </c>
      <c r="E7" s="9">
        <f>E6/Assumptions!$B$57</f>
        <v/>
      </c>
      <c r="F7" s="9">
        <f>F6/Assumptions!$B$57</f>
        <v/>
      </c>
      <c r="G7" s="9">
        <f>G6/Assumptions!$B$57</f>
        <v/>
      </c>
      <c r="H7" s="9">
        <f>H6/Assumptions!$B$57</f>
        <v/>
      </c>
      <c r="I7" s="9">
        <f>I6/Assumptions!$B$57</f>
        <v/>
      </c>
    </row>
    <row r="8">
      <c r="A8" s="14" t="inlineStr">
        <is>
          <t>LME copper (USD/t, avg)</t>
        </is>
      </c>
      <c r="B8" s="23" t="n">
        <v>8478</v>
      </c>
      <c r="C8" s="23" t="n">
        <v>9147</v>
      </c>
      <c r="D8" s="23" t="n">
        <v>10000</v>
      </c>
      <c r="E8" s="33">
        <f>Assumptions!C42</f>
        <v/>
      </c>
      <c r="F8" s="33">
        <f>Assumptions!D42</f>
        <v/>
      </c>
      <c r="G8" s="33">
        <f>Assumptions!E42</f>
        <v/>
      </c>
      <c r="H8" s="33">
        <f>Assumptions!F42</f>
        <v/>
      </c>
      <c r="I8" s="33">
        <f>Assumptions!G42</f>
        <v/>
      </c>
    </row>
    <row r="9">
      <c r="A9" s="14" t="inlineStr">
        <is>
          <t>EGP/USD (avg)</t>
        </is>
      </c>
      <c r="B9" s="22" t="n">
        <v>30.7</v>
      </c>
      <c r="C9" s="22" t="n">
        <v>45.3</v>
      </c>
      <c r="D9" s="22" t="n">
        <v>49.5</v>
      </c>
      <c r="E9" s="32">
        <f>Assumptions!C43</f>
        <v/>
      </c>
      <c r="F9" s="32">
        <f>Assumptions!D43</f>
        <v/>
      </c>
      <c r="G9" s="32">
        <f>Assumptions!E43</f>
        <v/>
      </c>
      <c r="H9" s="32">
        <f>Assumptions!F43</f>
        <v/>
      </c>
      <c r="I9" s="32">
        <f>Assumptions!G43</f>
        <v/>
      </c>
    </row>
    <row r="10">
      <c r="A10" s="14" t="inlineStr">
        <is>
          <t>Price per tonne (EGP, = Cu × EGP × k)</t>
        </is>
      </c>
      <c r="B10" s="34">
        <f>B8*B9*Assumptions!$B$55</f>
        <v/>
      </c>
      <c r="C10" s="34">
        <f>C8*C9*Assumptions!$B$55</f>
        <v/>
      </c>
      <c r="D10" s="34">
        <f>D8*D9*Assumptions!$B$55</f>
        <v/>
      </c>
      <c r="E10" s="33">
        <f>E8*E9*Assumptions!$B$55</f>
        <v/>
      </c>
      <c r="F10" s="33">
        <f>F8*F9*Assumptions!$B$55</f>
        <v/>
      </c>
      <c r="G10" s="33">
        <f>G8*G9*Assumptions!$B$55</f>
        <v/>
      </c>
      <c r="H10" s="33">
        <f>H8*H9*Assumptions!$B$55</f>
        <v/>
      </c>
      <c r="I10" s="33">
        <f>I8*I9*Assumptions!$B$55</f>
        <v/>
      </c>
    </row>
    <row r="11">
      <c r="A11" s="10" t="inlineStr">
        <is>
          <t>Revenue (= volume × price/t)</t>
        </is>
      </c>
      <c r="B11" s="35" t="n">
        <v>8673.4</v>
      </c>
      <c r="C11" s="35" t="n">
        <v>13778.2</v>
      </c>
      <c r="D11" s="35" t="n">
        <v>10819</v>
      </c>
      <c r="E11" s="19">
        <f>E6*E10/1000</f>
        <v/>
      </c>
      <c r="F11" s="19">
        <f>F6*F10/1000</f>
        <v/>
      </c>
      <c r="G11" s="19">
        <f>G6*G10/1000</f>
        <v/>
      </c>
      <c r="H11" s="19">
        <f>H6*H10/1000</f>
        <v/>
      </c>
      <c r="I11" s="19">
        <f>I6*I10/1000</f>
        <v/>
      </c>
    </row>
    <row r="12">
      <c r="A12" s="14" t="inlineStr">
        <is>
          <t xml:space="preserve">  memo: power cables (~2/3, est.)</t>
        </is>
      </c>
      <c r="E12" s="6">
        <f>E11*2/3</f>
        <v/>
      </c>
      <c r="F12" s="6">
        <f>F11*2/3</f>
        <v/>
      </c>
      <c r="G12" s="6">
        <f>G11*2/3</f>
        <v/>
      </c>
      <c r="H12" s="6">
        <f>H11*2/3</f>
        <v/>
      </c>
      <c r="I12" s="6">
        <f>I11*2/3</f>
        <v/>
      </c>
    </row>
    <row r="13">
      <c r="A13" s="14" t="inlineStr">
        <is>
          <t xml:space="preserve">  memo: telecom &amp; other (~1/3, est.)</t>
        </is>
      </c>
      <c r="E13" s="6">
        <f>E11/3</f>
        <v/>
      </c>
      <c r="F13" s="6">
        <f>F11/3</f>
        <v/>
      </c>
      <c r="G13" s="6">
        <f>G11/3</f>
        <v/>
      </c>
      <c r="H13" s="6">
        <f>H11/3</f>
        <v/>
      </c>
      <c r="I13" s="6">
        <f>I11/3</f>
        <v/>
      </c>
    </row>
    <row r="14">
      <c r="A14" s="14" t="inlineStr">
        <is>
          <t>Conversion EBITDA per tonne (k EGP/t)</t>
        </is>
      </c>
      <c r="B14" s="36" t="n">
        <v>111</v>
      </c>
      <c r="C14" s="36" t="n">
        <v>146</v>
      </c>
      <c r="D14" s="36" t="n">
        <v>182</v>
      </c>
      <c r="E14" s="37">
        <f>Assumptions!C44</f>
        <v/>
      </c>
      <c r="F14" s="37">
        <f>Assumptions!D44</f>
        <v/>
      </c>
      <c r="G14" s="37">
        <f>Assumptions!E44</f>
        <v/>
      </c>
      <c r="H14" s="37">
        <f>Assumptions!F44</f>
        <v/>
      </c>
      <c r="I14" s="37">
        <f>Assumptions!G44</f>
        <v/>
      </c>
    </row>
    <row r="15">
      <c r="A15" s="10" t="inlineStr">
        <is>
          <t>EBITDA (= volume × EBITDA/t)</t>
        </is>
      </c>
      <c r="B15" s="35" t="n">
        <v>2661.036380645161</v>
      </c>
      <c r="C15" s="35" t="n">
        <v>3490</v>
      </c>
      <c r="D15" s="35" t="n">
        <v>2871.294290322581</v>
      </c>
      <c r="E15" s="19">
        <f>E6*E14</f>
        <v/>
      </c>
      <c r="F15" s="19">
        <f>F6*F14</f>
        <v/>
      </c>
      <c r="G15" s="19">
        <f>G6*G14</f>
        <v/>
      </c>
      <c r="H15" s="19">
        <f>H6*H14</f>
        <v/>
      </c>
      <c r="I15" s="19">
        <f>I6*I14</f>
        <v/>
      </c>
    </row>
    <row r="16">
      <c r="A16" s="14" t="inlineStr">
        <is>
          <t>EBITDA margin — OUTPUT</t>
        </is>
      </c>
      <c r="B16" s="12">
        <f>B15/B11</f>
        <v/>
      </c>
      <c r="C16" s="12">
        <f>C15/C11</f>
        <v/>
      </c>
      <c r="D16" s="12">
        <f>D15/D11</f>
        <v/>
      </c>
      <c r="E16" s="12">
        <f>E15/E11</f>
        <v/>
      </c>
      <c r="F16" s="12">
        <f>F15/F11</f>
        <v/>
      </c>
      <c r="G16" s="12">
        <f>G15/G11</f>
        <v/>
      </c>
      <c r="H16" s="12">
        <f>H15/H11</f>
        <v/>
      </c>
      <c r="I16" s="12">
        <f>I15/I11</f>
        <v/>
      </c>
    </row>
    <row r="17">
      <c r="A17" s="14" t="inlineStr">
        <is>
          <t>D&amp;A</t>
        </is>
      </c>
      <c r="B17" s="17" t="n">
        <v>60.7138</v>
      </c>
      <c r="C17" s="17" t="n">
        <v>90</v>
      </c>
      <c r="D17" s="17" t="n">
        <v>75.733</v>
      </c>
      <c r="E17" s="28">
        <f>E11*Assumptions!C46</f>
        <v/>
      </c>
      <c r="F17" s="28">
        <f>F11*Assumptions!D46</f>
        <v/>
      </c>
      <c r="G17" s="28">
        <f>G11*Assumptions!E46</f>
        <v/>
      </c>
      <c r="H17" s="28">
        <f>H11*Assumptions!F46</f>
        <v/>
      </c>
      <c r="I17" s="28">
        <f>I11*Assumptions!G46</f>
        <v/>
      </c>
    </row>
    <row r="18">
      <c r="A18" s="10" t="inlineStr">
        <is>
          <t>EBIT</t>
        </is>
      </c>
      <c r="B18" s="35" t="n">
        <v>2600.322580645161</v>
      </c>
      <c r="C18" s="35" t="n">
        <v>3400</v>
      </c>
      <c r="D18" s="35" t="n">
        <v>2795.561290322581</v>
      </c>
      <c r="E18" s="19">
        <f>E15-E17</f>
        <v/>
      </c>
      <c r="F18" s="19">
        <f>F15-F17</f>
        <v/>
      </c>
      <c r="G18" s="19">
        <f>G15-G17</f>
        <v/>
      </c>
      <c r="H18" s="19">
        <f>H15-H17</f>
        <v/>
      </c>
      <c r="I18" s="19">
        <f>I15-I17</f>
        <v/>
      </c>
    </row>
    <row r="20">
      <c r="A20" s="13" t="inlineStr">
        <is>
          <t>BOTTOM-UP TONNAGE BUILD. Historical volumes are IMPLIED (revenue ÷ [LME × EGP × k]; k = 1.387 from the industry copper-share norm; FY24 back-solves to 24.0kt = 96% of stated capacity — the validation). Historical conversion EBITDA/t: 111 (FY23) / 146 (FY24) / 182 (FY25, copper-gain inflated) / 11 (Q1-26 annualized ~9.5kt, 38% utilization). Q1-26 disclosed: GM 5.7%, operating profit ~0. Forecast volumes/copper/EGP/EBITDA-per-t are Assumptions drivers; margins are outputs. Capacity single-sourced, possibly parent-only — utilization indicative.</t>
        </is>
      </c>
    </row>
    <row r="21">
      <c r="A21" s="13" t="inlineStr">
        <is>
          <t>FY23 note: at the 2023 parallel rate (~38 vs official 30.7) implied volume is 19.4kt (78%) — the honest range for that year.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6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Relative &amp; normalized-earnings lenses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Links to Assumptions / Segments / Balance Sheet.</t>
        </is>
      </c>
    </row>
    <row r="5">
      <c r="A5" s="5" t="inlineStr">
        <is>
          <t>Lens</t>
        </is>
      </c>
      <c r="B5" s="5" t="inlineStr">
        <is>
          <t>Workings</t>
        </is>
      </c>
      <c r="C5" s="5" t="inlineStr">
        <is>
          <t>EGP/share</t>
        </is>
      </c>
    </row>
    <row r="6">
      <c r="A6" s="6" t="inlineStr">
        <is>
          <t>Relative EV/EBITDA</t>
        </is>
      </c>
      <c r="B6" s="13" t="inlineStr">
        <is>
          <t>FY27E EBITDA × multiple − net debt end-FY26E, /sh</t>
        </is>
      </c>
      <c r="C6" s="8">
        <f>MAX((Assumptions!B31*Segments!F15-'Balance Sheet'!D11)/Assumptions!B6,0.05)</f>
        <v/>
      </c>
    </row>
    <row r="7">
      <c r="A7" s="6" t="inlineStr">
        <is>
          <t>Normalized earnings power</t>
        </is>
      </c>
      <c r="B7" s="13" t="inlineStr">
        <is>
          <t>FY28E EBIT − 15% money on 6,000 mid-cycle ND, × (1−t), × P/E, /sh</t>
        </is>
      </c>
      <c r="C7" s="8">
        <f>(Segments!G18-Assumptions!B24*6000)*(1-Assumptions!B7)*Assumptions!B32/Assumptions!B6</f>
        <v/>
      </c>
    </row>
    <row r="8">
      <c r="A8" s="6" t="inlineStr">
        <is>
          <t xml:space="preserve">  normalized EPS (EGP)</t>
        </is>
      </c>
      <c r="C8" s="8">
        <f>(Segments!G18-Assumptions!B24*6000)*(1-Assumptions!B7)/Assumptions!B6</f>
        <v/>
      </c>
    </row>
    <row r="9">
      <c r="A9" s="6" t="inlineStr">
        <is>
          <t>Book lens: justified P/B × BVPS</t>
        </is>
      </c>
      <c r="B9" s="13" t="inlineStr">
        <is>
          <t>(ROE−g)/(Ke_term−g) × FY25e book/sh</t>
        </is>
      </c>
      <c r="C9" s="8">
        <f>MAX((Assumptions!B33-Assumptions!B26)/(Assumptions!B23-Assumptions!B26),0.1)*Assumptions!B34/Assumptions!B6</f>
        <v/>
      </c>
    </row>
    <row r="11">
      <c r="A11" s="6" t="inlineStr">
        <is>
          <t>P/B at spot (memo)</t>
        </is>
      </c>
      <c r="C11" s="30">
        <f>Assumptions!B5/(Assumptions!B34/Assumptions!B6)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DCF — explicit 5-year FCFF on the forward-WACC schedule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Revenue -&gt; EBITDA -&gt; D&amp;A -&gt; EBIT -&gt; NOPAT -&gt; +D&amp;A -&gt; -Capex -&gt; -dWC -&gt; FCFF -&gt; forward WACC -&gt; cumulative DF -&gt; PV. Terminal is ROIC-consistent.</t>
        </is>
      </c>
    </row>
    <row r="4">
      <c r="B4" s="5" t="inlineStr">
        <is>
          <t>FY26E</t>
        </is>
      </c>
      <c r="C4" s="5" t="inlineStr">
        <is>
          <t>FY27E</t>
        </is>
      </c>
      <c r="D4" s="5" t="inlineStr">
        <is>
          <t>FY28E</t>
        </is>
      </c>
      <c r="E4" s="5" t="inlineStr">
        <is>
          <t>FY29E</t>
        </is>
      </c>
      <c r="F4" s="5" t="inlineStr">
        <is>
          <t>FY30E</t>
        </is>
      </c>
    </row>
    <row r="6">
      <c r="A6" s="14" t="inlineStr">
        <is>
          <t>Revenue</t>
        </is>
      </c>
      <c r="B6" s="28">
        <f>Segments!E11</f>
        <v/>
      </c>
      <c r="C6" s="28">
        <f>Segments!F11</f>
        <v/>
      </c>
      <c r="D6" s="28">
        <f>Segments!G11</f>
        <v/>
      </c>
      <c r="E6" s="28">
        <f>Segments!H11</f>
        <v/>
      </c>
      <c r="F6" s="28">
        <f>Segments!I11</f>
        <v/>
      </c>
    </row>
    <row r="7">
      <c r="A7" s="14" t="inlineStr">
        <is>
          <t>EBITDA</t>
        </is>
      </c>
      <c r="B7" s="28">
        <f>Segments!E15</f>
        <v/>
      </c>
      <c r="C7" s="28">
        <f>Segments!F15</f>
        <v/>
      </c>
      <c r="D7" s="28">
        <f>Segments!G15</f>
        <v/>
      </c>
      <c r="E7" s="28">
        <f>Segments!H15</f>
        <v/>
      </c>
      <c r="F7" s="28">
        <f>Segments!I15</f>
        <v/>
      </c>
    </row>
    <row r="8">
      <c r="A8" s="14" t="inlineStr">
        <is>
          <t>− D&amp;A</t>
        </is>
      </c>
      <c r="B8" s="28">
        <f>-Segments!E17</f>
        <v/>
      </c>
      <c r="C8" s="28">
        <f>-Segments!F17</f>
        <v/>
      </c>
      <c r="D8" s="28">
        <f>-Segments!G17</f>
        <v/>
      </c>
      <c r="E8" s="28">
        <f>-Segments!H17</f>
        <v/>
      </c>
      <c r="F8" s="28">
        <f>-Segments!I17</f>
        <v/>
      </c>
    </row>
    <row r="9">
      <c r="A9" s="14" t="inlineStr">
        <is>
          <t>EBIT</t>
        </is>
      </c>
      <c r="B9" s="28">
        <f>Segments!E18</f>
        <v/>
      </c>
      <c r="C9" s="28">
        <f>Segments!F18</f>
        <v/>
      </c>
      <c r="D9" s="28">
        <f>Segments!G18</f>
        <v/>
      </c>
      <c r="E9" s="28">
        <f>Segments!H18</f>
        <v/>
      </c>
      <c r="F9" s="28">
        <f>Segments!I18</f>
        <v/>
      </c>
    </row>
    <row r="10">
      <c r="A10" s="14" t="inlineStr">
        <is>
          <t>NOPAT = EBIT × (1 − tax)</t>
        </is>
      </c>
      <c r="B10" s="28">
        <f>B9*(1-Assumptions!$B$7)</f>
        <v/>
      </c>
      <c r="C10" s="28">
        <f>C9*(1-Assumptions!$B$7)</f>
        <v/>
      </c>
      <c r="D10" s="28">
        <f>D9*(1-Assumptions!$B$7)</f>
        <v/>
      </c>
      <c r="E10" s="28">
        <f>E9*(1-Assumptions!$B$7)</f>
        <v/>
      </c>
      <c r="F10" s="28">
        <f>F9*(1-Assumptions!$B$7)</f>
        <v/>
      </c>
    </row>
    <row r="11">
      <c r="A11" s="14" t="inlineStr">
        <is>
          <t>+ D&amp;A</t>
        </is>
      </c>
      <c r="B11" s="28">
        <f>Segments!E17</f>
        <v/>
      </c>
      <c r="C11" s="28">
        <f>Segments!F17</f>
        <v/>
      </c>
      <c r="D11" s="28">
        <f>Segments!G17</f>
        <v/>
      </c>
      <c r="E11" s="28">
        <f>Segments!H17</f>
        <v/>
      </c>
      <c r="F11" s="28">
        <f>Segments!I17</f>
        <v/>
      </c>
    </row>
    <row r="12">
      <c r="A12" s="14" t="inlineStr">
        <is>
          <t>− Capex</t>
        </is>
      </c>
      <c r="B12" s="28">
        <f>-Assumptions!C45</f>
        <v/>
      </c>
      <c r="C12" s="28">
        <f>-Assumptions!D45</f>
        <v/>
      </c>
      <c r="D12" s="28">
        <f>-Assumptions!E45</f>
        <v/>
      </c>
      <c r="E12" s="28">
        <f>-Assumptions!F45</f>
        <v/>
      </c>
      <c r="F12" s="28">
        <f>-Assumptions!G45</f>
        <v/>
      </c>
    </row>
    <row r="13">
      <c r="A13" s="14" t="inlineStr">
        <is>
          <t>Net working capital</t>
        </is>
      </c>
      <c r="B13" s="28">
        <f>B6*Assumptions!C47</f>
        <v/>
      </c>
      <c r="C13" s="28">
        <f>C6*Assumptions!D47</f>
        <v/>
      </c>
      <c r="D13" s="28">
        <f>D6*Assumptions!E47</f>
        <v/>
      </c>
      <c r="E13" s="28">
        <f>E6*Assumptions!F47</f>
        <v/>
      </c>
      <c r="F13" s="28">
        <f>F6*Assumptions!G47</f>
        <v/>
      </c>
    </row>
    <row r="14">
      <c r="A14" s="14" t="inlineStr">
        <is>
          <t>− Δ working capital</t>
        </is>
      </c>
      <c r="B14" s="28">
        <f>-(B13-Assumptions!$B$54)</f>
        <v/>
      </c>
      <c r="C14" s="6">
        <f>-(C13-B13)</f>
        <v/>
      </c>
      <c r="D14" s="6">
        <f>-(D13-C13)</f>
        <v/>
      </c>
      <c r="E14" s="6">
        <f>-(E13-D13)</f>
        <v/>
      </c>
      <c r="F14" s="6">
        <f>-(F13-E13)</f>
        <v/>
      </c>
    </row>
    <row r="15">
      <c r="A15" s="10" t="inlineStr">
        <is>
          <t>Free cash flow to firm</t>
        </is>
      </c>
      <c r="B15" s="19">
        <f>B10+B11+B12+B14</f>
        <v/>
      </c>
      <c r="C15" s="19">
        <f>C10+C11+C12+C14</f>
        <v/>
      </c>
      <c r="D15" s="19">
        <f>D10+D11+D12+D14</f>
        <v/>
      </c>
      <c r="E15" s="19">
        <f>E10+E11+E12+E14</f>
        <v/>
      </c>
      <c r="F15" s="19">
        <f>F10+F11+F12+F14</f>
        <v/>
      </c>
    </row>
    <row r="16">
      <c r="A16" s="14" t="inlineStr">
        <is>
          <t>Forward WACC (that year)</t>
        </is>
      </c>
      <c r="B16" s="9">
        <f>Assumptions!C50</f>
        <v/>
      </c>
      <c r="C16" s="9">
        <f>Assumptions!D50</f>
        <v/>
      </c>
      <c r="D16" s="9">
        <f>Assumptions!E50</f>
        <v/>
      </c>
      <c r="E16" s="9">
        <f>Assumptions!F50</f>
        <v/>
      </c>
      <c r="F16" s="9">
        <f>Assumptions!G50</f>
        <v/>
      </c>
    </row>
    <row r="17">
      <c r="A17" s="14" t="inlineStr">
        <is>
          <t>Cumulative discount factor</t>
        </is>
      </c>
      <c r="B17" s="38">
        <f>Assumptions!C51</f>
        <v/>
      </c>
      <c r="C17" s="38">
        <f>Assumptions!D51</f>
        <v/>
      </c>
      <c r="D17" s="38">
        <f>Assumptions!E51</f>
        <v/>
      </c>
      <c r="E17" s="38">
        <f>Assumptions!F51</f>
        <v/>
      </c>
      <c r="F17" s="38">
        <f>Assumptions!G51</f>
        <v/>
      </c>
    </row>
    <row r="18">
      <c r="A18" s="10" t="inlineStr">
        <is>
          <t>PV of FCFF</t>
        </is>
      </c>
      <c r="B18" s="19">
        <f>B15*B17</f>
        <v/>
      </c>
      <c r="C18" s="19">
        <f>C15*C17</f>
        <v/>
      </c>
      <c r="D18" s="19">
        <f>D15*D17</f>
        <v/>
      </c>
      <c r="E18" s="19">
        <f>E15*E17</f>
        <v/>
      </c>
      <c r="F18" s="19">
        <f>F15*F17</f>
        <v/>
      </c>
    </row>
    <row r="20">
      <c r="A20" s="10" t="inlineStr">
        <is>
          <t>Σ PV of explicit FCFF (FY26–30E)</t>
        </is>
      </c>
      <c r="B20" s="19">
        <f>SUM(B18:F18)</f>
        <v/>
      </c>
    </row>
    <row r="21">
      <c r="A21" s="14" t="inlineStr">
        <is>
          <t>Terminal ROIC (NOPAT ÷ [NWC + 5% of revenue])</t>
        </is>
      </c>
      <c r="B21" s="12">
        <f>F10/(F13+0.05*F6)</f>
        <v/>
      </c>
    </row>
    <row r="22">
      <c r="A22" s="14" t="inlineStr">
        <is>
          <t>Terminal reinvestment rate = g ÷ ROIC</t>
        </is>
      </c>
      <c r="B22" s="12">
        <f>Assumptions!$B$26/B21</f>
        <v/>
      </c>
    </row>
    <row r="23">
      <c r="A23" s="14" t="inlineStr">
        <is>
          <t>Terminal FCFF = NOPAT × (1+g) × (1 − RR)</t>
        </is>
      </c>
      <c r="B23" s="6">
        <f>F10*(1+Assumptions!$B$26)*(1-B22)</f>
        <v/>
      </c>
    </row>
    <row r="24">
      <c r="A24" s="14" t="inlineStr">
        <is>
          <t>Terminal value (at terminal WACC)</t>
        </is>
      </c>
      <c r="B24" s="6">
        <f>B23/(Assumptions!$B$25-Assumptions!$B$26)</f>
        <v/>
      </c>
    </row>
    <row r="25">
      <c r="A25" s="14" t="inlineStr">
        <is>
          <t>PV of terminal value (year-5 factor)</t>
        </is>
      </c>
      <c r="B25" s="6">
        <f>B24*F17</f>
        <v/>
      </c>
    </row>
    <row r="26">
      <c r="A26" s="10" t="inlineStr">
        <is>
          <t>Enterprise value</t>
        </is>
      </c>
      <c r="B26" s="19">
        <f>B20+B25</f>
        <v/>
      </c>
    </row>
    <row r="27">
      <c r="A27" s="14" t="inlineStr">
        <is>
          <t>Terminal value as % of EV</t>
        </is>
      </c>
      <c r="B27" s="12">
        <f>B25/B26</f>
        <v/>
      </c>
    </row>
    <row r="28">
      <c r="A28" s="14" t="inlineStr">
        <is>
          <t>less: net debt</t>
        </is>
      </c>
      <c r="B28" s="28">
        <f>-Assumptions!$B$28</f>
        <v/>
      </c>
    </row>
    <row r="29">
      <c r="A29" s="14" t="inlineStr">
        <is>
          <t>less: non-controlling interests</t>
        </is>
      </c>
      <c r="B29" s="28">
        <f>-Assumptions!$B$29</f>
        <v/>
      </c>
    </row>
    <row r="30">
      <c r="A30" s="10" t="inlineStr">
        <is>
          <t>Equity value — INTRINSIC (may be negative)</t>
        </is>
      </c>
      <c r="B30" s="19">
        <f>B26-Assumptions!$B$28-Assumptions!$B$29</f>
        <v/>
      </c>
    </row>
    <row r="31">
      <c r="A31" s="10" t="inlineStr">
        <is>
          <t>Equity value — floored at zero (limited liability)</t>
        </is>
      </c>
      <c r="B31" s="19">
        <f>MAX(B30,0)</f>
        <v/>
      </c>
    </row>
    <row r="32">
      <c r="A32" s="14" t="inlineStr">
        <is>
          <t>Intrinsic per share (EGP, unfloored)</t>
        </is>
      </c>
      <c r="B32" s="39">
        <f>B30/Assumptions!$B$6</f>
        <v/>
      </c>
    </row>
    <row r="33">
      <c r="A33" s="10" t="inlineStr">
        <is>
          <t>Fair value per share (EGP) — floored</t>
        </is>
      </c>
      <c r="B33" s="11">
        <f>MAX(B31/Assumptions!$B$6,0.01)</f>
        <v/>
      </c>
    </row>
    <row r="34">
      <c r="A34" s="10" t="inlineStr">
        <is>
          <t>Upside / (downside) vs spot</t>
        </is>
      </c>
      <c r="B34" s="20">
        <f>B33/Assumptions!$B$5-1</f>
        <v/>
      </c>
    </row>
    <row r="36">
      <c r="A36" s="13" t="inlineStr">
        <is>
          <t>The glide: each year at its own forward WACC (22.6% -&gt; 14.1%), shape from the forward Kd path; the terminal is capitalised at the terminal WACC and discounted at the identical year-5 cumulative factor.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Income statement (EGP mn, consolidated)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FY23–FY25 as sourced/derived (blue; (d)-flagged in the study); FY26E–FY30E formulas. Interest on OPENING net debt at that year’s forward Kd; tax on positive EBT net of loss carryforward.</t>
        </is>
      </c>
    </row>
    <row r="4">
      <c r="A4" s="5" t="inlineStr"/>
      <c r="B4" s="5" t="inlineStr">
        <is>
          <t>FY23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10" t="inlineStr">
        <is>
          <t>Revenue</t>
        </is>
      </c>
      <c r="B6" s="35" t="n">
        <v>8673.4</v>
      </c>
      <c r="C6" s="35" t="n">
        <v>13778.2</v>
      </c>
      <c r="D6" s="35" t="n">
        <v>10819</v>
      </c>
      <c r="E6" s="27">
        <f>Segments!E11</f>
        <v/>
      </c>
      <c r="F6" s="27">
        <f>Segments!F11</f>
        <v/>
      </c>
      <c r="G6" s="27">
        <f>Segments!G11</f>
        <v/>
      </c>
      <c r="H6" s="27">
        <f>Segments!H11</f>
        <v/>
      </c>
      <c r="I6" s="27">
        <f>Segments!I11</f>
        <v/>
      </c>
    </row>
    <row r="7">
      <c r="A7" s="14" t="inlineStr">
        <is>
          <t>EBITDA</t>
        </is>
      </c>
      <c r="B7" s="17" t="n">
        <v>2661.036380645161</v>
      </c>
      <c r="C7" s="17" t="n">
        <v>3490</v>
      </c>
      <c r="D7" s="17" t="n">
        <v>2871.294290322581</v>
      </c>
      <c r="E7" s="28">
        <f>Segments!E15</f>
        <v/>
      </c>
      <c r="F7" s="28">
        <f>Segments!F15</f>
        <v/>
      </c>
      <c r="G7" s="28">
        <f>Segments!G15</f>
        <v/>
      </c>
      <c r="H7" s="28">
        <f>Segments!H15</f>
        <v/>
      </c>
      <c r="I7" s="28">
        <f>Segments!I15</f>
        <v/>
      </c>
    </row>
    <row r="8">
      <c r="A8" s="14" t="inlineStr">
        <is>
          <t>D&amp;A</t>
        </is>
      </c>
      <c r="B8" s="17" t="n">
        <v>-60.7138</v>
      </c>
      <c r="C8" s="17" t="n">
        <v>-90</v>
      </c>
      <c r="D8" s="17" t="n">
        <v>-75.733</v>
      </c>
      <c r="E8" s="28">
        <f>-Segments!E17</f>
        <v/>
      </c>
      <c r="F8" s="28">
        <f>-Segments!F17</f>
        <v/>
      </c>
      <c r="G8" s="28">
        <f>-Segments!G17</f>
        <v/>
      </c>
      <c r="H8" s="28">
        <f>-Segments!H17</f>
        <v/>
      </c>
      <c r="I8" s="28">
        <f>-Segments!I17</f>
        <v/>
      </c>
    </row>
    <row r="9">
      <c r="A9" s="10" t="inlineStr">
        <is>
          <t>EBIT</t>
        </is>
      </c>
      <c r="B9" s="35" t="n">
        <v>2600.322580645161</v>
      </c>
      <c r="C9" s="35" t="n">
        <v>3400</v>
      </c>
      <c r="D9" s="35" t="n">
        <v>2795.561290322581</v>
      </c>
      <c r="E9" s="27">
        <f>Segments!E18</f>
        <v/>
      </c>
      <c r="F9" s="27">
        <f>Segments!F18</f>
        <v/>
      </c>
      <c r="G9" s="27">
        <f>Segments!G18</f>
        <v/>
      </c>
      <c r="H9" s="27">
        <f>Segments!H18</f>
        <v/>
      </c>
      <c r="I9" s="27">
        <f>Segments!I18</f>
        <v/>
      </c>
    </row>
    <row r="10">
      <c r="A10" s="14" t="inlineStr">
        <is>
          <t>Net finance cost</t>
        </is>
      </c>
      <c r="B10" s="17" t="n">
        <v>-990</v>
      </c>
      <c r="C10" s="17" t="n">
        <v>-1700</v>
      </c>
      <c r="D10" s="17" t="n">
        <v>-2150</v>
      </c>
      <c r="E10" s="28">
        <f>-Assumptions!C48*Assumptions!$B$28</f>
        <v/>
      </c>
      <c r="F10" s="28">
        <f>-Assumptions!D48*'Balance Sheet'!D11</f>
        <v/>
      </c>
      <c r="G10" s="28">
        <f>-Assumptions!E48*'Balance Sheet'!E11</f>
        <v/>
      </c>
      <c r="H10" s="28">
        <f>-Assumptions!F48*'Balance Sheet'!F11</f>
        <v/>
      </c>
      <c r="I10" s="28">
        <f>-Assumptions!G48*'Balance Sheet'!G11</f>
        <v/>
      </c>
    </row>
    <row r="11">
      <c r="A11" s="10" t="inlineStr">
        <is>
          <t>Earnings before tax</t>
        </is>
      </c>
      <c r="B11" s="19" t="n">
        <v>1610.322580645161</v>
      </c>
      <c r="C11" s="19" t="n">
        <v>1700</v>
      </c>
      <c r="D11" s="19" t="n">
        <v>645.5612903225806</v>
      </c>
      <c r="E11" s="19">
        <f>E9+E10</f>
        <v/>
      </c>
      <c r="F11" s="19">
        <f>F9+F10</f>
        <v/>
      </c>
      <c r="G11" s="19">
        <f>G9+G10</f>
        <v/>
      </c>
      <c r="H11" s="19">
        <f>H9+H10</f>
        <v/>
      </c>
      <c r="I11" s="19">
        <f>I9+I10</f>
        <v/>
      </c>
    </row>
    <row r="12">
      <c r="A12" s="14" t="inlineStr">
        <is>
          <t>Cumulative EBT since FY26E (memo)</t>
        </is>
      </c>
      <c r="E12" s="6">
        <f>SUM($E$11:E11)</f>
        <v/>
      </c>
      <c r="F12" s="6">
        <f>SUM($E$11:F11)</f>
        <v/>
      </c>
      <c r="G12" s="6">
        <f>SUM($E$11:G11)</f>
        <v/>
      </c>
      <c r="H12" s="6">
        <f>SUM($E$11:H11)</f>
        <v/>
      </c>
      <c r="I12" s="6">
        <f>SUM($E$11:I11)</f>
        <v/>
      </c>
    </row>
    <row r="13">
      <c r="A13" s="14" t="inlineStr">
        <is>
          <t>Income tax (22.5% of positive cumulative EBT, incremental)</t>
        </is>
      </c>
      <c r="B13" s="17" t="n">
        <v>-362.3225806451612</v>
      </c>
      <c r="C13" s="17" t="n">
        <v>-372.2</v>
      </c>
      <c r="D13" s="17" t="n">
        <v>-145.2512903225806</v>
      </c>
      <c r="E13" s="28">
        <f>-Assumptions!$B$7*MAX(0,E12)</f>
        <v/>
      </c>
      <c r="F13" s="28">
        <f>-(Assumptions!$B$7*MAX(0,F12)-Assumptions!$B$7*MAX(0,C12))</f>
        <v/>
      </c>
      <c r="G13" s="28">
        <f>-(Assumptions!$B$7*MAX(0,G12)-Assumptions!$B$7*MAX(0,D12))</f>
        <v/>
      </c>
      <c r="H13" s="28">
        <f>-(Assumptions!$B$7*MAX(0,H12)-Assumptions!$B$7*MAX(0,E12))</f>
        <v/>
      </c>
      <c r="I13" s="28">
        <f>-(Assumptions!$B$7*MAX(0,I12)-Assumptions!$B$7*MAX(0,F12))</f>
        <v/>
      </c>
    </row>
    <row r="14">
      <c r="A14" s="10" t="inlineStr">
        <is>
          <t>Net profit (attributable)</t>
        </is>
      </c>
      <c r="B14" s="35" t="n">
        <v>1248</v>
      </c>
      <c r="C14" s="35" t="n">
        <v>1327.8</v>
      </c>
      <c r="D14" s="35" t="n">
        <v>500.31</v>
      </c>
      <c r="E14" s="19">
        <f>E11+E13</f>
        <v/>
      </c>
      <c r="F14" s="19">
        <f>F11+F13</f>
        <v/>
      </c>
      <c r="G14" s="19">
        <f>G11+G13</f>
        <v/>
      </c>
      <c r="H14" s="19">
        <f>H11+H13</f>
        <v/>
      </c>
      <c r="I14" s="19">
        <f>I11+I13</f>
        <v/>
      </c>
    </row>
    <row r="15">
      <c r="A15" s="14" t="inlineStr">
        <is>
          <t>EPS (EGP)</t>
        </is>
      </c>
      <c r="B15" s="39">
        <f>B14/Assumptions!$B$6</f>
        <v/>
      </c>
      <c r="C15" s="39">
        <f>C14/Assumptions!$B$6</f>
        <v/>
      </c>
      <c r="D15" s="39">
        <f>D14/Assumptions!$B$6</f>
        <v/>
      </c>
      <c r="E15" s="8">
        <f>E14/Assumptions!$B$6</f>
        <v/>
      </c>
      <c r="F15" s="8">
        <f>F14/Assumptions!$B$6</f>
        <v/>
      </c>
      <c r="G15" s="8">
        <f>G14/Assumptions!$B$6</f>
        <v/>
      </c>
      <c r="H15" s="8">
        <f>H14/Assumptions!$B$6</f>
        <v/>
      </c>
      <c r="I15" s="8">
        <f>I14/Assumptions!$B$6</f>
        <v/>
      </c>
    </row>
    <row r="17">
      <c r="A17" s="13" t="inlineStr">
        <is>
          <t>Historical net finance cost is (d)-derived (FY24 via the disclosed 2.0x coverage; FY23/FY25 back-solved to the reported NP). Loss carryforward per Egyptian tax law (5yr) modelled via cumulative-EBT tax.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Balance sheet — condensed invested-capital layout (EGP mn)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IC = NWC + PP&amp;E + other assets; financed by net debt + equity + flat non-debt liabilities. Check row is zero by construction.</t>
        </is>
      </c>
    </row>
    <row r="4">
      <c r="A4" s="5" t="inlineStr"/>
      <c r="B4" s="5" t="inlineStr">
        <is>
          <t>FY24</t>
        </is>
      </c>
      <c r="C4" s="5" t="inlineStr">
        <is>
          <t>FY25e</t>
        </is>
      </c>
      <c r="D4" s="5" t="inlineStr">
        <is>
          <t>FY26E</t>
        </is>
      </c>
      <c r="E4" s="5" t="inlineStr">
        <is>
          <t>FY27E</t>
        </is>
      </c>
      <c r="F4" s="5" t="inlineStr">
        <is>
          <t>FY28E</t>
        </is>
      </c>
      <c r="G4" s="5" t="inlineStr">
        <is>
          <t>FY29E</t>
        </is>
      </c>
      <c r="H4" s="5" t="inlineStr">
        <is>
          <t>FY30E</t>
        </is>
      </c>
    </row>
    <row r="6">
      <c r="A6" s="14" t="inlineStr">
        <is>
          <t>Net working capital</t>
        </is>
      </c>
      <c r="B6" s="17" t="n">
        <v>10500</v>
      </c>
      <c r="C6" s="17">
        <f>Assumptions!B54</f>
        <v/>
      </c>
      <c r="D6" s="28">
        <f>DCF!B13</f>
        <v/>
      </c>
      <c r="E6" s="28">
        <f>DCF!C13</f>
        <v/>
      </c>
      <c r="F6" s="28">
        <f>DCF!D13</f>
        <v/>
      </c>
      <c r="G6" s="28">
        <f>DCF!E13</f>
        <v/>
      </c>
      <c r="H6" s="28">
        <f>DCF!F13</f>
        <v/>
      </c>
    </row>
    <row r="7">
      <c r="A7" s="14" t="inlineStr">
        <is>
          <t>PP&amp;E (roll: + capex - D&amp;A)</t>
        </is>
      </c>
      <c r="B7" s="17" t="n">
        <v>650</v>
      </c>
      <c r="C7" s="17" t="n">
        <v>680</v>
      </c>
      <c r="D7" s="28">
        <f>C7-DCF!B12-Segments!E17</f>
        <v/>
      </c>
      <c r="E7" s="28">
        <f>D7-DCF!C12-Segments!F17</f>
        <v/>
      </c>
      <c r="F7" s="28">
        <f>E7-DCF!D12-Segments!G17</f>
        <v/>
      </c>
      <c r="G7" s="28">
        <f>F7-DCF!E12-Segments!H17</f>
        <v/>
      </c>
      <c r="H7" s="28">
        <f>G7-DCF!F12-Segments!I17</f>
        <v/>
      </c>
    </row>
    <row r="8">
      <c r="A8" s="14" t="inlineStr">
        <is>
          <t>Other assets (held flat)</t>
        </is>
      </c>
      <c r="B8" s="17" t="n">
        <v>3000</v>
      </c>
      <c r="C8" s="17" t="n">
        <v>2980</v>
      </c>
      <c r="D8" s="6">
        <f>C8</f>
        <v/>
      </c>
      <c r="E8" s="6">
        <f>D8</f>
        <v/>
      </c>
      <c r="F8" s="6">
        <f>E8</f>
        <v/>
      </c>
      <c r="G8" s="6">
        <f>F8</f>
        <v/>
      </c>
      <c r="H8" s="6">
        <f>G8</f>
        <v/>
      </c>
    </row>
    <row r="9">
      <c r="A9" s="10" t="inlineStr">
        <is>
          <t>Invested capital (net of payables)</t>
        </is>
      </c>
      <c r="B9" s="40">
        <f>SUM(B6:B8)</f>
        <v/>
      </c>
      <c r="C9" s="40">
        <f>SUM(C6:C8)</f>
        <v/>
      </c>
      <c r="D9" s="19">
        <f>SUM(D6:D8)</f>
        <v/>
      </c>
      <c r="E9" s="19">
        <f>SUM(E6:E8)</f>
        <v/>
      </c>
      <c r="F9" s="19">
        <f>SUM(F6:F8)</f>
        <v/>
      </c>
      <c r="G9" s="19">
        <f>SUM(G6:G8)</f>
        <v/>
      </c>
      <c r="H9" s="19">
        <f>SUM(H6:H8)</f>
        <v/>
      </c>
    </row>
    <row r="11">
      <c r="A11" s="14" t="inlineStr">
        <is>
          <t>Net debt (schedule: opening − equity FCF)</t>
        </is>
      </c>
      <c r="B11" s="17" t="n">
        <v>9805</v>
      </c>
      <c r="C11" s="17">
        <f>Assumptions!B28</f>
        <v/>
      </c>
      <c r="D11" s="28">
        <f>Assumptions!$B$28-'Cash Flow'!C12</f>
        <v/>
      </c>
      <c r="E11" s="28">
        <f>D11-'Cash Flow'!D12</f>
        <v/>
      </c>
      <c r="F11" s="28">
        <f>E11-'Cash Flow'!E12</f>
        <v/>
      </c>
      <c r="G11" s="28">
        <f>F11-'Cash Flow'!F12</f>
        <v/>
      </c>
      <c r="H11" s="28">
        <f>G11-'Cash Flow'!G12</f>
        <v/>
      </c>
    </row>
    <row r="12">
      <c r="A12" s="14" t="inlineStr">
        <is>
          <t>Equity (roll: + net profit, no dividends)</t>
        </is>
      </c>
      <c r="B12" s="17">
        <f>Assumptions!B34-500.31</f>
        <v/>
      </c>
      <c r="C12" s="17">
        <f>Assumptions!B34</f>
        <v/>
      </c>
      <c r="D12" s="28">
        <f>C12+'Income Statement'!E14</f>
        <v/>
      </c>
      <c r="E12" s="28">
        <f>D12+'Income Statement'!F14</f>
        <v/>
      </c>
      <c r="F12" s="28">
        <f>E12+'Income Statement'!G14</f>
        <v/>
      </c>
      <c r="G12" s="28">
        <f>F12+'Income Statement'!H14</f>
        <v/>
      </c>
      <c r="H12" s="28">
        <f>G12+'Income Statement'!I14</f>
        <v/>
      </c>
    </row>
    <row r="13">
      <c r="A13" s="14" t="inlineStr">
        <is>
          <t>Non-debt liabilities &amp; other (flat plug at FY25e)</t>
        </is>
      </c>
      <c r="B13" s="41">
        <f>B9-B11-B12</f>
        <v/>
      </c>
      <c r="C13" s="41">
        <f>C9-C11-C12</f>
        <v/>
      </c>
      <c r="D13" s="41">
        <f>$C13</f>
        <v/>
      </c>
      <c r="E13" s="41">
        <f>$C13</f>
        <v/>
      </c>
      <c r="F13" s="41">
        <f>$C13</f>
        <v/>
      </c>
      <c r="G13" s="41">
        <f>$C13</f>
        <v/>
      </c>
      <c r="H13" s="41">
        <f>$C13</f>
        <v/>
      </c>
    </row>
    <row r="14">
      <c r="A14" s="10" t="inlineStr">
        <is>
          <t>Total financing</t>
        </is>
      </c>
      <c r="B14" s="40">
        <f>B11+B12+B13</f>
        <v/>
      </c>
      <c r="C14" s="40">
        <f>C11+C12+C13</f>
        <v/>
      </c>
      <c r="D14" s="19">
        <f>D11+D12+D13</f>
        <v/>
      </c>
      <c r="E14" s="19">
        <f>E11+E12+E13</f>
        <v/>
      </c>
      <c r="F14" s="19">
        <f>F11+F12+F13</f>
        <v/>
      </c>
      <c r="G14" s="19">
        <f>G11+G12+G13</f>
        <v/>
      </c>
      <c r="H14" s="19">
        <f>H11+H12+H13</f>
        <v/>
      </c>
    </row>
    <row r="15">
      <c r="A15" s="10" t="inlineStr">
        <is>
          <t>Balance check (IC − financing)</t>
        </is>
      </c>
      <c r="B15" s="41">
        <f>B9-B14</f>
        <v/>
      </c>
      <c r="C15" s="41">
        <f>C9-C14</f>
        <v/>
      </c>
      <c r="D15" s="19">
        <f>D9-D14</f>
        <v/>
      </c>
      <c r="E15" s="19">
        <f>E9-E14</f>
        <v/>
      </c>
      <c r="F15" s="19">
        <f>F9-F14</f>
        <v/>
      </c>
      <c r="G15" s="19">
        <f>G9-G14</f>
        <v/>
      </c>
      <c r="H15" s="19">
        <f>H9-H14</f>
        <v/>
      </c>
    </row>
    <row r="17">
      <c r="A17" s="13" t="inlineStr">
        <is>
          <t>FY24 column: SWS-sourced anchors (debt 9,000/cash 828/equity 3,600); FY25e column: derived (study §1.6). The forecast check row is zero by construction: PP&amp;E rolls with capex − D&amp;A, NWC with its driver, net debt with the cash-flow sheet, equity with net profit, and the non-debt-liabilities plug is held flat.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Cash flow (EGP mn, forecast)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Equity free cash flow feeds the net-debt schedule (surplus repays debt; deficit is drawn). FCFF memo ties to the DCF.</t>
        </is>
      </c>
    </row>
    <row r="4">
      <c r="B4" s="5" t="inlineStr"/>
      <c r="C4" s="5" t="inlineStr">
        <is>
          <t>FY26E</t>
        </is>
      </c>
      <c r="D4" s="5" t="inlineStr">
        <is>
          <t>FY27E</t>
        </is>
      </c>
      <c r="E4" s="5" t="inlineStr">
        <is>
          <t>FY28E</t>
        </is>
      </c>
      <c r="F4" s="5" t="inlineStr">
        <is>
          <t>FY29E</t>
        </is>
      </c>
      <c r="G4" s="5" t="inlineStr">
        <is>
          <t>FY30E</t>
        </is>
      </c>
    </row>
    <row r="6">
      <c r="A6" s="14" t="inlineStr">
        <is>
          <t>Net profit</t>
        </is>
      </c>
      <c r="C6" s="28">
        <f>'Income Statement'!E14</f>
        <v/>
      </c>
      <c r="D6" s="28">
        <f>'Income Statement'!F14</f>
        <v/>
      </c>
      <c r="E6" s="28">
        <f>'Income Statement'!G14</f>
        <v/>
      </c>
      <c r="F6" s="28">
        <f>'Income Statement'!H14</f>
        <v/>
      </c>
      <c r="G6" s="28">
        <f>'Income Statement'!I14</f>
        <v/>
      </c>
    </row>
    <row r="7">
      <c r="A7" s="14" t="inlineStr">
        <is>
          <t>+ D&amp;A</t>
        </is>
      </c>
      <c r="C7" s="28">
        <f>Segments!E17</f>
        <v/>
      </c>
      <c r="D7" s="28">
        <f>Segments!F17</f>
        <v/>
      </c>
      <c r="E7" s="28">
        <f>Segments!G17</f>
        <v/>
      </c>
      <c r="F7" s="28">
        <f>Segments!H17</f>
        <v/>
      </c>
      <c r="G7" s="28">
        <f>Segments!I17</f>
        <v/>
      </c>
    </row>
    <row r="8">
      <c r="A8" s="14" t="inlineStr">
        <is>
          <t>− Δ working capital</t>
        </is>
      </c>
      <c r="C8" s="28">
        <f>DCF!B14</f>
        <v/>
      </c>
      <c r="D8" s="28">
        <f>DCF!C14</f>
        <v/>
      </c>
      <c r="E8" s="28">
        <f>DCF!D14</f>
        <v/>
      </c>
      <c r="F8" s="28">
        <f>DCF!E14</f>
        <v/>
      </c>
      <c r="G8" s="28">
        <f>DCF!F14</f>
        <v/>
      </c>
    </row>
    <row r="9">
      <c r="A9" s="14" t="inlineStr">
        <is>
          <t>− Capex</t>
        </is>
      </c>
      <c r="C9" s="28">
        <f>DCF!B12</f>
        <v/>
      </c>
      <c r="D9" s="28">
        <f>DCF!C12</f>
        <v/>
      </c>
      <c r="E9" s="28">
        <f>DCF!D12</f>
        <v/>
      </c>
      <c r="F9" s="28">
        <f>DCF!E12</f>
        <v/>
      </c>
      <c r="G9" s="28">
        <f>DCF!F12</f>
        <v/>
      </c>
    </row>
    <row r="10">
      <c r="A10" s="10" t="inlineStr">
        <is>
          <t>Operating − investing cash flow</t>
        </is>
      </c>
      <c r="C10" s="19">
        <f>SUM(C6:C9)</f>
        <v/>
      </c>
      <c r="D10" s="19">
        <f>SUM(D6:D9)</f>
        <v/>
      </c>
      <c r="E10" s="19">
        <f>SUM(E6:E9)</f>
        <v/>
      </c>
      <c r="F10" s="19">
        <f>SUM(F6:F9)</f>
        <v/>
      </c>
      <c r="G10" s="19">
        <f>SUM(G6:G9)</f>
        <v/>
      </c>
    </row>
    <row r="11">
      <c r="A11" s="14" t="inlineStr">
        <is>
          <t>Dividends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</row>
    <row r="12">
      <c r="A12" s="10" t="inlineStr">
        <is>
          <t>Equity free cash flow (repays / draws net debt)</t>
        </is>
      </c>
      <c r="C12" s="19">
        <f>C10+C11</f>
        <v/>
      </c>
      <c r="D12" s="19">
        <f>D10+D11</f>
        <v/>
      </c>
      <c r="E12" s="19">
        <f>E10+E11</f>
        <v/>
      </c>
      <c r="F12" s="19">
        <f>F10+F11</f>
        <v/>
      </c>
      <c r="G12" s="19">
        <f>G10+G11</f>
        <v/>
      </c>
    </row>
    <row r="14">
      <c r="A14" s="14" t="inlineStr">
        <is>
          <t>memo: FCFF (ties to DCF row)</t>
        </is>
      </c>
      <c r="C14" s="28">
        <f>DCF!B15</f>
        <v/>
      </c>
      <c r="D14" s="28">
        <f>DCF!C15</f>
        <v/>
      </c>
      <c r="E14" s="28">
        <f>DCF!D15</f>
        <v/>
      </c>
      <c r="F14" s="28">
        <f>DCF!E15</f>
        <v/>
      </c>
      <c r="G14" s="28">
        <f>DCF!F15</f>
        <v/>
      </c>
    </row>
    <row r="15">
      <c r="A15" s="14" t="inlineStr">
        <is>
          <t>memo: net debt, closing</t>
        </is>
      </c>
      <c r="C15" s="28">
        <f>'Balance Sheet'!D11</f>
        <v/>
      </c>
      <c r="D15" s="28">
        <f>'Balance Sheet'!E11</f>
        <v/>
      </c>
      <c r="E15" s="28">
        <f>'Balance Sheet'!F11</f>
        <v/>
      </c>
      <c r="F15" s="28">
        <f>'Balance Sheet'!G11</f>
        <v/>
      </c>
      <c r="G15" s="28">
        <f>'Balance Sheet'!H11</f>
        <v/>
      </c>
    </row>
    <row r="17">
      <c r="A17" s="13" t="inlineStr">
        <is>
          <t>No dividends modelled — none in the disclosed record and the balance sheet argues against a first.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Summary financials (EGP mn)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Every forecast cell links to the statement sheets; history as sourced/derived.</t>
        </is>
      </c>
    </row>
    <row r="4">
      <c r="A4" s="5" t="inlineStr"/>
      <c r="B4" s="5" t="inlineStr">
        <is>
          <t>FY23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6" t="inlineStr">
        <is>
          <t>Revenue</t>
        </is>
      </c>
      <c r="B6" s="17" t="n">
        <v>8673.4</v>
      </c>
      <c r="C6" s="17" t="n">
        <v>13778.2</v>
      </c>
      <c r="D6" s="17" t="n">
        <v>10819</v>
      </c>
      <c r="E6" s="28">
        <f>'Income Statement'!E6</f>
        <v/>
      </c>
      <c r="F6" s="28">
        <f>'Income Statement'!F6</f>
        <v/>
      </c>
      <c r="G6" s="28">
        <f>'Income Statement'!G6</f>
        <v/>
      </c>
      <c r="H6" s="28">
        <f>'Income Statement'!H6</f>
        <v/>
      </c>
      <c r="I6" s="28">
        <f>'Income Statement'!I6</f>
        <v/>
      </c>
    </row>
    <row r="7">
      <c r="A7" s="6" t="inlineStr">
        <is>
          <t>EBITDA</t>
        </is>
      </c>
      <c r="B7" s="17" t="n">
        <v>2661.036380645161</v>
      </c>
      <c r="C7" s="17" t="n">
        <v>3490</v>
      </c>
      <c r="D7" s="17" t="n">
        <v>2871.294290322581</v>
      </c>
      <c r="E7" s="28">
        <f>'Income Statement'!E7</f>
        <v/>
      </c>
      <c r="F7" s="28">
        <f>'Income Statement'!F7</f>
        <v/>
      </c>
      <c r="G7" s="28">
        <f>'Income Statement'!G7</f>
        <v/>
      </c>
      <c r="H7" s="28">
        <f>'Income Statement'!H7</f>
        <v/>
      </c>
      <c r="I7" s="28">
        <f>'Income Statement'!I7</f>
        <v/>
      </c>
    </row>
    <row r="8">
      <c r="A8" s="6" t="inlineStr">
        <is>
          <t>EBIT</t>
        </is>
      </c>
      <c r="B8" s="17" t="n">
        <v>2600.322580645161</v>
      </c>
      <c r="C8" s="17" t="n">
        <v>3400</v>
      </c>
      <c r="D8" s="17" t="n">
        <v>2795.561290322581</v>
      </c>
      <c r="E8" s="28">
        <f>'Income Statement'!E9</f>
        <v/>
      </c>
      <c r="F8" s="28">
        <f>'Income Statement'!F9</f>
        <v/>
      </c>
      <c r="G8" s="28">
        <f>'Income Statement'!G9</f>
        <v/>
      </c>
      <c r="H8" s="28">
        <f>'Income Statement'!H9</f>
        <v/>
      </c>
      <c r="I8" s="28">
        <f>'Income Statement'!I9</f>
        <v/>
      </c>
    </row>
    <row r="9">
      <c r="A9" s="6" t="inlineStr">
        <is>
          <t>Net profit (attributable)</t>
        </is>
      </c>
      <c r="B9" s="17" t="n">
        <v>1248</v>
      </c>
      <c r="C9" s="17" t="n">
        <v>1327.8</v>
      </c>
      <c r="D9" s="17" t="n">
        <v>500.31</v>
      </c>
      <c r="E9" s="28">
        <f>'Income Statement'!E14</f>
        <v/>
      </c>
      <c r="F9" s="28">
        <f>'Income Statement'!F14</f>
        <v/>
      </c>
      <c r="G9" s="28">
        <f>'Income Statement'!G14</f>
        <v/>
      </c>
      <c r="H9" s="28">
        <f>'Income Statement'!H14</f>
        <v/>
      </c>
      <c r="I9" s="28">
        <f>'Income Statement'!I14</f>
        <v/>
      </c>
    </row>
    <row r="10">
      <c r="A10" s="6" t="inlineStr">
        <is>
          <t>Net debt (closing)</t>
        </is>
      </c>
      <c r="D10" s="28">
        <f>Assumptions!B28</f>
        <v/>
      </c>
      <c r="E10" s="28">
        <f>'Balance Sheet'!D11</f>
        <v/>
      </c>
      <c r="F10" s="28">
        <f>'Balance Sheet'!E11</f>
        <v/>
      </c>
      <c r="G10" s="28">
        <f>'Balance Sheet'!F11</f>
        <v/>
      </c>
      <c r="H10" s="28">
        <f>'Balance Sheet'!G11</f>
        <v/>
      </c>
      <c r="I10" s="28">
        <f>'Balance Sheet'!H11</f>
        <v/>
      </c>
    </row>
    <row r="11">
      <c r="A11" s="6" t="inlineStr">
        <is>
          <t>Equity (attributable)</t>
        </is>
      </c>
      <c r="D11" s="28">
        <f>Assumptions!B34</f>
        <v/>
      </c>
      <c r="E11" s="28">
        <f>'Balance Sheet'!D12</f>
        <v/>
      </c>
      <c r="F11" s="28">
        <f>'Balance Sheet'!E12</f>
        <v/>
      </c>
      <c r="G11" s="28">
        <f>'Balance Sheet'!F12</f>
        <v/>
      </c>
      <c r="H11" s="28">
        <f>'Balance Sheet'!G12</f>
        <v/>
      </c>
      <c r="I11" s="28">
        <f>'Balance Sheet'!H12</f>
        <v/>
      </c>
    </row>
    <row r="12">
      <c r="A12" s="6" t="inlineStr">
        <is>
          <t>FCFF (forecast)</t>
        </is>
      </c>
      <c r="E12" s="28">
        <f>DCF!B15</f>
        <v/>
      </c>
      <c r="F12" s="28">
        <f>DCF!C15</f>
        <v/>
      </c>
      <c r="G12" s="28">
        <f>DCF!D15</f>
        <v/>
      </c>
      <c r="H12" s="28">
        <f>DCF!E15</f>
        <v/>
      </c>
      <c r="I12" s="28">
        <f>DCF!F15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Monte Carlo — engine outputs (carry-anchored YZ-HAR-t)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50,000 paths · Student-t(6) · width calibrated on the 30-name Egyptian panel · drift = local carry (19.50%) · values computed by the engine, not a sheet simulation.</t>
        </is>
      </c>
    </row>
    <row r="5">
      <c r="A5" s="42" t="inlineStr">
        <is>
          <t>The probability read (3 months)</t>
        </is>
      </c>
    </row>
    <row r="6">
      <c r="A6" s="6" t="inlineStr">
        <is>
          <t>P(price above spot)</t>
        </is>
      </c>
      <c r="B6" s="12" t="n">
        <v>0.7286</v>
      </c>
    </row>
    <row r="7">
      <c r="A7" s="6" t="inlineStr">
        <is>
          <t>P(+10%) vs P(−10%) — odds</t>
        </is>
      </c>
      <c r="B7" s="43" t="inlineStr">
        <is>
          <t>50% vs 11% · 4.4:1</t>
        </is>
      </c>
    </row>
    <row r="8">
      <c r="A8" s="6" t="inlineStr">
        <is>
          <t>Median level (EGP) and % move</t>
        </is>
      </c>
      <c r="B8" s="43" t="inlineStr">
        <is>
          <t>2.29 (+10.2%)</t>
        </is>
      </c>
    </row>
    <row r="9">
      <c r="A9" s="6" t="inlineStr">
        <is>
          <t>50% band (25th–75th)</t>
        </is>
      </c>
      <c r="B9" s="43" t="inlineStr">
        <is>
          <t>2.06 – 2.55</t>
        </is>
      </c>
    </row>
    <row r="10">
      <c r="A10" s="6" t="inlineStr">
        <is>
          <t>Touch(+10%) / touch(−10%)</t>
        </is>
      </c>
      <c r="B10" s="43" t="inlineStr">
        <is>
          <t>80% / 24%</t>
        </is>
      </c>
    </row>
    <row r="12">
      <c r="A12" s="5" t="inlineStr">
        <is>
          <t>Percentile map (EGP/share)</t>
        </is>
      </c>
    </row>
    <row r="13">
      <c r="A13" s="5" t="inlineStr">
        <is>
          <t>Horizon</t>
        </is>
      </c>
      <c r="B13" s="5" t="inlineStr">
        <is>
          <t>p5</t>
        </is>
      </c>
      <c r="C13" s="5" t="inlineStr">
        <is>
          <t>p25</t>
        </is>
      </c>
      <c r="D13" s="5" t="inlineStr">
        <is>
          <t>p50</t>
        </is>
      </c>
      <c r="E13" s="5" t="inlineStr">
        <is>
          <t>p75</t>
        </is>
      </c>
      <c r="F13" s="5" t="inlineStr">
        <is>
          <t>p95</t>
        </is>
      </c>
    </row>
    <row r="14">
      <c r="A14" s="6" t="inlineStr">
        <is>
          <t>1 month</t>
        </is>
      </c>
      <c r="B14" s="39" t="n">
        <v>1.91</v>
      </c>
      <c r="C14" s="39" t="n">
        <v>2.1</v>
      </c>
      <c r="D14" s="39" t="n">
        <v>2.22</v>
      </c>
      <c r="E14" s="39" t="n">
        <v>2.35</v>
      </c>
      <c r="F14" s="39" t="n">
        <v>2.59</v>
      </c>
    </row>
    <row r="15">
      <c r="A15" s="6" t="inlineStr">
        <is>
          <t>3 months</t>
        </is>
      </c>
      <c r="B15" s="39" t="n">
        <v>1.71</v>
      </c>
      <c r="C15" s="39" t="n">
        <v>2.06</v>
      </c>
      <c r="D15" s="39" t="n">
        <v>2.29</v>
      </c>
      <c r="E15" s="39" t="n">
        <v>2.55</v>
      </c>
      <c r="F15" s="39" t="n">
        <v>3.07</v>
      </c>
    </row>
    <row r="17">
      <c r="A17" s="5" t="inlineStr">
        <is>
          <t>Level-touch ladder (probability of touching by horizon)</t>
        </is>
      </c>
    </row>
    <row r="18">
      <c r="A18" s="5" t="inlineStr">
        <is>
          <t>Level (EGP)</t>
        </is>
      </c>
      <c r="B18" s="5" t="inlineStr">
        <is>
          <t>1 month</t>
        </is>
      </c>
      <c r="C18" s="5" t="inlineStr">
        <is>
          <t>3 months</t>
        </is>
      </c>
    </row>
    <row r="19">
      <c r="A19" s="39" t="n">
        <v>3</v>
      </c>
      <c r="B19" s="12" t="n">
        <v>0.00645</v>
      </c>
      <c r="C19" s="12" t="n">
        <v>0.09835000000000001</v>
      </c>
    </row>
    <row r="20">
      <c r="A20" s="39" t="n">
        <v>2.75</v>
      </c>
      <c r="B20" s="12" t="n">
        <v>0.0259</v>
      </c>
      <c r="C20" s="12" t="n">
        <v>0.21765</v>
      </c>
    </row>
    <row r="21">
      <c r="A21" s="39" t="n">
        <v>2.5</v>
      </c>
      <c r="B21" s="12" t="n">
        <v>0.1412</v>
      </c>
      <c r="C21" s="12" t="n">
        <v>0.47315</v>
      </c>
    </row>
    <row r="22">
      <c r="A22" s="39" t="n">
        <v>2.35</v>
      </c>
      <c r="B22" s="12" t="n">
        <v>0.39565</v>
      </c>
      <c r="C22" s="12" t="n">
        <v>0.70025</v>
      </c>
    </row>
    <row r="23">
      <c r="A23" s="39" t="n">
        <v>2.08</v>
      </c>
      <c r="B23" s="12" t="n">
        <v>0.40075</v>
      </c>
      <c r="C23" s="12" t="n">
        <v>0.6178</v>
      </c>
    </row>
    <row r="24">
      <c r="A24" s="39" t="n">
        <v>2.05</v>
      </c>
      <c r="B24" s="12" t="n">
        <v>0.31065</v>
      </c>
      <c r="C24" s="12" t="n">
        <v>0.54345</v>
      </c>
    </row>
    <row r="25">
      <c r="A25" s="39" t="n">
        <v>1.9</v>
      </c>
      <c r="B25" s="12" t="n">
        <v>0.07835</v>
      </c>
      <c r="C25" s="12" t="n">
        <v>0.27225</v>
      </c>
    </row>
    <row r="26">
      <c r="A26" s="39" t="n">
        <v>1.7</v>
      </c>
      <c r="B26" s="12" t="n">
        <v>0.0113</v>
      </c>
      <c r="C26" s="12" t="n">
        <v>0.09345000000000001</v>
      </c>
    </row>
    <row r="28">
      <c r="A28" s="5" t="inlineStr">
        <is>
          <t>Probability zones (3 months)</t>
        </is>
      </c>
    </row>
    <row r="29">
      <c r="A29" s="6" t="inlineStr">
        <is>
          <t>Deep downside</t>
        </is>
      </c>
      <c r="B29" s="43" t="inlineStr">
        <is>
          <t>&lt; 1.80</t>
        </is>
      </c>
      <c r="C29" s="12" t="n">
        <v>0.0814</v>
      </c>
    </row>
    <row r="30">
      <c r="A30" s="6" t="inlineStr">
        <is>
          <t>Lower band</t>
        </is>
      </c>
      <c r="B30" s="43" t="inlineStr">
        <is>
          <t>1.80–2.05</t>
        </is>
      </c>
      <c r="C30" s="12" t="n">
        <v>0.1618</v>
      </c>
    </row>
    <row r="31">
      <c r="A31" s="6" t="inlineStr">
        <is>
          <t>Around spot</t>
        </is>
      </c>
      <c r="B31" s="43" t="inlineStr">
        <is>
          <t>2.05–2.35</t>
        </is>
      </c>
      <c r="C31" s="12" t="n">
        <v>0.32145</v>
      </c>
    </row>
    <row r="32">
      <c r="A32" s="6" t="inlineStr">
        <is>
          <t>Upper band</t>
        </is>
      </c>
      <c r="B32" s="43" t="inlineStr">
        <is>
          <t>2.35–2.70</t>
        </is>
      </c>
      <c r="C32" s="12" t="n">
        <v>0.27745</v>
      </c>
    </row>
    <row r="33">
      <c r="A33" s="6" t="inlineStr">
        <is>
          <t>Strong upside</t>
        </is>
      </c>
      <c r="B33" s="43" t="inlineStr">
        <is>
          <t>&gt; 2.70</t>
        </is>
      </c>
      <c r="C33" s="12" t="n">
        <v>0.1579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Sensitivity — engine grids (values) + the live base cell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Grids are engine outputs under the full glide re-computation; the base cell reprices live off Assumptions.</t>
        </is>
      </c>
    </row>
    <row r="5">
      <c r="A5" s="6" t="inlineStr">
        <is>
          <t>Live base DCF (links to the DCF sheet)</t>
        </is>
      </c>
      <c r="B5" s="8">
        <f>DCF!B33</f>
        <v/>
      </c>
    </row>
    <row r="7">
      <c r="A7" s="5" t="inlineStr">
        <is>
          <t>Terminal WACC × terminal g (EGP/share)</t>
        </is>
      </c>
    </row>
    <row r="8">
      <c r="A8" s="5" t="inlineStr">
        <is>
          <t>Terminal WACC \ g</t>
        </is>
      </c>
      <c r="B8" s="44" t="n">
        <v>0.03</v>
      </c>
      <c r="C8" s="44" t="n">
        <v>0.04</v>
      </c>
      <c r="D8" s="44" t="n">
        <v>0.05</v>
      </c>
      <c r="E8" s="44" t="n">
        <v>0.06</v>
      </c>
      <c r="F8" s="44" t="n">
        <v>0.07000000000000001</v>
      </c>
    </row>
    <row r="9">
      <c r="A9" s="12" t="n">
        <v>0.129988</v>
      </c>
      <c r="B9" s="39" t="n">
        <v>-1.31</v>
      </c>
      <c r="C9" s="39" t="n">
        <v>-1.4</v>
      </c>
      <c r="D9" s="39" t="n">
        <v>-1.51</v>
      </c>
      <c r="E9" s="39" t="n">
        <v>-1.66</v>
      </c>
      <c r="F9" s="39" t="n">
        <v>-1.87</v>
      </c>
    </row>
    <row r="10">
      <c r="A10" s="12" t="n">
        <v>0.139988</v>
      </c>
      <c r="B10" s="39" t="n">
        <v>-1.47</v>
      </c>
      <c r="C10" s="39" t="n">
        <v>-1.56</v>
      </c>
      <c r="D10" s="39" t="n">
        <v>-1.67</v>
      </c>
      <c r="E10" s="39" t="n">
        <v>-1.82</v>
      </c>
      <c r="F10" s="39" t="n">
        <v>-2.02</v>
      </c>
    </row>
    <row r="11">
      <c r="A11" s="12" t="n">
        <v>0.149988</v>
      </c>
      <c r="B11" s="39" t="n">
        <v>-1.61</v>
      </c>
      <c r="C11" s="39" t="n">
        <v>-1.7</v>
      </c>
      <c r="D11" s="39" t="n">
        <v>-1.81</v>
      </c>
      <c r="E11" s="39" t="n">
        <v>-1.94</v>
      </c>
      <c r="F11" s="39" t="n">
        <v>-2.12</v>
      </c>
    </row>
    <row r="12">
      <c r="A12" s="12" t="n">
        <v>0.159988</v>
      </c>
      <c r="B12" s="39" t="n">
        <v>-1.72</v>
      </c>
      <c r="C12" s="39" t="n">
        <v>-1.81</v>
      </c>
      <c r="D12" s="39" t="n">
        <v>-1.91</v>
      </c>
      <c r="E12" s="39" t="n">
        <v>-2.04</v>
      </c>
      <c r="F12" s="39" t="n">
        <v>-2.21</v>
      </c>
    </row>
    <row r="13">
      <c r="A13" s="12" t="n">
        <v>0.169988</v>
      </c>
      <c r="B13" s="39" t="n">
        <v>-1.82</v>
      </c>
      <c r="C13" s="39" t="n">
        <v>-1.9</v>
      </c>
      <c r="D13" s="39" t="n">
        <v>-2</v>
      </c>
      <c r="E13" s="39" t="n">
        <v>-2.12</v>
      </c>
      <c r="F13" s="39" t="n">
        <v>-2.28</v>
      </c>
    </row>
    <row r="15">
      <c r="A15" s="5" t="inlineStr">
        <is>
          <t>Explicit-window WACC × terminal WACC (EGP/share)</t>
        </is>
      </c>
    </row>
    <row r="16">
      <c r="A16" s="5" t="inlineStr">
        <is>
          <t>Explicit \ terminal</t>
        </is>
      </c>
      <c r="B16" s="44" t="n">
        <v>0.129988</v>
      </c>
      <c r="C16" s="44" t="n">
        <v>0.139988</v>
      </c>
      <c r="D16" s="44" t="n">
        <v>0.149988</v>
      </c>
      <c r="E16" s="44" t="n">
        <v>0.159988</v>
      </c>
      <c r="F16" s="44" t="n">
        <v>0.169988</v>
      </c>
    </row>
    <row r="17">
      <c r="A17" s="12" t="n">
        <v>0.1939056500498176</v>
      </c>
      <c r="B17" s="39" t="n">
        <v>-1.83</v>
      </c>
      <c r="C17" s="39" t="n">
        <v>-1.98</v>
      </c>
      <c r="D17" s="39" t="n">
        <v>-2.09</v>
      </c>
      <c r="E17" s="39" t="n">
        <v>-2.18</v>
      </c>
      <c r="F17" s="39" t="n">
        <v>-2.25</v>
      </c>
    </row>
    <row r="18">
      <c r="A18" s="12" t="n">
        <v>0.2039056500498176</v>
      </c>
      <c r="B18" s="39" t="n">
        <v>-1.85</v>
      </c>
      <c r="C18" s="39" t="n">
        <v>-2</v>
      </c>
      <c r="D18" s="39" t="n">
        <v>-2.11</v>
      </c>
      <c r="E18" s="39" t="n">
        <v>-2.19</v>
      </c>
      <c r="F18" s="39" t="n">
        <v>-2.26</v>
      </c>
    </row>
    <row r="19">
      <c r="A19" s="12" t="n">
        <v>0.2139056500498176</v>
      </c>
      <c r="B19" s="39" t="n">
        <v>-1.87</v>
      </c>
      <c r="C19" s="39" t="n">
        <v>-2.02</v>
      </c>
      <c r="D19" s="39" t="n">
        <v>-2.12</v>
      </c>
      <c r="E19" s="39" t="n">
        <v>-2.21</v>
      </c>
      <c r="F19" s="39" t="n">
        <v>-2.28</v>
      </c>
    </row>
    <row r="20">
      <c r="A20" s="12" t="n">
        <v>0.2239056500498176</v>
      </c>
      <c r="B20" s="39" t="n">
        <v>-1.89</v>
      </c>
      <c r="C20" s="39" t="n">
        <v>-2.03</v>
      </c>
      <c r="D20" s="39" t="n">
        <v>-2.14</v>
      </c>
      <c r="E20" s="39" t="n">
        <v>-2.22</v>
      </c>
      <c r="F20" s="39" t="n">
        <v>-2.29</v>
      </c>
    </row>
    <row r="21">
      <c r="A21" s="12" t="n">
        <v>0.2339056500498176</v>
      </c>
      <c r="B21" s="39" t="n">
        <v>-1.91</v>
      </c>
      <c r="C21" s="39" t="n">
        <v>-2.05</v>
      </c>
      <c r="D21" s="39" t="n">
        <v>-2.15</v>
      </c>
      <c r="E21" s="39" t="n">
        <v>-2.23</v>
      </c>
      <c r="F21" s="39" t="n">
        <v>-2.3</v>
      </c>
    </row>
    <row r="23">
      <c r="A23" s="5" t="inlineStr">
        <is>
          <t>EBITDA-margin shift × terminal NWC intensity (EGP/share)</t>
        </is>
      </c>
    </row>
    <row r="24">
      <c r="A24" s="5" t="inlineStr">
        <is>
          <t>Margin shift \ NWC %</t>
        </is>
      </c>
      <c r="B24" s="44" t="n">
        <v>1</v>
      </c>
      <c r="C24" s="44" t="n">
        <v>0.9399999999999999</v>
      </c>
      <c r="D24" s="44" t="n">
        <v>0.88</v>
      </c>
      <c r="E24" s="44" t="n">
        <v>0.82</v>
      </c>
      <c r="F24" s="44" t="n">
        <v>0.76</v>
      </c>
    </row>
    <row r="25">
      <c r="A25" s="45" t="n">
        <v>-0.3</v>
      </c>
      <c r="B25" s="39" t="n">
        <v>0</v>
      </c>
      <c r="C25" s="39" t="n">
        <v>0</v>
      </c>
      <c r="D25" s="39" t="n">
        <v>0</v>
      </c>
      <c r="E25" s="39" t="n">
        <v>0</v>
      </c>
      <c r="F25" s="39" t="n">
        <v>0</v>
      </c>
    </row>
    <row r="26">
      <c r="A26" s="45" t="n">
        <v>-0.15</v>
      </c>
      <c r="B26" s="39" t="n">
        <v>0</v>
      </c>
      <c r="C26" s="39" t="n">
        <v>0</v>
      </c>
      <c r="D26" s="39" t="n">
        <v>-2.7</v>
      </c>
      <c r="E26" s="39" t="n">
        <v>-2.4</v>
      </c>
      <c r="F26" s="39" t="n">
        <v>-2.1</v>
      </c>
    </row>
    <row r="27">
      <c r="A27" s="45" t="n">
        <v>0</v>
      </c>
      <c r="B27" s="39" t="n">
        <v>-2.72</v>
      </c>
      <c r="C27" s="39" t="n">
        <v>-2.42</v>
      </c>
      <c r="D27" s="39" t="n">
        <v>-2.12</v>
      </c>
      <c r="E27" s="39" t="n">
        <v>-1.82</v>
      </c>
      <c r="F27" s="39" t="n">
        <v>-1.52</v>
      </c>
    </row>
    <row r="28">
      <c r="A28" s="45" t="n">
        <v>0.15</v>
      </c>
      <c r="B28" s="39" t="n">
        <v>-2.14</v>
      </c>
      <c r="C28" s="39" t="n">
        <v>-1.84</v>
      </c>
      <c r="D28" s="39" t="n">
        <v>-1.54</v>
      </c>
      <c r="E28" s="39" t="n">
        <v>-1.24</v>
      </c>
      <c r="F28" s="39" t="n">
        <v>-0.95</v>
      </c>
    </row>
    <row r="29">
      <c r="A29" s="45" t="n">
        <v>0.3</v>
      </c>
      <c r="B29" s="39" t="n">
        <v>-1.56</v>
      </c>
      <c r="C29" s="39" t="n">
        <v>-1.26</v>
      </c>
      <c r="D29" s="39" t="n">
        <v>-0.96</v>
      </c>
      <c r="E29" s="39" t="n">
        <v>-0.67</v>
      </c>
      <c r="F29" s="39" t="n">
        <v>-0.37</v>
      </c>
    </row>
    <row r="31">
      <c r="A31" s="5" t="inlineStr">
        <is>
          <t>Terminal-ROIC grid (drives RR = g/ROIC and the inverted g-gradient)</t>
        </is>
      </c>
    </row>
    <row r="32">
      <c r="A32" s="5" t="inlineStr">
        <is>
          <t>Terminal ROIC</t>
        </is>
      </c>
      <c r="B32" s="5" t="inlineStr">
        <is>
          <t>RR for g=5%</t>
        </is>
      </c>
      <c r="C32" s="5" t="inlineStr">
        <is>
          <t>Terminal value</t>
        </is>
      </c>
      <c r="D32" s="5" t="inlineStr">
        <is>
          <t>DCF (EGP/sh, unfloored)</t>
        </is>
      </c>
    </row>
    <row r="33">
      <c r="A33" s="12" t="n">
        <v>0.077</v>
      </c>
      <c r="B33" s="12" t="n">
        <v>0.9090909090909099</v>
      </c>
      <c r="C33" s="6" t="n">
        <v>1821</v>
      </c>
      <c r="D33" s="39" t="n">
        <v>-2.51</v>
      </c>
    </row>
    <row r="34">
      <c r="A34" s="12" t="n">
        <v>0.08500000000000001</v>
      </c>
      <c r="B34" s="12" t="n">
        <v>0.8235294117647065</v>
      </c>
      <c r="C34" s="6" t="n">
        <v>3534</v>
      </c>
      <c r="D34" s="39" t="n">
        <v>-2.28</v>
      </c>
    </row>
    <row r="35">
      <c r="A35" s="12" t="n">
        <v>0.09170814583433977</v>
      </c>
      <c r="B35" s="12" t="n">
        <v>0.7632909744620399</v>
      </c>
      <c r="C35" s="6" t="n">
        <v>4741</v>
      </c>
      <c r="D35" s="39" t="n">
        <v>-2.12</v>
      </c>
    </row>
    <row r="36">
      <c r="A36" s="12" t="n">
        <v>0.12</v>
      </c>
      <c r="B36" s="12" t="n">
        <v>0.5833333333333339</v>
      </c>
      <c r="C36" s="6" t="n">
        <v>8345</v>
      </c>
      <c r="D36" s="39" t="n">
        <v>-1.65</v>
      </c>
    </row>
    <row r="37">
      <c r="A37" s="12" t="n">
        <v>0.15</v>
      </c>
      <c r="B37" s="12" t="n">
        <v>0.4666666666666671</v>
      </c>
      <c r="C37" s="6" t="n">
        <v>10681</v>
      </c>
      <c r="D37" s="39" t="n">
        <v>-1.34</v>
      </c>
    </row>
    <row r="39">
      <c r="A39" s="10" t="inlineStr">
        <is>
          <t>Challenged net-debt reading (unverified aggregator 10,386): DCF unfloored</t>
        </is>
      </c>
      <c r="E39" s="39" t="n">
        <v>-2.3</v>
      </c>
    </row>
    <row r="41">
      <c r="A41" s="5" t="inlineStr">
        <is>
          <t>Beta grid (Ke / WACCs / DCF)</t>
        </is>
      </c>
    </row>
    <row r="42">
      <c r="A42" s="5" t="inlineStr">
        <is>
          <t>Beta</t>
        </is>
      </c>
      <c r="B42" s="5" t="inlineStr">
        <is>
          <t>Ke</t>
        </is>
      </c>
      <c r="C42" s="5" t="inlineStr">
        <is>
          <t>WACC explicit</t>
        </is>
      </c>
      <c r="D42" s="5" t="inlineStr">
        <is>
          <t>WACC terminal</t>
        </is>
      </c>
      <c r="E42" s="5" t="inlineStr">
        <is>
          <t>DCF (EGP/sh)</t>
        </is>
      </c>
    </row>
    <row r="43">
      <c r="A43" s="39" t="n">
        <v>0.6</v>
      </c>
      <c r="B43" s="12" t="n">
        <v>0.24556</v>
      </c>
      <c r="C43" s="12" t="n">
        <v>0.2003047439516406</v>
      </c>
      <c r="D43" s="12" t="n">
        <v>0.1347</v>
      </c>
      <c r="E43" s="39" t="n">
        <v>-1.94</v>
      </c>
    </row>
    <row r="44">
      <c r="A44" s="39" t="n">
        <v>0.78</v>
      </c>
      <c r="B44" s="12" t="n">
        <v>0.262498</v>
      </c>
      <c r="C44" s="12" t="n">
        <v>0.2070304667474424</v>
      </c>
      <c r="D44" s="12" t="n">
        <v>0.14226</v>
      </c>
      <c r="E44" s="39" t="n">
        <v>-2.04</v>
      </c>
    </row>
    <row r="45">
      <c r="A45" s="39" t="n">
        <v>0.8</v>
      </c>
      <c r="B45" s="12" t="n">
        <v>0.26438</v>
      </c>
      <c r="C45" s="12" t="n">
        <v>0.2077777692803093</v>
      </c>
      <c r="D45" s="12" t="n">
        <v>0.1431</v>
      </c>
      <c r="E45" s="39" t="n">
        <v>-2.05</v>
      </c>
    </row>
    <row r="46">
      <c r="A46" s="39" t="n">
        <v>0.964</v>
      </c>
      <c r="B46" s="12" t="n">
        <v>0.2798124</v>
      </c>
      <c r="C46" s="12" t="n">
        <v>0.2139056500498176</v>
      </c>
      <c r="D46" s="12" t="n">
        <v>0.149988</v>
      </c>
      <c r="E46" s="39" t="n">
        <v>-2.12</v>
      </c>
    </row>
    <row r="47">
      <c r="A47" s="39" t="n">
        <v>1</v>
      </c>
      <c r="B47" s="12" t="n">
        <v>0.2832</v>
      </c>
      <c r="C47" s="12" t="n">
        <v>0.215250794608978</v>
      </c>
      <c r="D47" s="12" t="n">
        <v>0.1515</v>
      </c>
      <c r="E47" s="39" t="n">
        <v>-2.14</v>
      </c>
    </row>
    <row r="48">
      <c r="A48" s="39" t="n">
        <v>1.15</v>
      </c>
      <c r="B48" s="12" t="n">
        <v>0.297315</v>
      </c>
      <c r="C48" s="12" t="n">
        <v>0.2208555636054796</v>
      </c>
      <c r="D48" s="12" t="n">
        <v>0.1578</v>
      </c>
      <c r="E48" s="39" t="n">
        <v>-2.19</v>
      </c>
    </row>
    <row r="49">
      <c r="A49" s="39" t="n">
        <v>1.3</v>
      </c>
      <c r="B49" s="12" t="n">
        <v>0.31143</v>
      </c>
      <c r="C49" s="12" t="n">
        <v>0.2264603326019811</v>
      </c>
      <c r="D49" s="12" t="n">
        <v>0.1641</v>
      </c>
      <c r="E49" s="39" t="n">
        <v>-2.24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Per-share &amp; ratios — the standing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Links to statements / Assumptions.</t>
        </is>
      </c>
    </row>
    <row r="4">
      <c r="A4" s="5" t="inlineStr"/>
      <c r="B4" s="5" t="inlineStr">
        <is>
          <t>FY23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6" t="inlineStr">
        <is>
          <t>EPS (EGP)</t>
        </is>
      </c>
      <c r="B6" s="39">
        <f>'Income Statement'!B14/Assumptions!$B$6</f>
        <v/>
      </c>
      <c r="C6" s="39">
        <f>'Income Statement'!C14/Assumptions!$B$6</f>
        <v/>
      </c>
      <c r="D6" s="39">
        <f>'Income Statement'!D14/Assumptions!$B$6</f>
        <v/>
      </c>
      <c r="E6" s="39">
        <f>'Income Statement'!E14/Assumptions!$B$6</f>
        <v/>
      </c>
      <c r="F6" s="39">
        <f>'Income Statement'!F14/Assumptions!$B$6</f>
        <v/>
      </c>
      <c r="G6" s="39">
        <f>'Income Statement'!G14/Assumptions!$B$6</f>
        <v/>
      </c>
      <c r="H6" s="39">
        <f>'Income Statement'!H14/Assumptions!$B$6</f>
        <v/>
      </c>
      <c r="I6" s="39">
        <f>'Income Statement'!I14/Assumptions!$B$6</f>
        <v/>
      </c>
    </row>
    <row r="7">
      <c r="A7" s="6" t="inlineStr">
        <is>
          <t>P/E at spot (×)</t>
        </is>
      </c>
      <c r="B7" s="30">
        <f>IF('Income Statement'!B14&gt;0,Assumptions!$B$5/('Income Statement'!B14/Assumptions!$B$6),"n.m.")</f>
        <v/>
      </c>
      <c r="C7" s="30">
        <f>IF('Income Statement'!C14&gt;0,Assumptions!$B$5/('Income Statement'!C14/Assumptions!$B$6),"n.m.")</f>
        <v/>
      </c>
      <c r="D7" s="30">
        <f>IF('Income Statement'!D14&gt;0,Assumptions!$B$5/('Income Statement'!D14/Assumptions!$B$6),"n.m.")</f>
        <v/>
      </c>
      <c r="E7" s="30">
        <f>IF('Income Statement'!E14&gt;0,Assumptions!$B$5/('Income Statement'!E14/Assumptions!$B$6),"n.m.")</f>
        <v/>
      </c>
      <c r="F7" s="30">
        <f>IF('Income Statement'!F14&gt;0,Assumptions!$B$5/('Income Statement'!F14/Assumptions!$B$6),"n.m.")</f>
        <v/>
      </c>
      <c r="G7" s="30">
        <f>IF('Income Statement'!G14&gt;0,Assumptions!$B$5/('Income Statement'!G14/Assumptions!$B$6),"n.m.")</f>
        <v/>
      </c>
      <c r="H7" s="30">
        <f>IF('Income Statement'!H14&gt;0,Assumptions!$B$5/('Income Statement'!H14/Assumptions!$B$6),"n.m.")</f>
        <v/>
      </c>
      <c r="I7" s="30">
        <f>IF('Income Statement'!I14&gt;0,Assumptions!$B$5/('Income Statement'!I14/Assumptions!$B$6),"n.m.")</f>
        <v/>
      </c>
    </row>
    <row r="8">
      <c r="A8" s="6" t="inlineStr">
        <is>
          <t>EBITDA margin</t>
        </is>
      </c>
      <c r="B8" s="12">
        <f>'Income Statement'!B7/'Income Statement'!B6</f>
        <v/>
      </c>
      <c r="C8" s="12">
        <f>'Income Statement'!C7/'Income Statement'!C6</f>
        <v/>
      </c>
      <c r="D8" s="12">
        <f>'Income Statement'!D7/'Income Statement'!D6</f>
        <v/>
      </c>
      <c r="E8" s="12">
        <f>'Income Statement'!E7/'Income Statement'!E6</f>
        <v/>
      </c>
      <c r="F8" s="12">
        <f>'Income Statement'!F7/'Income Statement'!F6</f>
        <v/>
      </c>
      <c r="G8" s="12">
        <f>'Income Statement'!G7/'Income Statement'!G6</f>
        <v/>
      </c>
      <c r="H8" s="12">
        <f>'Income Statement'!H7/'Income Statement'!H6</f>
        <v/>
      </c>
      <c r="I8" s="12">
        <f>'Income Statement'!I7/'Income Statement'!I6</f>
        <v/>
      </c>
    </row>
    <row r="9">
      <c r="A9" s="6" t="inlineStr">
        <is>
          <t>Net margin</t>
        </is>
      </c>
      <c r="B9" s="12">
        <f>'Income Statement'!B14/'Income Statement'!B6</f>
        <v/>
      </c>
      <c r="C9" s="12">
        <f>'Income Statement'!C14/'Income Statement'!C6</f>
        <v/>
      </c>
      <c r="D9" s="12">
        <f>'Income Statement'!D14/'Income Statement'!D6</f>
        <v/>
      </c>
      <c r="E9" s="12">
        <f>'Income Statement'!E14/'Income Statement'!E6</f>
        <v/>
      </c>
      <c r="F9" s="12">
        <f>'Income Statement'!F14/'Income Statement'!F6</f>
        <v/>
      </c>
      <c r="G9" s="12">
        <f>'Income Statement'!G14/'Income Statement'!G6</f>
        <v/>
      </c>
      <c r="H9" s="12">
        <f>'Income Statement'!H14/'Income Statement'!H6</f>
        <v/>
      </c>
      <c r="I9" s="12">
        <f>'Income Statement'!I14/'Income Statement'!I6</f>
        <v/>
      </c>
    </row>
    <row r="10">
      <c r="A10" s="6" t="inlineStr">
        <is>
          <t>Revenue YoY</t>
        </is>
      </c>
      <c r="C10" s="12">
        <f>'Income Statement'!C6/'Income Statement'!B6-1</f>
        <v/>
      </c>
      <c r="D10" s="12">
        <f>'Income Statement'!D6/'Income Statement'!C6-1</f>
        <v/>
      </c>
      <c r="E10" s="12">
        <f>'Income Statement'!E6/'Income Statement'!D6-1</f>
        <v/>
      </c>
      <c r="F10" s="12">
        <f>'Income Statement'!F6/'Income Statement'!E6-1</f>
        <v/>
      </c>
      <c r="G10" s="12">
        <f>'Income Statement'!G6/'Income Statement'!F6-1</f>
        <v/>
      </c>
      <c r="H10" s="12">
        <f>'Income Statement'!H6/'Income Statement'!G6-1</f>
        <v/>
      </c>
      <c r="I10" s="12">
        <f>'Income Statement'!I6/'Income Statement'!H6-1</f>
        <v/>
      </c>
    </row>
    <row r="11">
      <c r="A11" s="6" t="inlineStr">
        <is>
          <t>Book value / share (EGP)</t>
        </is>
      </c>
      <c r="D11" s="39">
        <f>Assumptions!$B$34/Assumptions!$B$6</f>
        <v/>
      </c>
      <c r="E11" s="39">
        <f>'Balance Sheet'!D12/Assumptions!$B$6</f>
        <v/>
      </c>
      <c r="F11" s="39">
        <f>'Balance Sheet'!E12/Assumptions!$B$6</f>
        <v/>
      </c>
      <c r="G11" s="39">
        <f>'Balance Sheet'!F12/Assumptions!$B$6</f>
        <v/>
      </c>
      <c r="H11" s="39">
        <f>'Balance Sheet'!G12/Assumptions!$B$6</f>
        <v/>
      </c>
      <c r="I11" s="39">
        <f>'Balance Sheet'!H12/Assumptions!$B$6</f>
        <v/>
      </c>
    </row>
    <row r="12">
      <c r="A12" s="6" t="inlineStr">
        <is>
          <t>P/B at spot (×)</t>
        </is>
      </c>
      <c r="B12" s="46" t="n"/>
      <c r="C12" s="46" t="n"/>
      <c r="D12" s="30">
        <f>Assumptions!$B$5/(Assumptions!$B$34/Assumptions!$B$6)</f>
        <v/>
      </c>
      <c r="E12" s="30">
        <f>Assumptions!$B$5/('Balance Sheet'!D12/Assumptions!$B$6)</f>
        <v/>
      </c>
      <c r="F12" s="30">
        <f>Assumptions!$B$5/('Balance Sheet'!E12/Assumptions!$B$6)</f>
        <v/>
      </c>
      <c r="G12" s="30">
        <f>Assumptions!$B$5/('Balance Sheet'!F12/Assumptions!$B$6)</f>
        <v/>
      </c>
      <c r="H12" s="30">
        <f>Assumptions!$B$5/('Balance Sheet'!G12/Assumptions!$B$6)</f>
        <v/>
      </c>
      <c r="I12" s="30">
        <f>Assumptions!$B$5/('Balance Sheet'!H12/Assumptions!$B$6)</f>
        <v/>
      </c>
    </row>
    <row r="13">
      <c r="A13" s="6" t="inlineStr">
        <is>
          <t>Net debt / EBITDA (×)</t>
        </is>
      </c>
      <c r="B13" s="46" t="n"/>
      <c r="C13" s="46" t="n"/>
      <c r="D13" s="30">
        <f>Assumptions!$B$28/'Income Statement'!D7</f>
        <v/>
      </c>
      <c r="E13" s="30">
        <f>'Balance Sheet'!D11/'Income Statement'!E7</f>
        <v/>
      </c>
      <c r="F13" s="30">
        <f>'Balance Sheet'!E11/'Income Statement'!F7</f>
        <v/>
      </c>
      <c r="G13" s="30">
        <f>'Balance Sheet'!F11/'Income Statement'!G7</f>
        <v/>
      </c>
      <c r="H13" s="30">
        <f>'Balance Sheet'!G11/'Income Statement'!H7</f>
        <v/>
      </c>
      <c r="I13" s="30">
        <f>'Balance Sheet'!H11/'Income Statement'!I7</f>
        <v/>
      </c>
    </row>
    <row r="14">
      <c r="A14" s="6" t="inlineStr">
        <is>
          <t>Net debt / equity</t>
        </is>
      </c>
      <c r="D14" s="12">
        <f>Assumptions!$B$28/Assumptions!$B$34</f>
        <v/>
      </c>
      <c r="E14" s="12">
        <f>'Balance Sheet'!D11/'Balance Sheet'!D12</f>
        <v/>
      </c>
      <c r="F14" s="12">
        <f>'Balance Sheet'!E11/'Balance Sheet'!E12</f>
        <v/>
      </c>
      <c r="G14" s="12">
        <f>'Balance Sheet'!F11/'Balance Sheet'!F12</f>
        <v/>
      </c>
      <c r="H14" s="12">
        <f>'Balance Sheet'!G11/'Balance Sheet'!G12</f>
        <v/>
      </c>
      <c r="I14" s="12">
        <f>'Balance Sheet'!H11/'Balance Sheet'!H12</f>
        <v/>
      </c>
    </row>
    <row r="15">
      <c r="A15" s="6" t="inlineStr">
        <is>
          <t>ROE (attributable)</t>
        </is>
      </c>
      <c r="E15" s="12">
        <f>'Income Statement'!E14/'Balance Sheet'!D12</f>
        <v/>
      </c>
      <c r="F15" s="12">
        <f>'Income Statement'!F14/'Balance Sheet'!E12</f>
        <v/>
      </c>
      <c r="G15" s="12">
        <f>'Income Statement'!G14/'Balance Sheet'!F12</f>
        <v/>
      </c>
      <c r="H15" s="12">
        <f>'Income Statement'!H14/'Balance Sheet'!G12</f>
        <v/>
      </c>
      <c r="I15" s="12">
        <f>'Income Statement'!I14/'Balance Sheet'!H12</f>
        <v/>
      </c>
    </row>
    <row r="17">
      <c r="A17" s="13" t="inlineStr">
        <is>
          <t>Historical per-share ratios beyond EPS are omitted where the year-end balance sheet was never published (flagged gap).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56" customWidth="1" min="6" max="6"/>
    <col width="12" customWidth="1" min="7" max="7"/>
  </cols>
  <sheetData>
    <row r="1">
      <c r="A1" s="1" t="inlineStr">
        <is>
          <t>Peer set &amp; sector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One giant (Elsewedy) above a tier of mid-caps competing on price and local content in tenders.</t>
        </is>
      </c>
    </row>
    <row r="5">
      <c r="A5" s="5" t="inlineStr">
        <is>
          <t>Name</t>
        </is>
      </c>
      <c r="B5" s="5" t="inlineStr">
        <is>
          <t>Mkt cap</t>
        </is>
      </c>
      <c r="C5" s="5" t="inlineStr">
        <is>
          <t>P/E</t>
        </is>
      </c>
      <c r="D5" s="5" t="inlineStr">
        <is>
          <t>EV/EBITDA</t>
        </is>
      </c>
      <c r="E5" s="5" t="inlineStr">
        <is>
          <t>D/E</t>
        </is>
      </c>
      <c r="F5" s="5" t="inlineStr">
        <is>
          <t>Note</t>
        </is>
      </c>
    </row>
    <row r="6">
      <c r="A6" s="14" t="inlineStr">
        <is>
          <t>El Sewedy Electric (EGX: SWDY)</t>
        </is>
      </c>
      <c r="B6" s="14" t="inlineStr">
        <is>
          <t>EGP 196bn (21-Jul; ~205bn 27-Jul)</t>
        </is>
      </c>
      <c r="C6" s="14" t="inlineStr">
        <is>
          <t>11.3x computed</t>
        </is>
      </c>
      <c r="D6" s="14" t="inlineStr">
        <is>
          <t>~7.1x computed</t>
        </is>
      </c>
      <c r="E6" s="14" t="inlineStr">
        <is>
          <t>moderate</t>
        </is>
      </c>
      <c r="F6" s="14" t="inlineStr">
        <is>
          <t>FY25 rev 281bn, NP 17.3bn, EBITDA 30.7bn, net bank debt 19.8bn (filed); W&amp;C grew low-teens FY25 (+66% is FY2024)</t>
        </is>
      </c>
    </row>
    <row r="7">
      <c r="A7" s="14" t="inlineStr">
        <is>
          <t>Riyadh Cables (Tadawul: 4142)</t>
        </is>
      </c>
      <c r="B7" s="14" t="inlineStr">
        <is>
          <t>SAR 15.4bn (30-Jul)</t>
        </is>
      </c>
      <c r="C7" s="14" t="inlineStr">
        <is>
          <t>14.3x</t>
        </is>
      </c>
      <c r="D7" s="14" t="inlineStr">
        <is>
          <t>~12.5x derived</t>
        </is>
      </c>
      <c r="E7" s="14" t="inlineStr">
        <is>
          <t>~0.5x</t>
        </is>
      </c>
      <c r="F7" s="14" t="inlineStr">
        <is>
          <t>Same industry, clean balance sheet, different market; BS inputs unverified</t>
        </is>
      </c>
    </row>
    <row r="8">
      <c r="A8" s="14" t="inlineStr">
        <is>
          <t>Electro Cable Egypt (ELEC)</t>
        </is>
      </c>
      <c r="B8" s="14" t="inlineStr">
        <is>
          <t>EGP 7.3bn</t>
        </is>
      </c>
      <c r="C8" s="14" t="inlineStr">
        <is>
          <t>14.6x trailing</t>
        </is>
      </c>
      <c r="D8" s="14" t="inlineStr">
        <is>
          <t>~5.3x FY25e</t>
        </is>
      </c>
      <c r="E8" s="14" t="inlineStr">
        <is>
          <t>~2.5x</t>
        </is>
      </c>
      <c r="F8" s="14" t="inlineStr">
        <is>
          <t>Loss-making 1Q26; ~5.5x on FY24 windfall EPS</t>
        </is>
      </c>
    </row>
    <row r="9">
      <c r="A9" s="14" t="inlineStr">
        <is>
          <t>Giza Cables (private)</t>
        </is>
      </c>
      <c r="B9" s="14" t="inlineStr">
        <is>
          <t>—</t>
        </is>
      </c>
      <c r="C9" s="14" t="inlineStr">
        <is>
          <t>—</t>
        </is>
      </c>
      <c r="D9" s="14" t="inlineStr">
        <is>
          <t>—</t>
        </is>
      </c>
      <c r="E9" s="14" t="inlineStr">
        <is>
          <t>—</t>
        </is>
      </c>
      <c r="F9" s="14" t="inlineStr">
        <is>
          <t>No public financials</t>
        </is>
      </c>
    </row>
    <row r="11">
      <c r="A11" s="13" t="inlineStr">
        <is>
          <t>Sector: EETC EGP 45bn FY25/26 transmission plan + EU €690mn package + Egypt–Saudi interconnector (95% complete) drive demand; LME-linked pass-through pricing keeps margins thin; copper +51% y/y strains working capital at 20%+ funding.</t>
        </is>
      </c>
    </row>
    <row r="12">
      <c r="A12" s="13" t="inlineStr">
        <is>
          <t>Analyst context: none exists — ELEC is uncovered; no rating and no target here either (house rule).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2026-09-10T14:30:37Z</dcterms:created>
  <dcterms:modified xmlns:dcterms="http://purl.org/dc/terms/" xmlns:xsi="http://www.w3.org/2001/XMLSchema-instance" xsi:type="dcterms:W3CDTF">2026-09-10T14:30:37Z</dcterms:modified>
</cp:coreProperties>
</file>