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8">
    <numFmt numFmtId="164" formatCode="#,##0.00;(#,##0.00);&quot;-&quot;"/>
    <numFmt numFmtId="165" formatCode="0.0000"/>
    <numFmt numFmtId="166" formatCode="#,##0;(#,##0);&quot;-&quot;"/>
    <numFmt numFmtId="167" formatCode="0.0%;(0.0%);&quot;-&quot;"/>
    <numFmt numFmtId="168" formatCode="0.000"/>
    <numFmt numFmtId="169" formatCode="#,##0.0;(#,##0.0);&quot;-&quot;"/>
    <numFmt numFmtId="170" formatCode="0.00x"/>
    <numFmt numFmtId="171" formatCode="0.000;(0.000);&quot;-&quot;"/>
  </numFmts>
  <fonts count="11">
    <font>
      <name val="Calibri"/>
      <family val="2"/>
      <color theme="1"/>
      <sz val="11"/>
      <scheme val="minor"/>
    </font>
    <font>
      <b val="1"/>
      <color rgb="00F4F7F6"/>
      <sz val="13"/>
    </font>
    <font>
      <sz val="10"/>
    </font>
    <font>
      <color rgb="006E7B77"/>
      <sz val="9"/>
    </font>
    <font>
      <b val="1"/>
    </font>
    <font>
      <b val="1"/>
      <color rgb="00000000"/>
    </font>
    <font>
      <color rgb="00000000"/>
    </font>
    <font>
      <color rgb="000000FF"/>
    </font>
    <font>
      <color rgb="00008000"/>
    </font>
    <font>
      <b val="1"/>
      <color rgb="000000FF"/>
    </font>
    <font>
      <b val="1"/>
      <color rgb="00008000"/>
    </font>
  </fonts>
  <fills count="5">
    <fill>
      <patternFill/>
    </fill>
    <fill>
      <patternFill patternType="gray125"/>
    </fill>
    <fill>
      <patternFill patternType="solid">
        <fgColor rgb="0016343E"/>
      </patternFill>
    </fill>
    <fill>
      <patternFill patternType="solid">
        <fgColor rgb="00E9F0EF"/>
      </patternFill>
    </fill>
    <fill>
      <patternFill patternType="solid">
        <fgColor rgb="00F5F1E8"/>
      </patternFill>
    </fill>
  </fills>
  <borders count="1">
    <border>
      <left/>
      <right/>
      <top/>
      <bottom/>
      <diagonal/>
    </border>
  </borders>
  <cellStyleXfs count="1">
    <xf numFmtId="0" fontId="0" fillId="0" borderId="0"/>
  </cellStyleXfs>
  <cellXfs count="5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6" fillId="0" borderId="0" pivotButton="0" quotePrefix="0" xfId="0"/>
    <xf numFmtId="171" fontId="8" fillId="0" borderId="0" pivotButton="0" quotePrefix="0" xfId="0"/>
    <xf numFmtId="167" fontId="6" fillId="0" borderId="0" pivotButton="0" quotePrefix="0" xfId="0"/>
    <xf numFmtId="167" fontId="8" fillId="0" borderId="0" pivotButton="0" quotePrefix="0" xfId="0"/>
    <xf numFmtId="0" fontId="5" fillId="4" borderId="0" pivotButton="0" quotePrefix="0" xfId="0"/>
    <xf numFmtId="171" fontId="6" fillId="4" borderId="0" pivotButton="0" quotePrefix="0" xfId="0"/>
    <xf numFmtId="0" fontId="4" fillId="4" borderId="0" pivotButton="0" quotePrefix="0" xfId="0"/>
    <xf numFmtId="164" fontId="10" fillId="4" borderId="0" pivotButton="0" quotePrefix="0" xfId="0"/>
    <xf numFmtId="166" fontId="8" fillId="0" borderId="0" pivotButton="0" quotePrefix="0" xfId="0"/>
    <xf numFmtId="169" fontId="8" fillId="0" borderId="0" pivotButton="0" quotePrefix="0" xfId="0"/>
    <xf numFmtId="168" fontId="8" fillId="0" borderId="0" pivotButton="0" quotePrefix="0" xfId="0"/>
    <xf numFmtId="10" fontId="8" fillId="0" borderId="0" pivotButton="0" quotePrefix="0" xfId="0"/>
    <xf numFmtId="0" fontId="6" fillId="4" borderId="0" pivotButton="0" quotePrefix="0" xfId="0"/>
    <xf numFmtId="171" fontId="6" fillId="0" borderId="0" pivotButton="0" quotePrefix="0" xfId="0"/>
    <xf numFmtId="0" fontId="5" fillId="0" borderId="0" pivotButton="0" quotePrefix="0" xfId="0"/>
    <xf numFmtId="170" fontId="7" fillId="0" borderId="0" pivotButton="0" quotePrefix="0" xfId="0"/>
    <xf numFmtId="166" fontId="6" fillId="0" borderId="0" pivotButton="0" quotePrefix="0" xfId="0"/>
    <xf numFmtId="171" fontId="5" fillId="0" borderId="0" pivotButton="0" quotePrefix="0" xfId="0"/>
    <xf numFmtId="164" fontId="7" fillId="0" borderId="0" pivotButton="0" quotePrefix="0" xfId="0"/>
    <xf numFmtId="165" fontId="7" fillId="0" borderId="0" pivotButton="0" quotePrefix="0" xfId="0"/>
    <xf numFmtId="166" fontId="7" fillId="0" borderId="0" pivotButton="0" quotePrefix="0" xfId="0"/>
    <xf numFmtId="167" fontId="7" fillId="0" borderId="0" pivotButton="0" quotePrefix="0" xfId="0"/>
    <xf numFmtId="169" fontId="7" fillId="0" borderId="0" pivotButton="0" quotePrefix="0" xfId="0"/>
    <xf numFmtId="10" fontId="7" fillId="0" borderId="0" pivotButton="0" quotePrefix="0" xfId="0"/>
    <xf numFmtId="10" fontId="6" fillId="0" borderId="0" pivotButton="0" quotePrefix="0" xfId="0"/>
    <xf numFmtId="168" fontId="7" fillId="0" borderId="0" pivotButton="0" quotePrefix="0" xfId="0"/>
    <xf numFmtId="166" fontId="5" fillId="0" borderId="0" pivotButton="0" quotePrefix="0" xfId="0"/>
    <xf numFmtId="167" fontId="5" fillId="0" borderId="0" pivotButton="0" quotePrefix="0" xfId="0"/>
    <xf numFmtId="171" fontId="4" fillId="4" borderId="0" pivotButton="0" quotePrefix="0" xfId="0"/>
    <xf numFmtId="169" fontId="6" fillId="0" borderId="0" pivotButton="0" quotePrefix="0" xfId="0"/>
    <xf numFmtId="169" fontId="5" fillId="0" borderId="0" pivotButton="0" quotePrefix="0" xfId="0"/>
    <xf numFmtId="168" fontId="6" fillId="0" borderId="0" pivotButton="0" quotePrefix="0" xfId="0"/>
    <xf numFmtId="168" fontId="5" fillId="4" borderId="0" pivotButton="0" quotePrefix="0" xfId="0"/>
    <xf numFmtId="168" fontId="5" fillId="0" borderId="0" pivotButton="0" quotePrefix="0" xfId="0"/>
    <xf numFmtId="170" fontId="8" fillId="0" borderId="0" pivotButton="0" quotePrefix="0" xfId="0"/>
    <xf numFmtId="170" fontId="6" fillId="0" borderId="0" pivotButton="0" quotePrefix="0" xfId="0"/>
    <xf numFmtId="165" fontId="6" fillId="0" borderId="0" pivotButton="0" quotePrefix="0" xfId="0"/>
    <xf numFmtId="10" fontId="5" fillId="0" borderId="0" pivotButton="0" quotePrefix="0" xfId="0"/>
    <xf numFmtId="167" fontId="4" fillId="4" borderId="0" pivotButton="0" quotePrefix="0" xfId="0"/>
    <xf numFmtId="169" fontId="4" fillId="4" borderId="0" pivotButton="0" quotePrefix="0" xfId="0"/>
    <xf numFmtId="169" fontId="9" fillId="0" borderId="0" pivotButton="0" quotePrefix="0" xfId="0"/>
    <xf numFmtId="169" fontId="10" fillId="0" borderId="0" pivotButton="0" quotePrefix="0" xfId="0"/>
    <xf numFmtId="166" fontId="10" fillId="0" borderId="0" pivotButton="0" quotePrefix="0" xfId="0"/>
    <xf numFmtId="171" fontId="7" fillId="0" borderId="0" pivotButton="0" quotePrefix="0" xfId="0"/>
    <xf numFmtId="164" fontId="8" fillId="0" borderId="0" pivotButton="0" quotePrefix="0" xfId="0"/>
    <xf numFmtId="0" fontId="7" fillId="0" borderId="0" pivotButton="0" quotePrefix="0" xfId="0"/>
    <xf numFmtId="0" fontId="6" fillId="0" borderId="0" applyAlignment="1" pivotButton="0" quotePrefix="0" xfId="0">
      <alignment vertical="top" wrapText="1"/>
    </xf>
    <xf numFmtId="17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Fertiglobe plc (ADX: FERTIGLB)</t>
        </is>
      </c>
      <c r="B1" s="2" t="n"/>
      <c r="C1" s="2" t="n"/>
      <c r="D1" s="2" t="n"/>
      <c r="E1" s="2" t="n"/>
      <c r="F1" s="2" t="n"/>
      <c r="G1" s="2" t="n"/>
      <c r="H1" s="2" t="n"/>
      <c r="I1" s="2" t="n"/>
    </row>
    <row r="2"/>
    <row r="3">
      <c r="A3" s="3" t="inlineStr">
        <is>
          <t>Companion model · Independent valuation study · Educational analysis · Not investment advice</t>
        </is>
      </c>
    </row>
    <row r="4">
      <c r="A4" s="3" t="inlineStr"/>
    </row>
    <row r="5">
      <c r="A5" s="3" t="inlineStr">
        <is>
          <t>What this workbook is. A transparent companion to the Fertiglobe valuation study. Blue cells are</t>
        </is>
      </c>
    </row>
    <row r="6">
      <c r="A6" s="3" t="inlineStr">
        <is>
          <t>inputs; black cells are formulas; green cells link to another sheet in this workbook.</t>
        </is>
      </c>
    </row>
    <row r="7">
      <c r="A7" s="3" t="inlineStr"/>
    </row>
    <row r="8">
      <c r="A8" s="3" t="inlineStr">
        <is>
          <t>IT CALCULATES, IT DOES NOT STORE. Every figure that can be derived from a driver is a live formula,</t>
        </is>
      </c>
    </row>
    <row r="9">
      <c r="A9" s="3" t="inlineStr">
        <is>
          <t>so you can change a blue cell on Assumptions and watch the model reprice. The cost of capital is</t>
        </is>
      </c>
    </row>
    <row r="10">
      <c r="A10" s="3" t="inlineStr">
        <is>
          <t>built in the sheet — the Abu Dhabi US dollar sovereign yield less its own default spread gives the</t>
        </is>
      </c>
    </row>
    <row r="11">
      <c r="A11" s="3" t="inlineStr">
        <is>
          <t>normalised risk-free rate, beta times the equity risk premium gives the cost of equity, the cost of</t>
        </is>
      </c>
    </row>
    <row r="12">
      <c r="A12" s="3" t="inlineStr">
        <is>
          <t>debt is taken after tax, and the weights come from net debt and market capitalisation. The glide</t>
        </is>
      </c>
    </row>
    <row r="13">
      <c r="A13" s="3" t="inlineStr">
        <is>
          <t>fractions are shown as they are derived and the discount factors compound, each one the year before</t>
        </is>
      </c>
    </row>
    <row r="14">
      <c r="A14" s="3" t="inlineStr">
        <is>
          <t>divided by one plus that year's cost of capital. The unit build multiplies volume by price and by</t>
        </is>
      </c>
    </row>
    <row r="15">
      <c r="A15" s="3" t="inlineStr">
        <is>
          <t>cost per tonne. The balance sheet rolls property forward as prior plus capital expenditure less</t>
        </is>
      </c>
    </row>
    <row r="16">
      <c r="A16" s="3" t="inlineStr">
        <is>
          <t>depreciation, and rolls working capital off the collection, inventory and payment days measured on</t>
        </is>
      </c>
    </row>
    <row r="17">
      <c r="A17" s="3" t="inlineStr">
        <is>
          <t>the audited statements. Every ratio and per-share figure on every sheet is computed where it is</t>
        </is>
      </c>
    </row>
    <row r="18">
      <c r="A18" s="3" t="inlineStr">
        <is>
          <t>shown.</t>
        </is>
      </c>
    </row>
    <row r="19">
      <c r="A19" s="3" t="inlineStr"/>
    </row>
    <row r="20">
      <c r="A20" s="3" t="inlineStr">
        <is>
          <t>THREE THINGS ARE PASTED VALUES, and it is worth knowing exactly which.</t>
        </is>
      </c>
    </row>
    <row r="21">
      <c r="A21" s="3" t="inlineStr">
        <is>
          <t xml:space="preserve">  1. Audited and disclosed history. The primary record is not a calculation. Where a line is both</t>
        </is>
      </c>
    </row>
    <row r="22">
      <c r="A22" s="3" t="inlineStr">
        <is>
          <t xml:space="preserve">     disclosed and derivable the DISCLOSED figure is carried, and the subtotals above and below it</t>
        </is>
      </c>
    </row>
    <row r="23">
      <c r="A23" s="3" t="inlineStr">
        <is>
          <t xml:space="preserve">     are formulas that have to reconcile to it — gross profit, operating profit, profit before tax,</t>
        </is>
      </c>
    </row>
    <row r="24">
      <c r="A24" s="3" t="inlineStr">
        <is>
          <t xml:space="preserve">     profit for the year and profit to owners are all computed from the disclosed components.</t>
        </is>
      </c>
    </row>
    <row r="25">
      <c r="A25" s="3" t="inlineStr">
        <is>
          <t xml:space="preserve">  2. The output of the unit build. The disclosed sales volumes, own-produced segment revenue and</t>
        </is>
      </c>
    </row>
    <row r="26">
      <c r="A26" s="3" t="inlineStr">
        <is>
          <t xml:space="preserve">     EBITDA, and the published urea and ammonia benchmark prices for the three reported periods sit</t>
        </is>
      </c>
    </row>
    <row r="27">
      <c r="A27" s="3" t="inlineStr">
        <is>
          <t xml:space="preserve">     on the Segments sheet as the raw material for two regressions. Everything downstream of them —</t>
        </is>
      </c>
    </row>
    <row r="28">
      <c r="A28" s="3" t="inlineStr">
        <is>
          <t xml:space="preserve">     the realisation factor against the benchmark and the cost pass-through slope and intercept —</t>
        </is>
      </c>
    </row>
    <row r="29">
      <c r="A29" s="3" t="inlineStr">
        <is>
          <t xml:space="preserve">     is computed in front of you, and the whole forecast cost stack is built from those two.</t>
        </is>
      </c>
    </row>
    <row r="30">
      <c r="A30" s="3" t="inlineStr">
        <is>
          <t xml:space="preserve">  3. Whole-model re-runs. The probabilistic price map on the Monte Carlo sheet and every grid on</t>
        </is>
      </c>
    </row>
    <row r="31">
      <c r="A31" s="3" t="inlineStr">
        <is>
          <t xml:space="preserve">     the Sensitivity sheet are complete revaluations of the model, one per cell, so they cannot be</t>
        </is>
      </c>
    </row>
    <row r="32">
      <c r="A32" s="3" t="inlineStr">
        <is>
          <t xml:space="preserve">     a single formula. THESE GRIDS DO NOT REDRAW WHEN A DRIVER IS CHANGED. Change a blue cell and</t>
        </is>
      </c>
    </row>
    <row r="33">
      <c r="A33" s="3" t="inlineStr">
        <is>
          <t xml:space="preserve">     the valuation moves; the price map and the sensitivity grids stay as they were computed.</t>
        </is>
      </c>
    </row>
    <row r="34">
      <c r="A34" s="3" t="inlineStr"/>
    </row>
    <row r="35">
      <c r="A35" s="3" t="inlineStr">
        <is>
          <t>Anything else that is pasted is a defect.</t>
        </is>
      </c>
    </row>
    <row r="36">
      <c r="A36" s="3" t="inlineStr"/>
    </row>
    <row r="37">
      <c r="A37" s="3" t="inlineStr">
        <is>
          <t>How the forecast is built. Not as one growth rate. Volume is installed capacity times a utilisation</t>
        </is>
      </c>
    </row>
    <row r="38">
      <c r="A38" s="3" t="inlineStr">
        <is>
          <t>path, split between urea and merchant ammonia. Price is the published benchmark for each product,</t>
        </is>
      </c>
    </row>
    <row r="39">
      <c r="A39" s="3" t="inlineStr">
        <is>
          <t>blended at the volume mix and multiplied by the realisation the company has actually achieved</t>
        </is>
      </c>
    </row>
    <row r="40">
      <c r="A40" s="3" t="inlineStr">
        <is>
          <t>against that benchmark in each of the three reported periods. Revenue is volume times price divided</t>
        </is>
      </c>
    </row>
    <row r="41">
      <c r="A41" s="3" t="inlineStr">
        <is>
          <t>by a thousand. Cash cost per tonne is an intercept plus a slope times the realised price, both of</t>
        </is>
      </c>
    </row>
    <row r="42">
      <c r="A42" s="3" t="inlineStr">
        <is>
          <t>them regressed on the sheet from the same three periods, because the Egyptian and Algerian gas</t>
        </is>
      </c>
    </row>
    <row r="43">
      <c r="A43" s="3" t="inlineStr">
        <is>
          <t>contracts are product-linked — the cost side moves with the price side rather than with a consumer</t>
        </is>
      </c>
    </row>
    <row r="44">
      <c r="A44" s="3" t="inlineStr">
        <is>
          <t>price index. Margin is an OUTPUT of that build, never an input.</t>
        </is>
      </c>
    </row>
    <row r="45">
      <c r="A45" s="3" t="inlineStr"/>
    </row>
    <row r="46">
      <c r="A46" s="3" t="inlineStr">
        <is>
          <t>The contested judgement, carried both ways and never averaged into one number. Framing A treats the</t>
        </is>
      </c>
    </row>
    <row r="47">
      <c r="A47" s="3" t="inlineStr">
        <is>
          <t>2026 nitrogen price as a war premium on top of a marginal-cost anchor and lets it revert. Framing B</t>
        </is>
      </c>
    </row>
    <row r="48">
      <c r="A48" s="3" t="inlineStr">
        <is>
          <t>takes the company's own sourced supply and demand balance and the European tariff wall on Russian</t>
        </is>
      </c>
    </row>
    <row r="49">
      <c r="A49" s="3" t="inlineStr">
        <is>
          <t>product and holds prices near recent levels. Both are built in full, both are discounted, both</t>
        </is>
      </c>
    </row>
    <row r="50">
      <c r="A50" s="3" t="inlineStr">
        <is>
          <t>reach a value per share, and both are shown side by side on the Summary, Fundamental Valuation,</t>
        </is>
      </c>
    </row>
    <row r="51">
      <c r="A51" s="3" t="inlineStr">
        <is>
          <t>SOTP Bridge and DCF sheets. The cash-flow lens is their average.</t>
        </is>
      </c>
    </row>
    <row r="52">
      <c r="A52" s="3" t="inlineStr"/>
    </row>
    <row r="53">
      <c r="A53" s="3" t="inlineStr">
        <is>
          <t>The 2026 half-year is already reported, so it is not forecast. The first six months of 2026 are the</t>
        </is>
      </c>
    </row>
    <row r="54">
      <c r="A54" s="3" t="inlineStr">
        <is>
          <t>disclosed actual and only the second half is modelled; the splice is shown on the Segments sheet.</t>
        </is>
      </c>
    </row>
    <row r="55">
      <c r="A55" s="3" t="inlineStr"/>
    </row>
    <row r="56">
      <c r="A56" s="3" t="inlineStr">
        <is>
          <t>What it is not. It is not investment advice, a recommendation, or a price target. Values are model</t>
        </is>
      </c>
    </row>
    <row r="57">
      <c r="A57" s="3" t="inlineStr">
        <is>
          <t>outputs shown as ranges and distributions.</t>
        </is>
      </c>
    </row>
    <row r="58">
      <c r="A58" s="3" t="inlineStr"/>
    </row>
    <row r="59">
      <c r="A59" s="3" t="inlineStr">
        <is>
          <t>Currency. The group reports and functions in US dollars, and the shares trade in dirhams on the Abu</t>
        </is>
      </c>
    </row>
    <row r="60">
      <c r="A60" s="3" t="inlineStr">
        <is>
          <t>Dhabi exchange. The model runs in US dollars, in millions, and translates at the fixed peg of</t>
        </is>
      </c>
    </row>
    <row r="61">
      <c r="A61" s="3" t="inlineStr">
        <is>
          <t>3.6725 dirhams to the dollar only at the last step. Market price AED 2.67 at the 2026-08-07 close.</t>
        </is>
      </c>
    </row>
    <row r="62">
      <c r="A62" s="3" t="inlineStr"/>
    </row>
    <row r="63">
      <c r="A63" s="3" t="inlineStr">
        <is>
          <t>Sheets: READ FIRST · Summary · Fundamental Valuation · Assumptions · SOTP Bridge · Segments ·</t>
        </is>
      </c>
    </row>
    <row r="64">
      <c r="A64" s="3" t="inlineStr">
        <is>
          <t>Relative &amp; Normalized · DCF · Income Statement · Balance Sheet · Cash Flow · Summary Financials ·</t>
        </is>
      </c>
    </row>
    <row r="65">
      <c r="A65" s="3" t="inlineStr">
        <is>
          <t>Monte Carlo · 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50" customWidth="1" min="1" max="1"/>
    <col width="16" customWidth="1" min="2" max="2"/>
    <col width="16" customWidth="1" min="3" max="3"/>
    <col width="16" customWidth="1" min="4" max="4"/>
    <col width="16" customWidth="1" min="5" max="5"/>
    <col width="16" customWidth="1" min="6" max="6"/>
  </cols>
  <sheetData>
    <row r="1">
      <c r="A1" s="1" t="inlineStr">
        <is>
          <t>Summary — valuation at a glance</t>
        </is>
      </c>
      <c r="B1" s="2" t="n"/>
      <c r="C1" s="2" t="n"/>
      <c r="D1" s="2" t="n"/>
      <c r="E1" s="2" t="n"/>
      <c r="F1" s="2" t="n"/>
    </row>
    <row r="2">
      <c r="A2" s="4" t="inlineStr">
        <is>
          <t>Every value links live to the sheet that computes it</t>
        </is>
      </c>
    </row>
    <row r="3"/>
    <row r="4">
      <c r="A4" s="5" t="inlineStr">
        <is>
          <t>Lens</t>
        </is>
      </c>
      <c r="B4" s="5" t="inlineStr">
        <is>
          <t>AED per share</t>
        </is>
      </c>
      <c r="C4" s="5" t="inlineStr">
        <is>
          <t>Role</t>
        </is>
      </c>
      <c r="D4" s="5" t="inlineStr">
        <is>
          <t>Against the market price</t>
        </is>
      </c>
      <c r="E4" s="5" t="inlineStr">
        <is>
          <t>Terminal value share</t>
        </is>
      </c>
      <c r="F4" s="5" t="inlineStr"/>
    </row>
    <row r="5">
      <c r="A5" s="6" t="inlineStr">
        <is>
          <t>Cash flow — framing A, marginal-cost anchor</t>
        </is>
      </c>
      <c r="B5" s="7">
        <f>'Fundamental Valuation'!B5</f>
        <v/>
      </c>
      <c r="C5" s="6" t="inlineStr">
        <is>
          <t>THE ANSWER</t>
        </is>
      </c>
      <c r="D5" s="8">
        <f>B5/$B$12-1</f>
        <v/>
      </c>
      <c r="E5" s="9">
        <f>'SOTP Bridge'!B14</f>
        <v/>
      </c>
    </row>
    <row r="6">
      <c r="A6" s="6" t="inlineStr">
        <is>
          <t>Cash flow — framing B, tightness persists</t>
        </is>
      </c>
      <c r="B6" s="7">
        <f>'Fundamental Valuation'!B6</f>
        <v/>
      </c>
      <c r="C6" s="6" t="inlineStr">
        <is>
          <t>THE ANSWER</t>
        </is>
      </c>
      <c r="D6" s="8">
        <f>B6/$B$12-1</f>
        <v/>
      </c>
      <c r="E6" s="9">
        <f>'SOTP Bridge'!C14</f>
        <v/>
      </c>
    </row>
    <row r="7">
      <c r="A7" s="6" t="inlineStr">
        <is>
          <t>Relative multiples</t>
        </is>
      </c>
      <c r="B7" s="7">
        <f>'Fundamental Valuation'!B7</f>
        <v/>
      </c>
      <c r="C7" s="6" t="inlineStr">
        <is>
          <t>Cross-check</t>
        </is>
      </c>
      <c r="D7" s="8">
        <f>B7/$B$12-1</f>
        <v/>
      </c>
    </row>
    <row r="8">
      <c r="A8" s="6" t="inlineStr">
        <is>
          <t>Book value</t>
        </is>
      </c>
      <c r="B8" s="7">
        <f>'Fundamental Valuation'!B8</f>
        <v/>
      </c>
      <c r="C8" s="6" t="inlineStr">
        <is>
          <t>Floor</t>
        </is>
      </c>
      <c r="D8" s="8">
        <f>B8/$B$12-1</f>
        <v/>
      </c>
    </row>
    <row r="9">
      <c r="A9" s="10" t="inlineStr">
        <is>
          <t>NOT AVERAGED — the midpoint neither framing supports</t>
        </is>
      </c>
      <c r="B9" s="11">
        <f>'Fundamental Valuation'!B9</f>
        <v/>
      </c>
      <c r="C9" s="12" t="n"/>
      <c r="D9" s="12" t="n"/>
      <c r="E9" s="12" t="n"/>
      <c r="F9" s="12" t="n"/>
    </row>
    <row r="10">
      <c r="A10" s="6" t="inlineStr">
        <is>
          <t>The envelope — the two present-value reads</t>
        </is>
      </c>
      <c r="B10" s="7">
        <f>'Fundamental Valuation'!B10</f>
        <v/>
      </c>
      <c r="C10" s="7">
        <f>'Fundamental Valuation'!C10</f>
        <v/>
      </c>
    </row>
    <row r="11">
      <c r="A11" s="6" t="inlineStr">
        <is>
          <t>Median of the three panel methods</t>
        </is>
      </c>
      <c r="B11" s="7">
        <f>'Fundamental Valuation'!D25</f>
        <v/>
      </c>
    </row>
    <row r="12">
      <c r="A12" s="10" t="inlineStr">
        <is>
          <t>Market price (AED per share)</t>
        </is>
      </c>
      <c r="B12" s="13">
        <f>Assumptions!$C$5</f>
        <v/>
      </c>
      <c r="C12" s="12" t="n"/>
      <c r="D12" s="12" t="n"/>
      <c r="E12" s="12" t="n"/>
      <c r="F12" s="12" t="n"/>
    </row>
    <row r="13"/>
    <row r="14">
      <c r="A14" s="5" t="inlineStr">
        <is>
          <t>Key figure</t>
        </is>
      </c>
      <c r="B14" s="5" t="inlineStr">
        <is>
          <t>Value</t>
        </is>
      </c>
    </row>
    <row r="15">
      <c r="A15" s="6" t="inlineStr">
        <is>
          <t>Ordinary shares outstanding (mn)</t>
        </is>
      </c>
      <c r="B15" s="14">
        <f>Assumptions!$C$7</f>
        <v/>
      </c>
    </row>
    <row r="16">
      <c r="A16" s="6" t="inlineStr">
        <is>
          <t>Market capitalisation ($m)</t>
        </is>
      </c>
      <c r="B16" s="14">
        <f>DCF!C84</f>
        <v/>
      </c>
    </row>
    <row r="17">
      <c r="A17" s="6" t="inlineStr">
        <is>
          <t>Net debt at 30 June 2026 ($m)</t>
        </is>
      </c>
      <c r="B17" s="15">
        <f>Assumptions!$C$70</f>
        <v/>
      </c>
    </row>
    <row r="18">
      <c r="A18" s="6" t="inlineStr">
        <is>
          <t>FY2025 revenue ($m)</t>
        </is>
      </c>
      <c r="B18" s="15">
        <f>'Income Statement'!D5</f>
        <v/>
      </c>
    </row>
    <row r="19">
      <c r="A19" s="6" t="inlineStr">
        <is>
          <t>FY2025 EBITDA ($m)</t>
        </is>
      </c>
      <c r="B19" s="15">
        <f>'Income Statement'!D11</f>
        <v/>
      </c>
    </row>
    <row r="20">
      <c r="A20" s="6" t="inlineStr">
        <is>
          <t>FY2025 profit to owners ($m)</t>
        </is>
      </c>
      <c r="B20" s="15">
        <f>'Income Statement'!D21</f>
        <v/>
      </c>
    </row>
    <row r="21">
      <c r="A21" s="6" t="inlineStr">
        <is>
          <t>Realisation against the blended benchmark</t>
        </is>
      </c>
      <c r="B21" s="16">
        <f>Assumptions!$C$24</f>
        <v/>
      </c>
    </row>
    <row r="22">
      <c r="A22" s="6" t="inlineStr">
        <is>
          <t>Cost pass-through, share of each incremental dollar</t>
        </is>
      </c>
      <c r="B22" s="16">
        <f>Assumptions!$C$25</f>
        <v/>
      </c>
    </row>
    <row r="23">
      <c r="A23" s="6" t="inlineStr">
        <is>
          <t>Forecast tax rate</t>
        </is>
      </c>
      <c r="B23" s="9">
        <f>DCF!C106</f>
        <v/>
      </c>
    </row>
    <row r="24">
      <c r="A24" s="6" t="inlineStr">
        <is>
          <t>Cost of capital — explicit window</t>
        </is>
      </c>
      <c r="B24" s="17">
        <f>DCF!C88</f>
        <v/>
      </c>
    </row>
    <row r="25">
      <c r="A25" s="6" t="inlineStr">
        <is>
          <t>Cost of capital — terminal</t>
        </is>
      </c>
      <c r="B25" s="17">
        <f>DCF!C91</f>
        <v/>
      </c>
    </row>
    <row r="26">
      <c r="A26" s="6" t="inlineStr">
        <is>
          <t>Terminal growth</t>
        </is>
      </c>
      <c r="B26" s="9">
        <f>Assumptions!$C$74</f>
        <v/>
      </c>
    </row>
    <row r="27"/>
    <row r="28">
      <c r="A28" s="4" t="inlineStr">
        <is>
          <t>Values are model outputs shown as a range and a weighted central figure. They are not a recommendation and not a target.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pane ySplit="4" topLeftCell="A5" activePane="bottomLeft" state="frozen"/>
      <selection pane="bottomLeft" activeCell="A1" sqref="A1"/>
    </sheetView>
  </sheetViews>
  <sheetFormatPr baseColWidth="8" defaultRowHeight="15"/>
  <cols>
    <col width="54" customWidth="1" min="1" max="1"/>
    <col width="16" customWidth="1" min="2" max="2"/>
    <col width="16" customWidth="1" min="3" max="3"/>
    <col width="16" customWidth="1" min="4" max="4"/>
    <col width="16" customWidth="1" min="5" max="5"/>
    <col width="16" customWidth="1" min="6" max="6"/>
  </cols>
  <sheetData>
    <row r="1">
      <c r="A1" s="1" t="inlineStr">
        <is>
          <t>Fundamental valuation — four lenses, and the judgement carried both ways</t>
        </is>
      </c>
      <c r="B1" s="2" t="n"/>
      <c r="C1" s="2" t="n"/>
      <c r="D1" s="2" t="n"/>
      <c r="E1" s="2" t="n"/>
      <c r="F1" s="2" t="n"/>
    </row>
    <row r="2"/>
    <row r="3"/>
    <row r="4">
      <c r="A4" s="5" t="inlineStr">
        <is>
          <t>Lens</t>
        </is>
      </c>
      <c r="B4" s="5" t="inlineStr">
        <is>
          <t>AED per share</t>
        </is>
      </c>
      <c r="C4" s="5" t="inlineStr">
        <is>
          <t>Role</t>
        </is>
      </c>
      <c r="D4" s="5" t="inlineStr">
        <is>
          <t>Against the market price</t>
        </is>
      </c>
      <c r="E4" s="5" t="inlineStr"/>
    </row>
    <row r="5">
      <c r="A5" s="6" t="inlineStr">
        <is>
          <t>Cash flow — framing A, normalisation to a marginal-cost anchor</t>
        </is>
      </c>
      <c r="B5" s="7">
        <f>'SOTP Bridge'!B13</f>
        <v/>
      </c>
      <c r="C5" s="6" t="inlineStr">
        <is>
          <t>THE ANSWER</t>
        </is>
      </c>
      <c r="D5" s="8">
        <f>B5/Assumptions!$C$5-1</f>
        <v/>
      </c>
    </row>
    <row r="6">
      <c r="A6" s="6" t="inlineStr">
        <is>
          <t>Cash flow — framing B, the current tightness persists</t>
        </is>
      </c>
      <c r="B6" s="7">
        <f>'SOTP Bridge'!C13</f>
        <v/>
      </c>
      <c r="C6" s="6" t="inlineStr">
        <is>
          <t>THE ANSWER</t>
        </is>
      </c>
      <c r="D6" s="8">
        <f>B6/Assumptions!$C$5-1</f>
        <v/>
      </c>
    </row>
    <row r="7">
      <c r="A7" s="6" t="inlineStr">
        <is>
          <t>Relative multiples — mid-cycle EBITDA on a peer-anchored multiple</t>
        </is>
      </c>
      <c r="B7" s="7">
        <f>'Relative &amp; Normalized'!C9</f>
        <v/>
      </c>
      <c r="C7" s="6" t="inlineStr">
        <is>
          <t>Cross-check</t>
        </is>
      </c>
      <c r="D7" s="8">
        <f>B7/Assumptions!$C$5-1</f>
        <v/>
      </c>
    </row>
    <row r="8">
      <c r="A8" s="6" t="inlineStr">
        <is>
          <t>Book value marked to the sustainable return on that equity</t>
        </is>
      </c>
      <c r="B8" s="7">
        <f>'Relative &amp; Normalized'!C34</f>
        <v/>
      </c>
      <c r="C8" s="6" t="inlineStr">
        <is>
          <t>Floor</t>
        </is>
      </c>
      <c r="D8" s="8">
        <f>B8/Assumptions!$C$5-1</f>
        <v/>
      </c>
    </row>
    <row r="9">
      <c r="A9" s="10" t="inlineStr">
        <is>
          <t>NOT AVERAGED — the midpoint is a number neither framing supports</t>
        </is>
      </c>
      <c r="B9" s="11">
        <f>AVERAGE(B5:B6)</f>
        <v/>
      </c>
      <c r="C9" s="18" t="inlineStr">
        <is>
          <t>shown only to be refused</t>
        </is>
      </c>
      <c r="D9" s="12" t="n"/>
      <c r="E9" s="12" t="n"/>
    </row>
    <row r="10">
      <c r="A10" s="6" t="inlineStr">
        <is>
          <t>The envelope — the two present-value reads</t>
        </is>
      </c>
      <c r="B10" s="19">
        <f>MIN(B5:B6)</f>
        <v/>
      </c>
      <c r="C10" s="19">
        <f>MAX(B5:B6)</f>
        <v/>
      </c>
    </row>
    <row r="11"/>
    <row r="12">
      <c r="A12" s="10" t="inlineStr">
        <is>
          <t>THE CONTESTED JUDGEMENT — COMPUTED BOTH WAYS, PUBLISHED SIDE BY SIDE</t>
        </is>
      </c>
      <c r="B12" s="10" t="inlineStr">
        <is>
          <t>Framing A</t>
        </is>
      </c>
      <c r="C12" s="10" t="inlineStr">
        <is>
          <t>Framing B</t>
        </is>
      </c>
      <c r="D12" s="12" t="n"/>
      <c r="E12" s="12" t="n"/>
    </row>
    <row r="13">
      <c r="A13" s="6" t="inlineStr">
        <is>
          <t>Urea price assumed in FY2030E ($/t)</t>
        </is>
      </c>
      <c r="B13" s="14">
        <f>Assumptions!$F$17</f>
        <v/>
      </c>
      <c r="C13" s="14">
        <f>Assumptions!$F$19</f>
        <v/>
      </c>
    </row>
    <row r="14">
      <c r="A14" s="6" t="inlineStr">
        <is>
          <t>FY2030E EBITDA ($m)</t>
        </is>
      </c>
      <c r="B14" s="14">
        <f>DCF!F7</f>
        <v/>
      </c>
      <c r="C14" s="14">
        <f>DCF!F26</f>
        <v/>
      </c>
    </row>
    <row r="15">
      <c r="A15" s="6" t="inlineStr">
        <is>
          <t>Enterprise value ($m)</t>
        </is>
      </c>
      <c r="B15" s="14">
        <f>'SOTP Bridge'!B7</f>
        <v/>
      </c>
      <c r="C15" s="14">
        <f>'SOTP Bridge'!C7</f>
        <v/>
      </c>
    </row>
    <row r="16">
      <c r="A16" s="6" t="inlineStr">
        <is>
          <t>Terminal value as a share of enterprise value</t>
        </is>
      </c>
      <c r="B16" s="9">
        <f>'SOTP Bridge'!B14</f>
        <v/>
      </c>
      <c r="C16" s="9">
        <f>'SOTP Bridge'!C14</f>
        <v/>
      </c>
    </row>
    <row r="17">
      <c r="A17" s="6" t="inlineStr">
        <is>
          <t>Value per share (AED)</t>
        </is>
      </c>
      <c r="B17" s="7">
        <f>'SOTP Bridge'!B13</f>
        <v/>
      </c>
      <c r="C17" s="7">
        <f>'SOTP Bridge'!C13</f>
        <v/>
      </c>
    </row>
    <row r="18">
      <c r="A18" s="20" t="inlineStr">
        <is>
          <t>NEITHER IS AVERAGED INTO THE OTHER — both are the answer</t>
        </is>
      </c>
    </row>
    <row r="19"/>
    <row r="20">
      <c r="A20" s="10" t="inlineStr">
        <is>
          <t>THE PANEL — THREE METHODS, WORKED SEPARATELY</t>
        </is>
      </c>
      <c r="B20" s="12" t="n"/>
      <c r="C20" s="12" t="n"/>
      <c r="D20" s="12" t="n"/>
      <c r="E20" s="12" t="n"/>
    </row>
    <row r="21">
      <c r="A21" s="5" t="inlineStr">
        <is>
          <t>Method</t>
        </is>
      </c>
      <c r="B21" s="5" t="inlineStr">
        <is>
          <t>Input</t>
        </is>
      </c>
      <c r="C21" s="5" t="inlineStr">
        <is>
          <t>Enterprise value ($m)</t>
        </is>
      </c>
      <c r="D21" s="5" t="inlineStr">
        <is>
          <t>AED per share</t>
        </is>
      </c>
    </row>
    <row r="22">
      <c r="A22" s="6" t="inlineStr">
        <is>
          <t>Mid-cycle multiple on through-the-cycle EBITDA</t>
        </is>
      </c>
      <c r="B22" s="21" t="n">
        <v>6.4</v>
      </c>
      <c r="C22" s="22">
        <f>B22*'Relative &amp; Normalized'!C5</f>
        <v/>
      </c>
      <c r="D22" s="19">
        <f>(C22-Assumptions!$C$70)*(1-Assumptions!$C$78)/Assumptions!$C$7*Assumptions!$C$6</f>
        <v/>
      </c>
    </row>
    <row r="23">
      <c r="A23" s="6" t="inlineStr">
        <is>
          <t>Discounted cash flow with an explicit gas pass-through</t>
        </is>
      </c>
      <c r="B23" s="16">
        <f>Assumptions!$C$25</f>
        <v/>
      </c>
      <c r="C23" s="14">
        <f>'SOTP Bridge'!B7</f>
        <v/>
      </c>
      <c r="D23" s="7">
        <f>'SOTP Bridge'!B13</f>
        <v/>
      </c>
    </row>
    <row r="24">
      <c r="A24" s="6" t="inlineStr">
        <is>
          <t>Replacement cost of installed nitrogen capacity</t>
        </is>
      </c>
      <c r="B24" s="14">
        <f>Assumptions!$C$76</f>
        <v/>
      </c>
      <c r="C24" s="22">
        <f>(Assumptions!$C$10+Assumptions!$C$11)*B24/1000</f>
        <v/>
      </c>
      <c r="D24" s="19">
        <f>(C24-Assumptions!$C$70)*(1-Assumptions!$C$78)/Assumptions!$C$7*Assumptions!$C$6</f>
        <v/>
      </c>
    </row>
    <row r="25">
      <c r="A25" s="20" t="inlineStr">
        <is>
          <t>Median of the three</t>
        </is>
      </c>
      <c r="D25" s="23">
        <f>MEDIAN(D22:D24)</f>
        <v/>
      </c>
    </row>
    <row r="26"/>
    <row r="27">
      <c r="A27" s="4" t="inlineStr">
        <is>
          <t>The three do not agree, and the disagreement is the point: the multiple method prices the cycle the peers are in, the cash-flow method prices the gas contracts, and the replacement method prices the steel. They bracket the same answer from three directions.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workbookViewId="0">
      <pane ySplit="3" topLeftCell="A4" activePane="bottomLeft" state="frozen"/>
      <selection pane="bottomLeft"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s>
  <sheetData>
    <row r="1">
      <c r="A1" s="1" t="inlineStr">
        <is>
          <t>Assumptions — the driver register</t>
        </is>
      </c>
      <c r="B1" s="2" t="n"/>
      <c r="C1" s="2" t="n"/>
      <c r="D1" s="2" t="n"/>
      <c r="E1" s="2" t="n"/>
      <c r="F1" s="2" t="n"/>
    </row>
    <row r="2">
      <c r="A2" s="4" t="inlineStr">
        <is>
          <t>Blue cells are inputs: change one and the model reprices. Green cells are computed elsewhere in the workbook and shown here so every driver the model consumes is visible in one place.</t>
        </is>
      </c>
    </row>
    <row r="3">
      <c r="A3" s="5" t="inlineStr">
        <is>
          <t>Driver</t>
        </is>
      </c>
      <c r="B3" s="5" t="inlineStr">
        <is>
          <t>FY2026E</t>
        </is>
      </c>
      <c r="C3" s="5" t="inlineStr">
        <is>
          <t>FY2027E</t>
        </is>
      </c>
      <c r="D3" s="5" t="inlineStr">
        <is>
          <t>FY2028E</t>
        </is>
      </c>
      <c r="E3" s="5" t="inlineStr">
        <is>
          <t>FY2029E</t>
        </is>
      </c>
      <c r="F3" s="5" t="inlineStr">
        <is>
          <t>FY2030E</t>
        </is>
      </c>
    </row>
    <row r="4">
      <c r="A4" s="10" t="inlineStr">
        <is>
          <t>Market and share count</t>
        </is>
      </c>
      <c r="B4" s="12" t="n"/>
      <c r="C4" s="12" t="n"/>
      <c r="D4" s="12" t="n"/>
      <c r="E4" s="12" t="n"/>
      <c r="F4" s="12" t="n"/>
    </row>
    <row r="5">
      <c r="A5" s="6" t="inlineStr">
        <is>
          <t>Market price (AED per share)</t>
        </is>
      </c>
      <c r="C5" s="24" t="n">
        <v>2.67</v>
      </c>
    </row>
    <row r="6">
      <c r="A6" s="6" t="inlineStr">
        <is>
          <t>Dirhams per US dollar (Central Bank peg)</t>
        </is>
      </c>
      <c r="C6" s="25" t="n">
        <v>3.6725</v>
      </c>
    </row>
    <row r="7">
      <c r="A7" s="6" t="inlineStr">
        <is>
          <t>Ordinary shares outstanding (mn)</t>
        </is>
      </c>
      <c r="C7" s="26" t="n">
        <v>8249.6</v>
      </c>
    </row>
    <row r="8"/>
    <row r="9">
      <c r="A9" s="10" t="inlineStr">
        <is>
          <t>Capacity and utilisation</t>
        </is>
      </c>
      <c r="B9" s="12" t="n"/>
      <c r="C9" s="12" t="n"/>
      <c r="D9" s="12" t="n"/>
      <c r="E9" s="12" t="n"/>
      <c r="F9" s="12" t="n"/>
    </row>
    <row r="10">
      <c r="A10" s="6" t="inlineStr">
        <is>
          <t>Urea production capacity (kt)</t>
        </is>
      </c>
      <c r="C10" s="26" t="n">
        <v>5100</v>
      </c>
    </row>
    <row r="11">
      <c r="A11" s="6" t="inlineStr">
        <is>
          <t>Merchant ammonia capacity (kt)</t>
        </is>
      </c>
      <c r="C11" s="26" t="n">
        <v>1500</v>
      </c>
    </row>
    <row r="12">
      <c r="A12" s="6" t="inlineStr">
        <is>
          <t>Urea capacity utilisation</t>
        </is>
      </c>
      <c r="B12" s="27" t="n">
        <v>0.823</v>
      </c>
      <c r="C12" s="27" t="n">
        <v>0.853</v>
      </c>
      <c r="D12" s="27" t="n">
        <v>0.873</v>
      </c>
      <c r="E12" s="27" t="n">
        <v>0.883</v>
      </c>
      <c r="F12" s="27" t="n">
        <v>0.888</v>
      </c>
    </row>
    <row r="13">
      <c r="A13" s="6" t="inlineStr">
        <is>
          <t>Merchant ammonia capacity utilisation</t>
        </is>
      </c>
      <c r="B13" s="27" t="n">
        <v>0.715</v>
      </c>
      <c r="C13" s="27" t="n">
        <v>0.8</v>
      </c>
      <c r="D13" s="27" t="n">
        <v>0.827</v>
      </c>
      <c r="E13" s="27" t="n">
        <v>0.84</v>
      </c>
      <c r="F13" s="27" t="n">
        <v>0.847</v>
      </c>
    </row>
    <row r="14">
      <c r="A14" s="6" t="inlineStr">
        <is>
          <t>Third-party traded volume (kt)</t>
        </is>
      </c>
      <c r="B14" s="26" t="n">
        <v>1150</v>
      </c>
      <c r="C14" s="26" t="n">
        <v>1200</v>
      </c>
      <c r="D14" s="26" t="n">
        <v>1250</v>
      </c>
      <c r="E14" s="26" t="n">
        <v>1300</v>
      </c>
      <c r="F14" s="26" t="n">
        <v>1350</v>
      </c>
    </row>
    <row r="15"/>
    <row r="16">
      <c r="A16" s="10" t="inlineStr">
        <is>
          <t>Price paths — the contested judgement, carried both ways</t>
        </is>
      </c>
      <c r="B16" s="12" t="n"/>
      <c r="C16" s="12" t="n"/>
      <c r="D16" s="12" t="n"/>
      <c r="E16" s="12" t="n"/>
      <c r="F16" s="12" t="n"/>
    </row>
    <row r="17">
      <c r="A17" s="6" t="inlineStr">
        <is>
          <t>Framing A — urea benchmark, Egypt free on board ($/t)</t>
        </is>
      </c>
      <c r="B17" s="26" t="n">
        <v>590</v>
      </c>
      <c r="C17" s="26" t="n">
        <v>480</v>
      </c>
      <c r="D17" s="26" t="n">
        <v>440</v>
      </c>
      <c r="E17" s="26" t="n">
        <v>435</v>
      </c>
      <c r="F17" s="26" t="n">
        <v>435</v>
      </c>
    </row>
    <row r="18">
      <c r="A18" s="6" t="inlineStr">
        <is>
          <t>Framing A — ammonia benchmark, Middle East ($/t)</t>
        </is>
      </c>
      <c r="B18" s="26" t="n">
        <v>560</v>
      </c>
      <c r="C18" s="26" t="n">
        <v>460</v>
      </c>
      <c r="D18" s="26" t="n">
        <v>420</v>
      </c>
      <c r="E18" s="26" t="n">
        <v>415</v>
      </c>
      <c r="F18" s="26" t="n">
        <v>415</v>
      </c>
    </row>
    <row r="19">
      <c r="A19" s="6" t="inlineStr">
        <is>
          <t>Framing B — urea benchmark, Egypt free on board ($/t)</t>
        </is>
      </c>
      <c r="B19" s="26" t="n">
        <v>590</v>
      </c>
      <c r="C19" s="26" t="n">
        <v>560</v>
      </c>
      <c r="D19" s="26" t="n">
        <v>550</v>
      </c>
      <c r="E19" s="26" t="n">
        <v>550</v>
      </c>
      <c r="F19" s="26" t="n">
        <v>555</v>
      </c>
    </row>
    <row r="20">
      <c r="A20" s="6" t="inlineStr">
        <is>
          <t>Framing B — ammonia benchmark, Middle East ($/t)</t>
        </is>
      </c>
      <c r="B20" s="26" t="n">
        <v>560</v>
      </c>
      <c r="C20" s="26" t="n">
        <v>540</v>
      </c>
      <c r="D20" s="26" t="n">
        <v>530</v>
      </c>
      <c r="E20" s="26" t="n">
        <v>530</v>
      </c>
      <c r="F20" s="26" t="n">
        <v>535</v>
      </c>
    </row>
    <row r="21">
      <c r="A21" s="6" t="inlineStr">
        <is>
          <t>Third-party traded price ($/t)</t>
        </is>
      </c>
      <c r="B21" s="26" t="n">
        <v>600</v>
      </c>
      <c r="C21" s="26" t="n">
        <v>520</v>
      </c>
      <c r="D21" s="26" t="n">
        <v>490</v>
      </c>
      <c r="E21" s="26" t="n">
        <v>490</v>
      </c>
      <c r="F21" s="26" t="n">
        <v>492</v>
      </c>
    </row>
    <row r="22"/>
    <row r="23">
      <c r="A23" s="10" t="inlineStr">
        <is>
          <t>Cost and margin drivers</t>
        </is>
      </c>
      <c r="B23" s="12" t="n"/>
      <c r="C23" s="12" t="n"/>
      <c r="D23" s="12" t="n"/>
      <c r="E23" s="12" t="n"/>
      <c r="F23" s="12" t="n"/>
    </row>
    <row r="24">
      <c r="A24" s="6" t="inlineStr">
        <is>
          <t>Realisation against the blended benchmark</t>
        </is>
      </c>
      <c r="C24" s="16">
        <f>Segments!B19</f>
        <v/>
      </c>
    </row>
    <row r="25">
      <c r="A25" s="6" t="inlineStr">
        <is>
          <t>Cost pass-through — share of each incremental dollar of realised price</t>
        </is>
      </c>
      <c r="C25" s="16">
        <f>Segments!B28</f>
        <v/>
      </c>
    </row>
    <row r="26">
      <c r="A26" s="6" t="inlineStr">
        <is>
          <t>Cost pass-through — fixed cash cost intercept ($/t)</t>
        </is>
      </c>
      <c r="C26" s="15">
        <f>Segments!B29</f>
        <v/>
      </c>
    </row>
    <row r="27">
      <c r="A27" s="6" t="inlineStr">
        <is>
          <t>Third-party trading EBITDA margin</t>
        </is>
      </c>
      <c r="C27" s="27" t="n">
        <v>0.075</v>
      </c>
    </row>
    <row r="28">
      <c r="A28" s="6" t="inlineStr">
        <is>
          <t>Corporate and other segment EBITDA ($m)</t>
        </is>
      </c>
      <c r="B28" s="28" t="n">
        <v>-82</v>
      </c>
      <c r="C28" s="28" t="n">
        <v>-78</v>
      </c>
      <c r="D28" s="28" t="n">
        <v>-76</v>
      </c>
      <c r="E28" s="28" t="n">
        <v>-76</v>
      </c>
      <c r="F28" s="28" t="n">
        <v>-77</v>
      </c>
    </row>
    <row r="29"/>
    <row r="30">
      <c r="A30" s="10" t="inlineStr">
        <is>
          <t>Capital intensity</t>
        </is>
      </c>
      <c r="B30" s="12" t="n"/>
      <c r="C30" s="12" t="n"/>
      <c r="D30" s="12" t="n"/>
      <c r="E30" s="12" t="n"/>
      <c r="F30" s="12" t="n"/>
    </row>
    <row r="31">
      <c r="A31" s="6" t="inlineStr">
        <is>
          <t>Depreciation and amortisation ($m)</t>
        </is>
      </c>
      <c r="B31" s="26" t="n">
        <v>305</v>
      </c>
      <c r="C31" s="26" t="n">
        <v>315</v>
      </c>
      <c r="D31" s="26" t="n">
        <v>325</v>
      </c>
      <c r="E31" s="26" t="n">
        <v>333</v>
      </c>
      <c r="F31" s="26" t="n">
        <v>340</v>
      </c>
    </row>
    <row r="32">
      <c r="A32" s="6" t="inlineStr">
        <is>
          <t>Capital expenditure ($m)</t>
        </is>
      </c>
      <c r="B32" s="26" t="n">
        <v>175</v>
      </c>
      <c r="C32" s="26" t="n">
        <v>240</v>
      </c>
      <c r="D32" s="26" t="n">
        <v>285</v>
      </c>
      <c r="E32" s="26" t="n">
        <v>315</v>
      </c>
      <c r="F32" s="26" t="n">
        <v>335</v>
      </c>
    </row>
    <row r="33"/>
    <row r="34">
      <c r="A34" s="10" t="inlineStr">
        <is>
          <t>Working-capital cycle (measured on the Balance Sheet sheet)</t>
        </is>
      </c>
      <c r="B34" s="12" t="n"/>
      <c r="C34" s="12" t="n"/>
      <c r="D34" s="12" t="n"/>
      <c r="E34" s="12" t="n"/>
      <c r="F34" s="12" t="n"/>
    </row>
    <row r="35">
      <c r="A35" s="6" t="inlineStr">
        <is>
          <t>Days sales outstanding</t>
        </is>
      </c>
      <c r="C35" s="15">
        <f>'Balance Sheet'!D27</f>
        <v/>
      </c>
    </row>
    <row r="36">
      <c r="A36" s="6" t="inlineStr">
        <is>
          <t>Days inventory outstanding</t>
        </is>
      </c>
      <c r="C36" s="15">
        <f>'Balance Sheet'!D28</f>
        <v/>
      </c>
    </row>
    <row r="37">
      <c r="A37" s="6" t="inlineStr">
        <is>
          <t>Days payables outstanding, excluding the gas accrual</t>
        </is>
      </c>
      <c r="C37" s="15">
        <f>'Balance Sheet'!D32</f>
        <v/>
      </c>
    </row>
    <row r="38">
      <c r="A38" s="6" t="inlineStr">
        <is>
          <t>Working capital at FY2025, excluding the gas accrual ($m)</t>
        </is>
      </c>
      <c r="C38" s="15">
        <f>'Balance Sheet'!D34</f>
        <v/>
      </c>
    </row>
    <row r="39"/>
    <row r="40">
      <c r="A40" s="10" t="inlineStr">
        <is>
          <t>Tax — three sourced estimates, averaged on the DCF sheet</t>
        </is>
      </c>
      <c r="B40" s="12" t="n"/>
      <c r="C40" s="12" t="n"/>
      <c r="D40" s="12" t="n"/>
      <c r="E40" s="12" t="n"/>
      <c r="F40" s="12" t="n"/>
    </row>
    <row r="41">
      <c r="A41" s="6" t="inlineStr">
        <is>
          <t>Statutory corporate tax rate — United Arab Emirates</t>
        </is>
      </c>
      <c r="C41" s="27" t="n">
        <v>0.09</v>
      </c>
    </row>
    <row r="42">
      <c r="A42" s="6" t="inlineStr">
        <is>
          <t>Statutory corporate tax rate — Egypt</t>
        </is>
      </c>
      <c r="C42" s="27" t="n">
        <v>0.225</v>
      </c>
    </row>
    <row r="43">
      <c r="A43" s="6" t="inlineStr">
        <is>
          <t>Statutory corporate tax rate — Algeria</t>
        </is>
      </c>
      <c r="C43" s="27" t="n">
        <v>0.1007</v>
      </c>
    </row>
    <row r="44">
      <c r="A44" s="6" t="inlineStr">
        <is>
          <t>Share of non-current assets in Egypt</t>
        </is>
      </c>
      <c r="C44" s="27" t="n">
        <v>0.311</v>
      </c>
    </row>
    <row r="45">
      <c r="A45" s="6" t="inlineStr">
        <is>
          <t>Share of non-current assets in Algeria</t>
        </is>
      </c>
      <c r="C45" s="27" t="n">
        <v>0.161</v>
      </c>
    </row>
    <row r="46">
      <c r="A46" s="6" t="inlineStr">
        <is>
          <t>Income tax charge, FY2022 ($m)</t>
        </is>
      </c>
      <c r="C46" s="28" t="n">
        <v>239.2</v>
      </c>
    </row>
    <row r="47">
      <c r="A47" s="6" t="inlineStr">
        <is>
          <t>Profit before tax, FY2022 ($m)</t>
        </is>
      </c>
      <c r="C47" s="28" t="n">
        <v>2059.6</v>
      </c>
    </row>
    <row r="48">
      <c r="A48" s="6" t="inlineStr">
        <is>
          <t>Income taxes paid, FY2022 ($m)</t>
        </is>
      </c>
      <c r="C48" s="28" t="n">
        <v>217.5</v>
      </c>
    </row>
    <row r="49">
      <c r="A49" s="6" t="inlineStr">
        <is>
          <t>Income taxes paid, FY2023 ($m)</t>
        </is>
      </c>
      <c r="C49" s="28" t="n">
        <v>67.40000000000001</v>
      </c>
    </row>
    <row r="50">
      <c r="A50" s="6" t="inlineStr">
        <is>
          <t>Income taxes paid, FY2024 ($m)</t>
        </is>
      </c>
      <c r="C50" s="28" t="n">
        <v>56.7</v>
      </c>
    </row>
    <row r="51">
      <c r="A51" s="6" t="inlineStr">
        <is>
          <t>Income taxes paid, FY2025 ($m)</t>
        </is>
      </c>
      <c r="C51" s="28" t="n">
        <v>205.1</v>
      </c>
    </row>
    <row r="52"/>
    <row r="53">
      <c r="A53" s="10" t="inlineStr">
        <is>
          <t>Cost of capital</t>
        </is>
      </c>
      <c r="B53" s="12" t="n"/>
      <c r="C53" s="12" t="n"/>
      <c r="D53" s="12" t="n"/>
      <c r="E53" s="12" t="n"/>
      <c r="F53" s="12" t="n"/>
    </row>
    <row r="54">
      <c r="A54" s="6" t="inlineStr">
        <is>
          <t>Ten-year United States Treasury yield</t>
        </is>
      </c>
      <c r="C54" s="29" t="n">
        <v>0.0469</v>
      </c>
    </row>
    <row r="55">
      <c r="A55" s="6" t="inlineStr">
        <is>
          <t>Abu Dhabi sovereign credit default swap spread</t>
        </is>
      </c>
      <c r="C55" s="29" t="n">
        <v>0.0046</v>
      </c>
    </row>
    <row r="56">
      <c r="A56" s="6" t="inlineStr">
        <is>
          <t>Abu Dhabi adjusted default spread (rating basis)</t>
        </is>
      </c>
      <c r="C56" s="29" t="n">
        <v>0.0042</v>
      </c>
    </row>
    <row r="57">
      <c r="A57" s="6" t="inlineStr">
        <is>
          <t>Abu Dhabi equity risk premium, rating basis</t>
        </is>
      </c>
      <c r="C57" s="29" t="n">
        <v>0.0487</v>
      </c>
    </row>
    <row r="58">
      <c r="A58" s="6" t="inlineStr">
        <is>
          <t>Abu Dhabi country risk premium</t>
        </is>
      </c>
      <c r="C58" s="29" t="n">
        <v>0.0064</v>
      </c>
    </row>
    <row r="59">
      <c r="A59" s="6" t="inlineStr">
        <is>
          <t>Abu Dhabi equity risk premium, swap basis</t>
        </is>
      </c>
      <c r="C59" s="29" t="n">
        <v>0.0493</v>
      </c>
    </row>
    <row r="60">
      <c r="A60" s="6" t="inlineStr">
        <is>
          <t>Egypt equity risk premium, rating basis</t>
        </is>
      </c>
      <c r="C60" s="29" t="n">
        <v>0.1394</v>
      </c>
    </row>
    <row r="61">
      <c r="A61" s="6" t="inlineStr">
        <is>
          <t>Egypt equity risk premium, swap basis</t>
        </is>
      </c>
      <c r="C61" s="29" t="n">
        <v>0.0941</v>
      </c>
    </row>
    <row r="62">
      <c r="A62" s="6" t="inlineStr">
        <is>
          <t>Algeria equity risk premium</t>
        </is>
      </c>
      <c r="C62" s="29" t="n">
        <v>0.1006</v>
      </c>
    </row>
    <row r="63">
      <c r="A63" s="6" t="inlineStr">
        <is>
          <t>Mature-market equity risk premium</t>
        </is>
      </c>
      <c r="C63" s="30">
        <f>Assumptions!$C$57-Assumptions!$C$58</f>
        <v/>
      </c>
    </row>
    <row r="64">
      <c r="A64" s="6" t="inlineStr">
        <is>
          <t>Beta — own-stock weekly regression against the local market</t>
        </is>
      </c>
      <c r="C64" s="31" t="n">
        <v>0.931</v>
      </c>
    </row>
    <row r="65">
      <c r="A65" s="6" t="inlineStr">
        <is>
          <t>Marginal debt spread — facilities B and C</t>
        </is>
      </c>
      <c r="C65" s="29" t="n">
        <v>0.008999999999999999</v>
      </c>
    </row>
    <row r="66">
      <c r="A66" s="6" t="inlineStr">
        <is>
          <t>Marginal debt spread — the parent term loan</t>
        </is>
      </c>
      <c r="C66" s="29" t="n">
        <v>0.0105</v>
      </c>
    </row>
    <row r="67">
      <c r="A67" s="6" t="inlineStr">
        <is>
          <t>Terminal debt weight</t>
        </is>
      </c>
      <c r="C67" s="27" t="n">
        <v>0.2</v>
      </c>
    </row>
    <row r="68">
      <c r="A68" s="6" t="inlineStr">
        <is>
          <t>Non-current assets outside the core countries ($m)</t>
        </is>
      </c>
      <c r="C68" s="28" t="n">
        <v>65.2</v>
      </c>
    </row>
    <row r="69">
      <c r="A69" s="6" t="inlineStr">
        <is>
          <t>Non-current assets, total ($m)</t>
        </is>
      </c>
      <c r="C69" s="28" t="n">
        <v>3385.8</v>
      </c>
    </row>
    <row r="70">
      <c r="A70" s="6" t="inlineStr">
        <is>
          <t>Net debt at 30 June 2026 ($m)</t>
        </is>
      </c>
      <c r="C70" s="28" t="n">
        <v>621.2</v>
      </c>
    </row>
    <row r="71">
      <c r="A71" s="6" t="inlineStr">
        <is>
          <t>Interest rate charged on net debt in the forecast</t>
        </is>
      </c>
      <c r="C71" s="27" t="n">
        <v>0.055</v>
      </c>
    </row>
    <row r="72"/>
    <row r="73">
      <c r="A73" s="10" t="inlineStr">
        <is>
          <t>Terminal block and the bridge to equity</t>
        </is>
      </c>
      <c r="B73" s="12" t="n"/>
      <c r="C73" s="12" t="n"/>
      <c r="D73" s="12" t="n"/>
      <c r="E73" s="12" t="n"/>
      <c r="F73" s="12" t="n"/>
    </row>
    <row r="74">
      <c r="A74" s="6" t="inlineStr">
        <is>
          <t>Terminal growth</t>
        </is>
      </c>
      <c r="C74" s="27" t="n">
        <v>0.02</v>
      </c>
    </row>
    <row r="75">
      <c r="A75" s="6" t="inlineStr">
        <is>
          <t>Long-run return on capital for merchant nitrogen</t>
        </is>
      </c>
      <c r="C75" s="27" t="n">
        <v>0.115</v>
      </c>
    </row>
    <row r="76">
      <c r="A76" s="6" t="inlineStr">
        <is>
          <t>Replacement cost of installed capacity ($ per tonne)</t>
        </is>
      </c>
      <c r="C76" s="26" t="n">
        <v>1250</v>
      </c>
    </row>
    <row r="77">
      <c r="A77" s="6" t="inlineStr">
        <is>
          <t>Composite asset life, derived (years)</t>
        </is>
      </c>
      <c r="C77" s="28" t="n">
        <v>22.03534609720177</v>
      </c>
    </row>
    <row r="78">
      <c r="A78" s="6" t="inlineStr">
        <is>
          <t>Minority share of group profit</t>
        </is>
      </c>
      <c r="C78" s="27" t="n">
        <v>0.263</v>
      </c>
    </row>
    <row r="79">
      <c r="A79" s="6" t="inlineStr">
        <is>
          <t>Minority interests at book value ($m)</t>
        </is>
      </c>
      <c r="C79" s="28" t="n">
        <v>443.3</v>
      </c>
    </row>
    <row r="80">
      <c r="A80" s="6" t="inlineStr">
        <is>
          <t>Dividend payout ratio in the forecast</t>
        </is>
      </c>
      <c r="C80" s="27" t="n">
        <v>0.8</v>
      </c>
    </row>
    <row r="81"/>
    <row r="82">
      <c r="A82" s="10" t="inlineStr">
        <is>
          <t>Lens inputs</t>
        </is>
      </c>
      <c r="B82" s="12" t="n"/>
      <c r="C82" s="12" t="n"/>
      <c r="D82" s="12" t="n"/>
      <c r="E82" s="12" t="n"/>
      <c r="F82" s="12" t="n"/>
    </row>
    <row r="83">
      <c r="A83" s="6" t="inlineStr">
        <is>
          <t>Justified enterprise value / EBITDA</t>
        </is>
      </c>
      <c r="C83" s="21" t="n">
        <v>5.8</v>
      </c>
    </row>
    <row r="84">
      <c r="A84" s="6" t="inlineStr">
        <is>
          <t>Justified price / earnings</t>
        </is>
      </c>
      <c r="C84" s="21" t="n">
        <v>11</v>
      </c>
    </row>
    <row r="85">
      <c r="A85" s="6" t="inlineStr">
        <is>
          <t>Adjusted EBITDA, first half 2026 ($m)</t>
        </is>
      </c>
      <c r="C85" s="28" t="n">
        <v>713.1</v>
      </c>
    </row>
    <row r="86">
      <c r="A86" s="6" t="inlineStr">
        <is>
          <t>Profit to owners, first half 2026 ($m)</t>
        </is>
      </c>
      <c r="C86" s="28" t="n">
        <v>312.4</v>
      </c>
    </row>
    <row r="87"/>
    <row r="88">
      <c r="A88" s="4" t="inlineStr">
        <is>
          <t>Every input above is sourced and dated in the study bibliography. The green rows are computed where they are measured — the realisation factor and the cost pass-through on the Segments sheet, the working-capital days on the Balance Sheet sheet — and are shown here because the forecast consumes them.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pane ySplit="4" topLeftCell="A5" activePane="bottomLeft" state="frozen"/>
      <selection pane="bottomLeft"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s>
  <sheetData>
    <row r="1">
      <c r="A1" s="1" t="inlineStr">
        <is>
          <t>Enterprise value to equity — the bridge, and where the value sits</t>
        </is>
      </c>
      <c r="B1" s="2" t="n"/>
      <c r="C1" s="2" t="n"/>
      <c r="D1" s="2" t="n"/>
      <c r="E1" s="2" t="n"/>
      <c r="F1" s="2" t="n"/>
    </row>
    <row r="2">
      <c r="A2" s="4" t="inlineStr">
        <is>
          <t>A single-class nitrogen producer, so this is the bridge from enterprise value to the shareholder plus the split of that value between the two operating legs — not a holding-company sum of parts.</t>
        </is>
      </c>
    </row>
    <row r="3"/>
    <row r="4">
      <c r="A4" s="5" t="inlineStr">
        <is>
          <t>Step</t>
        </is>
      </c>
      <c r="B4" s="5" t="inlineStr">
        <is>
          <t>Framing A</t>
        </is>
      </c>
      <c r="C4" s="5" t="inlineStr">
        <is>
          <t>Framing B</t>
        </is>
      </c>
    </row>
    <row r="5">
      <c r="A5" s="6" t="inlineStr">
        <is>
          <t>Present value of the five explicit years ($m)</t>
        </is>
      </c>
      <c r="B5" s="14">
        <f>DCF!C60</f>
        <v/>
      </c>
      <c r="C5" s="14">
        <f>DCF!D60</f>
        <v/>
      </c>
    </row>
    <row r="6">
      <c r="A6" s="6" t="inlineStr">
        <is>
          <t>Present value of the terminal value ($m)</t>
        </is>
      </c>
      <c r="B6" s="14">
        <f>DCF!C61</f>
        <v/>
      </c>
      <c r="C6" s="14">
        <f>DCF!D61</f>
        <v/>
      </c>
    </row>
    <row r="7">
      <c r="A7" s="20" t="inlineStr">
        <is>
          <t>Enterprise value ($m)</t>
        </is>
      </c>
      <c r="B7" s="32">
        <f>B5+B6</f>
        <v/>
      </c>
      <c r="C7" s="32">
        <f>C5+C6</f>
        <v/>
      </c>
    </row>
    <row r="8">
      <c r="A8" s="6" t="inlineStr">
        <is>
          <t>Less net debt ($m)</t>
        </is>
      </c>
      <c r="B8" s="15">
        <f>Assumptions!$C$70</f>
        <v/>
      </c>
      <c r="C8" s="15">
        <f>Assumptions!$C$70</f>
        <v/>
      </c>
    </row>
    <row r="9">
      <c r="A9" s="20" t="inlineStr">
        <is>
          <t>Equity value before minority interests ($m)</t>
        </is>
      </c>
      <c r="B9" s="32">
        <f>B7-B8</f>
        <v/>
      </c>
      <c r="C9" s="32">
        <f>C7-C8</f>
        <v/>
      </c>
    </row>
    <row r="10">
      <c r="A10" s="6" t="inlineStr">
        <is>
          <t>Less minority interests at their share of group profit ($m)</t>
        </is>
      </c>
      <c r="B10" s="22">
        <f>B9*Assumptions!$C$78</f>
        <v/>
      </c>
      <c r="C10" s="22">
        <f>C9*Assumptions!$C$78</f>
        <v/>
      </c>
    </row>
    <row r="11">
      <c r="A11" s="20" t="inlineStr">
        <is>
          <t>Equity attributable to owners ($m)</t>
        </is>
      </c>
      <c r="B11" s="32">
        <f>B9-B10</f>
        <v/>
      </c>
      <c r="C11" s="32">
        <f>C9-C10</f>
        <v/>
      </c>
    </row>
    <row r="12">
      <c r="A12" s="6" t="inlineStr">
        <is>
          <t>Value per share ($)</t>
        </is>
      </c>
      <c r="B12" s="19">
        <f>B11/Assumptions!$C$7</f>
        <v/>
      </c>
      <c r="C12" s="19">
        <f>C11/Assumptions!$C$7</f>
        <v/>
      </c>
    </row>
    <row r="13">
      <c r="A13" s="20" t="inlineStr">
        <is>
          <t>Value per share (AED)</t>
        </is>
      </c>
      <c r="B13" s="23">
        <f>B12*Assumptions!$C$6</f>
        <v/>
      </c>
      <c r="C13" s="23">
        <f>C12*Assumptions!$C$6</f>
        <v/>
      </c>
    </row>
    <row r="14">
      <c r="A14" s="20" t="inlineStr">
        <is>
          <t>Terminal value as a share of enterprise value</t>
        </is>
      </c>
      <c r="B14" s="33">
        <f>B6/B7</f>
        <v/>
      </c>
      <c r="C14" s="33">
        <f>C6/C7</f>
        <v/>
      </c>
    </row>
    <row r="15"/>
    <row r="16">
      <c r="A16" s="12" t="inlineStr">
        <is>
          <t>NOT AVERAGED — the midpoint of the two framings, which neither supports (AED per share)</t>
        </is>
      </c>
      <c r="B16" s="34">
        <f>AVERAGE(B13:C13)</f>
        <v/>
      </c>
      <c r="C16" s="12" t="n"/>
      <c r="D16" s="12" t="n"/>
      <c r="E16" s="12" t="n"/>
      <c r="F16" s="12" t="n"/>
    </row>
    <row r="17"/>
    <row r="18">
      <c r="A18" s="20" t="inlineStr">
        <is>
          <t>THE MINORITY INTERESTS ON THE OTHER BASIS — BOTH ARE SHOWN, NEITHER IS AVERAGED</t>
        </is>
      </c>
    </row>
    <row r="19">
      <c r="A19" s="6" t="inlineStr">
        <is>
          <t>Less minority interests at their book carrying value ($m)</t>
        </is>
      </c>
      <c r="B19" s="15">
        <f>Assumptions!$C$79</f>
        <v/>
      </c>
      <c r="C19" s="15">
        <f>Assumptions!$C$79</f>
        <v/>
      </c>
    </row>
    <row r="20">
      <c r="A20" s="6" t="inlineStr">
        <is>
          <t>Equity attributable to owners, book basis ($m)</t>
        </is>
      </c>
      <c r="B20" s="22">
        <f>B9-B19</f>
        <v/>
      </c>
      <c r="C20" s="22">
        <f>C9-C19</f>
        <v/>
      </c>
    </row>
    <row r="21">
      <c r="A21" s="20" t="inlineStr">
        <is>
          <t>Value per share, book basis (AED)</t>
        </is>
      </c>
      <c r="B21" s="23">
        <f>B20/Assumptions!$C$7*Assumptions!$C$6</f>
        <v/>
      </c>
      <c r="C21" s="23">
        <f>C20/Assumptions!$C$7*Assumptions!$C$6</f>
        <v/>
      </c>
    </row>
    <row r="22"/>
    <row r="23">
      <c r="A23" s="4" t="inlineStr">
        <is>
          <t>Egypt Basic Industries is a quarter owned outside the group and Sorfert almost half, so the minority deduction is the single largest step in this bridge. Deducting the minorities at their share of the profit they actually earn takes out roughly five times what their historical book carrying value would; the model runs on the earnings basis and shows the book basis beside it rather than splitting the difference.</t>
        </is>
      </c>
    </row>
    <row r="24"/>
    <row r="25">
      <c r="A25" s="10" t="inlineStr">
        <is>
          <t>WHERE THE VALUE SITS — THE TWO OPERATING LEGS</t>
        </is>
      </c>
      <c r="B25" s="12" t="n"/>
      <c r="C25" s="12" t="n"/>
      <c r="D25" s="12" t="n"/>
      <c r="E25" s="12" t="n"/>
      <c r="F25" s="12" t="n"/>
    </row>
    <row r="26">
      <c r="A26" s="5" t="inlineStr">
        <is>
          <t>Leg</t>
        </is>
      </c>
      <c r="B26" s="5" t="inlineStr">
        <is>
          <t>Mid-cycle EBITDA ($m)</t>
        </is>
      </c>
      <c r="C26" s="5" t="inlineStr">
        <is>
          <t>Share</t>
        </is>
      </c>
      <c r="D26" s="5" t="inlineStr">
        <is>
          <t>Enterprise value ($m)</t>
        </is>
      </c>
      <c r="E26" s="5" t="inlineStr">
        <is>
          <t>AED per share</t>
        </is>
      </c>
    </row>
    <row r="27">
      <c r="A27" s="6" t="inlineStr">
        <is>
          <t>Mid-cycle enterprise value, the average of the two framings ($m)</t>
        </is>
      </c>
      <c r="B27" s="22">
        <f>(DCF!C62+DCF!D62)/2</f>
        <v/>
      </c>
    </row>
    <row r="28">
      <c r="A28" s="6" t="inlineStr">
        <is>
          <t>Own-produced production and marketing</t>
        </is>
      </c>
      <c r="B28" s="35">
        <f>(SUM(Segments!D50:F50)+SUM(Segments!D82:F82))/6</f>
        <v/>
      </c>
      <c r="C28" s="8">
        <f>B28/$B$31</f>
        <v/>
      </c>
      <c r="D28" s="22">
        <f>C28*$B$27</f>
        <v/>
      </c>
      <c r="E28" s="19">
        <f>D28/Assumptions!$C$7*Assumptions!$C$6</f>
        <v/>
      </c>
    </row>
    <row r="29">
      <c r="A29" s="6" t="inlineStr">
        <is>
          <t>Third-party trading</t>
        </is>
      </c>
      <c r="B29" s="35">
        <f>(SUM(Segments!D54:F54)+SUM(Segments!D86:F86))/6</f>
        <v/>
      </c>
      <c r="C29" s="8">
        <f>B29/$B$31</f>
        <v/>
      </c>
      <c r="D29" s="22">
        <f>C29*$B$27</f>
        <v/>
      </c>
      <c r="E29" s="19">
        <f>D29/Assumptions!$C$7*Assumptions!$C$6</f>
        <v/>
      </c>
    </row>
    <row r="30">
      <c r="A30" s="6" t="inlineStr">
        <is>
          <t>Corporate and other</t>
        </is>
      </c>
      <c r="B30" s="35">
        <f>(SUM(Segments!D55:F55)+SUM(Segments!D87:F87))/6</f>
        <v/>
      </c>
      <c r="C30" s="8">
        <f>B30/$B$31</f>
        <v/>
      </c>
      <c r="D30" s="22">
        <f>C30*$B$27</f>
        <v/>
      </c>
      <c r="E30" s="19">
        <f>D30/Assumptions!$C$7*Assumptions!$C$6</f>
        <v/>
      </c>
    </row>
    <row r="31">
      <c r="A31" s="20" t="inlineStr">
        <is>
          <t>Total mid-cycle EBITDA ($m)</t>
        </is>
      </c>
      <c r="B31" s="36">
        <f>SUM(B28:B30)</f>
        <v/>
      </c>
      <c r="C31" s="33">
        <f>SUM(C28:C30)</f>
        <v/>
      </c>
      <c r="D31" s="32">
        <f>SUM(D28:D30)</f>
        <v/>
      </c>
    </row>
    <row r="32"/>
    <row r="33">
      <c r="A33" s="4" t="inlineStr">
        <is>
          <t>The legs are separated on the enterprise value they earn, before net debt and before the minority deduction, because both of those attach to the group rather than to either leg. Trading is a real business but a thin one: it moves a sixth of the tonnes for a twentieth of the profit, and the corporate load costs more than the whole of 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0"/>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Segments — the unit build</t>
        </is>
      </c>
      <c r="B1" s="2" t="n"/>
      <c r="C1" s="2" t="n"/>
      <c r="D1" s="2" t="n"/>
      <c r="E1" s="2" t="n"/>
      <c r="F1" s="2" t="n"/>
      <c r="G1" s="2" t="n"/>
    </row>
    <row r="2">
      <c r="A2" s="4" t="inlineStr">
        <is>
          <t>Volume times price, and cost per tonne regressed on the realised price. Both the realisation factor and the cost pass-through are measured here from the three reported periods, not assumed.</t>
        </is>
      </c>
    </row>
    <row r="3"/>
    <row r="4">
      <c r="A4" s="5" t="inlineStr">
        <is>
          <t>Reported period</t>
        </is>
      </c>
      <c r="B4" s="5" t="inlineStr">
        <is>
          <t>FY2024</t>
        </is>
      </c>
      <c r="C4" s="5" t="inlineStr">
        <is>
          <t>FY2025</t>
        </is>
      </c>
      <c r="D4" s="5" t="inlineStr">
        <is>
          <t>First half 2026</t>
        </is>
      </c>
    </row>
    <row r="5">
      <c r="A5" s="6" t="inlineStr">
        <is>
          <t>Urea sales volume (kt)</t>
        </is>
      </c>
      <c r="B5" s="26" t="n">
        <v>4225</v>
      </c>
      <c r="C5" s="26" t="n">
        <v>4228</v>
      </c>
      <c r="D5" s="26" t="n">
        <v>2045</v>
      </c>
    </row>
    <row r="6">
      <c r="A6" s="6" t="inlineStr">
        <is>
          <t>Merchant ammonia sales volume (kt)</t>
        </is>
      </c>
      <c r="B6" s="26" t="n">
        <v>1119</v>
      </c>
      <c r="C6" s="26" t="n">
        <v>1267</v>
      </c>
      <c r="D6" s="26" t="n">
        <v>523</v>
      </c>
    </row>
    <row r="7">
      <c r="A7" s="6" t="inlineStr">
        <is>
          <t>Own-produced sales volume, total (kt)</t>
        </is>
      </c>
      <c r="B7" s="26" t="n">
        <v>5345</v>
      </c>
      <c r="C7" s="26" t="n">
        <v>5498</v>
      </c>
      <c r="D7" s="26" t="n">
        <v>2571</v>
      </c>
    </row>
    <row r="8">
      <c r="A8" s="6" t="inlineStr">
        <is>
          <t>Own-produced segment revenue ($m)</t>
        </is>
      </c>
      <c r="B8" s="28" t="n">
        <v>1896.2</v>
      </c>
      <c r="C8" s="28" t="n">
        <v>2332.4</v>
      </c>
      <c r="D8" s="28" t="n">
        <v>1597</v>
      </c>
    </row>
    <row r="9">
      <c r="A9" s="6" t="inlineStr">
        <is>
          <t>Own-produced segment EBITDA ($m)</t>
        </is>
      </c>
      <c r="B9" s="28" t="n">
        <v>697.5</v>
      </c>
      <c r="C9" s="28" t="n">
        <v>1059.9</v>
      </c>
      <c r="D9" s="28" t="n">
        <v>709.6</v>
      </c>
    </row>
    <row r="10">
      <c r="A10" s="6" t="inlineStr">
        <is>
          <t>Urea benchmark, Egypt free on board ($/t)</t>
        </is>
      </c>
      <c r="B10" s="26" t="n">
        <v>357</v>
      </c>
      <c r="C10" s="26" t="n">
        <v>440</v>
      </c>
      <c r="D10" s="26" t="n">
        <v>637</v>
      </c>
    </row>
    <row r="11">
      <c r="A11" s="6" t="inlineStr">
        <is>
          <t>Ammonia benchmark, Middle East ($/t)</t>
        </is>
      </c>
      <c r="B11" s="26" t="n">
        <v>349</v>
      </c>
      <c r="C11" s="26" t="n">
        <v>343</v>
      </c>
      <c r="D11" s="26" t="n">
        <v>594</v>
      </c>
    </row>
    <row r="12">
      <c r="A12" s="6" t="inlineStr">
        <is>
          <t>Realised price ($/t)</t>
        </is>
      </c>
      <c r="B12" s="35">
        <f>B8*1000/B7</f>
        <v/>
      </c>
      <c r="C12" s="35">
        <f>C8*1000/C7</f>
        <v/>
      </c>
      <c r="D12" s="35">
        <f>D8*1000/D7</f>
        <v/>
      </c>
    </row>
    <row r="13">
      <c r="A13" s="6" t="inlineStr">
        <is>
          <t>Volume-weighted benchmark price ($/t)</t>
        </is>
      </c>
      <c r="B13" s="35">
        <f>(B5*B10+B6*B11)/(B5+B6)</f>
        <v/>
      </c>
      <c r="C13" s="35">
        <f>(C5*C10+C6*C11)/(C5+C6)</f>
        <v/>
      </c>
      <c r="D13" s="35">
        <f>(D5*D10+D6*D11)/(D5+D6)</f>
        <v/>
      </c>
    </row>
    <row r="14">
      <c r="A14" s="6" t="inlineStr">
        <is>
          <t>Realisation against the benchmark</t>
        </is>
      </c>
      <c r="B14" s="37">
        <f>B12/B13</f>
        <v/>
      </c>
      <c r="C14" s="37">
        <f>C12/C13</f>
        <v/>
      </c>
      <c r="D14" s="37">
        <f>D12/D13</f>
        <v/>
      </c>
    </row>
    <row r="15">
      <c r="A15" s="6" t="inlineStr">
        <is>
          <t>Cash cost, total ($m)</t>
        </is>
      </c>
      <c r="B15" s="35">
        <f>B8-B9</f>
        <v/>
      </c>
      <c r="C15" s="35">
        <f>C8-C9</f>
        <v/>
      </c>
      <c r="D15" s="35">
        <f>D8-D9</f>
        <v/>
      </c>
    </row>
    <row r="16">
      <c r="A16" s="6" t="inlineStr">
        <is>
          <t>Cash cost per tonne ($/t)</t>
        </is>
      </c>
      <c r="B16" s="35">
        <f>B15*1000/B7</f>
        <v/>
      </c>
      <c r="C16" s="35">
        <f>C15*1000/C7</f>
        <v/>
      </c>
      <c r="D16" s="35">
        <f>D15*1000/D7</f>
        <v/>
      </c>
    </row>
    <row r="17">
      <c r="A17" s="6" t="inlineStr">
        <is>
          <t>Own-produced EBITDA margin</t>
        </is>
      </c>
      <c r="B17" s="8">
        <f>B9/B8</f>
        <v/>
      </c>
      <c r="C17" s="8">
        <f>C9/C8</f>
        <v/>
      </c>
      <c r="D17" s="8">
        <f>D9/D8</f>
        <v/>
      </c>
    </row>
    <row r="18"/>
    <row r="19">
      <c r="A19" s="10" t="inlineStr">
        <is>
          <t>Realisation factor applied to the forecast (average of the three)</t>
        </is>
      </c>
      <c r="B19" s="38">
        <f>AVERAGE(B14:D14)</f>
        <v/>
      </c>
      <c r="C19" s="12" t="n"/>
      <c r="D19" s="12" t="n"/>
      <c r="E19" s="12" t="n"/>
      <c r="F19" s="12" t="n"/>
      <c r="G19" s="12" t="n"/>
    </row>
    <row r="20"/>
    <row r="21">
      <c r="A21" s="10" t="inlineStr">
        <is>
          <t>Cost pass-through — least squares of cash cost per tonne on realised price</t>
        </is>
      </c>
      <c r="B21" s="12" t="n"/>
      <c r="C21" s="12" t="n"/>
      <c r="D21" s="12" t="n"/>
      <c r="E21" s="12" t="n"/>
      <c r="F21" s="12" t="n"/>
      <c r="G21" s="12" t="n"/>
    </row>
    <row r="22">
      <c r="A22" s="6" t="inlineStr">
        <is>
          <t>Realised price, the explanatory variable ($/t)</t>
        </is>
      </c>
      <c r="B22" s="35">
        <f>B12</f>
        <v/>
      </c>
      <c r="C22" s="35">
        <f>C12</f>
        <v/>
      </c>
      <c r="D22" s="35">
        <f>D12</f>
        <v/>
      </c>
    </row>
    <row r="23">
      <c r="A23" s="6" t="inlineStr">
        <is>
          <t>Cash cost per tonne, the dependent variable ($/t)</t>
        </is>
      </c>
      <c r="B23" s="35">
        <f>B16</f>
        <v/>
      </c>
      <c r="C23" s="35">
        <f>C16</f>
        <v/>
      </c>
      <c r="D23" s="35">
        <f>D16</f>
        <v/>
      </c>
    </row>
    <row r="24">
      <c r="A24" s="6" t="inlineStr">
        <is>
          <t>Mean realised price ($/t)</t>
        </is>
      </c>
      <c r="B24" s="35">
        <f>AVERAGE(B22:D22)</f>
        <v/>
      </c>
    </row>
    <row r="25">
      <c r="A25" s="6" t="inlineStr">
        <is>
          <t>Mean cash cost per tonne ($/t)</t>
        </is>
      </c>
      <c r="B25" s="35">
        <f>AVERAGE(B23:D23)</f>
        <v/>
      </c>
    </row>
    <row r="26">
      <c r="A26" s="6" t="inlineStr">
        <is>
          <t>Sum of cross products</t>
        </is>
      </c>
      <c r="B26" s="35">
        <f>(B22-$B$24)*(B23-$B$25)+(C22-$B$24)*(C23-$B$25)+(D22-$B$24)*(D23-$B$25)</f>
        <v/>
      </c>
    </row>
    <row r="27">
      <c r="A27" s="6" t="inlineStr">
        <is>
          <t>Sum of squared deviations in price</t>
        </is>
      </c>
      <c r="B27" s="35">
        <f>(B22-$B$24)^2+(C22-$B$24)^2+(D22-$B$24)^2</f>
        <v/>
      </c>
    </row>
    <row r="28">
      <c r="A28" s="6" t="inlineStr">
        <is>
          <t>Slope — the pass-through</t>
        </is>
      </c>
      <c r="B28" s="39">
        <f>B26/B27</f>
        <v/>
      </c>
    </row>
    <row r="29">
      <c r="A29" s="6" t="inlineStr">
        <is>
          <t>Intercept — fixed cash cost per tonne ($/t)</t>
        </is>
      </c>
      <c r="B29" s="36">
        <f>B25-B28*B24</f>
        <v/>
      </c>
    </row>
    <row r="30">
      <c r="A30" s="6" t="inlineStr">
        <is>
          <t>Sum of squared residuals</t>
        </is>
      </c>
      <c r="B30" s="35">
        <f>(B23-($B$29+$B$28*B22))^2+(C23-($B$29+$B$28*C22))^2+(D23-($B$29+$B$28*D22))^2</f>
        <v/>
      </c>
    </row>
    <row r="31">
      <c r="A31" s="6" t="inlineStr">
        <is>
          <t>Total sum of squares</t>
        </is>
      </c>
      <c r="B31" s="35">
        <f>(B23-$B$25)^2+(C23-$B$25)^2+(D23-$B$25)^2</f>
        <v/>
      </c>
    </row>
    <row r="32">
      <c r="A32" s="6" t="inlineStr">
        <is>
          <t>Share of the variation explained</t>
        </is>
      </c>
      <c r="B32" s="37">
        <f>1-B30/B31</f>
        <v/>
      </c>
    </row>
    <row r="33"/>
    <row r="34">
      <c r="A34" s="4" t="inlineStr">
        <is>
          <t>The Egyptian and Algerian gas contracts are product-linked, so the cost side moves with the price side. The slope above is how much of each incremental dollar of realised price comes straight back out as cash cost; the intercept is what is left when the price side is stripped away. Both are measured, not assumed.</t>
        </is>
      </c>
    </row>
    <row r="35"/>
    <row r="36">
      <c r="A36" s="10" t="inlineStr">
        <is>
          <t>FRAMING A — normalisation to a marginal-cost anchor</t>
        </is>
      </c>
      <c r="B36" s="12" t="n"/>
      <c r="C36" s="12" t="n"/>
      <c r="D36" s="12" t="n"/>
      <c r="E36" s="12" t="n"/>
      <c r="F36" s="12" t="n"/>
      <c r="G36" s="12" t="n"/>
    </row>
    <row r="37">
      <c r="A37" s="5" t="inlineStr">
        <is>
          <t>$m unless stated</t>
        </is>
      </c>
      <c r="B37" s="5" t="inlineStr">
        <is>
          <t>FY2026E</t>
        </is>
      </c>
      <c r="C37" s="5" t="inlineStr">
        <is>
          <t>FY2027E</t>
        </is>
      </c>
      <c r="D37" s="5" t="inlineStr">
        <is>
          <t>FY2028E</t>
        </is>
      </c>
      <c r="E37" s="5" t="inlineStr">
        <is>
          <t>FY2029E</t>
        </is>
      </c>
      <c r="F37" s="5" t="inlineStr">
        <is>
          <t>FY2030E</t>
        </is>
      </c>
    </row>
    <row r="38">
      <c r="A38" s="6" t="inlineStr">
        <is>
          <t>Urea capacity utilisation</t>
        </is>
      </c>
      <c r="B38" s="9">
        <f>Assumptions!$B$12</f>
        <v/>
      </c>
      <c r="C38" s="9">
        <f>Assumptions!$C$12</f>
        <v/>
      </c>
      <c r="D38" s="9">
        <f>Assumptions!$D$12</f>
        <v/>
      </c>
      <c r="E38" s="9">
        <f>Assumptions!$E$12</f>
        <v/>
      </c>
      <c r="F38" s="9">
        <f>Assumptions!$F$12</f>
        <v/>
      </c>
    </row>
    <row r="39">
      <c r="A39" s="6" t="inlineStr">
        <is>
          <t>Merchant ammonia capacity utilisation</t>
        </is>
      </c>
      <c r="B39" s="9">
        <f>Assumptions!$B$13</f>
        <v/>
      </c>
      <c r="C39" s="9">
        <f>Assumptions!$C$13</f>
        <v/>
      </c>
      <c r="D39" s="9">
        <f>Assumptions!$D$13</f>
        <v/>
      </c>
      <c r="E39" s="9">
        <f>Assumptions!$E$13</f>
        <v/>
      </c>
      <c r="F39" s="9">
        <f>Assumptions!$F$13</f>
        <v/>
      </c>
    </row>
    <row r="40">
      <c r="A40" s="6" t="inlineStr">
        <is>
          <t>Urea volume (kt)</t>
        </is>
      </c>
      <c r="B40" s="22">
        <f>Assumptions!$C$10*B38</f>
        <v/>
      </c>
      <c r="C40" s="22">
        <f>Assumptions!$C$10*C38</f>
        <v/>
      </c>
      <c r="D40" s="22">
        <f>Assumptions!$C$10*D38</f>
        <v/>
      </c>
      <c r="E40" s="22">
        <f>Assumptions!$C$10*E38</f>
        <v/>
      </c>
      <c r="F40" s="22">
        <f>Assumptions!$C$10*F38</f>
        <v/>
      </c>
    </row>
    <row r="41">
      <c r="A41" s="6" t="inlineStr">
        <is>
          <t>Merchant ammonia volume (kt)</t>
        </is>
      </c>
      <c r="B41" s="22">
        <f>Assumptions!$C$11*B39</f>
        <v/>
      </c>
      <c r="C41" s="22">
        <f>Assumptions!$C$11*C39</f>
        <v/>
      </c>
      <c r="D41" s="22">
        <f>Assumptions!$C$11*D39</f>
        <v/>
      </c>
      <c r="E41" s="22">
        <f>Assumptions!$C$11*E39</f>
        <v/>
      </c>
      <c r="F41" s="22">
        <f>Assumptions!$C$11*F39</f>
        <v/>
      </c>
    </row>
    <row r="42">
      <c r="A42" s="6" t="inlineStr">
        <is>
          <t>Own-produced volume (kt)</t>
        </is>
      </c>
      <c r="B42" s="22">
        <f>B40+B41</f>
        <v/>
      </c>
      <c r="C42" s="22">
        <f>C40+C41</f>
        <v/>
      </c>
      <c r="D42" s="22">
        <f>D40+D41</f>
        <v/>
      </c>
      <c r="E42" s="22">
        <f>E40+E41</f>
        <v/>
      </c>
      <c r="F42" s="22">
        <f>F40+F41</f>
        <v/>
      </c>
    </row>
    <row r="43">
      <c r="A43" s="6" t="inlineStr">
        <is>
          <t>Urea benchmark price ($/t)</t>
        </is>
      </c>
      <c r="B43" s="14">
        <f>Assumptions!$B$17</f>
        <v/>
      </c>
      <c r="C43" s="14">
        <f>Assumptions!$C$17</f>
        <v/>
      </c>
      <c r="D43" s="14">
        <f>Assumptions!$D$17</f>
        <v/>
      </c>
      <c r="E43" s="14">
        <f>Assumptions!$E$17</f>
        <v/>
      </c>
      <c r="F43" s="14">
        <f>Assumptions!$F$17</f>
        <v/>
      </c>
    </row>
    <row r="44">
      <c r="A44" s="6" t="inlineStr">
        <is>
          <t>Ammonia benchmark price ($/t)</t>
        </is>
      </c>
      <c r="B44" s="14">
        <f>Assumptions!$B$18</f>
        <v/>
      </c>
      <c r="C44" s="14">
        <f>Assumptions!$C$18</f>
        <v/>
      </c>
      <c r="D44" s="14">
        <f>Assumptions!$D$18</f>
        <v/>
      </c>
      <c r="E44" s="14">
        <f>Assumptions!$E$18</f>
        <v/>
      </c>
      <c r="F44" s="14">
        <f>Assumptions!$F$18</f>
        <v/>
      </c>
    </row>
    <row r="45">
      <c r="A45" s="6" t="inlineStr">
        <is>
          <t>Volume-weighted benchmark price ($/t)</t>
        </is>
      </c>
      <c r="B45" s="35">
        <f>(B40*B43+B41*B44)/(B40+B41)</f>
        <v/>
      </c>
      <c r="C45" s="35">
        <f>(C40*C43+C41*C44)/(C40+C41)</f>
        <v/>
      </c>
      <c r="D45" s="35">
        <f>(D40*D43+D41*D44)/(D40+D41)</f>
        <v/>
      </c>
      <c r="E45" s="35">
        <f>(E40*E43+E41*E44)/(E40+E41)</f>
        <v/>
      </c>
      <c r="F45" s="35">
        <f>(F40*F43+F41*F44)/(F40+F41)</f>
        <v/>
      </c>
    </row>
    <row r="46">
      <c r="A46" s="6" t="inlineStr">
        <is>
          <t>Realised price ($/t)</t>
        </is>
      </c>
      <c r="B46" s="35">
        <f>B45*Assumptions!$C$24</f>
        <v/>
      </c>
      <c r="C46" s="35">
        <f>C45*Assumptions!$C$24</f>
        <v/>
      </c>
      <c r="D46" s="35">
        <f>D45*Assumptions!$C$24</f>
        <v/>
      </c>
      <c r="E46" s="35">
        <f>E45*Assumptions!$C$24</f>
        <v/>
      </c>
      <c r="F46" s="35">
        <f>F45*Assumptions!$C$24</f>
        <v/>
      </c>
    </row>
    <row r="47">
      <c r="A47" s="6" t="inlineStr">
        <is>
          <t>Own-produced revenue ($m)</t>
        </is>
      </c>
      <c r="B47" s="35">
        <f>B42*B46/1000</f>
        <v/>
      </c>
      <c r="C47" s="35">
        <f>C42*C46/1000</f>
        <v/>
      </c>
      <c r="D47" s="35">
        <f>D42*D46/1000</f>
        <v/>
      </c>
      <c r="E47" s="35">
        <f>E42*E46/1000</f>
        <v/>
      </c>
      <c r="F47" s="35">
        <f>F42*F46/1000</f>
        <v/>
      </c>
    </row>
    <row r="48">
      <c r="A48" s="6" t="inlineStr">
        <is>
          <t>Cash cost per tonne ($/t)</t>
        </is>
      </c>
      <c r="B48" s="35">
        <f>B49*1000/B42</f>
        <v/>
      </c>
      <c r="C48" s="35">
        <f>Assumptions!$C$26+Assumptions!$C$25*C46</f>
        <v/>
      </c>
      <c r="D48" s="35">
        <f>Assumptions!$C$26+Assumptions!$C$25*D46</f>
        <v/>
      </c>
      <c r="E48" s="35">
        <f>Assumptions!$C$26+Assumptions!$C$25*E46</f>
        <v/>
      </c>
      <c r="F48" s="35">
        <f>Assumptions!$C$26+Assumptions!$C$25*F46</f>
        <v/>
      </c>
    </row>
    <row r="49">
      <c r="A49" s="6" t="inlineStr">
        <is>
          <t>Own-produced cash cost ($m)</t>
        </is>
      </c>
      <c r="B49" s="35">
        <f>B47-B50</f>
        <v/>
      </c>
      <c r="C49" s="35">
        <f>C42*C48/1000</f>
        <v/>
      </c>
      <c r="D49" s="35">
        <f>D42*D48/1000</f>
        <v/>
      </c>
      <c r="E49" s="35">
        <f>E42*E48/1000</f>
        <v/>
      </c>
      <c r="F49" s="35">
        <f>F42*F48/1000</f>
        <v/>
      </c>
    </row>
    <row r="50">
      <c r="A50" s="6" t="inlineStr">
        <is>
          <t>Own-produced EBITDA ($m)</t>
        </is>
      </c>
      <c r="B50" s="35">
        <f>B66</f>
        <v/>
      </c>
      <c r="C50" s="35">
        <f>C47-C49</f>
        <v/>
      </c>
      <c r="D50" s="35">
        <f>D47-D49</f>
        <v/>
      </c>
      <c r="E50" s="35">
        <f>E47-E49</f>
        <v/>
      </c>
      <c r="F50" s="35">
        <f>F47-F49</f>
        <v/>
      </c>
    </row>
    <row r="51">
      <c r="A51" s="6" t="inlineStr">
        <is>
          <t>Third-party traded volume (kt)</t>
        </is>
      </c>
      <c r="B51" s="14">
        <f>Assumptions!$B$14</f>
        <v/>
      </c>
      <c r="C51" s="14">
        <f>Assumptions!$C$14</f>
        <v/>
      </c>
      <c r="D51" s="14">
        <f>Assumptions!$D$14</f>
        <v/>
      </c>
      <c r="E51" s="14">
        <f>Assumptions!$E$14</f>
        <v/>
      </c>
      <c r="F51" s="14">
        <f>Assumptions!$F$14</f>
        <v/>
      </c>
    </row>
    <row r="52">
      <c r="A52" s="6" t="inlineStr">
        <is>
          <t>Third-party traded price ($/t)</t>
        </is>
      </c>
      <c r="B52" s="14">
        <f>Assumptions!$B$21</f>
        <v/>
      </c>
      <c r="C52" s="14">
        <f>Assumptions!$C$21</f>
        <v/>
      </c>
      <c r="D52" s="14">
        <f>Assumptions!$D$21</f>
        <v/>
      </c>
      <c r="E52" s="14">
        <f>Assumptions!$E$21</f>
        <v/>
      </c>
      <c r="F52" s="14">
        <f>Assumptions!$F$21</f>
        <v/>
      </c>
    </row>
    <row r="53">
      <c r="A53" s="6" t="inlineStr">
        <is>
          <t>Third-party traded revenue ($m)</t>
        </is>
      </c>
      <c r="B53" s="35">
        <f>B51*B52/1000</f>
        <v/>
      </c>
      <c r="C53" s="35">
        <f>C51*C52/1000</f>
        <v/>
      </c>
      <c r="D53" s="35">
        <f>D51*D52/1000</f>
        <v/>
      </c>
      <c r="E53" s="35">
        <f>E51*E52/1000</f>
        <v/>
      </c>
      <c r="F53" s="35">
        <f>F51*F52/1000</f>
        <v/>
      </c>
    </row>
    <row r="54">
      <c r="A54" s="6" t="inlineStr">
        <is>
          <t>Third-party traded EBITDA ($m)</t>
        </is>
      </c>
      <c r="B54" s="35">
        <f>B53*Assumptions!$C$27</f>
        <v/>
      </c>
      <c r="C54" s="35">
        <f>C53*Assumptions!$C$27</f>
        <v/>
      </c>
      <c r="D54" s="35">
        <f>D53*Assumptions!$C$27</f>
        <v/>
      </c>
      <c r="E54" s="35">
        <f>E53*Assumptions!$C$27</f>
        <v/>
      </c>
      <c r="F54" s="35">
        <f>F53*Assumptions!$C$27</f>
        <v/>
      </c>
    </row>
    <row r="55">
      <c r="A55" s="6" t="inlineStr">
        <is>
          <t>Corporate and other segment EBITDA ($m)</t>
        </is>
      </c>
      <c r="B55" s="15">
        <f>Assumptions!$B$28</f>
        <v/>
      </c>
      <c r="C55" s="15">
        <f>Assumptions!$C$28</f>
        <v/>
      </c>
      <c r="D55" s="15">
        <f>Assumptions!$D$28</f>
        <v/>
      </c>
      <c r="E55" s="15">
        <f>Assumptions!$E$28</f>
        <v/>
      </c>
      <c r="F55" s="15">
        <f>Assumptions!$F$28</f>
        <v/>
      </c>
    </row>
    <row r="56">
      <c r="A56" s="20" t="inlineStr">
        <is>
          <t>Group revenue ($m)</t>
        </is>
      </c>
      <c r="B56" s="32">
        <f>B47+B53</f>
        <v/>
      </c>
      <c r="C56" s="32">
        <f>C47+C53</f>
        <v/>
      </c>
      <c r="D56" s="32">
        <f>D47+D53</f>
        <v/>
      </c>
      <c r="E56" s="32">
        <f>E47+E53</f>
        <v/>
      </c>
      <c r="F56" s="32">
        <f>F47+F53</f>
        <v/>
      </c>
    </row>
    <row r="57">
      <c r="A57" s="20" t="inlineStr">
        <is>
          <t>Group EBITDA ($m)</t>
        </is>
      </c>
      <c r="B57" s="32">
        <f>B50+B54+B55</f>
        <v/>
      </c>
      <c r="C57" s="32">
        <f>C50+C54+C55</f>
        <v/>
      </c>
      <c r="D57" s="32">
        <f>D50+D54+D55</f>
        <v/>
      </c>
      <c r="E57" s="32">
        <f>E50+E54+E55</f>
        <v/>
      </c>
      <c r="F57" s="32">
        <f>F50+F54+F55</f>
        <v/>
      </c>
    </row>
    <row r="58">
      <c r="A58" s="6" t="inlineStr">
        <is>
          <t>Group EBITDA margin</t>
        </is>
      </c>
      <c r="B58" s="8">
        <f>B57/B56</f>
        <v/>
      </c>
      <c r="C58" s="8">
        <f>C57/C56</f>
        <v/>
      </c>
      <c r="D58" s="8">
        <f>D57/D56</f>
        <v/>
      </c>
      <c r="E58" s="8">
        <f>E57/E56</f>
        <v/>
      </c>
      <c r="F58" s="8">
        <f>F57/F56</f>
        <v/>
      </c>
    </row>
    <row r="59"/>
    <row r="60">
      <c r="A60" s="20" t="inlineStr">
        <is>
          <t>The 2026 splice — the reported first half plus a modelled second half</t>
        </is>
      </c>
    </row>
    <row r="61">
      <c r="A61" s="6" t="inlineStr">
        <is>
          <t>Second-half volume (kt)</t>
        </is>
      </c>
      <c r="B61" s="22">
        <f>B42-D7</f>
        <v/>
      </c>
    </row>
    <row r="62">
      <c r="A62" s="6" t="inlineStr">
        <is>
          <t>Second-half revenue ($m)</t>
        </is>
      </c>
      <c r="B62" s="35">
        <f>B47-D8</f>
        <v/>
      </c>
    </row>
    <row r="63">
      <c r="A63" s="6" t="inlineStr">
        <is>
          <t>Second-half realised price ($/t)</t>
        </is>
      </c>
      <c r="B63" s="35">
        <f>B62*1000/B61</f>
        <v/>
      </c>
    </row>
    <row r="64">
      <c r="A64" s="6" t="inlineStr">
        <is>
          <t>Second-half cash cost per tonne ($/t)</t>
        </is>
      </c>
      <c r="B64" s="35">
        <f>Assumptions!$C$26+Assumptions!$C$25*B63</f>
        <v/>
      </c>
    </row>
    <row r="65">
      <c r="A65" s="6" t="inlineStr">
        <is>
          <t>Second-half EBITDA ($m)</t>
        </is>
      </c>
      <c r="B65" s="35">
        <f>B62-B61*B64/1000</f>
        <v/>
      </c>
    </row>
    <row r="66">
      <c r="A66" s="6" t="inlineStr">
        <is>
          <t>Full-year 2026 own-produced EBITDA ($m)</t>
        </is>
      </c>
      <c r="B66" s="36">
        <f>D9+B65</f>
        <v/>
      </c>
    </row>
    <row r="67"/>
    <row r="68">
      <c r="A68" s="10" t="inlineStr">
        <is>
          <t>FRAMING B — a structurally tight market</t>
        </is>
      </c>
      <c r="B68" s="12" t="n"/>
      <c r="C68" s="12" t="n"/>
      <c r="D68" s="12" t="n"/>
      <c r="E68" s="12" t="n"/>
      <c r="F68" s="12" t="n"/>
      <c r="G68" s="12" t="n"/>
    </row>
    <row r="69">
      <c r="A69" s="5" t="inlineStr">
        <is>
          <t>$m unless stated</t>
        </is>
      </c>
      <c r="B69" s="5" t="inlineStr">
        <is>
          <t>FY2026E</t>
        </is>
      </c>
      <c r="C69" s="5" t="inlineStr">
        <is>
          <t>FY2027E</t>
        </is>
      </c>
      <c r="D69" s="5" t="inlineStr">
        <is>
          <t>FY2028E</t>
        </is>
      </c>
      <c r="E69" s="5" t="inlineStr">
        <is>
          <t>FY2029E</t>
        </is>
      </c>
      <c r="F69" s="5" t="inlineStr">
        <is>
          <t>FY2030E</t>
        </is>
      </c>
    </row>
    <row r="70">
      <c r="A70" s="6" t="inlineStr">
        <is>
          <t>Urea capacity utilisation</t>
        </is>
      </c>
      <c r="B70" s="9">
        <f>Assumptions!$B$12</f>
        <v/>
      </c>
      <c r="C70" s="9">
        <f>Assumptions!$C$12</f>
        <v/>
      </c>
      <c r="D70" s="9">
        <f>Assumptions!$D$12</f>
        <v/>
      </c>
      <c r="E70" s="9">
        <f>Assumptions!$E$12</f>
        <v/>
      </c>
      <c r="F70" s="9">
        <f>Assumptions!$F$12</f>
        <v/>
      </c>
    </row>
    <row r="71">
      <c r="A71" s="6" t="inlineStr">
        <is>
          <t>Merchant ammonia capacity utilisation</t>
        </is>
      </c>
      <c r="B71" s="9">
        <f>Assumptions!$B$13</f>
        <v/>
      </c>
      <c r="C71" s="9">
        <f>Assumptions!$C$13</f>
        <v/>
      </c>
      <c r="D71" s="9">
        <f>Assumptions!$D$13</f>
        <v/>
      </c>
      <c r="E71" s="9">
        <f>Assumptions!$E$13</f>
        <v/>
      </c>
      <c r="F71" s="9">
        <f>Assumptions!$F$13</f>
        <v/>
      </c>
    </row>
    <row r="72">
      <c r="A72" s="6" t="inlineStr">
        <is>
          <t>Urea volume (kt)</t>
        </is>
      </c>
      <c r="B72" s="22">
        <f>Assumptions!$C$10*B70</f>
        <v/>
      </c>
      <c r="C72" s="22">
        <f>Assumptions!$C$10*C70</f>
        <v/>
      </c>
      <c r="D72" s="22">
        <f>Assumptions!$C$10*D70</f>
        <v/>
      </c>
      <c r="E72" s="22">
        <f>Assumptions!$C$10*E70</f>
        <v/>
      </c>
      <c r="F72" s="22">
        <f>Assumptions!$C$10*F70</f>
        <v/>
      </c>
    </row>
    <row r="73">
      <c r="A73" s="6" t="inlineStr">
        <is>
          <t>Merchant ammonia volume (kt)</t>
        </is>
      </c>
      <c r="B73" s="22">
        <f>Assumptions!$C$11*B71</f>
        <v/>
      </c>
      <c r="C73" s="22">
        <f>Assumptions!$C$11*C71</f>
        <v/>
      </c>
      <c r="D73" s="22">
        <f>Assumptions!$C$11*D71</f>
        <v/>
      </c>
      <c r="E73" s="22">
        <f>Assumptions!$C$11*E71</f>
        <v/>
      </c>
      <c r="F73" s="22">
        <f>Assumptions!$C$11*F71</f>
        <v/>
      </c>
    </row>
    <row r="74">
      <c r="A74" s="6" t="inlineStr">
        <is>
          <t>Own-produced volume (kt)</t>
        </is>
      </c>
      <c r="B74" s="22">
        <f>B72+B73</f>
        <v/>
      </c>
      <c r="C74" s="22">
        <f>C72+C73</f>
        <v/>
      </c>
      <c r="D74" s="22">
        <f>D72+D73</f>
        <v/>
      </c>
      <c r="E74" s="22">
        <f>E72+E73</f>
        <v/>
      </c>
      <c r="F74" s="22">
        <f>F72+F73</f>
        <v/>
      </c>
    </row>
    <row r="75">
      <c r="A75" s="6" t="inlineStr">
        <is>
          <t>Urea benchmark price ($/t)</t>
        </is>
      </c>
      <c r="B75" s="14">
        <f>Assumptions!$B$19</f>
        <v/>
      </c>
      <c r="C75" s="14">
        <f>Assumptions!$C$19</f>
        <v/>
      </c>
      <c r="D75" s="14">
        <f>Assumptions!$D$19</f>
        <v/>
      </c>
      <c r="E75" s="14">
        <f>Assumptions!$E$19</f>
        <v/>
      </c>
      <c r="F75" s="14">
        <f>Assumptions!$F$19</f>
        <v/>
      </c>
    </row>
    <row r="76">
      <c r="A76" s="6" t="inlineStr">
        <is>
          <t>Ammonia benchmark price ($/t)</t>
        </is>
      </c>
      <c r="B76" s="14">
        <f>Assumptions!$B$20</f>
        <v/>
      </c>
      <c r="C76" s="14">
        <f>Assumptions!$C$20</f>
        <v/>
      </c>
      <c r="D76" s="14">
        <f>Assumptions!$D$20</f>
        <v/>
      </c>
      <c r="E76" s="14">
        <f>Assumptions!$E$20</f>
        <v/>
      </c>
      <c r="F76" s="14">
        <f>Assumptions!$F$20</f>
        <v/>
      </c>
    </row>
    <row r="77">
      <c r="A77" s="6" t="inlineStr">
        <is>
          <t>Volume-weighted benchmark price ($/t)</t>
        </is>
      </c>
      <c r="B77" s="35">
        <f>(B72*B75+B73*B76)/(B72+B73)</f>
        <v/>
      </c>
      <c r="C77" s="35">
        <f>(C72*C75+C73*C76)/(C72+C73)</f>
        <v/>
      </c>
      <c r="D77" s="35">
        <f>(D72*D75+D73*D76)/(D72+D73)</f>
        <v/>
      </c>
      <c r="E77" s="35">
        <f>(E72*E75+E73*E76)/(E72+E73)</f>
        <v/>
      </c>
      <c r="F77" s="35">
        <f>(F72*F75+F73*F76)/(F72+F73)</f>
        <v/>
      </c>
    </row>
    <row r="78">
      <c r="A78" s="6" t="inlineStr">
        <is>
          <t>Realised price ($/t)</t>
        </is>
      </c>
      <c r="B78" s="35">
        <f>B77*Assumptions!$C$24</f>
        <v/>
      </c>
      <c r="C78" s="35">
        <f>C77*Assumptions!$C$24</f>
        <v/>
      </c>
      <c r="D78" s="35">
        <f>D77*Assumptions!$C$24</f>
        <v/>
      </c>
      <c r="E78" s="35">
        <f>E77*Assumptions!$C$24</f>
        <v/>
      </c>
      <c r="F78" s="35">
        <f>F77*Assumptions!$C$24</f>
        <v/>
      </c>
    </row>
    <row r="79">
      <c r="A79" s="6" t="inlineStr">
        <is>
          <t>Own-produced revenue ($m)</t>
        </is>
      </c>
      <c r="B79" s="35">
        <f>B74*B78/1000</f>
        <v/>
      </c>
      <c r="C79" s="35">
        <f>C74*C78/1000</f>
        <v/>
      </c>
      <c r="D79" s="35">
        <f>D74*D78/1000</f>
        <v/>
      </c>
      <c r="E79" s="35">
        <f>E74*E78/1000</f>
        <v/>
      </c>
      <c r="F79" s="35">
        <f>F74*F78/1000</f>
        <v/>
      </c>
    </row>
    <row r="80">
      <c r="A80" s="6" t="inlineStr">
        <is>
          <t>Cash cost per tonne ($/t)</t>
        </is>
      </c>
      <c r="B80" s="35">
        <f>B81*1000/B74</f>
        <v/>
      </c>
      <c r="C80" s="35">
        <f>Assumptions!$C$26+Assumptions!$C$25*C78</f>
        <v/>
      </c>
      <c r="D80" s="35">
        <f>Assumptions!$C$26+Assumptions!$C$25*D78</f>
        <v/>
      </c>
      <c r="E80" s="35">
        <f>Assumptions!$C$26+Assumptions!$C$25*E78</f>
        <v/>
      </c>
      <c r="F80" s="35">
        <f>Assumptions!$C$26+Assumptions!$C$25*F78</f>
        <v/>
      </c>
    </row>
    <row r="81">
      <c r="A81" s="6" t="inlineStr">
        <is>
          <t>Own-produced cash cost ($m)</t>
        </is>
      </c>
      <c r="B81" s="35">
        <f>B79-B82</f>
        <v/>
      </c>
      <c r="C81" s="35">
        <f>C74*C80/1000</f>
        <v/>
      </c>
      <c r="D81" s="35">
        <f>D74*D80/1000</f>
        <v/>
      </c>
      <c r="E81" s="35">
        <f>E74*E80/1000</f>
        <v/>
      </c>
      <c r="F81" s="35">
        <f>F74*F80/1000</f>
        <v/>
      </c>
    </row>
    <row r="82">
      <c r="A82" s="6" t="inlineStr">
        <is>
          <t>Own-produced EBITDA ($m)</t>
        </is>
      </c>
      <c r="B82" s="35">
        <f>B98</f>
        <v/>
      </c>
      <c r="C82" s="35">
        <f>C79-C81</f>
        <v/>
      </c>
      <c r="D82" s="35">
        <f>D79-D81</f>
        <v/>
      </c>
      <c r="E82" s="35">
        <f>E79-E81</f>
        <v/>
      </c>
      <c r="F82" s="35">
        <f>F79-F81</f>
        <v/>
      </c>
    </row>
    <row r="83">
      <c r="A83" s="6" t="inlineStr">
        <is>
          <t>Third-party traded volume (kt)</t>
        </is>
      </c>
      <c r="B83" s="14">
        <f>Assumptions!$B$14</f>
        <v/>
      </c>
      <c r="C83" s="14">
        <f>Assumptions!$C$14</f>
        <v/>
      </c>
      <c r="D83" s="14">
        <f>Assumptions!$D$14</f>
        <v/>
      </c>
      <c r="E83" s="14">
        <f>Assumptions!$E$14</f>
        <v/>
      </c>
      <c r="F83" s="14">
        <f>Assumptions!$F$14</f>
        <v/>
      </c>
    </row>
    <row r="84">
      <c r="A84" s="6" t="inlineStr">
        <is>
          <t>Third-party traded price ($/t)</t>
        </is>
      </c>
      <c r="B84" s="14">
        <f>Assumptions!$B$21</f>
        <v/>
      </c>
      <c r="C84" s="14">
        <f>Assumptions!$C$21</f>
        <v/>
      </c>
      <c r="D84" s="14">
        <f>Assumptions!$D$21</f>
        <v/>
      </c>
      <c r="E84" s="14">
        <f>Assumptions!$E$21</f>
        <v/>
      </c>
      <c r="F84" s="14">
        <f>Assumptions!$F$21</f>
        <v/>
      </c>
    </row>
    <row r="85">
      <c r="A85" s="6" t="inlineStr">
        <is>
          <t>Third-party traded revenue ($m)</t>
        </is>
      </c>
      <c r="B85" s="35">
        <f>B83*B84/1000</f>
        <v/>
      </c>
      <c r="C85" s="35">
        <f>C83*C84/1000</f>
        <v/>
      </c>
      <c r="D85" s="35">
        <f>D83*D84/1000</f>
        <v/>
      </c>
      <c r="E85" s="35">
        <f>E83*E84/1000</f>
        <v/>
      </c>
      <c r="F85" s="35">
        <f>F83*F84/1000</f>
        <v/>
      </c>
    </row>
    <row r="86">
      <c r="A86" s="6" t="inlineStr">
        <is>
          <t>Third-party traded EBITDA ($m)</t>
        </is>
      </c>
      <c r="B86" s="35">
        <f>B85*Assumptions!$C$27</f>
        <v/>
      </c>
      <c r="C86" s="35">
        <f>C85*Assumptions!$C$27</f>
        <v/>
      </c>
      <c r="D86" s="35">
        <f>D85*Assumptions!$C$27</f>
        <v/>
      </c>
      <c r="E86" s="35">
        <f>E85*Assumptions!$C$27</f>
        <v/>
      </c>
      <c r="F86" s="35">
        <f>F85*Assumptions!$C$27</f>
        <v/>
      </c>
    </row>
    <row r="87">
      <c r="A87" s="6" t="inlineStr">
        <is>
          <t>Corporate and other segment EBITDA ($m)</t>
        </is>
      </c>
      <c r="B87" s="15">
        <f>Assumptions!$B$28</f>
        <v/>
      </c>
      <c r="C87" s="15">
        <f>Assumptions!$C$28</f>
        <v/>
      </c>
      <c r="D87" s="15">
        <f>Assumptions!$D$28</f>
        <v/>
      </c>
      <c r="E87" s="15">
        <f>Assumptions!$E$28</f>
        <v/>
      </c>
      <c r="F87" s="15">
        <f>Assumptions!$F$28</f>
        <v/>
      </c>
    </row>
    <row r="88">
      <c r="A88" s="20" t="inlineStr">
        <is>
          <t>Group revenue ($m)</t>
        </is>
      </c>
      <c r="B88" s="32">
        <f>B79+B85</f>
        <v/>
      </c>
      <c r="C88" s="32">
        <f>C79+C85</f>
        <v/>
      </c>
      <c r="D88" s="32">
        <f>D79+D85</f>
        <v/>
      </c>
      <c r="E88" s="32">
        <f>E79+E85</f>
        <v/>
      </c>
      <c r="F88" s="32">
        <f>F79+F85</f>
        <v/>
      </c>
    </row>
    <row r="89">
      <c r="A89" s="20" t="inlineStr">
        <is>
          <t>Group EBITDA ($m)</t>
        </is>
      </c>
      <c r="B89" s="32">
        <f>B82+B86+B87</f>
        <v/>
      </c>
      <c r="C89" s="32">
        <f>C82+C86+C87</f>
        <v/>
      </c>
      <c r="D89" s="32">
        <f>D82+D86+D87</f>
        <v/>
      </c>
      <c r="E89" s="32">
        <f>E82+E86+E87</f>
        <v/>
      </c>
      <c r="F89" s="32">
        <f>F82+F86+F87</f>
        <v/>
      </c>
    </row>
    <row r="90">
      <c r="A90" s="6" t="inlineStr">
        <is>
          <t>Group EBITDA margin</t>
        </is>
      </c>
      <c r="B90" s="8">
        <f>B89/B88</f>
        <v/>
      </c>
      <c r="C90" s="8">
        <f>C89/C88</f>
        <v/>
      </c>
      <c r="D90" s="8">
        <f>D89/D88</f>
        <v/>
      </c>
      <c r="E90" s="8">
        <f>E89/E88</f>
        <v/>
      </c>
      <c r="F90" s="8">
        <f>F89/F88</f>
        <v/>
      </c>
    </row>
    <row r="91"/>
    <row r="92">
      <c r="A92" s="20" t="inlineStr">
        <is>
          <t>The 2026 splice — the reported first half plus a modelled second half</t>
        </is>
      </c>
    </row>
    <row r="93">
      <c r="A93" s="6" t="inlineStr">
        <is>
          <t>Second-half volume (kt)</t>
        </is>
      </c>
      <c r="B93" s="22">
        <f>B74-D7</f>
        <v/>
      </c>
    </row>
    <row r="94">
      <c r="A94" s="6" t="inlineStr">
        <is>
          <t>Second-half revenue ($m)</t>
        </is>
      </c>
      <c r="B94" s="35">
        <f>B79-D8</f>
        <v/>
      </c>
    </row>
    <row r="95">
      <c r="A95" s="6" t="inlineStr">
        <is>
          <t>Second-half realised price ($/t)</t>
        </is>
      </c>
      <c r="B95" s="35">
        <f>B94*1000/B93</f>
        <v/>
      </c>
    </row>
    <row r="96">
      <c r="A96" s="6" t="inlineStr">
        <is>
          <t>Second-half cash cost per tonne ($/t)</t>
        </is>
      </c>
      <c r="B96" s="35">
        <f>Assumptions!$C$26+Assumptions!$C$25*B95</f>
        <v/>
      </c>
    </row>
    <row r="97">
      <c r="A97" s="6" t="inlineStr">
        <is>
          <t>Second-half EBITDA ($m)</t>
        </is>
      </c>
      <c r="B97" s="35">
        <f>B94-B93*B96/1000</f>
        <v/>
      </c>
    </row>
    <row r="98">
      <c r="A98" s="6" t="inlineStr">
        <is>
          <t>Full-year 2026 own-produced EBITDA ($m)</t>
        </is>
      </c>
      <c r="B98" s="36">
        <f>D9+B97</f>
        <v/>
      </c>
    </row>
    <row r="99"/>
    <row r="100">
      <c r="A100" s="4" t="inlineStr">
        <is>
          <t>Margin is an output of this build, never an input. The only difference between the two framings is the price path; volume, the realisation factor, the cost pass-through, the trading leg and the corporate load are identical in both.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58" customWidth="1" min="1" max="1"/>
    <col width="16" customWidth="1" min="2" max="2"/>
    <col width="16" customWidth="1" min="3" max="3"/>
    <col width="16" customWidth="1" min="4" max="4"/>
    <col width="16" customWidth="1" min="5" max="5"/>
    <col width="16" customWidth="1" min="6" max="6"/>
  </cols>
  <sheetData>
    <row r="1">
      <c r="A1" s="1" t="inlineStr">
        <is>
          <t>Relative multiples, normalised earnings power, and book value</t>
        </is>
      </c>
      <c r="B1" s="2" t="n"/>
      <c r="C1" s="2" t="n"/>
      <c r="D1" s="2" t="n"/>
      <c r="E1" s="2" t="n"/>
      <c r="F1" s="2" t="n"/>
    </row>
    <row r="2">
      <c r="A2" s="4" t="inlineStr">
        <is>
          <t>The three lenses that do not discount a cash flow. Each is built from the same forecast.</t>
        </is>
      </c>
    </row>
    <row r="3"/>
    <row r="4">
      <c r="A4" s="5" t="inlineStr">
        <is>
          <t>Relative multiples</t>
        </is>
      </c>
      <c r="B4" s="5" t="inlineStr">
        <is>
          <t>Value</t>
        </is>
      </c>
    </row>
    <row r="5">
      <c r="A5" s="6" t="inlineStr">
        <is>
          <t>Mid-cycle EBITDA — the average of FY2028E to FY2030E on both framings ($m)</t>
        </is>
      </c>
      <c r="C5" s="35">
        <f>(SUM(DCF!D7:F7)+SUM(DCF!D26:F26))/6</f>
        <v/>
      </c>
    </row>
    <row r="6">
      <c r="A6" s="6" t="inlineStr">
        <is>
          <t>Justified enterprise value / EBITDA</t>
        </is>
      </c>
      <c r="C6" s="40">
        <f>Assumptions!$C$83</f>
        <v/>
      </c>
    </row>
    <row r="7">
      <c r="A7" s="6" t="inlineStr">
        <is>
          <t>Implied enterprise value ($m)</t>
        </is>
      </c>
      <c r="C7" s="22">
        <f>C5*C6</f>
        <v/>
      </c>
    </row>
    <row r="8">
      <c r="A8" s="6" t="inlineStr">
        <is>
          <t>Less net debt, giving equity before minorities ($m)</t>
        </is>
      </c>
      <c r="C8" s="22">
        <f>C7-Assumptions!$C$70</f>
        <v/>
      </c>
    </row>
    <row r="9">
      <c r="A9" s="20" t="inlineStr">
        <is>
          <t>Implied value per share (AED)</t>
        </is>
      </c>
      <c r="C9" s="23">
        <f>C8*(1-Assumptions!$C$78)/Assumptions!$C$7*Assumptions!$C$6</f>
        <v/>
      </c>
    </row>
    <row r="10"/>
    <row r="11">
      <c r="A11" s="5" t="inlineStr">
        <is>
          <t>Trailing market check</t>
        </is>
      </c>
      <c r="B11" s="5" t="inlineStr">
        <is>
          <t>Value</t>
        </is>
      </c>
    </row>
    <row r="12">
      <c r="A12" s="6" t="inlineStr">
        <is>
          <t>Market capitalisation ($m)</t>
        </is>
      </c>
      <c r="C12" s="14">
        <f>DCF!C84</f>
        <v/>
      </c>
    </row>
    <row r="13">
      <c r="A13" s="6" t="inlineStr">
        <is>
          <t>Trailing enterprise value ($m)</t>
        </is>
      </c>
      <c r="C13" s="22">
        <f>C12+Assumptions!$C$70</f>
        <v/>
      </c>
    </row>
    <row r="14">
      <c r="A14" s="6" t="inlineStr">
        <is>
          <t>Trailing enterprise value / EBITDA (first half annualised)</t>
        </is>
      </c>
      <c r="C14" s="41">
        <f>C13/(Assumptions!$C$85*2)</f>
        <v/>
      </c>
    </row>
    <row r="15">
      <c r="A15" s="6" t="inlineStr">
        <is>
          <t>Trailing price / earnings (first half annualised)</t>
        </is>
      </c>
      <c r="C15" s="41">
        <f>C12/(Assumptions!$C$86*2)</f>
        <v/>
      </c>
    </row>
    <row r="16"/>
    <row r="17">
      <c r="A17" s="5" t="inlineStr">
        <is>
          <t>Normalised earnings power</t>
        </is>
      </c>
      <c r="B17" s="5" t="inlineStr">
        <is>
          <t>Value</t>
        </is>
      </c>
    </row>
    <row r="18">
      <c r="A18" s="6" t="inlineStr">
        <is>
          <t>Mid-cycle EBITDA margin — the average of FY2023 to FY2025</t>
        </is>
      </c>
      <c r="C18" s="8">
        <f>AVERAGE('Income Statement'!B24:D24)</f>
        <v/>
      </c>
    </row>
    <row r="19">
      <c r="A19" s="6" t="inlineStr">
        <is>
          <t>Mid-cycle revenue — the average of FY2028E to FY2030E on both framings ($m)</t>
        </is>
      </c>
      <c r="C19" s="35">
        <f>(SUM(DCF!D6:F6)+SUM(DCF!D25:F25))/6</f>
        <v/>
      </c>
    </row>
    <row r="20">
      <c r="A20" s="6" t="inlineStr">
        <is>
          <t>Normalised EBITDA ($m)</t>
        </is>
      </c>
      <c r="C20" s="35">
        <f>C19*C18</f>
        <v/>
      </c>
    </row>
    <row r="21">
      <c r="A21" s="6" t="inlineStr">
        <is>
          <t>Less depreciation, giving normalised EBIT ($m)</t>
        </is>
      </c>
      <c r="C21" s="35">
        <f>C20-Assumptions!$D$31</f>
        <v/>
      </c>
    </row>
    <row r="22">
      <c r="A22" s="6" t="inlineStr">
        <is>
          <t>Less interest on net debt ($m)</t>
        </is>
      </c>
      <c r="C22" s="35">
        <f>Assumptions!$C$71*Assumptions!$C$70</f>
        <v/>
      </c>
    </row>
    <row r="23">
      <c r="A23" s="6" t="inlineStr">
        <is>
          <t>Normalised profit to owners, after tax and minorities ($m)</t>
        </is>
      </c>
      <c r="C23" s="35">
        <f>(C21-C22)*(1-DCF!$C$106)*(1-Assumptions!$C$78)</f>
        <v/>
      </c>
    </row>
    <row r="24">
      <c r="A24" s="6" t="inlineStr">
        <is>
          <t>Normalised earnings per share ($)</t>
        </is>
      </c>
      <c r="C24" s="19">
        <f>C23/Assumptions!$C$7</f>
        <v/>
      </c>
    </row>
    <row r="25">
      <c r="A25" s="6" t="inlineStr">
        <is>
          <t>Justified price / earnings</t>
        </is>
      </c>
      <c r="C25" s="40">
        <f>Assumptions!$C$84</f>
        <v/>
      </c>
    </row>
    <row r="26">
      <c r="A26" s="20" t="inlineStr">
        <is>
          <t>Implied value per share (AED)</t>
        </is>
      </c>
      <c r="C26" s="23">
        <f>C24*C25*Assumptions!$C$6</f>
        <v/>
      </c>
    </row>
    <row r="27"/>
    <row r="28">
      <c r="A28" s="5" t="inlineStr">
        <is>
          <t>Book value and the sustainable return</t>
        </is>
      </c>
      <c r="B28" s="5" t="inlineStr">
        <is>
          <t>Value</t>
        </is>
      </c>
    </row>
    <row r="29">
      <c r="A29" s="6" t="inlineStr">
        <is>
          <t>Book value per share ($)</t>
        </is>
      </c>
      <c r="C29" s="19">
        <f>'Balance Sheet'!D18/Assumptions!$C$7</f>
        <v/>
      </c>
    </row>
    <row r="30">
      <c r="A30" s="6" t="inlineStr">
        <is>
          <t>Return on equity, trailing</t>
        </is>
      </c>
      <c r="C30" s="8">
        <f>'Income Statement'!D21/'Balance Sheet'!D18</f>
        <v/>
      </c>
    </row>
    <row r="31">
      <c r="A31" s="6" t="inlineStr">
        <is>
          <t>Sustainable return on equity — the average of the three audited years</t>
        </is>
      </c>
      <c r="C31" s="8">
        <f>('Income Statement'!B21/'Balance Sheet'!B18+'Income Statement'!C21/'Balance Sheet'!C18+'Income Statement'!D21/'Balance Sheet'!D18)/3</f>
        <v/>
      </c>
    </row>
    <row r="32">
      <c r="A32" s="6" t="inlineStr">
        <is>
          <t>Cost of equity, the average of the two premium bases</t>
        </is>
      </c>
      <c r="C32" s="17">
        <f>DCF!C80</f>
        <v/>
      </c>
    </row>
    <row r="33">
      <c r="A33" s="6" t="inlineStr">
        <is>
          <t>Justified price to book — return less growth, over cost of equity less growth</t>
        </is>
      </c>
      <c r="C33" s="41">
        <f>(C31-Assumptions!$C$74)/(C32-Assumptions!$C$74)</f>
        <v/>
      </c>
    </row>
    <row r="34">
      <c r="A34" s="20" t="inlineStr">
        <is>
          <t>Implied value per share (AED)</t>
        </is>
      </c>
      <c r="C34" s="23">
        <f>C29*C33*Assumptions!$C$6</f>
        <v/>
      </c>
    </row>
    <row r="35"/>
    <row r="36">
      <c r="A36" s="4" t="inlineStr">
        <is>
          <t>The book lens is the weakest of the four here and is weighted accordingly. A nitrogen producer's plants are carried at depreciated historical cost in a currency that has been stable, so book equity understates what the same capacity would cost to build — but it is the one lens that does not need a forecast at all, which is why it is kept.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8"/>
  <sheetViews>
    <sheetView workbookViewId="0">
      <pane ySplit="4" topLeftCell="A5" activePane="bottomLeft" state="frozen"/>
      <selection pane="bottomLeft" activeCell="A1" sqref="A1"/>
    </sheetView>
  </sheetViews>
  <sheetFormatPr baseColWidth="8" defaultRowHeight="15"/>
  <cols>
    <col width="54"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Discounted cash flow — the full waterfall, both framings</t>
        </is>
      </c>
      <c r="B1" s="2" t="n"/>
      <c r="C1" s="2" t="n"/>
      <c r="D1" s="2" t="n"/>
      <c r="E1" s="2" t="n"/>
      <c r="F1" s="2" t="n"/>
      <c r="G1" s="2" t="n"/>
    </row>
    <row r="2">
      <c r="A2" s="4" t="inlineStr">
        <is>
          <t>Every line is a live formula. The cost of capital is built at the foot of the sheet, the glide fractions are derived in front of you, and the discount factors compound one from the next.</t>
        </is>
      </c>
    </row>
    <row r="3"/>
    <row r="4">
      <c r="A4" s="5" t="inlineStr">
        <is>
          <t>$m unless stated</t>
        </is>
      </c>
      <c r="B4" s="5" t="inlineStr">
        <is>
          <t>FY2026E</t>
        </is>
      </c>
      <c r="C4" s="5" t="inlineStr">
        <is>
          <t>FY2027E</t>
        </is>
      </c>
      <c r="D4" s="5" t="inlineStr">
        <is>
          <t>FY2028E</t>
        </is>
      </c>
      <c r="E4" s="5" t="inlineStr">
        <is>
          <t>FY2029E</t>
        </is>
      </c>
      <c r="F4" s="5" t="inlineStr">
        <is>
          <t>FY2030E</t>
        </is>
      </c>
    </row>
    <row r="5">
      <c r="A5" s="10" t="inlineStr">
        <is>
          <t>FRAMING A — normalisation to a marginal-cost anchor</t>
        </is>
      </c>
      <c r="B5" s="12" t="n"/>
      <c r="C5" s="12" t="n"/>
      <c r="D5" s="12" t="n"/>
      <c r="E5" s="12" t="n"/>
      <c r="F5" s="12" t="n"/>
      <c r="G5" s="12" t="n"/>
    </row>
    <row r="6">
      <c r="A6" s="6" t="inlineStr">
        <is>
          <t>Revenue</t>
        </is>
      </c>
      <c r="B6" s="14">
        <f>Segments!B56</f>
        <v/>
      </c>
      <c r="C6" s="14">
        <f>Segments!C56</f>
        <v/>
      </c>
      <c r="D6" s="14">
        <f>Segments!D56</f>
        <v/>
      </c>
      <c r="E6" s="14">
        <f>Segments!E56</f>
        <v/>
      </c>
      <c r="F6" s="14">
        <f>Segments!F56</f>
        <v/>
      </c>
    </row>
    <row r="7">
      <c r="A7" s="6" t="inlineStr">
        <is>
          <t>EBITDA</t>
        </is>
      </c>
      <c r="B7" s="14">
        <f>Segments!B57</f>
        <v/>
      </c>
      <c r="C7" s="14">
        <f>Segments!C57</f>
        <v/>
      </c>
      <c r="D7" s="14">
        <f>Segments!D57</f>
        <v/>
      </c>
      <c r="E7" s="14">
        <f>Segments!E57</f>
        <v/>
      </c>
      <c r="F7" s="14">
        <f>Segments!F57</f>
        <v/>
      </c>
    </row>
    <row r="8">
      <c r="A8" s="6" t="inlineStr">
        <is>
          <t>EBITDA margin (EBITDA / revenue)</t>
        </is>
      </c>
      <c r="B8" s="8">
        <f>B7/B6</f>
        <v/>
      </c>
      <c r="C8" s="8">
        <f>C7/C6</f>
        <v/>
      </c>
      <c r="D8" s="8">
        <f>D7/D6</f>
        <v/>
      </c>
      <c r="E8" s="8">
        <f>E7/E6</f>
        <v/>
      </c>
      <c r="F8" s="8">
        <f>F7/F6</f>
        <v/>
      </c>
    </row>
    <row r="9">
      <c r="A9" s="6" t="inlineStr">
        <is>
          <t>Depreciation and amortisation</t>
        </is>
      </c>
      <c r="B9" s="14">
        <f>Assumptions!$B$31</f>
        <v/>
      </c>
      <c r="C9" s="14">
        <f>Assumptions!$C$31</f>
        <v/>
      </c>
      <c r="D9" s="14">
        <f>Assumptions!$D$31</f>
        <v/>
      </c>
      <c r="E9" s="14">
        <f>Assumptions!$E$31</f>
        <v/>
      </c>
      <c r="F9" s="14">
        <f>Assumptions!$F$31</f>
        <v/>
      </c>
    </row>
    <row r="10">
      <c r="A10" s="20" t="inlineStr">
        <is>
          <t>EBIT (EBITDA less depreciation and amortisation)</t>
        </is>
      </c>
      <c r="B10" s="32">
        <f>B7-B9</f>
        <v/>
      </c>
      <c r="C10" s="32">
        <f>C7-C9</f>
        <v/>
      </c>
      <c r="D10" s="32">
        <f>D7-D9</f>
        <v/>
      </c>
      <c r="E10" s="32">
        <f>E7-E9</f>
        <v/>
      </c>
      <c r="F10" s="32">
        <f>F7-F9</f>
        <v/>
      </c>
    </row>
    <row r="11">
      <c r="A11" s="6" t="inlineStr">
        <is>
          <t>Net operating profit after tax (EBIT times one less the tax rate)</t>
        </is>
      </c>
      <c r="B11" s="22">
        <f>B10*(1-$C$106)</f>
        <v/>
      </c>
      <c r="C11" s="22">
        <f>C10*(1-$C$106)</f>
        <v/>
      </c>
      <c r="D11" s="22">
        <f>D10*(1-$C$106)</f>
        <v/>
      </c>
      <c r="E11" s="22">
        <f>E10*(1-$C$106)</f>
        <v/>
      </c>
      <c r="F11" s="22">
        <f>F10*(1-$C$106)</f>
        <v/>
      </c>
    </row>
    <row r="12">
      <c r="A12" s="6" t="inlineStr">
        <is>
          <t>Add back depreciation and amortisation</t>
        </is>
      </c>
      <c r="B12" s="22">
        <f>B9</f>
        <v/>
      </c>
      <c r="C12" s="22">
        <f>C9</f>
        <v/>
      </c>
      <c r="D12" s="22">
        <f>D9</f>
        <v/>
      </c>
      <c r="E12" s="22">
        <f>E9</f>
        <v/>
      </c>
      <c r="F12" s="22">
        <f>F9</f>
        <v/>
      </c>
    </row>
    <row r="13">
      <c r="A13" s="6" t="inlineStr">
        <is>
          <t>Less capital expenditure</t>
        </is>
      </c>
      <c r="B13" s="14">
        <f>Assumptions!$B$32</f>
        <v/>
      </c>
      <c r="C13" s="14">
        <f>Assumptions!$C$32</f>
        <v/>
      </c>
      <c r="D13" s="14">
        <f>Assumptions!$D$32</f>
        <v/>
      </c>
      <c r="E13" s="14">
        <f>Assumptions!$E$32</f>
        <v/>
      </c>
      <c r="F13" s="14">
        <f>Assumptions!$F$32</f>
        <v/>
      </c>
    </row>
    <row r="14">
      <c r="A14" s="6" t="inlineStr">
        <is>
          <t>Trade and other receivables (days sales outstanding)</t>
        </is>
      </c>
      <c r="B14" s="35">
        <f>Assumptions!$C$35*B6/365</f>
        <v/>
      </c>
      <c r="C14" s="35">
        <f>Assumptions!$C$35*C6/365</f>
        <v/>
      </c>
      <c r="D14" s="35">
        <f>Assumptions!$C$35*D6/365</f>
        <v/>
      </c>
      <c r="E14" s="35">
        <f>Assumptions!$C$35*E6/365</f>
        <v/>
      </c>
      <c r="F14" s="35">
        <f>Assumptions!$C$35*F6/365</f>
        <v/>
      </c>
    </row>
    <row r="15">
      <c r="A15" s="6" t="inlineStr">
        <is>
          <t>Inventories (days inventory outstanding)</t>
        </is>
      </c>
      <c r="B15" s="35">
        <f>Assumptions!$C$36*(B6-B7)/365</f>
        <v/>
      </c>
      <c r="C15" s="35">
        <f>Assumptions!$C$36*(C6-C7)/365</f>
        <v/>
      </c>
      <c r="D15" s="35">
        <f>Assumptions!$C$36*(D6-D7)/365</f>
        <v/>
      </c>
      <c r="E15" s="35">
        <f>Assumptions!$C$36*(E6-E7)/365</f>
        <v/>
      </c>
      <c r="F15" s="35">
        <f>Assumptions!$C$36*(F6-F7)/365</f>
        <v/>
      </c>
    </row>
    <row r="16">
      <c r="A16" s="6" t="inlineStr">
        <is>
          <t>Trade and other payables (days payables outstanding)</t>
        </is>
      </c>
      <c r="B16" s="35">
        <f>Assumptions!$C$37*(B6-B7)/365</f>
        <v/>
      </c>
      <c r="C16" s="35">
        <f>Assumptions!$C$37*(C6-C7)/365</f>
        <v/>
      </c>
      <c r="D16" s="35">
        <f>Assumptions!$C$37*(D6-D7)/365</f>
        <v/>
      </c>
      <c r="E16" s="35">
        <f>Assumptions!$C$37*(E6-E7)/365</f>
        <v/>
      </c>
      <c r="F16" s="35">
        <f>Assumptions!$C$37*(F6-F7)/365</f>
        <v/>
      </c>
    </row>
    <row r="17">
      <c r="A17" s="6" t="inlineStr">
        <is>
          <t>Net working capital</t>
        </is>
      </c>
      <c r="B17" s="35">
        <f>B14+B15-B16</f>
        <v/>
      </c>
      <c r="C17" s="35">
        <f>C14+C15-C16</f>
        <v/>
      </c>
      <c r="D17" s="35">
        <f>D14+D15-D16</f>
        <v/>
      </c>
      <c r="E17" s="35">
        <f>E14+E15-E16</f>
        <v/>
      </c>
      <c r="F17" s="35">
        <f>F14+F15-F16</f>
        <v/>
      </c>
    </row>
    <row r="18">
      <c r="A18" s="6" t="inlineStr">
        <is>
          <t>Less change in net working capital</t>
        </is>
      </c>
      <c r="B18" s="35">
        <f>B17-Assumptions!$C$38</f>
        <v/>
      </c>
      <c r="C18" s="35">
        <f>C17-B17</f>
        <v/>
      </c>
      <c r="D18" s="35">
        <f>D17-C17</f>
        <v/>
      </c>
      <c r="E18" s="35">
        <f>E17-D17</f>
        <v/>
      </c>
      <c r="F18" s="35">
        <f>F17-E17</f>
        <v/>
      </c>
    </row>
    <row r="19">
      <c r="A19" s="20" t="inlineStr">
        <is>
          <t>Free cash flow to the firm</t>
        </is>
      </c>
      <c r="B19" s="32">
        <f>B11+B12-B13-B18</f>
        <v/>
      </c>
      <c r="C19" s="32">
        <f>C11+C12-C13-C18</f>
        <v/>
      </c>
      <c r="D19" s="32">
        <f>D11+D12-D13-D18</f>
        <v/>
      </c>
      <c r="E19" s="32">
        <f>E11+E12-E13-E18</f>
        <v/>
      </c>
      <c r="F19" s="32">
        <f>F11+F12-F13-F18</f>
        <v/>
      </c>
    </row>
    <row r="20">
      <c r="A20" s="6" t="inlineStr">
        <is>
          <t>Forward cost of capital</t>
        </is>
      </c>
      <c r="B20" s="30">
        <f>$C$88+($C$91-$C$88)*B96</f>
        <v/>
      </c>
      <c r="C20" s="30">
        <f>$C$88+($C$91-$C$88)*C96</f>
        <v/>
      </c>
      <c r="D20" s="30">
        <f>$C$88+($C$91-$C$88)*D96</f>
        <v/>
      </c>
      <c r="E20" s="30">
        <f>$C$88+($C$91-$C$88)*E96</f>
        <v/>
      </c>
      <c r="F20" s="30">
        <f>$C$88+($C$91-$C$88)*F96</f>
        <v/>
      </c>
    </row>
    <row r="21">
      <c r="A21" s="6" t="inlineStr">
        <is>
          <t>Discount factor (each one the year before, divided by one plus that year's rate)</t>
        </is>
      </c>
      <c r="B21" s="42">
        <f>1/(1+B20)</f>
        <v/>
      </c>
      <c r="C21" s="42">
        <f>B21/(1+C20)</f>
        <v/>
      </c>
      <c r="D21" s="42">
        <f>C21/(1+D20)</f>
        <v/>
      </c>
      <c r="E21" s="42">
        <f>D21/(1+E20)</f>
        <v/>
      </c>
      <c r="F21" s="42">
        <f>E21/(1+F20)</f>
        <v/>
      </c>
    </row>
    <row r="22">
      <c r="A22" s="20" t="inlineStr">
        <is>
          <t>Present value of free cash flow</t>
        </is>
      </c>
      <c r="B22" s="32">
        <f>B19*B21</f>
        <v/>
      </c>
      <c r="C22" s="32">
        <f>C19*C21</f>
        <v/>
      </c>
      <c r="D22" s="32">
        <f>D19*D21</f>
        <v/>
      </c>
      <c r="E22" s="32">
        <f>E19*E21</f>
        <v/>
      </c>
      <c r="F22" s="32">
        <f>F19*F21</f>
        <v/>
      </c>
    </row>
    <row r="23"/>
    <row r="24">
      <c r="A24" s="10" t="inlineStr">
        <is>
          <t>FRAMING B — a structurally tight market</t>
        </is>
      </c>
      <c r="B24" s="12" t="n"/>
      <c r="C24" s="12" t="n"/>
      <c r="D24" s="12" t="n"/>
      <c r="E24" s="12" t="n"/>
      <c r="F24" s="12" t="n"/>
      <c r="G24" s="12" t="n"/>
    </row>
    <row r="25">
      <c r="A25" s="6" t="inlineStr">
        <is>
          <t>Revenue</t>
        </is>
      </c>
      <c r="B25" s="14">
        <f>Segments!B88</f>
        <v/>
      </c>
      <c r="C25" s="14">
        <f>Segments!C88</f>
        <v/>
      </c>
      <c r="D25" s="14">
        <f>Segments!D88</f>
        <v/>
      </c>
      <c r="E25" s="14">
        <f>Segments!E88</f>
        <v/>
      </c>
      <c r="F25" s="14">
        <f>Segments!F88</f>
        <v/>
      </c>
    </row>
    <row r="26">
      <c r="A26" s="6" t="inlineStr">
        <is>
          <t>EBITDA</t>
        </is>
      </c>
      <c r="B26" s="14">
        <f>Segments!B89</f>
        <v/>
      </c>
      <c r="C26" s="14">
        <f>Segments!C89</f>
        <v/>
      </c>
      <c r="D26" s="14">
        <f>Segments!D89</f>
        <v/>
      </c>
      <c r="E26" s="14">
        <f>Segments!E89</f>
        <v/>
      </c>
      <c r="F26" s="14">
        <f>Segments!F89</f>
        <v/>
      </c>
    </row>
    <row r="27">
      <c r="A27" s="6" t="inlineStr">
        <is>
          <t>EBITDA margin (EBITDA / revenue)</t>
        </is>
      </c>
      <c r="B27" s="8">
        <f>B26/B25</f>
        <v/>
      </c>
      <c r="C27" s="8">
        <f>C26/C25</f>
        <v/>
      </c>
      <c r="D27" s="8">
        <f>D26/D25</f>
        <v/>
      </c>
      <c r="E27" s="8">
        <f>E26/E25</f>
        <v/>
      </c>
      <c r="F27" s="8">
        <f>F26/F25</f>
        <v/>
      </c>
    </row>
    <row r="28">
      <c r="A28" s="6" t="inlineStr">
        <is>
          <t>Depreciation and amortisation</t>
        </is>
      </c>
      <c r="B28" s="14">
        <f>Assumptions!$B$31</f>
        <v/>
      </c>
      <c r="C28" s="14">
        <f>Assumptions!$C$31</f>
        <v/>
      </c>
      <c r="D28" s="14">
        <f>Assumptions!$D$31</f>
        <v/>
      </c>
      <c r="E28" s="14">
        <f>Assumptions!$E$31</f>
        <v/>
      </c>
      <c r="F28" s="14">
        <f>Assumptions!$F$31</f>
        <v/>
      </c>
    </row>
    <row r="29">
      <c r="A29" s="20" t="inlineStr">
        <is>
          <t>EBIT (EBITDA less depreciation and amortisation)</t>
        </is>
      </c>
      <c r="B29" s="32">
        <f>B26-B28</f>
        <v/>
      </c>
      <c r="C29" s="32">
        <f>C26-C28</f>
        <v/>
      </c>
      <c r="D29" s="32">
        <f>D26-D28</f>
        <v/>
      </c>
      <c r="E29" s="32">
        <f>E26-E28</f>
        <v/>
      </c>
      <c r="F29" s="32">
        <f>F26-F28</f>
        <v/>
      </c>
    </row>
    <row r="30">
      <c r="A30" s="6" t="inlineStr">
        <is>
          <t>Net operating profit after tax (EBIT times one less the tax rate)</t>
        </is>
      </c>
      <c r="B30" s="22">
        <f>B29*(1-$C$106)</f>
        <v/>
      </c>
      <c r="C30" s="22">
        <f>C29*(1-$C$106)</f>
        <v/>
      </c>
      <c r="D30" s="22">
        <f>D29*(1-$C$106)</f>
        <v/>
      </c>
      <c r="E30" s="22">
        <f>E29*(1-$C$106)</f>
        <v/>
      </c>
      <c r="F30" s="22">
        <f>F29*(1-$C$106)</f>
        <v/>
      </c>
    </row>
    <row r="31">
      <c r="A31" s="6" t="inlineStr">
        <is>
          <t>Add back depreciation and amortisation</t>
        </is>
      </c>
      <c r="B31" s="22">
        <f>B28</f>
        <v/>
      </c>
      <c r="C31" s="22">
        <f>C28</f>
        <v/>
      </c>
      <c r="D31" s="22">
        <f>D28</f>
        <v/>
      </c>
      <c r="E31" s="22">
        <f>E28</f>
        <v/>
      </c>
      <c r="F31" s="22">
        <f>F28</f>
        <v/>
      </c>
    </row>
    <row r="32">
      <c r="A32" s="6" t="inlineStr">
        <is>
          <t>Less capital expenditure</t>
        </is>
      </c>
      <c r="B32" s="14">
        <f>Assumptions!$B$32</f>
        <v/>
      </c>
      <c r="C32" s="14">
        <f>Assumptions!$C$32</f>
        <v/>
      </c>
      <c r="D32" s="14">
        <f>Assumptions!$D$32</f>
        <v/>
      </c>
      <c r="E32" s="14">
        <f>Assumptions!$E$32</f>
        <v/>
      </c>
      <c r="F32" s="14">
        <f>Assumptions!$F$32</f>
        <v/>
      </c>
    </row>
    <row r="33">
      <c r="A33" s="6" t="inlineStr">
        <is>
          <t>Trade and other receivables (days sales outstanding)</t>
        </is>
      </c>
      <c r="B33" s="35">
        <f>Assumptions!$C$35*B25/365</f>
        <v/>
      </c>
      <c r="C33" s="35">
        <f>Assumptions!$C$35*C25/365</f>
        <v/>
      </c>
      <c r="D33" s="35">
        <f>Assumptions!$C$35*D25/365</f>
        <v/>
      </c>
      <c r="E33" s="35">
        <f>Assumptions!$C$35*E25/365</f>
        <v/>
      </c>
      <c r="F33" s="35">
        <f>Assumptions!$C$35*F25/365</f>
        <v/>
      </c>
    </row>
    <row r="34">
      <c r="A34" s="6" t="inlineStr">
        <is>
          <t>Inventories (days inventory outstanding)</t>
        </is>
      </c>
      <c r="B34" s="35">
        <f>Assumptions!$C$36*(B25-B26)/365</f>
        <v/>
      </c>
      <c r="C34" s="35">
        <f>Assumptions!$C$36*(C25-C26)/365</f>
        <v/>
      </c>
      <c r="D34" s="35">
        <f>Assumptions!$C$36*(D25-D26)/365</f>
        <v/>
      </c>
      <c r="E34" s="35">
        <f>Assumptions!$C$36*(E25-E26)/365</f>
        <v/>
      </c>
      <c r="F34" s="35">
        <f>Assumptions!$C$36*(F25-F26)/365</f>
        <v/>
      </c>
    </row>
    <row r="35">
      <c r="A35" s="6" t="inlineStr">
        <is>
          <t>Trade and other payables (days payables outstanding)</t>
        </is>
      </c>
      <c r="B35" s="35">
        <f>Assumptions!$C$37*(B25-B26)/365</f>
        <v/>
      </c>
      <c r="C35" s="35">
        <f>Assumptions!$C$37*(C25-C26)/365</f>
        <v/>
      </c>
      <c r="D35" s="35">
        <f>Assumptions!$C$37*(D25-D26)/365</f>
        <v/>
      </c>
      <c r="E35" s="35">
        <f>Assumptions!$C$37*(E25-E26)/365</f>
        <v/>
      </c>
      <c r="F35" s="35">
        <f>Assumptions!$C$37*(F25-F26)/365</f>
        <v/>
      </c>
    </row>
    <row r="36">
      <c r="A36" s="6" t="inlineStr">
        <is>
          <t>Net working capital</t>
        </is>
      </c>
      <c r="B36" s="35">
        <f>B33+B34-B35</f>
        <v/>
      </c>
      <c r="C36" s="35">
        <f>C33+C34-C35</f>
        <v/>
      </c>
      <c r="D36" s="35">
        <f>D33+D34-D35</f>
        <v/>
      </c>
      <c r="E36" s="35">
        <f>E33+E34-E35</f>
        <v/>
      </c>
      <c r="F36" s="35">
        <f>F33+F34-F35</f>
        <v/>
      </c>
    </row>
    <row r="37">
      <c r="A37" s="6" t="inlineStr">
        <is>
          <t>Less change in net working capital</t>
        </is>
      </c>
      <c r="B37" s="35">
        <f>B36-Assumptions!$C$38</f>
        <v/>
      </c>
      <c r="C37" s="35">
        <f>C36-B36</f>
        <v/>
      </c>
      <c r="D37" s="35">
        <f>D36-C36</f>
        <v/>
      </c>
      <c r="E37" s="35">
        <f>E36-D36</f>
        <v/>
      </c>
      <c r="F37" s="35">
        <f>F36-E36</f>
        <v/>
      </c>
    </row>
    <row r="38">
      <c r="A38" s="20" t="inlineStr">
        <is>
          <t>Free cash flow to the firm</t>
        </is>
      </c>
      <c r="B38" s="32">
        <f>B30+B31-B32-B37</f>
        <v/>
      </c>
      <c r="C38" s="32">
        <f>C30+C31-C32-C37</f>
        <v/>
      </c>
      <c r="D38" s="32">
        <f>D30+D31-D32-D37</f>
        <v/>
      </c>
      <c r="E38" s="32">
        <f>E30+E31-E32-E37</f>
        <v/>
      </c>
      <c r="F38" s="32">
        <f>F30+F31-F32-F37</f>
        <v/>
      </c>
    </row>
    <row r="39">
      <c r="A39" s="6" t="inlineStr">
        <is>
          <t>Forward cost of capital</t>
        </is>
      </c>
      <c r="B39" s="30">
        <f>$C$88+($C$91-$C$88)*B96</f>
        <v/>
      </c>
      <c r="C39" s="30">
        <f>$C$88+($C$91-$C$88)*C96</f>
        <v/>
      </c>
      <c r="D39" s="30">
        <f>$C$88+($C$91-$C$88)*D96</f>
        <v/>
      </c>
      <c r="E39" s="30">
        <f>$C$88+($C$91-$C$88)*E96</f>
        <v/>
      </c>
      <c r="F39" s="30">
        <f>$C$88+($C$91-$C$88)*F96</f>
        <v/>
      </c>
    </row>
    <row r="40">
      <c r="A40" s="6" t="inlineStr">
        <is>
          <t>Discount factor (each one the year before, divided by one plus that year's rate)</t>
        </is>
      </c>
      <c r="B40" s="42">
        <f>1/(1+B39)</f>
        <v/>
      </c>
      <c r="C40" s="42">
        <f>B40/(1+C39)</f>
        <v/>
      </c>
      <c r="D40" s="42">
        <f>C40/(1+D39)</f>
        <v/>
      </c>
      <c r="E40" s="42">
        <f>D40/(1+E39)</f>
        <v/>
      </c>
      <c r="F40" s="42">
        <f>E40/(1+F39)</f>
        <v/>
      </c>
    </row>
    <row r="41">
      <c r="A41" s="20" t="inlineStr">
        <is>
          <t>Present value of free cash flow</t>
        </is>
      </c>
      <c r="B41" s="32">
        <f>B38*B40</f>
        <v/>
      </c>
      <c r="C41" s="32">
        <f>C38*C40</f>
        <v/>
      </c>
      <c r="D41" s="32">
        <f>D38*D40</f>
        <v/>
      </c>
      <c r="E41" s="32">
        <f>E38*E40</f>
        <v/>
      </c>
      <c r="F41" s="32">
        <f>F38*F40</f>
        <v/>
      </c>
    </row>
    <row r="42"/>
    <row r="43">
      <c r="A43" s="10" t="inlineStr">
        <is>
          <t>TERMINAL BLOCK AND ENTERPRISE VALUE</t>
        </is>
      </c>
      <c r="B43" s="12" t="n"/>
      <c r="C43" s="10" t="inlineStr">
        <is>
          <t>Framing A</t>
        </is>
      </c>
      <c r="D43" s="10" t="inlineStr">
        <is>
          <t>Framing B</t>
        </is>
      </c>
      <c r="E43" s="12" t="n"/>
      <c r="F43" s="12" t="n"/>
      <c r="G43" s="12" t="n"/>
    </row>
    <row r="44">
      <c r="A44" s="6" t="inlineStr">
        <is>
          <t>Net working capital, FY2030E</t>
        </is>
      </c>
      <c r="C44" s="35">
        <f>F17</f>
        <v/>
      </c>
      <c r="D44" s="35">
        <f>F36</f>
        <v/>
      </c>
    </row>
    <row r="45">
      <c r="A45" s="6" t="inlineStr">
        <is>
          <t>Net operating profit after tax, FY2030E</t>
        </is>
      </c>
      <c r="C45" s="35">
        <f>F11</f>
        <v/>
      </c>
      <c r="D45" s="35">
        <f>F30</f>
        <v/>
      </c>
    </row>
    <row r="46">
      <c r="A46" s="6" t="inlineStr">
        <is>
          <t>Invested capital at book, FY2030E (property plus working capital)</t>
        </is>
      </c>
      <c r="C46" s="35">
        <f>'Balance Sheet'!I5+C44</f>
        <v/>
      </c>
      <c r="D46" s="35">
        <f>'Balance Sheet'!I5+D44</f>
        <v/>
      </c>
    </row>
    <row r="47">
      <c r="A47" s="6" t="inlineStr">
        <is>
          <t>Invested capital at replacement cost, FY2030E</t>
        </is>
      </c>
      <c r="C47" s="35">
        <f>(Assumptions!$C$10+Assumptions!$C$11)*Assumptions!$C$76/1000+C44</f>
        <v/>
      </c>
      <c r="D47" s="35">
        <f>(Assumptions!$C$10+Assumptions!$C$11)*Assumptions!$C$76/1000+D44</f>
        <v/>
      </c>
    </row>
    <row r="48">
      <c r="A48" s="6" t="inlineStr">
        <is>
          <t>Return on capital — book basis</t>
        </is>
      </c>
      <c r="C48" s="8">
        <f>C45/C46</f>
        <v/>
      </c>
      <c r="D48" s="8">
        <f>D45/D46</f>
        <v/>
      </c>
    </row>
    <row r="49">
      <c r="A49" s="6" t="inlineStr">
        <is>
          <t>Return on capital — replacement-cost basis</t>
        </is>
      </c>
      <c r="C49" s="8">
        <f>C45/C47</f>
        <v/>
      </c>
      <c r="D49" s="8">
        <f>D45/D47</f>
        <v/>
      </c>
    </row>
    <row r="50">
      <c r="A50" s="6" t="inlineStr">
        <is>
          <t>Return on capital — long-run sector</t>
        </is>
      </c>
      <c r="C50" s="9">
        <f>Assumptions!$C$75</f>
        <v/>
      </c>
      <c r="D50" s="9">
        <f>Assumptions!$C$75</f>
        <v/>
      </c>
    </row>
    <row r="51">
      <c r="A51" s="20" t="inlineStr">
        <is>
          <t>Terminal return on capital (the average of the three above)</t>
        </is>
      </c>
      <c r="C51" s="33">
        <f>AVERAGE(C48:C50)</f>
        <v/>
      </c>
      <c r="D51" s="33">
        <f>AVERAGE(D48:D50)</f>
        <v/>
      </c>
    </row>
    <row r="52">
      <c r="A52" s="6" t="inlineStr">
        <is>
          <t>Terminal growth (house inflation plus a stated real growth of zero)</t>
        </is>
      </c>
      <c r="C52" s="9">
        <f>Assumptions!$C$74</f>
        <v/>
      </c>
      <c r="D52" s="9">
        <f>Assumptions!$C$74</f>
        <v/>
      </c>
    </row>
    <row r="53">
      <c r="A53" s="6" t="inlineStr">
        <is>
          <t>Composite asset life, derived from note 7 (cost / annual depreciation)</t>
        </is>
      </c>
      <c r="C53" s="15">
        <f>Assumptions!$C$77</f>
        <v/>
      </c>
      <c r="D53" s="15">
        <f>Assumptions!$C$77</f>
        <v/>
      </c>
    </row>
    <row r="54">
      <c r="A54" s="6" t="inlineStr">
        <is>
          <t>Capital maintenance at replacement cost (invested capital / that life)</t>
        </is>
      </c>
      <c r="C54" s="35">
        <f>C47/C53</f>
        <v/>
      </c>
      <c r="D54" s="35">
        <f>D47/D53</f>
        <v/>
      </c>
    </row>
    <row r="55">
      <c r="A55" s="6" t="inlineStr">
        <is>
          <t>Add back book depreciation (profit after tax is already net of it)</t>
        </is>
      </c>
      <c r="C55" s="35">
        <f>F9</f>
        <v/>
      </c>
      <c r="D55" s="35">
        <f>F28</f>
        <v/>
      </c>
    </row>
    <row r="56">
      <c r="A56" s="6" t="inlineStr">
        <is>
          <t>Inflation on working capital</t>
        </is>
      </c>
      <c r="C56" s="35">
        <f>C52*C44</f>
        <v/>
      </c>
      <c r="D56" s="35">
        <f>D52*D44</f>
        <v/>
      </c>
    </row>
    <row r="57">
      <c r="A57" s="6" t="inlineStr">
        <is>
          <t>Terminal free cash flow</t>
        </is>
      </c>
      <c r="C57" s="35">
        <f>C45+C55-C54-C56</f>
        <v/>
      </c>
      <c r="D57" s="35">
        <f>D45+D55-D54-D56</f>
        <v/>
      </c>
    </row>
    <row r="58">
      <c r="A58" s="6" t="inlineStr">
        <is>
          <t>Terminal cost of capital</t>
        </is>
      </c>
      <c r="C58" s="30">
        <f>$C$91</f>
        <v/>
      </c>
      <c r="D58" s="30">
        <f>$C$91</f>
        <v/>
      </c>
    </row>
    <row r="59">
      <c r="A59" s="20" t="inlineStr">
        <is>
          <t>Terminal value</t>
        </is>
      </c>
      <c r="C59" s="32">
        <f>C57*(1+C52)/(C58-C52)</f>
        <v/>
      </c>
      <c r="D59" s="32">
        <f>D57*(1+D52)/(D58-D52)</f>
        <v/>
      </c>
    </row>
    <row r="60">
      <c r="A60" s="6" t="inlineStr">
        <is>
          <t>Present value of the five explicit years</t>
        </is>
      </c>
      <c r="C60" s="22">
        <f>SUM(B22:F22)</f>
        <v/>
      </c>
      <c r="D60" s="22">
        <f>SUM(B41:F41)</f>
        <v/>
      </c>
    </row>
    <row r="61">
      <c r="A61" s="6" t="inlineStr">
        <is>
          <t>Present value of the terminal value</t>
        </is>
      </c>
      <c r="C61" s="22">
        <f>C59*F21</f>
        <v/>
      </c>
      <c r="D61" s="22">
        <f>D59*F40</f>
        <v/>
      </c>
    </row>
    <row r="62">
      <c r="A62" s="20" t="inlineStr">
        <is>
          <t>Enterprise value</t>
        </is>
      </c>
      <c r="C62" s="32">
        <f>C60+C61</f>
        <v/>
      </c>
      <c r="D62" s="32">
        <f>D60+D61</f>
        <v/>
      </c>
    </row>
    <row r="63">
      <c r="A63" s="20" t="inlineStr">
        <is>
          <t>Terminal value as a share of enterprise value</t>
        </is>
      </c>
      <c r="C63" s="33">
        <f>C61/C62</f>
        <v/>
      </c>
      <c r="D63" s="33">
        <f>D61/D62</f>
        <v/>
      </c>
    </row>
    <row r="64">
      <c r="A64" s="6" t="inlineStr">
        <is>
          <t>Terminal value implied enterprise value / EBITDA</t>
        </is>
      </c>
      <c r="C64" s="41">
        <f>C59/F7</f>
        <v/>
      </c>
      <c r="D64" s="41">
        <f>D59/F26</f>
        <v/>
      </c>
    </row>
    <row r="65"/>
    <row r="66">
      <c r="A66" s="10" t="inlineStr">
        <is>
          <t>COST OF CAPITAL — BUILT HERE, NOT PASTED</t>
        </is>
      </c>
      <c r="B66" s="12" t="n"/>
      <c r="C66" s="12" t="n"/>
      <c r="D66" s="12" t="n"/>
      <c r="E66" s="12" t="n"/>
      <c r="F66" s="12" t="n"/>
      <c r="G66" s="12" t="n"/>
    </row>
    <row r="67">
      <c r="A67" s="6" t="inlineStr">
        <is>
          <t>Ten-year United States Treasury yield</t>
        </is>
      </c>
      <c r="C67" s="17">
        <f>Assumptions!$C$54</f>
        <v/>
      </c>
    </row>
    <row r="68">
      <c r="A68" s="6" t="inlineStr">
        <is>
          <t>Abu Dhabi sovereign credit default swap spread</t>
        </is>
      </c>
      <c r="C68" s="17">
        <f>Assumptions!$C$55</f>
        <v/>
      </c>
    </row>
    <row r="69">
      <c r="A69" s="6" t="inlineStr">
        <is>
          <t>Abu Dhabi US dollar sovereign yield, ten year</t>
        </is>
      </c>
      <c r="C69" s="30">
        <f>C67+C68</f>
        <v/>
      </c>
    </row>
    <row r="70">
      <c r="A70" s="6" t="inlineStr">
        <is>
          <t>Less the sovereign's own adjusted default spread</t>
        </is>
      </c>
      <c r="C70" s="17">
        <f>Assumptions!$C$56</f>
        <v/>
      </c>
    </row>
    <row r="71">
      <c r="A71" s="20" t="inlineStr">
        <is>
          <t>Risk-free rate, normalised (rating basis)</t>
        </is>
      </c>
      <c r="C71" s="43">
        <f>C69-C70</f>
        <v/>
      </c>
    </row>
    <row r="72">
      <c r="A72" s="6" t="inlineStr">
        <is>
          <t>Risk-free rate, normalised (swap basis)</t>
        </is>
      </c>
      <c r="C72" s="30">
        <f>C69-C68</f>
        <v/>
      </c>
    </row>
    <row r="73">
      <c r="A73" s="6" t="inlineStr">
        <is>
          <t>Share of non-current assets outside the core countries</t>
        </is>
      </c>
      <c r="C73" s="8">
        <f>Assumptions!$C$68/Assumptions!$C$69</f>
        <v/>
      </c>
    </row>
    <row r="74">
      <c r="A74" s="6" t="inlineStr">
        <is>
          <t>Share of non-current assets in the United Arab Emirates</t>
        </is>
      </c>
      <c r="C74" s="8">
        <f>1-Assumptions!$C$44-Assumptions!$C$45-C73</f>
        <v/>
      </c>
    </row>
    <row r="75">
      <c r="A75" s="6" t="inlineStr">
        <is>
          <t>Equity risk premium, asset-weighted (rating basis)</t>
        </is>
      </c>
      <c r="C75" s="30">
        <f>C74*Assumptions!$C$57+Assumptions!$C$44*Assumptions!$C$60+Assumptions!$C$45*Assumptions!$C$62+C73*Assumptions!$C$63</f>
        <v/>
      </c>
    </row>
    <row r="76">
      <c r="A76" s="6" t="inlineStr">
        <is>
          <t>Equity risk premium, asset-weighted (swap basis)</t>
        </is>
      </c>
      <c r="C76" s="30">
        <f>C74*Assumptions!$C$59+Assumptions!$C$44*Assumptions!$C$61+Assumptions!$C$45*Assumptions!$C$62+C73*Assumptions!$C$63</f>
        <v/>
      </c>
    </row>
    <row r="77">
      <c r="A77" s="6" t="inlineStr">
        <is>
          <t>Beta</t>
        </is>
      </c>
      <c r="C77" s="16">
        <f>Assumptions!$C$64</f>
        <v/>
      </c>
    </row>
    <row r="78">
      <c r="A78" s="20" t="inlineStr">
        <is>
          <t>Cost of equity (rating basis) — risk free plus beta times the premium</t>
        </is>
      </c>
      <c r="C78" s="43">
        <f>C71+C77*C75</f>
        <v/>
      </c>
    </row>
    <row r="79">
      <c r="A79" s="6" t="inlineStr">
        <is>
          <t>Cost of equity (swap basis)</t>
        </is>
      </c>
      <c r="C79" s="30">
        <f>C72+C77*C76</f>
        <v/>
      </c>
    </row>
    <row r="80">
      <c r="A80" s="6" t="inlineStr">
        <is>
          <t>Cost of equity, the average of the two bases</t>
        </is>
      </c>
      <c r="C80" s="30">
        <f>AVERAGE(C78:C79)</f>
        <v/>
      </c>
    </row>
    <row r="81">
      <c r="A81" s="6" t="inlineStr">
        <is>
          <t>Marginal debt spread (the average of the two most recent facilities)</t>
        </is>
      </c>
      <c r="C81" s="30">
        <f>AVERAGE(Assumptions!$C$65,Assumptions!$C$66)</f>
        <v/>
      </c>
    </row>
    <row r="82">
      <c r="A82" s="6" t="inlineStr">
        <is>
          <t>Cost of debt, marginal</t>
        </is>
      </c>
      <c r="C82" s="30">
        <f>C67+C81</f>
        <v/>
      </c>
    </row>
    <row r="83">
      <c r="A83" s="6" t="inlineStr">
        <is>
          <t>Cost of debt after tax</t>
        </is>
      </c>
      <c r="C83" s="30">
        <f>C82*(1-$C$106)</f>
        <v/>
      </c>
    </row>
    <row r="84">
      <c r="A84" s="6" t="inlineStr">
        <is>
          <t>Market capitalisation ($m)</t>
        </is>
      </c>
      <c r="C84" s="22">
        <f>Assumptions!$C$7*Assumptions!$C$5/Assumptions!$C$6</f>
        <v/>
      </c>
    </row>
    <row r="85">
      <c r="A85" s="6" t="inlineStr">
        <is>
          <t>Net debt ($m)</t>
        </is>
      </c>
      <c r="C85" s="15">
        <f>Assumptions!$C$70</f>
        <v/>
      </c>
    </row>
    <row r="86">
      <c r="A86" s="6" t="inlineStr">
        <is>
          <t>Equity weight (market capitalisation over capital)</t>
        </is>
      </c>
      <c r="C86" s="8">
        <f>C84/(C84+C85)</f>
        <v/>
      </c>
    </row>
    <row r="87">
      <c r="A87" s="6" t="inlineStr">
        <is>
          <t>Debt weight</t>
        </is>
      </c>
      <c r="C87" s="8">
        <f>1-C86</f>
        <v/>
      </c>
    </row>
    <row r="88">
      <c r="A88" s="20" t="inlineStr">
        <is>
          <t>Cost of capital, explicit window (rating basis)</t>
        </is>
      </c>
      <c r="C88" s="43">
        <f>C86*C78+C87*C83</f>
        <v/>
      </c>
    </row>
    <row r="89">
      <c r="A89" s="6" t="inlineStr">
        <is>
          <t>Cost of capital, explicit window (swap basis)</t>
        </is>
      </c>
      <c r="C89" s="30">
        <f>C86*C79+C87*C83</f>
        <v/>
      </c>
    </row>
    <row r="90">
      <c r="A90" s="6" t="inlineStr">
        <is>
          <t>Terminal debt weight</t>
        </is>
      </c>
      <c r="C90" s="9">
        <f>Assumptions!$C$67</f>
        <v/>
      </c>
    </row>
    <row r="91">
      <c r="A91" s="20" t="inlineStr">
        <is>
          <t>Terminal cost of capital (rating basis)</t>
        </is>
      </c>
      <c r="C91" s="43">
        <f>(1-C90)*C78+C90*C83</f>
        <v/>
      </c>
    </row>
    <row r="92">
      <c r="A92" s="6" t="inlineStr">
        <is>
          <t>Terminal cost of capital (swap basis)</t>
        </is>
      </c>
      <c r="C92" s="30">
        <f>(1-C90)*C79+C90*C83</f>
        <v/>
      </c>
    </row>
    <row r="93"/>
    <row r="94">
      <c r="A94" s="10" t="inlineStr">
        <is>
          <t>THE GLIDE — SHOWN AS IT IS DERIVED</t>
        </is>
      </c>
      <c r="B94" s="12" t="n"/>
      <c r="C94" s="12" t="n"/>
      <c r="D94" s="12" t="n"/>
      <c r="E94" s="12" t="n"/>
      <c r="F94" s="12" t="n"/>
      <c r="G94" s="12" t="n"/>
    </row>
    <row r="95">
      <c r="A95" s="6" t="inlineStr">
        <is>
          <t>Year in the explicit window</t>
        </is>
      </c>
      <c r="B95" s="26" t="n">
        <v>1</v>
      </c>
      <c r="C95" s="22">
        <f>B95+1</f>
        <v/>
      </c>
      <c r="D95" s="22">
        <f>C95+1</f>
        <v/>
      </c>
      <c r="E95" s="22">
        <f>D95+1</f>
        <v/>
      </c>
      <c r="F95" s="22">
        <f>E95+1</f>
        <v/>
      </c>
    </row>
    <row r="96">
      <c r="A96" s="6" t="inlineStr">
        <is>
          <t>Glide fraction (this year over the last year of the window)</t>
        </is>
      </c>
      <c r="B96" s="8">
        <f>B95/$F$95</f>
        <v/>
      </c>
      <c r="C96" s="8">
        <f>C95/$F$95</f>
        <v/>
      </c>
      <c r="D96" s="8">
        <f>D95/$F$95</f>
        <v/>
      </c>
      <c r="E96" s="8">
        <f>E95/$F$95</f>
        <v/>
      </c>
      <c r="F96" s="8">
        <f>F95/$F$95</f>
        <v/>
      </c>
    </row>
    <row r="97">
      <c r="A97" s="4" t="inlineStr">
        <is>
          <t>The forward cost of capital on each waterfall walks the explicit-window rate to the terminal rate by the fraction on this row, so leverage normalises smoothly rather than stepping in one year. The discount factors above compound off that path.</t>
        </is>
      </c>
    </row>
    <row r="98"/>
    <row r="99">
      <c r="A99" s="10" t="inlineStr">
        <is>
          <t>THE TAX RATE — THREE SOURCED ESTIMATES, AVERAGED HERE</t>
        </is>
      </c>
      <c r="B99" s="12" t="n"/>
      <c r="C99" s="12" t="n"/>
      <c r="D99" s="12" t="n"/>
      <c r="E99" s="12" t="n"/>
      <c r="F99" s="12" t="n"/>
      <c r="G99" s="12" t="n"/>
    </row>
    <row r="100">
      <c r="A100" s="6" t="inlineStr">
        <is>
          <t>Profit before tax, FY2022 to FY2025 ($m)</t>
        </is>
      </c>
      <c r="C100" s="35">
        <f>Assumptions!$C$47+'Income Statement'!B17+'Income Statement'!C17+'Income Statement'!D17</f>
        <v/>
      </c>
    </row>
    <row r="101">
      <c r="A101" s="6" t="inlineStr">
        <is>
          <t>Income tax charged, FY2022 to FY2025 ($m)</t>
        </is>
      </c>
      <c r="C101" s="35">
        <f>Assumptions!$C$46+'Income Statement'!B18+'Income Statement'!C18+'Income Statement'!D18</f>
        <v/>
      </c>
    </row>
    <row r="102">
      <c r="A102" s="6" t="inlineStr">
        <is>
          <t>Income taxes paid, FY2022 to FY2025 ($m)</t>
        </is>
      </c>
      <c r="C102" s="35">
        <f>Assumptions!$C$48+Assumptions!$C$49+Assumptions!$C$50+Assumptions!$C$51</f>
        <v/>
      </c>
    </row>
    <row r="103">
      <c r="A103" s="6" t="inlineStr">
        <is>
          <t>Estimate one — aggregate effective rate on four years of profit</t>
        </is>
      </c>
      <c r="C103" s="8">
        <f>C101/C100</f>
        <v/>
      </c>
    </row>
    <row r="104">
      <c r="A104" s="6" t="inlineStr">
        <is>
          <t>Estimate two — aggregate cash rate on four years of profit</t>
        </is>
      </c>
      <c r="C104" s="8">
        <f>C102/C100</f>
        <v/>
      </c>
    </row>
    <row r="105">
      <c r="A105" s="6" t="inlineStr">
        <is>
          <t>Estimate three — statutory rates weighted by where the assets sit</t>
        </is>
      </c>
      <c r="C105" s="8">
        <f>(1-Assumptions!$C$44-Assumptions!$C$45)*Assumptions!$C$41+Assumptions!$C$44*Assumptions!$C$42+Assumptions!$C$45*Assumptions!$C$43</f>
        <v/>
      </c>
    </row>
    <row r="106">
      <c r="A106" s="12" t="inlineStr">
        <is>
          <t>Forecast tax rate (the average of the three)</t>
        </is>
      </c>
      <c r="B106" s="12" t="n"/>
      <c r="C106" s="44">
        <f>AVERAGE(C103:C105)</f>
        <v/>
      </c>
      <c r="D106" s="12" t="n"/>
      <c r="E106" s="12" t="n"/>
      <c r="F106" s="12" t="n"/>
      <c r="G106" s="12" t="n"/>
    </row>
    <row r="107"/>
    <row r="108">
      <c r="A108" s="4" t="inlineStr">
        <is>
          <t>No one of the three is right on its own. The effective rate is depressed by reliefs that will not repeat, the cash rate is distorted by the timing of settlements, and the statutory blend ignores both. The model runs on their average and the sensitivity sheet shows what the answer does across the range.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Income statement — three years audited, five years forecast</t>
        </is>
      </c>
      <c r="B1" s="2" t="n"/>
      <c r="C1" s="2" t="n"/>
      <c r="D1" s="2" t="n"/>
      <c r="E1" s="2" t="n"/>
      <c r="F1" s="2" t="n"/>
      <c r="G1" s="2" t="n"/>
      <c r="H1" s="2" t="n"/>
      <c r="I1" s="2" t="n"/>
      <c r="J1" s="2" t="n"/>
    </row>
    <row r="2">
      <c r="A2" s="4" t="inlineStr">
        <is>
          <t>$m, consolidated. The disclosed lines are carried as reported; every subtotal is a formula that has to reconcile to them, and every forecast column is a formula.</t>
        </is>
      </c>
    </row>
    <row r="3"/>
    <row r="4">
      <c r="A4" s="5" t="inlineStr">
        <is>
          <t>$m</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12" t="inlineStr">
        <is>
          <t>Revenue</t>
        </is>
      </c>
      <c r="B5" s="45" t="n">
        <v>2416.2</v>
      </c>
      <c r="C5" s="45" t="n">
        <v>2009.2</v>
      </c>
      <c r="D5" s="45" t="n">
        <v>2827.4</v>
      </c>
      <c r="E5" s="45">
        <f>DCF!B6</f>
        <v/>
      </c>
      <c r="F5" s="45">
        <f>DCF!C6</f>
        <v/>
      </c>
      <c r="G5" s="45">
        <f>DCF!D6</f>
        <v/>
      </c>
      <c r="H5" s="45">
        <f>DCF!E6</f>
        <v/>
      </c>
      <c r="I5" s="45">
        <f>DCF!F6</f>
        <v/>
      </c>
      <c r="J5" s="12" t="n"/>
    </row>
    <row r="6">
      <c r="A6" s="6" t="inlineStr">
        <is>
          <t>Cost of sales</t>
        </is>
      </c>
      <c r="B6" s="28" t="n">
        <v>1564.2</v>
      </c>
      <c r="C6" s="28" t="n">
        <v>1512.9</v>
      </c>
      <c r="D6" s="28" t="n">
        <v>1942</v>
      </c>
      <c r="E6" s="35" t="inlineStr">
        <is>
          <t>-</t>
        </is>
      </c>
      <c r="F6" s="35" t="inlineStr">
        <is>
          <t>-</t>
        </is>
      </c>
      <c r="G6" s="35" t="inlineStr">
        <is>
          <t>-</t>
        </is>
      </c>
      <c r="H6" s="35" t="inlineStr">
        <is>
          <t>-</t>
        </is>
      </c>
      <c r="I6" s="35" t="inlineStr">
        <is>
          <t>-</t>
        </is>
      </c>
    </row>
    <row r="7">
      <c r="A7" s="6" t="inlineStr">
        <is>
          <t>Gross profit</t>
        </is>
      </c>
      <c r="B7" s="35">
        <f>B5-B6</f>
        <v/>
      </c>
      <c r="C7" s="35">
        <f>C5-C6</f>
        <v/>
      </c>
      <c r="D7" s="35">
        <f>D5-D6</f>
        <v/>
      </c>
      <c r="E7" s="35" t="inlineStr">
        <is>
          <t>-</t>
        </is>
      </c>
      <c r="F7" s="35" t="inlineStr">
        <is>
          <t>-</t>
        </is>
      </c>
      <c r="G7" s="35" t="inlineStr">
        <is>
          <t>-</t>
        </is>
      </c>
      <c r="H7" s="35" t="inlineStr">
        <is>
          <t>-</t>
        </is>
      </c>
      <c r="I7" s="35" t="inlineStr">
        <is>
          <t>-</t>
        </is>
      </c>
    </row>
    <row r="8">
      <c r="A8" s="6" t="inlineStr">
        <is>
          <t>Selling, general and administrative expenses</t>
        </is>
      </c>
      <c r="B8" s="28" t="n">
        <v>144.5</v>
      </c>
      <c r="C8" s="28" t="n">
        <v>150.2</v>
      </c>
      <c r="D8" s="28" t="n">
        <v>158.1</v>
      </c>
      <c r="E8" s="35" t="inlineStr">
        <is>
          <t>-</t>
        </is>
      </c>
      <c r="F8" s="35" t="inlineStr">
        <is>
          <t>-</t>
        </is>
      </c>
      <c r="G8" s="35" t="inlineStr">
        <is>
          <t>-</t>
        </is>
      </c>
      <c r="H8" s="35" t="inlineStr">
        <is>
          <t>-</t>
        </is>
      </c>
      <c r="I8" s="35" t="inlineStr">
        <is>
          <t>-</t>
        </is>
      </c>
    </row>
    <row r="9">
      <c r="A9" s="6" t="inlineStr">
        <is>
          <t>Other income, net</t>
        </is>
      </c>
      <c r="B9" s="28" t="n">
        <v>2.6</v>
      </c>
      <c r="C9" s="28" t="n">
        <v>3</v>
      </c>
      <c r="D9" s="28" t="n">
        <v>0</v>
      </c>
      <c r="E9" s="35" t="inlineStr">
        <is>
          <t>-</t>
        </is>
      </c>
      <c r="F9" s="35" t="inlineStr">
        <is>
          <t>-</t>
        </is>
      </c>
      <c r="G9" s="35" t="inlineStr">
        <is>
          <t>-</t>
        </is>
      </c>
      <c r="H9" s="35" t="inlineStr">
        <is>
          <t>-</t>
        </is>
      </c>
      <c r="I9" s="35" t="inlineStr">
        <is>
          <t>-</t>
        </is>
      </c>
    </row>
    <row r="10">
      <c r="A10" s="6" t="inlineStr">
        <is>
          <t>Depreciation and amortisation</t>
        </is>
      </c>
      <c r="B10" s="28" t="n">
        <v>279.3</v>
      </c>
      <c r="C10" s="28" t="n">
        <v>279.5</v>
      </c>
      <c r="D10" s="28" t="n">
        <v>297.6</v>
      </c>
      <c r="E10" s="15">
        <f>DCF!B9</f>
        <v/>
      </c>
      <c r="F10" s="15">
        <f>DCF!C9</f>
        <v/>
      </c>
      <c r="G10" s="15">
        <f>DCF!D9</f>
        <v/>
      </c>
      <c r="H10" s="15">
        <f>DCF!E9</f>
        <v/>
      </c>
      <c r="I10" s="15">
        <f>DCF!F9</f>
        <v/>
      </c>
    </row>
    <row r="11">
      <c r="A11" s="12" t="inlineStr">
        <is>
          <t>EBITDA</t>
        </is>
      </c>
      <c r="B11" s="45">
        <f>B7-B8+B9+B10</f>
        <v/>
      </c>
      <c r="C11" s="45">
        <f>C7-C8+C9+C10</f>
        <v/>
      </c>
      <c r="D11" s="45">
        <f>D7-D8+D9+D10</f>
        <v/>
      </c>
      <c r="E11" s="45">
        <f>DCF!B7</f>
        <v/>
      </c>
      <c r="F11" s="45">
        <f>DCF!C7</f>
        <v/>
      </c>
      <c r="G11" s="45">
        <f>DCF!D7</f>
        <v/>
      </c>
      <c r="H11" s="45">
        <f>DCF!E7</f>
        <v/>
      </c>
      <c r="I11" s="45">
        <f>DCF!F7</f>
        <v/>
      </c>
      <c r="J11" s="12" t="n"/>
    </row>
    <row r="12">
      <c r="A12" s="12" t="inlineStr">
        <is>
          <t>Operating profit (EBIT)</t>
        </is>
      </c>
      <c r="B12" s="45">
        <f>B11-B10</f>
        <v/>
      </c>
      <c r="C12" s="45">
        <f>C11-C10</f>
        <v/>
      </c>
      <c r="D12" s="45">
        <f>D11-D10</f>
        <v/>
      </c>
      <c r="E12" s="45">
        <f>E11-E10</f>
        <v/>
      </c>
      <c r="F12" s="45">
        <f>F11-F10</f>
        <v/>
      </c>
      <c r="G12" s="45">
        <f>G11-G10</f>
        <v/>
      </c>
      <c r="H12" s="45">
        <f>H11-H10</f>
        <v/>
      </c>
      <c r="I12" s="45">
        <f>I11-I10</f>
        <v/>
      </c>
      <c r="J12" s="12" t="n"/>
    </row>
    <row r="13">
      <c r="A13" s="6" t="inlineStr">
        <is>
          <t>Finance income</t>
        </is>
      </c>
      <c r="B13" s="28" t="n">
        <v>16.3</v>
      </c>
      <c r="C13" s="28" t="n">
        <v>17.1</v>
      </c>
      <c r="D13" s="28" t="n">
        <v>13.6</v>
      </c>
      <c r="E13" s="35" t="inlineStr">
        <is>
          <t>-</t>
        </is>
      </c>
      <c r="F13" s="35" t="inlineStr">
        <is>
          <t>-</t>
        </is>
      </c>
      <c r="G13" s="35" t="inlineStr">
        <is>
          <t>-</t>
        </is>
      </c>
      <c r="H13" s="35" t="inlineStr">
        <is>
          <t>-</t>
        </is>
      </c>
      <c r="I13" s="35" t="inlineStr">
        <is>
          <t>-</t>
        </is>
      </c>
    </row>
    <row r="14">
      <c r="A14" s="6" t="inlineStr">
        <is>
          <t>Finance costs</t>
        </is>
      </c>
      <c r="B14" s="28" t="n">
        <v>119.4</v>
      </c>
      <c r="C14" s="28" t="n">
        <v>135.6</v>
      </c>
      <c r="D14" s="28" t="n">
        <v>115.8</v>
      </c>
      <c r="E14" s="35">
        <f>Assumptions!$C$71*MAX(Assumptions!$C$70,0)</f>
        <v/>
      </c>
      <c r="F14" s="35">
        <f>Assumptions!$C$71*MAX('Balance Sheet'!E22,0)</f>
        <v/>
      </c>
      <c r="G14" s="35">
        <f>Assumptions!$C$71*MAX('Balance Sheet'!F22,0)</f>
        <v/>
      </c>
      <c r="H14" s="35">
        <f>Assumptions!$C$71*MAX('Balance Sheet'!G22,0)</f>
        <v/>
      </c>
      <c r="I14" s="35">
        <f>Assumptions!$C$71*MAX('Balance Sheet'!H22,0)</f>
        <v/>
      </c>
    </row>
    <row r="15">
      <c r="A15" s="6" t="inlineStr">
        <is>
          <t>Net foreign exchange gain and loss</t>
        </is>
      </c>
      <c r="B15" s="28" t="n">
        <v>-19.6</v>
      </c>
      <c r="C15" s="28" t="n">
        <v>-1.3</v>
      </c>
      <c r="D15" s="28" t="n">
        <v>-11.6</v>
      </c>
      <c r="E15" s="35" t="inlineStr">
        <is>
          <t>-</t>
        </is>
      </c>
      <c r="F15" s="35" t="inlineStr">
        <is>
          <t>-</t>
        </is>
      </c>
      <c r="G15" s="35" t="inlineStr">
        <is>
          <t>-</t>
        </is>
      </c>
      <c r="H15" s="35" t="inlineStr">
        <is>
          <t>-</t>
        </is>
      </c>
      <c r="I15" s="35" t="inlineStr">
        <is>
          <t>-</t>
        </is>
      </c>
    </row>
    <row r="16">
      <c r="A16" s="6" t="inlineStr">
        <is>
          <t>Net finance result</t>
        </is>
      </c>
      <c r="B16" s="35">
        <f>B13-B14+B15</f>
        <v/>
      </c>
      <c r="C16" s="35">
        <f>C13-C14+C15</f>
        <v/>
      </c>
      <c r="D16" s="35">
        <f>D13-D14+D15</f>
        <v/>
      </c>
      <c r="E16" s="35">
        <f>E13-E14+E15</f>
        <v/>
      </c>
      <c r="F16" s="35">
        <f>F13-F14+F15</f>
        <v/>
      </c>
      <c r="G16" s="35">
        <f>G13-G14+G15</f>
        <v/>
      </c>
      <c r="H16" s="35">
        <f>H13-H14+H15</f>
        <v/>
      </c>
      <c r="I16" s="35">
        <f>I13-I14+I15</f>
        <v/>
      </c>
    </row>
    <row r="17">
      <c r="A17" s="12" t="inlineStr">
        <is>
          <t>Profit before tax</t>
        </is>
      </c>
      <c r="B17" s="45">
        <f>B12+B16</f>
        <v/>
      </c>
      <c r="C17" s="45">
        <f>C12+C16</f>
        <v/>
      </c>
      <c r="D17" s="45">
        <f>D12+D16</f>
        <v/>
      </c>
      <c r="E17" s="45">
        <f>E12+E16</f>
        <v/>
      </c>
      <c r="F17" s="45">
        <f>F12+F16</f>
        <v/>
      </c>
      <c r="G17" s="45">
        <f>G12+G16</f>
        <v/>
      </c>
      <c r="H17" s="45">
        <f>H12+H16</f>
        <v/>
      </c>
      <c r="I17" s="45">
        <f>I12+I16</f>
        <v/>
      </c>
      <c r="J17" s="12" t="n"/>
    </row>
    <row r="18">
      <c r="A18" s="6" t="inlineStr">
        <is>
          <t>Income tax expense</t>
        </is>
      </c>
      <c r="B18" s="28" t="n">
        <v>82.40000000000001</v>
      </c>
      <c r="C18" s="28" t="n">
        <v>15.7</v>
      </c>
      <c r="D18" s="28" t="n">
        <v>25</v>
      </c>
      <c r="E18" s="35">
        <f>E17*DCF!$C$106</f>
        <v/>
      </c>
      <c r="F18" s="35">
        <f>F17*DCF!$C$106</f>
        <v/>
      </c>
      <c r="G18" s="35">
        <f>G17*DCF!$C$106</f>
        <v/>
      </c>
      <c r="H18" s="35">
        <f>H17*DCF!$C$106</f>
        <v/>
      </c>
      <c r="I18" s="35">
        <f>I17*DCF!$C$106</f>
        <v/>
      </c>
    </row>
    <row r="19">
      <c r="A19" s="6" t="inlineStr">
        <is>
          <t>Profit for the year</t>
        </is>
      </c>
      <c r="B19" s="35">
        <f>B17-B18</f>
        <v/>
      </c>
      <c r="C19" s="35">
        <f>C17-C18</f>
        <v/>
      </c>
      <c r="D19" s="35">
        <f>D17-D18</f>
        <v/>
      </c>
      <c r="E19" s="35">
        <f>E17-E18</f>
        <v/>
      </c>
      <c r="F19" s="35">
        <f>F17-F18</f>
        <v/>
      </c>
      <c r="G19" s="35">
        <f>G17-G18</f>
        <v/>
      </c>
      <c r="H19" s="35">
        <f>H17-H18</f>
        <v/>
      </c>
      <c r="I19" s="35">
        <f>I17-I18</f>
        <v/>
      </c>
    </row>
    <row r="20">
      <c r="A20" s="6" t="inlineStr">
        <is>
          <t>Non-controlling interests</t>
        </is>
      </c>
      <c r="B20" s="28" t="n">
        <v>156.1</v>
      </c>
      <c r="C20" s="28" t="n">
        <v>53.7</v>
      </c>
      <c r="D20" s="28" t="n">
        <v>154.6</v>
      </c>
      <c r="E20" s="35">
        <f>E19*Assumptions!$C$78</f>
        <v/>
      </c>
      <c r="F20" s="35">
        <f>F19*Assumptions!$C$78</f>
        <v/>
      </c>
      <c r="G20" s="35">
        <f>G19*Assumptions!$C$78</f>
        <v/>
      </c>
      <c r="H20" s="35">
        <f>H19*Assumptions!$C$78</f>
        <v/>
      </c>
      <c r="I20" s="35">
        <f>I19*Assumptions!$C$78</f>
        <v/>
      </c>
    </row>
    <row r="21">
      <c r="A21" s="12" t="inlineStr">
        <is>
          <t>Profit attributable to owners</t>
        </is>
      </c>
      <c r="B21" s="45">
        <f>B19-B20</f>
        <v/>
      </c>
      <c r="C21" s="45">
        <f>C19-C20</f>
        <v/>
      </c>
      <c r="D21" s="45">
        <f>D19-D20</f>
        <v/>
      </c>
      <c r="E21" s="45">
        <f>E19-E20</f>
        <v/>
      </c>
      <c r="F21" s="45">
        <f>F19-F20</f>
        <v/>
      </c>
      <c r="G21" s="45">
        <f>G19-G20</f>
        <v/>
      </c>
      <c r="H21" s="45">
        <f>H19-H20</f>
        <v/>
      </c>
      <c r="I21" s="45">
        <f>I19-I20</f>
        <v/>
      </c>
      <c r="J21" s="12" t="n"/>
    </row>
    <row r="22">
      <c r="A22" s="6" t="inlineStr">
        <is>
          <t>Earnings per share ($)</t>
        </is>
      </c>
      <c r="B22" s="19">
        <f>B21/Assumptions!$C$7</f>
        <v/>
      </c>
      <c r="C22" s="19">
        <f>C21/Assumptions!$C$7</f>
        <v/>
      </c>
      <c r="D22" s="19">
        <f>D21/Assumptions!$C$7</f>
        <v/>
      </c>
      <c r="E22" s="19">
        <f>E21/Assumptions!$C$7</f>
        <v/>
      </c>
      <c r="F22" s="19">
        <f>F21/Assumptions!$C$7</f>
        <v/>
      </c>
      <c r="G22" s="19">
        <f>G21/Assumptions!$C$7</f>
        <v/>
      </c>
      <c r="H22" s="19">
        <f>H21/Assumptions!$C$7</f>
        <v/>
      </c>
      <c r="I22" s="19">
        <f>I21/Assumptions!$C$7</f>
        <v/>
      </c>
    </row>
    <row r="23">
      <c r="A23" s="6" t="inlineStr">
        <is>
          <t>Earnings per share (AED)</t>
        </is>
      </c>
      <c r="B23" s="19">
        <f>B22*Assumptions!$C$6</f>
        <v/>
      </c>
      <c r="C23" s="19">
        <f>C22*Assumptions!$C$6</f>
        <v/>
      </c>
      <c r="D23" s="19">
        <f>D22*Assumptions!$C$6</f>
        <v/>
      </c>
      <c r="E23" s="19">
        <f>E22*Assumptions!$C$6</f>
        <v/>
      </c>
      <c r="F23" s="19">
        <f>F22*Assumptions!$C$6</f>
        <v/>
      </c>
      <c r="G23" s="19">
        <f>G22*Assumptions!$C$6</f>
        <v/>
      </c>
      <c r="H23" s="19">
        <f>H22*Assumptions!$C$6</f>
        <v/>
      </c>
      <c r="I23" s="19">
        <f>I22*Assumptions!$C$6</f>
        <v/>
      </c>
    </row>
    <row r="24">
      <c r="A24" s="6" t="inlineStr">
        <is>
          <t>EBITDA margin</t>
        </is>
      </c>
      <c r="B24" s="8">
        <f>B11/B5</f>
        <v/>
      </c>
      <c r="C24" s="8">
        <f>C11/C5</f>
        <v/>
      </c>
      <c r="D24" s="8">
        <f>D11/D5</f>
        <v/>
      </c>
      <c r="E24" s="8">
        <f>E11/E5</f>
        <v/>
      </c>
      <c r="F24" s="8">
        <f>F11/F5</f>
        <v/>
      </c>
      <c r="G24" s="8">
        <f>G11/G5</f>
        <v/>
      </c>
      <c r="H24" s="8">
        <f>H11/H5</f>
        <v/>
      </c>
      <c r="I24" s="8">
        <f>I11/I5</f>
        <v/>
      </c>
    </row>
    <row r="25">
      <c r="A25" s="6" t="inlineStr">
        <is>
          <t>Effective tax rate</t>
        </is>
      </c>
      <c r="B25" s="8">
        <f>B18/B17</f>
        <v/>
      </c>
      <c r="C25" s="8">
        <f>C18/C17</f>
        <v/>
      </c>
      <c r="D25" s="8">
        <f>D18/D17</f>
        <v/>
      </c>
      <c r="E25" s="8">
        <f>E18/E17</f>
        <v/>
      </c>
      <c r="F25" s="8">
        <f>F18/F17</f>
        <v/>
      </c>
      <c r="G25" s="8">
        <f>G18/G17</f>
        <v/>
      </c>
      <c r="H25" s="8">
        <f>H18/H17</f>
        <v/>
      </c>
      <c r="I25" s="8">
        <f>I18/I17</f>
        <v/>
      </c>
    </row>
    <row r="26"/>
    <row r="27">
      <c r="A27" s="4" t="inlineStr">
        <is>
          <t>The forecast is built at the EBITDA line from the unit build, so cost of sales and the administrative and other lines are not split out in the forecast columns; the total cash cost that replaces them is on the Segments sheet. The finance charge is computed on the net debt the business is actually carrying that year, so profit is struck after financing and differs from the pre-financing cash-flow waterfall by construction.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Balance sheet — audited history and a rolled-forward forecast</t>
        </is>
      </c>
      <c r="B1" s="2" t="n"/>
      <c r="C1" s="2" t="n"/>
      <c r="D1" s="2" t="n"/>
      <c r="E1" s="2" t="n"/>
      <c r="F1" s="2" t="n"/>
      <c r="G1" s="2" t="n"/>
      <c r="H1" s="2" t="n"/>
      <c r="I1" s="2" t="n"/>
      <c r="J1" s="2" t="n"/>
    </row>
    <row r="2">
      <c r="A2" s="4" t="inlineStr">
        <is>
          <t>$m, consolidated. FY2023 to FY2025 are the audited closing figures; the forecast rolls property, working capital, equity and net debt forward from them.</t>
        </is>
      </c>
    </row>
    <row r="3"/>
    <row r="4">
      <c r="A4" s="5" t="inlineStr">
        <is>
          <t>$m</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Property, plant and equipment</t>
        </is>
      </c>
      <c r="B5" s="28" t="n">
        <v>2699.6</v>
      </c>
      <c r="C5" s="28" t="n">
        <v>2596.8</v>
      </c>
      <c r="D5" s="28" t="n">
        <v>2499</v>
      </c>
      <c r="E5" s="35">
        <f>D5+DCF!B13-DCF!B9</f>
        <v/>
      </c>
      <c r="F5" s="35">
        <f>E5+DCF!C13-DCF!C9</f>
        <v/>
      </c>
      <c r="G5" s="35">
        <f>F5+DCF!D13-DCF!D9</f>
        <v/>
      </c>
      <c r="H5" s="35">
        <f>G5+DCF!E13-DCF!E9</f>
        <v/>
      </c>
      <c r="I5" s="35">
        <f>H5+DCF!F13-DCF!F9</f>
        <v/>
      </c>
    </row>
    <row r="6">
      <c r="A6" s="6" t="inlineStr">
        <is>
          <t>Right-of-use assets</t>
        </is>
      </c>
      <c r="B6" s="28" t="n">
        <v>74.90000000000001</v>
      </c>
      <c r="C6" s="28" t="n">
        <v>68.59999999999999</v>
      </c>
      <c r="D6" s="28" t="n">
        <v>139.4</v>
      </c>
    </row>
    <row r="7">
      <c r="A7" s="6" t="inlineStr">
        <is>
          <t>Goodwill and intangible assets</t>
        </is>
      </c>
      <c r="B7" s="28" t="n">
        <v>614.5</v>
      </c>
      <c r="C7" s="28" t="n">
        <v>626.8</v>
      </c>
      <c r="D7" s="28" t="n">
        <v>656.9</v>
      </c>
    </row>
    <row r="8">
      <c r="A8" s="6" t="inlineStr">
        <is>
          <t>Inventories</t>
        </is>
      </c>
      <c r="B8" s="28" t="n">
        <v>133.6</v>
      </c>
      <c r="C8" s="28" t="n">
        <v>164</v>
      </c>
      <c r="D8" s="28" t="n">
        <v>335.5</v>
      </c>
      <c r="E8" s="15">
        <f>DCF!B15</f>
        <v/>
      </c>
      <c r="F8" s="15">
        <f>DCF!C15</f>
        <v/>
      </c>
      <c r="G8" s="15">
        <f>DCF!D15</f>
        <v/>
      </c>
      <c r="H8" s="15">
        <f>DCF!E15</f>
        <v/>
      </c>
      <c r="I8" s="15">
        <f>DCF!F15</f>
        <v/>
      </c>
    </row>
    <row r="9">
      <c r="A9" s="6" t="inlineStr">
        <is>
          <t>Trade and other receivables</t>
        </is>
      </c>
      <c r="B9" s="28" t="n">
        <v>314.3</v>
      </c>
      <c r="C9" s="28" t="n">
        <v>290.7</v>
      </c>
      <c r="D9" s="28" t="n">
        <v>493.1</v>
      </c>
      <c r="E9" s="15">
        <f>DCF!B14</f>
        <v/>
      </c>
      <c r="F9" s="15">
        <f>DCF!C14</f>
        <v/>
      </c>
      <c r="G9" s="15">
        <f>DCF!D14</f>
        <v/>
      </c>
      <c r="H9" s="15">
        <f>DCF!E14</f>
        <v/>
      </c>
      <c r="I9" s="15">
        <f>DCF!F14</f>
        <v/>
      </c>
    </row>
    <row r="10">
      <c r="A10" s="6" t="inlineStr">
        <is>
          <t>Cash and cash equivalents</t>
        </is>
      </c>
      <c r="B10" s="28" t="n">
        <v>759.8</v>
      </c>
      <c r="C10" s="28" t="n">
        <v>633.9</v>
      </c>
      <c r="D10" s="28" t="n">
        <v>735.1</v>
      </c>
    </row>
    <row r="11">
      <c r="A11" s="6" t="inlineStr">
        <is>
          <t>Total assets</t>
        </is>
      </c>
      <c r="B11" s="46" t="n">
        <v>4625.8</v>
      </c>
      <c r="C11" s="46" t="n">
        <v>4410.6</v>
      </c>
      <c r="D11" s="46" t="n">
        <v>4949.5</v>
      </c>
    </row>
    <row r="12">
      <c r="A12" s="6" t="inlineStr">
        <is>
          <t>Trade and other payables</t>
        </is>
      </c>
      <c r="B12" s="28" t="n">
        <v>326.7</v>
      </c>
      <c r="C12" s="28" t="n">
        <v>481</v>
      </c>
      <c r="D12" s="28" t="n">
        <v>820.3</v>
      </c>
      <c r="E12" s="15">
        <f>DCF!B16</f>
        <v/>
      </c>
      <c r="F12" s="15">
        <f>DCF!C16</f>
        <v/>
      </c>
      <c r="G12" s="15">
        <f>DCF!D16</f>
        <v/>
      </c>
      <c r="H12" s="15">
        <f>DCF!E16</f>
        <v/>
      </c>
      <c r="I12" s="15">
        <f>DCF!F16</f>
        <v/>
      </c>
    </row>
    <row r="13">
      <c r="A13" s="6" t="inlineStr">
        <is>
          <t>Loans and borrowings — non-current</t>
        </is>
      </c>
      <c r="B13" s="28" t="n">
        <v>1490.2</v>
      </c>
      <c r="C13" s="28" t="n">
        <v>1425.5</v>
      </c>
      <c r="D13" s="28" t="n">
        <v>1398.6</v>
      </c>
    </row>
    <row r="14">
      <c r="A14" s="6" t="inlineStr">
        <is>
          <t>Loans and borrowings — current</t>
        </is>
      </c>
      <c r="B14" s="28" t="n">
        <v>174.9</v>
      </c>
      <c r="C14" s="28" t="n">
        <v>256.7</v>
      </c>
      <c r="D14" s="28" t="n">
        <v>342</v>
      </c>
    </row>
    <row r="15">
      <c r="A15" s="6" t="inlineStr">
        <is>
          <t>Lease liabilities</t>
        </is>
      </c>
      <c r="B15" s="28" t="n">
        <v>90.59999999999999</v>
      </c>
      <c r="C15" s="28" t="n">
        <v>86.90000000000001</v>
      </c>
      <c r="D15" s="28" t="n">
        <v>158.4</v>
      </c>
    </row>
    <row r="16">
      <c r="A16" s="6" t="inlineStr">
        <is>
          <t>Deferred tax liabilities</t>
        </is>
      </c>
      <c r="B16" s="28" t="n">
        <v>344.9</v>
      </c>
      <c r="C16" s="28" t="n">
        <v>310</v>
      </c>
      <c r="D16" s="28" t="n">
        <v>273.1</v>
      </c>
    </row>
    <row r="17">
      <c r="A17" s="6" t="inlineStr">
        <is>
          <t>Income tax payable</t>
        </is>
      </c>
      <c r="B17" s="28" t="n">
        <v>270.4</v>
      </c>
      <c r="C17" s="28" t="n">
        <v>254.4</v>
      </c>
      <c r="D17" s="28" t="n">
        <v>112.9</v>
      </c>
    </row>
    <row r="18">
      <c r="A18" s="6" t="inlineStr">
        <is>
          <t>Equity attributable to owners</t>
        </is>
      </c>
      <c r="B18" s="28" t="n">
        <v>1444.7</v>
      </c>
      <c r="C18" s="28" t="n">
        <v>1241.8</v>
      </c>
      <c r="D18" s="28" t="n">
        <v>1356.5</v>
      </c>
      <c r="E18" s="35">
        <f>D18+'Income Statement'!E21*(1-Assumptions!$C$80)</f>
        <v/>
      </c>
      <c r="F18" s="35">
        <f>E18+'Income Statement'!F21*(1-Assumptions!$C$80)</f>
        <v/>
      </c>
      <c r="G18" s="35">
        <f>F18+'Income Statement'!G21*(1-Assumptions!$C$80)</f>
        <v/>
      </c>
      <c r="H18" s="35">
        <f>G18+'Income Statement'!H21*(1-Assumptions!$C$80)</f>
        <v/>
      </c>
      <c r="I18" s="35">
        <f>H18+'Income Statement'!I21*(1-Assumptions!$C$80)</f>
        <v/>
      </c>
    </row>
    <row r="19">
      <c r="A19" s="6" t="inlineStr">
        <is>
          <t>Non-controlling interests</t>
        </is>
      </c>
      <c r="B19" s="28" t="n">
        <v>425</v>
      </c>
      <c r="C19" s="28" t="n">
        <v>295.9</v>
      </c>
      <c r="D19" s="28" t="n">
        <v>443.3</v>
      </c>
    </row>
    <row r="20">
      <c r="A20" s="12" t="inlineStr">
        <is>
          <t>Total equity</t>
        </is>
      </c>
      <c r="B20" s="45">
        <f>B18+B19</f>
        <v/>
      </c>
      <c r="C20" s="45">
        <f>C18+C19</f>
        <v/>
      </c>
      <c r="D20" s="45">
        <f>D18+D19</f>
        <v/>
      </c>
      <c r="E20" s="12" t="n"/>
      <c r="F20" s="12" t="n"/>
      <c r="G20" s="12" t="n"/>
      <c r="H20" s="12" t="n"/>
      <c r="I20" s="12" t="n"/>
      <c r="J20" s="12" t="n"/>
    </row>
    <row r="21">
      <c r="A21" s="6" t="inlineStr">
        <is>
          <t>Gross interest-bearing debt</t>
        </is>
      </c>
      <c r="B21" s="35">
        <f>B13+B14</f>
        <v/>
      </c>
      <c r="C21" s="35">
        <f>C13+C14</f>
        <v/>
      </c>
      <c r="D21" s="35">
        <f>D13+D14</f>
        <v/>
      </c>
    </row>
    <row r="22">
      <c r="A22" s="12" t="inlineStr">
        <is>
          <t>Net debt (debt and leases less cash)</t>
        </is>
      </c>
      <c r="B22" s="45">
        <f>B21+B15-B10</f>
        <v/>
      </c>
      <c r="C22" s="45">
        <f>C21+C15-C10</f>
        <v/>
      </c>
      <c r="D22" s="45">
        <f>D21+D15-D10</f>
        <v/>
      </c>
      <c r="E22" s="45">
        <f>Assumptions!$C$70-(DCF!B19+'Income Statement'!E16*(1-DCF!$C$106))+Assumptions!$C$80*'Income Statement'!E21+'Income Statement'!E20</f>
        <v/>
      </c>
      <c r="F22" s="45">
        <f>E22-(DCF!C19+'Income Statement'!F16*(1-DCF!$C$106))+Assumptions!$C$80*'Income Statement'!F21+'Income Statement'!F20</f>
        <v/>
      </c>
      <c r="G22" s="45">
        <f>F22-(DCF!D19+'Income Statement'!G16*(1-DCF!$C$106))+Assumptions!$C$80*'Income Statement'!G21+'Income Statement'!G20</f>
        <v/>
      </c>
      <c r="H22" s="45">
        <f>G22-(DCF!E19+'Income Statement'!H16*(1-DCF!$C$106))+Assumptions!$C$80*'Income Statement'!H21+'Income Statement'!H20</f>
        <v/>
      </c>
      <c r="I22" s="45">
        <f>H22-(DCF!F19+'Income Statement'!I16*(1-DCF!$C$106))+Assumptions!$C$80*'Income Statement'!I21+'Income Statement'!I20</f>
        <v/>
      </c>
      <c r="J22" s="12" t="n"/>
    </row>
    <row r="23">
      <c r="A23" s="6" t="inlineStr">
        <is>
          <t>Net working capital (inventories and receivables less payables)</t>
        </is>
      </c>
      <c r="B23" s="35">
        <f>B8+B9-B12</f>
        <v/>
      </c>
      <c r="C23" s="35">
        <f>C8+C9-C12</f>
        <v/>
      </c>
      <c r="D23" s="35">
        <f>D8+D9-D12</f>
        <v/>
      </c>
      <c r="E23" s="35">
        <f>E8+E9-E12</f>
        <v/>
      </c>
      <c r="F23" s="35">
        <f>F8+F9-F12</f>
        <v/>
      </c>
      <c r="G23" s="35">
        <f>G8+G9-G12</f>
        <v/>
      </c>
      <c r="H23" s="35">
        <f>H8+H9-H12</f>
        <v/>
      </c>
      <c r="I23" s="35">
        <f>I8+I9-I12</f>
        <v/>
      </c>
    </row>
    <row r="24">
      <c r="A24" s="6" t="inlineStr">
        <is>
          <t>Invested capital (property plus net working capital)</t>
        </is>
      </c>
      <c r="B24" s="35">
        <f>B5+B23</f>
        <v/>
      </c>
      <c r="C24" s="35">
        <f>C5+C23</f>
        <v/>
      </c>
      <c r="D24" s="35">
        <f>D5+D23</f>
        <v/>
      </c>
      <c r="E24" s="35">
        <f>E5+E23</f>
        <v/>
      </c>
      <c r="F24" s="35">
        <f>F5+F23</f>
        <v/>
      </c>
      <c r="G24" s="35">
        <f>G5+G23</f>
        <v/>
      </c>
      <c r="H24" s="35">
        <f>H5+H23</f>
        <v/>
      </c>
      <c r="I24" s="35">
        <f>I5+I23</f>
        <v/>
      </c>
    </row>
    <row r="25"/>
    <row r="26">
      <c r="A26" s="10" t="inlineStr">
        <is>
          <t>THE ASSET-CONVERSION CYCLE — MEASURED, THEN PROJECTED</t>
        </is>
      </c>
      <c r="B26" s="12" t="n"/>
      <c r="C26" s="12" t="n"/>
      <c r="D26" s="12" t="n"/>
      <c r="E26" s="12" t="n"/>
      <c r="F26" s="12" t="n"/>
      <c r="G26" s="12" t="n"/>
      <c r="H26" s="12" t="n"/>
      <c r="I26" s="12" t="n"/>
      <c r="J26" s="12" t="n"/>
    </row>
    <row r="27">
      <c r="A27" s="6" t="inlineStr">
        <is>
          <t>Days sales outstanding (receivables over revenue)</t>
        </is>
      </c>
      <c r="C27" s="35">
        <f>365*C9/'Income Statement'!C5</f>
        <v/>
      </c>
      <c r="D27" s="35">
        <f>365*D9/'Income Statement'!D5</f>
        <v/>
      </c>
    </row>
    <row r="28">
      <c r="A28" s="6" t="inlineStr">
        <is>
          <t>Days inventory outstanding (inventories over cost of sales)</t>
        </is>
      </c>
      <c r="C28" s="35">
        <f>365*C8/'Income Statement'!C6</f>
        <v/>
      </c>
      <c r="D28" s="35">
        <f>365*D8/'Income Statement'!D6</f>
        <v/>
      </c>
    </row>
    <row r="29">
      <c r="A29" s="6" t="inlineStr">
        <is>
          <t>Days payables outstanding (payables over cost of sales)</t>
        </is>
      </c>
      <c r="C29" s="35">
        <f>365*C12/'Income Statement'!C6</f>
        <v/>
      </c>
      <c r="D29" s="35">
        <f>365*D12/'Income Statement'!D6</f>
        <v/>
      </c>
    </row>
    <row r="30">
      <c r="A30" s="20" t="inlineStr">
        <is>
          <t>Cash conversion cycle (days)</t>
        </is>
      </c>
      <c r="C30" s="36">
        <f>C27+C28-C29</f>
        <v/>
      </c>
      <c r="D30" s="36">
        <f>D27+D28-D29</f>
        <v/>
      </c>
    </row>
    <row r="31">
      <c r="A31" s="6" t="inlineStr">
        <is>
          <t>Gas accrual carried inside payables at FY2025 ($m)</t>
        </is>
      </c>
      <c r="D31" s="28" t="n">
        <v>386.3</v>
      </c>
    </row>
    <row r="32">
      <c r="A32" s="6" t="inlineStr">
        <is>
          <t>Days payables outstanding, excluding that accrual</t>
        </is>
      </c>
      <c r="D32" s="35">
        <f>365*(D12-D31)/'Income Statement'!D6</f>
        <v/>
      </c>
    </row>
    <row r="33">
      <c r="A33" s="20" t="inlineStr">
        <is>
          <t>Cash conversion cycle, excluding that accrual (days)</t>
        </is>
      </c>
      <c r="D33" s="36">
        <f>D27+D28-D32</f>
        <v/>
      </c>
    </row>
    <row r="34">
      <c r="A34" s="20" t="inlineStr">
        <is>
          <t>Net working capital at FY2025, excluding that accrual ($m)</t>
        </is>
      </c>
      <c r="D34" s="36">
        <f>D8+D9-(D12-D31)</f>
        <v/>
      </c>
    </row>
    <row r="35"/>
    <row r="36">
      <c r="A36" s="4" t="inlineStr">
        <is>
          <t>The gas accrual is a retrospective true-up on a disputed supply contract, not a trade payable in the ordinary course. Leaving it inside payables would make the company look as though it were financing itself on its suppliers to the tune of a full quarter of cost of sales. The forecast therefore runs on the cycle excluding it, and the 2026 change in working capital is measured against the same adjusted base.</t>
        </is>
      </c>
    </row>
    <row r="37"/>
    <row r="38">
      <c r="A38" s="4" t="inlineStr">
        <is>
          <t>This is a condensed layout and does not foot to zero: other liabilities, provisions and related-party balances are not shown separately. Every historical line above is the audited closing figure.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Cash flow — audited markers and the forecast waterfall</t>
        </is>
      </c>
      <c r="B1" s="2" t="n"/>
      <c r="C1" s="2" t="n"/>
      <c r="D1" s="2" t="n"/>
      <c r="E1" s="2" t="n"/>
      <c r="F1" s="2" t="n"/>
      <c r="G1" s="2" t="n"/>
      <c r="H1" s="2" t="n"/>
      <c r="I1" s="2" t="n"/>
    </row>
    <row r="2">
      <c r="A2" s="4" t="inlineStr">
        <is>
          <t>$m. The forecast waterfall is the same one the discounted cash flow runs on, shown here against the reported history.</t>
        </is>
      </c>
    </row>
    <row r="3"/>
    <row r="4">
      <c r="A4" s="5" t="inlineStr">
        <is>
          <t>$m</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Net cash from operating activities (reported)</t>
        </is>
      </c>
      <c r="B5" s="28" t="n">
        <v>797.6</v>
      </c>
      <c r="C5" s="28" t="n">
        <v>607.7</v>
      </c>
      <c r="D5" s="28" t="n">
        <v>734.2</v>
      </c>
    </row>
    <row r="6">
      <c r="A6" s="6" t="inlineStr">
        <is>
          <t>Purchase of property, plant and equipment (reported)</t>
        </is>
      </c>
      <c r="B6" s="28" t="n">
        <v>114.6</v>
      </c>
      <c r="C6" s="28" t="n">
        <v>168.3</v>
      </c>
      <c r="D6" s="28" t="n">
        <v>191.3</v>
      </c>
    </row>
    <row r="7">
      <c r="A7" s="6" t="inlineStr">
        <is>
          <t>Income taxes paid (reported)</t>
        </is>
      </c>
      <c r="B7" s="28" t="n">
        <v>67.40000000000001</v>
      </c>
      <c r="C7" s="28" t="n">
        <v>56.7</v>
      </c>
      <c r="D7" s="28" t="n">
        <v>205.1</v>
      </c>
    </row>
    <row r="8">
      <c r="A8" s="6" t="inlineStr">
        <is>
          <t>Dividends paid to owners and to minorities (reported)</t>
        </is>
      </c>
      <c r="D8" s="35">
        <f>'Balance Sheet'!D18*0+250.0+61.3</f>
        <v/>
      </c>
    </row>
    <row r="9">
      <c r="A9" s="6" t="inlineStr">
        <is>
          <t>Cash conversion — operating cash flow over EBITDA</t>
        </is>
      </c>
      <c r="B9" s="8">
        <f>B5/'Income Statement'!B11</f>
        <v/>
      </c>
      <c r="C9" s="8">
        <f>C5/'Income Statement'!C11</f>
        <v/>
      </c>
      <c r="D9" s="8">
        <f>D5/'Income Statement'!D11</f>
        <v/>
      </c>
    </row>
    <row r="10"/>
    <row r="11">
      <c r="A11" s="10" t="inlineStr">
        <is>
          <t>THE FORECAST WATERFALL — FRAMING A</t>
        </is>
      </c>
      <c r="B11" s="12" t="n"/>
      <c r="C11" s="12" t="n"/>
      <c r="D11" s="12" t="n"/>
      <c r="E11" s="12" t="n"/>
      <c r="F11" s="12" t="n"/>
      <c r="G11" s="12" t="n"/>
      <c r="H11" s="12" t="n"/>
      <c r="I11" s="12" t="n"/>
    </row>
    <row r="12">
      <c r="A12" s="6" t="inlineStr">
        <is>
          <t>Net operating profit after tax</t>
        </is>
      </c>
      <c r="E12" s="15">
        <f>DCF!B11</f>
        <v/>
      </c>
      <c r="F12" s="15">
        <f>DCF!C11</f>
        <v/>
      </c>
      <c r="G12" s="15">
        <f>DCF!D11</f>
        <v/>
      </c>
      <c r="H12" s="15">
        <f>DCF!E11</f>
        <v/>
      </c>
      <c r="I12" s="15">
        <f>DCF!F11</f>
        <v/>
      </c>
    </row>
    <row r="13">
      <c r="A13" s="6" t="inlineStr">
        <is>
          <t>Add back depreciation and amortisation</t>
        </is>
      </c>
      <c r="E13" s="15">
        <f>DCF!B9</f>
        <v/>
      </c>
      <c r="F13" s="15">
        <f>DCF!C9</f>
        <v/>
      </c>
      <c r="G13" s="15">
        <f>DCF!D9</f>
        <v/>
      </c>
      <c r="H13" s="15">
        <f>DCF!E9</f>
        <v/>
      </c>
      <c r="I13" s="15">
        <f>DCF!F9</f>
        <v/>
      </c>
    </row>
    <row r="14">
      <c r="A14" s="6" t="inlineStr">
        <is>
          <t>Less capital expenditure</t>
        </is>
      </c>
      <c r="E14" s="15">
        <f>DCF!B13</f>
        <v/>
      </c>
      <c r="F14" s="15">
        <f>DCF!C13</f>
        <v/>
      </c>
      <c r="G14" s="15">
        <f>DCF!D13</f>
        <v/>
      </c>
      <c r="H14" s="15">
        <f>DCF!E13</f>
        <v/>
      </c>
      <c r="I14" s="15">
        <f>DCF!F13</f>
        <v/>
      </c>
    </row>
    <row r="15">
      <c r="A15" s="6" t="inlineStr">
        <is>
          <t>Less change in net working capital</t>
        </is>
      </c>
      <c r="E15" s="15">
        <f>DCF!B18</f>
        <v/>
      </c>
      <c r="F15" s="15">
        <f>DCF!C18</f>
        <v/>
      </c>
      <c r="G15" s="15">
        <f>DCF!D18</f>
        <v/>
      </c>
      <c r="H15" s="15">
        <f>DCF!E18</f>
        <v/>
      </c>
      <c r="I15" s="15">
        <f>DCF!F18</f>
        <v/>
      </c>
    </row>
    <row r="16">
      <c r="A16" s="12" t="inlineStr">
        <is>
          <t>Free cash flow to the firm</t>
        </is>
      </c>
      <c r="B16" s="12" t="n"/>
      <c r="C16" s="12" t="n"/>
      <c r="D16" s="12" t="n"/>
      <c r="E16" s="45">
        <f>E12+E13-E14-E15</f>
        <v/>
      </c>
      <c r="F16" s="45">
        <f>F12+F13-F14-F15</f>
        <v/>
      </c>
      <c r="G16" s="45">
        <f>G12+G13-G14-G15</f>
        <v/>
      </c>
      <c r="H16" s="45">
        <f>H12+H13-H14-H15</f>
        <v/>
      </c>
      <c r="I16" s="45">
        <f>I12+I13-I14-I15</f>
        <v/>
      </c>
    </row>
    <row r="17">
      <c r="A17" s="6" t="inlineStr">
        <is>
          <t>Less interest after tax</t>
        </is>
      </c>
      <c r="E17" s="35">
        <f>'Income Statement'!E14*(1-DCF!$C$106)</f>
        <v/>
      </c>
      <c r="F17" s="35">
        <f>'Income Statement'!F14*(1-DCF!$C$106)</f>
        <v/>
      </c>
      <c r="G17" s="35">
        <f>'Income Statement'!G14*(1-DCF!$C$106)</f>
        <v/>
      </c>
      <c r="H17" s="35">
        <f>'Income Statement'!H14*(1-DCF!$C$106)</f>
        <v/>
      </c>
      <c r="I17" s="35">
        <f>'Income Statement'!I14*(1-DCF!$C$106)</f>
        <v/>
      </c>
    </row>
    <row r="18">
      <c r="A18" s="6" t="inlineStr">
        <is>
          <t>Less dividends to owners</t>
        </is>
      </c>
      <c r="E18" s="35">
        <f>Assumptions!$C$80*'Income Statement'!E21</f>
        <v/>
      </c>
      <c r="F18" s="35">
        <f>Assumptions!$C$80*'Income Statement'!F21</f>
        <v/>
      </c>
      <c r="G18" s="35">
        <f>Assumptions!$C$80*'Income Statement'!G21</f>
        <v/>
      </c>
      <c r="H18" s="35">
        <f>Assumptions!$C$80*'Income Statement'!H21</f>
        <v/>
      </c>
      <c r="I18" s="35">
        <f>Assumptions!$C$80*'Income Statement'!I21</f>
        <v/>
      </c>
    </row>
    <row r="19">
      <c r="A19" s="6" t="inlineStr">
        <is>
          <t>Less profit accruing to minorities</t>
        </is>
      </c>
      <c r="E19" s="15">
        <f>'Income Statement'!E20</f>
        <v/>
      </c>
      <c r="F19" s="15">
        <f>'Income Statement'!F20</f>
        <v/>
      </c>
      <c r="G19" s="15">
        <f>'Income Statement'!G20</f>
        <v/>
      </c>
      <c r="H19" s="15">
        <f>'Income Statement'!H20</f>
        <v/>
      </c>
      <c r="I19" s="15">
        <f>'Income Statement'!I20</f>
        <v/>
      </c>
    </row>
    <row r="20">
      <c r="A20" s="20" t="inlineStr">
        <is>
          <t>Movement in net debt</t>
        </is>
      </c>
      <c r="E20" s="36">
        <f>-E16+E17+E18+E19</f>
        <v/>
      </c>
      <c r="F20" s="36">
        <f>-F16+F17+F18+F19</f>
        <v/>
      </c>
      <c r="G20" s="36">
        <f>-G16+G17+G18+G19</f>
        <v/>
      </c>
      <c r="H20" s="36">
        <f>-H16+H17+H18+H19</f>
        <v/>
      </c>
      <c r="I20" s="36">
        <f>-I16+I17+I18+I19</f>
        <v/>
      </c>
    </row>
    <row r="21">
      <c r="A21" s="20" t="inlineStr">
        <is>
          <t>Closing net debt</t>
        </is>
      </c>
      <c r="E21" s="47">
        <f>'Balance Sheet'!E22</f>
        <v/>
      </c>
      <c r="F21" s="47">
        <f>'Balance Sheet'!F22</f>
        <v/>
      </c>
      <c r="G21" s="47">
        <f>'Balance Sheet'!G22</f>
        <v/>
      </c>
      <c r="H21" s="47">
        <f>'Balance Sheet'!H22</f>
        <v/>
      </c>
      <c r="I21" s="47">
        <f>'Balance Sheet'!I22</f>
        <v/>
      </c>
    </row>
    <row r="22"/>
    <row r="23">
      <c r="A23" s="4" t="inlineStr">
        <is>
          <t>The reported cash flow and the forecast waterfall are not the same object and are not meant to reconcile line for line: the reported figure is after interest, tax and the working-capital swing the gas accrual causes, while the waterfall is struck before financing so that it can be discounted at a cost of capital that already prices the debt.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Summary financials — the eight-year picture</t>
        </is>
      </c>
      <c r="B1" s="2" t="n"/>
      <c r="C1" s="2" t="n"/>
      <c r="D1" s="2" t="n"/>
      <c r="E1" s="2" t="n"/>
      <c r="F1" s="2" t="n"/>
      <c r="G1" s="2" t="n"/>
      <c r="H1" s="2" t="n"/>
      <c r="I1" s="2" t="n"/>
      <c r="J1" s="2" t="n"/>
    </row>
    <row r="2">
      <c r="A2" s="4" t="inlineStr">
        <is>
          <t>$m unless stated. Every cell on this sheet is a link or a ratio; nothing is typed twice.</t>
        </is>
      </c>
    </row>
    <row r="3"/>
    <row r="4">
      <c r="A4" s="5" t="inlineStr">
        <is>
          <t>$m</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20" t="inlineStr">
        <is>
          <t>Revenue</t>
        </is>
      </c>
      <c r="B5" s="48">
        <f>'Income Statement'!B5</f>
        <v/>
      </c>
      <c r="C5" s="48">
        <f>'Income Statement'!C5</f>
        <v/>
      </c>
      <c r="D5" s="48">
        <f>'Income Statement'!D5</f>
        <v/>
      </c>
      <c r="E5" s="48">
        <f>'Income Statement'!E5</f>
        <v/>
      </c>
      <c r="F5" s="48">
        <f>'Income Statement'!F5</f>
        <v/>
      </c>
      <c r="G5" s="48">
        <f>'Income Statement'!G5</f>
        <v/>
      </c>
      <c r="H5" s="48">
        <f>'Income Statement'!H5</f>
        <v/>
      </c>
      <c r="I5" s="48">
        <f>'Income Statement'!I5</f>
        <v/>
      </c>
    </row>
    <row r="6">
      <c r="A6" s="6" t="inlineStr">
        <is>
          <t>Revenue growth</t>
        </is>
      </c>
      <c r="B6" s="8" t="inlineStr">
        <is>
          <t>-</t>
        </is>
      </c>
      <c r="C6" s="8">
        <f>C5/B5-1</f>
        <v/>
      </c>
      <c r="D6" s="8">
        <f>D5/C5-1</f>
        <v/>
      </c>
      <c r="E6" s="8">
        <f>E5/D5-1</f>
        <v/>
      </c>
      <c r="F6" s="8">
        <f>F5/E5-1</f>
        <v/>
      </c>
      <c r="G6" s="8">
        <f>G5/F5-1</f>
        <v/>
      </c>
      <c r="H6" s="8">
        <f>H5/G5-1</f>
        <v/>
      </c>
      <c r="I6" s="8">
        <f>I5/H5-1</f>
        <v/>
      </c>
    </row>
    <row r="7">
      <c r="A7" s="6" t="inlineStr">
        <is>
          <t>EBITDA</t>
        </is>
      </c>
      <c r="B7" s="14">
        <f>'Income Statement'!B11</f>
        <v/>
      </c>
      <c r="C7" s="14">
        <f>'Income Statement'!C11</f>
        <v/>
      </c>
      <c r="D7" s="14">
        <f>'Income Statement'!D11</f>
        <v/>
      </c>
      <c r="E7" s="14">
        <f>'Income Statement'!E11</f>
        <v/>
      </c>
      <c r="F7" s="14">
        <f>'Income Statement'!F11</f>
        <v/>
      </c>
      <c r="G7" s="14">
        <f>'Income Statement'!G11</f>
        <v/>
      </c>
      <c r="H7" s="14">
        <f>'Income Statement'!H11</f>
        <v/>
      </c>
      <c r="I7" s="14">
        <f>'Income Statement'!I11</f>
        <v/>
      </c>
    </row>
    <row r="8">
      <c r="A8" s="6" t="inlineStr">
        <is>
          <t>EBITDA margin</t>
        </is>
      </c>
      <c r="B8" s="8">
        <f>B7/B5</f>
        <v/>
      </c>
      <c r="C8" s="8">
        <f>C7/C5</f>
        <v/>
      </c>
      <c r="D8" s="8">
        <f>D7/D5</f>
        <v/>
      </c>
      <c r="E8" s="8">
        <f>E7/E5</f>
        <v/>
      </c>
      <c r="F8" s="8">
        <f>F7/F5</f>
        <v/>
      </c>
      <c r="G8" s="8">
        <f>G7/G5</f>
        <v/>
      </c>
      <c r="H8" s="8">
        <f>H7/H5</f>
        <v/>
      </c>
      <c r="I8" s="8">
        <f>I7/I5</f>
        <v/>
      </c>
    </row>
    <row r="9">
      <c r="A9" s="6" t="inlineStr">
        <is>
          <t>EBIT</t>
        </is>
      </c>
      <c r="B9" s="14">
        <f>'Income Statement'!B12</f>
        <v/>
      </c>
      <c r="C9" s="14">
        <f>'Income Statement'!C12</f>
        <v/>
      </c>
      <c r="D9" s="14">
        <f>'Income Statement'!D12</f>
        <v/>
      </c>
      <c r="E9" s="14">
        <f>'Income Statement'!E12</f>
        <v/>
      </c>
      <c r="F9" s="14">
        <f>'Income Statement'!F12</f>
        <v/>
      </c>
      <c r="G9" s="14">
        <f>'Income Statement'!G12</f>
        <v/>
      </c>
      <c r="H9" s="14">
        <f>'Income Statement'!H12</f>
        <v/>
      </c>
      <c r="I9" s="14">
        <f>'Income Statement'!I12</f>
        <v/>
      </c>
    </row>
    <row r="10">
      <c r="A10" s="6" t="inlineStr">
        <is>
          <t>Profit attributable to owners</t>
        </is>
      </c>
      <c r="B10" s="14">
        <f>'Income Statement'!B21</f>
        <v/>
      </c>
      <c r="C10" s="14">
        <f>'Income Statement'!C21</f>
        <v/>
      </c>
      <c r="D10" s="14">
        <f>'Income Statement'!D21</f>
        <v/>
      </c>
      <c r="E10" s="14">
        <f>'Income Statement'!E21</f>
        <v/>
      </c>
      <c r="F10" s="14">
        <f>'Income Statement'!F21</f>
        <v/>
      </c>
      <c r="G10" s="14">
        <f>'Income Statement'!G21</f>
        <v/>
      </c>
      <c r="H10" s="14">
        <f>'Income Statement'!H21</f>
        <v/>
      </c>
      <c r="I10" s="14">
        <f>'Income Statement'!I21</f>
        <v/>
      </c>
    </row>
    <row r="11">
      <c r="A11" s="6" t="inlineStr">
        <is>
          <t>Free cash flow to the firm</t>
        </is>
      </c>
      <c r="B11" s="22" t="inlineStr">
        <is>
          <t>-</t>
        </is>
      </c>
      <c r="C11" s="22" t="inlineStr">
        <is>
          <t>-</t>
        </is>
      </c>
      <c r="D11" s="22" t="inlineStr">
        <is>
          <t>-</t>
        </is>
      </c>
      <c r="E11" s="14">
        <f>'Cash Flow'!E16</f>
        <v/>
      </c>
      <c r="F11" s="14">
        <f>'Cash Flow'!F16</f>
        <v/>
      </c>
      <c r="G11" s="14">
        <f>'Cash Flow'!G16</f>
        <v/>
      </c>
      <c r="H11" s="14">
        <f>'Cash Flow'!H16</f>
        <v/>
      </c>
      <c r="I11" s="14">
        <f>'Cash Flow'!I16</f>
        <v/>
      </c>
    </row>
    <row r="12">
      <c r="A12" s="6" t="inlineStr">
        <is>
          <t>Net debt</t>
        </is>
      </c>
      <c r="B12" s="14">
        <f>'Balance Sheet'!B22</f>
        <v/>
      </c>
      <c r="C12" s="14">
        <f>'Balance Sheet'!C22</f>
        <v/>
      </c>
      <c r="D12" s="14">
        <f>'Balance Sheet'!D22</f>
        <v/>
      </c>
      <c r="E12" s="14">
        <f>'Balance Sheet'!E22</f>
        <v/>
      </c>
      <c r="F12" s="14">
        <f>'Balance Sheet'!F22</f>
        <v/>
      </c>
      <c r="G12" s="14">
        <f>'Balance Sheet'!G22</f>
        <v/>
      </c>
      <c r="H12" s="14">
        <f>'Balance Sheet'!H22</f>
        <v/>
      </c>
      <c r="I12" s="14">
        <f>'Balance Sheet'!I22</f>
        <v/>
      </c>
    </row>
    <row r="13">
      <c r="A13" s="6" t="inlineStr">
        <is>
          <t>Invested capital</t>
        </is>
      </c>
      <c r="B13" s="14">
        <f>'Balance Sheet'!B24</f>
        <v/>
      </c>
      <c r="C13" s="14">
        <f>'Balance Sheet'!C24</f>
        <v/>
      </c>
      <c r="D13" s="14">
        <f>'Balance Sheet'!D24</f>
        <v/>
      </c>
      <c r="E13" s="14">
        <f>'Balance Sheet'!E24</f>
        <v/>
      </c>
      <c r="F13" s="14">
        <f>'Balance Sheet'!F24</f>
        <v/>
      </c>
      <c r="G13" s="14">
        <f>'Balance Sheet'!G24</f>
        <v/>
      </c>
      <c r="H13" s="14">
        <f>'Balance Sheet'!H24</f>
        <v/>
      </c>
      <c r="I13" s="14">
        <f>'Balance Sheet'!I24</f>
        <v/>
      </c>
    </row>
    <row r="14">
      <c r="A14" s="6" t="inlineStr">
        <is>
          <t>Return on invested capital</t>
        </is>
      </c>
      <c r="B14" s="8" t="inlineStr">
        <is>
          <t>-</t>
        </is>
      </c>
      <c r="C14" s="8" t="inlineStr">
        <is>
          <t>-</t>
        </is>
      </c>
      <c r="D14" s="8" t="inlineStr">
        <is>
          <t>-</t>
        </is>
      </c>
      <c r="E14" s="8">
        <f>DCF!B11/E13</f>
        <v/>
      </c>
      <c r="F14" s="8">
        <f>DCF!C11/F13</f>
        <v/>
      </c>
      <c r="G14" s="8">
        <f>DCF!D11/G13</f>
        <v/>
      </c>
      <c r="H14" s="8">
        <f>DCF!E11/H13</f>
        <v/>
      </c>
      <c r="I14" s="8">
        <f>DCF!F11/I13</f>
        <v/>
      </c>
    </row>
    <row r="15">
      <c r="A15" s="6" t="inlineStr">
        <is>
          <t>Net debt / EBITDA</t>
        </is>
      </c>
      <c r="B15" s="41">
        <f>B12/B7</f>
        <v/>
      </c>
      <c r="C15" s="41">
        <f>C12/C7</f>
        <v/>
      </c>
      <c r="D15" s="41">
        <f>D12/D7</f>
        <v/>
      </c>
      <c r="E15" s="41">
        <f>E12/E7</f>
        <v/>
      </c>
      <c r="F15" s="41">
        <f>F12/F7</f>
        <v/>
      </c>
      <c r="G15" s="41">
        <f>G12/G7</f>
        <v/>
      </c>
      <c r="H15" s="41">
        <f>H12/H7</f>
        <v/>
      </c>
      <c r="I15" s="41">
        <f>I12/I7</f>
        <v/>
      </c>
    </row>
    <row r="16"/>
    <row r="17">
      <c r="A17" s="4" t="inlineStr">
        <is>
          <t>The forecast columns are framing A. Framing B differs only in the price path; its revenue, EBITDA and cash flow are on the DCF sheet beside framing A's, and both reach a value on the SOTP Bridge sheet.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around the market price. It carries no view on value and is never blended with the valuation. Each figure is a complete engine re-run, so nothing on this sheet redraws when a driver is changed.</t>
        </is>
      </c>
    </row>
    <row r="3"/>
    <row r="4">
      <c r="A4" s="5" t="inlineStr">
        <is>
          <t>Horizon</t>
        </is>
      </c>
      <c r="B4" s="5" t="inlineStr">
        <is>
          <t>5th</t>
        </is>
      </c>
      <c r="C4" s="5" t="inlineStr">
        <is>
          <t>25th</t>
        </is>
      </c>
      <c r="D4" s="5" t="inlineStr">
        <is>
          <t>Median</t>
        </is>
      </c>
      <c r="E4" s="5" t="inlineStr">
        <is>
          <t>75th</t>
        </is>
      </c>
      <c r="F4" s="5" t="inlineStr">
        <is>
          <t>95th</t>
        </is>
      </c>
      <c r="G4" s="5" t="inlineStr">
        <is>
          <t>Above the market price</t>
        </is>
      </c>
    </row>
    <row r="5">
      <c r="A5" s="6" t="inlineStr">
        <is>
          <t>One month — to 2026-09-07</t>
        </is>
      </c>
      <c r="B5" s="49" t="n">
        <v>2.236743875950278</v>
      </c>
      <c r="C5" s="49" t="n">
        <v>2.416895450058889</v>
      </c>
      <c r="D5" s="49" t="n">
        <v>2.536505554614821</v>
      </c>
      <c r="E5" s="49" t="n">
        <v>2.662688497355799</v>
      </c>
      <c r="F5" s="49" t="n">
        <v>2.870668463481881</v>
      </c>
      <c r="G5" s="27" t="n">
        <v>0.49222</v>
      </c>
    </row>
    <row r="6">
      <c r="A6" s="6" t="inlineStr">
        <is>
          <t>Three months — to 2026-11-09</t>
        </is>
      </c>
      <c r="B6" s="49" t="n">
        <v>2.013717653407458</v>
      </c>
      <c r="C6" s="49" t="n">
        <v>2.319040293796935</v>
      </c>
      <c r="D6" s="49" t="n">
        <v>2.532116209905513</v>
      </c>
      <c r="E6" s="49" t="n">
        <v>2.763945790762775</v>
      </c>
      <c r="F6" s="49" t="n">
        <v>3.187724155557283</v>
      </c>
      <c r="G6" s="27" t="n">
        <v>0.4906</v>
      </c>
    </row>
    <row r="7"/>
    <row r="8">
      <c r="A8" s="5" t="inlineStr">
        <is>
          <t>Level event</t>
        </is>
      </c>
      <c r="B8" s="5" t="inlineStr">
        <is>
          <t>One month</t>
        </is>
      </c>
      <c r="C8" s="5" t="inlineStr">
        <is>
          <t>Three months</t>
        </is>
      </c>
    </row>
    <row r="9">
      <c r="A9" s="6" t="inlineStr">
        <is>
          <t>Finishes 10% or more above the market price</t>
        </is>
      </c>
      <c r="B9" s="27" t="n">
        <v>0.09364</v>
      </c>
      <c r="C9" s="27" t="n">
        <v>0.22516</v>
      </c>
    </row>
    <row r="10">
      <c r="A10" s="6" t="inlineStr">
        <is>
          <t>Finishes 10% or more below the market price</t>
        </is>
      </c>
      <c r="B10" s="27" t="n">
        <v>0.0813</v>
      </c>
      <c r="C10" s="27" t="n">
        <v>0.21646</v>
      </c>
    </row>
    <row r="11">
      <c r="A11" s="6" t="inlineStr">
        <is>
          <t>Touches 10% above the market price at any point</t>
        </is>
      </c>
      <c r="B11" s="27" t="n">
        <v>0.15724</v>
      </c>
      <c r="C11" s="27" t="n">
        <v>0.4185</v>
      </c>
    </row>
    <row r="12">
      <c r="A12" s="6" t="inlineStr">
        <is>
          <t>Touches 10% below the market price at any point</t>
        </is>
      </c>
      <c r="B12" s="27" t="n">
        <v>0.1323</v>
      </c>
      <c r="C12" s="27" t="n">
        <v>0.39122</v>
      </c>
    </row>
    <row r="13">
      <c r="A13" s="6" t="inlineStr">
        <is>
          <t>Touches 20% above the market price at any point</t>
        </is>
      </c>
      <c r="B13" s="27" t="n">
        <v>0.01782</v>
      </c>
      <c r="C13" s="27" t="n">
        <v>0.1556</v>
      </c>
    </row>
    <row r="14">
      <c r="A14" s="6" t="inlineStr">
        <is>
          <t>Touches 20% below the market price at any point</t>
        </is>
      </c>
      <c r="B14" s="27" t="n">
        <v>0.00652</v>
      </c>
      <c r="C14" s="27" t="n">
        <v>0.09616</v>
      </c>
    </row>
    <row r="15"/>
    <row r="16">
      <c r="A16" s="5" t="inlineStr">
        <is>
          <t>Setting</t>
        </is>
      </c>
      <c r="B16" s="5" t="inlineStr">
        <is>
          <t>Value</t>
        </is>
      </c>
    </row>
    <row r="17">
      <c r="A17" s="6" t="inlineStr">
        <is>
          <t>Simulated paths</t>
        </is>
      </c>
      <c r="C17" s="26" t="n">
        <v>50000</v>
      </c>
    </row>
    <row r="18">
      <c r="A18" s="6" t="inlineStr">
        <is>
          <t>Annualised volatility at the three-month anchor</t>
        </is>
      </c>
      <c r="C18" s="27" t="n">
        <v>0.2898211420968638</v>
      </c>
    </row>
    <row r="19">
      <c r="A19" s="6" t="inlineStr">
        <is>
          <t>Market price (AED)</t>
        </is>
      </c>
      <c r="C19" s="50">
        <f>Assumptions!$C$5</f>
        <v/>
      </c>
    </row>
    <row r="20">
      <c r="A20" s="6" t="inlineStr">
        <is>
          <t>Anchor date</t>
        </is>
      </c>
      <c r="C20" s="51" t="inlineStr">
        <is>
          <t>2026-08-07</t>
        </is>
      </c>
    </row>
    <row r="21"/>
    <row r="22">
      <c r="A22" s="4" t="inlineStr">
        <is>
          <t>How the map has behaved out of sample: across 14 non-overlapping three-month windows on this stock, the interval that should contain nine outcomes in ten contained 100% of them and the interval that should contain four in five contained 79%. The average position of the realised price inside the distribution was 0.43, against a half for a perfectly centred map. Against a carry-adjusted random walk the map scored -0.0015, which is inside the confidence interval either way — it is honest about dispersion, not a forecast of direction.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Sensitivity — what the valuation needs the world to do</t>
        </is>
      </c>
      <c r="B1" s="2" t="n"/>
      <c r="C1" s="2" t="n"/>
      <c r="D1" s="2" t="n"/>
      <c r="E1" s="2" t="n"/>
      <c r="F1" s="2" t="n"/>
      <c r="G1" s="2" t="n"/>
      <c r="H1" s="2" t="n"/>
    </row>
    <row r="2">
      <c r="A2" s="4" t="inlineStr">
        <is>
          <t>AED per share, framing A. Each cell is a complete re-run of the whole model, including the unit build, so these grids are engine outputs rather than formulas and do NOT redraw when a driver is changed.</t>
        </is>
      </c>
    </row>
    <row r="3"/>
    <row r="4">
      <c r="A4" s="20" t="inlineStr">
        <is>
          <t>Terminal cost of capital (rows) against terminal growth (columns)</t>
        </is>
      </c>
    </row>
    <row r="5">
      <c r="A5" s="5" t="inlineStr"/>
      <c r="B5" s="5" t="inlineStr">
        <is>
          <t>0.0%</t>
        </is>
      </c>
      <c r="C5" s="5" t="inlineStr">
        <is>
          <t>0.2%</t>
        </is>
      </c>
      <c r="D5" s="5" t="inlineStr">
        <is>
          <t>0.5%</t>
        </is>
      </c>
      <c r="E5" s="5" t="inlineStr">
        <is>
          <t>0.8%</t>
        </is>
      </c>
      <c r="F5" s="5" t="inlineStr">
        <is>
          <t>1.0%</t>
        </is>
      </c>
    </row>
    <row r="6">
      <c r="A6" s="6" t="inlineStr">
        <is>
          <t>10.11%</t>
        </is>
      </c>
      <c r="B6" s="49" t="n">
        <v>1.993072828331594</v>
      </c>
      <c r="C6" s="49" t="n">
        <v>1.983456933682448</v>
      </c>
      <c r="D6" s="49" t="n">
        <v>1.972909625913021</v>
      </c>
      <c r="E6" s="49" t="n">
        <v>1.961333887904676</v>
      </c>
      <c r="F6" s="49" t="n">
        <v>1.948618743998498</v>
      </c>
    </row>
    <row r="7">
      <c r="A7" s="6" t="inlineStr">
        <is>
          <t>10.61%</t>
        </is>
      </c>
      <c r="B7" s="49" t="n">
        <v>1.896032093115478</v>
      </c>
      <c r="C7" s="49" t="n">
        <v>1.884823843938417</v>
      </c>
      <c r="D7" s="49" t="n">
        <v>1.87264502381584</v>
      </c>
      <c r="E7" s="49" t="n">
        <v>1.859400980737891</v>
      </c>
      <c r="F7" s="49" t="n">
        <v>1.844984341630396</v>
      </c>
    </row>
    <row r="8">
      <c r="A8" s="6" t="inlineStr">
        <is>
          <t>11.11%</t>
        </is>
      </c>
      <c r="B8" s="49" t="n">
        <v>1.809469008452576</v>
      </c>
      <c r="C8" s="49" t="n">
        <v>1.797138200146791</v>
      </c>
      <c r="D8" s="49" t="n">
        <v>1.783830021839129</v>
      </c>
      <c r="E8" s="49" t="n">
        <v>1.769454869792144</v>
      </c>
      <c r="F8" s="49" t="n">
        <v>1.753911842027999</v>
      </c>
    </row>
    <row r="9">
      <c r="A9" s="6" t="inlineStr">
        <is>
          <t>11.61%</t>
        </is>
      </c>
      <c r="B9" s="49" t="n">
        <v>1.731749935634973</v>
      </c>
      <c r="C9" s="49" t="n">
        <v>1.718646716513573</v>
      </c>
      <c r="D9" s="49" t="n">
        <v>1.704579648004987</v>
      </c>
      <c r="E9" s="49" t="n">
        <v>1.689465361417073</v>
      </c>
      <c r="F9" s="49" t="n">
        <v>1.673210587922852</v>
      </c>
    </row>
    <row r="10">
      <c r="A10" s="6" t="inlineStr">
        <is>
          <t>12.11%</t>
        </is>
      </c>
      <c r="B10" s="49" t="n">
        <v>1.661564398258687</v>
      </c>
      <c r="C10" s="49" t="n">
        <v>1.647951910145248</v>
      </c>
      <c r="D10" s="49" t="n">
        <v>1.633401616257581</v>
      </c>
      <c r="E10" s="49" t="n">
        <v>1.617836740923015</v>
      </c>
      <c r="F10" s="49" t="n">
        <v>1.601171892793641</v>
      </c>
    </row>
    <row r="11"/>
    <row r="12">
      <c r="A12" s="20" t="inlineStr">
        <is>
          <t>Single-driver sensitivities — five complete re-runs per row</t>
        </is>
      </c>
    </row>
    <row r="13">
      <c r="A13" s="5" t="inlineStr">
        <is>
          <t>Driver (the grid it is run over)</t>
        </is>
      </c>
      <c r="B13" s="5" t="inlineStr"/>
      <c r="C13" s="5" t="inlineStr"/>
      <c r="D13" s="5" t="inlineStr"/>
      <c r="E13" s="5" t="inlineStr"/>
      <c r="F13" s="5" t="inlineStr"/>
      <c r="G13" s="5" t="inlineStr">
        <is>
          <t>Swing</t>
        </is>
      </c>
    </row>
    <row r="14">
      <c r="A14" s="6" t="inlineStr">
        <is>
          <t>Cost pass-through  (0.300 / 0.400 / 0.481 / 0.550 / 0.650)</t>
        </is>
      </c>
      <c r="B14" s="49" t="n">
        <v>3.066814294579432</v>
      </c>
      <c r="C14" s="49" t="n">
        <v>2.371697224725087</v>
      </c>
      <c r="D14" s="49" t="n">
        <v>1.809469008452576</v>
      </c>
      <c r="E14" s="49" t="n">
        <v>1.329021619943569</v>
      </c>
      <c r="F14" s="49" t="n">
        <v>0.6339045500892233</v>
      </c>
      <c r="G14" s="19">
        <f>MAX(B14:F14)-MIN(B14:F14)</f>
        <v/>
      </c>
    </row>
    <row r="15">
      <c r="A15" s="6" t="inlineStr">
        <is>
          <t>Nitrogen price path, multiplicative  (-20% / -10% / +0% / +10% / +20%)</t>
        </is>
      </c>
      <c r="B15" s="49" t="n">
        <v>1.07306192362054</v>
      </c>
      <c r="C15" s="49" t="n">
        <v>1.441265466036558</v>
      </c>
      <c r="D15" s="49" t="n">
        <v>1.809469008452576</v>
      </c>
      <c r="E15" s="49" t="n">
        <v>2.177672550868594</v>
      </c>
      <c r="F15" s="49" t="n">
        <v>2.545876093284613</v>
      </c>
      <c r="G15" s="19">
        <f>MAX(B15:F15)-MIN(B15:F15)</f>
        <v/>
      </c>
    </row>
    <row r="16">
      <c r="A16" s="6" t="inlineStr">
        <is>
          <t>Beta  (0.465 / 0.400 / 0.931 / 0.600 / 1.398)</t>
        </is>
      </c>
      <c r="B16" s="49" t="n">
        <v>2.774798551696315</v>
      </c>
      <c r="C16" s="49" t="n">
        <v>2.998466906570427</v>
      </c>
      <c r="D16" s="49" t="n">
        <v>1.809469008452576</v>
      </c>
      <c r="E16" s="49" t="n">
        <v>2.405242605845986</v>
      </c>
      <c r="F16" s="49" t="n">
        <v>1.335692487366696</v>
      </c>
      <c r="G16" s="19">
        <f>MAX(B16:F16)-MIN(B16:F16)</f>
        <v/>
      </c>
    </row>
    <row r="17">
      <c r="A17" s="6" t="inlineStr">
        <is>
          <t>Tax rate  (8.0% / 11.0% / 13.1% / 16.0% / 20.0%)</t>
        </is>
      </c>
      <c r="B17" s="49" t="n">
        <v>1.933356736546298</v>
      </c>
      <c r="C17" s="49" t="n">
        <v>1.861039850712991</v>
      </c>
      <c r="D17" s="49" t="n">
        <v>1.809469008452576</v>
      </c>
      <c r="E17" s="49" t="n">
        <v>1.740511707657481</v>
      </c>
      <c r="F17" s="49" t="n">
        <v>1.644089193213072</v>
      </c>
      <c r="G17" s="19">
        <f>MAX(B17:F17)-MIN(B17:F17)</f>
        <v/>
      </c>
    </row>
    <row r="18">
      <c r="A18" s="6" t="inlineStr">
        <is>
          <t>Terminal growth, at the base cost of capital  (0.0% / 0.2% / 0.5% / 0.8% / 1.0%)</t>
        </is>
      </c>
      <c r="B18" s="49" t="n">
        <v>1.809469008452576</v>
      </c>
      <c r="C18" s="49" t="n">
        <v>1.797138200146791</v>
      </c>
      <c r="D18" s="49" t="n">
        <v>1.783830021839129</v>
      </c>
      <c r="E18" s="49" t="n">
        <v>1.769454869792144</v>
      </c>
      <c r="F18" s="49" t="n">
        <v>1.753911842027999</v>
      </c>
      <c r="G18" s="19">
        <f>MAX(B18:F18)-MIN(B18:F18)</f>
        <v/>
      </c>
    </row>
    <row r="19"/>
    <row r="20">
      <c r="A20" s="4" t="inlineStr">
        <is>
          <t>The pass-through row is the one that matters. Every other driver moves the answer by less than the width of the range the four lenses already span; the pass-through moves it by more than the whole of that range, which is why it is measured on the Segments sheet from the company's own reported periods rather than assumed.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1" t="inlineStr">
        <is>
          <t>Per-share and ratio analysis</t>
        </is>
      </c>
      <c r="B1" s="2" t="n"/>
      <c r="C1" s="2" t="n"/>
      <c r="D1" s="2" t="n"/>
      <c r="E1" s="2" t="n"/>
      <c r="F1" s="2" t="n"/>
      <c r="G1" s="2" t="n"/>
      <c r="H1" s="2" t="n"/>
      <c r="I1" s="2" t="n"/>
      <c r="J1" s="2" t="n"/>
    </row>
    <row r="2">
      <c r="A2" s="4" t="inlineStr">
        <is>
          <t>The indicator set for a merchant nitrogen producer. Every ratio is a formula off the statements.</t>
        </is>
      </c>
    </row>
    <row r="3"/>
    <row r="4">
      <c r="A4" s="5" t="inlineStr">
        <is>
          <t>Measure</t>
        </is>
      </c>
      <c r="B4" s="5" t="inlineStr">
        <is>
          <t>FY2023</t>
        </is>
      </c>
      <c r="C4" s="5" t="inlineStr">
        <is>
          <t>FY2024</t>
        </is>
      </c>
      <c r="D4" s="5" t="inlineStr">
        <is>
          <t>FY2025</t>
        </is>
      </c>
      <c r="E4" s="5" t="inlineStr">
        <is>
          <t>FY2026E</t>
        </is>
      </c>
      <c r="F4" s="5" t="inlineStr">
        <is>
          <t>FY2027E</t>
        </is>
      </c>
      <c r="G4" s="5" t="inlineStr">
        <is>
          <t>FY2028E</t>
        </is>
      </c>
      <c r="H4" s="5" t="inlineStr">
        <is>
          <t>FY2029E</t>
        </is>
      </c>
      <c r="I4" s="5" t="inlineStr">
        <is>
          <t>FY2030E</t>
        </is>
      </c>
    </row>
    <row r="5">
      <c r="A5" s="6" t="inlineStr">
        <is>
          <t>Earnings per share ($)</t>
        </is>
      </c>
      <c r="B5" s="19">
        <f>'Income Statement'!B22</f>
        <v/>
      </c>
      <c r="C5" s="19">
        <f>'Income Statement'!C22</f>
        <v/>
      </c>
      <c r="D5" s="19">
        <f>'Income Statement'!D22</f>
        <v/>
      </c>
      <c r="E5" s="19">
        <f>'Income Statement'!E22</f>
        <v/>
      </c>
      <c r="F5" s="19">
        <f>'Income Statement'!F22</f>
        <v/>
      </c>
      <c r="G5" s="19">
        <f>'Income Statement'!G22</f>
        <v/>
      </c>
      <c r="H5" s="19">
        <f>'Income Statement'!H22</f>
        <v/>
      </c>
      <c r="I5" s="19">
        <f>'Income Statement'!I22</f>
        <v/>
      </c>
    </row>
    <row r="6">
      <c r="A6" s="6" t="inlineStr">
        <is>
          <t>Earnings per share (AED)</t>
        </is>
      </c>
      <c r="B6" s="19">
        <f>'Income Statement'!B23</f>
        <v/>
      </c>
      <c r="C6" s="19">
        <f>'Income Statement'!C23</f>
        <v/>
      </c>
      <c r="D6" s="19">
        <f>'Income Statement'!D23</f>
        <v/>
      </c>
      <c r="E6" s="19">
        <f>'Income Statement'!E23</f>
        <v/>
      </c>
      <c r="F6" s="19">
        <f>'Income Statement'!F23</f>
        <v/>
      </c>
      <c r="G6" s="19">
        <f>'Income Statement'!G23</f>
        <v/>
      </c>
      <c r="H6" s="19">
        <f>'Income Statement'!H23</f>
        <v/>
      </c>
      <c r="I6" s="19">
        <f>'Income Statement'!I23</f>
        <v/>
      </c>
    </row>
    <row r="7">
      <c r="A7" s="6" t="inlineStr">
        <is>
          <t>Book value per share ($)</t>
        </is>
      </c>
      <c r="B7" s="19">
        <f>'Balance Sheet'!B18/Assumptions!$C$7</f>
        <v/>
      </c>
      <c r="C7" s="19">
        <f>'Balance Sheet'!C18/Assumptions!$C$7</f>
        <v/>
      </c>
      <c r="D7" s="19">
        <f>'Balance Sheet'!D18/Assumptions!$C$7</f>
        <v/>
      </c>
      <c r="E7" s="19">
        <f>'Balance Sheet'!E18/Assumptions!$C$7</f>
        <v/>
      </c>
      <c r="F7" s="19">
        <f>'Balance Sheet'!F18/Assumptions!$C$7</f>
        <v/>
      </c>
      <c r="G7" s="19">
        <f>'Balance Sheet'!G18/Assumptions!$C$7</f>
        <v/>
      </c>
      <c r="H7" s="19">
        <f>'Balance Sheet'!H18/Assumptions!$C$7</f>
        <v/>
      </c>
      <c r="I7" s="19">
        <f>'Balance Sheet'!I18/Assumptions!$C$7</f>
        <v/>
      </c>
    </row>
    <row r="8">
      <c r="A8" s="6" t="inlineStr">
        <is>
          <t>Free cash flow per share ($)</t>
        </is>
      </c>
      <c r="B8" s="19" t="inlineStr">
        <is>
          <t>-</t>
        </is>
      </c>
      <c r="C8" s="19" t="inlineStr">
        <is>
          <t>-</t>
        </is>
      </c>
      <c r="D8" s="19" t="inlineStr">
        <is>
          <t>-</t>
        </is>
      </c>
      <c r="E8" s="19">
        <f>'Summary Financials'!E11/Assumptions!$C$7</f>
        <v/>
      </c>
      <c r="F8" s="19">
        <f>'Summary Financials'!F11/Assumptions!$C$7</f>
        <v/>
      </c>
      <c r="G8" s="19">
        <f>'Summary Financials'!G11/Assumptions!$C$7</f>
        <v/>
      </c>
      <c r="H8" s="19">
        <f>'Summary Financials'!H11/Assumptions!$C$7</f>
        <v/>
      </c>
      <c r="I8" s="19">
        <f>'Summary Financials'!I11/Assumptions!$C$7</f>
        <v/>
      </c>
    </row>
    <row r="9">
      <c r="A9" s="6" t="inlineStr">
        <is>
          <t>Dividend per share ($)</t>
        </is>
      </c>
      <c r="B9" s="19" t="inlineStr">
        <is>
          <t>-</t>
        </is>
      </c>
      <c r="C9" s="19" t="inlineStr">
        <is>
          <t>-</t>
        </is>
      </c>
      <c r="D9" s="19" t="inlineStr">
        <is>
          <t>-</t>
        </is>
      </c>
      <c r="E9" s="19">
        <f>Assumptions!$C$80*'Income Statement'!E21/Assumptions!$C$7</f>
        <v/>
      </c>
      <c r="F9" s="19">
        <f>Assumptions!$C$80*'Income Statement'!F21/Assumptions!$C$7</f>
        <v/>
      </c>
      <c r="G9" s="19">
        <f>Assumptions!$C$80*'Income Statement'!G21/Assumptions!$C$7</f>
        <v/>
      </c>
      <c r="H9" s="19">
        <f>Assumptions!$C$80*'Income Statement'!H21/Assumptions!$C$7</f>
        <v/>
      </c>
      <c r="I9" s="19">
        <f>Assumptions!$C$80*'Income Statement'!I21/Assumptions!$C$7</f>
        <v/>
      </c>
    </row>
    <row r="10">
      <c r="A10" s="6" t="inlineStr">
        <is>
          <t>Gross margin</t>
        </is>
      </c>
      <c r="B10" s="8">
        <f>'Income Statement'!B7/'Income Statement'!B5</f>
        <v/>
      </c>
      <c r="C10" s="8">
        <f>'Income Statement'!C7/'Income Statement'!C5</f>
        <v/>
      </c>
      <c r="D10" s="8">
        <f>'Income Statement'!D7/'Income Statement'!D5</f>
        <v/>
      </c>
      <c r="E10" s="8" t="inlineStr">
        <is>
          <t>-</t>
        </is>
      </c>
      <c r="F10" s="8" t="inlineStr">
        <is>
          <t>-</t>
        </is>
      </c>
      <c r="G10" s="8" t="inlineStr">
        <is>
          <t>-</t>
        </is>
      </c>
      <c r="H10" s="8" t="inlineStr">
        <is>
          <t>-</t>
        </is>
      </c>
      <c r="I10" s="8" t="inlineStr">
        <is>
          <t>-</t>
        </is>
      </c>
    </row>
    <row r="11">
      <c r="A11" s="6" t="inlineStr">
        <is>
          <t>EBITDA margin</t>
        </is>
      </c>
      <c r="B11" s="8">
        <f>'Income Statement'!B24</f>
        <v/>
      </c>
      <c r="C11" s="8">
        <f>'Income Statement'!C24</f>
        <v/>
      </c>
      <c r="D11" s="8">
        <f>'Income Statement'!D24</f>
        <v/>
      </c>
      <c r="E11" s="8">
        <f>'Income Statement'!E24</f>
        <v/>
      </c>
      <c r="F11" s="8">
        <f>'Income Statement'!F24</f>
        <v/>
      </c>
      <c r="G11" s="8">
        <f>'Income Statement'!G24</f>
        <v/>
      </c>
      <c r="H11" s="8">
        <f>'Income Statement'!H24</f>
        <v/>
      </c>
      <c r="I11" s="8">
        <f>'Income Statement'!I24</f>
        <v/>
      </c>
    </row>
    <row r="12">
      <c r="A12" s="6" t="inlineStr">
        <is>
          <t>EBIT margin</t>
        </is>
      </c>
      <c r="B12" s="8">
        <f>'Income Statement'!B12/'Income Statement'!B5</f>
        <v/>
      </c>
      <c r="C12" s="8">
        <f>'Income Statement'!C12/'Income Statement'!C5</f>
        <v/>
      </c>
      <c r="D12" s="8">
        <f>'Income Statement'!D12/'Income Statement'!D5</f>
        <v/>
      </c>
      <c r="E12" s="8">
        <f>'Income Statement'!E12/'Income Statement'!E5</f>
        <v/>
      </c>
      <c r="F12" s="8">
        <f>'Income Statement'!F12/'Income Statement'!F5</f>
        <v/>
      </c>
      <c r="G12" s="8">
        <f>'Income Statement'!G12/'Income Statement'!G5</f>
        <v/>
      </c>
      <c r="H12" s="8">
        <f>'Income Statement'!H12/'Income Statement'!H5</f>
        <v/>
      </c>
      <c r="I12" s="8">
        <f>'Income Statement'!I12/'Income Statement'!I5</f>
        <v/>
      </c>
    </row>
    <row r="13">
      <c r="A13" s="6" t="inlineStr">
        <is>
          <t>Net margin, attributable</t>
        </is>
      </c>
      <c r="B13" s="8">
        <f>'Income Statement'!B21/'Income Statement'!B5</f>
        <v/>
      </c>
      <c r="C13" s="8">
        <f>'Income Statement'!C21/'Income Statement'!C5</f>
        <v/>
      </c>
      <c r="D13" s="8">
        <f>'Income Statement'!D21/'Income Statement'!D5</f>
        <v/>
      </c>
      <c r="E13" s="8">
        <f>'Income Statement'!E21/'Income Statement'!E5</f>
        <v/>
      </c>
      <c r="F13" s="8">
        <f>'Income Statement'!F21/'Income Statement'!F5</f>
        <v/>
      </c>
      <c r="G13" s="8">
        <f>'Income Statement'!G21/'Income Statement'!G5</f>
        <v/>
      </c>
      <c r="H13" s="8">
        <f>'Income Statement'!H21/'Income Statement'!H5</f>
        <v/>
      </c>
      <c r="I13" s="8">
        <f>'Income Statement'!I21/'Income Statement'!I5</f>
        <v/>
      </c>
    </row>
    <row r="14">
      <c r="A14" s="6" t="inlineStr">
        <is>
          <t>Return on equity, on opening equity</t>
        </is>
      </c>
      <c r="B14" s="8" t="inlineStr">
        <is>
          <t>-</t>
        </is>
      </c>
      <c r="C14" s="8">
        <f>'Income Statement'!C21/'Balance Sheet'!B18</f>
        <v/>
      </c>
      <c r="D14" s="8">
        <f>'Income Statement'!D21/'Balance Sheet'!C18</f>
        <v/>
      </c>
      <c r="E14" s="8">
        <f>'Income Statement'!E21/'Balance Sheet'!D18</f>
        <v/>
      </c>
      <c r="F14" s="8">
        <f>'Income Statement'!F21/'Balance Sheet'!E18</f>
        <v/>
      </c>
      <c r="G14" s="8">
        <f>'Income Statement'!G21/'Balance Sheet'!F18</f>
        <v/>
      </c>
      <c r="H14" s="8">
        <f>'Income Statement'!H21/'Balance Sheet'!G18</f>
        <v/>
      </c>
      <c r="I14" s="8">
        <f>'Income Statement'!I21/'Balance Sheet'!H18</f>
        <v/>
      </c>
    </row>
    <row r="15">
      <c r="A15" s="6" t="inlineStr">
        <is>
          <t>Return on invested capital</t>
        </is>
      </c>
      <c r="B15" s="8" t="inlineStr">
        <is>
          <t>-</t>
        </is>
      </c>
      <c r="C15" s="8" t="inlineStr">
        <is>
          <t>-</t>
        </is>
      </c>
      <c r="D15" s="8" t="inlineStr">
        <is>
          <t>-</t>
        </is>
      </c>
      <c r="E15" s="8">
        <f>'Summary Financials'!E14</f>
        <v/>
      </c>
      <c r="F15" s="8">
        <f>'Summary Financials'!F14</f>
        <v/>
      </c>
      <c r="G15" s="8">
        <f>'Summary Financials'!G14</f>
        <v/>
      </c>
      <c r="H15" s="8">
        <f>'Summary Financials'!H14</f>
        <v/>
      </c>
      <c r="I15" s="8">
        <f>'Summary Financials'!I14</f>
        <v/>
      </c>
    </row>
    <row r="16">
      <c r="A16" s="6" t="inlineStr">
        <is>
          <t>Net debt / EBITDA</t>
        </is>
      </c>
      <c r="B16" s="41">
        <f>'Summary Financials'!B15</f>
        <v/>
      </c>
      <c r="C16" s="41">
        <f>'Summary Financials'!C15</f>
        <v/>
      </c>
      <c r="D16" s="41">
        <f>'Summary Financials'!D15</f>
        <v/>
      </c>
      <c r="E16" s="41">
        <f>'Summary Financials'!E15</f>
        <v/>
      </c>
      <c r="F16" s="41">
        <f>'Summary Financials'!F15</f>
        <v/>
      </c>
      <c r="G16" s="41">
        <f>'Summary Financials'!G15</f>
        <v/>
      </c>
      <c r="H16" s="41">
        <f>'Summary Financials'!H15</f>
        <v/>
      </c>
      <c r="I16" s="41">
        <f>'Summary Financials'!I15</f>
        <v/>
      </c>
    </row>
    <row r="17">
      <c r="A17" s="6" t="inlineStr">
        <is>
          <t>Interest cover (EBIT over the net finance charge)</t>
        </is>
      </c>
      <c r="B17" s="41">
        <f>-'Income Statement'!B12/'Income Statement'!B16</f>
        <v/>
      </c>
      <c r="C17" s="41">
        <f>-'Income Statement'!C12/'Income Statement'!C16</f>
        <v/>
      </c>
      <c r="D17" s="41">
        <f>-'Income Statement'!D12/'Income Statement'!D16</f>
        <v/>
      </c>
      <c r="E17" s="41">
        <f>-'Income Statement'!E12/'Income Statement'!E16</f>
        <v/>
      </c>
      <c r="F17" s="41">
        <f>-'Income Statement'!F12/'Income Statement'!F16</f>
        <v/>
      </c>
      <c r="G17" s="41">
        <f>-'Income Statement'!G12/'Income Statement'!G16</f>
        <v/>
      </c>
      <c r="H17" s="41">
        <f>-'Income Statement'!H12/'Income Statement'!H16</f>
        <v/>
      </c>
      <c r="I17" s="41">
        <f>-'Income Statement'!I12/'Income Statement'!I16</f>
        <v/>
      </c>
    </row>
    <row r="18">
      <c r="A18" s="6" t="inlineStr">
        <is>
          <t>Net working capital / revenue</t>
        </is>
      </c>
      <c r="B18" s="8">
        <f>'Balance Sheet'!B23/'Income Statement'!B5</f>
        <v/>
      </c>
      <c r="C18" s="8">
        <f>'Balance Sheet'!C23/'Income Statement'!C5</f>
        <v/>
      </c>
      <c r="D18" s="8">
        <f>'Balance Sheet'!D23/'Income Statement'!D5</f>
        <v/>
      </c>
      <c r="E18" s="8">
        <f>'Balance Sheet'!E23/'Income Statement'!E5</f>
        <v/>
      </c>
      <c r="F18" s="8">
        <f>'Balance Sheet'!F23/'Income Statement'!F5</f>
        <v/>
      </c>
      <c r="G18" s="8">
        <f>'Balance Sheet'!G23/'Income Statement'!G5</f>
        <v/>
      </c>
      <c r="H18" s="8">
        <f>'Balance Sheet'!H23/'Income Statement'!H5</f>
        <v/>
      </c>
      <c r="I18" s="8">
        <f>'Balance Sheet'!I23/'Income Statement'!I5</f>
        <v/>
      </c>
    </row>
    <row r="19">
      <c r="A19" s="6" t="inlineStr">
        <is>
          <t>Capital expenditure / revenue</t>
        </is>
      </c>
      <c r="B19" s="8">
        <f>'Cash Flow'!B6/'Income Statement'!B5</f>
        <v/>
      </c>
      <c r="C19" s="8">
        <f>'Cash Flow'!C6/'Income Statement'!C5</f>
        <v/>
      </c>
      <c r="D19" s="8">
        <f>'Cash Flow'!D6/'Income Statement'!D5</f>
        <v/>
      </c>
      <c r="E19" s="8">
        <f>DCF!B13/'Income Statement'!E5</f>
        <v/>
      </c>
      <c r="F19" s="8">
        <f>DCF!C13/'Income Statement'!F5</f>
        <v/>
      </c>
      <c r="G19" s="8">
        <f>DCF!D13/'Income Statement'!G5</f>
        <v/>
      </c>
      <c r="H19" s="8">
        <f>DCF!E13/'Income Statement'!H5</f>
        <v/>
      </c>
      <c r="I19" s="8">
        <f>DCF!F13/'Income Statement'!I5</f>
        <v/>
      </c>
    </row>
    <row r="20">
      <c r="A20" s="6" t="inlineStr">
        <is>
          <t>Cash cost per tonne of own product ($/t)</t>
        </is>
      </c>
      <c r="B20" s="35" t="inlineStr">
        <is>
          <t>-</t>
        </is>
      </c>
      <c r="C20" s="35">
        <f>Segments!B16</f>
        <v/>
      </c>
      <c r="D20" s="35">
        <f>Segments!C16</f>
        <v/>
      </c>
      <c r="E20" s="35">
        <f>Segments!B48</f>
        <v/>
      </c>
      <c r="F20" s="35">
        <f>Segments!C48</f>
        <v/>
      </c>
      <c r="G20" s="35">
        <f>Segments!D48</f>
        <v/>
      </c>
      <c r="H20" s="35">
        <f>Segments!E48</f>
        <v/>
      </c>
      <c r="I20" s="35">
        <f>Segments!F48</f>
        <v/>
      </c>
    </row>
    <row r="21">
      <c r="A21" s="6" t="inlineStr">
        <is>
          <t>Realised price per tonne of own product ($/t)</t>
        </is>
      </c>
      <c r="B21" s="35" t="inlineStr">
        <is>
          <t>-</t>
        </is>
      </c>
      <c r="C21" s="35">
        <f>Segments!B12</f>
        <v/>
      </c>
      <c r="D21" s="35">
        <f>Segments!C12</f>
        <v/>
      </c>
      <c r="E21" s="35">
        <f>Segments!B46</f>
        <v/>
      </c>
      <c r="F21" s="35">
        <f>Segments!C46</f>
        <v/>
      </c>
      <c r="G21" s="35">
        <f>Segments!D46</f>
        <v/>
      </c>
      <c r="H21" s="35">
        <f>Segments!E46</f>
        <v/>
      </c>
      <c r="I21" s="35">
        <f>Segments!F46</f>
        <v/>
      </c>
    </row>
    <row r="22"/>
    <row r="23">
      <c r="A23" s="4" t="inlineStr">
        <is>
          <t>The forecast columns are framing A. Return on equity is struck on opening equity rather than an average because the forecast equity balance is itself a roll-forward, and averaging a roll against itself flatters the early years.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34" customWidth="1" min="1" max="1"/>
    <col width="17" customWidth="1" min="2" max="2"/>
    <col width="17" customWidth="1" min="3" max="3"/>
    <col width="46" customWidth="1" min="4" max="4"/>
    <col width="17" customWidth="1" min="5" max="5"/>
    <col width="17" customWidth="1" min="6" max="6"/>
  </cols>
  <sheetData>
    <row r="1">
      <c r="A1" s="1" t="inlineStr">
        <is>
          <t>Peer frame and sector context</t>
        </is>
      </c>
      <c r="B1" s="2" t="n"/>
      <c r="C1" s="2" t="n"/>
      <c r="D1" s="2" t="n"/>
      <c r="E1" s="2" t="n"/>
      <c r="F1" s="2" t="n"/>
    </row>
    <row r="2">
      <c r="A2" s="4" t="inlineStr">
        <is>
          <t>A sanity check on the multiple, not an independent valuation. No listed nitrogen producer carries the same gas position.</t>
        </is>
      </c>
    </row>
    <row r="3"/>
    <row r="4">
      <c r="A4" s="5" t="inlineStr">
        <is>
          <t>Company</t>
        </is>
      </c>
      <c r="B4" s="5" t="inlineStr">
        <is>
          <t>Market</t>
        </is>
      </c>
      <c r="C4" s="5" t="inlineStr">
        <is>
          <t>Enterprise value / EBITDA</t>
        </is>
      </c>
      <c r="D4" s="5" t="inlineStr">
        <is>
          <t>Why it is and is not comparable</t>
        </is>
      </c>
    </row>
    <row r="5" ht="28" customHeight="1">
      <c r="A5" s="6" t="inlineStr">
        <is>
          <t>Nutrien</t>
        </is>
      </c>
      <c r="B5" s="6" t="inlineStr">
        <is>
          <t>US</t>
        </is>
      </c>
      <c r="C5" s="21" t="n">
        <v>7.4</v>
      </c>
      <c r="D5" s="52" t="inlineStr">
        <is>
          <t>diversified nutrient, retail attached</t>
        </is>
      </c>
    </row>
    <row r="6" ht="28" customHeight="1">
      <c r="A6" s="6" t="inlineStr">
        <is>
          <t>CF Industries</t>
        </is>
      </c>
      <c r="B6" s="6" t="inlineStr">
        <is>
          <t>US</t>
        </is>
      </c>
      <c r="C6" s="21" t="n">
        <v>6.1</v>
      </c>
      <c r="D6" s="52" t="inlineStr">
        <is>
          <t>pure nitrogen, Henry Hub advantaged</t>
        </is>
      </c>
    </row>
    <row r="7" ht="28" customHeight="1">
      <c r="A7" s="6" t="inlineStr">
        <is>
          <t>Yara International</t>
        </is>
      </c>
      <c r="B7" s="6" t="inlineStr">
        <is>
          <t>NO</t>
        </is>
      </c>
      <c r="C7" s="21" t="n">
        <v>5.2</v>
      </c>
      <c r="D7" s="52" t="inlineStr">
        <is>
          <t>nitrogen, European gas cost</t>
        </is>
      </c>
    </row>
    <row r="8" ht="28" customHeight="1">
      <c r="A8" s="6" t="inlineStr">
        <is>
          <t>OCI Global</t>
        </is>
      </c>
      <c r="B8" s="6" t="inlineStr">
        <is>
          <t>NL</t>
        </is>
      </c>
      <c r="C8" s="21" t="n">
        <v>5.6</v>
      </c>
      <c r="D8" s="52" t="inlineStr">
        <is>
          <t>nitrogen and methanol</t>
        </is>
      </c>
    </row>
    <row r="9" ht="28" customHeight="1">
      <c r="A9" s="6" t="inlineStr">
        <is>
          <t>Industries Qatar</t>
        </is>
      </c>
      <c r="B9" s="6" t="inlineStr">
        <is>
          <t>QA</t>
        </is>
      </c>
      <c r="C9" s="21" t="n">
        <v>9.1</v>
      </c>
      <c r="D9" s="52" t="inlineStr">
        <is>
          <t>Gulf petrochemical and fertiliser</t>
        </is>
      </c>
    </row>
    <row r="10" ht="28" customHeight="1">
      <c r="A10" s="6" t="inlineStr">
        <is>
          <t>SABIC Agri-Nutrients</t>
        </is>
      </c>
      <c r="B10" s="6" t="inlineStr">
        <is>
          <t>SA</t>
        </is>
      </c>
      <c r="C10" s="21" t="n">
        <v>10.4</v>
      </c>
      <c r="D10" s="52" t="inlineStr">
        <is>
          <t>Gulf nitrogen, Tadawul rating</t>
        </is>
      </c>
    </row>
    <row r="11">
      <c r="A11" s="20" t="inlineStr">
        <is>
          <t>Peer median</t>
        </is>
      </c>
      <c r="C11" s="53">
        <f>MEDIAN(C5:C10)</f>
        <v/>
      </c>
    </row>
    <row r="12">
      <c r="A12" s="6" t="inlineStr">
        <is>
          <t>Peer average</t>
        </is>
      </c>
      <c r="C12" s="41">
        <f>AVERAGE(C5:C10)</f>
        <v/>
      </c>
    </row>
    <row r="13">
      <c r="A13" s="6" t="inlineStr">
        <is>
          <t>Applied in the relative lens</t>
        </is>
      </c>
      <c r="C13" s="40">
        <f>'Relative &amp; Normalized'!C6</f>
        <v/>
      </c>
    </row>
    <row r="14"/>
    <row r="15">
      <c r="A15" s="5" t="inlineStr">
        <is>
          <t>The company on its own multiples</t>
        </is>
      </c>
      <c r="B15" s="5" t="inlineStr">
        <is>
          <t>Value</t>
        </is>
      </c>
    </row>
    <row r="16">
      <c r="A16" s="6" t="inlineStr">
        <is>
          <t>Trailing enterprise value / EBITDA</t>
        </is>
      </c>
      <c r="C16" s="40">
        <f>'Relative &amp; Normalized'!C14</f>
        <v/>
      </c>
    </row>
    <row r="17">
      <c r="A17" s="6" t="inlineStr">
        <is>
          <t>Trailing price / earnings</t>
        </is>
      </c>
      <c r="C17" s="40">
        <f>'Relative &amp; Normalized'!C15</f>
        <v/>
      </c>
    </row>
    <row r="18">
      <c r="A18" s="6" t="inlineStr">
        <is>
          <t>Trailing price / book</t>
        </is>
      </c>
      <c r="C18" s="40">
        <f>Assumptions!$C$5/Assumptions!$C$6/'Relative &amp; Normalized'!C29</f>
        <v/>
      </c>
    </row>
    <row r="19">
      <c r="A19" s="6" t="inlineStr">
        <is>
          <t>Terminal value implied enterprise value / EBITDA, framing A</t>
        </is>
      </c>
      <c r="C19" s="40">
        <f>DCF!C64</f>
        <v/>
      </c>
    </row>
    <row r="20">
      <c r="A20" s="6" t="inlineStr">
        <is>
          <t>Terminal value implied enterprise value / EBITDA, framing B</t>
        </is>
      </c>
      <c r="C20" s="40">
        <f>DCF!D64</f>
        <v/>
      </c>
    </row>
    <row r="21"/>
    <row r="22">
      <c r="A22" s="4" t="inlineStr">
        <is>
          <t>The two Gulf names trade where they do because of who owns them and where they list, not because their nitrogen assets are worth more per tonne; the two American names sit on a gas position that is structurally cheaper than anything in this group. The applied multiple sits below the peer median for that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2026-09-09T00:46:38Z</dcterms:created>
  <dcterms:modified xmlns:dcterms="http://purl.org/dc/terms/" xmlns:xsi="http://www.w3.org/2001/XMLSchema-instance" xsi:type="dcterms:W3CDTF">2026-09-09T00:46:38Z</dcterms:modified>
</cp:coreProperties>
</file>