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6" fillId="0" borderId="0" pivotButton="0" quotePrefix="0" xfId="0"/>
    <xf numFmtId="167" fontId="8" fillId="0" borderId="0" pivotButton="0" quotePrefix="0" xfId="0"/>
    <xf numFmtId="0" fontId="5" fillId="4" borderId="0" pivotButton="0" quotePrefix="0" xfId="0"/>
    <xf numFmtId="171" fontId="6"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0" fontId="6" fillId="4" borderId="0" pivotButton="0" quotePrefix="0" xfId="0"/>
    <xf numFmtId="171" fontId="6" fillId="0" borderId="0" pivotButton="0" quotePrefix="0" xfId="0"/>
    <xf numFmtId="0" fontId="5" fillId="0" borderId="0" pivotButton="0" quotePrefix="0" xfId="0"/>
    <xf numFmtId="170" fontId="7" fillId="0" borderId="0" pivotButton="0" quotePrefix="0" xfId="0"/>
    <xf numFmtId="166" fontId="6"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Role</t>
        </is>
      </c>
      <c r="D4" s="5" t="inlineStr">
        <is>
          <t>Against the market price</t>
        </is>
      </c>
      <c r="E4" s="5" t="inlineStr">
        <is>
          <t>Terminal value share</t>
        </is>
      </c>
      <c r="F4" s="5" t="inlineStr"/>
    </row>
    <row r="5">
      <c r="A5" s="6" t="inlineStr">
        <is>
          <t>Cash flow — framing A, marginal-cost anchor</t>
        </is>
      </c>
      <c r="B5" s="7">
        <f>'Fundamental Valuation'!B5</f>
        <v/>
      </c>
      <c r="C5" s="6" t="inlineStr">
        <is>
          <t>THE ANSWER</t>
        </is>
      </c>
      <c r="D5" s="8">
        <f>B5/$B$12-1</f>
        <v/>
      </c>
      <c r="E5" s="9">
        <f>'SOTP Bridge'!B14</f>
        <v/>
      </c>
    </row>
    <row r="6">
      <c r="A6" s="6" t="inlineStr">
        <is>
          <t>Cash flow — framing B, tightness persists</t>
        </is>
      </c>
      <c r="B6" s="7">
        <f>'Fundamental Valuation'!B6</f>
        <v/>
      </c>
      <c r="C6" s="6" t="inlineStr">
        <is>
          <t>THE ANSWER</t>
        </is>
      </c>
      <c r="D6" s="8">
        <f>B6/$B$12-1</f>
        <v/>
      </c>
      <c r="E6" s="9">
        <f>'SOTP Bridge'!C14</f>
        <v/>
      </c>
    </row>
    <row r="7">
      <c r="A7" s="6" t="inlineStr">
        <is>
          <t>Relative multiples</t>
        </is>
      </c>
      <c r="B7" s="7">
        <f>'Fundamental Valuation'!B7</f>
        <v/>
      </c>
      <c r="C7" s="6" t="inlineStr">
        <is>
          <t>Cross-check</t>
        </is>
      </c>
      <c r="D7" s="8">
        <f>B7/$B$12-1</f>
        <v/>
      </c>
    </row>
    <row r="8">
      <c r="A8" s="6" t="inlineStr">
        <is>
          <t>Book value</t>
        </is>
      </c>
      <c r="B8" s="7">
        <f>'Fundamental Valuation'!B8</f>
        <v/>
      </c>
      <c r="C8" s="6" t="inlineStr">
        <is>
          <t>Floor</t>
        </is>
      </c>
      <c r="D8" s="8">
        <f>B8/$B$12-1</f>
        <v/>
      </c>
    </row>
    <row r="9">
      <c r="A9" s="10" t="inlineStr">
        <is>
          <t>NOT AVERAGED — the midpoint neither framing supports</t>
        </is>
      </c>
      <c r="B9" s="11">
        <f>'Fundamental Valuation'!B9</f>
        <v/>
      </c>
      <c r="C9" s="12" t="n"/>
      <c r="D9" s="12" t="n"/>
      <c r="E9" s="12" t="n"/>
      <c r="F9" s="12" t="n"/>
    </row>
    <row r="10">
      <c r="A10" s="6" t="inlineStr">
        <is>
          <t>The envelope — the two present-value reads</t>
        </is>
      </c>
      <c r="B10" s="7">
        <f>'Fundamental Valuation'!B10</f>
        <v/>
      </c>
      <c r="C10" s="7">
        <f>'Fundamental Valuation'!C10</f>
        <v/>
      </c>
    </row>
    <row r="11">
      <c r="A11" s="6" t="inlineStr">
        <is>
          <t>Median of the three panel methods</t>
        </is>
      </c>
      <c r="B11" s="7">
        <f>'Fundamental Valuation'!D25</f>
        <v/>
      </c>
    </row>
    <row r="12">
      <c r="A12" s="10" t="inlineStr">
        <is>
          <t>Market price (AED per share)</t>
        </is>
      </c>
      <c r="B12" s="13">
        <f>Assumptions!$C$5</f>
        <v/>
      </c>
      <c r="C12" s="12" t="n"/>
      <c r="D12" s="12" t="n"/>
      <c r="E12" s="12" t="n"/>
      <c r="F12" s="12" t="n"/>
    </row>
    <row r="13"/>
    <row r="14">
      <c r="A14" s="5" t="inlineStr">
        <is>
          <t>Key figure</t>
        </is>
      </c>
      <c r="B14" s="5" t="inlineStr">
        <is>
          <t>Value</t>
        </is>
      </c>
    </row>
    <row r="15">
      <c r="A15" s="6" t="inlineStr">
        <is>
          <t>Ordinary shares outstanding (mn)</t>
        </is>
      </c>
      <c r="B15" s="14">
        <f>Assumptions!$C$7</f>
        <v/>
      </c>
    </row>
    <row r="16">
      <c r="A16" s="6" t="inlineStr">
        <is>
          <t>Market capitalisation ($m)</t>
        </is>
      </c>
      <c r="B16" s="14">
        <f>DCF!C84</f>
        <v/>
      </c>
    </row>
    <row r="17">
      <c r="A17" s="6" t="inlineStr">
        <is>
          <t>Net debt at 30 June 2026 ($m)</t>
        </is>
      </c>
      <c r="B17" s="15">
        <f>Assumptions!$C$70</f>
        <v/>
      </c>
    </row>
    <row r="18">
      <c r="A18" s="6" t="inlineStr">
        <is>
          <t>FY2025 revenue ($m)</t>
        </is>
      </c>
      <c r="B18" s="15">
        <f>'Income Statement'!D5</f>
        <v/>
      </c>
    </row>
    <row r="19">
      <c r="A19" s="6" t="inlineStr">
        <is>
          <t>FY2025 EBITDA ($m)</t>
        </is>
      </c>
      <c r="B19" s="15">
        <f>'Income Statement'!D11</f>
        <v/>
      </c>
    </row>
    <row r="20">
      <c r="A20" s="6" t="inlineStr">
        <is>
          <t>FY2025 profit to owners ($m)</t>
        </is>
      </c>
      <c r="B20" s="15">
        <f>'Income Statement'!D21</f>
        <v/>
      </c>
    </row>
    <row r="21">
      <c r="A21" s="6" t="inlineStr">
        <is>
          <t>Realisation against the blended benchmark</t>
        </is>
      </c>
      <c r="B21" s="16">
        <f>Assumptions!$C$24</f>
        <v/>
      </c>
    </row>
    <row r="22">
      <c r="A22" s="6" t="inlineStr">
        <is>
          <t>Cost pass-through, share of each incremental dollar</t>
        </is>
      </c>
      <c r="B22" s="16">
        <f>Assumptions!$C$25</f>
        <v/>
      </c>
    </row>
    <row r="23">
      <c r="A23" s="6" t="inlineStr">
        <is>
          <t>Forecast tax rate</t>
        </is>
      </c>
      <c r="B23" s="9">
        <f>DCF!C106</f>
        <v/>
      </c>
    </row>
    <row r="24">
      <c r="A24" s="6" t="inlineStr">
        <is>
          <t>Cost of capital — explicit window</t>
        </is>
      </c>
      <c r="B24" s="17">
        <f>DCF!C88</f>
        <v/>
      </c>
    </row>
    <row r="25">
      <c r="A25" s="6" t="inlineStr">
        <is>
          <t>Cost of capital — terminal</t>
        </is>
      </c>
      <c r="B25" s="17">
        <f>DCF!C91</f>
        <v/>
      </c>
    </row>
    <row r="26">
      <c r="A26" s="6" t="inlineStr">
        <is>
          <t>Terminal growth</t>
        </is>
      </c>
      <c r="B26" s="9">
        <f>Assumptions!$C$74</f>
        <v/>
      </c>
    </row>
    <row r="27"/>
    <row r="28">
      <c r="A28"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Role</t>
        </is>
      </c>
      <c r="D4" s="5" t="inlineStr">
        <is>
          <t>Against the market price</t>
        </is>
      </c>
      <c r="E4" s="5" t="inlineStr"/>
    </row>
    <row r="5">
      <c r="A5" s="6" t="inlineStr">
        <is>
          <t>Cash flow — framing A, normalisation to a marginal-cost anchor</t>
        </is>
      </c>
      <c r="B5" s="7">
        <f>'SOTP Bridge'!B13</f>
        <v/>
      </c>
      <c r="C5" s="6" t="inlineStr">
        <is>
          <t>THE ANSWER</t>
        </is>
      </c>
      <c r="D5" s="8">
        <f>B5/Assumptions!$C$5-1</f>
        <v/>
      </c>
    </row>
    <row r="6">
      <c r="A6" s="6" t="inlineStr">
        <is>
          <t>Cash flow — framing B, the current tightness persists</t>
        </is>
      </c>
      <c r="B6" s="7">
        <f>'SOTP Bridge'!C13</f>
        <v/>
      </c>
      <c r="C6" s="6" t="inlineStr">
        <is>
          <t>THE ANSWER</t>
        </is>
      </c>
      <c r="D6" s="8">
        <f>B6/Assumptions!$C$5-1</f>
        <v/>
      </c>
    </row>
    <row r="7">
      <c r="A7" s="6" t="inlineStr">
        <is>
          <t>Relative multiples — mid-cycle EBITDA on a peer-anchored multiple</t>
        </is>
      </c>
      <c r="B7" s="7">
        <f>'Relative &amp; Normalized'!C9</f>
        <v/>
      </c>
      <c r="C7" s="6" t="inlineStr">
        <is>
          <t>Cross-check</t>
        </is>
      </c>
      <c r="D7" s="8">
        <f>B7/Assumptions!$C$5-1</f>
        <v/>
      </c>
    </row>
    <row r="8">
      <c r="A8" s="6" t="inlineStr">
        <is>
          <t>Book value marked to the sustainable return on that equity</t>
        </is>
      </c>
      <c r="B8" s="7">
        <f>'Relative &amp; Normalized'!C34</f>
        <v/>
      </c>
      <c r="C8" s="6" t="inlineStr">
        <is>
          <t>Floor</t>
        </is>
      </c>
      <c r="D8" s="8">
        <f>B8/Assumptions!$C$5-1</f>
        <v/>
      </c>
    </row>
    <row r="9">
      <c r="A9" s="10" t="inlineStr">
        <is>
          <t>NOT AVERAGED — the midpoint is a number neither framing supports</t>
        </is>
      </c>
      <c r="B9" s="11">
        <f>AVERAGE(B5:B6)</f>
        <v/>
      </c>
      <c r="C9" s="18" t="inlineStr">
        <is>
          <t>shown only to be refused</t>
        </is>
      </c>
      <c r="D9" s="12" t="n"/>
      <c r="E9" s="12" t="n"/>
    </row>
    <row r="10">
      <c r="A10" s="6" t="inlineStr">
        <is>
          <t>The envelope — the two present-value reads</t>
        </is>
      </c>
      <c r="B10" s="19">
        <f>MIN(B5:B6)</f>
        <v/>
      </c>
      <c r="C10" s="19">
        <f>MAX(B5:B6)</f>
        <v/>
      </c>
    </row>
    <row r="11"/>
    <row r="12">
      <c r="A12" s="10" t="inlineStr">
        <is>
          <t>THE CONTESTED JUDGEMENT — COMPUTED BOTH WAYS, PUBLISHED SIDE BY SIDE</t>
        </is>
      </c>
      <c r="B12" s="10" t="inlineStr">
        <is>
          <t>Framing A</t>
        </is>
      </c>
      <c r="C12" s="10" t="inlineStr">
        <is>
          <t>Framing B</t>
        </is>
      </c>
      <c r="D12" s="12" t="n"/>
      <c r="E12" s="12" t="n"/>
    </row>
    <row r="13">
      <c r="A13" s="6" t="inlineStr">
        <is>
          <t>Urea price assumed in FY2030E ($/t)</t>
        </is>
      </c>
      <c r="B13" s="14">
        <f>Assumptions!$F$17</f>
        <v/>
      </c>
      <c r="C13" s="14">
        <f>Assumptions!$F$19</f>
        <v/>
      </c>
    </row>
    <row r="14">
      <c r="A14" s="6" t="inlineStr">
        <is>
          <t>FY2030E EBITDA ($m)</t>
        </is>
      </c>
      <c r="B14" s="14">
        <f>DCF!F7</f>
        <v/>
      </c>
      <c r="C14" s="14">
        <f>DCF!F26</f>
        <v/>
      </c>
    </row>
    <row r="15">
      <c r="A15" s="6" t="inlineStr">
        <is>
          <t>Enterprise value ($m)</t>
        </is>
      </c>
      <c r="B15" s="14">
        <f>'SOTP Bridge'!B7</f>
        <v/>
      </c>
      <c r="C15" s="14">
        <f>'SOTP Bridge'!C7</f>
        <v/>
      </c>
    </row>
    <row r="16">
      <c r="A16" s="6" t="inlineStr">
        <is>
          <t>Terminal value as a share of enterprise value</t>
        </is>
      </c>
      <c r="B16" s="9">
        <f>'SOTP Bridge'!B14</f>
        <v/>
      </c>
      <c r="C16" s="9">
        <f>'SOTP Bridge'!C14</f>
        <v/>
      </c>
    </row>
    <row r="17">
      <c r="A17" s="6" t="inlineStr">
        <is>
          <t>Value per share (AED)</t>
        </is>
      </c>
      <c r="B17" s="7">
        <f>'SOTP Bridge'!B13</f>
        <v/>
      </c>
      <c r="C17" s="7">
        <f>'SOTP Bridge'!C13</f>
        <v/>
      </c>
    </row>
    <row r="18">
      <c r="A18" s="20" t="inlineStr">
        <is>
          <t>NEITHER IS AVERAGED INTO THE OTHER — both are the answer</t>
        </is>
      </c>
    </row>
    <row r="19"/>
    <row r="20">
      <c r="A20" s="10" t="inlineStr">
        <is>
          <t>THE PANEL — THREE METHODS, WORKED SEPARATELY</t>
        </is>
      </c>
      <c r="B20" s="12" t="n"/>
      <c r="C20" s="12" t="n"/>
      <c r="D20" s="12" t="n"/>
      <c r="E20" s="12" t="n"/>
    </row>
    <row r="21">
      <c r="A21" s="5" t="inlineStr">
        <is>
          <t>Method</t>
        </is>
      </c>
      <c r="B21" s="5" t="inlineStr">
        <is>
          <t>Input</t>
        </is>
      </c>
      <c r="C21" s="5" t="inlineStr">
        <is>
          <t>Enterprise value ($m)</t>
        </is>
      </c>
      <c r="D21" s="5" t="inlineStr">
        <is>
          <t>AED per share</t>
        </is>
      </c>
    </row>
    <row r="22">
      <c r="A22" s="6" t="inlineStr">
        <is>
          <t>Mid-cycle multiple on through-the-cycle EBITDA</t>
        </is>
      </c>
      <c r="B22" s="21" t="n">
        <v>6.4</v>
      </c>
      <c r="C22" s="22">
        <f>B22*'Relative &amp; Normalized'!C5</f>
        <v/>
      </c>
      <c r="D22" s="19">
        <f>(C22-Assumptions!$C$70)*(1-Assumptions!$C$78)/Assumptions!$C$7*Assumptions!$C$6</f>
        <v/>
      </c>
    </row>
    <row r="23">
      <c r="A23" s="6" t="inlineStr">
        <is>
          <t>Discounted cash flow with an explicit gas pass-through</t>
        </is>
      </c>
      <c r="B23" s="16">
        <f>Assumptions!$C$25</f>
        <v/>
      </c>
      <c r="C23" s="14">
        <f>'SOTP Bridge'!B7</f>
        <v/>
      </c>
      <c r="D23" s="7">
        <f>'SOTP Bridge'!B13</f>
        <v/>
      </c>
    </row>
    <row r="24">
      <c r="A24" s="6" t="inlineStr">
        <is>
          <t>Replacement cost of installed nitrogen capacity</t>
        </is>
      </c>
      <c r="B24" s="14">
        <f>Assumptions!$C$76</f>
        <v/>
      </c>
      <c r="C24" s="22">
        <f>(Assumptions!$C$10+Assumptions!$C$11)*B24/1000</f>
        <v/>
      </c>
      <c r="D24" s="19">
        <f>(C24-Assumptions!$C$70)*(1-Assumptions!$C$78)/Assumptions!$C$7*Assumptions!$C$6</f>
        <v/>
      </c>
    </row>
    <row r="25">
      <c r="A25" s="20" t="inlineStr">
        <is>
          <t>Median of the three</t>
        </is>
      </c>
      <c r="D25" s="23">
        <f>MEDIAN(D22:D24)</f>
        <v/>
      </c>
    </row>
    <row r="26"/>
    <row r="27">
      <c r="A27"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0" t="inlineStr">
        <is>
          <t>Market and share count</t>
        </is>
      </c>
      <c r="B4" s="12" t="n"/>
      <c r="C4" s="12" t="n"/>
      <c r="D4" s="12" t="n"/>
      <c r="E4" s="12" t="n"/>
      <c r="F4" s="12" t="n"/>
    </row>
    <row r="5">
      <c r="A5" s="6" t="inlineStr">
        <is>
          <t>Market price (AED per share)</t>
        </is>
      </c>
      <c r="C5" s="24" t="n">
        <v>2.54</v>
      </c>
    </row>
    <row r="6">
      <c r="A6" s="6" t="inlineStr">
        <is>
          <t>Dirhams per US dollar (Central Bank peg)</t>
        </is>
      </c>
      <c r="C6" s="25" t="n">
        <v>3.6725</v>
      </c>
    </row>
    <row r="7">
      <c r="A7" s="6" t="inlineStr">
        <is>
          <t>Ordinary shares outstanding (mn)</t>
        </is>
      </c>
      <c r="C7" s="26" t="n">
        <v>8249.6</v>
      </c>
    </row>
    <row r="8"/>
    <row r="9">
      <c r="A9" s="10" t="inlineStr">
        <is>
          <t>Capacity and utilisation</t>
        </is>
      </c>
      <c r="B9" s="12" t="n"/>
      <c r="C9" s="12" t="n"/>
      <c r="D9" s="12" t="n"/>
      <c r="E9" s="12" t="n"/>
      <c r="F9" s="12" t="n"/>
    </row>
    <row r="10">
      <c r="A10" s="6" t="inlineStr">
        <is>
          <t>Urea production capacity (kt)</t>
        </is>
      </c>
      <c r="C10" s="26" t="n">
        <v>5100</v>
      </c>
    </row>
    <row r="11">
      <c r="A11" s="6" t="inlineStr">
        <is>
          <t>Merchant ammonia capacity (kt)</t>
        </is>
      </c>
      <c r="C11" s="26" t="n">
        <v>1500</v>
      </c>
    </row>
    <row r="12">
      <c r="A12" s="6" t="inlineStr">
        <is>
          <t>Urea capacity utilisation</t>
        </is>
      </c>
      <c r="B12" s="27" t="n">
        <v>0.823</v>
      </c>
      <c r="C12" s="27" t="n">
        <v>0.853</v>
      </c>
      <c r="D12" s="27" t="n">
        <v>0.873</v>
      </c>
      <c r="E12" s="27" t="n">
        <v>0.883</v>
      </c>
      <c r="F12" s="27" t="n">
        <v>0.888</v>
      </c>
    </row>
    <row r="13">
      <c r="A13" s="6" t="inlineStr">
        <is>
          <t>Merchant ammonia capacity utilisation</t>
        </is>
      </c>
      <c r="B13" s="27" t="n">
        <v>0.715</v>
      </c>
      <c r="C13" s="27" t="n">
        <v>0.8</v>
      </c>
      <c r="D13" s="27" t="n">
        <v>0.827</v>
      </c>
      <c r="E13" s="27" t="n">
        <v>0.84</v>
      </c>
      <c r="F13" s="27" t="n">
        <v>0.847</v>
      </c>
    </row>
    <row r="14">
      <c r="A14" s="6" t="inlineStr">
        <is>
          <t>Third-party traded volume (kt)</t>
        </is>
      </c>
      <c r="B14" s="26" t="n">
        <v>1150</v>
      </c>
      <c r="C14" s="26" t="n">
        <v>1200</v>
      </c>
      <c r="D14" s="26" t="n">
        <v>1250</v>
      </c>
      <c r="E14" s="26" t="n">
        <v>1300</v>
      </c>
      <c r="F14" s="26" t="n">
        <v>1350</v>
      </c>
    </row>
    <row r="15"/>
    <row r="16">
      <c r="A16" s="10" t="inlineStr">
        <is>
          <t>Price paths — the contested judgement, carried both ways</t>
        </is>
      </c>
      <c r="B16" s="12" t="n"/>
      <c r="C16" s="12" t="n"/>
      <c r="D16" s="12" t="n"/>
      <c r="E16" s="12" t="n"/>
      <c r="F16" s="12" t="n"/>
    </row>
    <row r="17">
      <c r="A17" s="6" t="inlineStr">
        <is>
          <t>Framing A — urea benchmark, Egypt free on board ($/t)</t>
        </is>
      </c>
      <c r="B17" s="26" t="n">
        <v>590</v>
      </c>
      <c r="C17" s="26" t="n">
        <v>480</v>
      </c>
      <c r="D17" s="26" t="n">
        <v>440</v>
      </c>
      <c r="E17" s="26" t="n">
        <v>435</v>
      </c>
      <c r="F17" s="26" t="n">
        <v>435</v>
      </c>
    </row>
    <row r="18">
      <c r="A18" s="6" t="inlineStr">
        <is>
          <t>Framing A — ammonia benchmark, Middle East ($/t)</t>
        </is>
      </c>
      <c r="B18" s="26" t="n">
        <v>560</v>
      </c>
      <c r="C18" s="26" t="n">
        <v>460</v>
      </c>
      <c r="D18" s="26" t="n">
        <v>420</v>
      </c>
      <c r="E18" s="26" t="n">
        <v>415</v>
      </c>
      <c r="F18" s="26" t="n">
        <v>415</v>
      </c>
    </row>
    <row r="19">
      <c r="A19" s="6" t="inlineStr">
        <is>
          <t>Framing B — urea benchmark, Egypt free on board ($/t)</t>
        </is>
      </c>
      <c r="B19" s="26" t="n">
        <v>590</v>
      </c>
      <c r="C19" s="26" t="n">
        <v>560</v>
      </c>
      <c r="D19" s="26" t="n">
        <v>550</v>
      </c>
      <c r="E19" s="26" t="n">
        <v>550</v>
      </c>
      <c r="F19" s="26" t="n">
        <v>555</v>
      </c>
    </row>
    <row r="20">
      <c r="A20" s="6" t="inlineStr">
        <is>
          <t>Framing B — ammonia benchmark, Middle East ($/t)</t>
        </is>
      </c>
      <c r="B20" s="26" t="n">
        <v>560</v>
      </c>
      <c r="C20" s="26" t="n">
        <v>540</v>
      </c>
      <c r="D20" s="26" t="n">
        <v>530</v>
      </c>
      <c r="E20" s="26" t="n">
        <v>530</v>
      </c>
      <c r="F20" s="26" t="n">
        <v>535</v>
      </c>
    </row>
    <row r="21">
      <c r="A21" s="6" t="inlineStr">
        <is>
          <t>Third-party traded price ($/t)</t>
        </is>
      </c>
      <c r="B21" s="26" t="n">
        <v>600</v>
      </c>
      <c r="C21" s="26" t="n">
        <v>520</v>
      </c>
      <c r="D21" s="26" t="n">
        <v>490</v>
      </c>
      <c r="E21" s="26" t="n">
        <v>490</v>
      </c>
      <c r="F21" s="26" t="n">
        <v>492</v>
      </c>
    </row>
    <row r="22"/>
    <row r="23">
      <c r="A23" s="10" t="inlineStr">
        <is>
          <t>Cost and margin drivers</t>
        </is>
      </c>
      <c r="B23" s="12" t="n"/>
      <c r="C23" s="12" t="n"/>
      <c r="D23" s="12" t="n"/>
      <c r="E23" s="12" t="n"/>
      <c r="F23" s="12" t="n"/>
    </row>
    <row r="24">
      <c r="A24" s="6" t="inlineStr">
        <is>
          <t>Realisation against the blended benchmark</t>
        </is>
      </c>
      <c r="C24" s="16">
        <f>Segments!B19</f>
        <v/>
      </c>
    </row>
    <row r="25">
      <c r="A25" s="6" t="inlineStr">
        <is>
          <t>Cost pass-through — share of each incremental dollar of realised price</t>
        </is>
      </c>
      <c r="C25" s="16">
        <f>Segments!B28</f>
        <v/>
      </c>
    </row>
    <row r="26">
      <c r="A26" s="6" t="inlineStr">
        <is>
          <t>Cost pass-through — fixed cash cost intercept ($/t)</t>
        </is>
      </c>
      <c r="C26" s="15">
        <f>Segments!B29</f>
        <v/>
      </c>
    </row>
    <row r="27">
      <c r="A27" s="6" t="inlineStr">
        <is>
          <t>Third-party trading EBITDA margin</t>
        </is>
      </c>
      <c r="C27" s="27" t="n">
        <v>0.075</v>
      </c>
    </row>
    <row r="28">
      <c r="A28" s="6" t="inlineStr">
        <is>
          <t>Corporate and other segment EBITDA ($m)</t>
        </is>
      </c>
      <c r="B28" s="28" t="n">
        <v>-82</v>
      </c>
      <c r="C28" s="28" t="n">
        <v>-78</v>
      </c>
      <c r="D28" s="28" t="n">
        <v>-76</v>
      </c>
      <c r="E28" s="28" t="n">
        <v>-76</v>
      </c>
      <c r="F28" s="28" t="n">
        <v>-77</v>
      </c>
    </row>
    <row r="29"/>
    <row r="30">
      <c r="A30" s="10" t="inlineStr">
        <is>
          <t>Capital intensity</t>
        </is>
      </c>
      <c r="B30" s="12" t="n"/>
      <c r="C30" s="12" t="n"/>
      <c r="D30" s="12" t="n"/>
      <c r="E30" s="12" t="n"/>
      <c r="F30" s="12" t="n"/>
    </row>
    <row r="31">
      <c r="A31" s="6" t="inlineStr">
        <is>
          <t>Depreciation and amortisation ($m)</t>
        </is>
      </c>
      <c r="B31" s="26" t="n">
        <v>305</v>
      </c>
      <c r="C31" s="26" t="n">
        <v>315</v>
      </c>
      <c r="D31" s="26" t="n">
        <v>325</v>
      </c>
      <c r="E31" s="26" t="n">
        <v>333</v>
      </c>
      <c r="F31" s="26" t="n">
        <v>340</v>
      </c>
    </row>
    <row r="32">
      <c r="A32" s="6" t="inlineStr">
        <is>
          <t>Capital expenditure ($m)</t>
        </is>
      </c>
      <c r="B32" s="26" t="n">
        <v>175</v>
      </c>
      <c r="C32" s="26" t="n">
        <v>240</v>
      </c>
      <c r="D32" s="26" t="n">
        <v>285</v>
      </c>
      <c r="E32" s="26" t="n">
        <v>315</v>
      </c>
      <c r="F32" s="26" t="n">
        <v>335</v>
      </c>
    </row>
    <row r="33"/>
    <row r="34">
      <c r="A34" s="10" t="inlineStr">
        <is>
          <t>Working-capital cycle (measured on the Balance Sheet sheet)</t>
        </is>
      </c>
      <c r="B34" s="12" t="n"/>
      <c r="C34" s="12" t="n"/>
      <c r="D34" s="12" t="n"/>
      <c r="E34" s="12" t="n"/>
      <c r="F34" s="12" t="n"/>
    </row>
    <row r="35">
      <c r="A35" s="6" t="inlineStr">
        <is>
          <t>Days sales outstanding</t>
        </is>
      </c>
      <c r="C35" s="15">
        <f>'Balance Sheet'!D27</f>
        <v/>
      </c>
    </row>
    <row r="36">
      <c r="A36" s="6" t="inlineStr">
        <is>
          <t>Days inventory outstanding</t>
        </is>
      </c>
      <c r="C36" s="15">
        <f>'Balance Sheet'!D28</f>
        <v/>
      </c>
    </row>
    <row r="37">
      <c r="A37" s="6" t="inlineStr">
        <is>
          <t>Days payables outstanding, excluding the gas accrual</t>
        </is>
      </c>
      <c r="C37" s="15">
        <f>'Balance Sheet'!D32</f>
        <v/>
      </c>
    </row>
    <row r="38">
      <c r="A38" s="6" t="inlineStr">
        <is>
          <t>Working capital at FY2025, excluding the gas accrual ($m)</t>
        </is>
      </c>
      <c r="C38" s="15">
        <f>'Balance Sheet'!D34</f>
        <v/>
      </c>
    </row>
    <row r="39"/>
    <row r="40">
      <c r="A40" s="10" t="inlineStr">
        <is>
          <t>Tax — three sourced estimates, averaged on the DCF sheet</t>
        </is>
      </c>
      <c r="B40" s="12" t="n"/>
      <c r="C40" s="12" t="n"/>
      <c r="D40" s="12" t="n"/>
      <c r="E40" s="12" t="n"/>
      <c r="F40" s="12" t="n"/>
    </row>
    <row r="41">
      <c r="A41" s="6" t="inlineStr">
        <is>
          <t>Statutory corporate tax rate — United Arab Emirates</t>
        </is>
      </c>
      <c r="C41" s="27" t="n">
        <v>0.09</v>
      </c>
    </row>
    <row r="42">
      <c r="A42" s="6" t="inlineStr">
        <is>
          <t>Statutory corporate tax rate — Egypt</t>
        </is>
      </c>
      <c r="C42" s="27" t="n">
        <v>0.225</v>
      </c>
    </row>
    <row r="43">
      <c r="A43" s="6" t="inlineStr">
        <is>
          <t>Statutory corporate tax rate — Algeria</t>
        </is>
      </c>
      <c r="C43" s="27" t="n">
        <v>0.1007</v>
      </c>
    </row>
    <row r="44">
      <c r="A44" s="6" t="inlineStr">
        <is>
          <t>Share of non-current assets in Egypt</t>
        </is>
      </c>
      <c r="C44" s="27" t="n">
        <v>0.311</v>
      </c>
    </row>
    <row r="45">
      <c r="A45" s="6" t="inlineStr">
        <is>
          <t>Share of non-current assets in Algeria</t>
        </is>
      </c>
      <c r="C45" s="27" t="n">
        <v>0.161</v>
      </c>
    </row>
    <row r="46">
      <c r="A46" s="6" t="inlineStr">
        <is>
          <t>Income tax charge, FY2022 ($m)</t>
        </is>
      </c>
      <c r="C46" s="28" t="n">
        <v>239.2</v>
      </c>
    </row>
    <row r="47">
      <c r="A47" s="6" t="inlineStr">
        <is>
          <t>Profit before tax, FY2022 ($m)</t>
        </is>
      </c>
      <c r="C47" s="28" t="n">
        <v>2059.6</v>
      </c>
    </row>
    <row r="48">
      <c r="A48" s="6" t="inlineStr">
        <is>
          <t>Income taxes paid, FY2022 ($m)</t>
        </is>
      </c>
      <c r="C48" s="28" t="n">
        <v>217.5</v>
      </c>
    </row>
    <row r="49">
      <c r="A49" s="6" t="inlineStr">
        <is>
          <t>Income taxes paid, FY2023 ($m)</t>
        </is>
      </c>
      <c r="C49" s="28" t="n">
        <v>67.40000000000001</v>
      </c>
    </row>
    <row r="50">
      <c r="A50" s="6" t="inlineStr">
        <is>
          <t>Income taxes paid, FY2024 ($m)</t>
        </is>
      </c>
      <c r="C50" s="28" t="n">
        <v>56.7</v>
      </c>
    </row>
    <row r="51">
      <c r="A51" s="6" t="inlineStr">
        <is>
          <t>Income taxes paid, FY2025 ($m)</t>
        </is>
      </c>
      <c r="C51" s="28" t="n">
        <v>205.1</v>
      </c>
    </row>
    <row r="52"/>
    <row r="53">
      <c r="A53" s="10" t="inlineStr">
        <is>
          <t>Cost of capital</t>
        </is>
      </c>
      <c r="B53" s="12" t="n"/>
      <c r="C53" s="12" t="n"/>
      <c r="D53" s="12" t="n"/>
      <c r="E53" s="12" t="n"/>
      <c r="F53" s="12" t="n"/>
    </row>
    <row r="54">
      <c r="A54" s="6" t="inlineStr">
        <is>
          <t>Ten-year United States Treasury yield</t>
        </is>
      </c>
      <c r="C54" s="29" t="n">
        <v>0.0469</v>
      </c>
    </row>
    <row r="55">
      <c r="A55" s="6" t="inlineStr">
        <is>
          <t>Abu Dhabi sovereign credit default swap spread</t>
        </is>
      </c>
      <c r="C55" s="29" t="n">
        <v>0.0046</v>
      </c>
    </row>
    <row r="56">
      <c r="A56" s="6" t="inlineStr">
        <is>
          <t>Abu Dhabi adjusted default spread (rating basis)</t>
        </is>
      </c>
      <c r="C56" s="29" t="n">
        <v>0.0042</v>
      </c>
    </row>
    <row r="57">
      <c r="A57" s="6" t="inlineStr">
        <is>
          <t>Abu Dhabi equity risk premium, rating basis</t>
        </is>
      </c>
      <c r="C57" s="29" t="n">
        <v>0.0487</v>
      </c>
    </row>
    <row r="58">
      <c r="A58" s="6" t="inlineStr">
        <is>
          <t>Abu Dhabi country risk premium</t>
        </is>
      </c>
      <c r="C58" s="29" t="n">
        <v>0.0064</v>
      </c>
    </row>
    <row r="59">
      <c r="A59" s="6" t="inlineStr">
        <is>
          <t>Abu Dhabi equity risk premium, swap basis</t>
        </is>
      </c>
      <c r="C59" s="29" t="n">
        <v>0.0493</v>
      </c>
    </row>
    <row r="60">
      <c r="A60" s="6" t="inlineStr">
        <is>
          <t>Egypt equity risk premium, rating basis</t>
        </is>
      </c>
      <c r="C60" s="29" t="n">
        <v>0.1394</v>
      </c>
    </row>
    <row r="61">
      <c r="A61" s="6" t="inlineStr">
        <is>
          <t>Egypt equity risk premium, swap basis</t>
        </is>
      </c>
      <c r="C61" s="29" t="n">
        <v>0.0941</v>
      </c>
    </row>
    <row r="62">
      <c r="A62" s="6" t="inlineStr">
        <is>
          <t>Algeria equity risk premium</t>
        </is>
      </c>
      <c r="C62" s="29" t="n">
        <v>0.1006</v>
      </c>
    </row>
    <row r="63">
      <c r="A63" s="6" t="inlineStr">
        <is>
          <t>Mature-market equity risk premium</t>
        </is>
      </c>
      <c r="C63" s="30">
        <f>Assumptions!$C$57-Assumptions!$C$58</f>
        <v/>
      </c>
    </row>
    <row r="64">
      <c r="A64" s="6" t="inlineStr">
        <is>
          <t>Beta — own-stock weekly regression against the local market</t>
        </is>
      </c>
      <c r="C64" s="31" t="n">
        <v>0.931</v>
      </c>
    </row>
    <row r="65">
      <c r="A65" s="6" t="inlineStr">
        <is>
          <t>Marginal debt spread — facilities B and C</t>
        </is>
      </c>
      <c r="C65" s="29" t="n">
        <v>0.008999999999999999</v>
      </c>
    </row>
    <row r="66">
      <c r="A66" s="6" t="inlineStr">
        <is>
          <t>Marginal debt spread — the parent term loan</t>
        </is>
      </c>
      <c r="C66" s="29" t="n">
        <v>0.0105</v>
      </c>
    </row>
    <row r="67">
      <c r="A67" s="6" t="inlineStr">
        <is>
          <t>Terminal debt weight</t>
        </is>
      </c>
      <c r="C67" s="27" t="n">
        <v>0.2</v>
      </c>
    </row>
    <row r="68">
      <c r="A68" s="6" t="inlineStr">
        <is>
          <t>Non-current assets outside the core countries ($m)</t>
        </is>
      </c>
      <c r="C68" s="28" t="n">
        <v>65.2</v>
      </c>
    </row>
    <row r="69">
      <c r="A69" s="6" t="inlineStr">
        <is>
          <t>Non-current assets, total ($m)</t>
        </is>
      </c>
      <c r="C69" s="28" t="n">
        <v>3385.8</v>
      </c>
    </row>
    <row r="70">
      <c r="A70" s="6" t="inlineStr">
        <is>
          <t>Net debt at 30 June 2026 ($m)</t>
        </is>
      </c>
      <c r="C70" s="28" t="n">
        <v>621.2</v>
      </c>
    </row>
    <row r="71">
      <c r="A71" s="6" t="inlineStr">
        <is>
          <t>Interest rate charged on net debt in the forecast</t>
        </is>
      </c>
      <c r="C71" s="27" t="n">
        <v>0.055</v>
      </c>
    </row>
    <row r="72"/>
    <row r="73">
      <c r="A73" s="10" t="inlineStr">
        <is>
          <t>Terminal block and the bridge to equity</t>
        </is>
      </c>
      <c r="B73" s="12" t="n"/>
      <c r="C73" s="12" t="n"/>
      <c r="D73" s="12" t="n"/>
      <c r="E73" s="12" t="n"/>
      <c r="F73" s="12" t="n"/>
    </row>
    <row r="74">
      <c r="A74" s="6" t="inlineStr">
        <is>
          <t>Terminal growth</t>
        </is>
      </c>
      <c r="C74" s="27" t="n">
        <v>0.02</v>
      </c>
    </row>
    <row r="75">
      <c r="A75" s="6" t="inlineStr">
        <is>
          <t>Long-run return on capital for merchant nitrogen</t>
        </is>
      </c>
      <c r="C75" s="27" t="n">
        <v>0.115</v>
      </c>
    </row>
    <row r="76">
      <c r="A76" s="6" t="inlineStr">
        <is>
          <t>Replacement cost of installed capacity ($ per tonne)</t>
        </is>
      </c>
      <c r="C76" s="26" t="n">
        <v>1250</v>
      </c>
    </row>
    <row r="77">
      <c r="A77" s="6" t="inlineStr">
        <is>
          <t>Composite asset life, derived (years)</t>
        </is>
      </c>
      <c r="C77" s="28" t="n">
        <v>22.03534609720177</v>
      </c>
    </row>
    <row r="78">
      <c r="A78" s="6" t="inlineStr">
        <is>
          <t>Minority share of group profit</t>
        </is>
      </c>
      <c r="C78" s="27" t="n">
        <v>0.263</v>
      </c>
    </row>
    <row r="79">
      <c r="A79" s="6" t="inlineStr">
        <is>
          <t>Minority interests at book value ($m)</t>
        </is>
      </c>
      <c r="C79" s="28" t="n">
        <v>443.3</v>
      </c>
    </row>
    <row r="80">
      <c r="A80" s="6" t="inlineStr">
        <is>
          <t>Dividend payout ratio in the forecast</t>
        </is>
      </c>
      <c r="C80" s="27" t="n">
        <v>0.8</v>
      </c>
    </row>
    <row r="81"/>
    <row r="82">
      <c r="A82" s="10" t="inlineStr">
        <is>
          <t>Lens inputs</t>
        </is>
      </c>
      <c r="B82" s="12" t="n"/>
      <c r="C82" s="12" t="n"/>
      <c r="D82" s="12" t="n"/>
      <c r="E82" s="12" t="n"/>
      <c r="F82" s="12" t="n"/>
    </row>
    <row r="83">
      <c r="A83" s="6" t="inlineStr">
        <is>
          <t>Justified enterprise value / EBITDA</t>
        </is>
      </c>
      <c r="C83" s="21" t="n">
        <v>5.8</v>
      </c>
    </row>
    <row r="84">
      <c r="A84" s="6" t="inlineStr">
        <is>
          <t>Justified price / earnings</t>
        </is>
      </c>
      <c r="C84" s="21" t="n">
        <v>11</v>
      </c>
    </row>
    <row r="85">
      <c r="A85" s="6" t="inlineStr">
        <is>
          <t>Adjusted EBITDA, first half 2026 ($m)</t>
        </is>
      </c>
      <c r="C85" s="28" t="n">
        <v>713.1</v>
      </c>
    </row>
    <row r="86">
      <c r="A86" s="6" t="inlineStr">
        <is>
          <t>Profit to owners, first half 2026 ($m)</t>
        </is>
      </c>
      <c r="C86" s="28" t="n">
        <v>312.4</v>
      </c>
    </row>
    <row r="87"/>
    <row r="88">
      <c r="A88"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4">
        <f>DCF!C60</f>
        <v/>
      </c>
      <c r="C5" s="14">
        <f>DCF!D60</f>
        <v/>
      </c>
    </row>
    <row r="6">
      <c r="A6" s="6" t="inlineStr">
        <is>
          <t>Present value of the terminal value ($m)</t>
        </is>
      </c>
      <c r="B6" s="14">
        <f>DCF!C61</f>
        <v/>
      </c>
      <c r="C6" s="14">
        <f>DCF!D61</f>
        <v/>
      </c>
    </row>
    <row r="7">
      <c r="A7" s="20" t="inlineStr">
        <is>
          <t>Enterprise value ($m)</t>
        </is>
      </c>
      <c r="B7" s="32">
        <f>B5+B6</f>
        <v/>
      </c>
      <c r="C7" s="32">
        <f>C5+C6</f>
        <v/>
      </c>
    </row>
    <row r="8">
      <c r="A8" s="6" t="inlineStr">
        <is>
          <t>Less net debt ($m)</t>
        </is>
      </c>
      <c r="B8" s="15">
        <f>Assumptions!$C$70</f>
        <v/>
      </c>
      <c r="C8" s="15">
        <f>Assumptions!$C$70</f>
        <v/>
      </c>
    </row>
    <row r="9">
      <c r="A9" s="20" t="inlineStr">
        <is>
          <t>Equity value before minority interests ($m)</t>
        </is>
      </c>
      <c r="B9" s="32">
        <f>B7-B8</f>
        <v/>
      </c>
      <c r="C9" s="32">
        <f>C7-C8</f>
        <v/>
      </c>
    </row>
    <row r="10">
      <c r="A10" s="6" t="inlineStr">
        <is>
          <t>Less minority interests at their share of group profit ($m)</t>
        </is>
      </c>
      <c r="B10" s="22">
        <f>B9*Assumptions!$C$78</f>
        <v/>
      </c>
      <c r="C10" s="22">
        <f>C9*Assumptions!$C$78</f>
        <v/>
      </c>
    </row>
    <row r="11">
      <c r="A11" s="20" t="inlineStr">
        <is>
          <t>Equity attributable to owners ($m)</t>
        </is>
      </c>
      <c r="B11" s="32">
        <f>B9-B10</f>
        <v/>
      </c>
      <c r="C11" s="32">
        <f>C9-C10</f>
        <v/>
      </c>
    </row>
    <row r="12">
      <c r="A12" s="6" t="inlineStr">
        <is>
          <t>Value per share ($)</t>
        </is>
      </c>
      <c r="B12" s="19">
        <f>B11/Assumptions!$C$7</f>
        <v/>
      </c>
      <c r="C12" s="19">
        <f>C11/Assumptions!$C$7</f>
        <v/>
      </c>
    </row>
    <row r="13">
      <c r="A13" s="20" t="inlineStr">
        <is>
          <t>Value per share (AED)</t>
        </is>
      </c>
      <c r="B13" s="23">
        <f>B12*Assumptions!$C$6</f>
        <v/>
      </c>
      <c r="C13" s="23">
        <f>C12*Assumptions!$C$6</f>
        <v/>
      </c>
    </row>
    <row r="14">
      <c r="A14" s="20" t="inlineStr">
        <is>
          <t>Terminal value as a share of enterprise value</t>
        </is>
      </c>
      <c r="B14" s="33">
        <f>B6/B7</f>
        <v/>
      </c>
      <c r="C14" s="33">
        <f>C6/C7</f>
        <v/>
      </c>
    </row>
    <row r="15"/>
    <row r="16">
      <c r="A16" s="12" t="inlineStr">
        <is>
          <t>NOT AVERAGED — the midpoint of the two framings, which neither supports (AED per share)</t>
        </is>
      </c>
      <c r="B16" s="34">
        <f>AVERAGE(B13:C13)</f>
        <v/>
      </c>
      <c r="C16" s="12" t="n"/>
      <c r="D16" s="12" t="n"/>
      <c r="E16" s="12" t="n"/>
      <c r="F16" s="12" t="n"/>
    </row>
    <row r="17"/>
    <row r="18">
      <c r="A18" s="20" t="inlineStr">
        <is>
          <t>THE MINORITY INTERESTS ON THE OTHER BASIS — BOTH ARE SHOWN, NEITHER IS AVERAGED</t>
        </is>
      </c>
    </row>
    <row r="19">
      <c r="A19" s="6" t="inlineStr">
        <is>
          <t>Less minority interests at their book carrying value ($m)</t>
        </is>
      </c>
      <c r="B19" s="15">
        <f>Assumptions!$C$79</f>
        <v/>
      </c>
      <c r="C19" s="15">
        <f>Assumptions!$C$79</f>
        <v/>
      </c>
    </row>
    <row r="20">
      <c r="A20" s="6" t="inlineStr">
        <is>
          <t>Equity attributable to owners, book basis ($m)</t>
        </is>
      </c>
      <c r="B20" s="22">
        <f>B9-B19</f>
        <v/>
      </c>
      <c r="C20" s="22">
        <f>C9-C19</f>
        <v/>
      </c>
    </row>
    <row r="21">
      <c r="A21" s="20" t="inlineStr">
        <is>
          <t>Value per share, book basis (AED)</t>
        </is>
      </c>
      <c r="B21" s="23">
        <f>B20/Assumptions!$C$7*Assumptions!$C$6</f>
        <v/>
      </c>
      <c r="C21" s="23">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0" t="inlineStr">
        <is>
          <t>WHERE THE VALUE SITS — THE TWO OPERATING LEGS</t>
        </is>
      </c>
      <c r="B25" s="12" t="n"/>
      <c r="C25" s="12" t="n"/>
      <c r="D25" s="12" t="n"/>
      <c r="E25" s="12" t="n"/>
      <c r="F25" s="12"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(DCF!C62+DCF!D62)/2</f>
        <v/>
      </c>
    </row>
    <row r="28">
      <c r="A28" s="6" t="inlineStr">
        <is>
          <t>Own-produced production and marketing</t>
        </is>
      </c>
      <c r="B28" s="35">
        <f>(SUM(Segments!D50:F50)+SUM(Segments!D82:F82))/6</f>
        <v/>
      </c>
      <c r="C28" s="8">
        <f>B28/$B$31</f>
        <v/>
      </c>
      <c r="D28" s="22">
        <f>C28*$B$27</f>
        <v/>
      </c>
      <c r="E28" s="19">
        <f>D28/Assumptions!$C$7*Assumptions!$C$6</f>
        <v/>
      </c>
    </row>
    <row r="29">
      <c r="A29" s="6" t="inlineStr">
        <is>
          <t>Third-party trading</t>
        </is>
      </c>
      <c r="B29" s="35">
        <f>(SUM(Segments!D54:F54)+SUM(Segments!D86:F86))/6</f>
        <v/>
      </c>
      <c r="C29" s="8">
        <f>B29/$B$31</f>
        <v/>
      </c>
      <c r="D29" s="22">
        <f>C29*$B$27</f>
        <v/>
      </c>
      <c r="E29" s="19">
        <f>D29/Assumptions!$C$7*Assumptions!$C$6</f>
        <v/>
      </c>
    </row>
    <row r="30">
      <c r="A30" s="6" t="inlineStr">
        <is>
          <t>Corporate and other</t>
        </is>
      </c>
      <c r="B30" s="35">
        <f>(SUM(Segments!D55:F55)+SUM(Segments!D87:F87))/6</f>
        <v/>
      </c>
      <c r="C30" s="8">
        <f>B30/$B$31</f>
        <v/>
      </c>
      <c r="D30" s="22">
        <f>C30*$B$27</f>
        <v/>
      </c>
      <c r="E30" s="19">
        <f>D30/Assumptions!$C$7*Assumptions!$C$6</f>
        <v/>
      </c>
    </row>
    <row r="31">
      <c r="A31" s="20" t="inlineStr">
        <is>
          <t>Total mid-cycle EBITDA ($m)</t>
        </is>
      </c>
      <c r="B31" s="36">
        <f>SUM(B28:B30)</f>
        <v/>
      </c>
      <c r="C31" s="33">
        <f>SUM(C28:C30)</f>
        <v/>
      </c>
      <c r="D31" s="32">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6" t="n">
        <v>4225</v>
      </c>
      <c r="C5" s="26" t="n">
        <v>4228</v>
      </c>
      <c r="D5" s="26" t="n">
        <v>2045</v>
      </c>
    </row>
    <row r="6">
      <c r="A6" s="6" t="inlineStr">
        <is>
          <t>Merchant ammonia sales volume (kt)</t>
        </is>
      </c>
      <c r="B6" s="26" t="n">
        <v>1119</v>
      </c>
      <c r="C6" s="26" t="n">
        <v>1267</v>
      </c>
      <c r="D6" s="26" t="n">
        <v>523</v>
      </c>
    </row>
    <row r="7">
      <c r="A7" s="6" t="inlineStr">
        <is>
          <t>Own-produced sales volume, total (kt)</t>
        </is>
      </c>
      <c r="B7" s="26" t="n">
        <v>5345</v>
      </c>
      <c r="C7" s="26" t="n">
        <v>5498</v>
      </c>
      <c r="D7" s="26" t="n">
        <v>2571</v>
      </c>
    </row>
    <row r="8">
      <c r="A8" s="6" t="inlineStr">
        <is>
          <t>Own-produced segment revenue ($m)</t>
        </is>
      </c>
      <c r="B8" s="28" t="n">
        <v>1896.2</v>
      </c>
      <c r="C8" s="28" t="n">
        <v>2332.4</v>
      </c>
      <c r="D8" s="28" t="n">
        <v>1597</v>
      </c>
    </row>
    <row r="9">
      <c r="A9" s="6" t="inlineStr">
        <is>
          <t>Own-produced segment EBITDA ($m)</t>
        </is>
      </c>
      <c r="B9" s="28" t="n">
        <v>697.5</v>
      </c>
      <c r="C9" s="28" t="n">
        <v>1059.9</v>
      </c>
      <c r="D9" s="28" t="n">
        <v>709.6</v>
      </c>
    </row>
    <row r="10">
      <c r="A10" s="6" t="inlineStr">
        <is>
          <t>Urea benchmark, Egypt free on board ($/t)</t>
        </is>
      </c>
      <c r="B10" s="26" t="n">
        <v>357</v>
      </c>
      <c r="C10" s="26" t="n">
        <v>440</v>
      </c>
      <c r="D10" s="26" t="n">
        <v>637</v>
      </c>
    </row>
    <row r="11">
      <c r="A11" s="6" t="inlineStr">
        <is>
          <t>Ammonia benchmark, Middle East ($/t)</t>
        </is>
      </c>
      <c r="B11" s="26" t="n">
        <v>349</v>
      </c>
      <c r="C11" s="26" t="n">
        <v>343</v>
      </c>
      <c r="D11" s="26" t="n">
        <v>594</v>
      </c>
    </row>
    <row r="12">
      <c r="A12" s="6" t="inlineStr">
        <is>
          <t>Realised price ($/t)</t>
        </is>
      </c>
      <c r="B12" s="35">
        <f>B8*1000/B7</f>
        <v/>
      </c>
      <c r="C12" s="35">
        <f>C8*1000/C7</f>
        <v/>
      </c>
      <c r="D12" s="35">
        <f>D8*1000/D7</f>
        <v/>
      </c>
    </row>
    <row r="13">
      <c r="A13" s="6" t="inlineStr">
        <is>
          <t>Volume-weighted benchmark price ($/t)</t>
        </is>
      </c>
      <c r="B13" s="35">
        <f>(B5*B10+B6*B11)/(B5+B6)</f>
        <v/>
      </c>
      <c r="C13" s="35">
        <f>(C5*C10+C6*C11)/(C5+C6)</f>
        <v/>
      </c>
      <c r="D13" s="35">
        <f>(D5*D10+D6*D11)/(D5+D6)</f>
        <v/>
      </c>
    </row>
    <row r="14">
      <c r="A14" s="6" t="inlineStr">
        <is>
          <t>Realisation against the benchmark</t>
        </is>
      </c>
      <c r="B14" s="37">
        <f>B12/B13</f>
        <v/>
      </c>
      <c r="C14" s="37">
        <f>C12/C13</f>
        <v/>
      </c>
      <c r="D14" s="37">
        <f>D12/D13</f>
        <v/>
      </c>
    </row>
    <row r="15">
      <c r="A15" s="6" t="inlineStr">
        <is>
          <t>Cash cost, total ($m)</t>
        </is>
      </c>
      <c r="B15" s="35">
        <f>B8-B9</f>
        <v/>
      </c>
      <c r="C15" s="35">
        <f>C8-C9</f>
        <v/>
      </c>
      <c r="D15" s="35">
        <f>D8-D9</f>
        <v/>
      </c>
    </row>
    <row r="16">
      <c r="A16" s="6" t="inlineStr">
        <is>
          <t>Cash cost per tonne ($/t)</t>
        </is>
      </c>
      <c r="B16" s="35">
        <f>B15*1000/B7</f>
        <v/>
      </c>
      <c r="C16" s="35">
        <f>C15*1000/C7</f>
        <v/>
      </c>
      <c r="D16" s="35">
        <f>D15*1000/D7</f>
        <v/>
      </c>
    </row>
    <row r="17">
      <c r="A17" s="6" t="inlineStr">
        <is>
          <t>Own-produced EBITDA margin</t>
        </is>
      </c>
      <c r="B17" s="8">
        <f>B9/B8</f>
        <v/>
      </c>
      <c r="C17" s="8">
        <f>C9/C8</f>
        <v/>
      </c>
      <c r="D17" s="8">
        <f>D9/D8</f>
        <v/>
      </c>
    </row>
    <row r="18"/>
    <row r="19">
      <c r="A19" s="10" t="inlineStr">
        <is>
          <t>Realisation factor applied to the forecast (average of the three)</t>
        </is>
      </c>
      <c r="B19" s="38">
        <f>AVERAGE(B14:D14)</f>
        <v/>
      </c>
      <c r="C19" s="12" t="n"/>
      <c r="D19" s="12" t="n"/>
      <c r="E19" s="12" t="n"/>
      <c r="F19" s="12" t="n"/>
      <c r="G19" s="12" t="n"/>
    </row>
    <row r="20"/>
    <row r="21">
      <c r="A21" s="10" t="inlineStr">
        <is>
          <t>Cost pass-through — least squares of cash cost per tonne on realised price</t>
        </is>
      </c>
      <c r="B21" s="12" t="n"/>
      <c r="C21" s="12" t="n"/>
      <c r="D21" s="12" t="n"/>
      <c r="E21" s="12" t="n"/>
      <c r="F21" s="12" t="n"/>
      <c r="G21" s="12" t="n"/>
    </row>
    <row r="22">
      <c r="A22" s="6" t="inlineStr">
        <is>
          <t>Realised price, the explanatory variable ($/t)</t>
        </is>
      </c>
      <c r="B22" s="35">
        <f>B12</f>
        <v/>
      </c>
      <c r="C22" s="35">
        <f>C12</f>
        <v/>
      </c>
      <c r="D22" s="35">
        <f>D12</f>
        <v/>
      </c>
    </row>
    <row r="23">
      <c r="A23" s="6" t="inlineStr">
        <is>
          <t>Cash cost per tonne, the dependent variable ($/t)</t>
        </is>
      </c>
      <c r="B23" s="35">
        <f>B16</f>
        <v/>
      </c>
      <c r="C23" s="35">
        <f>C16</f>
        <v/>
      </c>
      <c r="D23" s="35">
        <f>D16</f>
        <v/>
      </c>
    </row>
    <row r="24">
      <c r="A24" s="6" t="inlineStr">
        <is>
          <t>Mean realised price ($/t)</t>
        </is>
      </c>
      <c r="B24" s="35">
        <f>AVERAGE(B22:D22)</f>
        <v/>
      </c>
    </row>
    <row r="25">
      <c r="A25" s="6" t="inlineStr">
        <is>
          <t>Mean cash cost per tonne ($/t)</t>
        </is>
      </c>
      <c r="B25" s="35">
        <f>AVERAGE(B23:D23)</f>
        <v/>
      </c>
    </row>
    <row r="26">
      <c r="A26" s="6" t="inlineStr">
        <is>
          <t>Sum of cross products</t>
        </is>
      </c>
      <c r="B26" s="35">
        <f>(B22-$B$24)*(B23-$B$25)+(C22-$B$24)*(C23-$B$25)+(D22-$B$24)*(D23-$B$25)</f>
        <v/>
      </c>
    </row>
    <row r="27">
      <c r="A27" s="6" t="inlineStr">
        <is>
          <t>Sum of squared deviations in price</t>
        </is>
      </c>
      <c r="B27" s="35">
        <f>(B22-$B$24)^2+(C22-$B$24)^2+(D22-$B$24)^2</f>
        <v/>
      </c>
    </row>
    <row r="28">
      <c r="A28" s="6" t="inlineStr">
        <is>
          <t>Slope — the pass-through</t>
        </is>
      </c>
      <c r="B28" s="39">
        <f>B26/B27</f>
        <v/>
      </c>
    </row>
    <row r="29">
      <c r="A29" s="6" t="inlineStr">
        <is>
          <t>Intercept — fixed cash cost per tonne ($/t)</t>
        </is>
      </c>
      <c r="B29" s="36">
        <f>B25-B28*B24</f>
        <v/>
      </c>
    </row>
    <row r="30">
      <c r="A30" s="6" t="inlineStr">
        <is>
          <t>Sum of squared residuals</t>
        </is>
      </c>
      <c r="B30" s="35">
        <f>(B23-($B$29+$B$28*B22))^2+(C23-($B$29+$B$28*C22))^2+(D23-($B$29+$B$28*D22))^2</f>
        <v/>
      </c>
    </row>
    <row r="31">
      <c r="A31" s="6" t="inlineStr">
        <is>
          <t>Total sum of squares</t>
        </is>
      </c>
      <c r="B31" s="35">
        <f>(B23-$B$25)^2+(C23-$B$25)^2+(D23-$B$25)^2</f>
        <v/>
      </c>
    </row>
    <row r="32">
      <c r="A32" s="6" t="inlineStr">
        <is>
          <t>Share of the variation explained</t>
        </is>
      </c>
      <c r="B32" s="37">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0" t="inlineStr">
        <is>
          <t>FRAMING A — normalisation to a marginal-cost anchor</t>
        </is>
      </c>
      <c r="B36" s="12" t="n"/>
      <c r="C36" s="12" t="n"/>
      <c r="D36" s="12" t="n"/>
      <c r="E36" s="12" t="n"/>
      <c r="F36" s="12" t="n"/>
      <c r="G36" s="12"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9">
        <f>Assumptions!$B$12</f>
        <v/>
      </c>
      <c r="C38" s="9">
        <f>Assumptions!$C$12</f>
        <v/>
      </c>
      <c r="D38" s="9">
        <f>Assumptions!$D$12</f>
        <v/>
      </c>
      <c r="E38" s="9">
        <f>Assumptions!$E$12</f>
        <v/>
      </c>
      <c r="F38" s="9">
        <f>Assumptions!$F$12</f>
        <v/>
      </c>
    </row>
    <row r="39">
      <c r="A39" s="6" t="inlineStr">
        <is>
          <t>Merchant ammonia capacity utilisation</t>
        </is>
      </c>
      <c r="B39" s="9">
        <f>Assumptions!$B$13</f>
        <v/>
      </c>
      <c r="C39" s="9">
        <f>Assumptions!$C$13</f>
        <v/>
      </c>
      <c r="D39" s="9">
        <f>Assumptions!$D$13</f>
        <v/>
      </c>
      <c r="E39" s="9">
        <f>Assumptions!$E$13</f>
        <v/>
      </c>
      <c r="F39" s="9">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4">
        <f>Assumptions!$B$17</f>
        <v/>
      </c>
      <c r="C43" s="14">
        <f>Assumptions!$C$17</f>
        <v/>
      </c>
      <c r="D43" s="14">
        <f>Assumptions!$D$17</f>
        <v/>
      </c>
      <c r="E43" s="14">
        <f>Assumptions!$E$17</f>
        <v/>
      </c>
      <c r="F43" s="14">
        <f>Assumptions!$F$17</f>
        <v/>
      </c>
    </row>
    <row r="44">
      <c r="A44" s="6" t="inlineStr">
        <is>
          <t>Ammonia benchmark price ($/t)</t>
        </is>
      </c>
      <c r="B44" s="14">
        <f>Assumptions!$B$18</f>
        <v/>
      </c>
      <c r="C44" s="14">
        <f>Assumptions!$C$18</f>
        <v/>
      </c>
      <c r="D44" s="14">
        <f>Assumptions!$D$18</f>
        <v/>
      </c>
      <c r="E44" s="14">
        <f>Assumptions!$E$18</f>
        <v/>
      </c>
      <c r="F44" s="14">
        <f>Assumptions!$F$18</f>
        <v/>
      </c>
    </row>
    <row r="45">
      <c r="A45" s="6" t="inlineStr">
        <is>
          <t>Volume-weighted benchmark price ($/t)</t>
        </is>
      </c>
      <c r="B45" s="35">
        <f>(B40*B43+B41*B44)/(B40+B41)</f>
        <v/>
      </c>
      <c r="C45" s="35">
        <f>(C40*C43+C41*C44)/(C40+C41)</f>
        <v/>
      </c>
      <c r="D45" s="35">
        <f>(D40*D43+D41*D44)/(D40+D41)</f>
        <v/>
      </c>
      <c r="E45" s="35">
        <f>(E40*E43+E41*E44)/(E40+E41)</f>
        <v/>
      </c>
      <c r="F45" s="35">
        <f>(F40*F43+F41*F44)/(F40+F41)</f>
        <v/>
      </c>
    </row>
    <row r="46">
      <c r="A46" s="6" t="inlineStr">
        <is>
          <t>Realised price ($/t)</t>
        </is>
      </c>
      <c r="B46" s="35">
        <f>B45*Assumptions!$C$24</f>
        <v/>
      </c>
      <c r="C46" s="35">
        <f>C45*Assumptions!$C$24</f>
        <v/>
      </c>
      <c r="D46" s="35">
        <f>D45*Assumptions!$C$24</f>
        <v/>
      </c>
      <c r="E46" s="35">
        <f>E45*Assumptions!$C$24</f>
        <v/>
      </c>
      <c r="F46" s="35">
        <f>F45*Assumptions!$C$24</f>
        <v/>
      </c>
    </row>
    <row r="47">
      <c r="A47" s="6" t="inlineStr">
        <is>
          <t>Own-produced revenue ($m)</t>
        </is>
      </c>
      <c r="B47" s="35">
        <f>B42*B46/1000</f>
        <v/>
      </c>
      <c r="C47" s="35">
        <f>C42*C46/1000</f>
        <v/>
      </c>
      <c r="D47" s="35">
        <f>D42*D46/1000</f>
        <v/>
      </c>
      <c r="E47" s="35">
        <f>E42*E46/1000</f>
        <v/>
      </c>
      <c r="F47" s="35">
        <f>F42*F46/1000</f>
        <v/>
      </c>
    </row>
    <row r="48">
      <c r="A48" s="6" t="inlineStr">
        <is>
          <t>Cash cost per tonne ($/t)</t>
        </is>
      </c>
      <c r="B48" s="35">
        <f>B49*1000/B42</f>
        <v/>
      </c>
      <c r="C48" s="35">
        <f>Assumptions!$C$26+Assumptions!$C$25*C46</f>
        <v/>
      </c>
      <c r="D48" s="35">
        <f>Assumptions!$C$26+Assumptions!$C$25*D46</f>
        <v/>
      </c>
      <c r="E48" s="35">
        <f>Assumptions!$C$26+Assumptions!$C$25*E46</f>
        <v/>
      </c>
      <c r="F48" s="35">
        <f>Assumptions!$C$26+Assumptions!$C$25*F46</f>
        <v/>
      </c>
    </row>
    <row r="49">
      <c r="A49" s="6" t="inlineStr">
        <is>
          <t>Own-produced cash cost ($m)</t>
        </is>
      </c>
      <c r="B49" s="35">
        <f>B47-B50</f>
        <v/>
      </c>
      <c r="C49" s="35">
        <f>C42*C48/1000</f>
        <v/>
      </c>
      <c r="D49" s="35">
        <f>D42*D48/1000</f>
        <v/>
      </c>
      <c r="E49" s="35">
        <f>E42*E48/1000</f>
        <v/>
      </c>
      <c r="F49" s="35">
        <f>F42*F48/1000</f>
        <v/>
      </c>
    </row>
    <row r="50">
      <c r="A50" s="6" t="inlineStr">
        <is>
          <t>Own-produced EBITDA ($m)</t>
        </is>
      </c>
      <c r="B50" s="35">
        <f>B66</f>
        <v/>
      </c>
      <c r="C50" s="35">
        <f>C47-C49</f>
        <v/>
      </c>
      <c r="D50" s="35">
        <f>D47-D49</f>
        <v/>
      </c>
      <c r="E50" s="35">
        <f>E47-E49</f>
        <v/>
      </c>
      <c r="F50" s="35">
        <f>F47-F49</f>
        <v/>
      </c>
    </row>
    <row r="51">
      <c r="A51" s="6" t="inlineStr">
        <is>
          <t>Third-party traded volume (kt)</t>
        </is>
      </c>
      <c r="B51" s="14">
        <f>Assumptions!$B$14</f>
        <v/>
      </c>
      <c r="C51" s="14">
        <f>Assumptions!$C$14</f>
        <v/>
      </c>
      <c r="D51" s="14">
        <f>Assumptions!$D$14</f>
        <v/>
      </c>
      <c r="E51" s="14">
        <f>Assumptions!$E$14</f>
        <v/>
      </c>
      <c r="F51" s="14">
        <f>Assumptions!$F$14</f>
        <v/>
      </c>
    </row>
    <row r="52">
      <c r="A52" s="6" t="inlineStr">
        <is>
          <t>Third-party traded price ($/t)</t>
        </is>
      </c>
      <c r="B52" s="14">
        <f>Assumptions!$B$21</f>
        <v/>
      </c>
      <c r="C52" s="14">
        <f>Assumptions!$C$21</f>
        <v/>
      </c>
      <c r="D52" s="14">
        <f>Assumptions!$D$21</f>
        <v/>
      </c>
      <c r="E52" s="14">
        <f>Assumptions!$E$21</f>
        <v/>
      </c>
      <c r="F52" s="14">
        <f>Assumptions!$F$21</f>
        <v/>
      </c>
    </row>
    <row r="53">
      <c r="A53" s="6" t="inlineStr">
        <is>
          <t>Third-party traded revenue ($m)</t>
        </is>
      </c>
      <c r="B53" s="35">
        <f>B51*B52/1000</f>
        <v/>
      </c>
      <c r="C53" s="35">
        <f>C51*C52/1000</f>
        <v/>
      </c>
      <c r="D53" s="35">
        <f>D51*D52/1000</f>
        <v/>
      </c>
      <c r="E53" s="35">
        <f>E51*E52/1000</f>
        <v/>
      </c>
      <c r="F53" s="35">
        <f>F51*F52/1000</f>
        <v/>
      </c>
    </row>
    <row r="54">
      <c r="A54" s="6" t="inlineStr">
        <is>
          <t>Third-party traded EBITDA ($m)</t>
        </is>
      </c>
      <c r="B54" s="35">
        <f>B53*Assumptions!$C$27</f>
        <v/>
      </c>
      <c r="C54" s="35">
        <f>C53*Assumptions!$C$27</f>
        <v/>
      </c>
      <c r="D54" s="35">
        <f>D53*Assumptions!$C$27</f>
        <v/>
      </c>
      <c r="E54" s="35">
        <f>E53*Assumptions!$C$27</f>
        <v/>
      </c>
      <c r="F54" s="35">
        <f>F53*Assumptions!$C$27</f>
        <v/>
      </c>
    </row>
    <row r="55">
      <c r="A55" s="6" t="inlineStr">
        <is>
          <t>Corporate and other segment EBITDA ($m)</t>
        </is>
      </c>
      <c r="B55" s="15">
        <f>Assumptions!$B$28</f>
        <v/>
      </c>
      <c r="C55" s="15">
        <f>Assumptions!$C$28</f>
        <v/>
      </c>
      <c r="D55" s="15">
        <f>Assumptions!$D$28</f>
        <v/>
      </c>
      <c r="E55" s="15">
        <f>Assumptions!$E$28</f>
        <v/>
      </c>
      <c r="F55" s="15">
        <f>Assumptions!$F$28</f>
        <v/>
      </c>
    </row>
    <row r="56">
      <c r="A56" s="20" t="inlineStr">
        <is>
          <t>Group revenue ($m)</t>
        </is>
      </c>
      <c r="B56" s="32">
        <f>B47+B53</f>
        <v/>
      </c>
      <c r="C56" s="32">
        <f>C47+C53</f>
        <v/>
      </c>
      <c r="D56" s="32">
        <f>D47+D53</f>
        <v/>
      </c>
      <c r="E56" s="32">
        <f>E47+E53</f>
        <v/>
      </c>
      <c r="F56" s="32">
        <f>F47+F53</f>
        <v/>
      </c>
    </row>
    <row r="57">
      <c r="A57" s="20" t="inlineStr">
        <is>
          <t>Group EBITDA ($m)</t>
        </is>
      </c>
      <c r="B57" s="32">
        <f>B50+B54+B55</f>
        <v/>
      </c>
      <c r="C57" s="32">
        <f>C50+C54+C55</f>
        <v/>
      </c>
      <c r="D57" s="32">
        <f>D50+D54+D55</f>
        <v/>
      </c>
      <c r="E57" s="32">
        <f>E50+E54+E55</f>
        <v/>
      </c>
      <c r="F57" s="32">
        <f>F50+F54+F55</f>
        <v/>
      </c>
    </row>
    <row r="58">
      <c r="A58" s="6" t="inlineStr">
        <is>
          <t>Group EBITDA margin</t>
        </is>
      </c>
      <c r="B58" s="8">
        <f>B57/B56</f>
        <v/>
      </c>
      <c r="C58" s="8">
        <f>C57/C56</f>
        <v/>
      </c>
      <c r="D58" s="8">
        <f>D57/D56</f>
        <v/>
      </c>
      <c r="E58" s="8">
        <f>E57/E56</f>
        <v/>
      </c>
      <c r="F58" s="8">
        <f>F57/F56</f>
        <v/>
      </c>
    </row>
    <row r="59"/>
    <row r="60">
      <c r="A60" s="20" t="inlineStr">
        <is>
          <t>The 2026 splice — the reported first half plus a modelled second half</t>
        </is>
      </c>
    </row>
    <row r="61">
      <c r="A61" s="6" t="inlineStr">
        <is>
          <t>Second-half volume (kt)</t>
        </is>
      </c>
      <c r="B61" s="22">
        <f>B42-D7</f>
        <v/>
      </c>
    </row>
    <row r="62">
      <c r="A62" s="6" t="inlineStr">
        <is>
          <t>Second-half revenue ($m)</t>
        </is>
      </c>
      <c r="B62" s="35">
        <f>B47-D8</f>
        <v/>
      </c>
    </row>
    <row r="63">
      <c r="A63" s="6" t="inlineStr">
        <is>
          <t>Second-half realised price ($/t)</t>
        </is>
      </c>
      <c r="B63" s="35">
        <f>B62*1000/B61</f>
        <v/>
      </c>
    </row>
    <row r="64">
      <c r="A64" s="6" t="inlineStr">
        <is>
          <t>Second-half cash cost per tonne ($/t)</t>
        </is>
      </c>
      <c r="B64" s="35">
        <f>Assumptions!$C$26+Assumptions!$C$25*B63</f>
        <v/>
      </c>
    </row>
    <row r="65">
      <c r="A65" s="6" t="inlineStr">
        <is>
          <t>Second-half EBITDA ($m)</t>
        </is>
      </c>
      <c r="B65" s="35">
        <f>B62-B61*B64/1000</f>
        <v/>
      </c>
    </row>
    <row r="66">
      <c r="A66" s="6" t="inlineStr">
        <is>
          <t>Full-year 2026 own-produced EBITDA ($m)</t>
        </is>
      </c>
      <c r="B66" s="36">
        <f>D9+B65</f>
        <v/>
      </c>
    </row>
    <row r="67"/>
    <row r="68">
      <c r="A68" s="10" t="inlineStr">
        <is>
          <t>FRAMING B — a structurally tight market</t>
        </is>
      </c>
      <c r="B68" s="12" t="n"/>
      <c r="C68" s="12" t="n"/>
      <c r="D68" s="12" t="n"/>
      <c r="E68" s="12" t="n"/>
      <c r="F68" s="12" t="n"/>
      <c r="G68" s="12"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9">
        <f>Assumptions!$B$12</f>
        <v/>
      </c>
      <c r="C70" s="9">
        <f>Assumptions!$C$12</f>
        <v/>
      </c>
      <c r="D70" s="9">
        <f>Assumptions!$D$12</f>
        <v/>
      </c>
      <c r="E70" s="9">
        <f>Assumptions!$E$12</f>
        <v/>
      </c>
      <c r="F70" s="9">
        <f>Assumptions!$F$12</f>
        <v/>
      </c>
    </row>
    <row r="71">
      <c r="A71" s="6" t="inlineStr">
        <is>
          <t>Merchant ammonia capacity utilisation</t>
        </is>
      </c>
      <c r="B71" s="9">
        <f>Assumptions!$B$13</f>
        <v/>
      </c>
      <c r="C71" s="9">
        <f>Assumptions!$C$13</f>
        <v/>
      </c>
      <c r="D71" s="9">
        <f>Assumptions!$D$13</f>
        <v/>
      </c>
      <c r="E71" s="9">
        <f>Assumptions!$E$13</f>
        <v/>
      </c>
      <c r="F71" s="9">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4">
        <f>Assumptions!$B$19</f>
        <v/>
      </c>
      <c r="C75" s="14">
        <f>Assumptions!$C$19</f>
        <v/>
      </c>
      <c r="D75" s="14">
        <f>Assumptions!$D$19</f>
        <v/>
      </c>
      <c r="E75" s="14">
        <f>Assumptions!$E$19</f>
        <v/>
      </c>
      <c r="F75" s="14">
        <f>Assumptions!$F$19</f>
        <v/>
      </c>
    </row>
    <row r="76">
      <c r="A76" s="6" t="inlineStr">
        <is>
          <t>Ammonia benchmark price ($/t)</t>
        </is>
      </c>
      <c r="B76" s="14">
        <f>Assumptions!$B$20</f>
        <v/>
      </c>
      <c r="C76" s="14">
        <f>Assumptions!$C$20</f>
        <v/>
      </c>
      <c r="D76" s="14">
        <f>Assumptions!$D$20</f>
        <v/>
      </c>
      <c r="E76" s="14">
        <f>Assumptions!$E$20</f>
        <v/>
      </c>
      <c r="F76" s="14">
        <f>Assumptions!$F$20</f>
        <v/>
      </c>
    </row>
    <row r="77">
      <c r="A77" s="6" t="inlineStr">
        <is>
          <t>Volume-weighted benchmark price ($/t)</t>
        </is>
      </c>
      <c r="B77" s="35">
        <f>(B72*B75+B73*B76)/(B72+B73)</f>
        <v/>
      </c>
      <c r="C77" s="35">
        <f>(C72*C75+C73*C76)/(C72+C73)</f>
        <v/>
      </c>
      <c r="D77" s="35">
        <f>(D72*D75+D73*D76)/(D72+D73)</f>
        <v/>
      </c>
      <c r="E77" s="35">
        <f>(E72*E75+E73*E76)/(E72+E73)</f>
        <v/>
      </c>
      <c r="F77" s="35">
        <f>(F72*F75+F73*F76)/(F72+F73)</f>
        <v/>
      </c>
    </row>
    <row r="78">
      <c r="A78" s="6" t="inlineStr">
        <is>
          <t>Realised price ($/t)</t>
        </is>
      </c>
      <c r="B78" s="35">
        <f>B77*Assumptions!$C$24</f>
        <v/>
      </c>
      <c r="C78" s="35">
        <f>C77*Assumptions!$C$24</f>
        <v/>
      </c>
      <c r="D78" s="35">
        <f>D77*Assumptions!$C$24</f>
        <v/>
      </c>
      <c r="E78" s="35">
        <f>E77*Assumptions!$C$24</f>
        <v/>
      </c>
      <c r="F78" s="35">
        <f>F77*Assumptions!$C$24</f>
        <v/>
      </c>
    </row>
    <row r="79">
      <c r="A79" s="6" t="inlineStr">
        <is>
          <t>Own-produced revenue ($m)</t>
        </is>
      </c>
      <c r="B79" s="35">
        <f>B74*B78/1000</f>
        <v/>
      </c>
      <c r="C79" s="35">
        <f>C74*C78/1000</f>
        <v/>
      </c>
      <c r="D79" s="35">
        <f>D74*D78/1000</f>
        <v/>
      </c>
      <c r="E79" s="35">
        <f>E74*E78/1000</f>
        <v/>
      </c>
      <c r="F79" s="35">
        <f>F74*F78/1000</f>
        <v/>
      </c>
    </row>
    <row r="80">
      <c r="A80" s="6" t="inlineStr">
        <is>
          <t>Cash cost per tonne ($/t)</t>
        </is>
      </c>
      <c r="B80" s="35">
        <f>B81*1000/B74</f>
        <v/>
      </c>
      <c r="C80" s="35">
        <f>Assumptions!$C$26+Assumptions!$C$25*C78</f>
        <v/>
      </c>
      <c r="D80" s="35">
        <f>Assumptions!$C$26+Assumptions!$C$25*D78</f>
        <v/>
      </c>
      <c r="E80" s="35">
        <f>Assumptions!$C$26+Assumptions!$C$25*E78</f>
        <v/>
      </c>
      <c r="F80" s="35">
        <f>Assumptions!$C$26+Assumptions!$C$25*F78</f>
        <v/>
      </c>
    </row>
    <row r="81">
      <c r="A81" s="6" t="inlineStr">
        <is>
          <t>Own-produced cash cost ($m)</t>
        </is>
      </c>
      <c r="B81" s="35">
        <f>B79-B82</f>
        <v/>
      </c>
      <c r="C81" s="35">
        <f>C74*C80/1000</f>
        <v/>
      </c>
      <c r="D81" s="35">
        <f>D74*D80/1000</f>
        <v/>
      </c>
      <c r="E81" s="35">
        <f>E74*E80/1000</f>
        <v/>
      </c>
      <c r="F81" s="35">
        <f>F74*F80/1000</f>
        <v/>
      </c>
    </row>
    <row r="82">
      <c r="A82" s="6" t="inlineStr">
        <is>
          <t>Own-produced EBITDA ($m)</t>
        </is>
      </c>
      <c r="B82" s="35">
        <f>B98</f>
        <v/>
      </c>
      <c r="C82" s="35">
        <f>C79-C81</f>
        <v/>
      </c>
      <c r="D82" s="35">
        <f>D79-D81</f>
        <v/>
      </c>
      <c r="E82" s="35">
        <f>E79-E81</f>
        <v/>
      </c>
      <c r="F82" s="35">
        <f>F79-F81</f>
        <v/>
      </c>
    </row>
    <row r="83">
      <c r="A83" s="6" t="inlineStr">
        <is>
          <t>Third-party traded volume (kt)</t>
        </is>
      </c>
      <c r="B83" s="14">
        <f>Assumptions!$B$14</f>
        <v/>
      </c>
      <c r="C83" s="14">
        <f>Assumptions!$C$14</f>
        <v/>
      </c>
      <c r="D83" s="14">
        <f>Assumptions!$D$14</f>
        <v/>
      </c>
      <c r="E83" s="14">
        <f>Assumptions!$E$14</f>
        <v/>
      </c>
      <c r="F83" s="14">
        <f>Assumptions!$F$14</f>
        <v/>
      </c>
    </row>
    <row r="84">
      <c r="A84" s="6" t="inlineStr">
        <is>
          <t>Third-party traded price ($/t)</t>
        </is>
      </c>
      <c r="B84" s="14">
        <f>Assumptions!$B$21</f>
        <v/>
      </c>
      <c r="C84" s="14">
        <f>Assumptions!$C$21</f>
        <v/>
      </c>
      <c r="D84" s="14">
        <f>Assumptions!$D$21</f>
        <v/>
      </c>
      <c r="E84" s="14">
        <f>Assumptions!$E$21</f>
        <v/>
      </c>
      <c r="F84" s="14">
        <f>Assumptions!$F$21</f>
        <v/>
      </c>
    </row>
    <row r="85">
      <c r="A85" s="6" t="inlineStr">
        <is>
          <t>Third-party traded revenue ($m)</t>
        </is>
      </c>
      <c r="B85" s="35">
        <f>B83*B84/1000</f>
        <v/>
      </c>
      <c r="C85" s="35">
        <f>C83*C84/1000</f>
        <v/>
      </c>
      <c r="D85" s="35">
        <f>D83*D84/1000</f>
        <v/>
      </c>
      <c r="E85" s="35">
        <f>E83*E84/1000</f>
        <v/>
      </c>
      <c r="F85" s="35">
        <f>F83*F84/1000</f>
        <v/>
      </c>
    </row>
    <row r="86">
      <c r="A86" s="6" t="inlineStr">
        <is>
          <t>Third-party traded EBITDA ($m)</t>
        </is>
      </c>
      <c r="B86" s="35">
        <f>B85*Assumptions!$C$27</f>
        <v/>
      </c>
      <c r="C86" s="35">
        <f>C85*Assumptions!$C$27</f>
        <v/>
      </c>
      <c r="D86" s="35">
        <f>D85*Assumptions!$C$27</f>
        <v/>
      </c>
      <c r="E86" s="35">
        <f>E85*Assumptions!$C$27</f>
        <v/>
      </c>
      <c r="F86" s="35">
        <f>F85*Assumptions!$C$27</f>
        <v/>
      </c>
    </row>
    <row r="87">
      <c r="A87" s="6" t="inlineStr">
        <is>
          <t>Corporate and other segment EBITDA ($m)</t>
        </is>
      </c>
      <c r="B87" s="15">
        <f>Assumptions!$B$28</f>
        <v/>
      </c>
      <c r="C87" s="15">
        <f>Assumptions!$C$28</f>
        <v/>
      </c>
      <c r="D87" s="15">
        <f>Assumptions!$D$28</f>
        <v/>
      </c>
      <c r="E87" s="15">
        <f>Assumptions!$E$28</f>
        <v/>
      </c>
      <c r="F87" s="15">
        <f>Assumptions!$F$28</f>
        <v/>
      </c>
    </row>
    <row r="88">
      <c r="A88" s="20" t="inlineStr">
        <is>
          <t>Group revenue ($m)</t>
        </is>
      </c>
      <c r="B88" s="32">
        <f>B79+B85</f>
        <v/>
      </c>
      <c r="C88" s="32">
        <f>C79+C85</f>
        <v/>
      </c>
      <c r="D88" s="32">
        <f>D79+D85</f>
        <v/>
      </c>
      <c r="E88" s="32">
        <f>E79+E85</f>
        <v/>
      </c>
      <c r="F88" s="32">
        <f>F79+F85</f>
        <v/>
      </c>
    </row>
    <row r="89">
      <c r="A89" s="20" t="inlineStr">
        <is>
          <t>Group EBITDA ($m)</t>
        </is>
      </c>
      <c r="B89" s="32">
        <f>B82+B86+B87</f>
        <v/>
      </c>
      <c r="C89" s="32">
        <f>C82+C86+C87</f>
        <v/>
      </c>
      <c r="D89" s="32">
        <f>D82+D86+D87</f>
        <v/>
      </c>
      <c r="E89" s="32">
        <f>E82+E86+E87</f>
        <v/>
      </c>
      <c r="F89" s="32">
        <f>F82+F86+F87</f>
        <v/>
      </c>
    </row>
    <row r="90">
      <c r="A90" s="6" t="inlineStr">
        <is>
          <t>Group EBITDA margin</t>
        </is>
      </c>
      <c r="B90" s="8">
        <f>B89/B88</f>
        <v/>
      </c>
      <c r="C90" s="8">
        <f>C89/C88</f>
        <v/>
      </c>
      <c r="D90" s="8">
        <f>D89/D88</f>
        <v/>
      </c>
      <c r="E90" s="8">
        <f>E89/E88</f>
        <v/>
      </c>
      <c r="F90" s="8">
        <f>F89/F88</f>
        <v/>
      </c>
    </row>
    <row r="91"/>
    <row r="92">
      <c r="A92" s="20" t="inlineStr">
        <is>
          <t>The 2026 splice — the reported first half plus a modelled second half</t>
        </is>
      </c>
    </row>
    <row r="93">
      <c r="A93" s="6" t="inlineStr">
        <is>
          <t>Second-half volume (kt)</t>
        </is>
      </c>
      <c r="B93" s="22">
        <f>B74-D7</f>
        <v/>
      </c>
    </row>
    <row r="94">
      <c r="A94" s="6" t="inlineStr">
        <is>
          <t>Second-half revenue ($m)</t>
        </is>
      </c>
      <c r="B94" s="35">
        <f>B79-D8</f>
        <v/>
      </c>
    </row>
    <row r="95">
      <c r="A95" s="6" t="inlineStr">
        <is>
          <t>Second-half realised price ($/t)</t>
        </is>
      </c>
      <c r="B95" s="35">
        <f>B94*1000/B93</f>
        <v/>
      </c>
    </row>
    <row r="96">
      <c r="A96" s="6" t="inlineStr">
        <is>
          <t>Second-half cash cost per tonne ($/t)</t>
        </is>
      </c>
      <c r="B96" s="35">
        <f>Assumptions!$C$26+Assumptions!$C$25*B95</f>
        <v/>
      </c>
    </row>
    <row r="97">
      <c r="A97" s="6" t="inlineStr">
        <is>
          <t>Second-half EBITDA ($m)</t>
        </is>
      </c>
      <c r="B97" s="35">
        <f>B94-B93*B96/1000</f>
        <v/>
      </c>
    </row>
    <row r="98">
      <c r="A98" s="6" t="inlineStr">
        <is>
          <t>Full-year 2026 own-produced EBITDA ($m)</t>
        </is>
      </c>
      <c r="B98" s="36">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5">
        <f>(SUM(DCF!D7:F7)+SUM(DCF!D26:F26))/6</f>
        <v/>
      </c>
    </row>
    <row r="6">
      <c r="A6" s="6" t="inlineStr">
        <is>
          <t>Justified enterprise value / EBITDA</t>
        </is>
      </c>
      <c r="C6" s="40">
        <f>Assumptions!$C$83</f>
        <v/>
      </c>
    </row>
    <row r="7">
      <c r="A7" s="6" t="inlineStr">
        <is>
          <t>Implied enterprise value ($m)</t>
        </is>
      </c>
      <c r="C7" s="22">
        <f>C5*C6</f>
        <v/>
      </c>
    </row>
    <row r="8">
      <c r="A8" s="6" t="inlineStr">
        <is>
          <t>Less net debt, giving equity before minorities ($m)</t>
        </is>
      </c>
      <c r="C8" s="22">
        <f>C7-Assumptions!$C$70</f>
        <v/>
      </c>
    </row>
    <row r="9">
      <c r="A9" s="20" t="inlineStr">
        <is>
          <t>Implied value per share (AED)</t>
        </is>
      </c>
      <c r="C9" s="23">
        <f>C8*(1-Assumptions!$C$78)/Assumptions!$C$7*Assumptions!$C$6</f>
        <v/>
      </c>
    </row>
    <row r="10"/>
    <row r="11">
      <c r="A11" s="5" t="inlineStr">
        <is>
          <t>Trailing market check</t>
        </is>
      </c>
      <c r="B11" s="5" t="inlineStr">
        <is>
          <t>Value</t>
        </is>
      </c>
    </row>
    <row r="12">
      <c r="A12" s="6" t="inlineStr">
        <is>
          <t>Market capitalisation ($m)</t>
        </is>
      </c>
      <c r="C12" s="14">
        <f>DCF!C84</f>
        <v/>
      </c>
    </row>
    <row r="13">
      <c r="A13" s="6" t="inlineStr">
        <is>
          <t>Trailing enterprise value ($m)</t>
        </is>
      </c>
      <c r="C13" s="22">
        <f>C12+Assumptions!$C$70</f>
        <v/>
      </c>
    </row>
    <row r="14">
      <c r="A14" s="6" t="inlineStr">
        <is>
          <t>Trailing enterprise value / EBITDA (first half annualised)</t>
        </is>
      </c>
      <c r="C14" s="41">
        <f>C13/(Assumptions!$C$85*2)</f>
        <v/>
      </c>
    </row>
    <row r="15">
      <c r="A15" s="6" t="inlineStr">
        <is>
          <t>Trailing price / earnings (first half annualised)</t>
        </is>
      </c>
      <c r="C15" s="41">
        <f>C12/(Assumptions!$C$86*2)</f>
        <v/>
      </c>
    </row>
    <row r="16"/>
    <row r="17">
      <c r="A17" s="5" t="inlineStr">
        <is>
          <t>Normalised earnings power</t>
        </is>
      </c>
      <c r="B17" s="5" t="inlineStr">
        <is>
          <t>Value</t>
        </is>
      </c>
    </row>
    <row r="18">
      <c r="A18" s="6" t="inlineStr">
        <is>
          <t>Mid-cycle EBITDA margin — the average of FY2023 to FY2025</t>
        </is>
      </c>
      <c r="C18" s="8">
        <f>AVERAGE('Income Statement'!B24:D24)</f>
        <v/>
      </c>
    </row>
    <row r="19">
      <c r="A19" s="6" t="inlineStr">
        <is>
          <t>Mid-cycle revenue — the average of FY2028E to FY2030E on both framings ($m)</t>
        </is>
      </c>
      <c r="C19" s="35">
        <f>(SUM(DCF!D6:F6)+SUM(DCF!D25:F25))/6</f>
        <v/>
      </c>
    </row>
    <row r="20">
      <c r="A20" s="6" t="inlineStr">
        <is>
          <t>Normalised EBITDA ($m)</t>
        </is>
      </c>
      <c r="C20" s="35">
        <f>C19*C18</f>
        <v/>
      </c>
    </row>
    <row r="21">
      <c r="A21" s="6" t="inlineStr">
        <is>
          <t>Less depreciation, giving normalised EBIT ($m)</t>
        </is>
      </c>
      <c r="C21" s="35">
        <f>C20-Assumptions!$D$31</f>
        <v/>
      </c>
    </row>
    <row r="22">
      <c r="A22" s="6" t="inlineStr">
        <is>
          <t>Less interest on net debt ($m)</t>
        </is>
      </c>
      <c r="C22" s="35">
        <f>Assumptions!$C$71*Assumptions!$C$70</f>
        <v/>
      </c>
    </row>
    <row r="23">
      <c r="A23" s="6" t="inlineStr">
        <is>
          <t>Normalised profit to owners, after tax and minorities ($m)</t>
        </is>
      </c>
      <c r="C23" s="35">
        <f>(C21-C22)*(1-DCF!$C$106)*(1-Assumptions!$C$78)</f>
        <v/>
      </c>
    </row>
    <row r="24">
      <c r="A24" s="6" t="inlineStr">
        <is>
          <t>Normalised earnings per share ($)</t>
        </is>
      </c>
      <c r="C24" s="19">
        <f>C23/Assumptions!$C$7</f>
        <v/>
      </c>
    </row>
    <row r="25">
      <c r="A25" s="6" t="inlineStr">
        <is>
          <t>Justified price / earnings</t>
        </is>
      </c>
      <c r="C25" s="40">
        <f>Assumptions!$C$84</f>
        <v/>
      </c>
    </row>
    <row r="26">
      <c r="A26" s="20" t="inlineStr">
        <is>
          <t>Implied value per share (AED)</t>
        </is>
      </c>
      <c r="C26" s="23">
        <f>C24*C25*Assumptions!$C$6</f>
        <v/>
      </c>
    </row>
    <row r="27"/>
    <row r="28">
      <c r="A28" s="5" t="inlineStr">
        <is>
          <t>Book value and the sustainable return</t>
        </is>
      </c>
      <c r="B28" s="5" t="inlineStr">
        <is>
          <t>Value</t>
        </is>
      </c>
    </row>
    <row r="29">
      <c r="A29" s="6" t="inlineStr">
        <is>
          <t>Book value per share ($)</t>
        </is>
      </c>
      <c r="C29" s="19">
        <f>'Balance Sheet'!D18/Assumptions!$C$7</f>
        <v/>
      </c>
    </row>
    <row r="30">
      <c r="A30" s="6" t="inlineStr">
        <is>
          <t>Return on equity, trailing</t>
        </is>
      </c>
      <c r="C30" s="8">
        <f>'Income Statement'!D21/'Balance Sheet'!D18</f>
        <v/>
      </c>
    </row>
    <row r="31">
      <c r="A31" s="6" t="inlineStr">
        <is>
          <t>Sustainable return on equity — the average of the three audited years</t>
        </is>
      </c>
      <c r="C31" s="8">
        <f>('Income Statement'!B21/'Balance Sheet'!B18+'Income Statement'!C21/'Balance Sheet'!C18+'Income Statement'!D21/'Balance Sheet'!D18)/3</f>
        <v/>
      </c>
    </row>
    <row r="32">
      <c r="A32" s="6" t="inlineStr">
        <is>
          <t>Cost of equity, the average of the two premium bases</t>
        </is>
      </c>
      <c r="C32" s="17">
        <f>DCF!C80</f>
        <v/>
      </c>
    </row>
    <row r="33">
      <c r="A33" s="6" t="inlineStr">
        <is>
          <t>Justified price to book — return less growth, over cost of equity less growth</t>
        </is>
      </c>
      <c r="C33" s="41">
        <f>(C31-Assumptions!$C$74)/(C32-Assumptions!$C$74)</f>
        <v/>
      </c>
    </row>
    <row r="34">
      <c r="A34" s="20" t="inlineStr">
        <is>
          <t>Implied value per share (AED)</t>
        </is>
      </c>
      <c r="C34" s="23">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8"/>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0" t="inlineStr">
        <is>
          <t>FRAMING A — normalisation to a marginal-cost anchor</t>
        </is>
      </c>
      <c r="B5" s="12" t="n"/>
      <c r="C5" s="12" t="n"/>
      <c r="D5" s="12" t="n"/>
      <c r="E5" s="12" t="n"/>
      <c r="F5" s="12" t="n"/>
      <c r="G5" s="12" t="n"/>
    </row>
    <row r="6">
      <c r="A6" s="6" t="inlineStr">
        <is>
          <t>Revenue</t>
        </is>
      </c>
      <c r="B6" s="14">
        <f>Segments!B56</f>
        <v/>
      </c>
      <c r="C6" s="14">
        <f>Segments!C56</f>
        <v/>
      </c>
      <c r="D6" s="14">
        <f>Segments!D56</f>
        <v/>
      </c>
      <c r="E6" s="14">
        <f>Segments!E56</f>
        <v/>
      </c>
      <c r="F6" s="14">
        <f>Segments!F56</f>
        <v/>
      </c>
    </row>
    <row r="7">
      <c r="A7" s="6" t="inlineStr">
        <is>
          <t>EBITDA</t>
        </is>
      </c>
      <c r="B7" s="14">
        <f>Segments!B57</f>
        <v/>
      </c>
      <c r="C7" s="14">
        <f>Segments!C57</f>
        <v/>
      </c>
      <c r="D7" s="14">
        <f>Segments!D57</f>
        <v/>
      </c>
      <c r="E7" s="14">
        <f>Segments!E57</f>
        <v/>
      </c>
      <c r="F7" s="14">
        <f>Segments!F57</f>
        <v/>
      </c>
    </row>
    <row r="8">
      <c r="A8" s="6" t="inlineStr">
        <is>
          <t>EBITDA margin (EBITDA / revenue)</t>
        </is>
      </c>
      <c r="B8" s="8">
        <f>B7/B6</f>
        <v/>
      </c>
      <c r="C8" s="8">
        <f>C7/C6</f>
        <v/>
      </c>
      <c r="D8" s="8">
        <f>D7/D6</f>
        <v/>
      </c>
      <c r="E8" s="8">
        <f>E7/E6</f>
        <v/>
      </c>
      <c r="F8" s="8">
        <f>F7/F6</f>
        <v/>
      </c>
    </row>
    <row r="9">
      <c r="A9" s="6" t="inlineStr">
        <is>
          <t>Depreciation and amortisation</t>
        </is>
      </c>
      <c r="B9" s="14">
        <f>Assumptions!$B$31</f>
        <v/>
      </c>
      <c r="C9" s="14">
        <f>Assumptions!$C$31</f>
        <v/>
      </c>
      <c r="D9" s="14">
        <f>Assumptions!$D$31</f>
        <v/>
      </c>
      <c r="E9" s="14">
        <f>Assumptions!$E$31</f>
        <v/>
      </c>
      <c r="F9" s="14">
        <f>Assumptions!$F$31</f>
        <v/>
      </c>
    </row>
    <row r="10">
      <c r="A10" s="20" t="inlineStr">
        <is>
          <t>EBIT (EBITDA less depreciation and amortisation)</t>
        </is>
      </c>
      <c r="B10" s="32">
        <f>B7-B9</f>
        <v/>
      </c>
      <c r="C10" s="32">
        <f>C7-C9</f>
        <v/>
      </c>
      <c r="D10" s="32">
        <f>D7-D9</f>
        <v/>
      </c>
      <c r="E10" s="32">
        <f>E7-E9</f>
        <v/>
      </c>
      <c r="F10" s="32">
        <f>F7-F9</f>
        <v/>
      </c>
    </row>
    <row r="11">
      <c r="A11" s="6" t="inlineStr">
        <is>
          <t>Net operating profit after tax (EBIT times one less the tax rate)</t>
        </is>
      </c>
      <c r="B11" s="22">
        <f>B10*(1-$C$106)</f>
        <v/>
      </c>
      <c r="C11" s="22">
        <f>C10*(1-$C$106)</f>
        <v/>
      </c>
      <c r="D11" s="22">
        <f>D10*(1-$C$106)</f>
        <v/>
      </c>
      <c r="E11" s="22">
        <f>E10*(1-$C$106)</f>
        <v/>
      </c>
      <c r="F11" s="22">
        <f>F10*(1-$C$106)</f>
        <v/>
      </c>
    </row>
    <row r="12">
      <c r="A12" s="6" t="inlineStr">
        <is>
          <t>Add back depreciation and amortisation</t>
        </is>
      </c>
      <c r="B12" s="22">
        <f>B9</f>
        <v/>
      </c>
      <c r="C12" s="22">
        <f>C9</f>
        <v/>
      </c>
      <c r="D12" s="22">
        <f>D9</f>
        <v/>
      </c>
      <c r="E12" s="22">
        <f>E9</f>
        <v/>
      </c>
      <c r="F12" s="22">
        <f>F9</f>
        <v/>
      </c>
    </row>
    <row r="13">
      <c r="A13" s="6" t="inlineStr">
        <is>
          <t>Less capital expenditure</t>
        </is>
      </c>
      <c r="B13" s="14">
        <f>Assumptions!$B$32</f>
        <v/>
      </c>
      <c r="C13" s="14">
        <f>Assumptions!$C$32</f>
        <v/>
      </c>
      <c r="D13" s="14">
        <f>Assumptions!$D$32</f>
        <v/>
      </c>
      <c r="E13" s="14">
        <f>Assumptions!$E$32</f>
        <v/>
      </c>
      <c r="F13" s="14">
        <f>Assumptions!$F$32</f>
        <v/>
      </c>
    </row>
    <row r="14">
      <c r="A14" s="6" t="inlineStr">
        <is>
          <t>Trade and other receivables (days sales outstanding)</t>
        </is>
      </c>
      <c r="B14" s="35">
        <f>Assumptions!$C$35*B6/365</f>
        <v/>
      </c>
      <c r="C14" s="35">
        <f>Assumptions!$C$35*C6/365</f>
        <v/>
      </c>
      <c r="D14" s="35">
        <f>Assumptions!$C$35*D6/365</f>
        <v/>
      </c>
      <c r="E14" s="35">
        <f>Assumptions!$C$35*E6/365</f>
        <v/>
      </c>
      <c r="F14" s="35">
        <f>Assumptions!$C$35*F6/365</f>
        <v/>
      </c>
    </row>
    <row r="15">
      <c r="A15" s="6" t="inlineStr">
        <is>
          <t>Inventories (days inventory outstanding)</t>
        </is>
      </c>
      <c r="B15" s="35">
        <f>Assumptions!$C$36*(B6-B7)/365</f>
        <v/>
      </c>
      <c r="C15" s="35">
        <f>Assumptions!$C$36*(C6-C7)/365</f>
        <v/>
      </c>
      <c r="D15" s="35">
        <f>Assumptions!$C$36*(D6-D7)/365</f>
        <v/>
      </c>
      <c r="E15" s="35">
        <f>Assumptions!$C$36*(E6-E7)/365</f>
        <v/>
      </c>
      <c r="F15" s="35">
        <f>Assumptions!$C$36*(F6-F7)/365</f>
        <v/>
      </c>
    </row>
    <row r="16">
      <c r="A16" s="6" t="inlineStr">
        <is>
          <t>Trade and other payables (days payables outstanding)</t>
        </is>
      </c>
      <c r="B16" s="35">
        <f>Assumptions!$C$37*(B6-B7)/365</f>
        <v/>
      </c>
      <c r="C16" s="35">
        <f>Assumptions!$C$37*(C6-C7)/365</f>
        <v/>
      </c>
      <c r="D16" s="35">
        <f>Assumptions!$C$37*(D6-D7)/365</f>
        <v/>
      </c>
      <c r="E16" s="35">
        <f>Assumptions!$C$37*(E6-E7)/365</f>
        <v/>
      </c>
      <c r="F16" s="35">
        <f>Assumptions!$C$37*(F6-F7)/365</f>
        <v/>
      </c>
    </row>
    <row r="17">
      <c r="A17" s="6" t="inlineStr">
        <is>
          <t>Net working capital</t>
        </is>
      </c>
      <c r="B17" s="35">
        <f>B14+B15-B16</f>
        <v/>
      </c>
      <c r="C17" s="35">
        <f>C14+C15-C16</f>
        <v/>
      </c>
      <c r="D17" s="35">
        <f>D14+D15-D16</f>
        <v/>
      </c>
      <c r="E17" s="35">
        <f>E14+E15-E16</f>
        <v/>
      </c>
      <c r="F17" s="35">
        <f>F14+F15-F16</f>
        <v/>
      </c>
    </row>
    <row r="18">
      <c r="A18" s="6" t="inlineStr">
        <is>
          <t>Less change in net working capital</t>
        </is>
      </c>
      <c r="B18" s="35">
        <f>B17-Assumptions!$C$38</f>
        <v/>
      </c>
      <c r="C18" s="35">
        <f>C17-B17</f>
        <v/>
      </c>
      <c r="D18" s="35">
        <f>D17-C17</f>
        <v/>
      </c>
      <c r="E18" s="35">
        <f>E17-D17</f>
        <v/>
      </c>
      <c r="F18" s="35">
        <f>F17-E17</f>
        <v/>
      </c>
    </row>
    <row r="19">
      <c r="A19" s="20" t="inlineStr">
        <is>
          <t>Free cash flow to the firm</t>
        </is>
      </c>
      <c r="B19" s="32">
        <f>B11+B12-B13-B18</f>
        <v/>
      </c>
      <c r="C19" s="32">
        <f>C11+C12-C13-C18</f>
        <v/>
      </c>
      <c r="D19" s="32">
        <f>D11+D12-D13-D18</f>
        <v/>
      </c>
      <c r="E19" s="32">
        <f>E11+E12-E13-E18</f>
        <v/>
      </c>
      <c r="F19" s="32">
        <f>F11+F12-F13-F18</f>
        <v/>
      </c>
    </row>
    <row r="20">
      <c r="A20" s="6" t="inlineStr">
        <is>
          <t>Forward cost of capital</t>
        </is>
      </c>
      <c r="B20" s="30">
        <f>$C$88+($C$91-$C$88)*B96</f>
        <v/>
      </c>
      <c r="C20" s="30">
        <f>$C$88+($C$91-$C$88)*C96</f>
        <v/>
      </c>
      <c r="D20" s="30">
        <f>$C$88+($C$91-$C$88)*D96</f>
        <v/>
      </c>
      <c r="E20" s="30">
        <f>$C$88+($C$91-$C$88)*E96</f>
        <v/>
      </c>
      <c r="F20" s="30">
        <f>$C$88+($C$91-$C$88)*F96</f>
        <v/>
      </c>
    </row>
    <row r="21">
      <c r="A21" s="6" t="inlineStr">
        <is>
          <t>Discount factor (each one the year before, divided by one plus that year's rate)</t>
        </is>
      </c>
      <c r="B21" s="42">
        <f>1/(1+B20)</f>
        <v/>
      </c>
      <c r="C21" s="42">
        <f>B21/(1+C20)</f>
        <v/>
      </c>
      <c r="D21" s="42">
        <f>C21/(1+D20)</f>
        <v/>
      </c>
      <c r="E21" s="42">
        <f>D21/(1+E20)</f>
        <v/>
      </c>
      <c r="F21" s="42">
        <f>E21/(1+F20)</f>
        <v/>
      </c>
    </row>
    <row r="22">
      <c r="A22" s="20" t="inlineStr">
        <is>
          <t>Present value of free cash flow</t>
        </is>
      </c>
      <c r="B22" s="32">
        <f>B19*B21</f>
        <v/>
      </c>
      <c r="C22" s="32">
        <f>C19*C21</f>
        <v/>
      </c>
      <c r="D22" s="32">
        <f>D19*D21</f>
        <v/>
      </c>
      <c r="E22" s="32">
        <f>E19*E21</f>
        <v/>
      </c>
      <c r="F22" s="32">
        <f>F19*F21</f>
        <v/>
      </c>
    </row>
    <row r="23"/>
    <row r="24">
      <c r="A24" s="10" t="inlineStr">
        <is>
          <t>FRAMING B — a structurally tight market</t>
        </is>
      </c>
      <c r="B24" s="12" t="n"/>
      <c r="C24" s="12" t="n"/>
      <c r="D24" s="12" t="n"/>
      <c r="E24" s="12" t="n"/>
      <c r="F24" s="12" t="n"/>
      <c r="G24" s="12" t="n"/>
    </row>
    <row r="25">
      <c r="A25" s="6" t="inlineStr">
        <is>
          <t>Revenue</t>
        </is>
      </c>
      <c r="B25" s="14">
        <f>Segments!B88</f>
        <v/>
      </c>
      <c r="C25" s="14">
        <f>Segments!C88</f>
        <v/>
      </c>
      <c r="D25" s="14">
        <f>Segments!D88</f>
        <v/>
      </c>
      <c r="E25" s="14">
        <f>Segments!E88</f>
        <v/>
      </c>
      <c r="F25" s="14">
        <f>Segments!F88</f>
        <v/>
      </c>
    </row>
    <row r="26">
      <c r="A26" s="6" t="inlineStr">
        <is>
          <t>EBITDA</t>
        </is>
      </c>
      <c r="B26" s="14">
        <f>Segments!B89</f>
        <v/>
      </c>
      <c r="C26" s="14">
        <f>Segments!C89</f>
        <v/>
      </c>
      <c r="D26" s="14">
        <f>Segments!D89</f>
        <v/>
      </c>
      <c r="E26" s="14">
        <f>Segments!E89</f>
        <v/>
      </c>
      <c r="F26" s="14">
        <f>Segments!F89</f>
        <v/>
      </c>
    </row>
    <row r="27">
      <c r="A27" s="6" t="inlineStr">
        <is>
          <t>EBITDA margin (EBITDA / revenue)</t>
        </is>
      </c>
      <c r="B27" s="8">
        <f>B26/B25</f>
        <v/>
      </c>
      <c r="C27" s="8">
        <f>C26/C25</f>
        <v/>
      </c>
      <c r="D27" s="8">
        <f>D26/D25</f>
        <v/>
      </c>
      <c r="E27" s="8">
        <f>E26/E25</f>
        <v/>
      </c>
      <c r="F27" s="8">
        <f>F26/F25</f>
        <v/>
      </c>
    </row>
    <row r="28">
      <c r="A28" s="6" t="inlineStr">
        <is>
          <t>Depreciation and amortisation</t>
        </is>
      </c>
      <c r="B28" s="14">
        <f>Assumptions!$B$31</f>
        <v/>
      </c>
      <c r="C28" s="14">
        <f>Assumptions!$C$31</f>
        <v/>
      </c>
      <c r="D28" s="14">
        <f>Assumptions!$D$31</f>
        <v/>
      </c>
      <c r="E28" s="14">
        <f>Assumptions!$E$31</f>
        <v/>
      </c>
      <c r="F28" s="14">
        <f>Assumptions!$F$31</f>
        <v/>
      </c>
    </row>
    <row r="29">
      <c r="A29" s="20" t="inlineStr">
        <is>
          <t>EBIT (EBITDA less depreciation and amortisation)</t>
        </is>
      </c>
      <c r="B29" s="32">
        <f>B26-B28</f>
        <v/>
      </c>
      <c r="C29" s="32">
        <f>C26-C28</f>
        <v/>
      </c>
      <c r="D29" s="32">
        <f>D26-D28</f>
        <v/>
      </c>
      <c r="E29" s="32">
        <f>E26-E28</f>
        <v/>
      </c>
      <c r="F29" s="32">
        <f>F26-F28</f>
        <v/>
      </c>
    </row>
    <row r="30">
      <c r="A30" s="6" t="inlineStr">
        <is>
          <t>Net operating profit after tax (EBIT times one less the tax rate)</t>
        </is>
      </c>
      <c r="B30" s="22">
        <f>B29*(1-$C$106)</f>
        <v/>
      </c>
      <c r="C30" s="22">
        <f>C29*(1-$C$106)</f>
        <v/>
      </c>
      <c r="D30" s="22">
        <f>D29*(1-$C$106)</f>
        <v/>
      </c>
      <c r="E30" s="22">
        <f>E29*(1-$C$106)</f>
        <v/>
      </c>
      <c r="F30" s="22">
        <f>F29*(1-$C$106)</f>
        <v/>
      </c>
    </row>
    <row r="31">
      <c r="A31" s="6" t="inlineStr">
        <is>
          <t>Add back depreciation and amortisation</t>
        </is>
      </c>
      <c r="B31" s="22">
        <f>B28</f>
        <v/>
      </c>
      <c r="C31" s="22">
        <f>C28</f>
        <v/>
      </c>
      <c r="D31" s="22">
        <f>D28</f>
        <v/>
      </c>
      <c r="E31" s="22">
        <f>E28</f>
        <v/>
      </c>
      <c r="F31" s="22">
        <f>F28</f>
        <v/>
      </c>
    </row>
    <row r="32">
      <c r="A32" s="6" t="inlineStr">
        <is>
          <t>Less capital expenditure</t>
        </is>
      </c>
      <c r="B32" s="14">
        <f>Assumptions!$B$32</f>
        <v/>
      </c>
      <c r="C32" s="14">
        <f>Assumptions!$C$32</f>
        <v/>
      </c>
      <c r="D32" s="14">
        <f>Assumptions!$D$32</f>
        <v/>
      </c>
      <c r="E32" s="14">
        <f>Assumptions!$E$32</f>
        <v/>
      </c>
      <c r="F32" s="14">
        <f>Assumptions!$F$32</f>
        <v/>
      </c>
    </row>
    <row r="33">
      <c r="A33" s="6" t="inlineStr">
        <is>
          <t>Trade and other receivables (days sales outstanding)</t>
        </is>
      </c>
      <c r="B33" s="35">
        <f>Assumptions!$C$35*B25/365</f>
        <v/>
      </c>
      <c r="C33" s="35">
        <f>Assumptions!$C$35*C25/365</f>
        <v/>
      </c>
      <c r="D33" s="35">
        <f>Assumptions!$C$35*D25/365</f>
        <v/>
      </c>
      <c r="E33" s="35">
        <f>Assumptions!$C$35*E25/365</f>
        <v/>
      </c>
      <c r="F33" s="35">
        <f>Assumptions!$C$35*F25/365</f>
        <v/>
      </c>
    </row>
    <row r="34">
      <c r="A34" s="6" t="inlineStr">
        <is>
          <t>Inventories (days inventory outstanding)</t>
        </is>
      </c>
      <c r="B34" s="35">
        <f>Assumptions!$C$36*(B25-B26)/365</f>
        <v/>
      </c>
      <c r="C34" s="35">
        <f>Assumptions!$C$36*(C25-C26)/365</f>
        <v/>
      </c>
      <c r="D34" s="35">
        <f>Assumptions!$C$36*(D25-D26)/365</f>
        <v/>
      </c>
      <c r="E34" s="35">
        <f>Assumptions!$C$36*(E25-E26)/365</f>
        <v/>
      </c>
      <c r="F34" s="35">
        <f>Assumptions!$C$36*(F25-F26)/365</f>
        <v/>
      </c>
    </row>
    <row r="35">
      <c r="A35" s="6" t="inlineStr">
        <is>
          <t>Trade and other payables (days payables outstanding)</t>
        </is>
      </c>
      <c r="B35" s="35">
        <f>Assumptions!$C$37*(B25-B26)/365</f>
        <v/>
      </c>
      <c r="C35" s="35">
        <f>Assumptions!$C$37*(C25-C26)/365</f>
        <v/>
      </c>
      <c r="D35" s="35">
        <f>Assumptions!$C$37*(D25-D26)/365</f>
        <v/>
      </c>
      <c r="E35" s="35">
        <f>Assumptions!$C$37*(E25-E26)/365</f>
        <v/>
      </c>
      <c r="F35" s="35">
        <f>Assumptions!$C$37*(F25-F26)/365</f>
        <v/>
      </c>
    </row>
    <row r="36">
      <c r="A36" s="6" t="inlineStr">
        <is>
          <t>Net working capital</t>
        </is>
      </c>
      <c r="B36" s="35">
        <f>B33+B34-B35</f>
        <v/>
      </c>
      <c r="C36" s="35">
        <f>C33+C34-C35</f>
        <v/>
      </c>
      <c r="D36" s="35">
        <f>D33+D34-D35</f>
        <v/>
      </c>
      <c r="E36" s="35">
        <f>E33+E34-E35</f>
        <v/>
      </c>
      <c r="F36" s="35">
        <f>F33+F34-F35</f>
        <v/>
      </c>
    </row>
    <row r="37">
      <c r="A37" s="6" t="inlineStr">
        <is>
          <t>Less change in net working capital</t>
        </is>
      </c>
      <c r="B37" s="35">
        <f>B36-Assumptions!$C$38</f>
        <v/>
      </c>
      <c r="C37" s="35">
        <f>C36-B36</f>
        <v/>
      </c>
      <c r="D37" s="35">
        <f>D36-C36</f>
        <v/>
      </c>
      <c r="E37" s="35">
        <f>E36-D36</f>
        <v/>
      </c>
      <c r="F37" s="35">
        <f>F36-E36</f>
        <v/>
      </c>
    </row>
    <row r="38">
      <c r="A38" s="20" t="inlineStr">
        <is>
          <t>Free cash flow to the firm</t>
        </is>
      </c>
      <c r="B38" s="32">
        <f>B30+B31-B32-B37</f>
        <v/>
      </c>
      <c r="C38" s="32">
        <f>C30+C31-C32-C37</f>
        <v/>
      </c>
      <c r="D38" s="32">
        <f>D30+D31-D32-D37</f>
        <v/>
      </c>
      <c r="E38" s="32">
        <f>E30+E31-E32-E37</f>
        <v/>
      </c>
      <c r="F38" s="32">
        <f>F30+F31-F32-F37</f>
        <v/>
      </c>
    </row>
    <row r="39">
      <c r="A39" s="6" t="inlineStr">
        <is>
          <t>Forward cost of capital</t>
        </is>
      </c>
      <c r="B39" s="30">
        <f>$C$88+($C$91-$C$88)*B96</f>
        <v/>
      </c>
      <c r="C39" s="30">
        <f>$C$88+($C$91-$C$88)*C96</f>
        <v/>
      </c>
      <c r="D39" s="30">
        <f>$C$88+($C$91-$C$88)*D96</f>
        <v/>
      </c>
      <c r="E39" s="30">
        <f>$C$88+($C$91-$C$88)*E96</f>
        <v/>
      </c>
      <c r="F39" s="30">
        <f>$C$88+($C$91-$C$88)*F96</f>
        <v/>
      </c>
    </row>
    <row r="40">
      <c r="A40" s="6" t="inlineStr">
        <is>
          <t>Discount factor (each one the year before, divided by one plus that year's rate)</t>
        </is>
      </c>
      <c r="B40" s="42">
        <f>1/(1+B39)</f>
        <v/>
      </c>
      <c r="C40" s="42">
        <f>B40/(1+C39)</f>
        <v/>
      </c>
      <c r="D40" s="42">
        <f>C40/(1+D39)</f>
        <v/>
      </c>
      <c r="E40" s="42">
        <f>D40/(1+E39)</f>
        <v/>
      </c>
      <c r="F40" s="42">
        <f>E40/(1+F39)</f>
        <v/>
      </c>
    </row>
    <row r="41">
      <c r="A41" s="20" t="inlineStr">
        <is>
          <t>Present value of free cash flow</t>
        </is>
      </c>
      <c r="B41" s="32">
        <f>B38*B40</f>
        <v/>
      </c>
      <c r="C41" s="32">
        <f>C38*C40</f>
        <v/>
      </c>
      <c r="D41" s="32">
        <f>D38*D40</f>
        <v/>
      </c>
      <c r="E41" s="32">
        <f>E38*E40</f>
        <v/>
      </c>
      <c r="F41" s="32">
        <f>F38*F40</f>
        <v/>
      </c>
    </row>
    <row r="42"/>
    <row r="43">
      <c r="A43" s="10" t="inlineStr">
        <is>
          <t>TERMINAL BLOCK AND ENTERPRISE VALUE</t>
        </is>
      </c>
      <c r="B43" s="12" t="n"/>
      <c r="C43" s="10" t="inlineStr">
        <is>
          <t>Framing A</t>
        </is>
      </c>
      <c r="D43" s="10" t="inlineStr">
        <is>
          <t>Framing B</t>
        </is>
      </c>
      <c r="E43" s="12" t="n"/>
      <c r="F43" s="12" t="n"/>
      <c r="G43" s="12" t="n"/>
    </row>
    <row r="44">
      <c r="A44" s="6" t="inlineStr">
        <is>
          <t>Net working capital, FY2030E</t>
        </is>
      </c>
      <c r="C44" s="35">
        <f>F17</f>
        <v/>
      </c>
      <c r="D44" s="35">
        <f>F36</f>
        <v/>
      </c>
    </row>
    <row r="45">
      <c r="A45" s="6" t="inlineStr">
        <is>
          <t>Net operating profit after tax, FY2030E</t>
        </is>
      </c>
      <c r="C45" s="35">
        <f>F11</f>
        <v/>
      </c>
      <c r="D45" s="35">
        <f>F30</f>
        <v/>
      </c>
    </row>
    <row r="46">
      <c r="A46" s="6" t="inlineStr">
        <is>
          <t>Invested capital at book, FY2030E (property plus working capital)</t>
        </is>
      </c>
      <c r="C46" s="35">
        <f>'Balance Sheet'!I5+C44</f>
        <v/>
      </c>
      <c r="D46" s="35">
        <f>'Balance Sheet'!I5+D44</f>
        <v/>
      </c>
    </row>
    <row r="47">
      <c r="A47" s="6" t="inlineStr">
        <is>
          <t>Invested capital at replacement cost, FY2030E</t>
        </is>
      </c>
      <c r="C47" s="35">
        <f>(Assumptions!$C$10+Assumptions!$C$11)*Assumptions!$C$76/1000+C44</f>
        <v/>
      </c>
      <c r="D47" s="35">
        <f>(Assumptions!$C$10+Assumptions!$C$11)*Assumptions!$C$76/1000+D44</f>
        <v/>
      </c>
    </row>
    <row r="48">
      <c r="A48" s="6" t="inlineStr">
        <is>
          <t>Return on capital — book basis</t>
        </is>
      </c>
      <c r="C48" s="8">
        <f>C45/C46</f>
        <v/>
      </c>
      <c r="D48" s="8">
        <f>D45/D46</f>
        <v/>
      </c>
    </row>
    <row r="49">
      <c r="A49" s="6" t="inlineStr">
        <is>
          <t>Return on capital — replacement-cost basis</t>
        </is>
      </c>
      <c r="C49" s="8">
        <f>C45/C47</f>
        <v/>
      </c>
      <c r="D49" s="8">
        <f>D45/D47</f>
        <v/>
      </c>
    </row>
    <row r="50">
      <c r="A50" s="6" t="inlineStr">
        <is>
          <t>Return on capital — long-run sector</t>
        </is>
      </c>
      <c r="C50" s="9">
        <f>Assumptions!$C$75</f>
        <v/>
      </c>
      <c r="D50" s="9">
        <f>Assumptions!$C$75</f>
        <v/>
      </c>
    </row>
    <row r="51">
      <c r="A51" s="20" t="inlineStr">
        <is>
          <t>Terminal return on capital (the average of the three above)</t>
        </is>
      </c>
      <c r="C51" s="33">
        <f>AVERAGE(C48:C50)</f>
        <v/>
      </c>
      <c r="D51" s="33">
        <f>AVERAGE(D48:D50)</f>
        <v/>
      </c>
    </row>
    <row r="52">
      <c r="A52" s="6" t="inlineStr">
        <is>
          <t>Terminal growth (house inflation plus a stated real growth of zero)</t>
        </is>
      </c>
      <c r="C52" s="9">
        <f>Assumptions!$C$74</f>
        <v/>
      </c>
      <c r="D52" s="9">
        <f>Assumptions!$C$74</f>
        <v/>
      </c>
    </row>
    <row r="53">
      <c r="A53" s="6" t="inlineStr">
        <is>
          <t>Composite asset life, derived from note 7 (cost / annual depreciation)</t>
        </is>
      </c>
      <c r="C53" s="15">
        <f>Assumptions!$C$77</f>
        <v/>
      </c>
      <c r="D53" s="15">
        <f>Assumptions!$C$77</f>
        <v/>
      </c>
    </row>
    <row r="54">
      <c r="A54" s="6" t="inlineStr">
        <is>
          <t>Capital maintenance at replacement cost (invested capital / that life)</t>
        </is>
      </c>
      <c r="C54" s="35">
        <f>C47/C53</f>
        <v/>
      </c>
      <c r="D54" s="35">
        <f>D47/D53</f>
        <v/>
      </c>
    </row>
    <row r="55">
      <c r="A55" s="6" t="inlineStr">
        <is>
          <t>Add back book depreciation (profit after tax is already net of it)</t>
        </is>
      </c>
      <c r="C55" s="35">
        <f>F9</f>
        <v/>
      </c>
      <c r="D55" s="35">
        <f>F28</f>
        <v/>
      </c>
    </row>
    <row r="56">
      <c r="A56" s="6" t="inlineStr">
        <is>
          <t>Inflation on working capital</t>
        </is>
      </c>
      <c r="C56" s="35">
        <f>C52*C44</f>
        <v/>
      </c>
      <c r="D56" s="35">
        <f>D52*D44</f>
        <v/>
      </c>
    </row>
    <row r="57">
      <c r="A57" s="6" t="inlineStr">
        <is>
          <t>Terminal free cash flow</t>
        </is>
      </c>
      <c r="C57" s="35">
        <f>C45+C55-C54-C56</f>
        <v/>
      </c>
      <c r="D57" s="35">
        <f>D45+D55-D54-D56</f>
        <v/>
      </c>
    </row>
    <row r="58">
      <c r="A58" s="6" t="inlineStr">
        <is>
          <t>Terminal cost of capital</t>
        </is>
      </c>
      <c r="C58" s="30">
        <f>$C$91</f>
        <v/>
      </c>
      <c r="D58" s="30">
        <f>$C$91</f>
        <v/>
      </c>
    </row>
    <row r="59">
      <c r="A59" s="20" t="inlineStr">
        <is>
          <t>Terminal value</t>
        </is>
      </c>
      <c r="C59" s="32">
        <f>C57*(1+C52)/(C58-C52)</f>
        <v/>
      </c>
      <c r="D59" s="32">
        <f>D57*(1+D52)/(D58-D52)</f>
        <v/>
      </c>
    </row>
    <row r="60">
      <c r="A60" s="6" t="inlineStr">
        <is>
          <t>Present value of the five explicit years</t>
        </is>
      </c>
      <c r="C60" s="22">
        <f>SUM(B22:F22)</f>
        <v/>
      </c>
      <c r="D60" s="22">
        <f>SUM(B41:F41)</f>
        <v/>
      </c>
    </row>
    <row r="61">
      <c r="A61" s="6" t="inlineStr">
        <is>
          <t>Present value of the terminal value</t>
        </is>
      </c>
      <c r="C61" s="22">
        <f>C59*F21</f>
        <v/>
      </c>
      <c r="D61" s="22">
        <f>D59*F40</f>
        <v/>
      </c>
    </row>
    <row r="62">
      <c r="A62" s="20" t="inlineStr">
        <is>
          <t>Enterprise value</t>
        </is>
      </c>
      <c r="C62" s="32">
        <f>C60+C61</f>
        <v/>
      </c>
      <c r="D62" s="32">
        <f>D60+D61</f>
        <v/>
      </c>
    </row>
    <row r="63">
      <c r="A63" s="20" t="inlineStr">
        <is>
          <t>Terminal value as a share of enterprise value</t>
        </is>
      </c>
      <c r="C63" s="33">
        <f>C61/C62</f>
        <v/>
      </c>
      <c r="D63" s="33">
        <f>D61/D62</f>
        <v/>
      </c>
    </row>
    <row r="64">
      <c r="A64" s="6" t="inlineStr">
        <is>
          <t>Terminal value implied enterprise value / EBITDA</t>
        </is>
      </c>
      <c r="C64" s="41">
        <f>C59/F7</f>
        <v/>
      </c>
      <c r="D64" s="41">
        <f>D59/F26</f>
        <v/>
      </c>
    </row>
    <row r="65"/>
    <row r="66">
      <c r="A66" s="10" t="inlineStr">
        <is>
          <t>COST OF CAPITAL — BUILT HERE, NOT PASTED</t>
        </is>
      </c>
      <c r="B66" s="12" t="n"/>
      <c r="C66" s="12" t="n"/>
      <c r="D66" s="12" t="n"/>
      <c r="E66" s="12" t="n"/>
      <c r="F66" s="12" t="n"/>
      <c r="G66" s="12" t="n"/>
    </row>
    <row r="67">
      <c r="A67" s="6" t="inlineStr">
        <is>
          <t>Ten-year United States Treasury yield</t>
        </is>
      </c>
      <c r="C67" s="17">
        <f>Assumptions!$C$54</f>
        <v/>
      </c>
    </row>
    <row r="68">
      <c r="A68" s="6" t="inlineStr">
        <is>
          <t>Abu Dhabi sovereign credit default swap spread</t>
        </is>
      </c>
      <c r="C68" s="17">
        <f>Assumptions!$C$55</f>
        <v/>
      </c>
    </row>
    <row r="69">
      <c r="A69" s="6" t="inlineStr">
        <is>
          <t>Abu Dhabi US dollar sovereign yield, ten year</t>
        </is>
      </c>
      <c r="C69" s="30">
        <f>C67+C68</f>
        <v/>
      </c>
    </row>
    <row r="70">
      <c r="A70" s="6" t="inlineStr">
        <is>
          <t>Less the sovereign's own adjusted default spread</t>
        </is>
      </c>
      <c r="C70" s="17">
        <f>Assumptions!$C$56</f>
        <v/>
      </c>
    </row>
    <row r="71">
      <c r="A71" s="20" t="inlineStr">
        <is>
          <t>Risk-free rate, normalised (rating basis)</t>
        </is>
      </c>
      <c r="C71" s="43">
        <f>C69-C70</f>
        <v/>
      </c>
    </row>
    <row r="72">
      <c r="A72" s="6" t="inlineStr">
        <is>
          <t>Risk-free rate, normalised (swap basis)</t>
        </is>
      </c>
      <c r="C72" s="30">
        <f>C69-C68</f>
        <v/>
      </c>
    </row>
    <row r="73">
      <c r="A73" s="6" t="inlineStr">
        <is>
          <t>Share of non-current assets outside the core countries</t>
        </is>
      </c>
      <c r="C73" s="8">
        <f>Assumptions!$C$68/Assumptions!$C$69</f>
        <v/>
      </c>
    </row>
    <row r="74">
      <c r="A74" s="6" t="inlineStr">
        <is>
          <t>Share of non-current assets in the United Arab Emirates</t>
        </is>
      </c>
      <c r="C74" s="8">
        <f>1-Assumptions!$C$44-Assumptions!$C$45-C73</f>
        <v/>
      </c>
    </row>
    <row r="75">
      <c r="A75" s="6" t="inlineStr">
        <is>
          <t>Equity risk premium, asset-weighted (rating basis)</t>
        </is>
      </c>
      <c r="C75" s="30">
        <f>C74*Assumptions!$C$57+Assumptions!$C$44*Assumptions!$C$60+Assumptions!$C$45*Assumptions!$C$62+C73*Assumptions!$C$63</f>
        <v/>
      </c>
    </row>
    <row r="76">
      <c r="A76" s="6" t="inlineStr">
        <is>
          <t>Equity risk premium, asset-weighted (swap basis)</t>
        </is>
      </c>
      <c r="C76" s="30">
        <f>C74*Assumptions!$C$59+Assumptions!$C$44*Assumptions!$C$61+Assumptions!$C$45*Assumptions!$C$62+C73*Assumptions!$C$63</f>
        <v/>
      </c>
    </row>
    <row r="77">
      <c r="A77" s="6" t="inlineStr">
        <is>
          <t>Beta</t>
        </is>
      </c>
      <c r="C77" s="16">
        <f>Assumptions!$C$64</f>
        <v/>
      </c>
    </row>
    <row r="78">
      <c r="A78" s="20" t="inlineStr">
        <is>
          <t>Cost of equity (rating basis) — risk free plus beta times the premium</t>
        </is>
      </c>
      <c r="C78" s="43">
        <f>C71+C77*C75</f>
        <v/>
      </c>
    </row>
    <row r="79">
      <c r="A79" s="6" t="inlineStr">
        <is>
          <t>Cost of equity (swap basis)</t>
        </is>
      </c>
      <c r="C79" s="30">
        <f>C72+C77*C76</f>
        <v/>
      </c>
    </row>
    <row r="80">
      <c r="A80" s="6" t="inlineStr">
        <is>
          <t>Cost of equity, the average of the two bases</t>
        </is>
      </c>
      <c r="C80" s="30">
        <f>AVERAGE(C78:C79)</f>
        <v/>
      </c>
    </row>
    <row r="81">
      <c r="A81" s="6" t="inlineStr">
        <is>
          <t>Marginal debt spread (the average of the two most recent facilities)</t>
        </is>
      </c>
      <c r="C81" s="30">
        <f>AVERAGE(Assumptions!$C$65,Assumptions!$C$66)</f>
        <v/>
      </c>
    </row>
    <row r="82">
      <c r="A82" s="6" t="inlineStr">
        <is>
          <t>Cost of debt, marginal</t>
        </is>
      </c>
      <c r="C82" s="30">
        <f>C67+C81</f>
        <v/>
      </c>
    </row>
    <row r="83">
      <c r="A83" s="6" t="inlineStr">
        <is>
          <t>Cost of debt after tax</t>
        </is>
      </c>
      <c r="C83" s="30">
        <f>C82*(1-$C$106)</f>
        <v/>
      </c>
    </row>
    <row r="84">
      <c r="A84" s="6" t="inlineStr">
        <is>
          <t>Market capitalisation ($m)</t>
        </is>
      </c>
      <c r="C84" s="22">
        <f>Assumptions!$C$7*Assumptions!$C$5/Assumptions!$C$6</f>
        <v/>
      </c>
    </row>
    <row r="85">
      <c r="A85" s="6" t="inlineStr">
        <is>
          <t>Net debt ($m)</t>
        </is>
      </c>
      <c r="C85" s="15">
        <f>Assumptions!$C$70</f>
        <v/>
      </c>
    </row>
    <row r="86">
      <c r="A86" s="6" t="inlineStr">
        <is>
          <t>Equity weight (market capitalisation over capital)</t>
        </is>
      </c>
      <c r="C86" s="8">
        <f>C84/(C84+C85)</f>
        <v/>
      </c>
    </row>
    <row r="87">
      <c r="A87" s="6" t="inlineStr">
        <is>
          <t>Debt weight</t>
        </is>
      </c>
      <c r="C87" s="8">
        <f>1-C86</f>
        <v/>
      </c>
    </row>
    <row r="88">
      <c r="A88" s="20" t="inlineStr">
        <is>
          <t>Cost of capital, explicit window (rating basis)</t>
        </is>
      </c>
      <c r="C88" s="43">
        <f>C86*C78+C87*C83</f>
        <v/>
      </c>
    </row>
    <row r="89">
      <c r="A89" s="6" t="inlineStr">
        <is>
          <t>Cost of capital, explicit window (swap basis)</t>
        </is>
      </c>
      <c r="C89" s="30">
        <f>C86*C79+C87*C83</f>
        <v/>
      </c>
    </row>
    <row r="90">
      <c r="A90" s="6" t="inlineStr">
        <is>
          <t>Terminal debt weight</t>
        </is>
      </c>
      <c r="C90" s="9">
        <f>Assumptions!$C$67</f>
        <v/>
      </c>
    </row>
    <row r="91">
      <c r="A91" s="20" t="inlineStr">
        <is>
          <t>Terminal cost of capital (rating basis)</t>
        </is>
      </c>
      <c r="C91" s="43">
        <f>(1-C90)*C78+C90*C83</f>
        <v/>
      </c>
    </row>
    <row r="92">
      <c r="A92" s="6" t="inlineStr">
        <is>
          <t>Terminal cost of capital (swap basis)</t>
        </is>
      </c>
      <c r="C92" s="30">
        <f>(1-C90)*C79+C90*C83</f>
        <v/>
      </c>
    </row>
    <row r="93"/>
    <row r="94">
      <c r="A94" s="10" t="inlineStr">
        <is>
          <t>THE GLIDE — SHOWN AS IT IS DERIVED</t>
        </is>
      </c>
      <c r="B94" s="12" t="n"/>
      <c r="C94" s="12" t="n"/>
      <c r="D94" s="12" t="n"/>
      <c r="E94" s="12" t="n"/>
      <c r="F94" s="12" t="n"/>
      <c r="G94" s="12" t="n"/>
    </row>
    <row r="95">
      <c r="A95" s="6" t="inlineStr">
        <is>
          <t>Year in the explicit window</t>
        </is>
      </c>
      <c r="B95" s="26" t="n">
        <v>1</v>
      </c>
      <c r="C95" s="22">
        <f>B95+1</f>
        <v/>
      </c>
      <c r="D95" s="22">
        <f>C95+1</f>
        <v/>
      </c>
      <c r="E95" s="22">
        <f>D95+1</f>
        <v/>
      </c>
      <c r="F95" s="22">
        <f>E95+1</f>
        <v/>
      </c>
    </row>
    <row r="96">
      <c r="A96" s="6" t="inlineStr">
        <is>
          <t>Glide fraction (this year over the last year of the window)</t>
        </is>
      </c>
      <c r="B96" s="8">
        <f>B95/$F$95</f>
        <v/>
      </c>
      <c r="C96" s="8">
        <f>C95/$F$95</f>
        <v/>
      </c>
      <c r="D96" s="8">
        <f>D95/$F$95</f>
        <v/>
      </c>
      <c r="E96" s="8">
        <f>E95/$F$95</f>
        <v/>
      </c>
      <c r="F96" s="8">
        <f>F95/$F$95</f>
        <v/>
      </c>
    </row>
    <row r="97">
      <c r="A97" s="4" t="inlineStr">
        <is>
          <t>The forward cost of capital on each waterfall walks the explicit-window rate to the terminal rate by the fraction on this row, so leverage normalises smoothly rather than stepping in one year. The discount factors above compound off that path.</t>
        </is>
      </c>
    </row>
    <row r="98"/>
    <row r="99">
      <c r="A99" s="10" t="inlineStr">
        <is>
          <t>THE TAX RATE — THREE SOURCED ESTIMATES, AVERAGED HERE</t>
        </is>
      </c>
      <c r="B99" s="12" t="n"/>
      <c r="C99" s="12" t="n"/>
      <c r="D99" s="12" t="n"/>
      <c r="E99" s="12" t="n"/>
      <c r="F99" s="12" t="n"/>
      <c r="G99" s="12" t="n"/>
    </row>
    <row r="100">
      <c r="A100" s="6" t="inlineStr">
        <is>
          <t>Profit before tax, FY2022 to FY2025 ($m)</t>
        </is>
      </c>
      <c r="C100" s="35">
        <f>Assumptions!$C$47+'Income Statement'!B17+'Income Statement'!C17+'Income Statement'!D17</f>
        <v/>
      </c>
    </row>
    <row r="101">
      <c r="A101" s="6" t="inlineStr">
        <is>
          <t>Income tax charged, FY2022 to FY2025 ($m)</t>
        </is>
      </c>
      <c r="C101" s="35">
        <f>Assumptions!$C$46+'Income Statement'!B18+'Income Statement'!C18+'Income Statement'!D18</f>
        <v/>
      </c>
    </row>
    <row r="102">
      <c r="A102" s="6" t="inlineStr">
        <is>
          <t>Income taxes paid, FY2022 to FY2025 ($m)</t>
        </is>
      </c>
      <c r="C102" s="35">
        <f>Assumptions!$C$48+Assumptions!$C$49+Assumptions!$C$50+Assumptions!$C$51</f>
        <v/>
      </c>
    </row>
    <row r="103">
      <c r="A103" s="6" t="inlineStr">
        <is>
          <t>Estimate one — aggregate effective rate on four years of profit</t>
        </is>
      </c>
      <c r="C103" s="8">
        <f>C101/C100</f>
        <v/>
      </c>
    </row>
    <row r="104">
      <c r="A104" s="6" t="inlineStr">
        <is>
          <t>Estimate two — aggregate cash rate on four years of profit</t>
        </is>
      </c>
      <c r="C104" s="8">
        <f>C102/C100</f>
        <v/>
      </c>
    </row>
    <row r="105">
      <c r="A105" s="6" t="inlineStr">
        <is>
          <t>Estimate three — statutory rates weighted by where the assets sit</t>
        </is>
      </c>
      <c r="C105" s="8">
        <f>(1-Assumptions!$C$44-Assumptions!$C$45)*Assumptions!$C$41+Assumptions!$C$44*Assumptions!$C$42+Assumptions!$C$45*Assumptions!$C$43</f>
        <v/>
      </c>
    </row>
    <row r="106">
      <c r="A106" s="12" t="inlineStr">
        <is>
          <t>Forecast tax rate (the average of the three)</t>
        </is>
      </c>
      <c r="B106" s="12" t="n"/>
      <c r="C106" s="44">
        <f>AVERAGE(C103:C105)</f>
        <v/>
      </c>
      <c r="D106" s="12" t="n"/>
      <c r="E106" s="12" t="n"/>
      <c r="F106" s="12" t="n"/>
      <c r="G106" s="12" t="n"/>
    </row>
    <row r="107"/>
    <row r="108">
      <c r="A108"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2" t="inlineStr">
        <is>
          <t>Revenue</t>
        </is>
      </c>
      <c r="B5" s="45" t="n">
        <v>2416.2</v>
      </c>
      <c r="C5" s="45" t="n">
        <v>2009.2</v>
      </c>
      <c r="D5" s="45" t="n">
        <v>2827.4</v>
      </c>
      <c r="E5" s="45">
        <f>DCF!B6</f>
        <v/>
      </c>
      <c r="F5" s="45">
        <f>DCF!C6</f>
        <v/>
      </c>
      <c r="G5" s="45">
        <f>DCF!D6</f>
        <v/>
      </c>
      <c r="H5" s="45">
        <f>DCF!E6</f>
        <v/>
      </c>
      <c r="I5" s="45">
        <f>DCF!F6</f>
        <v/>
      </c>
      <c r="J5" s="12" t="n"/>
    </row>
    <row r="6">
      <c r="A6" s="6" t="inlineStr">
        <is>
          <t>Cost of sales</t>
        </is>
      </c>
      <c r="B6" s="28" t="n">
        <v>1564.2</v>
      </c>
      <c r="C6" s="28" t="n">
        <v>1512.9</v>
      </c>
      <c r="D6" s="28" t="n">
        <v>1942</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Selling, general and administrative expenses</t>
        </is>
      </c>
      <c r="B8" s="28" t="n">
        <v>144.5</v>
      </c>
      <c r="C8" s="28" t="n">
        <v>150.2</v>
      </c>
      <c r="D8" s="28" t="n">
        <v>158.1</v>
      </c>
      <c r="E8" s="35" t="inlineStr">
        <is>
          <t>-</t>
        </is>
      </c>
      <c r="F8" s="35" t="inlineStr">
        <is>
          <t>-</t>
        </is>
      </c>
      <c r="G8" s="35" t="inlineStr">
        <is>
          <t>-</t>
        </is>
      </c>
      <c r="H8" s="35" t="inlineStr">
        <is>
          <t>-</t>
        </is>
      </c>
      <c r="I8" s="35" t="inlineStr">
        <is>
          <t>-</t>
        </is>
      </c>
    </row>
    <row r="9">
      <c r="A9" s="6" t="inlineStr">
        <is>
          <t>Other income, net</t>
        </is>
      </c>
      <c r="B9" s="28" t="n">
        <v>2.6</v>
      </c>
      <c r="C9" s="28" t="n">
        <v>3</v>
      </c>
      <c r="D9" s="28" t="n">
        <v>0</v>
      </c>
      <c r="E9" s="35" t="inlineStr">
        <is>
          <t>-</t>
        </is>
      </c>
      <c r="F9" s="35" t="inlineStr">
        <is>
          <t>-</t>
        </is>
      </c>
      <c r="G9" s="35" t="inlineStr">
        <is>
          <t>-</t>
        </is>
      </c>
      <c r="H9" s="35" t="inlineStr">
        <is>
          <t>-</t>
        </is>
      </c>
      <c r="I9" s="35" t="inlineStr">
        <is>
          <t>-</t>
        </is>
      </c>
    </row>
    <row r="10">
      <c r="A10" s="6" t="inlineStr">
        <is>
          <t>Depreciation and amortisation</t>
        </is>
      </c>
      <c r="B10" s="28" t="n">
        <v>279.3</v>
      </c>
      <c r="C10" s="28" t="n">
        <v>279.5</v>
      </c>
      <c r="D10" s="28" t="n">
        <v>297.6</v>
      </c>
      <c r="E10" s="15">
        <f>DCF!B9</f>
        <v/>
      </c>
      <c r="F10" s="15">
        <f>DCF!C9</f>
        <v/>
      </c>
      <c r="G10" s="15">
        <f>DCF!D9</f>
        <v/>
      </c>
      <c r="H10" s="15">
        <f>DCF!E9</f>
        <v/>
      </c>
      <c r="I10" s="15">
        <f>DCF!F9</f>
        <v/>
      </c>
    </row>
    <row r="11">
      <c r="A11" s="12" t="inlineStr">
        <is>
          <t>EBITDA</t>
        </is>
      </c>
      <c r="B11" s="45">
        <f>B7-B8+B9+B10</f>
        <v/>
      </c>
      <c r="C11" s="45">
        <f>C7-C8+C9+C10</f>
        <v/>
      </c>
      <c r="D11" s="45">
        <f>D7-D8+D9+D10</f>
        <v/>
      </c>
      <c r="E11" s="45">
        <f>DCF!B7</f>
        <v/>
      </c>
      <c r="F11" s="45">
        <f>DCF!C7</f>
        <v/>
      </c>
      <c r="G11" s="45">
        <f>DCF!D7</f>
        <v/>
      </c>
      <c r="H11" s="45">
        <f>DCF!E7</f>
        <v/>
      </c>
      <c r="I11" s="45">
        <f>DCF!F7</f>
        <v/>
      </c>
      <c r="J11" s="12" t="n"/>
    </row>
    <row r="12">
      <c r="A12" s="12" t="inlineStr">
        <is>
          <t>Operating profit (EBIT)</t>
        </is>
      </c>
      <c r="B12" s="45">
        <f>B11-B10</f>
        <v/>
      </c>
      <c r="C12" s="45">
        <f>C11-C10</f>
        <v/>
      </c>
      <c r="D12" s="45">
        <f>D11-D10</f>
        <v/>
      </c>
      <c r="E12" s="45">
        <f>E11-E10</f>
        <v/>
      </c>
      <c r="F12" s="45">
        <f>F11-F10</f>
        <v/>
      </c>
      <c r="G12" s="45">
        <f>G11-G10</f>
        <v/>
      </c>
      <c r="H12" s="45">
        <f>H11-H10</f>
        <v/>
      </c>
      <c r="I12" s="45">
        <f>I11-I10</f>
        <v/>
      </c>
      <c r="J12" s="12" t="n"/>
    </row>
    <row r="13">
      <c r="A13" s="6" t="inlineStr">
        <is>
          <t>Finance income</t>
        </is>
      </c>
      <c r="B13" s="28" t="n">
        <v>16.3</v>
      </c>
      <c r="C13" s="28" t="n">
        <v>17.1</v>
      </c>
      <c r="D13" s="28" t="n">
        <v>13.6</v>
      </c>
      <c r="E13" s="35" t="inlineStr">
        <is>
          <t>-</t>
        </is>
      </c>
      <c r="F13" s="35" t="inlineStr">
        <is>
          <t>-</t>
        </is>
      </c>
      <c r="G13" s="35" t="inlineStr">
        <is>
          <t>-</t>
        </is>
      </c>
      <c r="H13" s="35" t="inlineStr">
        <is>
          <t>-</t>
        </is>
      </c>
      <c r="I13" s="35" t="inlineStr">
        <is>
          <t>-</t>
        </is>
      </c>
    </row>
    <row r="14">
      <c r="A14" s="6" t="inlineStr">
        <is>
          <t>Finance costs</t>
        </is>
      </c>
      <c r="B14" s="28" t="n">
        <v>119.4</v>
      </c>
      <c r="C14" s="28" t="n">
        <v>135.6</v>
      </c>
      <c r="D14" s="28" t="n">
        <v>115.8</v>
      </c>
      <c r="E14" s="35">
        <f>Assumptions!$C$71*MAX(Assumptions!$C$70,0)</f>
        <v/>
      </c>
      <c r="F14" s="35">
        <f>Assumptions!$C$71*MAX('Balance Sheet'!E22,0)</f>
        <v/>
      </c>
      <c r="G14" s="35">
        <f>Assumptions!$C$71*MAX('Balance Sheet'!F22,0)</f>
        <v/>
      </c>
      <c r="H14" s="35">
        <f>Assumptions!$C$71*MAX('Balance Sheet'!G22,0)</f>
        <v/>
      </c>
      <c r="I14" s="35">
        <f>Assumptions!$C$71*MAX('Balance Sheet'!H22,0)</f>
        <v/>
      </c>
    </row>
    <row r="15">
      <c r="A15" s="6" t="inlineStr">
        <is>
          <t>Net foreign exchange gain and loss</t>
        </is>
      </c>
      <c r="B15" s="28" t="n">
        <v>-19.6</v>
      </c>
      <c r="C15" s="28" t="n">
        <v>-1.3</v>
      </c>
      <c r="D15" s="28" t="n">
        <v>-11.6</v>
      </c>
      <c r="E15" s="35" t="inlineStr">
        <is>
          <t>-</t>
        </is>
      </c>
      <c r="F15" s="35" t="inlineStr">
        <is>
          <t>-</t>
        </is>
      </c>
      <c r="G15" s="35" t="inlineStr">
        <is>
          <t>-</t>
        </is>
      </c>
      <c r="H15" s="35" t="inlineStr">
        <is>
          <t>-</t>
        </is>
      </c>
      <c r="I15" s="35" t="inlineStr">
        <is>
          <t>-</t>
        </is>
      </c>
    </row>
    <row r="16">
      <c r="A16" s="6" t="inlineStr">
        <is>
          <t>Net finance result</t>
        </is>
      </c>
      <c r="B16" s="35">
        <f>B13-B14+B15</f>
        <v/>
      </c>
      <c r="C16" s="35">
        <f>C13-C14+C15</f>
        <v/>
      </c>
      <c r="D16" s="35">
        <f>D13-D14+D15</f>
        <v/>
      </c>
      <c r="E16" s="35">
        <f>E13-E14+E15</f>
        <v/>
      </c>
      <c r="F16" s="35">
        <f>F13-F14+F15</f>
        <v/>
      </c>
      <c r="G16" s="35">
        <f>G13-G14+G15</f>
        <v/>
      </c>
      <c r="H16" s="35">
        <f>H13-H14+H15</f>
        <v/>
      </c>
      <c r="I16" s="35">
        <f>I13-I14+I15</f>
        <v/>
      </c>
    </row>
    <row r="17">
      <c r="A17" s="12" t="inlineStr">
        <is>
          <t>Profit before tax</t>
        </is>
      </c>
      <c r="B17" s="45">
        <f>B12+B16</f>
        <v/>
      </c>
      <c r="C17" s="45">
        <f>C12+C16</f>
        <v/>
      </c>
      <c r="D17" s="45">
        <f>D12+D16</f>
        <v/>
      </c>
      <c r="E17" s="45">
        <f>E12+E16</f>
        <v/>
      </c>
      <c r="F17" s="45">
        <f>F12+F16</f>
        <v/>
      </c>
      <c r="G17" s="45">
        <f>G12+G16</f>
        <v/>
      </c>
      <c r="H17" s="45">
        <f>H12+H16</f>
        <v/>
      </c>
      <c r="I17" s="45">
        <f>I12+I16</f>
        <v/>
      </c>
      <c r="J17" s="12" t="n"/>
    </row>
    <row r="18">
      <c r="A18" s="6" t="inlineStr">
        <is>
          <t>Income tax expense</t>
        </is>
      </c>
      <c r="B18" s="28" t="n">
        <v>82.40000000000001</v>
      </c>
      <c r="C18" s="28" t="n">
        <v>15.7</v>
      </c>
      <c r="D18" s="28" t="n">
        <v>25</v>
      </c>
      <c r="E18" s="35">
        <f>E17*DCF!$C$106</f>
        <v/>
      </c>
      <c r="F18" s="35">
        <f>F17*DCF!$C$106</f>
        <v/>
      </c>
      <c r="G18" s="35">
        <f>G17*DCF!$C$106</f>
        <v/>
      </c>
      <c r="H18" s="35">
        <f>H17*DCF!$C$106</f>
        <v/>
      </c>
      <c r="I18" s="35">
        <f>I17*DCF!$C$106</f>
        <v/>
      </c>
    </row>
    <row r="19">
      <c r="A19" s="6" t="inlineStr">
        <is>
          <t>Profit for the year</t>
        </is>
      </c>
      <c r="B19" s="35">
        <f>B17-B18</f>
        <v/>
      </c>
      <c r="C19" s="35">
        <f>C17-C18</f>
        <v/>
      </c>
      <c r="D19" s="35">
        <f>D17-D18</f>
        <v/>
      </c>
      <c r="E19" s="35">
        <f>E17-E18</f>
        <v/>
      </c>
      <c r="F19" s="35">
        <f>F17-F18</f>
        <v/>
      </c>
      <c r="G19" s="35">
        <f>G17-G18</f>
        <v/>
      </c>
      <c r="H19" s="35">
        <f>H17-H18</f>
        <v/>
      </c>
      <c r="I19" s="35">
        <f>I17-I18</f>
        <v/>
      </c>
    </row>
    <row r="20">
      <c r="A20" s="6" t="inlineStr">
        <is>
          <t>Non-controlling interests</t>
        </is>
      </c>
      <c r="B20" s="28" t="n">
        <v>156.1</v>
      </c>
      <c r="C20" s="28" t="n">
        <v>53.7</v>
      </c>
      <c r="D20" s="28" t="n">
        <v>154.6</v>
      </c>
      <c r="E20" s="35">
        <f>E19*Assumptions!$C$78</f>
        <v/>
      </c>
      <c r="F20" s="35">
        <f>F19*Assumptions!$C$78</f>
        <v/>
      </c>
      <c r="G20" s="35">
        <f>G19*Assumptions!$C$78</f>
        <v/>
      </c>
      <c r="H20" s="35">
        <f>H19*Assumptions!$C$78</f>
        <v/>
      </c>
      <c r="I20" s="35">
        <f>I19*Assumptions!$C$78</f>
        <v/>
      </c>
    </row>
    <row r="21">
      <c r="A21" s="12" t="inlineStr">
        <is>
          <t>Profit attributable to owners</t>
        </is>
      </c>
      <c r="B21" s="45">
        <f>B19-B20</f>
        <v/>
      </c>
      <c r="C21" s="45">
        <f>C19-C20</f>
        <v/>
      </c>
      <c r="D21" s="45">
        <f>D19-D20</f>
        <v/>
      </c>
      <c r="E21" s="45">
        <f>E19-E20</f>
        <v/>
      </c>
      <c r="F21" s="45">
        <f>F19-F20</f>
        <v/>
      </c>
      <c r="G21" s="45">
        <f>G19-G20</f>
        <v/>
      </c>
      <c r="H21" s="45">
        <f>H19-H20</f>
        <v/>
      </c>
      <c r="I21" s="45">
        <f>I19-I20</f>
        <v/>
      </c>
      <c r="J21" s="12" t="n"/>
    </row>
    <row r="22">
      <c r="A22" s="6" t="inlineStr">
        <is>
          <t>Earnings per share ($)</t>
        </is>
      </c>
      <c r="B22" s="19">
        <f>B21/Assumptions!$C$7</f>
        <v/>
      </c>
      <c r="C22" s="19">
        <f>C21/Assumptions!$C$7</f>
        <v/>
      </c>
      <c r="D22" s="19">
        <f>D21/Assumptions!$C$7</f>
        <v/>
      </c>
      <c r="E22" s="19">
        <f>E21/Assumptions!$C$7</f>
        <v/>
      </c>
      <c r="F22" s="19">
        <f>F21/Assumptions!$C$7</f>
        <v/>
      </c>
      <c r="G22" s="19">
        <f>G21/Assumptions!$C$7</f>
        <v/>
      </c>
      <c r="H22" s="19">
        <f>H21/Assumptions!$C$7</f>
        <v/>
      </c>
      <c r="I22" s="19">
        <f>I21/Assumptions!$C$7</f>
        <v/>
      </c>
    </row>
    <row r="23">
      <c r="A23" s="6" t="inlineStr">
        <is>
          <t>Earnings per share (AED)</t>
        </is>
      </c>
      <c r="B23" s="19">
        <f>B22*Assumptions!$C$6</f>
        <v/>
      </c>
      <c r="C23" s="19">
        <f>C22*Assumptions!$C$6</f>
        <v/>
      </c>
      <c r="D23" s="19">
        <f>D22*Assumptions!$C$6</f>
        <v/>
      </c>
      <c r="E23" s="19">
        <f>E22*Assumptions!$C$6</f>
        <v/>
      </c>
      <c r="F23" s="19">
        <f>F22*Assumptions!$C$6</f>
        <v/>
      </c>
      <c r="G23" s="19">
        <f>G22*Assumptions!$C$6</f>
        <v/>
      </c>
      <c r="H23" s="19">
        <f>H22*Assumptions!$C$6</f>
        <v/>
      </c>
      <c r="I23" s="19">
        <f>I22*Assumptions!$C$6</f>
        <v/>
      </c>
    </row>
    <row r="24">
      <c r="A24" s="6" t="inlineStr">
        <is>
          <t>EBITDA margin</t>
        </is>
      </c>
      <c r="B24" s="8">
        <f>B11/B5</f>
        <v/>
      </c>
      <c r="C24" s="8">
        <f>C11/C5</f>
        <v/>
      </c>
      <c r="D24" s="8">
        <f>D11/D5</f>
        <v/>
      </c>
      <c r="E24" s="8">
        <f>E11/E5</f>
        <v/>
      </c>
      <c r="F24" s="8">
        <f>F11/F5</f>
        <v/>
      </c>
      <c r="G24" s="8">
        <f>G11/G5</f>
        <v/>
      </c>
      <c r="H24" s="8">
        <f>H11/H5</f>
        <v/>
      </c>
      <c r="I24" s="8">
        <f>I11/I5</f>
        <v/>
      </c>
    </row>
    <row r="25">
      <c r="A25" s="6" t="inlineStr">
        <is>
          <t>Effective tax rate</t>
        </is>
      </c>
      <c r="B25" s="8">
        <f>B18/B17</f>
        <v/>
      </c>
      <c r="C25" s="8">
        <f>C18/C17</f>
        <v/>
      </c>
      <c r="D25" s="8">
        <f>D18/D17</f>
        <v/>
      </c>
      <c r="E25" s="8">
        <f>E18/E17</f>
        <v/>
      </c>
      <c r="F25" s="8">
        <f>F18/F17</f>
        <v/>
      </c>
      <c r="G25" s="8">
        <f>G18/G17</f>
        <v/>
      </c>
      <c r="H25" s="8">
        <f>H18/H17</f>
        <v/>
      </c>
      <c r="I25" s="8">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8" t="n">
        <v>2699.6</v>
      </c>
      <c r="C5" s="28" t="n">
        <v>2596.8</v>
      </c>
      <c r="D5" s="28" t="n">
        <v>2499</v>
      </c>
      <c r="E5" s="35">
        <f>D5+DCF!B13-DCF!B9</f>
        <v/>
      </c>
      <c r="F5" s="35">
        <f>E5+DCF!C13-DCF!C9</f>
        <v/>
      </c>
      <c r="G5" s="35">
        <f>F5+DCF!D13-DCF!D9</f>
        <v/>
      </c>
      <c r="H5" s="35">
        <f>G5+DCF!E13-DCF!E9</f>
        <v/>
      </c>
      <c r="I5" s="35">
        <f>H5+DCF!F13-DCF!F9</f>
        <v/>
      </c>
    </row>
    <row r="6">
      <c r="A6" s="6" t="inlineStr">
        <is>
          <t>Right-of-use assets</t>
        </is>
      </c>
      <c r="B6" s="28" t="n">
        <v>74.90000000000001</v>
      </c>
      <c r="C6" s="28" t="n">
        <v>68.59999999999999</v>
      </c>
      <c r="D6" s="28" t="n">
        <v>139.4</v>
      </c>
    </row>
    <row r="7">
      <c r="A7" s="6" t="inlineStr">
        <is>
          <t>Goodwill and intangible assets</t>
        </is>
      </c>
      <c r="B7" s="28" t="n">
        <v>614.5</v>
      </c>
      <c r="C7" s="28" t="n">
        <v>626.8</v>
      </c>
      <c r="D7" s="28" t="n">
        <v>656.9</v>
      </c>
    </row>
    <row r="8">
      <c r="A8" s="6" t="inlineStr">
        <is>
          <t>Inventories</t>
        </is>
      </c>
      <c r="B8" s="28" t="n">
        <v>133.6</v>
      </c>
      <c r="C8" s="28" t="n">
        <v>164</v>
      </c>
      <c r="D8" s="28" t="n">
        <v>335.5</v>
      </c>
      <c r="E8" s="15">
        <f>DCF!B15</f>
        <v/>
      </c>
      <c r="F8" s="15">
        <f>DCF!C15</f>
        <v/>
      </c>
      <c r="G8" s="15">
        <f>DCF!D15</f>
        <v/>
      </c>
      <c r="H8" s="15">
        <f>DCF!E15</f>
        <v/>
      </c>
      <c r="I8" s="15">
        <f>DCF!F15</f>
        <v/>
      </c>
    </row>
    <row r="9">
      <c r="A9" s="6" t="inlineStr">
        <is>
          <t>Trade and other receivables</t>
        </is>
      </c>
      <c r="B9" s="28" t="n">
        <v>314.3</v>
      </c>
      <c r="C9" s="28" t="n">
        <v>290.7</v>
      </c>
      <c r="D9" s="28" t="n">
        <v>493.1</v>
      </c>
      <c r="E9" s="15">
        <f>DCF!B14</f>
        <v/>
      </c>
      <c r="F9" s="15">
        <f>DCF!C14</f>
        <v/>
      </c>
      <c r="G9" s="15">
        <f>DCF!D14</f>
        <v/>
      </c>
      <c r="H9" s="15">
        <f>DCF!E14</f>
        <v/>
      </c>
      <c r="I9" s="15">
        <f>DCF!F14</f>
        <v/>
      </c>
    </row>
    <row r="10">
      <c r="A10" s="6" t="inlineStr">
        <is>
          <t>Cash and cash equivalents</t>
        </is>
      </c>
      <c r="B10" s="28" t="n">
        <v>759.8</v>
      </c>
      <c r="C10" s="28" t="n">
        <v>633.9</v>
      </c>
      <c r="D10" s="28" t="n">
        <v>735.1</v>
      </c>
    </row>
    <row r="11">
      <c r="A11" s="6" t="inlineStr">
        <is>
          <t>Total assets</t>
        </is>
      </c>
      <c r="B11" s="46" t="n">
        <v>4625.8</v>
      </c>
      <c r="C11" s="46" t="n">
        <v>4410.6</v>
      </c>
      <c r="D11" s="46" t="n">
        <v>4949.5</v>
      </c>
    </row>
    <row r="12">
      <c r="A12" s="6" t="inlineStr">
        <is>
          <t>Trade and other payables</t>
        </is>
      </c>
      <c r="B12" s="28" t="n">
        <v>326.7</v>
      </c>
      <c r="C12" s="28" t="n">
        <v>481</v>
      </c>
      <c r="D12" s="28" t="n">
        <v>820.3</v>
      </c>
      <c r="E12" s="15">
        <f>DCF!B16</f>
        <v/>
      </c>
      <c r="F12" s="15">
        <f>DCF!C16</f>
        <v/>
      </c>
      <c r="G12" s="15">
        <f>DCF!D16</f>
        <v/>
      </c>
      <c r="H12" s="15">
        <f>DCF!E16</f>
        <v/>
      </c>
      <c r="I12" s="15">
        <f>DCF!F16</f>
        <v/>
      </c>
    </row>
    <row r="13">
      <c r="A13" s="6" t="inlineStr">
        <is>
          <t>Loans and borrowings — non-current</t>
        </is>
      </c>
      <c r="B13" s="28" t="n">
        <v>1490.2</v>
      </c>
      <c r="C13" s="28" t="n">
        <v>1425.5</v>
      </c>
      <c r="D13" s="28" t="n">
        <v>1398.6</v>
      </c>
    </row>
    <row r="14">
      <c r="A14" s="6" t="inlineStr">
        <is>
          <t>Loans and borrowings — current</t>
        </is>
      </c>
      <c r="B14" s="28" t="n">
        <v>174.9</v>
      </c>
      <c r="C14" s="28" t="n">
        <v>256.7</v>
      </c>
      <c r="D14" s="28" t="n">
        <v>342</v>
      </c>
    </row>
    <row r="15">
      <c r="A15" s="6" t="inlineStr">
        <is>
          <t>Lease liabilities</t>
        </is>
      </c>
      <c r="B15" s="28" t="n">
        <v>90.59999999999999</v>
      </c>
      <c r="C15" s="28" t="n">
        <v>86.90000000000001</v>
      </c>
      <c r="D15" s="28" t="n">
        <v>158.4</v>
      </c>
    </row>
    <row r="16">
      <c r="A16" s="6" t="inlineStr">
        <is>
          <t>Deferred tax liabilities</t>
        </is>
      </c>
      <c r="B16" s="28" t="n">
        <v>344.9</v>
      </c>
      <c r="C16" s="28" t="n">
        <v>310</v>
      </c>
      <c r="D16" s="28" t="n">
        <v>273.1</v>
      </c>
    </row>
    <row r="17">
      <c r="A17" s="6" t="inlineStr">
        <is>
          <t>Income tax payable</t>
        </is>
      </c>
      <c r="B17" s="28" t="n">
        <v>270.4</v>
      </c>
      <c r="C17" s="28" t="n">
        <v>254.4</v>
      </c>
      <c r="D17" s="28" t="n">
        <v>112.9</v>
      </c>
    </row>
    <row r="18">
      <c r="A18" s="6" t="inlineStr">
        <is>
          <t>Equity attributable to owners</t>
        </is>
      </c>
      <c r="B18" s="28" t="n">
        <v>1444.7</v>
      </c>
      <c r="C18" s="28" t="n">
        <v>1241.8</v>
      </c>
      <c r="D18" s="28" t="n">
        <v>1356.5</v>
      </c>
      <c r="E18" s="35">
        <f>D18+'Income Statement'!E21*(1-Assumptions!$C$80)</f>
        <v/>
      </c>
      <c r="F18" s="35">
        <f>E18+'Income Statement'!F21*(1-Assumptions!$C$80)</f>
        <v/>
      </c>
      <c r="G18" s="35">
        <f>F18+'Income Statement'!G21*(1-Assumptions!$C$80)</f>
        <v/>
      </c>
      <c r="H18" s="35">
        <f>G18+'Income Statement'!H21*(1-Assumptions!$C$80)</f>
        <v/>
      </c>
      <c r="I18" s="35">
        <f>H18+'Income Statement'!I21*(1-Assumptions!$C$80)</f>
        <v/>
      </c>
    </row>
    <row r="19">
      <c r="A19" s="6" t="inlineStr">
        <is>
          <t>Non-controlling interests</t>
        </is>
      </c>
      <c r="B19" s="28" t="n">
        <v>425</v>
      </c>
      <c r="C19" s="28" t="n">
        <v>295.9</v>
      </c>
      <c r="D19" s="28" t="n">
        <v>443.3</v>
      </c>
    </row>
    <row r="20">
      <c r="A20" s="12" t="inlineStr">
        <is>
          <t>Total equity</t>
        </is>
      </c>
      <c r="B20" s="45">
        <f>B18+B19</f>
        <v/>
      </c>
      <c r="C20" s="45">
        <f>C18+C19</f>
        <v/>
      </c>
      <c r="D20" s="45">
        <f>D18+D19</f>
        <v/>
      </c>
      <c r="E20" s="12" t="n"/>
      <c r="F20" s="12" t="n"/>
      <c r="G20" s="12" t="n"/>
      <c r="H20" s="12" t="n"/>
      <c r="I20" s="12" t="n"/>
      <c r="J20" s="12" t="n"/>
    </row>
    <row r="21">
      <c r="A21" s="6" t="inlineStr">
        <is>
          <t>Gross interest-bearing debt</t>
        </is>
      </c>
      <c r="B21" s="35">
        <f>B13+B14</f>
        <v/>
      </c>
      <c r="C21" s="35">
        <f>C13+C14</f>
        <v/>
      </c>
      <c r="D21" s="35">
        <f>D13+D14</f>
        <v/>
      </c>
    </row>
    <row r="22">
      <c r="A22" s="12" t="inlineStr">
        <is>
          <t>Net debt (debt and leases less cash)</t>
        </is>
      </c>
      <c r="B22" s="45">
        <f>B21+B15-B10</f>
        <v/>
      </c>
      <c r="C22" s="45">
        <f>C21+C15-C10</f>
        <v/>
      </c>
      <c r="D22" s="45">
        <f>D21+D15-D10</f>
        <v/>
      </c>
      <c r="E22" s="45">
        <f>Assumptions!$C$70-(DCF!B19+'Income Statement'!E16*(1-DCF!$C$106))+Assumptions!$C$80*'Income Statement'!E21+'Income Statement'!E20</f>
        <v/>
      </c>
      <c r="F22" s="45">
        <f>E22-(DCF!C19+'Income Statement'!F16*(1-DCF!$C$106))+Assumptions!$C$80*'Income Statement'!F21+'Income Statement'!F20</f>
        <v/>
      </c>
      <c r="G22" s="45">
        <f>F22-(DCF!D19+'Income Statement'!G16*(1-DCF!$C$106))+Assumptions!$C$80*'Income Statement'!G21+'Income Statement'!G20</f>
        <v/>
      </c>
      <c r="H22" s="45">
        <f>G22-(DCF!E19+'Income Statement'!H16*(1-DCF!$C$106))+Assumptions!$C$80*'Income Statement'!H21+'Income Statement'!H20</f>
        <v/>
      </c>
      <c r="I22" s="45">
        <f>H22-(DCF!F19+'Income Statement'!I16*(1-DCF!$C$106))+Assumptions!$C$80*'Income Statement'!I21+'Income Statement'!I20</f>
        <v/>
      </c>
      <c r="J22" s="12" t="n"/>
    </row>
    <row r="23">
      <c r="A23" s="6" t="inlineStr">
        <is>
          <t>Net working capital (inventories and receivables less payables)</t>
        </is>
      </c>
      <c r="B23" s="35">
        <f>B8+B9-B12</f>
        <v/>
      </c>
      <c r="C23" s="35">
        <f>C8+C9-C12</f>
        <v/>
      </c>
      <c r="D23" s="35">
        <f>D8+D9-D12</f>
        <v/>
      </c>
      <c r="E23" s="35">
        <f>E8+E9-E12</f>
        <v/>
      </c>
      <c r="F23" s="35">
        <f>F8+F9-F12</f>
        <v/>
      </c>
      <c r="G23" s="35">
        <f>G8+G9-G12</f>
        <v/>
      </c>
      <c r="H23" s="35">
        <f>H8+H9-H12</f>
        <v/>
      </c>
      <c r="I23" s="35">
        <f>I8+I9-I12</f>
        <v/>
      </c>
    </row>
    <row r="24">
      <c r="A24" s="6" t="inlineStr">
        <is>
          <t>Invested capital (property plus net working capital)</t>
        </is>
      </c>
      <c r="B24" s="35">
        <f>B5+B23</f>
        <v/>
      </c>
      <c r="C24" s="35">
        <f>C5+C23</f>
        <v/>
      </c>
      <c r="D24" s="35">
        <f>D5+D23</f>
        <v/>
      </c>
      <c r="E24" s="35">
        <f>E5+E23</f>
        <v/>
      </c>
      <c r="F24" s="35">
        <f>F5+F23</f>
        <v/>
      </c>
      <c r="G24" s="35">
        <f>G5+G23</f>
        <v/>
      </c>
      <c r="H24" s="35">
        <f>H5+H23</f>
        <v/>
      </c>
      <c r="I24" s="35">
        <f>I5+I23</f>
        <v/>
      </c>
    </row>
    <row r="25"/>
    <row r="26">
      <c r="A26" s="10" t="inlineStr">
        <is>
          <t>THE ASSET-CONVERSION CYCLE — MEASURED, THEN PROJECTED</t>
        </is>
      </c>
      <c r="B26" s="12" t="n"/>
      <c r="C26" s="12" t="n"/>
      <c r="D26" s="12" t="n"/>
      <c r="E26" s="12" t="n"/>
      <c r="F26" s="12" t="n"/>
      <c r="G26" s="12" t="n"/>
      <c r="H26" s="12" t="n"/>
      <c r="I26" s="12" t="n"/>
      <c r="J26" s="12" t="n"/>
    </row>
    <row r="27">
      <c r="A27" s="6" t="inlineStr">
        <is>
          <t>Days sales outstanding (receivables over revenue)</t>
        </is>
      </c>
      <c r="C27" s="35">
        <f>365*C9/'Income Statement'!C5</f>
        <v/>
      </c>
      <c r="D27" s="35">
        <f>365*D9/'Income Statement'!D5</f>
        <v/>
      </c>
    </row>
    <row r="28">
      <c r="A28" s="6" t="inlineStr">
        <is>
          <t>Days inventory outstanding (inventories over cost of sales)</t>
        </is>
      </c>
      <c r="C28" s="35">
        <f>365*C8/'Income Statement'!C6</f>
        <v/>
      </c>
      <c r="D28" s="35">
        <f>365*D8/'Income Statement'!D6</f>
        <v/>
      </c>
    </row>
    <row r="29">
      <c r="A29" s="6" t="inlineStr">
        <is>
          <t>Days payables outstanding (payables over cost of sales)</t>
        </is>
      </c>
      <c r="C29" s="35">
        <f>365*C12/'Income Statement'!C6</f>
        <v/>
      </c>
      <c r="D29" s="35">
        <f>365*D12/'Income Statement'!D6</f>
        <v/>
      </c>
    </row>
    <row r="30">
      <c r="A30" s="20" t="inlineStr">
        <is>
          <t>Cash conversion cycle (days)</t>
        </is>
      </c>
      <c r="C30" s="36">
        <f>C27+C28-C29</f>
        <v/>
      </c>
      <c r="D30" s="36">
        <f>D27+D28-D29</f>
        <v/>
      </c>
    </row>
    <row r="31">
      <c r="A31" s="6" t="inlineStr">
        <is>
          <t>Gas accrual carried inside payables at FY2025 ($m)</t>
        </is>
      </c>
      <c r="D31" s="28" t="n">
        <v>386.3</v>
      </c>
    </row>
    <row r="32">
      <c r="A32" s="6" t="inlineStr">
        <is>
          <t>Days payables outstanding, excluding that accrual</t>
        </is>
      </c>
      <c r="D32" s="35">
        <f>365*(D12-D31)/'Income Statement'!D6</f>
        <v/>
      </c>
    </row>
    <row r="33">
      <c r="A33" s="20" t="inlineStr">
        <is>
          <t>Cash conversion cycle, excluding that accrual (days)</t>
        </is>
      </c>
      <c r="D33" s="36">
        <f>D27+D28-D32</f>
        <v/>
      </c>
    </row>
    <row r="34">
      <c r="A34" s="20" t="inlineStr">
        <is>
          <t>Net working capital at FY2025, excluding that accrual ($m)</t>
        </is>
      </c>
      <c r="D34" s="36">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8" t="n">
        <v>797.6</v>
      </c>
      <c r="C5" s="28" t="n">
        <v>607.7</v>
      </c>
      <c r="D5" s="28" t="n">
        <v>734.2</v>
      </c>
    </row>
    <row r="6">
      <c r="A6" s="6" t="inlineStr">
        <is>
          <t>Purchase of property, plant and equipment (reported)</t>
        </is>
      </c>
      <c r="B6" s="28" t="n">
        <v>114.6</v>
      </c>
      <c r="C6" s="28" t="n">
        <v>168.3</v>
      </c>
      <c r="D6" s="28" t="n">
        <v>191.3</v>
      </c>
    </row>
    <row r="7">
      <c r="A7" s="6" t="inlineStr">
        <is>
          <t>Income taxes paid (reported)</t>
        </is>
      </c>
      <c r="B7" s="28" t="n">
        <v>67.40000000000001</v>
      </c>
      <c r="C7" s="28" t="n">
        <v>56.7</v>
      </c>
      <c r="D7" s="28" t="n">
        <v>205.1</v>
      </c>
    </row>
    <row r="8">
      <c r="A8" s="6" t="inlineStr">
        <is>
          <t>Dividends paid to owners and to minorities (reported)</t>
        </is>
      </c>
      <c r="D8" s="35">
        <f>'Balance Sheet'!D18*0+250.0+61.3</f>
        <v/>
      </c>
    </row>
    <row r="9">
      <c r="A9" s="6" t="inlineStr">
        <is>
          <t>Cash conversion — operating cash flow over EBITDA</t>
        </is>
      </c>
      <c r="B9" s="8">
        <f>B5/'Income Statement'!B11</f>
        <v/>
      </c>
      <c r="C9" s="8">
        <f>C5/'Income Statement'!C11</f>
        <v/>
      </c>
      <c r="D9" s="8">
        <f>D5/'Income Statement'!D11</f>
        <v/>
      </c>
    </row>
    <row r="10"/>
    <row r="11">
      <c r="A11" s="10" t="inlineStr">
        <is>
          <t>THE FORECAST WATERFALL — FRAMING A</t>
        </is>
      </c>
      <c r="B11" s="12" t="n"/>
      <c r="C11" s="12" t="n"/>
      <c r="D11" s="12" t="n"/>
      <c r="E11" s="12" t="n"/>
      <c r="F11" s="12" t="n"/>
      <c r="G11" s="12" t="n"/>
      <c r="H11" s="12" t="n"/>
      <c r="I11" s="12" t="n"/>
    </row>
    <row r="12">
      <c r="A12" s="6" t="inlineStr">
        <is>
          <t>Net operating profit after tax</t>
        </is>
      </c>
      <c r="E12" s="15">
        <f>DCF!B11</f>
        <v/>
      </c>
      <c r="F12" s="15">
        <f>DCF!C11</f>
        <v/>
      </c>
      <c r="G12" s="15">
        <f>DCF!D11</f>
        <v/>
      </c>
      <c r="H12" s="15">
        <f>DCF!E11</f>
        <v/>
      </c>
      <c r="I12" s="15">
        <f>DCF!F11</f>
        <v/>
      </c>
    </row>
    <row r="13">
      <c r="A13" s="6" t="inlineStr">
        <is>
          <t>Add back depreciation and amortisation</t>
        </is>
      </c>
      <c r="E13" s="15">
        <f>DCF!B9</f>
        <v/>
      </c>
      <c r="F13" s="15">
        <f>DCF!C9</f>
        <v/>
      </c>
      <c r="G13" s="15">
        <f>DCF!D9</f>
        <v/>
      </c>
      <c r="H13" s="15">
        <f>DCF!E9</f>
        <v/>
      </c>
      <c r="I13" s="15">
        <f>DCF!F9</f>
        <v/>
      </c>
    </row>
    <row r="14">
      <c r="A14" s="6" t="inlineStr">
        <is>
          <t>Less capital expenditure</t>
        </is>
      </c>
      <c r="E14" s="15">
        <f>DCF!B13</f>
        <v/>
      </c>
      <c r="F14" s="15">
        <f>DCF!C13</f>
        <v/>
      </c>
      <c r="G14" s="15">
        <f>DCF!D13</f>
        <v/>
      </c>
      <c r="H14" s="15">
        <f>DCF!E13</f>
        <v/>
      </c>
      <c r="I14" s="15">
        <f>DCF!F13</f>
        <v/>
      </c>
    </row>
    <row r="15">
      <c r="A15" s="6" t="inlineStr">
        <is>
          <t>Less change in net working capital</t>
        </is>
      </c>
      <c r="E15" s="15">
        <f>DCF!B18</f>
        <v/>
      </c>
      <c r="F15" s="15">
        <f>DCF!C18</f>
        <v/>
      </c>
      <c r="G15" s="15">
        <f>DCF!D18</f>
        <v/>
      </c>
      <c r="H15" s="15">
        <f>DCF!E18</f>
        <v/>
      </c>
      <c r="I15" s="15">
        <f>DCF!F18</f>
        <v/>
      </c>
    </row>
    <row r="16">
      <c r="A16" s="12" t="inlineStr">
        <is>
          <t>Free cash flow to the firm</t>
        </is>
      </c>
      <c r="B16" s="12" t="n"/>
      <c r="C16" s="12" t="n"/>
      <c r="D16" s="12" t="n"/>
      <c r="E16" s="45">
        <f>E12+E13-E14-E15</f>
        <v/>
      </c>
      <c r="F16" s="45">
        <f>F12+F13-F14-F15</f>
        <v/>
      </c>
      <c r="G16" s="45">
        <f>G12+G13-G14-G15</f>
        <v/>
      </c>
      <c r="H16" s="45">
        <f>H12+H13-H14-H15</f>
        <v/>
      </c>
      <c r="I16" s="45">
        <f>I12+I13-I14-I15</f>
        <v/>
      </c>
    </row>
    <row r="17">
      <c r="A17" s="6" t="inlineStr">
        <is>
          <t>Less interest after tax</t>
        </is>
      </c>
      <c r="E17" s="35">
        <f>'Income Statement'!E14*(1-DCF!$C$106)</f>
        <v/>
      </c>
      <c r="F17" s="35">
        <f>'Income Statement'!F14*(1-DCF!$C$106)</f>
        <v/>
      </c>
      <c r="G17" s="35">
        <f>'Income Statement'!G14*(1-DCF!$C$106)</f>
        <v/>
      </c>
      <c r="H17" s="35">
        <f>'Income Statement'!H14*(1-DCF!$C$106)</f>
        <v/>
      </c>
      <c r="I17" s="35">
        <f>'Income Statement'!I14*(1-DCF!$C$106)</f>
        <v/>
      </c>
    </row>
    <row r="18">
      <c r="A18" s="6" t="inlineStr">
        <is>
          <t>Less dividends to owners</t>
        </is>
      </c>
      <c r="E18" s="35">
        <f>Assumptions!$C$80*'Income Statement'!E21</f>
        <v/>
      </c>
      <c r="F18" s="35">
        <f>Assumptions!$C$80*'Income Statement'!F21</f>
        <v/>
      </c>
      <c r="G18" s="35">
        <f>Assumptions!$C$80*'Income Statement'!G21</f>
        <v/>
      </c>
      <c r="H18" s="35">
        <f>Assumptions!$C$80*'Income Statement'!H21</f>
        <v/>
      </c>
      <c r="I18" s="35">
        <f>Assumptions!$C$80*'Income Statement'!I21</f>
        <v/>
      </c>
    </row>
    <row r="19">
      <c r="A19" s="6" t="inlineStr">
        <is>
          <t>Less profit accruing to minorities</t>
        </is>
      </c>
      <c r="E19" s="15">
        <f>'Income Statement'!E20</f>
        <v/>
      </c>
      <c r="F19" s="15">
        <f>'Income Statement'!F20</f>
        <v/>
      </c>
      <c r="G19" s="15">
        <f>'Income Statement'!G20</f>
        <v/>
      </c>
      <c r="H19" s="15">
        <f>'Income Statement'!H20</f>
        <v/>
      </c>
      <c r="I19" s="15">
        <f>'Income Statement'!I20</f>
        <v/>
      </c>
    </row>
    <row r="20">
      <c r="A20" s="20" t="inlineStr">
        <is>
          <t>Movement in net debt</t>
        </is>
      </c>
      <c r="E20" s="36">
        <f>-E16+E17+E18+E19</f>
        <v/>
      </c>
      <c r="F20" s="36">
        <f>-F16+F17+F18+F19</f>
        <v/>
      </c>
      <c r="G20" s="36">
        <f>-G16+G17+G18+G19</f>
        <v/>
      </c>
      <c r="H20" s="36">
        <f>-H16+H17+H18+H19</f>
        <v/>
      </c>
      <c r="I20" s="36">
        <f>-I16+I17+I18+I19</f>
        <v/>
      </c>
    </row>
    <row r="21">
      <c r="A21" s="20" t="inlineStr">
        <is>
          <t>Closing net debt</t>
        </is>
      </c>
      <c r="E21" s="47">
        <f>'Balance Sheet'!E22</f>
        <v/>
      </c>
      <c r="F21" s="47">
        <f>'Balance Sheet'!F22</f>
        <v/>
      </c>
      <c r="G21" s="47">
        <f>'Balance Sheet'!G22</f>
        <v/>
      </c>
      <c r="H21" s="47">
        <f>'Balance Sheet'!H22</f>
        <v/>
      </c>
      <c r="I21" s="47">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0" t="inlineStr">
        <is>
          <t>Revenue</t>
        </is>
      </c>
      <c r="B5" s="48">
        <f>'Income Statement'!B5</f>
        <v/>
      </c>
      <c r="C5" s="48">
        <f>'Income Statement'!C5</f>
        <v/>
      </c>
      <c r="D5" s="48">
        <f>'Income Statement'!D5</f>
        <v/>
      </c>
      <c r="E5" s="48">
        <f>'Income Statement'!E5</f>
        <v/>
      </c>
      <c r="F5" s="48">
        <f>'Income Statement'!F5</f>
        <v/>
      </c>
      <c r="G5" s="48">
        <f>'Income Statement'!G5</f>
        <v/>
      </c>
      <c r="H5" s="48">
        <f>'Income Statement'!H5</f>
        <v/>
      </c>
      <c r="I5" s="48">
        <f>'Income Statement'!I5</f>
        <v/>
      </c>
    </row>
    <row r="6">
      <c r="A6" s="6" t="inlineStr">
        <is>
          <t>Revenue growth</t>
        </is>
      </c>
      <c r="B6" s="8" t="inlineStr">
        <is>
          <t>-</t>
        </is>
      </c>
      <c r="C6" s="8">
        <f>C5/B5-1</f>
        <v/>
      </c>
      <c r="D6" s="8">
        <f>D5/C5-1</f>
        <v/>
      </c>
      <c r="E6" s="8">
        <f>E5/D5-1</f>
        <v/>
      </c>
      <c r="F6" s="8">
        <f>F5/E5-1</f>
        <v/>
      </c>
      <c r="G6" s="8">
        <f>G5/F5-1</f>
        <v/>
      </c>
      <c r="H6" s="8">
        <f>H5/G5-1</f>
        <v/>
      </c>
      <c r="I6" s="8">
        <f>I5/H5-1</f>
        <v/>
      </c>
    </row>
    <row r="7">
      <c r="A7" s="6" t="inlineStr">
        <is>
          <t>EBITDA</t>
        </is>
      </c>
      <c r="B7" s="14">
        <f>'Income Statement'!B11</f>
        <v/>
      </c>
      <c r="C7" s="14">
        <f>'Income Statement'!C11</f>
        <v/>
      </c>
      <c r="D7" s="14">
        <f>'Income Statement'!D11</f>
        <v/>
      </c>
      <c r="E7" s="14">
        <f>'Income Statement'!E11</f>
        <v/>
      </c>
      <c r="F7" s="14">
        <f>'Income Statement'!F11</f>
        <v/>
      </c>
      <c r="G7" s="14">
        <f>'Income Statement'!G11</f>
        <v/>
      </c>
      <c r="H7" s="14">
        <f>'Income Statement'!H11</f>
        <v/>
      </c>
      <c r="I7" s="14">
        <f>'Income Statement'!I11</f>
        <v/>
      </c>
    </row>
    <row r="8">
      <c r="A8" s="6" t="inlineStr">
        <is>
          <t>EBITDA margin</t>
        </is>
      </c>
      <c r="B8" s="8">
        <f>B7/B5</f>
        <v/>
      </c>
      <c r="C8" s="8">
        <f>C7/C5</f>
        <v/>
      </c>
      <c r="D8" s="8">
        <f>D7/D5</f>
        <v/>
      </c>
      <c r="E8" s="8">
        <f>E7/E5</f>
        <v/>
      </c>
      <c r="F8" s="8">
        <f>F7/F5</f>
        <v/>
      </c>
      <c r="G8" s="8">
        <f>G7/G5</f>
        <v/>
      </c>
      <c r="H8" s="8">
        <f>H7/H5</f>
        <v/>
      </c>
      <c r="I8" s="8">
        <f>I7/I5</f>
        <v/>
      </c>
    </row>
    <row r="9">
      <c r="A9" s="6" t="inlineStr">
        <is>
          <t>EBIT</t>
        </is>
      </c>
      <c r="B9" s="14">
        <f>'Income Statement'!B12</f>
        <v/>
      </c>
      <c r="C9" s="14">
        <f>'Income Statement'!C12</f>
        <v/>
      </c>
      <c r="D9" s="14">
        <f>'Income Statement'!D12</f>
        <v/>
      </c>
      <c r="E9" s="14">
        <f>'Income Statement'!E12</f>
        <v/>
      </c>
      <c r="F9" s="14">
        <f>'Income Statement'!F12</f>
        <v/>
      </c>
      <c r="G9" s="14">
        <f>'Income Statement'!G12</f>
        <v/>
      </c>
      <c r="H9" s="14">
        <f>'Income Statement'!H12</f>
        <v/>
      </c>
      <c r="I9" s="14">
        <f>'Income Statement'!I12</f>
        <v/>
      </c>
    </row>
    <row r="10">
      <c r="A10" s="6" t="inlineStr">
        <is>
          <t>Profit attributable to owners</t>
        </is>
      </c>
      <c r="B10" s="14">
        <f>'Income Statement'!B21</f>
        <v/>
      </c>
      <c r="C10" s="14">
        <f>'Income Statement'!C21</f>
        <v/>
      </c>
      <c r="D10" s="14">
        <f>'Income Statement'!D21</f>
        <v/>
      </c>
      <c r="E10" s="14">
        <f>'Income Statement'!E21</f>
        <v/>
      </c>
      <c r="F10" s="14">
        <f>'Income Statement'!F21</f>
        <v/>
      </c>
      <c r="G10" s="14">
        <f>'Income Statement'!G21</f>
        <v/>
      </c>
      <c r="H10" s="14">
        <f>'Income Statement'!H21</f>
        <v/>
      </c>
      <c r="I10" s="14">
        <f>'Income Statement'!I21</f>
        <v/>
      </c>
    </row>
    <row r="11">
      <c r="A11" s="6" t="inlineStr">
        <is>
          <t>Free cash flow to the firm</t>
        </is>
      </c>
      <c r="B11" s="22" t="inlineStr">
        <is>
          <t>-</t>
        </is>
      </c>
      <c r="C11" s="22" t="inlineStr">
        <is>
          <t>-</t>
        </is>
      </c>
      <c r="D11" s="22" t="inlineStr">
        <is>
          <t>-</t>
        </is>
      </c>
      <c r="E11" s="14">
        <f>'Cash Flow'!E16</f>
        <v/>
      </c>
      <c r="F11" s="14">
        <f>'Cash Flow'!F16</f>
        <v/>
      </c>
      <c r="G11" s="14">
        <f>'Cash Flow'!G16</f>
        <v/>
      </c>
      <c r="H11" s="14">
        <f>'Cash Flow'!H16</f>
        <v/>
      </c>
      <c r="I11" s="14">
        <f>'Cash Flow'!I16</f>
        <v/>
      </c>
    </row>
    <row r="12">
      <c r="A12" s="6" t="inlineStr">
        <is>
          <t>Net debt</t>
        </is>
      </c>
      <c r="B12" s="14">
        <f>'Balance Sheet'!B22</f>
        <v/>
      </c>
      <c r="C12" s="14">
        <f>'Balance Sheet'!C22</f>
        <v/>
      </c>
      <c r="D12" s="14">
        <f>'Balance Sheet'!D22</f>
        <v/>
      </c>
      <c r="E12" s="14">
        <f>'Balance Sheet'!E22</f>
        <v/>
      </c>
      <c r="F12" s="14">
        <f>'Balance Sheet'!F22</f>
        <v/>
      </c>
      <c r="G12" s="14">
        <f>'Balance Sheet'!G22</f>
        <v/>
      </c>
      <c r="H12" s="14">
        <f>'Balance Sheet'!H22</f>
        <v/>
      </c>
      <c r="I12" s="14">
        <f>'Balance Sheet'!I22</f>
        <v/>
      </c>
    </row>
    <row r="13">
      <c r="A13" s="6" t="inlineStr">
        <is>
          <t>Invested capital</t>
        </is>
      </c>
      <c r="B13" s="14">
        <f>'Balance Sheet'!B24</f>
        <v/>
      </c>
      <c r="C13" s="14">
        <f>'Balance Sheet'!C24</f>
        <v/>
      </c>
      <c r="D13" s="14">
        <f>'Balance Sheet'!D24</f>
        <v/>
      </c>
      <c r="E13" s="14">
        <f>'Balance Sheet'!E24</f>
        <v/>
      </c>
      <c r="F13" s="14">
        <f>'Balance Sheet'!F24</f>
        <v/>
      </c>
      <c r="G13" s="14">
        <f>'Balance Sheet'!G24</f>
        <v/>
      </c>
      <c r="H13" s="14">
        <f>'Balance Sheet'!H24</f>
        <v/>
      </c>
      <c r="I13" s="14">
        <f>'Balance Sheet'!I24</f>
        <v/>
      </c>
    </row>
    <row r="14">
      <c r="A14" s="6" t="inlineStr">
        <is>
          <t>Return on invested capital</t>
        </is>
      </c>
      <c r="B14" s="8" t="inlineStr">
        <is>
          <t>-</t>
        </is>
      </c>
      <c r="C14" s="8" t="inlineStr">
        <is>
          <t>-</t>
        </is>
      </c>
      <c r="D14" s="8" t="inlineStr">
        <is>
          <t>-</t>
        </is>
      </c>
      <c r="E14" s="8">
        <f>DCF!B11/E13</f>
        <v/>
      </c>
      <c r="F14" s="8">
        <f>DCF!C11/F13</f>
        <v/>
      </c>
      <c r="G14" s="8">
        <f>DCF!D11/G13</f>
        <v/>
      </c>
      <c r="H14" s="8">
        <f>DCF!E11/H13</f>
        <v/>
      </c>
      <c r="I14" s="8">
        <f>DCF!F11/I13</f>
        <v/>
      </c>
    </row>
    <row r="15">
      <c r="A15" s="6" t="inlineStr">
        <is>
          <t>Net debt / EBITDA</t>
        </is>
      </c>
      <c r="B15" s="41">
        <f>B12/B7</f>
        <v/>
      </c>
      <c r="C15" s="41">
        <f>C12/C7</f>
        <v/>
      </c>
      <c r="D15" s="41">
        <f>D12/D7</f>
        <v/>
      </c>
      <c r="E15" s="41">
        <f>E12/E7</f>
        <v/>
      </c>
      <c r="F15" s="41">
        <f>F12/F7</f>
        <v/>
      </c>
      <c r="G15" s="41">
        <f>G12/G7</f>
        <v/>
      </c>
      <c r="H15" s="41">
        <f>H12/H7</f>
        <v/>
      </c>
      <c r="I15" s="41">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49" t="n">
        <v>2.236743875950278</v>
      </c>
      <c r="C5" s="49" t="n">
        <v>2.416895450058889</v>
      </c>
      <c r="D5" s="49" t="n">
        <v>2.536505554614821</v>
      </c>
      <c r="E5" s="49" t="n">
        <v>2.662688497355799</v>
      </c>
      <c r="F5" s="49" t="n">
        <v>2.870668463481881</v>
      </c>
      <c r="G5" s="27" t="n">
        <v>0.49222</v>
      </c>
    </row>
    <row r="6">
      <c r="A6" s="6" t="inlineStr">
        <is>
          <t>Three months — to 2026-11-09</t>
        </is>
      </c>
      <c r="B6" s="49" t="n">
        <v>2.013717653407458</v>
      </c>
      <c r="C6" s="49" t="n">
        <v>2.319040293796935</v>
      </c>
      <c r="D6" s="49" t="n">
        <v>2.532116209905513</v>
      </c>
      <c r="E6" s="49" t="n">
        <v>2.763945790762775</v>
      </c>
      <c r="F6" s="49" t="n">
        <v>3.187724155557283</v>
      </c>
      <c r="G6" s="27" t="n">
        <v>0.4906</v>
      </c>
    </row>
    <row r="7"/>
    <row r="8">
      <c r="A8" s="5" t="inlineStr">
        <is>
          <t>Level event</t>
        </is>
      </c>
      <c r="B8" s="5" t="inlineStr">
        <is>
          <t>One month</t>
        </is>
      </c>
      <c r="C8" s="5" t="inlineStr">
        <is>
          <t>Three months</t>
        </is>
      </c>
    </row>
    <row r="9">
      <c r="A9" s="6" t="inlineStr">
        <is>
          <t>Finishes 10% or more above the market price</t>
        </is>
      </c>
      <c r="B9" s="27" t="n">
        <v>0.09364</v>
      </c>
      <c r="C9" s="27" t="n">
        <v>0.22516</v>
      </c>
    </row>
    <row r="10">
      <c r="A10" s="6" t="inlineStr">
        <is>
          <t>Finishes 10% or more below the market price</t>
        </is>
      </c>
      <c r="B10" s="27" t="n">
        <v>0.0813</v>
      </c>
      <c r="C10" s="27" t="n">
        <v>0.21646</v>
      </c>
    </row>
    <row r="11">
      <c r="A11" s="6" t="inlineStr">
        <is>
          <t>Touches 10% above the market price at any point</t>
        </is>
      </c>
      <c r="B11" s="27" t="n">
        <v>0.15724</v>
      </c>
      <c r="C11" s="27" t="n">
        <v>0.4185</v>
      </c>
    </row>
    <row r="12">
      <c r="A12" s="6" t="inlineStr">
        <is>
          <t>Touches 10% below the market price at any point</t>
        </is>
      </c>
      <c r="B12" s="27" t="n">
        <v>0.1323</v>
      </c>
      <c r="C12" s="27" t="n">
        <v>0.39122</v>
      </c>
    </row>
    <row r="13">
      <c r="A13" s="6" t="inlineStr">
        <is>
          <t>Touches 20% above the market price at any point</t>
        </is>
      </c>
      <c r="B13" s="27" t="n">
        <v>0.01782</v>
      </c>
      <c r="C13" s="27" t="n">
        <v>0.1556</v>
      </c>
    </row>
    <row r="14">
      <c r="A14" s="6" t="inlineStr">
        <is>
          <t>Touches 20% below the market price at any point</t>
        </is>
      </c>
      <c r="B14" s="27" t="n">
        <v>0.00652</v>
      </c>
      <c r="C14" s="27" t="n">
        <v>0.09616</v>
      </c>
    </row>
    <row r="15"/>
    <row r="16">
      <c r="A16" s="5" t="inlineStr">
        <is>
          <t>Setting</t>
        </is>
      </c>
      <c r="B16" s="5" t="inlineStr">
        <is>
          <t>Value</t>
        </is>
      </c>
    </row>
    <row r="17">
      <c r="A17" s="6" t="inlineStr">
        <is>
          <t>Simulated paths</t>
        </is>
      </c>
      <c r="C17" s="26" t="n">
        <v>50000</v>
      </c>
    </row>
    <row r="18">
      <c r="A18" s="6" t="inlineStr">
        <is>
          <t>Annualised volatility at the three-month anchor</t>
        </is>
      </c>
      <c r="C18" s="27" t="n">
        <v>0.2898211420968638</v>
      </c>
    </row>
    <row r="19">
      <c r="A19" s="6" t="inlineStr">
        <is>
          <t>Market price (AED)</t>
        </is>
      </c>
      <c r="C19" s="50">
        <f>Assumptions!$C$5</f>
        <v/>
      </c>
    </row>
    <row r="20">
      <c r="A20" s="6" t="inlineStr">
        <is>
          <t>Anchor date</t>
        </is>
      </c>
      <c r="C20" s="51"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0" t="inlineStr">
        <is>
          <t>Terminal cost of capital (rows) against terminal growth (columns)</t>
        </is>
      </c>
    </row>
    <row r="5">
      <c r="A5" s="5" t="inlineStr"/>
      <c r="B5" s="5" t="inlineStr">
        <is>
          <t>0.0%</t>
        </is>
      </c>
      <c r="C5" s="5" t="inlineStr">
        <is>
          <t>0.2%</t>
        </is>
      </c>
      <c r="D5" s="5" t="inlineStr">
        <is>
          <t>0.5%</t>
        </is>
      </c>
      <c r="E5" s="5" t="inlineStr">
        <is>
          <t>0.8%</t>
        </is>
      </c>
      <c r="F5" s="5" t="inlineStr">
        <is>
          <t>1.0%</t>
        </is>
      </c>
    </row>
    <row r="6">
      <c r="A6" s="6" t="inlineStr">
        <is>
          <t>10.11%</t>
        </is>
      </c>
      <c r="B6" s="49" t="n">
        <v>1.994253312995301</v>
      </c>
      <c r="C6" s="49" t="n">
        <v>1.984631620481272</v>
      </c>
      <c r="D6" s="49" t="n">
        <v>1.97407795325518</v>
      </c>
      <c r="E6" s="49" t="n">
        <v>1.962495235702308</v>
      </c>
      <c r="F6" s="49" t="n">
        <v>1.949772425251411</v>
      </c>
    </row>
    <row r="7">
      <c r="A7" s="6" t="inlineStr">
        <is>
          <t>10.61%</t>
        </is>
      </c>
      <c r="B7" s="49" t="n">
        <v>1.897152412635113</v>
      </c>
      <c r="C7" s="49" t="n">
        <v>1.885937417660905</v>
      </c>
      <c r="D7" s="49" t="n">
        <v>1.873751267593325</v>
      </c>
      <c r="E7" s="49" t="n">
        <v>1.860499253455257</v>
      </c>
      <c r="F7" s="49" t="n">
        <v>1.846073937548967</v>
      </c>
    </row>
    <row r="8">
      <c r="A8" s="6" t="inlineStr">
        <is>
          <t>11.11%</t>
        </is>
      </c>
      <c r="B8" s="49" t="n">
        <v>1.810535673563454</v>
      </c>
      <c r="C8" s="49" t="n">
        <v>1.798197457167325</v>
      </c>
      <c r="D8" s="49" t="n">
        <v>1.784881283585974</v>
      </c>
      <c r="E8" s="49" t="n">
        <v>1.770497495249912</v>
      </c>
      <c r="F8" s="49" t="n">
        <v>1.754945129561518</v>
      </c>
    </row>
    <row r="9">
      <c r="A9" s="6" t="inlineStr">
        <is>
          <t>11.61%</t>
        </is>
      </c>
      <c r="B9" s="49" t="n">
        <v>1.732768442099322</v>
      </c>
      <c r="C9" s="49" t="n">
        <v>1.719657364941186</v>
      </c>
      <c r="D9" s="49" t="n">
        <v>1.705581860372723</v>
      </c>
      <c r="E9" s="49" t="n">
        <v>1.690458509705353</v>
      </c>
      <c r="F9" s="49" t="n">
        <v>1.674193988178525</v>
      </c>
    </row>
    <row r="10">
      <c r="A10" s="6" t="inlineStr">
        <is>
          <t>12.11%</t>
        </is>
      </c>
      <c r="B10" s="49" t="n">
        <v>1.662539427639168</v>
      </c>
      <c r="C10" s="49" t="n">
        <v>1.64891879066338</v>
      </c>
      <c r="D10" s="49" t="n">
        <v>1.634359786513412</v>
      </c>
      <c r="E10" s="49" t="n">
        <v>1.618785593556269</v>
      </c>
      <c r="F10" s="49" t="n">
        <v>1.6021107693261</v>
      </c>
    </row>
    <row r="11"/>
    <row r="12">
      <c r="A12" s="20"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49" t="n">
        <v>3.068588315302267</v>
      </c>
      <c r="C14" s="49" t="n">
        <v>2.373080187426109</v>
      </c>
      <c r="D14" s="49" t="n">
        <v>1.810535673563454</v>
      </c>
      <c r="E14" s="49" t="n">
        <v>1.329817995611873</v>
      </c>
      <c r="F14" s="49" t="n">
        <v>0.6343098677357158</v>
      </c>
      <c r="G14" s="19">
        <f>MAX(B14:F14)-MIN(B14:F14)</f>
        <v/>
      </c>
    </row>
    <row r="15">
      <c r="A15" s="6" t="inlineStr">
        <is>
          <t>Nitrogen price path, multiplicative  (-20% / -10% / +0% / +10% / +20%)</t>
        </is>
      </c>
      <c r="B15" s="49" t="n">
        <v>1.073721004417648</v>
      </c>
      <c r="C15" s="49" t="n">
        <v>1.442128338990551</v>
      </c>
      <c r="D15" s="49" t="n">
        <v>1.810535673563454</v>
      </c>
      <c r="E15" s="49" t="n">
        <v>2.178943008136358</v>
      </c>
      <c r="F15" s="49" t="n">
        <v>2.547350342709262</v>
      </c>
      <c r="G15" s="19">
        <f>MAX(B15:F15)-MIN(B15:F15)</f>
        <v/>
      </c>
    </row>
    <row r="16">
      <c r="A16" s="6" t="inlineStr">
        <is>
          <t>Beta  (0.465 / 0.400 / 0.931 / 0.600 / 1.398)</t>
        </is>
      </c>
      <c r="B16" s="49" t="n">
        <v>2.775623423257351</v>
      </c>
      <c r="C16" s="49" t="n">
        <v>2.999230551564709</v>
      </c>
      <c r="D16" s="49" t="n">
        <v>1.810535673563454</v>
      </c>
      <c r="E16" s="49" t="n">
        <v>2.406165356345159</v>
      </c>
      <c r="F16" s="49" t="n">
        <v>1.336849722458352</v>
      </c>
      <c r="G16" s="19">
        <f>MAX(B16:F16)-MIN(B16:F16)</f>
        <v/>
      </c>
    </row>
    <row r="17">
      <c r="A17" s="6" t="inlineStr">
        <is>
          <t>Tax rate  (8.0% / 11.0% / 13.1% / 16.0% / 20.0%)</t>
        </is>
      </c>
      <c r="B17" s="49" t="n">
        <v>1.93448979261854</v>
      </c>
      <c r="C17" s="49" t="n">
        <v>1.862134152441707</v>
      </c>
      <c r="D17" s="49" t="n">
        <v>1.810535673563454</v>
      </c>
      <c r="E17" s="49" t="n">
        <v>1.741541418813652</v>
      </c>
      <c r="F17" s="49" t="n">
        <v>1.645067231911208</v>
      </c>
      <c r="G17" s="19">
        <f>MAX(B17:F17)-MIN(B17:F17)</f>
        <v/>
      </c>
    </row>
    <row r="18">
      <c r="A18" s="6" t="inlineStr">
        <is>
          <t>Terminal growth, at the base cost of capital  (0.0% / 0.2% / 0.5% / 0.8% / 1.0%)</t>
        </is>
      </c>
      <c r="B18" s="49" t="n">
        <v>1.810535673563454</v>
      </c>
      <c r="C18" s="49" t="n">
        <v>1.798197457167325</v>
      </c>
      <c r="D18" s="49" t="n">
        <v>1.784881283585974</v>
      </c>
      <c r="E18" s="49" t="n">
        <v>1.770497495249912</v>
      </c>
      <c r="F18" s="49" t="n">
        <v>1.754945129561518</v>
      </c>
      <c r="G18" s="1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19">
        <f>'Income Statement'!B22</f>
        <v/>
      </c>
      <c r="C5" s="19">
        <f>'Income Statement'!C22</f>
        <v/>
      </c>
      <c r="D5" s="19">
        <f>'Income Statement'!D22</f>
        <v/>
      </c>
      <c r="E5" s="19">
        <f>'Income Statement'!E22</f>
        <v/>
      </c>
      <c r="F5" s="19">
        <f>'Income Statement'!F22</f>
        <v/>
      </c>
      <c r="G5" s="19">
        <f>'Income Statement'!G22</f>
        <v/>
      </c>
      <c r="H5" s="19">
        <f>'Income Statement'!H22</f>
        <v/>
      </c>
      <c r="I5" s="19">
        <f>'Income Statement'!I22</f>
        <v/>
      </c>
    </row>
    <row r="6">
      <c r="A6" s="6" t="inlineStr">
        <is>
          <t>Earnings per share (AED)</t>
        </is>
      </c>
      <c r="B6" s="19">
        <f>'Income Statement'!B23</f>
        <v/>
      </c>
      <c r="C6" s="19">
        <f>'Income Statement'!C23</f>
        <v/>
      </c>
      <c r="D6" s="19">
        <f>'Income Statement'!D23</f>
        <v/>
      </c>
      <c r="E6" s="19">
        <f>'Income Statement'!E23</f>
        <v/>
      </c>
      <c r="F6" s="19">
        <f>'Income Statement'!F23</f>
        <v/>
      </c>
      <c r="G6" s="19">
        <f>'Income Statement'!G23</f>
        <v/>
      </c>
      <c r="H6" s="19">
        <f>'Income Statement'!H23</f>
        <v/>
      </c>
      <c r="I6" s="19">
        <f>'Income Statement'!I23</f>
        <v/>
      </c>
    </row>
    <row r="7">
      <c r="A7" s="6" t="inlineStr">
        <is>
          <t>Book value per share ($)</t>
        </is>
      </c>
      <c r="B7" s="19">
        <f>'Balance Sheet'!B18/Assumptions!$C$7</f>
        <v/>
      </c>
      <c r="C7" s="19">
        <f>'Balance Sheet'!C18/Assumptions!$C$7</f>
        <v/>
      </c>
      <c r="D7" s="19">
        <f>'Balance Sheet'!D18/Assumptions!$C$7</f>
        <v/>
      </c>
      <c r="E7" s="19">
        <f>'Balance Sheet'!E18/Assumptions!$C$7</f>
        <v/>
      </c>
      <c r="F7" s="19">
        <f>'Balance Sheet'!F18/Assumptions!$C$7</f>
        <v/>
      </c>
      <c r="G7" s="19">
        <f>'Balance Sheet'!G18/Assumptions!$C$7</f>
        <v/>
      </c>
      <c r="H7" s="19">
        <f>'Balance Sheet'!H18/Assumptions!$C$7</f>
        <v/>
      </c>
      <c r="I7" s="19">
        <f>'Balance Sheet'!I18/Assumptions!$C$7</f>
        <v/>
      </c>
    </row>
    <row r="8">
      <c r="A8" s="6" t="inlineStr">
        <is>
          <t>Free cash flow per share ($)</t>
        </is>
      </c>
      <c r="B8" s="19" t="inlineStr">
        <is>
          <t>-</t>
        </is>
      </c>
      <c r="C8" s="19" t="inlineStr">
        <is>
          <t>-</t>
        </is>
      </c>
      <c r="D8" s="19" t="inlineStr">
        <is>
          <t>-</t>
        </is>
      </c>
      <c r="E8" s="19">
        <f>'Summary Financials'!E11/Assumptions!$C$7</f>
        <v/>
      </c>
      <c r="F8" s="19">
        <f>'Summary Financials'!F11/Assumptions!$C$7</f>
        <v/>
      </c>
      <c r="G8" s="19">
        <f>'Summary Financials'!G11/Assumptions!$C$7</f>
        <v/>
      </c>
      <c r="H8" s="19">
        <f>'Summary Financials'!H11/Assumptions!$C$7</f>
        <v/>
      </c>
      <c r="I8" s="19">
        <f>'Summary Financials'!I11/Assumptions!$C$7</f>
        <v/>
      </c>
    </row>
    <row r="9">
      <c r="A9" s="6" t="inlineStr">
        <is>
          <t>Dividend per share ($)</t>
        </is>
      </c>
      <c r="B9" s="19" t="inlineStr">
        <is>
          <t>-</t>
        </is>
      </c>
      <c r="C9" s="19" t="inlineStr">
        <is>
          <t>-</t>
        </is>
      </c>
      <c r="D9" s="19" t="inlineStr">
        <is>
          <t>-</t>
        </is>
      </c>
      <c r="E9" s="19">
        <f>Assumptions!$C$80*'Income Statement'!E21/Assumptions!$C$7</f>
        <v/>
      </c>
      <c r="F9" s="19">
        <f>Assumptions!$C$80*'Income Statement'!F21/Assumptions!$C$7</f>
        <v/>
      </c>
      <c r="G9" s="19">
        <f>Assumptions!$C$80*'Income Statement'!G21/Assumptions!$C$7</f>
        <v/>
      </c>
      <c r="H9" s="19">
        <f>Assumptions!$C$80*'Income Statement'!H21/Assumptions!$C$7</f>
        <v/>
      </c>
      <c r="I9" s="19">
        <f>Assumptions!$C$80*'Income Statement'!I21/Assumptions!$C$7</f>
        <v/>
      </c>
    </row>
    <row r="10">
      <c r="A10" s="6" t="inlineStr">
        <is>
          <t>Gross margin</t>
        </is>
      </c>
      <c r="B10" s="8">
        <f>'Income Statement'!B7/'Income Statement'!B5</f>
        <v/>
      </c>
      <c r="C10" s="8">
        <f>'Income Statement'!C7/'Income Statement'!C5</f>
        <v/>
      </c>
      <c r="D10" s="8">
        <f>'Income Statement'!D7/'Income Statement'!D5</f>
        <v/>
      </c>
      <c r="E10" s="8" t="inlineStr">
        <is>
          <t>-</t>
        </is>
      </c>
      <c r="F10" s="8" t="inlineStr">
        <is>
          <t>-</t>
        </is>
      </c>
      <c r="G10" s="8" t="inlineStr">
        <is>
          <t>-</t>
        </is>
      </c>
      <c r="H10" s="8" t="inlineStr">
        <is>
          <t>-</t>
        </is>
      </c>
      <c r="I10" s="8" t="inlineStr">
        <is>
          <t>-</t>
        </is>
      </c>
    </row>
    <row r="11">
      <c r="A11" s="6" t="inlineStr">
        <is>
          <t>EBITDA margin</t>
        </is>
      </c>
      <c r="B11" s="8">
        <f>'Income Statement'!B24</f>
        <v/>
      </c>
      <c r="C11" s="8">
        <f>'Income Statement'!C24</f>
        <v/>
      </c>
      <c r="D11" s="8">
        <f>'Income Statement'!D24</f>
        <v/>
      </c>
      <c r="E11" s="8">
        <f>'Income Statement'!E24</f>
        <v/>
      </c>
      <c r="F11" s="8">
        <f>'Income Statement'!F24</f>
        <v/>
      </c>
      <c r="G11" s="8">
        <f>'Income Statement'!G24</f>
        <v/>
      </c>
      <c r="H11" s="8">
        <f>'Income Statement'!H24</f>
        <v/>
      </c>
      <c r="I11" s="8">
        <f>'Income Statement'!I24</f>
        <v/>
      </c>
    </row>
    <row r="12">
      <c r="A12" s="6" t="inlineStr">
        <is>
          <t>EBIT margin</t>
        </is>
      </c>
      <c r="B12" s="8">
        <f>'Income Statement'!B12/'Income Statement'!B5</f>
        <v/>
      </c>
      <c r="C12" s="8">
        <f>'Income Statement'!C12/'Income Statement'!C5</f>
        <v/>
      </c>
      <c r="D12" s="8">
        <f>'Income Statement'!D12/'Income Statement'!D5</f>
        <v/>
      </c>
      <c r="E12" s="8">
        <f>'Income Statement'!E12/'Income Statement'!E5</f>
        <v/>
      </c>
      <c r="F12" s="8">
        <f>'Income Statement'!F12/'Income Statement'!F5</f>
        <v/>
      </c>
      <c r="G12" s="8">
        <f>'Income Statement'!G12/'Income Statement'!G5</f>
        <v/>
      </c>
      <c r="H12" s="8">
        <f>'Income Statement'!H12/'Income Statement'!H5</f>
        <v/>
      </c>
      <c r="I12" s="8">
        <f>'Income Statement'!I12/'Income Statement'!I5</f>
        <v/>
      </c>
    </row>
    <row r="13">
      <c r="A13" s="6" t="inlineStr">
        <is>
          <t>Net margin, attributable</t>
        </is>
      </c>
      <c r="B13" s="8">
        <f>'Income Statement'!B21/'Income Statement'!B5</f>
        <v/>
      </c>
      <c r="C13" s="8">
        <f>'Income Statement'!C21/'Income Statement'!C5</f>
        <v/>
      </c>
      <c r="D13" s="8">
        <f>'Income Statement'!D21/'Income Statement'!D5</f>
        <v/>
      </c>
      <c r="E13" s="8">
        <f>'Income Statement'!E21/'Income Statement'!E5</f>
        <v/>
      </c>
      <c r="F13" s="8">
        <f>'Income Statement'!F21/'Income Statement'!F5</f>
        <v/>
      </c>
      <c r="G13" s="8">
        <f>'Income Statement'!G21/'Income Statement'!G5</f>
        <v/>
      </c>
      <c r="H13" s="8">
        <f>'Income Statement'!H21/'Income Statement'!H5</f>
        <v/>
      </c>
      <c r="I13" s="8">
        <f>'Income Statement'!I21/'Income Statement'!I5</f>
        <v/>
      </c>
    </row>
    <row r="14">
      <c r="A14" s="6" t="inlineStr">
        <is>
          <t>Return on equity, on opening equity</t>
        </is>
      </c>
      <c r="B14" s="8" t="inlineStr">
        <is>
          <t>-</t>
        </is>
      </c>
      <c r="C14" s="8">
        <f>'Income Statement'!C21/'Balance Sheet'!B18</f>
        <v/>
      </c>
      <c r="D14" s="8">
        <f>'Income Statement'!D21/'Balance Sheet'!C18</f>
        <v/>
      </c>
      <c r="E14" s="8">
        <f>'Income Statement'!E21/'Balance Sheet'!D18</f>
        <v/>
      </c>
      <c r="F14" s="8">
        <f>'Income Statement'!F21/'Balance Sheet'!E18</f>
        <v/>
      </c>
      <c r="G14" s="8">
        <f>'Income Statement'!G21/'Balance Sheet'!F18</f>
        <v/>
      </c>
      <c r="H14" s="8">
        <f>'Income Statement'!H21/'Balance Sheet'!G18</f>
        <v/>
      </c>
      <c r="I14" s="8">
        <f>'Income Statement'!I21/'Balance Sheet'!H18</f>
        <v/>
      </c>
    </row>
    <row r="15">
      <c r="A15" s="6" t="inlineStr">
        <is>
          <t>Return on invested capital</t>
        </is>
      </c>
      <c r="B15" s="8" t="inlineStr">
        <is>
          <t>-</t>
        </is>
      </c>
      <c r="C15" s="8" t="inlineStr">
        <is>
          <t>-</t>
        </is>
      </c>
      <c r="D15" s="8" t="inlineStr">
        <is>
          <t>-</t>
        </is>
      </c>
      <c r="E15" s="8">
        <f>'Summary Financials'!E14</f>
        <v/>
      </c>
      <c r="F15" s="8">
        <f>'Summary Financials'!F14</f>
        <v/>
      </c>
      <c r="G15" s="8">
        <f>'Summary Financials'!G14</f>
        <v/>
      </c>
      <c r="H15" s="8">
        <f>'Summary Financials'!H14</f>
        <v/>
      </c>
      <c r="I15" s="8">
        <f>'Summary Financials'!I14</f>
        <v/>
      </c>
    </row>
    <row r="16">
      <c r="A16" s="6" t="inlineStr">
        <is>
          <t>Net debt / EBITDA</t>
        </is>
      </c>
      <c r="B16" s="41">
        <f>'Summary Financials'!B15</f>
        <v/>
      </c>
      <c r="C16" s="41">
        <f>'Summary Financials'!C15</f>
        <v/>
      </c>
      <c r="D16" s="41">
        <f>'Summary Financials'!D15</f>
        <v/>
      </c>
      <c r="E16" s="41">
        <f>'Summary Financials'!E15</f>
        <v/>
      </c>
      <c r="F16" s="41">
        <f>'Summary Financials'!F15</f>
        <v/>
      </c>
      <c r="G16" s="41">
        <f>'Summary Financials'!G15</f>
        <v/>
      </c>
      <c r="H16" s="41">
        <f>'Summary Financials'!H15</f>
        <v/>
      </c>
      <c r="I16" s="41">
        <f>'Summary Financials'!I15</f>
        <v/>
      </c>
    </row>
    <row r="17">
      <c r="A17" s="6" t="inlineStr">
        <is>
          <t>Interest cover (EBIT over the net finance charge)</t>
        </is>
      </c>
      <c r="B17" s="41">
        <f>-'Income Statement'!B12/'Income Statement'!B16</f>
        <v/>
      </c>
      <c r="C17" s="41">
        <f>-'Income Statement'!C12/'Income Statement'!C16</f>
        <v/>
      </c>
      <c r="D17" s="41">
        <f>-'Income Statement'!D12/'Income Statement'!D16</f>
        <v/>
      </c>
      <c r="E17" s="41">
        <f>-'Income Statement'!E12/'Income Statement'!E16</f>
        <v/>
      </c>
      <c r="F17" s="41">
        <f>-'Income Statement'!F12/'Income Statement'!F16</f>
        <v/>
      </c>
      <c r="G17" s="41">
        <f>-'Income Statement'!G12/'Income Statement'!G16</f>
        <v/>
      </c>
      <c r="H17" s="41">
        <f>-'Income Statement'!H12/'Income Statement'!H16</f>
        <v/>
      </c>
      <c r="I17" s="41">
        <f>-'Income Statement'!I12/'Income Statement'!I16</f>
        <v/>
      </c>
    </row>
    <row r="18">
      <c r="A18" s="6" t="inlineStr">
        <is>
          <t>Net working capital / revenue</t>
        </is>
      </c>
      <c r="B18" s="8">
        <f>'Balance Sheet'!B23/'Income Statement'!B5</f>
        <v/>
      </c>
      <c r="C18" s="8">
        <f>'Balance Sheet'!C23/'Income Statement'!C5</f>
        <v/>
      </c>
      <c r="D18" s="8">
        <f>'Balance Sheet'!D23/'Income Statement'!D5</f>
        <v/>
      </c>
      <c r="E18" s="8">
        <f>'Balance Sheet'!E23/'Income Statement'!E5</f>
        <v/>
      </c>
      <c r="F18" s="8">
        <f>'Balance Sheet'!F23/'Income Statement'!F5</f>
        <v/>
      </c>
      <c r="G18" s="8">
        <f>'Balance Sheet'!G23/'Income Statement'!G5</f>
        <v/>
      </c>
      <c r="H18" s="8">
        <f>'Balance Sheet'!H23/'Income Statement'!H5</f>
        <v/>
      </c>
      <c r="I18" s="8">
        <f>'Balance Sheet'!I23/'Income Statement'!I5</f>
        <v/>
      </c>
    </row>
    <row r="19">
      <c r="A19" s="6" t="inlineStr">
        <is>
          <t>Capital expenditure / revenue</t>
        </is>
      </c>
      <c r="B19" s="8">
        <f>'Cash Flow'!B6/'Income Statement'!B5</f>
        <v/>
      </c>
      <c r="C19" s="8">
        <f>'Cash Flow'!C6/'Income Statement'!C5</f>
        <v/>
      </c>
      <c r="D19" s="8">
        <f>'Cash Flow'!D6/'Income Statement'!D5</f>
        <v/>
      </c>
      <c r="E19" s="8">
        <f>DCF!B13/'Income Statement'!E5</f>
        <v/>
      </c>
      <c r="F19" s="8">
        <f>DCF!C13/'Income Statement'!F5</f>
        <v/>
      </c>
      <c r="G19" s="8">
        <f>DCF!D13/'Income Statement'!G5</f>
        <v/>
      </c>
      <c r="H19" s="8">
        <f>DCF!E13/'Income Statement'!H5</f>
        <v/>
      </c>
      <c r="I19" s="8">
        <f>DCF!F13/'Income Statement'!I5</f>
        <v/>
      </c>
    </row>
    <row r="20">
      <c r="A20" s="6" t="inlineStr">
        <is>
          <t>Cash cost per tonne of own product ($/t)</t>
        </is>
      </c>
      <c r="B20" s="35" t="inlineStr">
        <is>
          <t>-</t>
        </is>
      </c>
      <c r="C20" s="35">
        <f>Segments!B16</f>
        <v/>
      </c>
      <c r="D20" s="35">
        <f>Segments!C16</f>
        <v/>
      </c>
      <c r="E20" s="35">
        <f>Segments!B48</f>
        <v/>
      </c>
      <c r="F20" s="35">
        <f>Segments!C48</f>
        <v/>
      </c>
      <c r="G20" s="35">
        <f>Segments!D48</f>
        <v/>
      </c>
      <c r="H20" s="35">
        <f>Segments!E48</f>
        <v/>
      </c>
      <c r="I20" s="35">
        <f>Segments!F48</f>
        <v/>
      </c>
    </row>
    <row r="21">
      <c r="A21" s="6" t="inlineStr">
        <is>
          <t>Realised price per tonne of own product ($/t)</t>
        </is>
      </c>
      <c r="B21" s="35" t="inlineStr">
        <is>
          <t>-</t>
        </is>
      </c>
      <c r="C21" s="35">
        <f>Segments!B12</f>
        <v/>
      </c>
      <c r="D21" s="35">
        <f>Segments!C12</f>
        <v/>
      </c>
      <c r="E21" s="35">
        <f>Segments!B46</f>
        <v/>
      </c>
      <c r="F21" s="35">
        <f>Segments!C46</f>
        <v/>
      </c>
      <c r="G21" s="35">
        <f>Segments!D46</f>
        <v/>
      </c>
      <c r="H21" s="35">
        <f>Segments!E46</f>
        <v/>
      </c>
      <c r="I21" s="35">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2" t="inlineStr">
        <is>
          <t>diversified nutrient, retail attached</t>
        </is>
      </c>
    </row>
    <row r="6" ht="28" customHeight="1">
      <c r="A6" s="6" t="inlineStr">
        <is>
          <t>CF Industries</t>
        </is>
      </c>
      <c r="B6" s="6" t="inlineStr">
        <is>
          <t>US</t>
        </is>
      </c>
      <c r="C6" s="21" t="n">
        <v>6.1</v>
      </c>
      <c r="D6" s="52" t="inlineStr">
        <is>
          <t>pure nitrogen, Henry Hub advantaged</t>
        </is>
      </c>
    </row>
    <row r="7" ht="28" customHeight="1">
      <c r="A7" s="6" t="inlineStr">
        <is>
          <t>Yara International</t>
        </is>
      </c>
      <c r="B7" s="6" t="inlineStr">
        <is>
          <t>NO</t>
        </is>
      </c>
      <c r="C7" s="21" t="n">
        <v>5.2</v>
      </c>
      <c r="D7" s="52" t="inlineStr">
        <is>
          <t>nitrogen, European gas cost</t>
        </is>
      </c>
    </row>
    <row r="8" ht="28" customHeight="1">
      <c r="A8" s="6" t="inlineStr">
        <is>
          <t>OCI Global</t>
        </is>
      </c>
      <c r="B8" s="6" t="inlineStr">
        <is>
          <t>NL</t>
        </is>
      </c>
      <c r="C8" s="21" t="n">
        <v>5.6</v>
      </c>
      <c r="D8" s="52" t="inlineStr">
        <is>
          <t>nitrogen and methanol</t>
        </is>
      </c>
    </row>
    <row r="9" ht="28" customHeight="1">
      <c r="A9" s="6" t="inlineStr">
        <is>
          <t>Industries Qatar</t>
        </is>
      </c>
      <c r="B9" s="6" t="inlineStr">
        <is>
          <t>QA</t>
        </is>
      </c>
      <c r="C9" s="21" t="n">
        <v>9.1</v>
      </c>
      <c r="D9" s="52" t="inlineStr">
        <is>
          <t>Gulf petrochemical and fertiliser</t>
        </is>
      </c>
    </row>
    <row r="10" ht="28" customHeight="1">
      <c r="A10" s="6" t="inlineStr">
        <is>
          <t>SABIC Agri-Nutrients</t>
        </is>
      </c>
      <c r="B10" s="6" t="inlineStr">
        <is>
          <t>SA</t>
        </is>
      </c>
      <c r="C10" s="21" t="n">
        <v>10.4</v>
      </c>
      <c r="D10" s="52" t="inlineStr">
        <is>
          <t>Gulf nitrogen, Tadawul rating</t>
        </is>
      </c>
    </row>
    <row r="11">
      <c r="A11" s="20" t="inlineStr">
        <is>
          <t>Peer median</t>
        </is>
      </c>
      <c r="C11" s="53">
        <f>MEDIAN(C5:C10)</f>
        <v/>
      </c>
    </row>
    <row r="12">
      <c r="A12" s="6" t="inlineStr">
        <is>
          <t>Peer average</t>
        </is>
      </c>
      <c r="C12" s="41">
        <f>AVERAGE(C5:C10)</f>
        <v/>
      </c>
    </row>
    <row r="13">
      <c r="A13" s="6" t="inlineStr">
        <is>
          <t>Applied in the relative lens</t>
        </is>
      </c>
      <c r="C13" s="40">
        <f>'Relative &amp; Normalized'!C6</f>
        <v/>
      </c>
    </row>
    <row r="14"/>
    <row r="15">
      <c r="A15" s="5" t="inlineStr">
        <is>
          <t>The company on its own multiples</t>
        </is>
      </c>
      <c r="B15" s="5" t="inlineStr">
        <is>
          <t>Value</t>
        </is>
      </c>
    </row>
    <row r="16">
      <c r="A16" s="6" t="inlineStr">
        <is>
          <t>Trailing enterprise value / EBITDA</t>
        </is>
      </c>
      <c r="C16" s="40">
        <f>'Relative &amp; Normalized'!C14</f>
        <v/>
      </c>
    </row>
    <row r="17">
      <c r="A17" s="6" t="inlineStr">
        <is>
          <t>Trailing price / earnings</t>
        </is>
      </c>
      <c r="C17" s="40">
        <f>'Relative &amp; Normalized'!C15</f>
        <v/>
      </c>
    </row>
    <row r="18">
      <c r="A18" s="6" t="inlineStr">
        <is>
          <t>Trailing price / book</t>
        </is>
      </c>
      <c r="C18" s="40">
        <f>Assumptions!$C$5/Assumptions!$C$6/'Relative &amp; Normalized'!C29</f>
        <v/>
      </c>
    </row>
    <row r="19">
      <c r="A19" s="6" t="inlineStr">
        <is>
          <t>Terminal value implied enterprise value / EBITDA, framing A</t>
        </is>
      </c>
      <c r="C19" s="40">
        <f>DCF!C64</f>
        <v/>
      </c>
    </row>
    <row r="20">
      <c r="A20" s="6" t="inlineStr">
        <is>
          <t>Terminal value implied enterprise value / EBITDA, framing B</t>
        </is>
      </c>
      <c r="C20" s="40">
        <f>DCF!D64</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2026-09-04T11:03:26Z</dcterms:created>
  <dcterms:modified xmlns:dcterms="http://purl.org/dc/terms/" xmlns:xsi="http://www.w3.org/2001/XMLSchema-instance" xsi:type="dcterms:W3CDTF">2026-09-04T11:03:26Z</dcterms:modified>
</cp:coreProperties>
</file>