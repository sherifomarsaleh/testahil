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 Bridg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00"/>
    <numFmt numFmtId="166" formatCode="0.0000"/>
    <numFmt numFmtId="167" formatCode="#,##0.1"/>
    <numFmt numFmtId="168" formatCode="0.0"/>
    <numFmt numFmtId="169" formatCode="0.00000"/>
    <numFmt numFmtId="170" formatCode="#,##0.0000"/>
    <numFmt numFmtId="171" formatCode="0.0%"/>
  </numFmts>
  <fonts count="6">
    <font>
      <name val="Calibri"/>
      <family val="2"/>
      <color theme="1"/>
      <sz val="11"/>
      <scheme val="minor"/>
    </font>
    <font>
      <b val="1"/>
      <color rgb="001C3A36"/>
      <sz val="10"/>
    </font>
    <font>
      <color rgb="001C3A36"/>
      <sz val="10"/>
    </font>
    <font>
      <color rgb="001F4EB0"/>
      <sz val="10"/>
    </font>
    <font>
      <i val="1"/>
      <color rgb="006E7B77"/>
      <sz val="8.5"/>
    </font>
    <font>
      <b val="1"/>
      <color rgb="001F4EB0"/>
      <sz val="10"/>
    </font>
  </fonts>
  <fills count="3">
    <fill>
      <patternFill/>
    </fill>
    <fill>
      <patternFill patternType="gray125"/>
    </fill>
    <fill>
      <patternFill patternType="solid">
        <fgColor rgb="00EA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171" fontId="2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2" fontId="1" fillId="0" borderId="0" pivotButton="0" quotePrefix="0" xfId="0"/>
    <xf numFmtId="2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3" fontId="3" fillId="0" borderId="0" pivotButton="0" quotePrefix="0" xfId="0"/>
    <xf numFmtId="168" fontId="3" fillId="0" borderId="0" pivotButton="0" quotePrefix="0" xfId="0"/>
    <xf numFmtId="167" fontId="2" fillId="0" borderId="0" pivotButton="0" quotePrefix="0" xfId="0"/>
    <xf numFmtId="167" fontId="1" fillId="0" borderId="0" pivotButton="0" quotePrefix="0" xfId="0"/>
    <xf numFmtId="3" fontId="2" fillId="0" borderId="0" pivotButton="0" quotePrefix="0" xfId="0"/>
    <xf numFmtId="169" fontId="2" fillId="0" borderId="0" pivotButton="0" quotePrefix="0" xfId="0"/>
    <xf numFmtId="164" fontId="1" fillId="0" borderId="0" pivotButton="0" quotePrefix="0" xfId="0"/>
    <xf numFmtId="164" fontId="5" fillId="0" borderId="0" pivotButton="0" quotePrefix="0" xfId="0"/>
    <xf numFmtId="168" fontId="2" fillId="0" borderId="0" pivotButton="0" quotePrefix="0" xfId="0"/>
    <xf numFmtId="170" fontId="3" fillId="0" borderId="0" pivotButton="0" quotePrefix="0" xfId="0"/>
    <xf numFmtId="1" fontId="3" fillId="0" borderId="0" pivotButton="0" quotePrefix="0" xfId="0"/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2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GB Corp (GBCO.CA / EGX) — valuation model, fundamental refresh of 19 August 2026</t>
        </is>
      </c>
    </row>
    <row r="4">
      <c r="B4" s="2" t="inlineStr">
        <is>
          <t>Built bottom-up and formula-pure. Blue cells are the only values in the computation sheets: each is a disclosed figure from the 30-Jun-2026 reviewed statements or the 2Q/1H26 release, a sourced market quote, or a stated judgement with its rationale. Every other number is a live formula — FY26E itself is derived (H1 actual + a second half built on the FY25 measured seasonal split with explicit tempering inputs), volumes run at the finest disclosed level (locally assembled vs imported cars; buses, trucks and equipment), unit costs escalate on their own physical classes, and margins are outputs.</t>
        </is>
      </c>
    </row>
    <row r="6">
      <c r="B6" s="2" t="inlineStr">
        <is>
          <t>The terminal value pays for its growth: reinvestment is forced to growth divided by the terminal return on capital (both visible cells on Assumptions/DCF). The July construction — Gordon on year-five cash flow, whose hidden implied return was 25% — is shown as a labelled alternative and priced on the Sensitivity sheet.</t>
        </is>
      </c>
    </row>
    <row r="8">
      <c r="B8" s="2" t="inlineStr">
        <is>
          <t>The contested stake is computed both ways, side by side, never averaged: MNT-Halan at the June-2026 round mark and at the company's own carrying value, which the reviewer could not verify (qualified conclusion, second consecutive period).</t>
        </is>
      </c>
    </row>
    <row r="10">
      <c r="B10" s="2" t="inlineStr">
        <is>
          <t>The price-probability sheet reproduces the published page unchanged (struck 22 July 2026) — this refresh moves the fundamental range only.</t>
        </is>
      </c>
    </row>
    <row r="12">
      <c r="B12" s="2" t="inlineStr">
        <is>
          <t>Change any blue driver and the fair value reprices through Segments, the cash-flow model, the bridge and the synthesis. All amounts EGP millions unless stated.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B1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2">
      <c r="B2" s="1" t="inlineStr">
        <is>
          <t>GB Corp — fair value at a glance (refresh of 19 August 2026)</t>
        </is>
      </c>
    </row>
    <row r="4">
      <c r="A4" s="2" t="inlineStr">
        <is>
          <t>Last library close (22-Jul-26)</t>
        </is>
      </c>
      <c r="B4" s="3">
        <f>Assumptions!$B$6</f>
        <v/>
      </c>
    </row>
    <row r="5">
      <c r="A5" s="2" t="inlineStr">
        <is>
          <t>Fair value — bear</t>
        </is>
      </c>
      <c r="B5" s="3">
        <f>'Fundamental Valuation'!B15</f>
        <v/>
      </c>
    </row>
    <row r="6">
      <c r="A6" s="2" t="inlineStr">
        <is>
          <t>Fair value — base (round mark)</t>
        </is>
      </c>
      <c r="B6" s="3">
        <f>'Fundamental Valuation'!B16</f>
        <v/>
      </c>
    </row>
    <row r="7">
      <c r="A7" s="2" t="inlineStr">
        <is>
          <t>Central under the balance-sheet mark</t>
        </is>
      </c>
      <c r="B7" s="3">
        <f>'Fundamental Valuation'!B12</f>
        <v/>
      </c>
    </row>
    <row r="8">
      <c r="A8" s="2" t="inlineStr">
        <is>
          <t>Fair value — bull</t>
        </is>
      </c>
      <c r="B8" s="3">
        <f>'Fundamental Valuation'!B17</f>
        <v/>
      </c>
    </row>
    <row r="10">
      <c r="A10" s="2" t="inlineStr">
        <is>
          <t>MNT-Halan gap per share (round vs book, post-discount)</t>
        </is>
      </c>
      <c r="B10" s="3">
        <f>(Assumptions!$B$107-Assumptions!$B$78)*(1-Assumptions!$B$84)/Assumptions!$B$5</f>
        <v/>
      </c>
    </row>
    <row r="11">
      <c r="A11" s="2" t="inlineStr">
        <is>
          <t>Terminal share of automotive enterprise value</t>
        </is>
      </c>
      <c r="B11" s="4">
        <f>DCF!B44</f>
        <v/>
      </c>
    </row>
    <row r="13">
      <c r="A13" s="2" t="inlineStr">
        <is>
          <t>H1-26 group revenue (+35.2%)</t>
        </is>
      </c>
      <c r="B13" s="5" t="n">
        <v>48474.374</v>
      </c>
    </row>
    <row r="14">
      <c r="A14" s="2" t="inlineStr">
        <is>
          <t>H1-26 group net profit (−24.5%)</t>
        </is>
      </c>
      <c r="B14" s="5" t="n">
        <v>1262.006</v>
      </c>
    </row>
    <row r="15">
      <c r="A15" s="2" t="inlineStr">
        <is>
          <t>Automotive net debt 30-Jun-26 (2.14x EBITDA)</t>
        </is>
      </c>
      <c r="B15" s="5" t="n">
        <v>14493.6</v>
      </c>
    </row>
    <row r="17">
      <c r="A17" s="6" t="inlineStr">
        <is>
          <t>The July study's published range was 23.3 / 35.7 / 51. This refresh re-built the model bottom-up on the first-half accounts and made the terminal value pay for its growth.</t>
        </is>
      </c>
    </row>
  </sheetData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C1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0" customWidth="1" min="3" max="3"/>
  </cols>
  <sheetData>
    <row r="2">
      <c r="B2" s="1" t="inlineStr">
        <is>
          <t>Four lenses, one field — both framings carried to the end</t>
        </is>
      </c>
    </row>
    <row r="4">
      <c r="A4" s="7" t="inlineStr">
        <is>
          <t>Lens</t>
        </is>
      </c>
      <c r="B4" s="7" t="inlineStr">
        <is>
          <t>Value / share</t>
        </is>
      </c>
      <c r="C4" s="7" t="inlineStr">
        <is>
          <t>Weight</t>
        </is>
      </c>
    </row>
    <row r="5">
      <c r="A5" s="2" t="inlineStr">
        <is>
          <t>Sum of the parts — round mark</t>
        </is>
      </c>
      <c r="B5" s="3">
        <f>'SOTP Bridge'!B13</f>
        <v/>
      </c>
      <c r="C5" s="3">
        <f>Assumptions!$B$85</f>
        <v/>
      </c>
    </row>
    <row r="6">
      <c r="A6" s="2" t="inlineStr">
        <is>
          <t>Sum of the parts — balance-sheet mark</t>
        </is>
      </c>
      <c r="B6" s="3">
        <f>'SOTP Bridge'!C13</f>
        <v/>
      </c>
      <c r="C6" s="6" t="inlineStr">
        <is>
          <t>same weight — the framings alternate, they never blend</t>
        </is>
      </c>
    </row>
    <row r="7">
      <c r="A7" s="2" t="inlineStr">
        <is>
          <t>Book value &amp; sustainable return</t>
        </is>
      </c>
      <c r="B7" s="3">
        <f>Assumptions!$B$76/Assumptions!$B$5</f>
        <v/>
      </c>
      <c r="C7" s="3">
        <f>Assumptions!$B$86</f>
        <v/>
      </c>
    </row>
    <row r="8">
      <c r="A8" s="2" t="inlineStr">
        <is>
          <t>Relative multiples</t>
        </is>
      </c>
      <c r="B8" s="3">
        <f>'Relative &amp; Normalized'!C6</f>
        <v/>
      </c>
      <c r="C8" s="3">
        <f>Assumptions!$B$87</f>
        <v/>
      </c>
    </row>
    <row r="9">
      <c r="A9" s="2" t="inlineStr">
        <is>
          <t>Normalised earnings power</t>
        </is>
      </c>
      <c r="B9" s="3">
        <f>'Relative &amp; Normalized'!C14</f>
        <v/>
      </c>
      <c r="C9" s="3">
        <f>Assumptions!$B$88</f>
        <v/>
      </c>
    </row>
    <row r="11">
      <c r="A11" s="1" t="inlineStr">
        <is>
          <t>Weighted central — round mark</t>
        </is>
      </c>
      <c r="B11" s="8">
        <f>B5*C5+B7*C7+B8*C8+B9*C9</f>
        <v/>
      </c>
    </row>
    <row r="12">
      <c r="A12" s="1" t="inlineStr">
        <is>
          <t>Weighted central — balance-sheet mark</t>
        </is>
      </c>
      <c r="B12" s="8">
        <f>B6*C5+B7*C7+B8*C8+B9*C9</f>
        <v/>
      </c>
    </row>
    <row r="14">
      <c r="A14" s="7" t="inlineStr">
        <is>
          <t>Published range — all three formulas</t>
        </is>
      </c>
    </row>
    <row r="15">
      <c r="A15" s="2" t="inlineStr">
        <is>
          <t>Bear (balance-sheet-mark world: bear legs, 0.8x book, bear multiples)</t>
        </is>
      </c>
      <c r="B15" s="3">
        <f>C5*'SOTP Bridge'!C15+C7*B7*Assumptions!$B$89+C8*'Relative &amp; Normalized'!B6+C9*'Relative &amp; Normalized'!B14</f>
        <v/>
      </c>
    </row>
    <row r="16">
      <c r="A16" s="2" t="inlineStr">
        <is>
          <t>Base (round-mark central)</t>
        </is>
      </c>
      <c r="B16" s="3">
        <f>B11</f>
        <v/>
      </c>
    </row>
    <row r="17">
      <c r="A17" s="2" t="inlineStr">
        <is>
          <t>Bull (round-mark world: bull legs, marked book, bull multiples)</t>
        </is>
      </c>
      <c r="B17" s="3">
        <f>C5*'SOTP Bridge'!B16+C7*(Assumptions!$B$76+Assumptions!$B$107-Assumptions!$B$78)/Assumptions!$B$5+C8*'Relative &amp; Normalized'!D6+C9*'Relative &amp; Normalized'!D14</f>
        <v/>
      </c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I10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6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2">
      <c r="B2" s="1" t="inlineStr">
        <is>
          <t>Assumptions — every driver, with source and date. Blue = input, black = formula.</t>
        </is>
      </c>
    </row>
    <row r="4">
      <c r="B4" s="7" t="inlineStr">
        <is>
          <t>Capital, market &amp; terminal</t>
        </is>
      </c>
    </row>
    <row r="5">
      <c r="A5" s="2" t="inlineStr">
        <is>
          <t>Shares outstanding (mn)</t>
        </is>
      </c>
      <c r="B5" s="5" t="n">
        <v>1085.5</v>
      </c>
      <c r="C5" s="6" t="inlineStr">
        <is>
          <t>2Q/1H26 release, shareholder information</t>
        </is>
      </c>
    </row>
    <row r="6">
      <c r="A6" s="2" t="inlineStr">
        <is>
          <t>Last library close (22-Jul-26)</t>
        </is>
      </c>
      <c r="B6" s="9" t="n">
        <v>31.31</v>
      </c>
      <c r="C6" s="6" t="inlineStr">
        <is>
          <t>published page anchor</t>
        </is>
      </c>
    </row>
    <row r="7">
      <c r="A7" s="2" t="inlineStr">
        <is>
          <t>EGX quote, company IR page (19-Aug-26)</t>
        </is>
      </c>
      <c r="B7" s="9" t="n">
        <v>29.7</v>
      </c>
      <c r="C7" s="6" t="inlineStr">
        <is>
          <t>market-value weight basis</t>
        </is>
      </c>
    </row>
    <row r="8">
      <c r="A8" s="2" t="inlineStr">
        <is>
          <t>Statutory corporate tax</t>
        </is>
      </c>
      <c r="B8" s="10" t="n">
        <v>0.225</v>
      </c>
      <c r="C8" s="6" t="inlineStr">
        <is>
          <t>FS note 11-C</t>
        </is>
      </c>
    </row>
    <row r="9">
      <c r="A9" s="2" t="inlineStr">
        <is>
          <t>Terminal growth, nominal EGP</t>
        </is>
      </c>
      <c r="B9" s="10" t="n">
        <v>0.115</v>
      </c>
      <c r="C9" s="6" t="inlineStr">
        <is>
          <t>long-run inflation 9-10% + 1.5-2% real</t>
        </is>
      </c>
    </row>
    <row r="10">
      <c r="A10" s="2" t="inlineStr">
        <is>
          <t>Terminal return on invested capital</t>
        </is>
      </c>
      <c r="B10" s="10" t="n">
        <v>0.225</v>
      </c>
      <c r="C10" s="6" t="inlineStr">
        <is>
          <t>anchored on the leg's realized LTM ROCE 22.9% (release table 10); sensitized 15-25%</t>
        </is>
      </c>
    </row>
    <row r="12">
      <c r="B12" s="7" t="inlineStr">
        <is>
          <t>Cost of capital (rf* = observed yield − the sovereign's own default spread)</t>
        </is>
      </c>
    </row>
    <row r="13">
      <c r="A13" s="2" t="inlineStr">
        <is>
          <t>Egypt 10Y local yield (19-Aug-26)</t>
        </is>
      </c>
      <c r="B13" s="11" t="n">
        <v>0.2292</v>
      </c>
      <c r="C13" s="6" t="inlineStr">
        <is>
          <t>investing.com</t>
        </is>
      </c>
    </row>
    <row r="14">
      <c r="A14" s="2" t="inlineStr">
        <is>
          <t>Adjusted default spread, rating basis</t>
        </is>
      </c>
      <c r="B14" s="11" t="n">
        <v>0.06370000000000001</v>
      </c>
      <c r="C14" s="6" t="inlineStr">
        <is>
          <t>Damodaran Jan-2026</t>
        </is>
      </c>
    </row>
    <row r="15">
      <c r="A15" s="2" t="inlineStr">
        <is>
          <t>Sovereign CDS spread</t>
        </is>
      </c>
      <c r="B15" s="11" t="n">
        <v>0.0341</v>
      </c>
      <c r="C15" s="6" t="inlineStr">
        <is>
          <t>Damodaran Jan-2026</t>
        </is>
      </c>
    </row>
    <row r="16">
      <c r="A16" s="2" t="inlineStr">
        <is>
          <t>Total equity risk premium, rating basis</t>
        </is>
      </c>
      <c r="B16" s="11" t="n">
        <v>0.1394</v>
      </c>
      <c r="C16" s="6" t="inlineStr">
        <is>
          <t>Damodaran Jan-2026</t>
        </is>
      </c>
    </row>
    <row r="17">
      <c r="A17" s="2" t="inlineStr">
        <is>
          <t>Total equity risk premium, CDS basis</t>
        </is>
      </c>
      <c r="B17" s="11" t="n">
        <v>0.0941</v>
      </c>
      <c r="C17" s="6" t="inlineStr">
        <is>
          <t>Damodaran Jan-2026</t>
        </is>
      </c>
    </row>
    <row r="18">
      <c r="A18" s="2" t="inlineStr">
        <is>
          <t>Beta vs the exchange's published index</t>
        </is>
      </c>
      <c r="B18" s="10" t="n">
        <v>0.8927482097434627</v>
      </c>
      <c r="C18" s="6" t="inlineStr">
        <is>
          <t>own weekly 5y Dimson regression vs EGX 30: n=255, R2 0.24, SE 0.202</t>
        </is>
      </c>
    </row>
    <row r="19">
      <c r="A19" s="2" t="inlineStr">
        <is>
          <t>Avg rate, current EGP borrowings H1-26</t>
        </is>
      </c>
      <c r="B19" s="11" t="n">
        <v>0.2082</v>
      </c>
      <c r="C19" s="6" t="inlineStr">
        <is>
          <t>FS note 26; the book is variable-rate (note 29), so the average IS marginal</t>
        </is>
      </c>
    </row>
    <row r="20">
      <c r="A20" s="2" t="inlineStr">
        <is>
          <t>USD tranche, local-equivalent</t>
        </is>
      </c>
      <c r="B20" s="11" t="n">
        <v>0.1968</v>
      </c>
      <c r="C20" s="6" t="inlineStr">
        <is>
          <t>7.78% coupon (note 26) + expected depreciation (CPI differential)</t>
        </is>
      </c>
    </row>
    <row r="21">
      <c r="A21" s="2" t="inlineStr">
        <is>
          <t>EGP share of auto-leg debt</t>
        </is>
      </c>
      <c r="B21" s="9" t="n">
        <v>0.9</v>
      </c>
      <c r="C21" s="6" t="inlineStr">
        <is>
          <t>per-tranche split not disclosed; bounded &lt;=17% USD from note 29; flagged</t>
        </is>
      </c>
    </row>
    <row r="22">
      <c r="A22" s="2" t="inlineStr">
        <is>
          <t>Auto gross debt + leasing notes (30-Jun-26)</t>
        </is>
      </c>
      <c r="B22" s="12" t="n">
        <v>25078.9</v>
      </c>
      <c r="C22" s="6" t="inlineStr">
        <is>
          <t>release table 7</t>
        </is>
      </c>
    </row>
    <row r="23">
      <c r="A23" s="2" t="inlineStr">
        <is>
          <t>Market capitalisation</t>
        </is>
      </c>
      <c r="B23" s="13">
        <f>Assumptions!$B$7*Assumptions!$B$5</f>
        <v/>
      </c>
      <c r="C23" s="6" t="inlineStr">
        <is>
          <t>IR quote x shares</t>
        </is>
      </c>
    </row>
    <row r="24">
      <c r="A24" s="2" t="inlineStr">
        <is>
          <t>Equity weight</t>
        </is>
      </c>
      <c r="B24" s="14">
        <f>Assumptions!$B$23/(Assumptions!$B$23+Assumptions!$B$22)</f>
        <v/>
      </c>
      <c r="C24" s="6" t="inlineStr">
        <is>
          <t>market values</t>
        </is>
      </c>
    </row>
    <row r="25">
      <c r="A25" s="2" t="inlineStr">
        <is>
          <t>Debt weight</t>
        </is>
      </c>
      <c r="B25" s="14">
        <f>1-Assumptions!$B$24</f>
        <v/>
      </c>
      <c r="C25" s="6" t="inlineStr"/>
    </row>
    <row r="26">
      <c r="A26" s="2" t="inlineStr">
        <is>
          <t>Cost of equity, CDS basis</t>
        </is>
      </c>
      <c r="B26" s="15">
        <f>Assumptions!$B$13-Assumptions!$B$15+Assumptions!$B$18*Assumptions!$B$17</f>
        <v/>
      </c>
      <c r="C26" s="6" t="inlineStr"/>
    </row>
    <row r="27">
      <c r="A27" s="2" t="inlineStr">
        <is>
          <t>Cost of equity, rating basis</t>
        </is>
      </c>
      <c r="B27" s="15">
        <f>Assumptions!$B$13-Assumptions!$B$14+Assumptions!$B$18*Assumptions!$B$16</f>
        <v/>
      </c>
      <c r="C27" s="6" t="inlineStr"/>
    </row>
    <row r="28">
      <c r="A28" s="2" t="inlineStr">
        <is>
          <t>Blended pre-tax cost of debt</t>
        </is>
      </c>
      <c r="B28" s="15">
        <f>Assumptions!$B$21*Assumptions!$B$19+(1-Assumptions!$B$21)*Assumptions!$B$20</f>
        <v/>
      </c>
      <c r="C28" s="6" t="inlineStr"/>
    </row>
    <row r="29">
      <c r="A29" s="2" t="inlineStr">
        <is>
          <t>After-tax cost of debt</t>
        </is>
      </c>
      <c r="B29" s="15">
        <f>Assumptions!$B$28*(1-Assumptions!$B$8)</f>
        <v/>
      </c>
      <c r="C29" s="6" t="inlineStr"/>
    </row>
    <row r="30">
      <c r="A30" s="2" t="inlineStr">
        <is>
          <t>WACC — CDS basis (primary)</t>
        </is>
      </c>
      <c r="B30" s="15">
        <f>Assumptions!$B$24*Assumptions!$B$26+Assumptions!$B$25*Assumptions!$B$29</f>
        <v/>
      </c>
      <c r="C30" s="6" t="inlineStr"/>
    </row>
    <row r="31">
      <c r="A31" s="2" t="inlineStr">
        <is>
          <t>WACC — rating basis (shown alongside)</t>
        </is>
      </c>
      <c r="B31" s="15">
        <f>Assumptions!$B$24*Assumptions!$B$27+Assumptions!$B$25*Assumptions!$B$29</f>
        <v/>
      </c>
      <c r="C31" s="6" t="inlineStr"/>
    </row>
    <row r="33">
      <c r="B33" s="7" t="inlineStr">
        <is>
          <t>Growth, cost and operating paths (FY27E-FY30E; FY26E is DERIVED on Segments)</t>
        </is>
      </c>
    </row>
    <row r="34">
      <c r="A34" s="2" t="inlineStr">
        <is>
          <t>PC total volume growth</t>
        </is>
      </c>
      <c r="E34" s="6" t="inlineStr">
        <is>
          <t>derived</t>
        </is>
      </c>
      <c r="F34" s="10" t="n">
        <v>0.09</v>
      </c>
      <c r="G34" s="10" t="n">
        <v>0.08</v>
      </c>
      <c r="H34" s="10" t="n">
        <v>0.06</v>
      </c>
      <c r="I34" s="10" t="n">
        <v>0.05</v>
      </c>
    </row>
    <row r="35">
      <c r="A35" s="2" t="inlineStr">
        <is>
          <t>PC price growth</t>
        </is>
      </c>
      <c r="E35" s="6" t="inlineStr">
        <is>
          <t>derived</t>
        </is>
      </c>
      <c r="F35" s="10" t="n">
        <v>0.08</v>
      </c>
      <c r="G35" s="10" t="n">
        <v>0.07000000000000001</v>
      </c>
      <c r="H35" s="10" t="n">
        <v>0.06</v>
      </c>
      <c r="I35" s="10" t="n">
        <v>0.06</v>
      </c>
    </row>
    <row r="36">
      <c r="A36" s="2" t="inlineStr">
        <is>
          <t>CKD volume growth (the localization driver)</t>
        </is>
      </c>
      <c r="E36" s="6" t="inlineStr">
        <is>
          <t>derived</t>
        </is>
      </c>
      <c r="F36" s="10" t="n">
        <v>0.12</v>
      </c>
      <c r="G36" s="10" t="n">
        <v>0.1</v>
      </c>
      <c r="H36" s="10" t="n">
        <v>0.07000000000000001</v>
      </c>
      <c r="I36" s="10" t="n">
        <v>0.06</v>
      </c>
    </row>
    <row r="37">
      <c r="A37" s="2" t="inlineStr">
        <is>
          <t>CV&amp;CE volume growth</t>
        </is>
      </c>
      <c r="E37" s="6" t="inlineStr">
        <is>
          <t>derived</t>
        </is>
      </c>
      <c r="F37" s="10" t="n">
        <v>0.14</v>
      </c>
      <c r="G37" s="10" t="n">
        <v>0.1</v>
      </c>
      <c r="H37" s="10" t="n">
        <v>0.08</v>
      </c>
      <c r="I37" s="10" t="n">
        <v>0.07000000000000001</v>
      </c>
    </row>
    <row r="38">
      <c r="A38" s="2" t="inlineStr">
        <is>
          <t>CV&amp;CE price growth</t>
        </is>
      </c>
      <c r="E38" s="6" t="inlineStr">
        <is>
          <t>derived</t>
        </is>
      </c>
      <c r="F38" s="10" t="n">
        <v>0.07000000000000001</v>
      </c>
      <c r="G38" s="10" t="n">
        <v>0.06</v>
      </c>
      <c r="H38" s="10" t="n">
        <v>0.06</v>
      </c>
      <c r="I38" s="10" t="n">
        <v>0.05</v>
      </c>
    </row>
    <row r="39">
      <c r="A39" s="2" t="inlineStr">
        <is>
          <t>Bus volume growth (the recovery driver)</t>
        </is>
      </c>
      <c r="E39" s="6" t="inlineStr">
        <is>
          <t>derived</t>
        </is>
      </c>
      <c r="F39" s="10" t="n">
        <v>0.16</v>
      </c>
      <c r="G39" s="10" t="n">
        <v>0.12</v>
      </c>
      <c r="H39" s="10" t="n">
        <v>0.09</v>
      </c>
      <c r="I39" s="10" t="n">
        <v>0.08</v>
      </c>
    </row>
    <row r="40">
      <c r="A40" s="2" t="inlineStr">
        <is>
          <t>Construction-equipment units (planned)</t>
        </is>
      </c>
      <c r="E40" s="16" t="n">
        <v>32</v>
      </c>
      <c r="F40" s="16" t="n">
        <v>34</v>
      </c>
      <c r="G40" s="16" t="n">
        <v>36</v>
      </c>
      <c r="H40" s="16" t="n">
        <v>38</v>
      </c>
      <c r="I40" s="16" t="n">
        <v>40</v>
      </c>
    </row>
    <row r="41">
      <c r="A41" s="2" t="inlineStr">
        <is>
          <t>Light-Mobility volume growth</t>
        </is>
      </c>
      <c r="E41" s="6" t="inlineStr">
        <is>
          <t>derived</t>
        </is>
      </c>
      <c r="F41" s="10" t="n">
        <v>0.16</v>
      </c>
      <c r="G41" s="10" t="n">
        <v>0.13</v>
      </c>
      <c r="H41" s="10" t="n">
        <v>0.11</v>
      </c>
      <c r="I41" s="10" t="n">
        <v>0.09</v>
      </c>
    </row>
    <row r="42">
      <c r="A42" s="2" t="inlineStr">
        <is>
          <t>Light-Mobility price growth</t>
        </is>
      </c>
      <c r="E42" s="6" t="inlineStr">
        <is>
          <t>derived</t>
        </is>
      </c>
      <c r="F42" s="10" t="n">
        <v>0.06</v>
      </c>
      <c r="G42" s="10" t="n">
        <v>0.05</v>
      </c>
      <c r="H42" s="10" t="n">
        <v>0.05</v>
      </c>
      <c r="I42" s="10" t="n">
        <v>0.05</v>
      </c>
    </row>
    <row r="43">
      <c r="A43" s="2" t="inlineStr">
        <is>
          <t>Trading revenue growth</t>
        </is>
      </c>
      <c r="E43" s="6" t="inlineStr">
        <is>
          <t>derived</t>
        </is>
      </c>
      <c r="F43" s="10" t="n">
        <v>0.11</v>
      </c>
      <c r="G43" s="10" t="n">
        <v>0.1</v>
      </c>
      <c r="H43" s="10" t="n">
        <v>0.09</v>
      </c>
      <c r="I43" s="10" t="n">
        <v>0.08</v>
      </c>
    </row>
    <row r="44">
      <c r="A44" s="2" t="inlineStr">
        <is>
          <t>Other-auto revenue growth</t>
        </is>
      </c>
      <c r="E44" s="6" t="inlineStr">
        <is>
          <t>derived</t>
        </is>
      </c>
      <c r="F44" s="10" t="n">
        <v>0.1</v>
      </c>
      <c r="G44" s="10" t="n">
        <v>0.1</v>
      </c>
      <c r="H44" s="10" t="n">
        <v>0.09</v>
      </c>
      <c r="I44" s="10" t="n">
        <v>0.08</v>
      </c>
    </row>
    <row r="45">
      <c r="A45" s="2" t="inlineStr">
        <is>
          <t>Imported-cost escalator (currency path)</t>
        </is>
      </c>
      <c r="E45" s="10" t="n">
        <v>0.045</v>
      </c>
      <c r="F45" s="10" t="n">
        <v>0.08</v>
      </c>
      <c r="G45" s="10" t="n">
        <v>0.07000000000000001</v>
      </c>
      <c r="H45" s="10" t="n">
        <v>0.06</v>
      </c>
      <c r="I45" s="10" t="n">
        <v>0.05</v>
      </c>
    </row>
    <row r="46">
      <c r="A46" s="2" t="inlineStr">
        <is>
          <t>Domestic-cost escalator (inflation path)</t>
        </is>
      </c>
      <c r="E46" s="10" t="n">
        <v>0.06</v>
      </c>
      <c r="F46" s="10" t="n">
        <v>0.12</v>
      </c>
      <c r="G46" s="10" t="n">
        <v>0.1</v>
      </c>
      <c r="H46" s="10" t="n">
        <v>0.09</v>
      </c>
      <c r="I46" s="10" t="n">
        <v>0.08</v>
      </c>
    </row>
    <row r="47">
      <c r="A47" s="2" t="inlineStr">
        <is>
          <t>GS&amp;A % of revenue</t>
        </is>
      </c>
      <c r="E47" s="11" t="n">
        <v>0.07099999999999999</v>
      </c>
      <c r="F47" s="11" t="n">
        <v>0.07049999999999999</v>
      </c>
      <c r="G47" s="11" t="n">
        <v>0.07000000000000001</v>
      </c>
      <c r="H47" s="11" t="n">
        <v>0.0692</v>
      </c>
      <c r="I47" s="11" t="n">
        <v>0.06850000000000001</v>
      </c>
    </row>
    <row r="48">
      <c r="A48" s="2" t="inlineStr">
        <is>
          <t>D&amp;A % of revenue</t>
        </is>
      </c>
      <c r="E48" s="11" t="n">
        <v>0.01</v>
      </c>
      <c r="F48" s="11" t="n">
        <v>0.0102</v>
      </c>
      <c r="G48" s="11" t="n">
        <v>0.0104</v>
      </c>
      <c r="H48" s="11" t="n">
        <v>0.0104</v>
      </c>
      <c r="I48" s="11" t="n">
        <v>0.0104</v>
      </c>
    </row>
    <row r="49">
      <c r="A49" s="2" t="inlineStr">
        <is>
          <t>Effective tax path</t>
        </is>
      </c>
      <c r="E49" s="10" t="n">
        <v>0.38</v>
      </c>
      <c r="F49" s="10" t="n">
        <v>0.3</v>
      </c>
      <c r="G49" s="10" t="n">
        <v>0.26</v>
      </c>
      <c r="H49" s="10" t="n">
        <v>0.24</v>
      </c>
      <c r="I49" s="10" t="n">
        <v>0.225</v>
      </c>
    </row>
    <row r="50">
      <c r="A50" s="2" t="inlineStr">
        <is>
          <t>Capital expenditure (EGP mn)</t>
        </is>
      </c>
      <c r="E50" s="16" t="n">
        <v>2800</v>
      </c>
      <c r="F50" s="16" t="n">
        <v>2600</v>
      </c>
      <c r="G50" s="16" t="n">
        <v>2500</v>
      </c>
      <c r="H50" s="16" t="n">
        <v>2500</v>
      </c>
      <c r="I50" s="16" t="n">
        <v>2600</v>
      </c>
    </row>
    <row r="51">
      <c r="A51" s="2" t="inlineStr">
        <is>
          <t>Working capital % of revenue</t>
        </is>
      </c>
      <c r="E51" s="10" t="n">
        <v>0.23</v>
      </c>
      <c r="F51" s="10" t="n">
        <v>0.225</v>
      </c>
      <c r="G51" s="10" t="n">
        <v>0.22</v>
      </c>
      <c r="H51" s="10" t="n">
        <v>0.215</v>
      </c>
      <c r="I51" s="10" t="n">
        <v>0.21</v>
      </c>
    </row>
    <row r="52">
      <c r="A52" s="2" t="inlineStr">
        <is>
          <t>Auto funding-cost path</t>
        </is>
      </c>
      <c r="E52" s="10" t="n">
        <v>0.195</v>
      </c>
      <c r="F52" s="10" t="n">
        <v>0.175</v>
      </c>
      <c r="G52" s="10" t="n">
        <v>0.165</v>
      </c>
      <c r="H52" s="10" t="n">
        <v>0.155</v>
      </c>
      <c r="I52" s="10" t="n">
        <v>0.15</v>
      </c>
    </row>
    <row r="53">
      <c r="A53" s="2" t="inlineStr">
        <is>
          <t>GB Capital revenue growth</t>
        </is>
      </c>
      <c r="E53" s="6" t="inlineStr">
        <is>
          <t>derived</t>
        </is>
      </c>
      <c r="F53" s="10" t="n">
        <v>0.2</v>
      </c>
      <c r="G53" s="10" t="n">
        <v>0.17</v>
      </c>
      <c r="H53" s="10" t="n">
        <v>0.15</v>
      </c>
      <c r="I53" s="10" t="n">
        <v>0.12</v>
      </c>
    </row>
    <row r="54">
      <c r="A54" s="2" t="inlineStr">
        <is>
          <t>GB Capital net profit path (incl associates)</t>
        </is>
      </c>
      <c r="E54" s="16" t="n">
        <v>1450</v>
      </c>
      <c r="F54" s="16" t="n">
        <v>1750</v>
      </c>
      <c r="G54" s="16" t="n">
        <v>2050</v>
      </c>
      <c r="H54" s="16" t="n">
        <v>2350</v>
      </c>
      <c r="I54" s="16" t="n">
        <v>2650</v>
      </c>
    </row>
    <row r="55">
      <c r="A55" s="2" t="inlineStr">
        <is>
          <t>Associates equity pickup path</t>
        </is>
      </c>
      <c r="E55" s="16" t="n">
        <v>850</v>
      </c>
      <c r="F55" s="16" t="n">
        <v>1065</v>
      </c>
      <c r="G55" s="16" t="n">
        <v>1330</v>
      </c>
      <c r="H55" s="16" t="n">
        <v>1600</v>
      </c>
      <c r="I55" s="16" t="n">
        <v>1870</v>
      </c>
    </row>
    <row r="57">
      <c r="B57" s="7" t="inlineStr">
        <is>
          <t>Single conventions &amp; held ratios</t>
        </is>
      </c>
    </row>
    <row r="58">
      <c r="A58" s="2" t="inlineStr">
        <is>
          <t>Other operating income % of revenue (held at H1-26)</t>
        </is>
      </c>
      <c r="B58" s="11" t="n">
        <v>0.008399999999999999</v>
      </c>
      <c r="C58" s="6" t="inlineStr"/>
    </row>
    <row r="59">
      <c r="A59" s="2" t="inlineStr">
        <is>
          <t>Net provisions % of revenue (held at H1-26)</t>
        </is>
      </c>
      <c r="B59" s="11" t="n">
        <v>-0.0022</v>
      </c>
      <c r="C59" s="6" t="inlineStr"/>
    </row>
    <row r="60">
      <c r="A60" s="2" t="inlineStr">
        <is>
          <t>Inter-segment eliminations % of summed revenue (H1-26 actual)</t>
        </is>
      </c>
      <c r="B60" s="11" t="n">
        <v>0.013</v>
      </c>
      <c r="C60" s="6" t="inlineStr"/>
    </row>
    <row r="61">
      <c r="A61" s="2" t="inlineStr">
        <is>
          <t>Dividend per share, held at the FY25 payout</t>
        </is>
      </c>
      <c r="B61" s="9" t="n">
        <v>0.35</v>
      </c>
      <c r="C61" s="6" t="inlineStr"/>
    </row>
    <row r="62">
      <c r="A62" s="2" t="inlineStr">
        <is>
          <t>Share of the dividend funded by the auto leg (sweep)</t>
        </is>
      </c>
      <c r="B62" s="9" t="n">
        <v>0.85</v>
      </c>
      <c r="C62" s="6" t="inlineStr"/>
    </row>
    <row r="63">
      <c r="A63" s="2" t="inlineStr">
        <is>
          <t>Auto finance cost H1-26 (release table 8)</t>
        </is>
      </c>
      <c r="B63" s="12" t="n">
        <v>2206.7</v>
      </c>
      <c r="C63" s="6" t="inlineStr"/>
    </row>
    <row r="64">
      <c r="A64" s="2" t="inlineStr">
        <is>
          <t>Normalized funding rate (eased-cycle endpoint)</t>
        </is>
      </c>
      <c r="B64" s="10" t="n">
        <v>0.17</v>
      </c>
      <c r="C64" s="6" t="inlineStr"/>
    </row>
    <row r="65">
      <c r="A65" s="2" t="inlineStr">
        <is>
          <t>Imported share of unit cost — PC</t>
        </is>
      </c>
      <c r="B65" s="9" t="n">
        <v>0.75</v>
      </c>
      <c r="C65" s="6" t="inlineStr"/>
    </row>
    <row r="66">
      <c r="A66" s="2" t="inlineStr">
        <is>
          <t>Imported share of unit cost — CV&amp;CE</t>
        </is>
      </c>
      <c r="B66" s="9" t="n">
        <v>0.7</v>
      </c>
      <c r="C66" s="6" t="inlineStr"/>
    </row>
    <row r="67">
      <c r="A67" s="2" t="inlineStr">
        <is>
          <t>Imported share of unit cost — LM</t>
        </is>
      </c>
      <c r="B67" s="9" t="n">
        <v>0.8</v>
      </c>
      <c r="C67" s="6" t="inlineStr"/>
    </row>
    <row r="68">
      <c r="A68" s="2" t="inlineStr">
        <is>
          <t>Imported share of unit cost — trading/other</t>
        </is>
      </c>
      <c r="B68" s="9" t="n">
        <v>0.9</v>
      </c>
      <c r="C68" s="6" t="inlineStr"/>
    </row>
    <row r="69">
      <c r="A69" s="2" t="inlineStr">
        <is>
          <t>Trading/other price inflation (differential year)</t>
        </is>
      </c>
      <c r="B69" s="9" t="n">
        <v>0.06</v>
      </c>
      <c r="C69" s="6" t="inlineStr"/>
    </row>
    <row r="70">
      <c r="A70" s="2" t="inlineStr">
        <is>
          <t>Tires unit-cost reset FY27E (one-off exhausts)</t>
        </is>
      </c>
      <c r="B70" s="9" t="n">
        <v>1.04</v>
      </c>
      <c r="C70" s="6" t="inlineStr"/>
    </row>
    <row r="71">
      <c r="A71" s="2" t="inlineStr">
        <is>
          <t>Auto net debt, 30-Jun-26</t>
        </is>
      </c>
      <c r="B71" s="12" t="n">
        <v>14493.6</v>
      </c>
      <c r="C71" s="6" t="inlineStr"/>
    </row>
    <row r="72">
      <c r="A72" s="2" t="inlineStr">
        <is>
          <t>Auto segment NCI, 30-Jun-26</t>
        </is>
      </c>
      <c r="B72" s="12" t="n">
        <v>590.7</v>
      </c>
      <c r="C72" s="6" t="inlineStr"/>
    </row>
    <row r="73">
      <c r="A73" s="2" t="inlineStr">
        <is>
          <t>Auto segment equity before NCI, 30-Jun-26</t>
        </is>
      </c>
      <c r="B73" s="12" t="n">
        <v>12998.3</v>
      </c>
      <c r="C73" s="6" t="inlineStr"/>
    </row>
    <row r="74">
      <c r="A74" s="2" t="inlineStr">
        <is>
          <t>GB Capital segment equity before NCI, 30-Jun-26</t>
        </is>
      </c>
      <c r="B74" s="12" t="n">
        <v>22497.8</v>
      </c>
      <c r="C74" s="6" t="inlineStr"/>
    </row>
    <row r="75">
      <c r="A75" s="2" t="inlineStr">
        <is>
          <t>Inter-segment equity eliminations, 30-Jun-26</t>
        </is>
      </c>
      <c r="B75" s="12" t="n">
        <v>-2041.8</v>
      </c>
      <c r="C75" s="6" t="inlineStr"/>
    </row>
    <row r="76">
      <c r="A76" s="2" t="inlineStr">
        <is>
          <t>Parent equity, 30-Jun-26 (restated basis)</t>
        </is>
      </c>
      <c r="B76" s="12" t="n">
        <v>33454.268</v>
      </c>
      <c r="C76" s="6" t="inlineStr"/>
    </row>
    <row r="77">
      <c r="A77" s="2" t="inlineStr">
        <is>
          <t>Investments in associates, carrying 30-Jun-26</t>
        </is>
      </c>
      <c r="B77" s="12" t="n">
        <v>16230.465</v>
      </c>
      <c r="C77" s="6" t="inlineStr"/>
    </row>
    <row r="78">
      <c r="A78" s="2" t="inlineStr">
        <is>
          <t>MNT B.V. equity-method carrying (review qualified)</t>
        </is>
      </c>
      <c r="B78" s="12" t="n">
        <v>15723.523</v>
      </c>
      <c r="C78" s="6" t="inlineStr"/>
    </row>
    <row r="79">
      <c r="A79" s="2" t="inlineStr">
        <is>
          <t>MNT B.V. stake after the June-26 first close</t>
        </is>
      </c>
      <c r="B79" s="11" t="n">
        <v>0.4293</v>
      </c>
      <c r="C79" s="6" t="inlineStr"/>
    </row>
    <row r="80">
      <c r="A80" s="2" t="inlineStr">
        <is>
          <t>MNT-Halan round valuation (USD mn, first close)</t>
        </is>
      </c>
      <c r="B80" s="16" t="n">
        <v>1400</v>
      </c>
      <c r="C80" s="6" t="inlineStr"/>
    </row>
    <row r="81">
      <c r="A81" s="2" t="inlineStr">
        <is>
          <t>USD/EGP (19-Aug-26)</t>
        </is>
      </c>
      <c r="B81" s="9" t="n">
        <v>50.71</v>
      </c>
      <c r="C81" s="6" t="inlineStr"/>
    </row>
    <row r="82">
      <c r="A82" s="2" t="inlineStr">
        <is>
          <t>Other associates carrying (Mier+Bedaia+Kaf)</t>
        </is>
      </c>
      <c r="B82" s="12" t="n">
        <v>506.942</v>
      </c>
      <c r="C82" s="6" t="inlineStr"/>
    </row>
    <row r="83">
      <c r="A83" s="2" t="inlineStr">
        <is>
          <t>Investments at fair value through OCI</t>
        </is>
      </c>
      <c r="B83" s="12" t="n">
        <v>489.537</v>
      </c>
      <c r="C83" s="6" t="inlineStr"/>
    </row>
    <row r="84">
      <c r="A84" s="2" t="inlineStr">
        <is>
          <t>Holding-company discount</t>
        </is>
      </c>
      <c r="B84" s="9" t="n">
        <v>0.1</v>
      </c>
      <c r="C84" s="6" t="inlineStr"/>
    </row>
    <row r="85">
      <c r="A85" s="2" t="inlineStr">
        <is>
          <t>Lens weight — sum of the parts</t>
        </is>
      </c>
      <c r="B85" s="9" t="n">
        <v>0.4</v>
      </c>
      <c r="C85" s="6" t="inlineStr"/>
    </row>
    <row r="86">
      <c r="A86" s="2" t="inlineStr">
        <is>
          <t>Lens weight — book &amp; sustainable return</t>
        </is>
      </c>
      <c r="B86" s="9" t="n">
        <v>0.15</v>
      </c>
      <c r="C86" s="6" t="inlineStr"/>
    </row>
    <row r="87">
      <c r="A87" s="2" t="inlineStr">
        <is>
          <t>Lens weight — relative multiples</t>
        </is>
      </c>
      <c r="B87" s="9" t="n">
        <v>0.2</v>
      </c>
      <c r="C87" s="6" t="inlineStr"/>
    </row>
    <row r="88">
      <c r="A88" s="2" t="inlineStr">
        <is>
          <t>Lens weight — normalised earnings</t>
        </is>
      </c>
      <c r="B88" s="9" t="n">
        <v>0.25</v>
      </c>
      <c r="C88" s="6" t="inlineStr"/>
    </row>
    <row r="89">
      <c r="A89" s="2" t="inlineStr">
        <is>
          <t>Book-lens bear multiple</t>
        </is>
      </c>
      <c r="B89" s="9" t="n">
        <v>0.8</v>
      </c>
      <c r="C89" s="6" t="inlineStr"/>
    </row>
    <row r="90">
      <c r="A90" s="2" t="inlineStr">
        <is>
          <t>Relative P/E — bear</t>
        </is>
      </c>
      <c r="B90" s="17" t="n">
        <v>8</v>
      </c>
      <c r="C90" s="6" t="inlineStr"/>
    </row>
    <row r="91">
      <c r="A91" s="2" t="inlineStr">
        <is>
          <t>Relative P/E — base</t>
        </is>
      </c>
      <c r="B91" s="17" t="n">
        <v>9.5</v>
      </c>
      <c r="C91" s="6" t="inlineStr"/>
    </row>
    <row r="92">
      <c r="A92" s="2" t="inlineStr">
        <is>
          <t>Relative P/E — bull</t>
        </is>
      </c>
      <c r="B92" s="17" t="n">
        <v>11</v>
      </c>
      <c r="C92" s="6" t="inlineStr"/>
    </row>
    <row r="93">
      <c r="A93" s="2" t="inlineStr">
        <is>
          <t>Normalised multiple — bear</t>
        </is>
      </c>
      <c r="B93" s="17" t="n">
        <v>7.5</v>
      </c>
      <c r="C93" s="6" t="inlineStr"/>
    </row>
    <row r="94">
      <c r="A94" s="2" t="inlineStr">
        <is>
          <t>Normalised multiple — base</t>
        </is>
      </c>
      <c r="B94" s="17" t="n">
        <v>8.5</v>
      </c>
      <c r="C94" s="6" t="inlineStr"/>
    </row>
    <row r="95">
      <c r="A95" s="2" t="inlineStr">
        <is>
          <t>Normalised multiple — bull</t>
        </is>
      </c>
      <c r="B95" s="17" t="n">
        <v>9.5</v>
      </c>
      <c r="C95" s="6" t="inlineStr"/>
    </row>
    <row r="96">
      <c r="A96" s="2" t="inlineStr">
        <is>
          <t>Normalised profit scalar — bear</t>
        </is>
      </c>
      <c r="B96" s="9" t="n">
        <v>0.85</v>
      </c>
      <c r="C96" s="6" t="inlineStr"/>
    </row>
    <row r="97">
      <c r="A97" s="2" t="inlineStr">
        <is>
          <t>Normalised profit scalar — bull</t>
        </is>
      </c>
      <c r="B97" s="9" t="n">
        <v>1.12</v>
      </c>
      <c r="C97" s="6" t="inlineStr"/>
    </row>
    <row r="98">
      <c r="A98" s="2" t="inlineStr">
        <is>
          <t>Bear-case multiplier on the round mark</t>
        </is>
      </c>
      <c r="B98" s="9" t="n">
        <v>0.8</v>
      </c>
      <c r="C98" s="6" t="inlineStr"/>
    </row>
    <row r="99">
      <c r="A99" s="2" t="inlineStr">
        <is>
          <t>Bull-case multiplier on the round mark</t>
        </is>
      </c>
      <c r="B99" s="9" t="n">
        <v>1.1</v>
      </c>
      <c r="C99" s="6" t="inlineStr"/>
    </row>
    <row r="100">
      <c r="A100" s="2" t="inlineStr">
        <is>
          <t>Bear-case multiplier on the carrying value</t>
        </is>
      </c>
      <c r="B100" s="9" t="n">
        <v>0.85</v>
      </c>
      <c r="C100" s="6" t="inlineStr"/>
    </row>
    <row r="101">
      <c r="A101" s="2" t="inlineStr">
        <is>
          <t>Bull-case multiplier on the carrying value</t>
        </is>
      </c>
      <c r="B101" s="9" t="n">
        <v>1.1</v>
      </c>
      <c r="C101" s="6" t="inlineStr"/>
    </row>
    <row r="102">
      <c r="A102" s="2" t="inlineStr">
        <is>
          <t>Bear-case multiple on GB Capital operating book</t>
        </is>
      </c>
      <c r="B102" s="9" t="n">
        <v>0.85</v>
      </c>
      <c r="C102" s="6" t="inlineStr"/>
    </row>
    <row r="103">
      <c r="A103" s="2" t="inlineStr">
        <is>
          <t>Bull-case multiple on GB Capital operating book</t>
        </is>
      </c>
      <c r="B103" s="9" t="n">
        <v>1.15</v>
      </c>
      <c r="C103" s="6" t="inlineStr"/>
    </row>
    <row r="104">
      <c r="A104" s="2" t="inlineStr">
        <is>
          <t>Bear-case holding discount</t>
        </is>
      </c>
      <c r="B104" s="9" t="n">
        <v>0.18</v>
      </c>
      <c r="C104" s="6" t="inlineStr"/>
    </row>
    <row r="105">
      <c r="A105" s="2" t="inlineStr">
        <is>
          <t>Bull-case holding discount</t>
        </is>
      </c>
      <c r="B105" s="9" t="n">
        <v>0.04</v>
      </c>
      <c r="C105" s="6" t="inlineStr"/>
    </row>
    <row r="106">
      <c r="A106" s="2" t="inlineStr">
        <is>
          <t>GB Capital operating equity ex-associates</t>
        </is>
      </c>
      <c r="B106" s="18">
        <f>Assumptions!$B$74-Assumptions!$B$77</f>
        <v/>
      </c>
      <c r="C106" s="6" t="inlineStr">
        <is>
          <t>segment equity less the associates carrying</t>
        </is>
      </c>
    </row>
    <row r="107">
      <c r="A107" s="2" t="inlineStr">
        <is>
          <t>MNT stake at the round mark (EGP mn)</t>
        </is>
      </c>
      <c r="B107" s="18">
        <f>Assumptions!$B$79*Assumptions!$B$80*Assumptions!$B$81</f>
        <v/>
      </c>
      <c r="C107" s="6" t="inlineStr">
        <is>
          <t>stake x round x FX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C1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</cols>
  <sheetData>
    <row r="2">
      <c r="B2" s="1" t="inlineStr">
        <is>
          <t>The group as the sum of its parts — the contested stake both ways, never averaged</t>
        </is>
      </c>
    </row>
    <row r="4">
      <c r="B4" s="7" t="inlineStr">
        <is>
          <t>Round mark</t>
        </is>
      </c>
      <c r="C4" s="7" t="inlineStr">
        <is>
          <t>Balance-sheet mark</t>
        </is>
      </c>
    </row>
    <row r="5">
      <c r="A5" s="2" t="inlineStr">
        <is>
          <t>Automotive equity value (cash-flow model)</t>
        </is>
      </c>
      <c r="B5" s="18">
        <f>DCF!B42</f>
        <v/>
      </c>
      <c r="C5" s="18">
        <f>DCF!B42</f>
        <v/>
      </c>
    </row>
    <row r="6">
      <c r="A6" s="2" t="inlineStr">
        <is>
          <t>GB Capital operating equity (ex-associates)</t>
        </is>
      </c>
      <c r="B6" s="18">
        <f>Assumptions!$B$106</f>
        <v/>
      </c>
      <c r="C6" s="18">
        <f>Assumptions!$B$106</f>
        <v/>
      </c>
    </row>
    <row r="7">
      <c r="A7" s="2" t="inlineStr">
        <is>
          <t>MNT-Halan stake</t>
        </is>
      </c>
      <c r="B7" s="18">
        <f>Assumptions!$B$107</f>
        <v/>
      </c>
      <c r="C7" s="18">
        <f>Assumptions!$B$78</f>
        <v/>
      </c>
    </row>
    <row r="8">
      <c r="A8" s="2" t="inlineStr">
        <is>
          <t>Other associates</t>
        </is>
      </c>
      <c r="B8" s="18">
        <f>Assumptions!$B$82</f>
        <v/>
      </c>
      <c r="C8" s="18">
        <f>Assumptions!$B$82</f>
        <v/>
      </c>
    </row>
    <row r="9">
      <c r="A9" s="2" t="inlineStr">
        <is>
          <t>Investments at fair value (OCI)</t>
        </is>
      </c>
      <c r="B9" s="18">
        <f>Assumptions!$B$83</f>
        <v/>
      </c>
      <c r="C9" s="18">
        <f>Assumptions!$B$83</f>
        <v/>
      </c>
    </row>
    <row r="10">
      <c r="A10" s="1" t="inlineStr">
        <is>
          <t>Sum of the parts</t>
        </is>
      </c>
      <c r="B10" s="19">
        <f>SUM(B5:B9)</f>
        <v/>
      </c>
      <c r="C10" s="19">
        <f>SUM(C5:C9)</f>
        <v/>
      </c>
    </row>
    <row r="11">
      <c r="A11" s="2" t="inlineStr">
        <is>
          <t>Holding-company discount</t>
        </is>
      </c>
      <c r="B11" s="18">
        <f>-B10*Assumptions!$B$84</f>
        <v/>
      </c>
      <c r="C11" s="18">
        <f>-C10*Assumptions!$B$84</f>
        <v/>
      </c>
    </row>
    <row r="12">
      <c r="A12" s="1" t="inlineStr">
        <is>
          <t>Equity value</t>
        </is>
      </c>
      <c r="B12" s="19">
        <f>B10+B11</f>
        <v/>
      </c>
      <c r="C12" s="19">
        <f>C10+C11</f>
        <v/>
      </c>
    </row>
    <row r="13">
      <c r="A13" s="1" t="inlineStr">
        <is>
          <t>Per share</t>
        </is>
      </c>
      <c r="B13" s="8">
        <f>B12/Assumptions!$B$5</f>
        <v/>
      </c>
      <c r="C13" s="8">
        <f>C12/Assumptions!$B$5</f>
        <v/>
      </c>
    </row>
    <row r="15">
      <c r="A15" s="2" t="inlineStr">
        <is>
          <t>Bear per share (bear equity, leg haircuts, bear discount)</t>
        </is>
      </c>
      <c r="B15" s="3">
        <f>(DCF!B61+Assumptions!$B$106*Assumptions!$B$102+Assumptions!$B$107*Assumptions!$B$98+Assumptions!$B$82+Assumptions!$B$83)*(1-Assumptions!$B$104)/Assumptions!$B$5</f>
        <v/>
      </c>
      <c r="C15" s="3">
        <f>(DCF!B61+Assumptions!$B$106*Assumptions!$B$102+(Assumptions!$B$78+Assumptions!$B$82+Assumptions!$B$83)*Assumptions!$B$100)*(1-Assumptions!$B$104)/Assumptions!$B$5</f>
        <v/>
      </c>
    </row>
    <row r="16">
      <c r="A16" s="2" t="inlineStr">
        <is>
          <t>Bull per share (bull equity, leg uplifts, bull discount)</t>
        </is>
      </c>
      <c r="B16" s="3">
        <f>(DCF!B65+Assumptions!$B$106*Assumptions!$B$103+Assumptions!$B$107*Assumptions!$B$99+Assumptions!$B$82+Assumptions!$B$83)*(1-Assumptions!$B$105)/Assumptions!$B$5</f>
        <v/>
      </c>
      <c r="C16" s="3">
        <f>(DCF!B65+Assumptions!$B$106*Assumptions!$B$103+(Assumptions!$B$78+Assumptions!$B$82+Assumptions!$B$83)*Assumptions!$B$101)*(1-Assumptions!$B$105)/Assumptions!$B$5</f>
        <v/>
      </c>
    </row>
    <row r="18">
      <c r="A18" s="6" t="inlineStr">
        <is>
          <t>The whole gap between the two columns is one judgement about one stake. The reviewer could not verify the carrying value (qualified conclusion, second period); the round is real bank-led money but a first close. Neither is averaged away — the study carries both to the end.</t>
        </is>
      </c>
    </row>
  </sheetData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I8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The bottom-up build — every disclosed unit grown on its own driver; FY26E derived from the H1 actual + the FY25 measured seasonal split; margins are OUTPUTS</t>
        </is>
      </c>
    </row>
    <row r="4">
      <c r="B4" s="7" t="inlineStr">
        <is>
          <t>FY23</t>
        </is>
      </c>
      <c r="C4" s="7" t="inlineStr">
        <is>
          <t>FY24</t>
        </is>
      </c>
      <c r="D4" s="7" t="inlineStr">
        <is>
          <t>FY25</t>
        </is>
      </c>
      <c r="E4" s="7" t="inlineStr">
        <is>
          <t>FY26E</t>
        </is>
      </c>
      <c r="F4" s="7" t="inlineStr">
        <is>
          <t>FY27E</t>
        </is>
      </c>
      <c r="G4" s="7" t="inlineStr">
        <is>
          <t>FY28E</t>
        </is>
      </c>
      <c r="H4" s="7" t="inlineStr">
        <is>
          <t>FY29E</t>
        </is>
      </c>
      <c r="I4" s="7" t="inlineStr">
        <is>
          <t>FY30E</t>
        </is>
      </c>
    </row>
    <row r="5">
      <c r="A5" s="2" t="inlineStr">
        <is>
          <t>PC — locally assembled units (CKD, the launch-calendar driver)</t>
        </is>
      </c>
      <c r="B5" s="6" t="inlineStr">
        <is>
          <t>n/d</t>
        </is>
      </c>
      <c r="C5" s="6" t="inlineStr">
        <is>
          <t>n/d</t>
        </is>
      </c>
      <c r="D5" s="6" t="inlineStr">
        <is>
          <t>n/d</t>
        </is>
      </c>
      <c r="E5" s="20">
        <f>$B$42*(E7/$B$41)*$B$73</f>
        <v/>
      </c>
      <c r="F5" s="20">
        <f>E5*(1+Assumptions!F$36)</f>
        <v/>
      </c>
      <c r="G5" s="20">
        <f>F5*(1+Assumptions!G$36)</f>
        <v/>
      </c>
      <c r="H5" s="20">
        <f>G5*(1+Assumptions!H$36)</f>
        <v/>
      </c>
      <c r="I5" s="20">
        <f>H5*(1+Assumptions!I$36)</f>
        <v/>
      </c>
    </row>
    <row r="6">
      <c r="A6" s="2" t="inlineStr">
        <is>
          <t>PC — imported units (CBU, residual import requirement)</t>
        </is>
      </c>
      <c r="B6" s="6" t="inlineStr">
        <is>
          <t>n/d</t>
        </is>
      </c>
      <c r="C6" s="6" t="inlineStr">
        <is>
          <t>n/d</t>
        </is>
      </c>
      <c r="D6" s="6" t="inlineStr">
        <is>
          <t>n/d</t>
        </is>
      </c>
      <c r="E6" s="20">
        <f>E7-E5</f>
        <v/>
      </c>
      <c r="F6" s="20">
        <f>F7-F5</f>
        <v/>
      </c>
      <c r="G6" s="20">
        <f>G7-G5</f>
        <v/>
      </c>
      <c r="H6" s="20">
        <f>H7-H5</f>
        <v/>
      </c>
      <c r="I6" s="20">
        <f>I7-I5</f>
        <v/>
      </c>
    </row>
    <row r="7">
      <c r="A7" s="2" t="inlineStr">
        <is>
          <t>PC — total units</t>
        </is>
      </c>
      <c r="B7" s="16" t="n">
        <v>26994</v>
      </c>
      <c r="C7" s="16" t="n">
        <v>42043</v>
      </c>
      <c r="D7" s="16" t="n">
        <v>56548</v>
      </c>
      <c r="E7" s="20">
        <f>$B$41+$B$41*(1-$B$75)/$B$75*$B$65</f>
        <v/>
      </c>
      <c r="F7" s="20">
        <f>E7*(1+Assumptions!F$34)</f>
        <v/>
      </c>
      <c r="G7" s="20">
        <f>F7*(1+Assumptions!G$34)</f>
        <v/>
      </c>
      <c r="H7" s="20">
        <f>G7*(1+Assumptions!H$34)</f>
        <v/>
      </c>
      <c r="I7" s="20">
        <f>H7*(1+Assumptions!I$34)</f>
        <v/>
      </c>
    </row>
    <row r="8">
      <c r="A8" s="2" t="inlineStr">
        <is>
          <t>PC — price per unit (EGP mn)</t>
        </is>
      </c>
      <c r="B8" s="15">
        <f>B9/B7</f>
        <v/>
      </c>
      <c r="C8" s="15">
        <f>C9/C7</f>
        <v/>
      </c>
      <c r="D8" s="15">
        <f>D9/D7</f>
        <v/>
      </c>
      <c r="E8" s="15">
        <f>E9/E7</f>
        <v/>
      </c>
      <c r="F8" s="15">
        <f>E8*(1+Assumptions!F$35)</f>
        <v/>
      </c>
      <c r="G8" s="15">
        <f>F8*(1+Assumptions!G$35)</f>
        <v/>
      </c>
      <c r="H8" s="15">
        <f>G8*(1+Assumptions!H$35)</f>
        <v/>
      </c>
      <c r="I8" s="15">
        <f>H8*(1+Assumptions!I$35)</f>
        <v/>
      </c>
    </row>
    <row r="9">
      <c r="A9" s="2" t="inlineStr">
        <is>
          <t>PC — revenue</t>
        </is>
      </c>
      <c r="B9" s="5" t="n">
        <v>16544.3</v>
      </c>
      <c r="C9" s="5" t="n">
        <v>36533.4</v>
      </c>
      <c r="D9" s="5" t="n">
        <v>52827.3</v>
      </c>
      <c r="E9" s="13">
        <f>$B$43+(E7-$B$41)*$B$80*$B$70</f>
        <v/>
      </c>
      <c r="F9" s="13">
        <f>F7*F8</f>
        <v/>
      </c>
      <c r="G9" s="13">
        <f>G7*G8</f>
        <v/>
      </c>
      <c r="H9" s="13">
        <f>H7*H8</f>
        <v/>
      </c>
      <c r="I9" s="13">
        <f>I7*I8</f>
        <v/>
      </c>
    </row>
    <row r="10">
      <c r="A10" s="2" t="inlineStr">
        <is>
          <t>PC — cost per unit (class-escalated)</t>
        </is>
      </c>
      <c r="E10" s="15">
        <f>E8*(1-$B$60)</f>
        <v/>
      </c>
      <c r="F10" s="15">
        <f>E10*(1+Assumptions!$B$65*Assumptions!F$45+(1-Assumptions!$B$65)*Assumptions!F$46)</f>
        <v/>
      </c>
      <c r="G10" s="15">
        <f>F10*(1+Assumptions!G$35)</f>
        <v/>
      </c>
      <c r="H10" s="15">
        <f>G10*(1+Assumptions!H$35)</f>
        <v/>
      </c>
      <c r="I10" s="15">
        <f>H10*(1+Assumptions!I$35)</f>
        <v/>
      </c>
    </row>
    <row r="11">
      <c r="A11" s="2" t="inlineStr">
        <is>
          <t>PC — gross profit</t>
        </is>
      </c>
      <c r="E11" s="13">
        <f>E9-E7*E10</f>
        <v/>
      </c>
      <c r="F11" s="13">
        <f>(F8-F10)*F7</f>
        <v/>
      </c>
      <c r="G11" s="13">
        <f>(G8-G10)*G7</f>
        <v/>
      </c>
      <c r="H11" s="13">
        <f>(H8-H10)*H7</f>
        <v/>
      </c>
      <c r="I11" s="13">
        <f>(I8-I10)*I7</f>
        <v/>
      </c>
    </row>
    <row r="12">
      <c r="A12" s="2" t="inlineStr">
        <is>
          <t>CV&amp;CE — bus units (the recovery driver)</t>
        </is>
      </c>
      <c r="B12" s="6" t="inlineStr">
        <is>
          <t>n/d</t>
        </is>
      </c>
      <c r="C12" s="6" t="inlineStr">
        <is>
          <t>n/d</t>
        </is>
      </c>
      <c r="D12" s="6" t="inlineStr">
        <is>
          <t>n/d</t>
        </is>
      </c>
      <c r="E12" s="20">
        <f>$B$45*(E15/$B$44)*$B$74</f>
        <v/>
      </c>
      <c r="F12" s="20">
        <f>E12*(1+Assumptions!F$39)</f>
        <v/>
      </c>
      <c r="G12" s="20">
        <f>F12*(1+Assumptions!G$39)</f>
        <v/>
      </c>
      <c r="H12" s="20">
        <f>G12*(1+Assumptions!H$39)</f>
        <v/>
      </c>
      <c r="I12" s="20">
        <f>H12*(1+Assumptions!I$39)</f>
        <v/>
      </c>
    </row>
    <row r="13">
      <c r="A13" s="2" t="inlineStr">
        <is>
          <t>CV&amp;CE — truck units (residual)</t>
        </is>
      </c>
      <c r="B13" s="6" t="inlineStr">
        <is>
          <t>n/d</t>
        </is>
      </c>
      <c r="C13" s="6" t="inlineStr">
        <is>
          <t>n/d</t>
        </is>
      </c>
      <c r="D13" s="6" t="inlineStr">
        <is>
          <t>n/d</t>
        </is>
      </c>
      <c r="E13" s="20">
        <f>E15-E12-E14</f>
        <v/>
      </c>
      <c r="F13" s="20">
        <f>F15-F12-F14</f>
        <v/>
      </c>
      <c r="G13" s="20">
        <f>G15-G12-G14</f>
        <v/>
      </c>
      <c r="H13" s="20">
        <f>H15-H12-H14</f>
        <v/>
      </c>
      <c r="I13" s="20">
        <f>I15-I12-I14</f>
        <v/>
      </c>
    </row>
    <row r="14">
      <c r="A14" s="2" t="inlineStr">
        <is>
          <t>CV&amp;CE — construction-equipment units (planned)</t>
        </is>
      </c>
      <c r="B14" s="6" t="inlineStr">
        <is>
          <t>n/d</t>
        </is>
      </c>
      <c r="C14" s="6" t="inlineStr">
        <is>
          <t>n/d</t>
        </is>
      </c>
      <c r="D14" s="6" t="inlineStr">
        <is>
          <t>n/d</t>
        </is>
      </c>
      <c r="E14" s="20">
        <f>Assumptions!E$40</f>
        <v/>
      </c>
      <c r="F14" s="20">
        <f>Assumptions!F$40</f>
        <v/>
      </c>
      <c r="G14" s="20">
        <f>Assumptions!G$40</f>
        <v/>
      </c>
      <c r="H14" s="20">
        <f>Assumptions!H$40</f>
        <v/>
      </c>
      <c r="I14" s="20">
        <f>Assumptions!I$40</f>
        <v/>
      </c>
    </row>
    <row r="15">
      <c r="A15" s="2" t="inlineStr">
        <is>
          <t>CV&amp;CE — total units</t>
        </is>
      </c>
      <c r="B15" s="16" t="n">
        <v>2273</v>
      </c>
      <c r="C15" s="16" t="n">
        <v>2096</v>
      </c>
      <c r="D15" s="16" t="n">
        <v>3404</v>
      </c>
      <c r="E15" s="20">
        <f>$B$44+$B$44*(1-$B$76)/$B$76*$B$66</f>
        <v/>
      </c>
      <c r="F15" s="20">
        <f>E15*(1+Assumptions!F$37)</f>
        <v/>
      </c>
      <c r="G15" s="20">
        <f>F15*(1+Assumptions!G$37)</f>
        <v/>
      </c>
      <c r="H15" s="20">
        <f>G15*(1+Assumptions!H$37)</f>
        <v/>
      </c>
      <c r="I15" s="20">
        <f>H15*(1+Assumptions!I$37)</f>
        <v/>
      </c>
    </row>
    <row r="16">
      <c r="A16" s="2" t="inlineStr">
        <is>
          <t>CV&amp;CE — price per unit</t>
        </is>
      </c>
      <c r="B16" s="15">
        <f>B17/B15</f>
        <v/>
      </c>
      <c r="C16" s="15">
        <f>C17/C15</f>
        <v/>
      </c>
      <c r="D16" s="15">
        <f>D17/D15</f>
        <v/>
      </c>
      <c r="E16" s="15">
        <f>E17/E15</f>
        <v/>
      </c>
      <c r="F16" s="15">
        <f>E16*(1+Assumptions!F$38)</f>
        <v/>
      </c>
      <c r="G16" s="15">
        <f>F16*(1+Assumptions!G$38)</f>
        <v/>
      </c>
      <c r="H16" s="15">
        <f>G16*(1+Assumptions!H$38)</f>
        <v/>
      </c>
      <c r="I16" s="15">
        <f>H16*(1+Assumptions!I$38)</f>
        <v/>
      </c>
    </row>
    <row r="17">
      <c r="A17" s="2" t="inlineStr">
        <is>
          <t>CV&amp;CE — revenue</t>
        </is>
      </c>
      <c r="B17" s="5" t="n">
        <v>2323</v>
      </c>
      <c r="C17" s="5" t="n">
        <v>3984.5</v>
      </c>
      <c r="D17" s="5" t="n">
        <v>5956.8</v>
      </c>
      <c r="E17" s="13">
        <f>$B$46+(E15-$B$44)*$B$81*$B$71</f>
        <v/>
      </c>
      <c r="F17" s="13">
        <f>F15*F16</f>
        <v/>
      </c>
      <c r="G17" s="13">
        <f>G15*G16</f>
        <v/>
      </c>
      <c r="H17" s="13">
        <f>H15*H16</f>
        <v/>
      </c>
      <c r="I17" s="13">
        <f>I15*I16</f>
        <v/>
      </c>
    </row>
    <row r="18">
      <c r="A18" s="2" t="inlineStr">
        <is>
          <t>CV&amp;CE — cost per unit (class-escalated)</t>
        </is>
      </c>
      <c r="E18" s="15">
        <f>E16*(1-$B$61)</f>
        <v/>
      </c>
      <c r="F18" s="15">
        <f>E18*(1+Assumptions!$B$66*Assumptions!F$45+(1-Assumptions!$B$66)*Assumptions!F$46)</f>
        <v/>
      </c>
      <c r="G18" s="15">
        <f>F18*(1+Assumptions!G$38)</f>
        <v/>
      </c>
      <c r="H18" s="15">
        <f>G18*(1+Assumptions!H$38)</f>
        <v/>
      </c>
      <c r="I18" s="15">
        <f>H18*(1+Assumptions!I$38)</f>
        <v/>
      </c>
    </row>
    <row r="19">
      <c r="A19" s="2" t="inlineStr">
        <is>
          <t>CV&amp;CE — gross profit</t>
        </is>
      </c>
      <c r="E19" s="13">
        <f>E17-E15*E18</f>
        <v/>
      </c>
      <c r="F19" s="13">
        <f>(F16-F18)*F15</f>
        <v/>
      </c>
      <c r="G19" s="13">
        <f>(G16-G18)*G15</f>
        <v/>
      </c>
      <c r="H19" s="13">
        <f>(H16-H18)*H15</f>
        <v/>
      </c>
      <c r="I19" s="13">
        <f>(I16-I18)*I15</f>
        <v/>
      </c>
    </row>
    <row r="20">
      <c r="A20" s="2" t="inlineStr">
        <is>
          <t>2-3-4W — units</t>
        </is>
      </c>
      <c r="B20" s="16" t="n">
        <v>13610</v>
      </c>
      <c r="C20" s="16" t="n">
        <v>20189</v>
      </c>
      <c r="D20" s="16" t="n">
        <v>33906</v>
      </c>
      <c r="E20" s="20">
        <f>$B$47+$B$47*(1-$B$77)/$B$77*$B$67</f>
        <v/>
      </c>
      <c r="F20" s="20">
        <f>E20*(1+Assumptions!F$41)</f>
        <v/>
      </c>
      <c r="G20" s="20">
        <f>F20*(1+Assumptions!G$41)</f>
        <v/>
      </c>
      <c r="H20" s="20">
        <f>G20*(1+Assumptions!H$41)</f>
        <v/>
      </c>
      <c r="I20" s="20">
        <f>H20*(1+Assumptions!I$41)</f>
        <v/>
      </c>
    </row>
    <row r="21">
      <c r="A21" s="2" t="inlineStr">
        <is>
          <t>2-3-4W — price per unit</t>
        </is>
      </c>
      <c r="B21" s="21">
        <f>B22/B20</f>
        <v/>
      </c>
      <c r="C21" s="21">
        <f>C22/C20</f>
        <v/>
      </c>
      <c r="D21" s="21">
        <f>D22/D20</f>
        <v/>
      </c>
      <c r="E21" s="21">
        <f>E22/E20</f>
        <v/>
      </c>
      <c r="F21" s="21">
        <f>E21*(1+Assumptions!F$42)</f>
        <v/>
      </c>
      <c r="G21" s="21">
        <f>F21*(1+Assumptions!G$42)</f>
        <v/>
      </c>
      <c r="H21" s="21">
        <f>G21*(1+Assumptions!H$42)</f>
        <v/>
      </c>
      <c r="I21" s="21">
        <f>H21*(1+Assumptions!I$42)</f>
        <v/>
      </c>
    </row>
    <row r="22">
      <c r="A22" s="2" t="inlineStr">
        <is>
          <t>2-3-4W — revenue</t>
        </is>
      </c>
      <c r="B22" s="5" t="n">
        <v>854.2</v>
      </c>
      <c r="C22" s="5" t="n">
        <v>1378.2</v>
      </c>
      <c r="D22" s="5" t="n">
        <v>2203.8</v>
      </c>
      <c r="E22" s="13">
        <f>$B$48+(E20-$B$47)*$B$82*$B$72</f>
        <v/>
      </c>
      <c r="F22" s="13">
        <f>F20*F21</f>
        <v/>
      </c>
      <c r="G22" s="13">
        <f>G20*G21</f>
        <v/>
      </c>
      <c r="H22" s="13">
        <f>H20*H21</f>
        <v/>
      </c>
      <c r="I22" s="13">
        <f>I20*I21</f>
        <v/>
      </c>
    </row>
    <row r="23">
      <c r="A23" s="2" t="inlineStr">
        <is>
          <t>2-3-4W — cost per unit (class-escalated)</t>
        </is>
      </c>
      <c r="E23" s="21">
        <f>E21*(1-$B$62)</f>
        <v/>
      </c>
      <c r="F23" s="21">
        <f>E23*(1+Assumptions!$B$67*Assumptions!F$45+(1-Assumptions!$B$67)*Assumptions!F$46)</f>
        <v/>
      </c>
      <c r="G23" s="21">
        <f>F23*(1+Assumptions!G$42)</f>
        <v/>
      </c>
      <c r="H23" s="21">
        <f>G23*(1+Assumptions!H$42)</f>
        <v/>
      </c>
      <c r="I23" s="21">
        <f>H23*(1+Assumptions!I$42)</f>
        <v/>
      </c>
    </row>
    <row r="24">
      <c r="A24" s="2" t="inlineStr">
        <is>
          <t>2-3-4W — gross profit</t>
        </is>
      </c>
      <c r="E24" s="13">
        <f>E22-E20*E23</f>
        <v/>
      </c>
      <c r="F24" s="13">
        <f>(F21-F23)*F20</f>
        <v/>
      </c>
      <c r="G24" s="13">
        <f>(G21-G23)*G20</f>
        <v/>
      </c>
      <c r="H24" s="13">
        <f>(H21-H23)*H20</f>
        <v/>
      </c>
      <c r="I24" s="13">
        <f>(I21-I23)*I20</f>
        <v/>
      </c>
    </row>
    <row r="25">
      <c r="A25" s="2" t="inlineStr">
        <is>
          <t>Trading — revenue</t>
        </is>
      </c>
      <c r="B25" s="5" t="n">
        <v>2506.8</v>
      </c>
      <c r="C25" s="5" t="n">
        <v>3815.5</v>
      </c>
      <c r="D25" s="5" t="n">
        <v>4242.8</v>
      </c>
      <c r="E25" s="13">
        <f>$B$49*(1+(1-$B$78)/$B$78*$B$68)</f>
        <v/>
      </c>
      <c r="F25" s="13">
        <f>E25*(1+Assumptions!F$43)</f>
        <v/>
      </c>
      <c r="G25" s="13">
        <f>F25*(1+Assumptions!G$43)</f>
        <v/>
      </c>
      <c r="H25" s="13">
        <f>G25*(1+Assumptions!H$43)</f>
        <v/>
      </c>
      <c r="I25" s="13">
        <f>H25*(1+Assumptions!I$43)</f>
        <v/>
      </c>
    </row>
    <row r="26">
      <c r="A26" s="2" t="inlineStr">
        <is>
          <t>Trading — cost ratio (class-escalated)</t>
        </is>
      </c>
      <c r="E26" s="15">
        <f>1-$B$63</f>
        <v/>
      </c>
      <c r="F26" s="15">
        <f>E26*(1+Assumptions!$B$68*Assumptions!F$45+(1-Assumptions!$B$68)*Assumptions!F$46)/(1+Assumptions!$B$69)*Assumptions!$B$70</f>
        <v/>
      </c>
      <c r="G26" s="15">
        <f>F26</f>
        <v/>
      </c>
      <c r="H26" s="15">
        <f>G26</f>
        <v/>
      </c>
      <c r="I26" s="15">
        <f>H26</f>
        <v/>
      </c>
    </row>
    <row r="27">
      <c r="A27" s="2" t="inlineStr">
        <is>
          <t>Trading — gross profit</t>
        </is>
      </c>
      <c r="E27" s="13">
        <f>E25*(1-E26)</f>
        <v/>
      </c>
      <c r="F27" s="13">
        <f>F25*(1-F26)</f>
        <v/>
      </c>
      <c r="G27" s="13">
        <f>G25*(1-G26)</f>
        <v/>
      </c>
      <c r="H27" s="13">
        <f>H25*(1-H26)</f>
        <v/>
      </c>
      <c r="I27" s="13">
        <f>I25*(1-I26)</f>
        <v/>
      </c>
    </row>
    <row r="28">
      <c r="A28" s="2" t="inlineStr">
        <is>
          <t>Other automotive — revenue</t>
        </is>
      </c>
      <c r="B28" s="5" t="n">
        <v>7625.2</v>
      </c>
      <c r="C28" s="5" t="n">
        <v>1353.4</v>
      </c>
      <c r="D28" s="5" t="n">
        <v>1127.6</v>
      </c>
      <c r="E28" s="13">
        <f>$B$50*(1+(1-$B$79)/$B$79*$B$69)</f>
        <v/>
      </c>
      <c r="F28" s="13">
        <f>E28*(1+Assumptions!F$44)</f>
        <v/>
      </c>
      <c r="G28" s="13">
        <f>F28*(1+Assumptions!G$44)</f>
        <v/>
      </c>
      <c r="H28" s="13">
        <f>G28*(1+Assumptions!H$44)</f>
        <v/>
      </c>
      <c r="I28" s="13">
        <f>H28*(1+Assumptions!I$44)</f>
        <v/>
      </c>
    </row>
    <row r="29">
      <c r="A29" s="2" t="inlineStr">
        <is>
          <t>Other automotive — cost ratio</t>
        </is>
      </c>
      <c r="E29" s="15">
        <f>1-$B$64</f>
        <v/>
      </c>
      <c r="F29" s="15">
        <f>E29*(1+Assumptions!$B$68*Assumptions!F$45+(1-Assumptions!$B$68)*Assumptions!F$46)/(1+Assumptions!$B$69)</f>
        <v/>
      </c>
      <c r="G29" s="15">
        <f>F29</f>
        <v/>
      </c>
      <c r="H29" s="15">
        <f>G29</f>
        <v/>
      </c>
      <c r="I29" s="15">
        <f>H29</f>
        <v/>
      </c>
    </row>
    <row r="30">
      <c r="A30" s="1" t="inlineStr">
        <is>
          <t>AUTOMOTIVE REVENUE</t>
        </is>
      </c>
      <c r="B30" s="22">
        <f>B9+B17+B22+B25+B28</f>
        <v/>
      </c>
      <c r="C30" s="22">
        <f>C9+C17+C22+C25+C28</f>
        <v/>
      </c>
      <c r="D30" s="22">
        <f>D9+D17+D22+D25+D28</f>
        <v/>
      </c>
      <c r="E30" s="22">
        <f>E9+E17+E22+E25+E28</f>
        <v/>
      </c>
      <c r="F30" s="22">
        <f>F9+F17+F22+F25+F28</f>
        <v/>
      </c>
      <c r="G30" s="22">
        <f>G9+G17+G22+G25+G28</f>
        <v/>
      </c>
      <c r="H30" s="22">
        <f>H9+H17+H22+H25+H28</f>
        <v/>
      </c>
      <c r="I30" s="22">
        <f>I9+I17+I22+I25+I28</f>
        <v/>
      </c>
    </row>
    <row r="31">
      <c r="A31" s="1" t="inlineStr">
        <is>
          <t>AUTOMOTIVE GROSS PROFIT</t>
        </is>
      </c>
      <c r="B31" s="23" t="n">
        <v>5813.1</v>
      </c>
      <c r="C31" s="23" t="n">
        <v>9057.4</v>
      </c>
      <c r="D31" s="23" t="n">
        <v>9837.1</v>
      </c>
      <c r="E31" s="22">
        <f>$B$52+(E30-$B$51)*$B$86</f>
        <v/>
      </c>
      <c r="F31" s="22">
        <f>F11+F19+F24+F27+F28*(1-F29)</f>
        <v/>
      </c>
      <c r="G31" s="22">
        <f>G11+G19+G24+G27+G28*(1-G29)</f>
        <v/>
      </c>
      <c r="H31" s="22">
        <f>H11+H19+H24+H27+H28*(1-H29)</f>
        <v/>
      </c>
      <c r="I31" s="22">
        <f>I11+I19+I24+I27+I28*(1-I29)</f>
        <v/>
      </c>
    </row>
    <row r="32">
      <c r="A32" s="2" t="inlineStr">
        <is>
          <t>Automotive gross margin (an OUTPUT)</t>
        </is>
      </c>
      <c r="B32" s="14">
        <f>B31/B30</f>
        <v/>
      </c>
      <c r="C32" s="14">
        <f>C31/C30</f>
        <v/>
      </c>
      <c r="D32" s="14">
        <f>D31/D30</f>
        <v/>
      </c>
      <c r="E32" s="14">
        <f>E31/E30</f>
        <v/>
      </c>
      <c r="F32" s="14">
        <f>F31/F30</f>
        <v/>
      </c>
      <c r="G32" s="14">
        <f>G31/G30</f>
        <v/>
      </c>
      <c r="H32" s="14">
        <f>H31/H30</f>
        <v/>
      </c>
      <c r="I32" s="14">
        <f>I31/I30</f>
        <v/>
      </c>
    </row>
    <row r="34">
      <c r="A34" s="2" t="inlineStr">
        <is>
          <t>GB Capital revenue</t>
        </is>
      </c>
      <c r="B34" s="5" t="n">
        <v>4950.9</v>
      </c>
      <c r="C34" s="5" t="n">
        <v>7383.6</v>
      </c>
      <c r="D34" s="5" t="n">
        <v>14743</v>
      </c>
      <c r="E34" s="5" t="n">
        <v>18700</v>
      </c>
      <c r="F34" s="13">
        <f>E34*(1+Assumptions!F$53)</f>
        <v/>
      </c>
      <c r="G34" s="13">
        <f>F34*(1+Assumptions!G$53)</f>
        <v/>
      </c>
      <c r="H34" s="13">
        <f>G34*(1+Assumptions!H$53)</f>
        <v/>
      </c>
      <c r="I34" s="13">
        <f>H34*(1+Assumptions!I$53)</f>
        <v/>
      </c>
    </row>
    <row r="35">
      <c r="A35" s="2" t="inlineStr">
        <is>
          <t>GB Capital net profit (path input, incl associates)</t>
        </is>
      </c>
      <c r="E35" s="13">
        <f>Assumptions!E$54</f>
        <v/>
      </c>
      <c r="F35" s="13">
        <f>Assumptions!F$54</f>
        <v/>
      </c>
      <c r="G35" s="13">
        <f>Assumptions!G$54</f>
        <v/>
      </c>
      <c r="H35" s="13">
        <f>Assumptions!H$54</f>
        <v/>
      </c>
      <c r="I35" s="13">
        <f>Assumptions!I$54</f>
        <v/>
      </c>
    </row>
    <row r="37">
      <c r="A37" s="6" t="inlineStr">
        <is>
          <t>FY27E unit costs carry each class's escalator against its price once (the measured compression year); from FY28E cost moves with price — held flat both directions. Trading FY27E divides out its price growth and carries the 1.04 inventory-reset. 'n/d' = the subtype split is not disclosed for that year.</t>
        </is>
      </c>
    </row>
    <row r="40">
      <c r="A40" s="7" t="inlineStr">
        <is>
          <t>Disclosed anchors (statements &amp; release, 13-Aug-2026)</t>
        </is>
      </c>
    </row>
    <row r="41">
      <c r="A41" s="2" t="inlineStr">
        <is>
          <t>PC volumes H1-26 (units)</t>
        </is>
      </c>
      <c r="B41" s="16" t="n">
        <v>29554</v>
      </c>
    </row>
    <row r="42">
      <c r="A42" s="2" t="inlineStr">
        <is>
          <t>CKD volumes H1-26</t>
        </is>
      </c>
      <c r="B42" s="16" t="n">
        <v>15454</v>
      </c>
    </row>
    <row r="43">
      <c r="A43" s="2" t="inlineStr">
        <is>
          <t>PC revenue H1-26</t>
        </is>
      </c>
      <c r="B43" s="12" t="n">
        <v>30595.7</v>
      </c>
    </row>
    <row r="44">
      <c r="A44" s="2" t="inlineStr">
        <is>
          <t>CV&amp;CE volumes H1-26</t>
        </is>
      </c>
      <c r="B44" s="16" t="n">
        <v>2490</v>
      </c>
    </row>
    <row r="45">
      <c r="A45" s="2" t="inlineStr">
        <is>
          <t>Bus volumes H1-26</t>
        </is>
      </c>
      <c r="B45" s="16" t="n">
        <v>1002</v>
      </c>
    </row>
    <row r="46">
      <c r="A46" s="2" t="inlineStr">
        <is>
          <t>CV&amp;CE revenue H1-26</t>
        </is>
      </c>
      <c r="B46" s="12" t="n">
        <v>4749.1</v>
      </c>
    </row>
    <row r="47">
      <c r="A47" s="2" t="inlineStr">
        <is>
          <t>Light-Mobility volumes H1-26</t>
        </is>
      </c>
      <c r="B47" s="16" t="n">
        <v>21173</v>
      </c>
    </row>
    <row r="48">
      <c r="A48" s="2" t="inlineStr">
        <is>
          <t>Light-Mobility revenue H1-26</t>
        </is>
      </c>
      <c r="B48" s="12" t="n">
        <v>1435.2</v>
      </c>
    </row>
    <row r="49">
      <c r="A49" s="2" t="inlineStr">
        <is>
          <t>Trading revenue H1-26</t>
        </is>
      </c>
      <c r="B49" s="12" t="n">
        <v>2572.3</v>
      </c>
    </row>
    <row r="50">
      <c r="A50" s="2" t="inlineStr">
        <is>
          <t>Other-auto revenue H1-26 (residual to the release total)</t>
        </is>
      </c>
      <c r="B50" s="12" t="n">
        <v>669.2</v>
      </c>
    </row>
    <row r="51">
      <c r="A51" s="2" t="inlineStr">
        <is>
          <t>Auto revenue H1-26</t>
        </is>
      </c>
      <c r="B51" s="12" t="n">
        <v>40021.5</v>
      </c>
    </row>
    <row r="52">
      <c r="A52" s="2" t="inlineStr">
        <is>
          <t>Auto gross profit H1-26</t>
        </is>
      </c>
      <c r="B52" s="12" t="n">
        <v>5722.1</v>
      </c>
    </row>
    <row r="53">
      <c r="A53" s="2" t="inlineStr">
        <is>
          <t>PC volumes H1-25</t>
        </is>
      </c>
      <c r="B53" s="16" t="n">
        <v>25989</v>
      </c>
    </row>
    <row r="54">
      <c r="A54" s="2" t="inlineStr">
        <is>
          <t>CV&amp;CE volumes H1-25</t>
        </is>
      </c>
      <c r="B54" s="16" t="n">
        <v>1534</v>
      </c>
    </row>
    <row r="55">
      <c r="A55" s="2" t="inlineStr">
        <is>
          <t>Light-Mobility volumes H1-25</t>
        </is>
      </c>
      <c r="B55" s="16" t="n">
        <v>14216</v>
      </c>
    </row>
    <row r="56">
      <c r="A56" s="2" t="inlineStr">
        <is>
          <t>Trading revenue H1-25</t>
        </is>
      </c>
      <c r="B56" s="12" t="n">
        <v>2438.2</v>
      </c>
    </row>
    <row r="57">
      <c r="A57" s="2" t="inlineStr">
        <is>
          <t>Other-auto revenue H1-25 (residual)</t>
        </is>
      </c>
      <c r="B57" s="12" t="n">
        <v>567.3</v>
      </c>
    </row>
    <row r="58">
      <c r="A58" s="2" t="inlineStr">
        <is>
          <t>Auto revenue H1-25</t>
        </is>
      </c>
      <c r="B58" s="12" t="n">
        <v>30672.7</v>
      </c>
    </row>
    <row r="59">
      <c r="A59" s="2" t="inlineStr">
        <is>
          <t>Auto gross profit H1-25</t>
        </is>
      </c>
      <c r="B59" s="12" t="n">
        <v>4752</v>
      </c>
    </row>
    <row r="60">
      <c r="A60" s="2" t="inlineStr">
        <is>
          <t>PC statement gross margin H1-26 (segment note 5-B)</t>
        </is>
      </c>
      <c r="B60" s="11" t="n">
        <v>0.1331629704329714</v>
      </c>
    </row>
    <row r="61">
      <c r="A61" s="2" t="inlineStr">
        <is>
          <t>Buses &amp; trucks statement gross margin H1-26</t>
        </is>
      </c>
      <c r="B61" s="11" t="n">
        <v>0.1863529611280225</v>
      </c>
    </row>
    <row r="62">
      <c r="A62" s="2" t="inlineStr">
        <is>
          <t>2-3-4W statement gross margin H1-26</t>
        </is>
      </c>
      <c r="B62" s="11" t="n">
        <v>0.1145780665062996</v>
      </c>
    </row>
    <row r="63">
      <c r="A63" s="2" t="inlineStr">
        <is>
          <t>Tires + other trading statement gross margin H1-26</t>
        </is>
      </c>
      <c r="B63" s="11" t="n">
        <v>0.2026582308808631</v>
      </c>
    </row>
    <row r="64">
      <c r="A64" s="2" t="inlineStr">
        <is>
          <t>Other-auto gross margin (residual)</t>
        </is>
      </c>
      <c r="B64" s="11" t="n">
        <v>0.182</v>
      </c>
    </row>
    <row r="65">
      <c r="A65" s="2" t="inlineStr">
        <is>
          <t>H2-26E temper — PC</t>
        </is>
      </c>
      <c r="B65" s="9" t="n">
        <v>1</v>
      </c>
    </row>
    <row r="66">
      <c r="A66" s="2" t="inlineStr">
        <is>
          <t>H2-26E temper — CV&amp;CE (2Q surge partly timing)</t>
        </is>
      </c>
      <c r="B66" s="9" t="n">
        <v>0.91</v>
      </c>
    </row>
    <row r="67">
      <c r="A67" s="2" t="inlineStr">
        <is>
          <t>H2-26E temper — LM (Qute supply cap)</t>
        </is>
      </c>
      <c r="B67" s="9" t="n">
        <v>0.95</v>
      </c>
    </row>
    <row r="68">
      <c r="A68" s="2" t="inlineStr">
        <is>
          <t>H2-26E temper — trading (H2 restock)</t>
        </is>
      </c>
      <c r="B68" s="9" t="n">
        <v>1.17</v>
      </c>
    </row>
    <row r="69">
      <c r="A69" s="2" t="inlineStr">
        <is>
          <t>H2-26E temper — other</t>
        </is>
      </c>
      <c r="B69" s="9" t="n">
        <v>1.01</v>
      </c>
    </row>
    <row r="70">
      <c r="A70" s="2" t="inlineStr">
        <is>
          <t>H2-26E price step — PC (post-deval increases)</t>
        </is>
      </c>
      <c r="B70" s="10" t="n">
        <v>1.025</v>
      </c>
    </row>
    <row r="71">
      <c r="A71" s="2" t="inlineStr">
        <is>
          <t>H2-26E price step — CV&amp;CE</t>
        </is>
      </c>
      <c r="B71" s="10" t="n">
        <v>1.02</v>
      </c>
    </row>
    <row r="72">
      <c r="A72" s="2" t="inlineStr">
        <is>
          <t>H2-26E price step — LM</t>
        </is>
      </c>
      <c r="B72" s="10" t="n">
        <v>1.03</v>
      </c>
    </row>
    <row r="73">
      <c r="A73" s="2" t="inlineStr">
        <is>
          <t>CKD H2 mix drift (Sadat launches)</t>
        </is>
      </c>
      <c r="B73" s="9" t="n">
        <v>1.02</v>
      </c>
    </row>
    <row r="74">
      <c r="A74" s="2" t="inlineStr">
        <is>
          <t>Bus H2 mix drift</t>
        </is>
      </c>
      <c r="B74" s="9" t="n">
        <v>1.03</v>
      </c>
    </row>
    <row r="75">
      <c r="A75" s="2" t="inlineStr">
        <is>
          <t>H1 share of FY25 — PC units</t>
        </is>
      </c>
      <c r="B75" s="15">
        <f>$B$53/$D$7</f>
        <v/>
      </c>
    </row>
    <row r="76">
      <c r="A76" s="2" t="inlineStr">
        <is>
          <t>H1 share of FY25 — CV&amp;CE units</t>
        </is>
      </c>
      <c r="B76" s="15">
        <f>$B$54/$D$15</f>
        <v/>
      </c>
    </row>
    <row r="77">
      <c r="A77" s="2" t="inlineStr">
        <is>
          <t>H1 share of FY25 — LM units</t>
        </is>
      </c>
      <c r="B77" s="15">
        <f>$B$55/$D$20</f>
        <v/>
      </c>
    </row>
    <row r="78">
      <c r="A78" s="2" t="inlineStr">
        <is>
          <t>H1 share of FY25 — trading revenue</t>
        </is>
      </c>
      <c r="B78" s="15">
        <f>$B$56/$D$25</f>
        <v/>
      </c>
    </row>
    <row r="79">
      <c r="A79" s="2" t="inlineStr">
        <is>
          <t>H1 share of FY25 — other revenue</t>
        </is>
      </c>
      <c r="B79" s="15">
        <f>$B$57/$D$28</f>
        <v/>
      </c>
    </row>
    <row r="80">
      <c r="A80" s="2" t="inlineStr">
        <is>
          <t>PC realized price H1-26</t>
        </is>
      </c>
      <c r="B80" s="15">
        <f>$B$43/$B$41</f>
        <v/>
      </c>
    </row>
    <row r="81">
      <c r="A81" s="2" t="inlineStr">
        <is>
          <t>CV&amp;CE realized price H1-26</t>
        </is>
      </c>
      <c r="B81" s="15">
        <f>$B$46/$B$44</f>
        <v/>
      </c>
    </row>
    <row r="82">
      <c r="A82" s="2" t="inlineStr">
        <is>
          <t>LM realized price H1-26</t>
        </is>
      </c>
      <c r="B82" s="21">
        <f>$B$48/$B$47</f>
        <v/>
      </c>
    </row>
    <row r="83">
      <c r="A83" s="2" t="inlineStr">
        <is>
          <t>Auto gross margin H1-26</t>
        </is>
      </c>
      <c r="B83" s="15">
        <f>$B$52/$B$51</f>
        <v/>
      </c>
    </row>
    <row r="84">
      <c r="A84" s="2" t="inlineStr">
        <is>
          <t>Auto gross margin H1-25</t>
        </is>
      </c>
      <c r="B84" s="15">
        <f>$B$59/$B$58</f>
        <v/>
      </c>
    </row>
    <row r="85">
      <c r="A85" s="2" t="inlineStr">
        <is>
          <t>Auto gross margin H2-25 (FY25 less H1-25)</t>
        </is>
      </c>
      <c r="B85" s="15">
        <f>($D$31-$B$59)/($D$30-$B$58)</f>
        <v/>
      </c>
    </row>
    <row r="86">
      <c r="A86" s="2" t="inlineStr">
        <is>
          <t>H2-26E gross margin (H1 less the measured seasonal gap)</t>
        </is>
      </c>
      <c r="B86" s="15">
        <f>$B$83-($B$84-$B$85)</f>
        <v/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D18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</cols>
  <sheetData>
    <row r="2">
      <c r="B2" s="1" t="inlineStr">
        <is>
          <t>Relative multiples and normalised earnings power</t>
        </is>
      </c>
    </row>
    <row r="4">
      <c r="A4" s="2" t="inlineStr">
        <is>
          <t>FY26E group earnings per share</t>
        </is>
      </c>
      <c r="B4" s="3">
        <f>'Income Statement'!E17</f>
        <v/>
      </c>
    </row>
    <row r="5">
      <c r="A5" s="2" t="inlineStr">
        <is>
          <t>Multiple band (bear / base / bull)</t>
        </is>
      </c>
      <c r="B5" s="24">
        <f>Assumptions!$B$90</f>
        <v/>
      </c>
      <c r="C5" s="24">
        <f>Assumptions!$B$91</f>
        <v/>
      </c>
      <c r="D5" s="24">
        <f>Assumptions!$B$92</f>
        <v/>
      </c>
    </row>
    <row r="6">
      <c r="A6" s="2" t="inlineStr">
        <is>
          <t>Relative lens value</t>
        </is>
      </c>
      <c r="B6" s="3">
        <f>B4*B5</f>
        <v/>
      </c>
      <c r="C6" s="3">
        <f>B4*C5</f>
        <v/>
      </c>
      <c r="D6" s="3">
        <f>B4*D5</f>
        <v/>
      </c>
    </row>
    <row r="8">
      <c r="A8" s="7" t="inlineStr">
        <is>
          <t>Normalisation walk (mid-cycle)</t>
        </is>
      </c>
    </row>
    <row r="9">
      <c r="A9" s="2" t="inlineStr">
        <is>
          <t>FY27E automotive operating profit</t>
        </is>
      </c>
      <c r="B9" s="13">
        <f>DCF!F10</f>
        <v/>
      </c>
    </row>
    <row r="10">
      <c r="A10" s="2" t="inlineStr">
        <is>
          <t>Financing cost at the eased-cycle rate on today's net debt</t>
        </is>
      </c>
      <c r="B10" s="13">
        <f>-Assumptions!$B$71*Assumptions!$B$64</f>
        <v/>
      </c>
    </row>
    <row r="11">
      <c r="A11" s="2" t="inlineStr">
        <is>
          <t>Tax at the statutory rate (no loss-stranding)</t>
        </is>
      </c>
      <c r="B11" s="13">
        <f>-(B9+B10)*Assumptions!$B$8</f>
        <v/>
      </c>
    </row>
    <row r="12">
      <c r="A12" s="2" t="inlineStr">
        <is>
          <t>GB Capital net profit, FY27E (incl associates)</t>
        </is>
      </c>
      <c r="B12" s="13">
        <f>Segments!F35</f>
        <v/>
      </c>
    </row>
    <row r="13">
      <c r="A13" s="1" t="inlineStr">
        <is>
          <t>Normalised group profit</t>
        </is>
      </c>
      <c r="B13" s="22">
        <f>B9+B10+B11+B12</f>
        <v/>
      </c>
    </row>
    <row r="14">
      <c r="A14" s="2" t="inlineStr">
        <is>
          <t>Normalised earnings lens (bear / base / bull)</t>
        </is>
      </c>
      <c r="B14" s="3">
        <f>B13*Assumptions!$B$96/Assumptions!$B$5*Assumptions!$B$93</f>
        <v/>
      </c>
      <c r="C14" s="3">
        <f>B13/Assumptions!$B$5*Assumptions!$B$94</f>
        <v/>
      </c>
      <c r="D14" s="3">
        <f>B13*Assumptions!$B$97/Assumptions!$B$5*Assumptions!$B$95</f>
        <v/>
      </c>
    </row>
    <row r="16">
      <c r="A16" s="7" t="inlineStr">
        <is>
          <t>The two distortions, priced (per share, FY26E basis)</t>
        </is>
      </c>
    </row>
    <row r="17">
      <c r="A17" s="2" t="inlineStr">
        <is>
          <t>Tax above statute on unshielded regional losses</t>
        </is>
      </c>
      <c r="B17" s="3">
        <f>(Assumptions!E$49-Assumptions!$B$8)*('Income Statement'!E14/(1-Assumptions!E$49))/Assumptions!$B$5</f>
        <v/>
      </c>
    </row>
    <row r="18">
      <c r="A18" s="2" t="inlineStr">
        <is>
          <t>Funding cost above the eased-cycle rate</t>
        </is>
      </c>
      <c r="B18" s="3">
        <f>Assumptions!$B$71*(Assumptions!E$52-Assumptions!$B$64)*(1-Assumptions!$B$8)/Assumptions!$B$5</f>
        <v/>
      </c>
    </row>
  </sheetData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2:I65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Automotive leg — free cash flow to the firm; the terminal growth is PAID FOR (reinvestment = growth / terminal return)</t>
        </is>
      </c>
    </row>
    <row r="4">
      <c r="E4" s="7" t="inlineStr">
        <is>
          <t>FY26E</t>
        </is>
      </c>
      <c r="F4" s="7" t="inlineStr">
        <is>
          <t>FY27E</t>
        </is>
      </c>
      <c r="G4" s="7" t="inlineStr">
        <is>
          <t>FY28E</t>
        </is>
      </c>
      <c r="H4" s="7" t="inlineStr">
        <is>
          <t>FY29E</t>
        </is>
      </c>
      <c r="I4" s="7" t="inlineStr">
        <is>
          <t>FY30E</t>
        </is>
      </c>
    </row>
    <row r="5">
      <c r="A5" s="2" t="inlineStr">
        <is>
          <t>Revenue</t>
        </is>
      </c>
      <c r="E5" s="13">
        <f>Segments!E30</f>
        <v/>
      </c>
      <c r="F5" s="13">
        <f>Segments!F30</f>
        <v/>
      </c>
      <c r="G5" s="13">
        <f>Segments!G30</f>
        <v/>
      </c>
      <c r="H5" s="13">
        <f>Segments!H30</f>
        <v/>
      </c>
      <c r="I5" s="13">
        <f>Segments!I30</f>
        <v/>
      </c>
    </row>
    <row r="6">
      <c r="A6" s="2" t="inlineStr">
        <is>
          <t>Gross profit</t>
        </is>
      </c>
      <c r="E6" s="13">
        <f>Segments!E31</f>
        <v/>
      </c>
      <c r="F6" s="13">
        <f>Segments!F31</f>
        <v/>
      </c>
      <c r="G6" s="13">
        <f>Segments!G31</f>
        <v/>
      </c>
      <c r="H6" s="13">
        <f>Segments!H31</f>
        <v/>
      </c>
      <c r="I6" s="13">
        <f>Segments!I31</f>
        <v/>
      </c>
    </row>
    <row r="7">
      <c r="A7" s="2" t="inlineStr">
        <is>
          <t>GS&amp;A</t>
        </is>
      </c>
      <c r="E7" s="13">
        <f>-E5*Assumptions!E$47</f>
        <v/>
      </c>
      <c r="F7" s="13">
        <f>-F5*Assumptions!F$47</f>
        <v/>
      </c>
      <c r="G7" s="13">
        <f>-G5*Assumptions!G$47</f>
        <v/>
      </c>
      <c r="H7" s="13">
        <f>-H5*Assumptions!H$47</f>
        <v/>
      </c>
      <c r="I7" s="13">
        <f>-I5*Assumptions!I$47</f>
        <v/>
      </c>
    </row>
    <row r="8">
      <c r="A8" s="2" t="inlineStr">
        <is>
          <t>Other operating income</t>
        </is>
      </c>
      <c r="E8" s="13">
        <f>E5*Assumptions!$B$58</f>
        <v/>
      </c>
      <c r="F8" s="13">
        <f>F5*Assumptions!$B$58</f>
        <v/>
      </c>
      <c r="G8" s="13">
        <f>G5*Assumptions!$B$58</f>
        <v/>
      </c>
      <c r="H8" s="13">
        <f>H5*Assumptions!$B$58</f>
        <v/>
      </c>
      <c r="I8" s="13">
        <f>I5*Assumptions!$B$58</f>
        <v/>
      </c>
    </row>
    <row r="9">
      <c r="A9" s="2" t="inlineStr">
        <is>
          <t>Net provisions</t>
        </is>
      </c>
      <c r="E9" s="13">
        <f>E5*Assumptions!$B$59</f>
        <v/>
      </c>
      <c r="F9" s="13">
        <f>F5*Assumptions!$B$59</f>
        <v/>
      </c>
      <c r="G9" s="13">
        <f>G5*Assumptions!$B$59</f>
        <v/>
      </c>
      <c r="H9" s="13">
        <f>H5*Assumptions!$B$59</f>
        <v/>
      </c>
      <c r="I9" s="13">
        <f>I5*Assumptions!$B$59</f>
        <v/>
      </c>
    </row>
    <row r="10">
      <c r="A10" s="1" t="inlineStr">
        <is>
          <t>Operating profit</t>
        </is>
      </c>
      <c r="E10" s="22">
        <f>E6+E7+E8+E9</f>
        <v/>
      </c>
      <c r="F10" s="22">
        <f>F6+F7+F8+F9</f>
        <v/>
      </c>
      <c r="G10" s="22">
        <f>G6+G7+G8+G9</f>
        <v/>
      </c>
      <c r="H10" s="22">
        <f>H6+H7+H8+H9</f>
        <v/>
      </c>
      <c r="I10" s="22">
        <f>I6+I7+I8+I9</f>
        <v/>
      </c>
    </row>
    <row r="11">
      <c r="A11" s="2" t="inlineStr">
        <is>
          <t>Effective tax rate</t>
        </is>
      </c>
      <c r="E11" s="14">
        <f>Assumptions!E$49</f>
        <v/>
      </c>
      <c r="F11" s="14">
        <f>Assumptions!F$49</f>
        <v/>
      </c>
      <c r="G11" s="14">
        <f>Assumptions!G$49</f>
        <v/>
      </c>
      <c r="H11" s="14">
        <f>Assumptions!H$49</f>
        <v/>
      </c>
      <c r="I11" s="14">
        <f>Assumptions!I$49</f>
        <v/>
      </c>
    </row>
    <row r="12">
      <c r="A12" s="2" t="inlineStr">
        <is>
          <t>Net operating profit after tax</t>
        </is>
      </c>
      <c r="E12" s="13">
        <f>E10*(1-E11)</f>
        <v/>
      </c>
      <c r="F12" s="13">
        <f>F10*(1-F11)</f>
        <v/>
      </c>
      <c r="G12" s="13">
        <f>G10*(1-G11)</f>
        <v/>
      </c>
      <c r="H12" s="13">
        <f>H10*(1-H11)</f>
        <v/>
      </c>
      <c r="I12" s="13">
        <f>I10*(1-I11)</f>
        <v/>
      </c>
    </row>
    <row r="13">
      <c r="A13" s="2" t="inlineStr">
        <is>
          <t>Depreciation &amp; amortisation</t>
        </is>
      </c>
      <c r="E13" s="13">
        <f>E5*Assumptions!E$48</f>
        <v/>
      </c>
      <c r="F13" s="13">
        <f>F5*Assumptions!F$48</f>
        <v/>
      </c>
      <c r="G13" s="13">
        <f>G5*Assumptions!G$48</f>
        <v/>
      </c>
      <c r="H13" s="13">
        <f>H5*Assumptions!H$48</f>
        <v/>
      </c>
      <c r="I13" s="13">
        <f>I5*Assumptions!I$48</f>
        <v/>
      </c>
    </row>
    <row r="14">
      <c r="A14" s="1" t="inlineStr">
        <is>
          <t>EBITDA</t>
        </is>
      </c>
      <c r="E14" s="22">
        <f>E10+E13</f>
        <v/>
      </c>
      <c r="F14" s="22">
        <f>F10+F13</f>
        <v/>
      </c>
      <c r="G14" s="22">
        <f>G10+G13</f>
        <v/>
      </c>
      <c r="H14" s="22">
        <f>H10+H13</f>
        <v/>
      </c>
      <c r="I14" s="22">
        <f>I10+I13</f>
        <v/>
      </c>
    </row>
    <row r="15">
      <c r="A15" s="2" t="inlineStr">
        <is>
          <t>Capital expenditure</t>
        </is>
      </c>
      <c r="E15" s="13">
        <f>-Assumptions!E$50</f>
        <v/>
      </c>
      <c r="F15" s="13">
        <f>-Assumptions!F$50</f>
        <v/>
      </c>
      <c r="G15" s="13">
        <f>-Assumptions!G$50</f>
        <v/>
      </c>
      <c r="H15" s="13">
        <f>-Assumptions!H$50</f>
        <v/>
      </c>
      <c r="I15" s="13">
        <f>-Assumptions!I$50</f>
        <v/>
      </c>
    </row>
    <row r="16">
      <c r="A16" s="2" t="inlineStr">
        <is>
          <t>Working capital (level)</t>
        </is>
      </c>
      <c r="E16" s="13">
        <f>E5*Assumptions!E$51</f>
        <v/>
      </c>
      <c r="F16" s="13">
        <f>F5*Assumptions!F$51</f>
        <v/>
      </c>
      <c r="G16" s="13">
        <f>G5*Assumptions!G$51</f>
        <v/>
      </c>
      <c r="H16" s="13">
        <f>H5*Assumptions!H$51</f>
        <v/>
      </c>
      <c r="I16" s="13">
        <f>I5*Assumptions!I$51</f>
        <v/>
      </c>
    </row>
    <row r="17">
      <c r="A17" s="2" t="inlineStr">
        <is>
          <t>Change in working capital</t>
        </is>
      </c>
      <c r="E17" s="13">
        <f>E16-B22</f>
        <v/>
      </c>
      <c r="F17" s="13">
        <f>F16-E16</f>
        <v/>
      </c>
      <c r="G17" s="13">
        <f>G16-F16</f>
        <v/>
      </c>
      <c r="H17" s="13">
        <f>H16-G16</f>
        <v/>
      </c>
      <c r="I17" s="13">
        <f>I16-H16</f>
        <v/>
      </c>
    </row>
    <row r="18">
      <c r="A18" s="1" t="inlineStr">
        <is>
          <t>Free cash flow to the firm</t>
        </is>
      </c>
      <c r="E18" s="22">
        <f>E12+E13+E15-E17</f>
        <v/>
      </c>
      <c r="F18" s="22">
        <f>F12+F13+F15-F17</f>
        <v/>
      </c>
      <c r="G18" s="22">
        <f>G12+G13+G15-G17</f>
        <v/>
      </c>
      <c r="H18" s="22">
        <f>H12+H13+H15-H17</f>
        <v/>
      </c>
      <c r="I18" s="22">
        <f>I12+I13+I15-I17</f>
        <v/>
      </c>
    </row>
    <row r="20">
      <c r="A20" s="7" t="inlineStr">
        <is>
          <t>The realized first half (model definition, from the disclosed actuals)</t>
        </is>
      </c>
    </row>
    <row r="21">
      <c r="A21" s="2" t="inlineStr">
        <is>
          <t>H1-26 operating profit (release)</t>
        </is>
      </c>
      <c r="B21" s="12" t="n">
        <v>3127</v>
      </c>
    </row>
    <row r="22">
      <c r="A22" s="2" t="inlineStr">
        <is>
          <t>FY25 working capital (base)</t>
        </is>
      </c>
      <c r="B22" s="12" t="n">
        <v>18917</v>
      </c>
    </row>
    <row r="23">
      <c r="A23" s="2" t="inlineStr">
        <is>
          <t>H1-26 working capital</t>
        </is>
      </c>
      <c r="B23" s="12" t="n">
        <v>17092.8</v>
      </c>
    </row>
    <row r="24">
      <c r="A24" s="2" t="inlineStr">
        <is>
          <t>H1-26 effective tax rate</t>
        </is>
      </c>
      <c r="B24" s="25" t="n">
        <v>0.4104</v>
      </c>
    </row>
    <row r="25">
      <c r="A25" s="2" t="inlineStr">
        <is>
          <t>H1-26 depreciation &amp; amortisation</t>
        </is>
      </c>
      <c r="B25" s="12" t="n">
        <v>401.2</v>
      </c>
    </row>
    <row r="26">
      <c r="A26" s="2" t="inlineStr">
        <is>
          <t>H1-26 capital expenditure</t>
        </is>
      </c>
      <c r="B26" s="12" t="n">
        <v>1376.5</v>
      </c>
    </row>
    <row r="27">
      <c r="A27" s="1" t="inlineStr">
        <is>
          <t>H1-26 realized free cash flow</t>
        </is>
      </c>
      <c r="B27" s="22">
        <f>B21*(1-B24)+B25-B26-(B23-B22)</f>
        <v/>
      </c>
    </row>
    <row r="28">
      <c r="A28" s="2" t="inlineStr">
        <is>
          <t>H2-26E free cash flow</t>
        </is>
      </c>
      <c r="B28" s="13">
        <f>E18-B27</f>
        <v/>
      </c>
    </row>
    <row r="30">
      <c r="A30" s="2" t="inlineStr">
        <is>
          <t>Discount period (years, from 30-Jun-26, mid-period)</t>
        </is>
      </c>
      <c r="E30" s="17" t="n">
        <v>0.5</v>
      </c>
      <c r="F30" s="17" t="n">
        <v>1.5</v>
      </c>
      <c r="G30" s="17" t="n">
        <v>2.5</v>
      </c>
      <c r="H30" s="17" t="n">
        <v>3.5</v>
      </c>
      <c r="I30" s="17" t="n">
        <v>4.5</v>
      </c>
    </row>
    <row r="31">
      <c r="A31" s="13" t="inlineStr">
        <is>
          <t>Discount factor</t>
        </is>
      </c>
      <c r="E31" s="15">
        <f>1/(1+Assumptions!$B$30)^E30</f>
        <v/>
      </c>
      <c r="F31" s="15">
        <f>1/(1+Assumptions!$B$30)^F30</f>
        <v/>
      </c>
      <c r="G31" s="15">
        <f>1/(1+Assumptions!$B$30)^G30</f>
        <v/>
      </c>
      <c r="H31" s="15">
        <f>1/(1+Assumptions!$B$30)^H30</f>
        <v/>
      </c>
      <c r="I31" s="15">
        <f>1/(1+Assumptions!$B$30)^I30</f>
        <v/>
      </c>
    </row>
    <row r="32">
      <c r="A32" s="2" t="inlineStr">
        <is>
          <t>Present value</t>
        </is>
      </c>
      <c r="E32" s="13">
        <f>B28*E31</f>
        <v/>
      </c>
      <c r="F32" s="13">
        <f>F18*F31</f>
        <v/>
      </c>
      <c r="G32" s="13">
        <f>G18*G31</f>
        <v/>
      </c>
      <c r="H32" s="13">
        <f>H18*H31</f>
        <v/>
      </c>
      <c r="I32" s="13">
        <f>I18*I31</f>
        <v/>
      </c>
    </row>
    <row r="34">
      <c r="A34" s="1" t="inlineStr">
        <is>
          <t>Sum of discounted flows</t>
        </is>
      </c>
      <c r="B34" s="22">
        <f>SUM(E32:I32)</f>
        <v/>
      </c>
    </row>
    <row r="35">
      <c r="A35" s="2" t="inlineStr">
        <is>
          <t>Terminal reinvestment rate (growth / terminal return)</t>
        </is>
      </c>
      <c r="B35" s="14">
        <f>Assumptions!$B$9/Assumptions!$B$10</f>
        <v/>
      </c>
    </row>
    <row r="36">
      <c r="A36" s="2" t="inlineStr">
        <is>
          <t>Terminal cash flow (FY30E NOPAT grown, less forced reinvestment)</t>
        </is>
      </c>
      <c r="B36" s="13">
        <f>I12*(1+Assumptions!$B$9)*(1-B35)</f>
        <v/>
      </c>
    </row>
    <row r="37">
      <c r="A37" s="2" t="inlineStr">
        <is>
          <t>Terminal value</t>
        </is>
      </c>
      <c r="B37" s="13">
        <f>B36/(Assumptions!$B$30-Assumptions!$B$9)</f>
        <v/>
      </c>
    </row>
    <row r="38">
      <c r="A38" s="2" t="inlineStr">
        <is>
          <t>Present value of the terminal value</t>
        </is>
      </c>
      <c r="B38" s="13">
        <f>B37*I31</f>
        <v/>
      </c>
    </row>
    <row r="39">
      <c r="A39" s="1" t="inlineStr">
        <is>
          <t>Enterprise value — automotive</t>
        </is>
      </c>
      <c r="B39" s="22">
        <f>B34+B38</f>
        <v/>
      </c>
    </row>
    <row r="40">
      <c r="A40" s="2" t="inlineStr">
        <is>
          <t>Less net debt (30-Jun-26)</t>
        </is>
      </c>
      <c r="B40" s="13">
        <f>-Assumptions!$B$71</f>
        <v/>
      </c>
    </row>
    <row r="41">
      <c r="A41" s="2" t="inlineStr">
        <is>
          <t>Less non-controlling interests</t>
        </is>
      </c>
      <c r="B41" s="13">
        <f>-Assumptions!$B$72</f>
        <v/>
      </c>
    </row>
    <row r="42">
      <c r="A42" s="1" t="inlineStr">
        <is>
          <t>Automotive equity value</t>
        </is>
      </c>
      <c r="B42" s="22">
        <f>B39+B40+B41</f>
        <v/>
      </c>
    </row>
    <row r="43">
      <c r="A43" s="1" t="inlineStr">
        <is>
          <t>Per share</t>
        </is>
      </c>
      <c r="B43" s="8">
        <f>B42/Assumptions!$B$5</f>
        <v/>
      </c>
    </row>
    <row r="44">
      <c r="A44" s="2" t="inlineStr">
        <is>
          <t>Terminal share of enterprise value</t>
        </is>
      </c>
      <c r="B44" s="4">
        <f>B38/B39</f>
        <v/>
      </c>
    </row>
    <row r="45">
      <c r="A45" s="2" t="inlineStr">
        <is>
          <t>Alternative (the July construction): Gordon on year-five free cash flow</t>
        </is>
      </c>
      <c r="B45" s="13">
        <f>B34+I18*(1+Assumptions!$B$9)/(Assumptions!$B$30-Assumptions!$B$9)*I31-Assumptions!$B$71-Assumptions!$B$72</f>
        <v/>
      </c>
    </row>
    <row r="46">
      <c r="A46" s="2" t="inlineStr">
        <is>
          <t xml:space="preserve">  its implied terminal return on capital (growth/(1-FCFF/NOPAT)) — disclosed, not hidden</t>
        </is>
      </c>
      <c r="B46" s="14">
        <f>Assumptions!$B$9/(1-I18/I12)</f>
        <v/>
      </c>
    </row>
    <row r="49">
      <c r="A49" s="7" t="inlineStr">
        <is>
          <t>Case engine — the same model under shifted drivers (blue shifts)</t>
        </is>
      </c>
    </row>
    <row r="50">
      <c r="B50" s="7" t="inlineStr">
        <is>
          <t>bear</t>
        </is>
      </c>
      <c r="C50" s="7" t="inlineStr">
        <is>
          <t>bull</t>
        </is>
      </c>
    </row>
    <row r="51">
      <c r="A51" s="2" t="inlineStr">
        <is>
          <t>Gross-margin shift</t>
        </is>
      </c>
      <c r="B51" s="10" t="n">
        <v>-0.01</v>
      </c>
      <c r="C51" s="10" t="n">
        <v>0.008</v>
      </c>
    </row>
    <row r="52">
      <c r="A52" s="2" t="inlineStr">
        <is>
          <t>Discount-rate shift</t>
        </is>
      </c>
      <c r="B52" s="10" t="n">
        <v>0.02</v>
      </c>
      <c r="C52" s="10" t="n">
        <v>-0.015</v>
      </c>
    </row>
    <row r="53">
      <c r="A53" s="2" t="inlineStr">
        <is>
          <t>Terminal-growth shift</t>
        </is>
      </c>
      <c r="B53" s="10" t="n">
        <v>-0.01</v>
      </c>
      <c r="C53" s="10" t="n">
        <v>0.01</v>
      </c>
    </row>
    <row r="54">
      <c r="A54" s="2" t="inlineStr">
        <is>
          <t>Tax-rate shift</t>
        </is>
      </c>
      <c r="B54" s="10" t="n">
        <v>0.04</v>
      </c>
      <c r="C54" s="10" t="n">
        <v>-0.02</v>
      </c>
    </row>
    <row r="55">
      <c r="A55" s="2" t="inlineStr">
        <is>
          <t>Case cost of capital</t>
        </is>
      </c>
      <c r="B55" s="13">
        <f>Assumptions!$B$30+B52</f>
        <v/>
      </c>
      <c r="C55" s="13">
        <f>Assumptions!$B$30+C52</f>
        <v/>
      </c>
    </row>
    <row r="56">
      <c r="A56" s="2" t="inlineStr">
        <is>
          <t>Case terminal growth</t>
        </is>
      </c>
      <c r="B56" s="13">
        <f>Assumptions!$B$9+B53</f>
        <v/>
      </c>
      <c r="C56" s="13">
        <f>Assumptions!$B$9+C53</f>
        <v/>
      </c>
    </row>
    <row r="58">
      <c r="A58" s="2" t="inlineStr">
        <is>
          <t>bear — NOPAT</t>
        </is>
      </c>
      <c r="E58" s="13">
        <f>(E10+E5*$B$51)*(1-(E11+$B$54))</f>
        <v/>
      </c>
      <c r="F58" s="13">
        <f>(F10+F5*$B$51)*(1-(F11+$B$54))</f>
        <v/>
      </c>
      <c r="G58" s="13">
        <f>(G10+G5*$B$51)*(1-(G11+$B$54))</f>
        <v/>
      </c>
      <c r="H58" s="13">
        <f>(H10+H5*$B$51)*(1-(H11+$B$54))</f>
        <v/>
      </c>
      <c r="I58" s="13">
        <f>(I10+I5*$B$51)*(1-(I11+$B$54))</f>
        <v/>
      </c>
    </row>
    <row r="59">
      <c r="A59" s="2" t="inlineStr">
        <is>
          <t>bear — free cash flow</t>
        </is>
      </c>
      <c r="E59" s="13">
        <f>E58+E13+E15-E17</f>
        <v/>
      </c>
      <c r="F59" s="13">
        <f>F58+F13+F15-F17</f>
        <v/>
      </c>
      <c r="G59" s="13">
        <f>G58+G13+G15-G17</f>
        <v/>
      </c>
      <c r="H59" s="13">
        <f>H58+H13+H15-H17</f>
        <v/>
      </c>
      <c r="I59" s="13">
        <f>I58+I13+I15-I17</f>
        <v/>
      </c>
    </row>
    <row r="60">
      <c r="A60" s="2" t="inlineStr">
        <is>
          <t>bear — present value</t>
        </is>
      </c>
      <c r="E60" s="13">
        <f>(E59-$B$27)/(1+$B$55)^E30</f>
        <v/>
      </c>
      <c r="F60" s="13">
        <f>F59/(1+$B$55)^F30</f>
        <v/>
      </c>
      <c r="G60" s="13">
        <f>G59/(1+$B$55)^G30</f>
        <v/>
      </c>
      <c r="H60" s="13">
        <f>H59/(1+$B$55)^H30</f>
        <v/>
      </c>
      <c r="I60" s="13">
        <f>I59/(1+$B$55)^I30</f>
        <v/>
      </c>
    </row>
    <row r="61">
      <c r="A61" s="1" t="inlineStr">
        <is>
          <t>bear — automotive equity value</t>
        </is>
      </c>
      <c r="B61" s="22">
        <f>SUM(E60:I60)+I58*(1+B56)*(1-B56/Assumptions!$B$10)/(B55-B56)/(1+B55)^I30-Assumptions!$B$71-Assumptions!$B$72</f>
        <v/>
      </c>
    </row>
    <row r="62">
      <c r="A62" s="2" t="inlineStr">
        <is>
          <t>bull — NOPAT</t>
        </is>
      </c>
      <c r="E62" s="13">
        <f>(E10+E5*$C$51)*(1-(E11+$C$54))</f>
        <v/>
      </c>
      <c r="F62" s="13">
        <f>(F10+F5*$C$51)*(1-(F11+$C$54))</f>
        <v/>
      </c>
      <c r="G62" s="13">
        <f>(G10+G5*$C$51)*(1-(G11+$C$54))</f>
        <v/>
      </c>
      <c r="H62" s="13">
        <f>(H10+H5*$C$51)*(1-(H11+$C$54))</f>
        <v/>
      </c>
      <c r="I62" s="13">
        <f>(I10+I5*$C$51)*(1-(I11+$C$54))</f>
        <v/>
      </c>
    </row>
    <row r="63">
      <c r="A63" s="2" t="inlineStr">
        <is>
          <t>bull — free cash flow</t>
        </is>
      </c>
      <c r="E63" s="13">
        <f>E62+E13+E15-E17</f>
        <v/>
      </c>
      <c r="F63" s="13">
        <f>F62+F13+F15-F17</f>
        <v/>
      </c>
      <c r="G63" s="13">
        <f>G62+G13+G15-G17</f>
        <v/>
      </c>
      <c r="H63" s="13">
        <f>H62+H13+H15-H17</f>
        <v/>
      </c>
      <c r="I63" s="13">
        <f>I62+I13+I15-I17</f>
        <v/>
      </c>
    </row>
    <row r="64">
      <c r="A64" s="2" t="inlineStr">
        <is>
          <t>bull — present value</t>
        </is>
      </c>
      <c r="E64" s="13">
        <f>(E63-$B$27)/(1+$C$55)^E30</f>
        <v/>
      </c>
      <c r="F64" s="13">
        <f>F63/(1+$C$55)^F30</f>
        <v/>
      </c>
      <c r="G64" s="13">
        <f>G63/(1+$C$55)^G30</f>
        <v/>
      </c>
      <c r="H64" s="13">
        <f>H63/(1+$C$55)^H30</f>
        <v/>
      </c>
      <c r="I64" s="13">
        <f>I63/(1+$C$55)^I30</f>
        <v/>
      </c>
    </row>
    <row r="65">
      <c r="A65" s="1" t="inlineStr">
        <is>
          <t>bull — automotive equity value</t>
        </is>
      </c>
      <c r="B65" s="22">
        <f>SUM(E64:I64)+I62*(1+C56)*(1-C56/Assumptions!$B$10)/(C55-C56)/(1+C55)^I30-Assumptions!$B$71-Assumptions!$B$72</f>
        <v/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2:I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Group income statement — three disclosed years and the five-year model</t>
        </is>
      </c>
    </row>
    <row r="4">
      <c r="B4" s="7" t="inlineStr">
        <is>
          <t>FY23</t>
        </is>
      </c>
      <c r="C4" s="7" t="inlineStr">
        <is>
          <t>FY24</t>
        </is>
      </c>
      <c r="D4" s="7" t="inlineStr">
        <is>
          <t>FY25</t>
        </is>
      </c>
      <c r="E4" s="7" t="inlineStr">
        <is>
          <t>FY26E</t>
        </is>
      </c>
      <c r="F4" s="7" t="inlineStr">
        <is>
          <t>FY27E</t>
        </is>
      </c>
      <c r="G4" s="7" t="inlineStr">
        <is>
          <t>FY28E</t>
        </is>
      </c>
      <c r="H4" s="7" t="inlineStr">
        <is>
          <t>FY29E</t>
        </is>
      </c>
      <c r="I4" s="7" t="inlineStr">
        <is>
          <t>FY30E</t>
        </is>
      </c>
    </row>
    <row r="5">
      <c r="A5" s="2" t="inlineStr">
        <is>
          <t>Automotive revenue</t>
        </is>
      </c>
      <c r="B5" s="13">
        <f>Segments!B30</f>
        <v/>
      </c>
      <c r="C5" s="13">
        <f>Segments!C30</f>
        <v/>
      </c>
      <c r="D5" s="13">
        <f>Segments!D30</f>
        <v/>
      </c>
      <c r="E5" s="18">
        <f>Segments!E30</f>
        <v/>
      </c>
      <c r="F5" s="18">
        <f>Segments!F30</f>
        <v/>
      </c>
      <c r="G5" s="18">
        <f>Segments!G30</f>
        <v/>
      </c>
      <c r="H5" s="18">
        <f>Segments!H30</f>
        <v/>
      </c>
      <c r="I5" s="18">
        <f>Segments!I30</f>
        <v/>
      </c>
    </row>
    <row r="6">
      <c r="A6" s="2" t="inlineStr">
        <is>
          <t>GB Capital revenue</t>
        </is>
      </c>
      <c r="B6" s="5" t="n">
        <v>4950.9</v>
      </c>
      <c r="C6" s="5" t="n">
        <v>7383.6</v>
      </c>
      <c r="D6" s="5" t="n">
        <v>14743</v>
      </c>
      <c r="E6" s="18">
        <f>Segments!E34</f>
        <v/>
      </c>
      <c r="F6" s="18">
        <f>Segments!F34</f>
        <v/>
      </c>
      <c r="G6" s="18">
        <f>Segments!G34</f>
        <v/>
      </c>
      <c r="H6" s="18">
        <f>Segments!H34</f>
        <v/>
      </c>
      <c r="I6" s="18">
        <f>Segments!I34</f>
        <v/>
      </c>
    </row>
    <row r="7">
      <c r="A7" s="2" t="inlineStr">
        <is>
          <t>Inter-segment eliminations</t>
        </is>
      </c>
      <c r="B7" s="5" t="n">
        <v>-487.7</v>
      </c>
      <c r="C7" s="5" t="n">
        <v>-479.1</v>
      </c>
      <c r="D7" s="5" t="n">
        <v>-871.5</v>
      </c>
      <c r="E7" s="18">
        <f>-(E5+E6)*Assumptions!$B$60</f>
        <v/>
      </c>
      <c r="F7" s="18">
        <f>-(F5+F6)*Assumptions!$B$60</f>
        <v/>
      </c>
      <c r="G7" s="18">
        <f>-(G5+G6)*Assumptions!$B$60</f>
        <v/>
      </c>
      <c r="H7" s="18">
        <f>-(H5+H6)*Assumptions!$B$60</f>
        <v/>
      </c>
      <c r="I7" s="18">
        <f>-(I5+I6)*Assumptions!$B$60</f>
        <v/>
      </c>
    </row>
    <row r="8">
      <c r="A8" s="1" t="inlineStr">
        <is>
          <t>Group revenue</t>
        </is>
      </c>
      <c r="B8" s="22">
        <f>SUM(B5:B7)</f>
        <v/>
      </c>
      <c r="C8" s="22">
        <f>SUM(C5:C7)</f>
        <v/>
      </c>
      <c r="D8" s="22">
        <f>SUM(D5:D7)</f>
        <v/>
      </c>
      <c r="E8" s="18">
        <f>SUM(E5:E7)</f>
        <v/>
      </c>
      <c r="F8" s="18">
        <f>SUM(F5:F7)</f>
        <v/>
      </c>
      <c r="G8" s="18">
        <f>SUM(G5:G7)</f>
        <v/>
      </c>
      <c r="H8" s="18">
        <f>SUM(H5:H7)</f>
        <v/>
      </c>
      <c r="I8" s="18">
        <f>SUM(I5:I7)</f>
        <v/>
      </c>
    </row>
    <row r="10">
      <c r="A10" s="2" t="inlineStr">
        <is>
          <t>Automotive operating profit</t>
        </is>
      </c>
      <c r="B10" s="5" t="n">
        <v>3460.9</v>
      </c>
      <c r="C10" s="5" t="n">
        <v>5564.9</v>
      </c>
      <c r="D10" s="5" t="n">
        <v>5830.9</v>
      </c>
      <c r="E10" s="18">
        <f>DCF!E10</f>
        <v/>
      </c>
      <c r="F10" s="18">
        <f>DCF!F10</f>
        <v/>
      </c>
      <c r="G10" s="18">
        <f>DCF!G10</f>
        <v/>
      </c>
      <c r="H10" s="18">
        <f>DCF!H10</f>
        <v/>
      </c>
      <c r="I10" s="18">
        <f>DCF!I10</f>
        <v/>
      </c>
    </row>
    <row r="11">
      <c r="A11" s="2" t="inlineStr">
        <is>
          <t>Automotive finance cost</t>
        </is>
      </c>
      <c r="E11" s="13">
        <f>-(Assumptions!$B$63+0.5*Assumptions!$B$71*Assumptions!E$52)</f>
        <v/>
      </c>
      <c r="F11" s="13">
        <f>-'Balance Sheet'!E10*Assumptions!F$52</f>
        <v/>
      </c>
      <c r="G11" s="13">
        <f>-'Balance Sheet'!F10*Assumptions!G$52</f>
        <v/>
      </c>
      <c r="H11" s="13">
        <f>-'Balance Sheet'!G10*Assumptions!H$52</f>
        <v/>
      </c>
      <c r="I11" s="13">
        <f>-'Balance Sheet'!H10*Assumptions!I$52</f>
        <v/>
      </c>
    </row>
    <row r="12">
      <c r="A12" s="2" t="inlineStr">
        <is>
          <t>Automotive profit before tax</t>
        </is>
      </c>
      <c r="E12" s="18">
        <f>E10+E11</f>
        <v/>
      </c>
      <c r="F12" s="18">
        <f>F10+F11</f>
        <v/>
      </c>
      <c r="G12" s="18">
        <f>G10+G11</f>
        <v/>
      </c>
      <c r="H12" s="18">
        <f>H10+H11</f>
        <v/>
      </c>
      <c r="I12" s="18">
        <f>I10+I11</f>
        <v/>
      </c>
    </row>
    <row r="13">
      <c r="A13" s="2" t="inlineStr">
        <is>
          <t>Automotive tax</t>
        </is>
      </c>
      <c r="E13" s="18">
        <f>-E12*DCF!E11</f>
        <v/>
      </c>
      <c r="F13" s="18">
        <f>-F12*DCF!F11</f>
        <v/>
      </c>
      <c r="G13" s="18">
        <f>-G12*DCF!G11</f>
        <v/>
      </c>
      <c r="H13" s="18">
        <f>-H12*DCF!H11</f>
        <v/>
      </c>
      <c r="I13" s="18">
        <f>-I12*DCF!I11</f>
        <v/>
      </c>
    </row>
    <row r="14">
      <c r="A14" s="2" t="inlineStr">
        <is>
          <t>Automotive net profit</t>
        </is>
      </c>
      <c r="E14" s="18">
        <f>E12+E13</f>
        <v/>
      </c>
      <c r="F14" s="18">
        <f>F12+F13</f>
        <v/>
      </c>
      <c r="G14" s="18">
        <f>G12+G13</f>
        <v/>
      </c>
      <c r="H14" s="18">
        <f>H12+H13</f>
        <v/>
      </c>
      <c r="I14" s="18">
        <f>I12+I13</f>
        <v/>
      </c>
    </row>
    <row r="15">
      <c r="A15" s="2" t="inlineStr">
        <is>
          <t>GB Capital net profit (incl associates)</t>
        </is>
      </c>
      <c r="E15" s="18">
        <f>Segments!E35</f>
        <v/>
      </c>
      <c r="F15" s="18">
        <f>Segments!F35</f>
        <v/>
      </c>
      <c r="G15" s="18">
        <f>Segments!G35</f>
        <v/>
      </c>
      <c r="H15" s="18">
        <f>Segments!H35</f>
        <v/>
      </c>
      <c r="I15" s="18">
        <f>Segments!I35</f>
        <v/>
      </c>
    </row>
    <row r="16">
      <c r="A16" s="1" t="inlineStr">
        <is>
          <t>Group net profit (attributable)</t>
        </is>
      </c>
      <c r="B16" s="23" t="n">
        <v>1890.8</v>
      </c>
      <c r="C16" s="23" t="n">
        <v>2928.1</v>
      </c>
      <c r="D16" s="23" t="n">
        <v>2880</v>
      </c>
      <c r="E16" s="19">
        <f>E14+E15</f>
        <v/>
      </c>
      <c r="F16" s="19">
        <f>F14+F15</f>
        <v/>
      </c>
      <c r="G16" s="19">
        <f>G14+G15</f>
        <v/>
      </c>
      <c r="H16" s="19">
        <f>H14+H15</f>
        <v/>
      </c>
      <c r="I16" s="19">
        <f>I14+I15</f>
        <v/>
      </c>
    </row>
    <row r="17">
      <c r="A17" s="2" t="inlineStr">
        <is>
          <t>Earnings per share (EGP)</t>
        </is>
      </c>
      <c r="B17" s="3">
        <f>B16/Assumptions!$B$5</f>
        <v/>
      </c>
      <c r="C17" s="3">
        <f>C16/Assumptions!$B$5</f>
        <v/>
      </c>
      <c r="D17" s="3">
        <f>D16/Assumptions!$B$5</f>
        <v/>
      </c>
      <c r="E17" s="3">
        <f>E16/Assumptions!$B$5</f>
        <v/>
      </c>
      <c r="F17" s="3">
        <f>F16/Assumptions!$B$5</f>
        <v/>
      </c>
      <c r="G17" s="3">
        <f>G16/Assumptions!$B$5</f>
        <v/>
      </c>
      <c r="H17" s="3">
        <f>H16/Assumptions!$B$5</f>
        <v/>
      </c>
      <c r="I17" s="3">
        <f>I16/Assumptions!$B$5</f>
        <v/>
      </c>
    </row>
    <row r="19">
      <c r="A19" s="6" t="inlineStr">
        <is>
          <t>History: the model's FY26E includes the realized half (revenue 48,474.4, attributable profit 1,262.0, earnings per share 1.163 — all disclosed).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2:I16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Condensed balance-sheet model — every roll a formula</t>
        </is>
      </c>
    </row>
    <row r="4">
      <c r="D4" s="7" t="inlineStr">
        <is>
          <t>FY25</t>
        </is>
      </c>
      <c r="E4" s="7" t="inlineStr">
        <is>
          <t>FY26E</t>
        </is>
      </c>
      <c r="F4" s="7" t="inlineStr">
        <is>
          <t>FY27E</t>
        </is>
      </c>
      <c r="G4" s="7" t="inlineStr">
        <is>
          <t>FY28E</t>
        </is>
      </c>
      <c r="H4" s="7" t="inlineStr">
        <is>
          <t>FY29E</t>
        </is>
      </c>
      <c r="I4" s="7" t="inlineStr">
        <is>
          <t>FY30E</t>
        </is>
      </c>
    </row>
    <row r="5">
      <c r="A5" s="2" t="inlineStr">
        <is>
          <t>Automotive working capital</t>
        </is>
      </c>
      <c r="D5" s="5" t="n">
        <v>18917</v>
      </c>
      <c r="E5" s="13">
        <f>DCF!E16</f>
        <v/>
      </c>
      <c r="F5" s="13">
        <f>DCF!F16</f>
        <v/>
      </c>
      <c r="G5" s="13">
        <f>DCF!G16</f>
        <v/>
      </c>
      <c r="H5" s="13">
        <f>DCF!H16</f>
        <v/>
      </c>
      <c r="I5" s="13">
        <f>DCF!I16</f>
        <v/>
      </c>
    </row>
    <row r="6">
      <c r="A6" s="2" t="inlineStr">
        <is>
          <t>Net PP&amp;E and intangibles (roll: + capex − D&amp;A)</t>
        </is>
      </c>
      <c r="D6" s="5" t="n">
        <v>13389.1</v>
      </c>
      <c r="E6" s="13">
        <f>D6-DCF!E15-DCF!E13</f>
        <v/>
      </c>
      <c r="F6" s="13">
        <f>E6-DCF!F15-DCF!F13</f>
        <v/>
      </c>
      <c r="G6" s="13">
        <f>F6-DCF!G15-DCF!G13</f>
        <v/>
      </c>
      <c r="H6" s="13">
        <f>G6-DCF!H15-DCF!H13</f>
        <v/>
      </c>
      <c r="I6" s="13">
        <f>H6-DCF!I15-DCF!I13</f>
        <v/>
      </c>
    </row>
    <row r="7">
      <c r="A7" s="2" t="inlineStr">
        <is>
          <t>Investments in associates (roll: + equity pickup)</t>
        </is>
      </c>
      <c r="D7" s="5" t="n">
        <v>15732.4</v>
      </c>
      <c r="E7" s="13">
        <f>D7+Assumptions!E$55</f>
        <v/>
      </c>
      <c r="F7" s="13">
        <f>E7+Assumptions!F$55</f>
        <v/>
      </c>
      <c r="G7" s="13">
        <f>F7+Assumptions!G$55</f>
        <v/>
      </c>
      <c r="H7" s="13">
        <f>G7+Assumptions!H$55</f>
        <v/>
      </c>
      <c r="I7" s="13">
        <f>H7+Assumptions!I$55</f>
        <v/>
      </c>
    </row>
    <row r="8">
      <c r="A8" s="2" t="inlineStr">
        <is>
          <t>GB Capital operating net assets (held)</t>
        </is>
      </c>
      <c r="E8" s="13">
        <f>Assumptions!$B$106</f>
        <v/>
      </c>
      <c r="F8" s="13">
        <f>Assumptions!$B$106</f>
        <v/>
      </c>
      <c r="G8" s="13">
        <f>Assumptions!$B$106</f>
        <v/>
      </c>
      <c r="H8" s="13">
        <f>Assumptions!$B$106</f>
        <v/>
      </c>
      <c r="I8" s="13">
        <f>Assumptions!$B$106</f>
        <v/>
      </c>
    </row>
    <row r="10">
      <c r="A10" s="1" t="inlineStr">
        <is>
          <t>Automotive net debt (cash-sweep roll)</t>
        </is>
      </c>
      <c r="D10" s="23" t="n">
        <v>14493.6</v>
      </c>
      <c r="E10" s="13">
        <f>D10-(DCF!E18+'Income Statement'!E11*(1-DCF!E11)-E12*Assumptions!$B$62)</f>
        <v/>
      </c>
      <c r="F10" s="13">
        <f>E10-(DCF!F18+'Income Statement'!F11*(1-DCF!F11)-F12*Assumptions!$B$62)</f>
        <v/>
      </c>
      <c r="G10" s="13">
        <f>F10-(DCF!G18+'Income Statement'!G11*(1-DCF!G11)-G12*Assumptions!$B$62)</f>
        <v/>
      </c>
      <c r="H10" s="13">
        <f>G10-(DCF!H18+'Income Statement'!H11*(1-DCF!H11)-H12*Assumptions!$B$62)</f>
        <v/>
      </c>
      <c r="I10" s="13">
        <f>H10-(DCF!I18+'Income Statement'!I11*(1-DCF!I11)-I12*Assumptions!$B$62)</f>
        <v/>
      </c>
    </row>
    <row r="11">
      <c r="A11" s="1" t="inlineStr">
        <is>
          <t>Parent equity (roll: + profit − dividend)</t>
        </is>
      </c>
      <c r="D11" s="23" t="n">
        <v>33454.268</v>
      </c>
      <c r="E11" s="13">
        <f>D11+'Income Statement'!E16-E12</f>
        <v/>
      </c>
      <c r="F11" s="13">
        <f>E11+'Income Statement'!F16-F12</f>
        <v/>
      </c>
      <c r="G11" s="13">
        <f>F11+'Income Statement'!G16-G12</f>
        <v/>
      </c>
      <c r="H11" s="13">
        <f>G11+'Income Statement'!H16-H12</f>
        <v/>
      </c>
      <c r="I11" s="13">
        <f>H11+'Income Statement'!I16-I12</f>
        <v/>
      </c>
    </row>
    <row r="12">
      <c r="A12" s="2" t="inlineStr">
        <is>
          <t>Dividends paid</t>
        </is>
      </c>
      <c r="E12" s="13">
        <f>Assumptions!$B$61*Assumptions!$B$5</f>
        <v/>
      </c>
      <c r="F12" s="13">
        <f>Assumptions!$B$61*Assumptions!$B$5</f>
        <v/>
      </c>
      <c r="G12" s="13">
        <f>Assumptions!$B$61*Assumptions!$B$5</f>
        <v/>
      </c>
      <c r="H12" s="13">
        <f>Assumptions!$B$61*Assumptions!$B$5</f>
        <v/>
      </c>
      <c r="I12" s="13">
        <f>Assumptions!$B$61*Assumptions!$B$5</f>
        <v/>
      </c>
    </row>
    <row r="14">
      <c r="A14" s="6" t="inlineStr">
        <is>
          <t>The D column carries the disclosed anchors: FY25 restated associates (15,732.4 after the +2,460.2 restatement) and the 30-Jun-26 net debt / parent equity. Conversion cycle measured at 30-Jun-26: 122 days inventory, 27 receivables, 82 payables — the working-capital ratio path projects that cycle.</t>
        </is>
      </c>
    </row>
    <row r="16">
      <c r="A16" s="2" t="inlineStr">
        <is>
          <t>Book value per share</t>
        </is>
      </c>
      <c r="E16" s="3">
        <f>E11/Assumptions!$B$5</f>
        <v/>
      </c>
      <c r="F16" s="3">
        <f>F11/Assumptions!$B$5</f>
        <v/>
      </c>
      <c r="G16" s="3">
        <f>G11/Assumptions!$B$5</f>
        <v/>
      </c>
      <c r="H16" s="3">
        <f>H11/Assumptions!$B$5</f>
        <v/>
      </c>
      <c r="I16" s="3">
        <f>I11/Assumptions!$B$5</f>
        <v/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2:I11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Condensed group cash-flow model</t>
        </is>
      </c>
    </row>
    <row r="4">
      <c r="E4" s="7" t="inlineStr">
        <is>
          <t>FY26E</t>
        </is>
      </c>
      <c r="F4" s="7" t="inlineStr">
        <is>
          <t>FY27E</t>
        </is>
      </c>
      <c r="G4" s="7" t="inlineStr">
        <is>
          <t>FY28E</t>
        </is>
      </c>
      <c r="H4" s="7" t="inlineStr">
        <is>
          <t>FY29E</t>
        </is>
      </c>
      <c r="I4" s="7" t="inlineStr">
        <is>
          <t>FY30E</t>
        </is>
      </c>
    </row>
    <row r="5">
      <c r="A5" s="2" t="inlineStr">
        <is>
          <t>Group net profit</t>
        </is>
      </c>
      <c r="E5" s="13">
        <f>'Income Statement'!E16</f>
        <v/>
      </c>
      <c r="F5" s="13">
        <f>'Income Statement'!F16</f>
        <v/>
      </c>
      <c r="G5" s="13">
        <f>'Income Statement'!G16</f>
        <v/>
      </c>
      <c r="H5" s="13">
        <f>'Income Statement'!H16</f>
        <v/>
      </c>
      <c r="I5" s="13">
        <f>'Income Statement'!I16</f>
        <v/>
      </c>
    </row>
    <row r="6">
      <c r="A6" s="2" t="inlineStr">
        <is>
          <t>Depreciation &amp; amortisation</t>
        </is>
      </c>
      <c r="E6" s="13">
        <f>DCF!E13</f>
        <v/>
      </c>
      <c r="F6" s="13">
        <f>DCF!F13</f>
        <v/>
      </c>
      <c r="G6" s="13">
        <f>DCF!G13</f>
        <v/>
      </c>
      <c r="H6" s="13">
        <f>DCF!H13</f>
        <v/>
      </c>
      <c r="I6" s="13">
        <f>DCF!I13</f>
        <v/>
      </c>
    </row>
    <row r="7">
      <c r="A7" s="2" t="inlineStr">
        <is>
          <t>Change in working capital</t>
        </is>
      </c>
      <c r="E7" s="13">
        <f>-DCF!E17</f>
        <v/>
      </c>
      <c r="F7" s="13">
        <f>-DCF!F17</f>
        <v/>
      </c>
      <c r="G7" s="13">
        <f>-DCF!G17</f>
        <v/>
      </c>
      <c r="H7" s="13">
        <f>-DCF!H17</f>
        <v/>
      </c>
      <c r="I7" s="13">
        <f>-DCF!I17</f>
        <v/>
      </c>
    </row>
    <row r="8">
      <c r="A8" s="2" t="inlineStr">
        <is>
          <t>Capital expenditure</t>
        </is>
      </c>
      <c r="E8" s="13">
        <f>DCF!E15</f>
        <v/>
      </c>
      <c r="F8" s="13">
        <f>DCF!F15</f>
        <v/>
      </c>
      <c r="G8" s="13">
        <f>DCF!G15</f>
        <v/>
      </c>
      <c r="H8" s="13">
        <f>DCF!H15</f>
        <v/>
      </c>
      <c r="I8" s="13">
        <f>DCF!I15</f>
        <v/>
      </c>
    </row>
    <row r="9">
      <c r="A9" s="2" t="inlineStr">
        <is>
          <t>Dividends paid</t>
        </is>
      </c>
      <c r="E9" s="13">
        <f>-'Balance Sheet'!E12</f>
        <v/>
      </c>
      <c r="F9" s="13">
        <f>-'Balance Sheet'!F12</f>
        <v/>
      </c>
      <c r="G9" s="13">
        <f>-'Balance Sheet'!G12</f>
        <v/>
      </c>
      <c r="H9" s="13">
        <f>-'Balance Sheet'!H12</f>
        <v/>
      </c>
      <c r="I9" s="13">
        <f>-'Balance Sheet'!I12</f>
        <v/>
      </c>
    </row>
    <row r="10">
      <c r="A10" s="1" t="inlineStr">
        <is>
          <t>Cash flow after dividends</t>
        </is>
      </c>
      <c r="E10" s="22">
        <f>SUM(E5:E9)</f>
        <v/>
      </c>
      <c r="F10" s="22">
        <f>SUM(F5:F9)</f>
        <v/>
      </c>
      <c r="G10" s="22">
        <f>SUM(G5:G9)</f>
        <v/>
      </c>
      <c r="H10" s="22">
        <f>SUM(H5:H9)</f>
        <v/>
      </c>
      <c r="I10" s="22">
        <f>SUM(I5:I9)</f>
        <v/>
      </c>
    </row>
    <row r="11">
      <c r="A11" s="2" t="inlineStr">
        <is>
          <t>Change in automotive net debt (sweep)</t>
        </is>
      </c>
      <c r="E11" s="13">
        <f>'Balance Sheet'!E10-Assumptions!$B$71</f>
        <v/>
      </c>
      <c r="F11" s="13">
        <f>'Balance Sheet'!F10-'Balance Sheet'!E10</f>
        <v/>
      </c>
      <c r="G11" s="13">
        <f>'Balance Sheet'!G10-'Balance Sheet'!F10</f>
        <v/>
      </c>
      <c r="H11" s="13">
        <f>'Balance Sheet'!H10-'Balance Sheet'!G10</f>
        <v/>
      </c>
      <c r="I11" s="13">
        <f>'Balance Sheet'!I10-'Balance Sheet'!H10</f>
        <v/>
      </c>
    </row>
  </sheetData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2:I8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2">
      <c r="B2" s="1" t="inlineStr">
        <is>
          <t>Summary financials (links)</t>
        </is>
      </c>
    </row>
    <row r="4">
      <c r="B4" s="7" t="inlineStr">
        <is>
          <t>FY23</t>
        </is>
      </c>
      <c r="C4" s="7" t="inlineStr">
        <is>
          <t>FY24</t>
        </is>
      </c>
      <c r="D4" s="7" t="inlineStr">
        <is>
          <t>FY25</t>
        </is>
      </c>
      <c r="E4" s="7" t="inlineStr">
        <is>
          <t>FY26E</t>
        </is>
      </c>
      <c r="F4" s="7" t="inlineStr">
        <is>
          <t>FY27E</t>
        </is>
      </c>
      <c r="G4" s="7" t="inlineStr">
        <is>
          <t>FY28E</t>
        </is>
      </c>
      <c r="H4" s="7" t="inlineStr">
        <is>
          <t>FY29E</t>
        </is>
      </c>
      <c r="I4" s="7" t="inlineStr">
        <is>
          <t>FY30E</t>
        </is>
      </c>
    </row>
    <row r="5">
      <c r="A5" s="2" t="inlineStr">
        <is>
          <t>Group revenue</t>
        </is>
      </c>
      <c r="B5" s="13">
        <f>'Income Statement'!B8</f>
        <v/>
      </c>
      <c r="C5" s="13">
        <f>'Income Statement'!C8</f>
        <v/>
      </c>
      <c r="D5" s="13">
        <f>'Income Statement'!D8</f>
        <v/>
      </c>
      <c r="E5" s="13">
        <f>'Income Statement'!E8</f>
        <v/>
      </c>
      <c r="F5" s="13">
        <f>'Income Statement'!F8</f>
        <v/>
      </c>
      <c r="G5" s="13">
        <f>'Income Statement'!G8</f>
        <v/>
      </c>
      <c r="H5" s="13">
        <f>'Income Statement'!H8</f>
        <v/>
      </c>
      <c r="I5" s="13">
        <f>'Income Statement'!I8</f>
        <v/>
      </c>
    </row>
    <row r="6">
      <c r="A6" s="2" t="inlineStr">
        <is>
          <t>Automotive EBITDA</t>
        </is>
      </c>
      <c r="B6" s="5" t="n">
        <v>3794.6</v>
      </c>
      <c r="C6" s="5" t="n">
        <v>5880.5</v>
      </c>
      <c r="D6" s="5" t="n">
        <v>6363.3</v>
      </c>
      <c r="E6" s="13">
        <f>DCF!E14</f>
        <v/>
      </c>
      <c r="F6" s="13">
        <f>DCF!F14</f>
        <v/>
      </c>
      <c r="G6" s="13">
        <f>DCF!G14</f>
        <v/>
      </c>
      <c r="H6" s="13">
        <f>DCF!H14</f>
        <v/>
      </c>
      <c r="I6" s="13">
        <f>DCF!I14</f>
        <v/>
      </c>
    </row>
    <row r="7">
      <c r="A7" s="2" t="inlineStr">
        <is>
          <t>Group net profit (attributable)</t>
        </is>
      </c>
      <c r="B7" s="13">
        <f>'Income Statement'!B16</f>
        <v/>
      </c>
      <c r="C7" s="13">
        <f>'Income Statement'!C16</f>
        <v/>
      </c>
      <c r="D7" s="13">
        <f>'Income Statement'!D16</f>
        <v/>
      </c>
      <c r="E7" s="13">
        <f>'Income Statement'!E16</f>
        <v/>
      </c>
      <c r="F7" s="13">
        <f>'Income Statement'!F16</f>
        <v/>
      </c>
      <c r="G7" s="13">
        <f>'Income Statement'!G16</f>
        <v/>
      </c>
      <c r="H7" s="13">
        <f>'Income Statement'!H16</f>
        <v/>
      </c>
      <c r="I7" s="13">
        <f>'Income Statement'!I16</f>
        <v/>
      </c>
    </row>
    <row r="8">
      <c r="A8" s="2" t="inlineStr">
        <is>
          <t>Earnings per share (EGP)</t>
        </is>
      </c>
      <c r="B8" s="3">
        <f>'Income Statement'!B17</f>
        <v/>
      </c>
      <c r="C8" s="3">
        <f>'Income Statement'!C17</f>
        <v/>
      </c>
      <c r="D8" s="3">
        <f>'Income Statement'!D17</f>
        <v/>
      </c>
      <c r="E8" s="3">
        <f>'Income Statement'!E17</f>
        <v/>
      </c>
      <c r="F8" s="3">
        <f>'Income Statement'!F17</f>
        <v/>
      </c>
      <c r="G8" s="3">
        <f>'Income Statement'!G17</f>
        <v/>
      </c>
      <c r="H8" s="3">
        <f>'Income Statement'!H17</f>
        <v/>
      </c>
      <c r="I8" s="3">
        <f>'Income Statement'!I17</f>
        <v/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2:G18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2">
      <c r="B2" s="1" t="inlineStr">
        <is>
          <t>Published price-probability map — reproduced unchanged from the live page</t>
        </is>
      </c>
    </row>
    <row r="4">
      <c r="A4" s="6" t="inlineStr">
        <is>
          <t>A copy, not a computation: struck on the closing library of 2026-07-22, computed 2026-07-28, anchored at the 31.31 close. This refresh changes the fundamental range only; the map was NOT re-struck and its 1-month window resolves 2026-08-23. A fresh price data-set re-strikes it on its own clock.</t>
        </is>
      </c>
    </row>
    <row r="6">
      <c r="A6" s="7" t="inlineStr">
        <is>
          <t>Horizon</t>
        </is>
      </c>
      <c r="C6" s="7" t="inlineStr">
        <is>
          <t>5th</t>
        </is>
      </c>
      <c r="D6" s="7" t="inlineStr">
        <is>
          <t>25th</t>
        </is>
      </c>
      <c r="E6" s="7" t="inlineStr">
        <is>
          <t>median</t>
        </is>
      </c>
      <c r="F6" s="7" t="inlineStr">
        <is>
          <t>75th</t>
        </is>
      </c>
      <c r="G6" s="7" t="inlineStr">
        <is>
          <t>95th</t>
        </is>
      </c>
    </row>
    <row r="7">
      <c r="A7" s="2" t="inlineStr">
        <is>
          <t>1 month (resolves 23-Aug-26)</t>
        </is>
      </c>
      <c r="C7" s="9" t="n">
        <v>25.55</v>
      </c>
      <c r="D7" s="9" t="n">
        <v>29.31</v>
      </c>
      <c r="E7" s="9" t="n">
        <v>31.78</v>
      </c>
      <c r="F7" s="9" t="n">
        <v>34.47</v>
      </c>
      <c r="G7" s="9" t="n">
        <v>39.54</v>
      </c>
    </row>
    <row r="8">
      <c r="A8" s="2" t="inlineStr">
        <is>
          <t>3 months (resolves 22-Oct-26)</t>
        </is>
      </c>
      <c r="C8" s="9" t="n">
        <v>22.08</v>
      </c>
      <c r="D8" s="9" t="n">
        <v>28.34</v>
      </c>
      <c r="E8" s="9" t="n">
        <v>32.8</v>
      </c>
      <c r="F8" s="9" t="n">
        <v>37.86</v>
      </c>
      <c r="G8" s="9" t="n">
        <v>48.54</v>
      </c>
    </row>
    <row r="10">
      <c r="A10" s="2" t="inlineStr">
        <is>
          <t>Touch ladder (level, probability within 1 month / 3 months, %)</t>
        </is>
      </c>
    </row>
    <row r="11">
      <c r="B11" s="9" t="n">
        <v>40</v>
      </c>
      <c r="C11" s="26" t="n">
        <v>7</v>
      </c>
      <c r="D11" s="26" t="n">
        <v>30</v>
      </c>
    </row>
    <row r="12">
      <c r="B12" s="9" t="n">
        <v>38</v>
      </c>
      <c r="C12" s="26" t="n">
        <v>13</v>
      </c>
      <c r="D12" s="26" t="n">
        <v>40</v>
      </c>
    </row>
    <row r="13">
      <c r="B13" s="9" t="n">
        <v>36</v>
      </c>
      <c r="C13" s="26" t="n">
        <v>25</v>
      </c>
      <c r="D13" s="26" t="n">
        <v>54</v>
      </c>
    </row>
    <row r="14">
      <c r="B14" s="9" t="n">
        <v>34</v>
      </c>
      <c r="C14" s="26" t="n">
        <v>46</v>
      </c>
      <c r="D14" s="26" t="n">
        <v>71</v>
      </c>
    </row>
    <row r="15">
      <c r="B15" s="9" t="n">
        <v>32</v>
      </c>
      <c r="C15" s="26" t="n">
        <v>78</v>
      </c>
      <c r="D15" s="26" t="n">
        <v>89</v>
      </c>
    </row>
    <row r="16">
      <c r="B16" s="9" t="n">
        <v>30</v>
      </c>
      <c r="C16" s="26" t="n">
        <v>59</v>
      </c>
      <c r="D16" s="26" t="n">
        <v>73</v>
      </c>
    </row>
    <row r="17">
      <c r="B17" s="9" t="n">
        <v>28</v>
      </c>
      <c r="C17" s="26" t="n">
        <v>27</v>
      </c>
      <c r="D17" s="26" t="n">
        <v>48</v>
      </c>
    </row>
    <row r="18">
      <c r="B18" s="9" t="n">
        <v>26</v>
      </c>
      <c r="C18" s="26" t="n">
        <v>11</v>
      </c>
      <c r="D18" s="26" t="n">
        <v>30</v>
      </c>
    </row>
  </sheetData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2:G2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6" customWidth="1" min="4" max="4"/>
    <col width="10" customWidth="1" min="5" max="5"/>
    <col width="10" customWidth="1" min="6" max="6"/>
    <col width="10" customWidth="1" min="7" max="7"/>
  </cols>
  <sheetData>
    <row r="2">
      <c r="B2" s="1" t="inlineStr">
        <is>
          <t>Live sensitivities — every cell a formula</t>
        </is>
      </c>
    </row>
    <row r="4">
      <c r="A4" s="7" t="inlineStr">
        <is>
          <t>Sum of the parts per share: stake mark x holding discount</t>
        </is>
      </c>
    </row>
    <row r="5">
      <c r="C5" s="27" t="n">
        <v>0</v>
      </c>
      <c r="D5" s="27" t="n">
        <v>0.05</v>
      </c>
      <c r="E5" s="27" t="n">
        <v>0.1</v>
      </c>
      <c r="F5" s="27" t="n">
        <v>0.15</v>
      </c>
      <c r="G5" s="27" t="n">
        <v>0.2</v>
      </c>
    </row>
    <row r="6">
      <c r="B6" s="27" t="n">
        <v>0.5</v>
      </c>
      <c r="C6" s="24">
        <f>(DCF!$B$42+Assumptions!$B$106+Assumptions!$B$107*$B6+Assumptions!$B$82+Assumptions!$B$83)*(1-C$5)/Assumptions!$B$5</f>
        <v/>
      </c>
      <c r="D6" s="24">
        <f>(DCF!$B$42+Assumptions!$B$106+Assumptions!$B$107*$B6+Assumptions!$B$82+Assumptions!$B$83)*(1-D$5)/Assumptions!$B$5</f>
        <v/>
      </c>
      <c r="E6" s="24">
        <f>(DCF!$B$42+Assumptions!$B$106+Assumptions!$B$107*$B6+Assumptions!$B$82+Assumptions!$B$83)*(1-E$5)/Assumptions!$B$5</f>
        <v/>
      </c>
      <c r="F6" s="24">
        <f>(DCF!$B$42+Assumptions!$B$106+Assumptions!$B$107*$B6+Assumptions!$B$82+Assumptions!$B$83)*(1-F$5)/Assumptions!$B$5</f>
        <v/>
      </c>
      <c r="G6" s="24">
        <f>(DCF!$B$42+Assumptions!$B$106+Assumptions!$B$107*$B6+Assumptions!$B$82+Assumptions!$B$83)*(1-G$5)/Assumptions!$B$5</f>
        <v/>
      </c>
    </row>
    <row r="7">
      <c r="B7" s="27" t="n">
        <v>0.625</v>
      </c>
      <c r="C7" s="24">
        <f>(DCF!$B$42+Assumptions!$B$106+Assumptions!$B$107*$B7+Assumptions!$B$82+Assumptions!$B$83)*(1-C$5)/Assumptions!$B$5</f>
        <v/>
      </c>
      <c r="D7" s="24">
        <f>(DCF!$B$42+Assumptions!$B$106+Assumptions!$B$107*$B7+Assumptions!$B$82+Assumptions!$B$83)*(1-D$5)/Assumptions!$B$5</f>
        <v/>
      </c>
      <c r="E7" s="24">
        <f>(DCF!$B$42+Assumptions!$B$106+Assumptions!$B$107*$B7+Assumptions!$B$82+Assumptions!$B$83)*(1-E$5)/Assumptions!$B$5</f>
        <v/>
      </c>
      <c r="F7" s="24">
        <f>(DCF!$B$42+Assumptions!$B$106+Assumptions!$B$107*$B7+Assumptions!$B$82+Assumptions!$B$83)*(1-F$5)/Assumptions!$B$5</f>
        <v/>
      </c>
      <c r="G7" s="24">
        <f>(DCF!$B$42+Assumptions!$B$106+Assumptions!$B$107*$B7+Assumptions!$B$82+Assumptions!$B$83)*(1-G$5)/Assumptions!$B$5</f>
        <v/>
      </c>
    </row>
    <row r="8">
      <c r="B8" s="27" t="n">
        <v>0.75</v>
      </c>
      <c r="C8" s="24">
        <f>(DCF!$B$42+Assumptions!$B$106+Assumptions!$B$107*$B8+Assumptions!$B$82+Assumptions!$B$83)*(1-C$5)/Assumptions!$B$5</f>
        <v/>
      </c>
      <c r="D8" s="24">
        <f>(DCF!$B$42+Assumptions!$B$106+Assumptions!$B$107*$B8+Assumptions!$B$82+Assumptions!$B$83)*(1-D$5)/Assumptions!$B$5</f>
        <v/>
      </c>
      <c r="E8" s="24">
        <f>(DCF!$B$42+Assumptions!$B$106+Assumptions!$B$107*$B8+Assumptions!$B$82+Assumptions!$B$83)*(1-E$5)/Assumptions!$B$5</f>
        <v/>
      </c>
      <c r="F8" s="24">
        <f>(DCF!$B$42+Assumptions!$B$106+Assumptions!$B$107*$B8+Assumptions!$B$82+Assumptions!$B$83)*(1-F$5)/Assumptions!$B$5</f>
        <v/>
      </c>
      <c r="G8" s="24">
        <f>(DCF!$B$42+Assumptions!$B$106+Assumptions!$B$107*$B8+Assumptions!$B$82+Assumptions!$B$83)*(1-G$5)/Assumptions!$B$5</f>
        <v/>
      </c>
    </row>
    <row r="9">
      <c r="B9" s="27" t="n">
        <v>0.875</v>
      </c>
      <c r="C9" s="24">
        <f>(DCF!$B$42+Assumptions!$B$106+Assumptions!$B$107*$B9+Assumptions!$B$82+Assumptions!$B$83)*(1-C$5)/Assumptions!$B$5</f>
        <v/>
      </c>
      <c r="D9" s="24">
        <f>(DCF!$B$42+Assumptions!$B$106+Assumptions!$B$107*$B9+Assumptions!$B$82+Assumptions!$B$83)*(1-D$5)/Assumptions!$B$5</f>
        <v/>
      </c>
      <c r="E9" s="24">
        <f>(DCF!$B$42+Assumptions!$B$106+Assumptions!$B$107*$B9+Assumptions!$B$82+Assumptions!$B$83)*(1-E$5)/Assumptions!$B$5</f>
        <v/>
      </c>
      <c r="F9" s="24">
        <f>(DCF!$B$42+Assumptions!$B$106+Assumptions!$B$107*$B9+Assumptions!$B$82+Assumptions!$B$83)*(1-F$5)/Assumptions!$B$5</f>
        <v/>
      </c>
      <c r="G9" s="24">
        <f>(DCF!$B$42+Assumptions!$B$106+Assumptions!$B$107*$B9+Assumptions!$B$82+Assumptions!$B$83)*(1-G$5)/Assumptions!$B$5</f>
        <v/>
      </c>
    </row>
    <row r="10">
      <c r="B10" s="27" t="n">
        <v>1</v>
      </c>
      <c r="C10" s="24">
        <f>(DCF!$B$42+Assumptions!$B$106+Assumptions!$B$107*$B10+Assumptions!$B$82+Assumptions!$B$83)*(1-C$5)/Assumptions!$B$5</f>
        <v/>
      </c>
      <c r="D10" s="24">
        <f>(DCF!$B$42+Assumptions!$B$106+Assumptions!$B$107*$B10+Assumptions!$B$82+Assumptions!$B$83)*(1-D$5)/Assumptions!$B$5</f>
        <v/>
      </c>
      <c r="E10" s="24">
        <f>(DCF!$B$42+Assumptions!$B$106+Assumptions!$B$107*$B10+Assumptions!$B$82+Assumptions!$B$83)*(1-E$5)/Assumptions!$B$5</f>
        <v/>
      </c>
      <c r="F10" s="24">
        <f>(DCF!$B$42+Assumptions!$B$106+Assumptions!$B$107*$B10+Assumptions!$B$82+Assumptions!$B$83)*(1-F$5)/Assumptions!$B$5</f>
        <v/>
      </c>
      <c r="G10" s="24">
        <f>(DCF!$B$42+Assumptions!$B$106+Assumptions!$B$107*$B10+Assumptions!$B$82+Assumptions!$B$83)*(1-G$5)/Assumptions!$B$5</f>
        <v/>
      </c>
    </row>
    <row r="12">
      <c r="A12" s="7" t="inlineStr">
        <is>
          <t>The crux as a ladder: the second close, priced through the whole synthesis</t>
        </is>
      </c>
    </row>
    <row r="13">
      <c r="A13" s="7" t="inlineStr">
        <is>
          <t>Round valuation (USD mn)</t>
        </is>
      </c>
      <c r="B13" s="7" t="inlineStr">
        <is>
          <t>Stake value (EGP mn)</t>
        </is>
      </c>
      <c r="C13" s="7" t="inlineStr">
        <is>
          <t>Sum of the parts / share</t>
        </is>
      </c>
      <c r="D13" s="7" t="inlineStr">
        <is>
          <t>Weighted central / share</t>
        </is>
      </c>
    </row>
    <row r="14">
      <c r="A14" s="16" t="n">
        <v>1000</v>
      </c>
      <c r="B14" s="13">
        <f>Assumptions!$B$79*A14*Assumptions!$B$81</f>
        <v/>
      </c>
      <c r="C14" s="3">
        <f>(DCF!$B$42+Assumptions!$B$106+B14+Assumptions!$B$82+Assumptions!$B$83)*(1-Assumptions!$B$84)/Assumptions!$B$5</f>
        <v/>
      </c>
      <c r="D14" s="3">
        <f>'Fundamental Valuation'!C5*C14+'Fundamental Valuation'!C7*'Fundamental Valuation'!B7+'Fundamental Valuation'!C8*'Fundamental Valuation'!B8+'Fundamental Valuation'!C9*'Fundamental Valuation'!B9</f>
        <v/>
      </c>
    </row>
    <row r="15">
      <c r="A15" s="16" t="n">
        <v>1200</v>
      </c>
      <c r="B15" s="13">
        <f>Assumptions!$B$79*A15*Assumptions!$B$81</f>
        <v/>
      </c>
      <c r="C15" s="3">
        <f>(DCF!$B$42+Assumptions!$B$106+B15+Assumptions!$B$82+Assumptions!$B$83)*(1-Assumptions!$B$84)/Assumptions!$B$5</f>
        <v/>
      </c>
      <c r="D15" s="3">
        <f>'Fundamental Valuation'!C5*C15+'Fundamental Valuation'!C7*'Fundamental Valuation'!B7+'Fundamental Valuation'!C8*'Fundamental Valuation'!B8+'Fundamental Valuation'!C9*'Fundamental Valuation'!B9</f>
        <v/>
      </c>
    </row>
    <row r="16">
      <c r="A16" s="16" t="n">
        <v>1400</v>
      </c>
      <c r="B16" s="13">
        <f>Assumptions!$B$79*A16*Assumptions!$B$81</f>
        <v/>
      </c>
      <c r="C16" s="3">
        <f>(DCF!$B$42+Assumptions!$B$106+B16+Assumptions!$B$82+Assumptions!$B$83)*(1-Assumptions!$B$84)/Assumptions!$B$5</f>
        <v/>
      </c>
      <c r="D16" s="3">
        <f>'Fundamental Valuation'!C5*C16+'Fundamental Valuation'!C7*'Fundamental Valuation'!B7+'Fundamental Valuation'!C8*'Fundamental Valuation'!B8+'Fundamental Valuation'!C9*'Fundamental Valuation'!B9</f>
        <v/>
      </c>
    </row>
    <row r="17">
      <c r="A17" s="16" t="n">
        <v>1600</v>
      </c>
      <c r="B17" s="13">
        <f>Assumptions!$B$79*A17*Assumptions!$B$81</f>
        <v/>
      </c>
      <c r="C17" s="3">
        <f>(DCF!$B$42+Assumptions!$B$106+B17+Assumptions!$B$82+Assumptions!$B$83)*(1-Assumptions!$B$84)/Assumptions!$B$5</f>
        <v/>
      </c>
      <c r="D17" s="3">
        <f>'Fundamental Valuation'!C5*C17+'Fundamental Valuation'!C7*'Fundamental Valuation'!B7+'Fundamental Valuation'!C8*'Fundamental Valuation'!B8+'Fundamental Valuation'!C9*'Fundamental Valuation'!B9</f>
        <v/>
      </c>
    </row>
    <row r="18">
      <c r="A18" s="2" t="inlineStr">
        <is>
          <t>the balance-sheet carrying instead</t>
        </is>
      </c>
      <c r="B18" s="13">
        <f>Assumptions!$B$78</f>
        <v/>
      </c>
      <c r="C18" s="3">
        <f>'SOTP Bridge'!C13</f>
        <v/>
      </c>
      <c r="D18" s="3">
        <f>'Fundamental Valuation'!B12</f>
        <v/>
      </c>
    </row>
    <row r="20">
      <c r="A20" s="7" t="inlineStr">
        <is>
          <t>Terminal-value construction (the disciplined base vs the alternatives)</t>
        </is>
      </c>
    </row>
    <row r="21">
      <c r="A21" s="7" t="inlineStr">
        <is>
          <t>Terminal return on capital</t>
        </is>
      </c>
      <c r="B21" s="7" t="inlineStr">
        <is>
          <t>Automotive equity (EGP mn)</t>
        </is>
      </c>
      <c r="C21" s="7" t="inlineStr">
        <is>
          <t>Per share</t>
        </is>
      </c>
    </row>
    <row r="22">
      <c r="A22" s="10" t="n">
        <v>0.15</v>
      </c>
      <c r="B22" s="13">
        <f>DCF!B34+DCF!I12*(1+Assumptions!$B$9)*(1-Assumptions!$B$9/A22)/(Assumptions!$B$30-Assumptions!$B$9)*DCF!I31-Assumptions!$B$71-Assumptions!$B$72</f>
        <v/>
      </c>
      <c r="C22" s="3">
        <f>B22/Assumptions!$B$5</f>
        <v/>
      </c>
    </row>
    <row r="23">
      <c r="A23" s="10" t="n">
        <v>0.2</v>
      </c>
      <c r="B23" s="13">
        <f>DCF!B34+DCF!I12*(1+Assumptions!$B$9)*(1-Assumptions!$B$9/A23)/(Assumptions!$B$30-Assumptions!$B$9)*DCF!I31-Assumptions!$B$71-Assumptions!$B$72</f>
        <v/>
      </c>
      <c r="C23" s="3">
        <f>B23/Assumptions!$B$5</f>
        <v/>
      </c>
    </row>
    <row r="24">
      <c r="A24" s="10" t="n">
        <v>0.225</v>
      </c>
      <c r="B24" s="13">
        <f>DCF!B34+DCF!I12*(1+Assumptions!$B$9)*(1-Assumptions!$B$9/A24)/(Assumptions!$B$30-Assumptions!$B$9)*DCF!I31-Assumptions!$B$71-Assumptions!$B$72</f>
        <v/>
      </c>
      <c r="C24" s="3">
        <f>B24/Assumptions!$B$5</f>
        <v/>
      </c>
    </row>
    <row r="25">
      <c r="A25" s="10" t="n">
        <v>0.25</v>
      </c>
      <c r="B25" s="13">
        <f>DCF!B34+DCF!I12*(1+Assumptions!$B$9)*(1-Assumptions!$B$9/A25)/(Assumptions!$B$30-Assumptions!$B$9)*DCF!I31-Assumptions!$B$71-Assumptions!$B$72</f>
        <v/>
      </c>
      <c r="C25" s="3">
        <f>B25/Assumptions!$B$5</f>
        <v/>
      </c>
    </row>
    <row r="26">
      <c r="A26" s="2" t="inlineStr">
        <is>
          <t>July construction (Gordon on year-five cash flow)</t>
        </is>
      </c>
      <c r="B26" s="13">
        <f>DCF!B45</f>
        <v/>
      </c>
      <c r="C26" s="3">
        <f>B26/Assumptions!$B$5</f>
        <v/>
      </c>
    </row>
  </sheetData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I11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2">
      <c r="B2" s="1" t="inlineStr">
        <is>
          <t>Per-share values and ratios</t>
        </is>
      </c>
    </row>
    <row r="4">
      <c r="E4" s="7" t="inlineStr">
        <is>
          <t>FY26E</t>
        </is>
      </c>
      <c r="F4" s="7" t="inlineStr">
        <is>
          <t>FY27E</t>
        </is>
      </c>
      <c r="G4" s="7" t="inlineStr">
        <is>
          <t>FY28E</t>
        </is>
      </c>
      <c r="H4" s="7" t="inlineStr">
        <is>
          <t>FY29E</t>
        </is>
      </c>
      <c r="I4" s="7" t="inlineStr">
        <is>
          <t>FY30E</t>
        </is>
      </c>
    </row>
    <row r="5">
      <c r="A5" s="2" t="inlineStr">
        <is>
          <t>Earnings per share</t>
        </is>
      </c>
      <c r="E5" s="3">
        <f>'Income Statement'!E17</f>
        <v/>
      </c>
      <c r="F5" s="3">
        <f>'Income Statement'!F17</f>
        <v/>
      </c>
      <c r="G5" s="3">
        <f>'Income Statement'!G17</f>
        <v/>
      </c>
      <c r="H5" s="3">
        <f>'Income Statement'!H17</f>
        <v/>
      </c>
      <c r="I5" s="3">
        <f>'Income Statement'!I17</f>
        <v/>
      </c>
    </row>
    <row r="6">
      <c r="A6" s="2" t="inlineStr">
        <is>
          <t>Book value per share</t>
        </is>
      </c>
      <c r="E6" s="3">
        <f>'Balance Sheet'!E16</f>
        <v/>
      </c>
      <c r="F6" s="3">
        <f>'Balance Sheet'!F16</f>
        <v/>
      </c>
      <c r="G6" s="3">
        <f>'Balance Sheet'!G16</f>
        <v/>
      </c>
      <c r="H6" s="3">
        <f>'Balance Sheet'!H16</f>
        <v/>
      </c>
      <c r="I6" s="3">
        <f>'Balance Sheet'!I16</f>
        <v/>
      </c>
    </row>
    <row r="7">
      <c r="A7" s="2" t="inlineStr">
        <is>
          <t>Return on equity</t>
        </is>
      </c>
      <c r="E7" s="4">
        <f>'Income Statement'!E16/'Balance Sheet'!E11</f>
        <v/>
      </c>
      <c r="F7" s="4">
        <f>'Income Statement'!F16/'Balance Sheet'!F11</f>
        <v/>
      </c>
      <c r="G7" s="4">
        <f>'Income Statement'!G16/'Balance Sheet'!G11</f>
        <v/>
      </c>
      <c r="H7" s="4">
        <f>'Income Statement'!H16/'Balance Sheet'!H11</f>
        <v/>
      </c>
      <c r="I7" s="4">
        <f>'Income Statement'!I16/'Balance Sheet'!I11</f>
        <v/>
      </c>
    </row>
    <row r="8">
      <c r="A8" s="2" t="inlineStr">
        <is>
          <t>Net debt / automotive EBITDA</t>
        </is>
      </c>
      <c r="E8" s="3">
        <f>'Balance Sheet'!E10/DCF!E14</f>
        <v/>
      </c>
      <c r="F8" s="3">
        <f>'Balance Sheet'!F10/DCF!F14</f>
        <v/>
      </c>
      <c r="G8" s="3">
        <f>'Balance Sheet'!G10/DCF!G14</f>
        <v/>
      </c>
      <c r="H8" s="3">
        <f>'Balance Sheet'!H10/DCF!H14</f>
        <v/>
      </c>
      <c r="I8" s="3">
        <f>'Balance Sheet'!I10/DCF!I14</f>
        <v/>
      </c>
    </row>
    <row r="9">
      <c r="A9" s="2" t="inlineStr">
        <is>
          <t>Price / earnings at the last close</t>
        </is>
      </c>
      <c r="E9" s="24">
        <f>Assumptions!$B$6/'Income Statement'!E17</f>
        <v/>
      </c>
      <c r="F9" s="24">
        <f>Assumptions!$B$6/'Income Statement'!F17</f>
        <v/>
      </c>
      <c r="G9" s="24">
        <f>Assumptions!$B$6/'Income Statement'!G17</f>
        <v/>
      </c>
      <c r="H9" s="24">
        <f>Assumptions!$B$6/'Income Statement'!H17</f>
        <v/>
      </c>
      <c r="I9" s="24">
        <f>Assumptions!$B$6/'Income Statement'!I17</f>
        <v/>
      </c>
    </row>
    <row r="10">
      <c r="A10" s="2" t="inlineStr">
        <is>
          <t>Price / book at the last close</t>
        </is>
      </c>
      <c r="E10" s="3">
        <f>Assumptions!$B$6/'Balance Sheet'!E16</f>
        <v/>
      </c>
      <c r="F10" s="3">
        <f>Assumptions!$B$6/'Balance Sheet'!F16</f>
        <v/>
      </c>
      <c r="G10" s="3">
        <f>Assumptions!$B$6/'Balance Sheet'!G16</f>
        <v/>
      </c>
      <c r="H10" s="3">
        <f>Assumptions!$B$6/'Balance Sheet'!H16</f>
        <v/>
      </c>
      <c r="I10" s="3">
        <f>Assumptions!$B$6/'Balance Sheet'!I16</f>
        <v/>
      </c>
    </row>
    <row r="11">
      <c r="A11" s="2" t="inlineStr">
        <is>
          <t>Dividend yield at the last close</t>
        </is>
      </c>
      <c r="E11" s="4">
        <f>Assumptions!$B$61/Assumptions!$B$6</f>
        <v/>
      </c>
      <c r="F11" s="4">
        <f>Assumptions!$B$61/Assumptions!$B$6</f>
        <v/>
      </c>
      <c r="G11" s="4">
        <f>Assumptions!$B$61/Assumptions!$B$6</f>
        <v/>
      </c>
      <c r="H11" s="4">
        <f>Assumptions!$B$61/Assumptions!$B$6</f>
        <v/>
      </c>
      <c r="I11" s="4">
        <f>Assumptions!$B$61/Assumptions!$B$6</f>
        <v/>
      </c>
    </row>
  </sheetData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2:C13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52" customWidth="1" min="3" max="3"/>
  </cols>
  <sheetData>
    <row r="2">
      <c r="B2" s="1" t="inlineStr">
        <is>
          <t>Peer frame (context only — never a source for the subject's numbers)</t>
        </is>
      </c>
    </row>
    <row r="4">
      <c r="A4" s="7" t="inlineStr">
        <is>
          <t>Peer</t>
        </is>
      </c>
      <c r="B4" s="7" t="inlineStr">
        <is>
          <t>Trailing P/E</t>
        </is>
      </c>
      <c r="C4" s="7" t="inlineStr">
        <is>
          <t>Note</t>
        </is>
      </c>
    </row>
    <row r="5">
      <c r="A5" s="2" t="inlineStr">
        <is>
          <t>Contact Financial (EGX) — consumer/NBFS</t>
        </is>
      </c>
      <c r="B5" s="9" t="n">
        <v>9.41</v>
      </c>
      <c r="C5" s="6" t="inlineStr">
        <is>
          <t>the direct Egyptian financing peer</t>
        </is>
      </c>
    </row>
    <row r="6">
      <c r="A6" s="2" t="inlineStr">
        <is>
          <t>Dogus Otomotiv (Istanbul) — auto distribution</t>
        </is>
      </c>
      <c r="B6" s="9" t="n">
        <v>12.55</v>
      </c>
      <c r="C6" s="6" t="inlineStr">
        <is>
          <t>P/B 0.62 on inflation-restated book</t>
        </is>
      </c>
    </row>
    <row r="7">
      <c r="A7" s="2" t="inlineStr">
        <is>
          <t>AutoNation (US) — auto retail</t>
        </is>
      </c>
      <c r="B7" s="9" t="n">
        <v>9.109999999999999</v>
      </c>
      <c r="C7" s="6" t="inlineStr">
        <is>
          <t>mature-market anchor; forward 8.35</t>
        </is>
      </c>
    </row>
    <row r="8">
      <c r="A8" s="2" t="inlineStr">
        <is>
          <t>Bajaj Auto (India) — two/three-wheelers</t>
        </is>
      </c>
      <c r="B8" s="9" t="n">
        <v>27.56</v>
      </c>
      <c r="C8" s="6" t="inlineStr">
        <is>
          <t>partner brand; far richer market</t>
        </is>
      </c>
    </row>
    <row r="10">
      <c r="A10" s="2" t="inlineStr">
        <is>
          <t>GB Corp at the last close on FY26E earnings</t>
        </is>
      </c>
      <c r="B10" s="24">
        <f>Assumptions!$B$6/'Income Statement'!E17</f>
        <v/>
      </c>
    </row>
    <row r="11">
      <c r="A11" s="2" t="inlineStr">
        <is>
          <t>GB Corp at the last close on restated book</t>
        </is>
      </c>
      <c r="B11" s="3">
        <f>Assumptions!$B$6/'Fundamental Valuation'!B7</f>
        <v/>
      </c>
    </row>
    <row r="13">
      <c r="A13" s="6" t="inlineStr">
        <is>
          <t>Peer marks 19-Aug-2026, aggregator-sourced (market data only). Logged discrepancy: Contact Financial's market capitalisation is quoted between EGP 4.5bn and 6.6bn across services on different dates.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2026-08-19T13:06:26Z</dcterms:created>
  <dcterms:modified xmlns:dcterms="http://purl.org/dc/terms/" xmlns:xsi="http://www.w3.org/2001/XMLSchema-instance" xsi:type="dcterms:W3CDTF">2026-08-19T13:06:26Z</dcterms:modified>
</cp:coreProperties>
</file>