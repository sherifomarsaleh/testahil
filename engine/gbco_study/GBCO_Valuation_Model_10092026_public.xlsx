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8">
    <numFmt numFmtId="164" formatCode="#,##0;(#,##0);&quot;-&quot;"/>
    <numFmt numFmtId="165" formatCode="0.0%;(0.0%);&quot;-&quot;"/>
    <numFmt numFmtId="166" formatCode="0.00%;(0.00%);&quot;-&quot;"/>
    <numFmt numFmtId="167" formatCode="0.0000"/>
    <numFmt numFmtId="168" formatCode="#,##0.0;(#,##0.0);&quot;-&quot;"/>
    <numFmt numFmtId="169" formatCode="0.00x"/>
    <numFmt numFmtId="170" formatCode="0.0000%"/>
    <numFmt numFmtId="171" formatCode="+0.0%;-0.0%;&quot;base&quot;"/>
  </numFmts>
  <fonts count="11">
    <font>
      <name val="Calibri"/>
      <family val="2"/>
      <color theme="1"/>
      <sz val="11"/>
      <scheme val="minor"/>
    </font>
    <font>
      <b val="1"/>
      <color rgb="00F6F1E6"/>
      <sz val="13"/>
    </font>
    <font>
      <sz val="10"/>
    </font>
    <font>
      <color rgb="006E7B77"/>
      <sz val="9"/>
    </font>
    <font>
      <b val="1"/>
      <color rgb="00000000"/>
    </font>
    <font>
      <color rgb="00000000"/>
    </font>
    <font>
      <color rgb="000000FF"/>
    </font>
    <font>
      <color rgb="006E7B77"/>
    </font>
    <font>
      <b val="1"/>
      <color rgb="000000FF"/>
    </font>
    <font>
      <color rgb="00008000"/>
    </font>
    <font>
      <b val="1"/>
      <color rgb="0000800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1">
    <border>
      <left/>
      <right/>
      <top/>
      <bottom/>
      <diagonal/>
    </border>
  </borders>
  <cellStyleXfs count="1">
    <xf numFmtId="0" fontId="0" fillId="0" borderId="0"/>
  </cellStyleXfs>
  <cellXfs count="37">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5" fillId="0" borderId="0" pivotButton="0" quotePrefix="0" xfId="0"/>
    <xf numFmtId="2" fontId="6" fillId="0" borderId="0" pivotButton="0" quotePrefix="0" xfId="0"/>
    <xf numFmtId="0" fontId="7" fillId="0" borderId="0" pivotButton="0" quotePrefix="0" xfId="0"/>
    <xf numFmtId="164" fontId="6" fillId="0" borderId="0" pivotButton="0" quotePrefix="0" xfId="0"/>
    <xf numFmtId="165" fontId="6" fillId="0" borderId="0" pivotButton="0" quotePrefix="0" xfId="0"/>
    <xf numFmtId="166" fontId="6" fillId="0" borderId="0" pivotButton="0" quotePrefix="0" xfId="0"/>
    <xf numFmtId="167" fontId="6" fillId="0" borderId="0" pivotButton="0" quotePrefix="0" xfId="0"/>
    <xf numFmtId="166" fontId="5" fillId="0" borderId="0" pivotButton="0" quotePrefix="0" xfId="0"/>
    <xf numFmtId="164" fontId="5" fillId="0" borderId="0" pivotButton="0" quotePrefix="0" xfId="0"/>
    <xf numFmtId="168" fontId="6" fillId="0" borderId="0" pivotButton="0" quotePrefix="0" xfId="0"/>
    <xf numFmtId="169" fontId="5" fillId="0" borderId="0" pivotButton="0" quotePrefix="0" xfId="0"/>
    <xf numFmtId="0" fontId="4" fillId="0" borderId="0" pivotButton="0" quotePrefix="0" xfId="0"/>
    <xf numFmtId="164" fontId="4" fillId="0" borderId="0" pivotButton="0" quotePrefix="0" xfId="0"/>
    <xf numFmtId="2" fontId="5" fillId="0" borderId="0" pivotButton="0" quotePrefix="0" xfId="0"/>
    <xf numFmtId="170" fontId="6" fillId="0" borderId="0" pivotButton="0" quotePrefix="0" xfId="0"/>
    <xf numFmtId="49" fontId="6" fillId="0" borderId="0" pivotButton="0" quotePrefix="0" xfId="0"/>
    <xf numFmtId="164" fontId="8" fillId="0" borderId="0" pivotButton="0" quotePrefix="0" xfId="0"/>
    <xf numFmtId="164" fontId="9" fillId="0" borderId="0" pivotButton="0" quotePrefix="0" xfId="0"/>
    <xf numFmtId="167" fontId="5" fillId="0" borderId="0" pivotButton="0" quotePrefix="0" xfId="0"/>
    <xf numFmtId="2" fontId="10" fillId="0" borderId="0" pivotButton="0" quotePrefix="0" xfId="0"/>
    <xf numFmtId="165" fontId="5" fillId="0" borderId="0" pivotButton="0" quotePrefix="0" xfId="0"/>
    <xf numFmtId="2" fontId="9" fillId="0" borderId="0" pivotButton="0" quotePrefix="0" xfId="0"/>
    <xf numFmtId="2" fontId="4" fillId="0" borderId="0" pivotButton="0" quotePrefix="0" xfId="0"/>
    <xf numFmtId="165" fontId="4" fillId="0" borderId="0" pivotButton="0" quotePrefix="0" xfId="0"/>
    <xf numFmtId="168" fontId="9" fillId="0" borderId="0" pivotButton="0" quotePrefix="0" xfId="0"/>
    <xf numFmtId="169" fontId="4" fillId="0" borderId="0" pivotButton="0" quotePrefix="0" xfId="0"/>
    <xf numFmtId="0" fontId="4" fillId="4" borderId="0" pivotButton="0" quotePrefix="0" xfId="0"/>
    <xf numFmtId="165" fontId="9" fillId="0" borderId="0" pivotButton="0" quotePrefix="0" xfId="0"/>
    <xf numFmtId="164" fontId="4" fillId="3" borderId="0" pivotButton="0" quotePrefix="0" xfId="0"/>
    <xf numFmtId="171" fontId="6" fillId="0" borderId="0" pivotButton="0" quotePrefix="0" xfId="0"/>
    <xf numFmtId="165"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20" customWidth="1" min="1" max="1"/>
    <col width="12.5" customWidth="1" min="2" max="2"/>
    <col width="12.5" customWidth="1" min="3" max="3"/>
    <col width="12.5" customWidth="1" min="4" max="4"/>
    <col width="12.5" customWidth="1" min="5" max="5"/>
    <col width="12.5" customWidth="1" min="6" max="6"/>
    <col width="12.5" customWidth="1" min="7" max="7"/>
    <col width="12.5" customWidth="1" min="8" max="8"/>
    <col width="12.5" customWidth="1" min="9" max="9"/>
  </cols>
  <sheetData>
    <row r="1">
      <c r="A1" s="1" t="inlineStr">
        <is>
          <t>Testahil — GB Corp S.A.E. (EGX: GBCO)</t>
        </is>
      </c>
      <c r="B1" s="2" t="n"/>
      <c r="C1" s="2" t="n"/>
      <c r="D1" s="2" t="n"/>
      <c r="E1" s="2" t="n"/>
      <c r="F1" s="2" t="n"/>
      <c r="G1" s="2" t="n"/>
      <c r="H1" s="2" t="n"/>
      <c r="I1" s="2" t="n"/>
    </row>
    <row r="3">
      <c r="A3" s="3" t="inlineStr">
        <is>
          <t>Companion model · Independent Valuation Study · Educational analysis · Not investment advice</t>
        </is>
      </c>
    </row>
    <row r="4">
      <c r="A4" s="3" t="inlineStr"/>
    </row>
    <row r="5">
      <c r="A5" s="3" t="inlineStr">
        <is>
          <t>What this workbook is. A transparent companion to the GB Corp valuation study. Every blue cell is an input; every</t>
        </is>
      </c>
    </row>
    <row r="6">
      <c r="A6" s="3" t="inlineStr">
        <is>
          <t>black cell is a formula; green cells link across sheets. All inputs live on the Assumptions sheet — change one (a</t>
        </is>
      </c>
    </row>
    <row r="7">
      <c r="A7" s="3" t="inlineStr">
        <is>
          <t>volume growth rate, the Auto gross margin, the lender's return on equity, the mark on the associate) and the whole</t>
        </is>
      </c>
    </row>
    <row r="8">
      <c r="A8" s="3" t="inlineStr">
        <is>
          <t>model reprices, both answers with it.</t>
        </is>
      </c>
    </row>
    <row r="9">
      <c r="A9" s="3" t="inlineStr"/>
    </row>
    <row r="10">
      <c r="A10" s="3" t="inlineStr">
        <is>
          <t>THE ANSWER HAS TWO SIDES, AND THAT IS THE FINDING RATHER THAN AN EVASION. GB Corp's largest single component is a</t>
        </is>
      </c>
    </row>
    <row r="11">
      <c r="A11" s="3" t="inlineStr">
        <is>
          <t>minority interest in an unlisted company, and the two bases on which the company itself puts a number on it differ</t>
        </is>
      </c>
    </row>
    <row r="12">
      <c r="A12" s="3" t="inlineStr">
        <is>
          <t>by EGP 11.9bn — about a quarter of the answer. One is the equity-accounted carrying value in its own reviewed</t>
        </is>
      </c>
    </row>
    <row r="13">
      <c r="A13" s="3" t="inlineStr">
        <is>
          <t>statements at 30 June 2026; the other is its stated stake applied to the primary round it announced in June 2026.</t>
        </is>
      </c>
    </row>
    <row r="14">
      <c r="A14" s="3" t="inlineStr">
        <is>
          <t>Both are the company's own disclosures and the filings do not decide between them, so neither does this workbook:</t>
        </is>
      </c>
    </row>
    <row r="15">
      <c r="A15" s="3" t="inlineStr">
        <is>
          <t>the two are carried side by side to the last cell. NO FIGURE BETWEEN THEM IS PRESENTED AS AN ANSWER</t>
        </is>
      </c>
    </row>
    <row r="16">
      <c r="A16" s="3" t="inlineStr">
        <is>
          <t>ANYWHERE, deliberately — an average of two things only one of which can be true is not a more cautious</t>
        </is>
      </c>
    </row>
    <row r="17">
      <c r="A17" s="3" t="inlineStr">
        <is>
          <t>answer than either, it is a third answer nobody argued for. The MARK itself is priced across its range, on</t>
        </is>
      </c>
    </row>
    <row r="18">
      <c r="A18" s="3" t="inlineStr">
        <is>
          <t>the sum-of-the-parts sheet and in the first sensitivity grid, at levels somebody has actually argued for</t>
        </is>
      </c>
    </row>
    <row r="19">
      <c r="A19" s="3" t="inlineStr">
        <is>
          <t>rather than at equal steps drawn between the two.</t>
        </is>
      </c>
    </row>
    <row r="20">
      <c r="A20" s="3" t="inlineStr"/>
    </row>
    <row r="21">
      <c r="A21" s="3" t="inlineStr">
        <is>
          <t>How the answer is built. The sum of the parts is the primary and it IS the answer; the other reads are cross-checks</t>
        </is>
      </c>
    </row>
    <row r="22">
      <c r="A22" s="3" t="inlineStr">
        <is>
          <t>shown beside it and never averaged into it. Leg 1, GB Auto, is a five-year cash-flow model discounted on a schedule</t>
        </is>
      </c>
    </row>
    <row r="23">
      <c r="A23" s="3" t="inlineStr">
        <is>
          <t>that glides to a normalised terminal rate. Leg 2, GB Capital, is the lender's own operating equity times a justified</t>
        </is>
      </c>
    </row>
    <row r="24">
      <c r="A24" s="3" t="inlineStr">
        <is>
          <t>price-to-book built from the return it actually earns on that equity. Leg 3 is the associates, on the two bases</t>
        </is>
      </c>
    </row>
    <row r="25">
      <c r="A25" s="3" t="inlineStr">
        <is>
          <t>above. There is no complexity or conglomerate discount anywhere: the uncertainty it used to stand in for is the</t>
        </is>
      </c>
    </row>
    <row r="26">
      <c r="A26" s="3" t="inlineStr">
        <is>
          <t>associate mark, and it is published as two branches instead.</t>
        </is>
      </c>
    </row>
    <row r="27">
      <c r="A27" s="3" t="inlineStr"/>
    </row>
    <row r="28">
      <c r="A28" s="3" t="inlineStr">
        <is>
          <t>What it is not. It is not investment advice, a recommendation, or a price target. Values are model outputs shown as</t>
        </is>
      </c>
    </row>
    <row r="29">
      <c r="A29" s="3" t="inlineStr">
        <is>
          <t>ranges. The preparer is not licensed by any securities regulator and may hold a position in the security.</t>
        </is>
      </c>
    </row>
    <row r="30">
      <c r="A30" s="3" t="inlineStr"/>
    </row>
    <row r="31">
      <c r="A31" s="3" t="inlineStr">
        <is>
          <t>Entity note. GB Corp S.A.E. (formerly GB Auto / Ghabbour Auto; renamed March 2023) is an operating company with a</t>
        </is>
      </c>
    </row>
    <row r="32">
      <c r="A32" s="3" t="inlineStr">
        <is>
          <t>captive finance arm: GB Auto (passenger cars, CV&amp;CE, trading, light mobility; Egypt · Iraq · Jordan) plus GB Capital</t>
        </is>
      </c>
    </row>
    <row r="33">
      <c r="A33" s="3" t="inlineStr">
        <is>
          <t>(leasing, factoring, consumer finance, SME lending) and associate stakes in MNT-Halan, Bedaya and Kaf.</t>
        </is>
      </c>
    </row>
    <row r="34">
      <c r="A34" s="3" t="inlineStr"/>
    </row>
    <row r="35">
      <c r="A35" s="3" t="inlineStr">
        <is>
          <t>Currency. EGP million unless stated. Price EGP 28.98 (2026-09-03 close), read from the study record rather than typed.</t>
        </is>
      </c>
    </row>
    <row r="36">
      <c r="A36" s="3" t="inlineStr">
        <is>
          <t>Historical financials are company disclosure: the FY2023–FY2025 earnings releases and the reviewed consolidated</t>
        </is>
      </c>
    </row>
    <row r="37">
      <c r="A37" s="3" t="inlineStr">
        <is>
          <t>statements to 30 June 2026. Some consolidated balance-sheet lines are grouped from the disclosed segment balance</t>
        </is>
      </c>
    </row>
    <row r="38">
      <c r="A38" s="3" t="inlineStr">
        <is>
          <t>sheets to a house layout — flagged on the Balance Sheet.</t>
        </is>
      </c>
    </row>
    <row r="39">
      <c r="A39" s="3" t="inlineStr"/>
    </row>
    <row r="40">
      <c r="A40" s="3" t="inlineStr">
        <is>
          <t>Sheets: Summary · Fundamental Valuation · Assumptions · SOTP Bridge · Segments · Relative &amp; Normalized · DCF · Income Statement · Balance Sheet · Cash Flow · Summary Financials · Monte Carlo · Sensitivity · Per-Share &amp; 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56" customWidth="1" min="1" max="1"/>
    <col width="52" customWidth="1" min="2" max="2"/>
    <col width="15" customWidth="1" min="3" max="3"/>
    <col width="15" customWidth="1" min="4" max="4"/>
    <col width="15" customWidth="1" min="5" max="5"/>
    <col width="15" customWidth="1" min="6" max="6"/>
  </cols>
  <sheetData>
    <row r="1">
      <c r="A1" s="1" t="inlineStr">
        <is>
          <t>Valuation summary — GB Corp (EGX: GBCO)</t>
        </is>
      </c>
      <c r="B1" s="2" t="n"/>
      <c r="C1" s="2" t="n"/>
      <c r="D1" s="2" t="n"/>
      <c r="E1" s="2" t="n"/>
      <c r="F1" s="2" t="n"/>
    </row>
    <row r="2">
      <c r="A2" s="4" t="inlineStr">
        <is>
          <t>One class primary, published on both of its sides; the other reads are cross-checks beside it. Every cell here is a link — nothing on this sheet is typed.</t>
        </is>
      </c>
    </row>
    <row r="5">
      <c r="A5" s="5" t="inlineStr">
        <is>
          <t>Read</t>
        </is>
      </c>
      <c r="B5" s="5" t="inlineStr">
        <is>
          <t>Basis</t>
        </is>
      </c>
      <c r="C5" s="5" t="inlineStr">
        <is>
          <t>EGP/share</t>
        </is>
      </c>
      <c r="D5" s="5" t="inlineStr">
        <is>
          <t>vs the price</t>
        </is>
      </c>
    </row>
    <row r="6">
      <c r="A6" s="17" t="inlineStr">
        <is>
          <t>Sum of the parts — MNT-Halan at its reviewed carrying value</t>
        </is>
      </c>
      <c r="B6" s="8" t="inlineStr">
        <is>
          <t>THE PRIMARY, branch B</t>
        </is>
      </c>
      <c r="C6" s="25">
        <f>'SOTP Bridge'!C11</f>
        <v/>
      </c>
      <c r="D6" s="26">
        <f>C6/Assumptions!$B$5-1</f>
        <v/>
      </c>
    </row>
    <row r="7">
      <c r="A7" s="17" t="inlineStr">
        <is>
          <t>Sum of the parts — MNT-Halan at the June-2026 round price</t>
        </is>
      </c>
      <c r="B7" s="8" t="inlineStr">
        <is>
          <t>THE PRIMARY, branch A</t>
        </is>
      </c>
      <c r="C7" s="25">
        <f>'SOTP Bridge'!D11</f>
        <v/>
      </c>
      <c r="D7" s="26">
        <f>C7/Assumptions!$B$5-1</f>
        <v/>
      </c>
    </row>
    <row r="8">
      <c r="A8" s="17" t="inlineStr">
        <is>
          <t>Relative multiple on the company's own history</t>
        </is>
      </c>
      <c r="B8" s="8" t="inlineStr">
        <is>
          <t>cross-check, never weighted</t>
        </is>
      </c>
      <c r="C8" s="25">
        <f>'Relative &amp; Normalized'!B15</f>
        <v/>
      </c>
      <c r="D8" s="26">
        <f>C8/Assumptions!$B$5-1</f>
        <v/>
      </c>
    </row>
    <row r="9">
      <c r="A9" s="6" t="inlineStr">
        <is>
          <t>Book value per share</t>
        </is>
      </c>
      <c r="B9" s="8" t="inlineStr">
        <is>
          <t>a DISCLOSED FLOOR — outside the envelope below, and never weighted</t>
        </is>
      </c>
      <c r="C9" s="27">
        <f>'Relative &amp; Normalized'!B21</f>
        <v/>
      </c>
      <c r="D9" s="26">
        <f>C9/Assumptions!$B$5-1</f>
        <v/>
      </c>
    </row>
    <row r="11">
      <c r="A11" s="17" t="inlineStr">
        <is>
          <t>Envelope — low</t>
        </is>
      </c>
      <c r="B11" s="8" t="inlineStr">
        <is>
          <t>the RANGE of the present-value reads on one clock, never an average and never a spread invented around a central</t>
        </is>
      </c>
      <c r="C11" s="28">
        <f>MIN(C6:C8)</f>
        <v/>
      </c>
      <c r="D11" s="26">
        <f>C11/Assumptions!$B$5-1</f>
        <v/>
      </c>
    </row>
    <row r="12">
      <c r="A12" s="17" t="inlineStr">
        <is>
          <t>Envelope — high</t>
        </is>
      </c>
      <c r="C12" s="28">
        <f>MAX(C6:C8)</f>
        <v/>
      </c>
      <c r="D12" s="26">
        <f>C12/Assumptions!$B$5-1</f>
        <v/>
      </c>
    </row>
    <row r="14">
      <c r="A14" s="6" t="inlineStr">
        <is>
          <t>Latest known price (EGP), 2026-09-03</t>
        </is>
      </c>
      <c r="C14" s="27">
        <f>Assumptions!$B$5</f>
        <v/>
      </c>
    </row>
    <row r="16">
      <c r="A16" s="8" t="inlineStr">
        <is>
          <t>THERE IS NO CENTRAL, AND THAT IS THE ANSWER RATHER THAN AN OMISSION. There is no central. The primary is two-sided and the two branches are published side by side; a figure between them would be the average the dual-framing rule forbids. The two branches differ by the mark on one minority stake in an unlisted company, and the filings do not decide between them. Both are well above the price, so the reading the two share is that the market is paying less than either of the company's own disclosures on that stake would support — which is a claim about the mark, and the workbook prices it across its whole range on the SOTP Bridge sheet rather than resolving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0" customWidth="1" min="1" max="1"/>
    <col width="15" customWidth="1" min="2" max="2"/>
    <col width="15" customWidth="1" min="3" max="3"/>
    <col width="15" customWidth="1" min="4" max="4"/>
    <col width="70" customWidth="1" min="5" max="5"/>
    <col width="15" customWidth="1" min="6" max="6"/>
  </cols>
  <sheetData>
    <row r="1">
      <c r="A1" s="1" t="inlineStr">
        <is>
          <t>Fundamental valuation — the football-field data</t>
        </is>
      </c>
      <c r="B1" s="2" t="n"/>
      <c r="C1" s="2" t="n"/>
      <c r="D1" s="2" t="n"/>
      <c r="E1" s="2" t="n"/>
      <c r="F1" s="2" t="n"/>
    </row>
    <row r="2">
      <c r="A2" s="4" t="inlineStr">
        <is>
          <t>Every read this study publishes, with the scenario span the study's own record carries for the primary. Links to Summary; no weights and no central.</t>
        </is>
      </c>
    </row>
    <row r="5">
      <c r="A5" s="5" t="inlineStr">
        <is>
          <t>Read</t>
        </is>
      </c>
      <c r="B5" s="5" t="inlineStr">
        <is>
          <t>Low</t>
        </is>
      </c>
      <c r="C5" s="5" t="inlineStr">
        <is>
          <t>Published</t>
        </is>
      </c>
      <c r="D5" s="5" t="inlineStr">
        <is>
          <t>High</t>
        </is>
      </c>
      <c r="E5" s="5" t="inlineStr">
        <is>
          <t>Note</t>
        </is>
      </c>
    </row>
    <row r="6">
      <c r="A6" s="17" t="inlineStr">
        <is>
          <t>Sum of the parts — MNT-Halan at its reviewed carrying value</t>
        </is>
      </c>
      <c r="C6" s="25">
        <f>Summary!C6</f>
        <v/>
      </c>
      <c r="E6" s="8" t="inlineStr">
        <is>
          <t>the primary, branch B</t>
        </is>
      </c>
    </row>
    <row r="7">
      <c r="A7" s="17" t="inlineStr">
        <is>
          <t>Sum of the parts — MNT-Halan at the June-2026 round price</t>
        </is>
      </c>
      <c r="B7" s="7" t="n">
        <v>30.3773</v>
      </c>
      <c r="C7" s="25">
        <f>Summary!C7</f>
        <v/>
      </c>
      <c r="D7" s="7" t="n">
        <v>96.1336</v>
      </c>
      <c r="E7" s="8" t="inlineStr">
        <is>
          <t>the primary, branch A. The low and high are the study's committed scenario reads: a gross-margin shift, the WHOLE cost-of-capital ladder moved together, a terminal growth shifted in REAL terms, and the marks on the lender and the associates moved with them — a stress on the model at once rather than one driver at a time, which is why they are read from the record and not rebuilt in a cell here.</t>
        </is>
      </c>
    </row>
    <row r="8">
      <c r="A8" s="14" t="inlineStr">
        <is>
          <t>Relative multiple on the company's own history</t>
        </is>
      </c>
      <c r="C8" s="27">
        <f>Summary!C8</f>
        <v/>
      </c>
      <c r="E8" s="8" t="inlineStr">
        <is>
          <t>cross-check; one value, because the multiple is a median of three observations and a bear/bull around it would be invented.</t>
        </is>
      </c>
    </row>
    <row r="9">
      <c r="A9" s="14" t="inlineStr">
        <is>
          <t>Book value per share</t>
        </is>
      </c>
      <c r="C9" s="27">
        <f>Summary!C9</f>
        <v/>
      </c>
      <c r="E9" s="8" t="inlineStr">
        <is>
          <t>a disclosed floor, outside the envelope and never weighted.</t>
        </is>
      </c>
    </row>
    <row r="10">
      <c r="A10" s="17" t="inlineStr">
        <is>
          <t>Envelope</t>
        </is>
      </c>
      <c r="B10" s="25">
        <f>Summary!C11</f>
        <v/>
      </c>
      <c r="D10" s="25">
        <f>Summary!C12</f>
        <v/>
      </c>
      <c r="E10" s="8" t="inlineStr">
        <is>
          <t>the range of the present-value reads; there is no figure between the two branches anywhere in this workbook.</t>
        </is>
      </c>
    </row>
    <row r="11">
      <c r="A11" s="14" t="inlineStr">
        <is>
          <t>Latest known price</t>
        </is>
      </c>
      <c r="C11" s="27">
        <f>Assumptions!$B$5</f>
        <v/>
      </c>
    </row>
    <row r="12">
      <c r="A12" s="14" t="inlineStr">
        <is>
          <t>GB Capital operating equity per share</t>
        </is>
      </c>
      <c r="C12" s="27">
        <f>Assumptions!$B$43</f>
        <v/>
      </c>
      <c r="E12" s="8" t="inlineStr">
        <is>
          <t>memo only: the lender leg's own book, to show what the residual-income multiple does to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cols>
    <col width="46" customWidth="1" min="1" max="1"/>
    <col width="12.5" customWidth="1" min="2" max="2"/>
    <col width="11" customWidth="1" min="3" max="3"/>
    <col width="12.5" customWidth="1" min="4" max="4"/>
    <col width="12.5" customWidth="1" min="5" max="5"/>
    <col width="12.5" customWidth="1" min="6" max="6"/>
    <col width="12.5" customWidth="1" min="7" max="7"/>
    <col width="12.5" customWidth="1" min="8" max="8"/>
    <col width="12.5" customWidth="1" min="9" max="9"/>
  </cols>
  <sheetData>
    <row r="1">
      <c r="A1" s="1" t="inlineStr">
        <is>
          <t>Assumptions — the single input layer</t>
        </is>
      </c>
      <c r="B1" s="2" t="n"/>
      <c r="C1" s="2" t="n"/>
      <c r="D1" s="2" t="n"/>
      <c r="E1" s="2" t="n"/>
      <c r="F1" s="2" t="n"/>
      <c r="G1" s="2" t="n"/>
      <c r="H1" s="2" t="n"/>
      <c r="I1" s="2" t="n"/>
    </row>
    <row r="2">
      <c r="A2" s="4" t="inlineStr">
        <is>
          <t>All blue cells are inputs. Every other sheet links here.</t>
        </is>
      </c>
    </row>
    <row r="4">
      <c r="A4" s="5" t="inlineStr">
        <is>
          <t>ANCHORS</t>
        </is>
      </c>
    </row>
    <row r="5">
      <c r="A5" s="6" t="inlineStr">
        <is>
          <t>Price (EGP/share)</t>
        </is>
      </c>
      <c r="B5" s="7" t="n">
        <v>28.98</v>
      </c>
      <c r="C5" s="8" t="inlineStr">
        <is>
          <t>the LATEST KNOWN price, 2026-09-03 close, read from the committed supplied-price record rather than from this workbook's own memory.</t>
        </is>
      </c>
    </row>
    <row r="6">
      <c r="A6" s="6" t="inlineStr">
        <is>
          <t>Shares outstanding (mn)</t>
        </is>
      </c>
      <c r="B6" s="9" t="n">
        <v>1085.5</v>
      </c>
    </row>
    <row r="7">
      <c r="A7" s="6" t="inlineStr">
        <is>
          <t>Tax rate</t>
        </is>
      </c>
      <c r="B7" s="10" t="n">
        <v>0.28</v>
      </c>
    </row>
    <row r="8">
      <c r="A8" s="5" t="inlineStr">
        <is>
          <t>COST OF CAPITAL — the schedule is built by the house module; this is its first year</t>
        </is>
      </c>
    </row>
    <row r="9">
      <c r="A9" s="6" t="inlineStr">
        <is>
          <t>Normalised risk-free rate rf* (Egypt 10Y less this sovereign's own default spread)</t>
        </is>
      </c>
      <c r="B9" s="11" t="n">
        <v>0.1959</v>
      </c>
      <c r="C9" s="8" t="inlineStr">
        <is>
          <t>observed 23.00% less a default spread of 3.41%, so country risk is counted EXACTLY ONCE, inside the equity risk premium below.</t>
        </is>
      </c>
    </row>
    <row r="10">
      <c r="A10" s="6" t="inlineStr">
        <is>
          <t>Equity beta — own-stock weekly regression against the published EGX30 index</t>
        </is>
      </c>
      <c r="B10" s="12" t="n">
        <v>0.8906822450333004</v>
      </c>
      <c r="C10" s="8" t="inlineStr">
        <is>
          <t>a conforming tier-1 regression: 251 weekly observations to 2026-07-16, R-squared 0.2430, standard error 0.2041.</t>
        </is>
      </c>
    </row>
    <row r="11">
      <c r="A11" s="6" t="inlineStr">
        <is>
          <t>Equity risk premium — Egypt, market basis (adopted)</t>
        </is>
      </c>
      <c r="B11" s="11" t="n">
        <v>0.0941</v>
      </c>
      <c r="C11" s="8" t="inlineStr">
        <is>
          <t>the sovereign's own row on the market basis; the rating basis of 13.94% is published beside it below and in the study.</t>
        </is>
      </c>
    </row>
    <row r="12">
      <c r="A12" s="6" t="inlineStr">
        <is>
          <t xml:space="preserve">   of which the mature equity premium — beta applies to THIS leg</t>
        </is>
      </c>
      <c r="B12" s="11" t="n">
        <v>0.04226800000000001</v>
      </c>
      <c r="C12" s="8" t="inlineStr">
        <is>
          <t>the total premium less the country premium below. Beta measures how much more than the market this company moves; it is not a measure of how risky the country is, and multiplying the two charges the sovereign twice over for a cyclical name.</t>
        </is>
      </c>
    </row>
    <row r="13">
      <c r="A13" s="6" t="inlineStr">
        <is>
          <t xml:space="preserve">   of which the country premium — charged FLAT, once</t>
        </is>
      </c>
      <c r="B13" s="11" t="n">
        <v>0.051832</v>
      </c>
      <c r="C13" s="8" t="inlineStr">
        <is>
          <t>Egypt at 5.18% weighted by the 100% of operations that are here.</t>
        </is>
      </c>
    </row>
    <row r="14">
      <c r="A14" s="6" t="inlineStr">
        <is>
          <t>Cost of equity Ke = rf* + beta x mature premium + country premium</t>
        </is>
      </c>
      <c r="B14" s="13">
        <f>B9+B10*B12+B13</f>
        <v/>
      </c>
      <c r="C14" s="8" t="inlineStr">
        <is>
          <t>reproduces the committed schedule to the basis point.</t>
        </is>
      </c>
    </row>
    <row r="15">
      <c r="A15" s="6" t="inlineStr">
        <is>
          <t>Pre-tax cost of debt</t>
        </is>
      </c>
      <c r="B15" s="11" t="n">
        <v>0.2653</v>
      </c>
      <c r="C15" s="8" t="inlineStr">
        <is>
          <t>the company's own effective borrowing rate, computed on the borrowings that actually bear the interest; the book is entirely local-currency on the disclosed facility note.</t>
        </is>
      </c>
    </row>
    <row r="16">
      <c r="A16" s="6" t="inlineStr">
        <is>
          <t>After-tax cost of debt</t>
        </is>
      </c>
      <c r="B16" s="13">
        <f>B15*(1-B7)</f>
        <v/>
      </c>
    </row>
    <row r="17">
      <c r="A17" s="6" t="inlineStr">
        <is>
          <t>Debt weight D/(D+E) — market-value equity</t>
        </is>
      </c>
      <c r="B17" s="10" t="n">
        <v>0.5745140347870709</v>
      </c>
      <c r="C17" s="8" t="inlineStr">
        <is>
          <t>market capitalisation against disclosed borrowings; never book equity.</t>
        </is>
      </c>
    </row>
    <row r="18">
      <c r="A18" s="6" t="inlineStr">
        <is>
          <t>WACC — first forecast year</t>
        </is>
      </c>
      <c r="B18" s="13">
        <f>(1-B17)*B14+B17*B16</f>
        <v/>
      </c>
      <c r="C18" s="8" t="inlineStr">
        <is>
          <t>the schedule GLIDES to a norm-built terminal of 13.45%; the DCF sheet carries one forward rate per year rather than this rate held for ever.</t>
        </is>
      </c>
    </row>
    <row r="19">
      <c r="A19" s="6" t="inlineStr">
        <is>
          <t>Terminal growth (nominal EGP, DERIVED)</t>
        </is>
      </c>
      <c r="B19" s="10" t="n">
        <v>0.07000000000000001</v>
      </c>
      <c r="C19" s="8" t="inlineStr">
        <is>
          <t>stored as a REAL rate of 0.0% on the house Egyptian inflation path and recomputed to this nominal figure; a typed nominal rate is unfalsifiable.</t>
        </is>
      </c>
    </row>
    <row r="20">
      <c r="A20" s="5" t="inlineStr">
        <is>
          <t>LEG 1 — GB AUTO: the cash-flow model's own bridge (the DCF sheet builds the leg)</t>
        </is>
      </c>
    </row>
    <row r="21">
      <c r="A21" s="6" t="inlineStr">
        <is>
          <t>GB Auto net debt (30 June 2026, reviewed)</t>
        </is>
      </c>
      <c r="B21" s="9" t="n">
        <v>14623.7</v>
      </c>
      <c r="C21" s="8" t="inlineStr">
        <is>
          <t>the bridge stands on the LATEST disclosed balance sheet and on the AUTO segment's own net debt, not the prior year end and not the group total.</t>
        </is>
      </c>
    </row>
    <row r="22">
      <c r="A22" s="6" t="inlineStr">
        <is>
          <t>GB Auto non-controlling interests (30 June 2026)</t>
        </is>
      </c>
      <c r="B22" s="9" t="n">
        <v>590.7</v>
      </c>
      <c r="C22" s="8" t="inlineStr">
        <is>
          <t>that leg's own minority, deducted from EQUITY value and never from enterprise value.</t>
        </is>
      </c>
    </row>
    <row r="23">
      <c r="A23" s="5" t="inlineStr">
        <is>
          <t>LEG 2 — GB CAPITAL: residual income, not book times one</t>
        </is>
      </c>
    </row>
    <row r="24">
      <c r="A24" s="6" t="inlineStr">
        <is>
          <t>GB Capital shareholders' equity before NCI, 30 June 2026</t>
        </is>
      </c>
      <c r="B24" s="9" t="n">
        <v>22497.8</v>
      </c>
      <c r="C24" s="8" t="inlineStr">
        <is>
          <t>2Q26 earnings release, segmented balance sheet, GB Capital column.</t>
        </is>
      </c>
    </row>
    <row r="25">
      <c r="A25" s="6" t="inlineStr">
        <is>
          <t>less: associates carried inside that segment, 30 June 2026</t>
        </is>
      </c>
      <c r="B25" s="9" t="n">
        <v>16230.465</v>
      </c>
      <c r="C25" s="8" t="inlineStr">
        <is>
          <t>the reviewed consolidated interim balance sheet's own associates line. Taking it out is what stops the stake funding this leg AND being added back at its own mark.</t>
        </is>
      </c>
    </row>
    <row r="26">
      <c r="A26" s="6" t="inlineStr">
        <is>
          <t>GB Capital operating equity</t>
        </is>
      </c>
      <c r="B26" s="14">
        <f>B24-B25</f>
        <v/>
      </c>
      <c r="C26" s="8" t="inlineStr">
        <is>
          <t>an identity off two disclosed figures, so nothing here is chosen.</t>
        </is>
      </c>
    </row>
    <row r="27">
      <c r="A27" s="6" t="inlineStr">
        <is>
          <t>1H2026 GB Capital net profit after NCI</t>
        </is>
      </c>
      <c r="B27" s="15" t="n">
        <v>649.6</v>
      </c>
      <c r="C27" s="8" t="inlineStr">
        <is>
          <t>2Q26 earnings release, segment income statement.</t>
        </is>
      </c>
    </row>
    <row r="28">
      <c r="A28" s="6" t="inlineStr">
        <is>
          <t>1H2026 GB Capital investment gains from associates</t>
        </is>
      </c>
      <c r="B28" s="15" t="n">
        <v>426.2</v>
      </c>
      <c r="C28" s="8" t="inlineStr">
        <is>
          <t>same table; taken out of the numerator because it is taken out of the base.</t>
        </is>
      </c>
    </row>
    <row r="29">
      <c r="A29" s="6" t="inlineStr">
        <is>
          <t>GB Capital equity before NCI, 31 December 2025</t>
        </is>
      </c>
      <c r="B29" s="15" t="n">
        <v>18312.6</v>
      </c>
      <c r="C29" s="8" t="inlineStr">
        <is>
          <t>4Q25 earnings release, segmented balance sheet, GB Capital column.</t>
        </is>
      </c>
    </row>
    <row r="30">
      <c r="A30" s="6" t="inlineStr">
        <is>
          <t>less: associates carried inside it, 31 December 2025</t>
        </is>
      </c>
      <c r="B30" s="15" t="n">
        <v>15732.426</v>
      </c>
      <c r="C30" s="8" t="inlineStr">
        <is>
          <t>the reviewed balance sheet's own comparative column, which note 34 foots to.</t>
        </is>
      </c>
    </row>
    <row r="31">
      <c r="A31" s="6" t="inlineStr">
        <is>
          <t>GB Capital operating equity, 31 December 2025</t>
        </is>
      </c>
      <c r="B31" s="14">
        <f>B29-B30</f>
        <v/>
      </c>
    </row>
    <row r="32">
      <c r="A32" s="6" t="inlineStr">
        <is>
          <t>Return on operating equity — 1H2026 annualised (ADOPTED)</t>
        </is>
      </c>
      <c r="B32" s="13">
        <f>(B27-B28)*2/((B31+B26)/2)</f>
        <v/>
      </c>
      <c r="C32" s="8" t="inlineStr">
        <is>
          <t>a near-term reviewed actual outranks a stale full-year rate.</t>
        </is>
      </c>
    </row>
    <row r="33">
      <c r="A33" s="6" t="inlineStr">
        <is>
          <t>FY2025 GB Capital net profit after NCI</t>
        </is>
      </c>
      <c r="B33" s="15" t="n">
        <v>1365.9</v>
      </c>
    </row>
    <row r="34">
      <c r="A34" s="6" t="inlineStr">
        <is>
          <t>FY2025 GB Capital investment gains from associates</t>
        </is>
      </c>
      <c r="B34" s="15" t="n">
        <v>986.4</v>
      </c>
    </row>
    <row r="35">
      <c r="A35" s="6" t="inlineStr">
        <is>
          <t>Return on operating equity — FY2025 framing</t>
        </is>
      </c>
      <c r="B35" s="13">
        <f>(B33-B34)/B31</f>
        <v/>
      </c>
      <c r="C35" s="8" t="inlineStr">
        <is>
          <t>the OTHER framing of a contested judgement worth more than 5% of the answer, published beside the adopted one rather than averaged with it.</t>
        </is>
      </c>
    </row>
    <row r="36">
      <c r="A36" s="6" t="inlineStr">
        <is>
          <t>Terminal risk-free rate</t>
        </is>
      </c>
      <c r="B36" s="11" t="n">
        <v>0.105</v>
      </c>
      <c r="C36" s="8" t="inlineStr">
        <is>
          <t>from the house macro path: terminal inflation plus the real-rate convention, derived and never quoted.</t>
        </is>
      </c>
    </row>
    <row r="37">
      <c r="A37" s="6" t="inlineStr">
        <is>
          <t>Terminal equity risk premium</t>
        </is>
      </c>
      <c r="B37" s="11" t="n">
        <v>0.07000000000000001</v>
      </c>
    </row>
    <row r="38">
      <c r="A38" s="6" t="inlineStr">
        <is>
          <t xml:space="preserve">   of which the terminal country premium — charged FLAT, once</t>
        </is>
      </c>
      <c r="B38" s="11" t="n">
        <v>0.027732</v>
      </c>
      <c r="C38" s="8" t="inlineStr">
        <is>
          <t>the terminal premium splits the same way the explicit one does; a country premium that stops being multiplied by beta in year five and starts again in perpetuity would be two views of one sovereign.</t>
        </is>
      </c>
    </row>
    <row r="39">
      <c r="A39" s="6" t="inlineStr">
        <is>
          <t>Terminal cost of equity Ke(T) = rf(T) + beta x mature premium + country premium</t>
        </is>
      </c>
      <c r="B39" s="13">
        <f>B36+B10*(B37-B38)+B38</f>
        <v/>
      </c>
      <c r="C39" s="8" t="inlineStr">
        <is>
          <t>the same beta as the explicit window, on the mature leg only; the construction is named, not assumed.</t>
        </is>
      </c>
    </row>
    <row r="40">
      <c r="A40" s="6" t="inlineStr">
        <is>
          <t>Justified price-to-book = (ROE - g) / (Ke(T) - g)</t>
        </is>
      </c>
      <c r="B40" s="16">
        <f>(B32-B19)/(B39-B19)</f>
        <v/>
      </c>
      <c r="C40" s="8" t="inlineStr">
        <is>
          <t>the residual-income identity in its terminal form. THE TERMINAL Ke IS THE GENEROUS END and it is used deliberately: the explicit-window Ke would put this leg at a fraction of the figure below.</t>
        </is>
      </c>
    </row>
    <row r="41">
      <c r="A41" s="17" t="inlineStr">
        <is>
          <t>GB Capital lending leg (EGP mn)</t>
        </is>
      </c>
      <c r="B41" s="18">
        <f>B26*B40</f>
        <v/>
      </c>
    </row>
    <row r="42">
      <c r="A42" s="6" t="inlineStr">
        <is>
          <t>memo: the same leg on the FY2025 return framing</t>
        </is>
      </c>
      <c r="B42" s="14">
        <f>B26*((B35-B19)/(B39-B19))</f>
        <v/>
      </c>
      <c r="C42" s="8" t="inlineStr">
        <is>
          <t>published so a reader sees the choice and not only its result.</t>
        </is>
      </c>
    </row>
    <row r="43">
      <c r="A43" s="6" t="inlineStr">
        <is>
          <t>memo: GB Capital operating equity per share — a DISCLOSED FLOOR, never weighted</t>
        </is>
      </c>
      <c r="B43" s="19">
        <f>B26/B6</f>
        <v/>
      </c>
    </row>
    <row r="44">
      <c r="A44" s="5" t="inlineStr">
        <is>
          <t>LEG 3 — THE ASSOCIATES: the contested judgement, computed BOTH ways</t>
        </is>
      </c>
    </row>
    <row r="45">
      <c r="A45" s="6" t="inlineStr">
        <is>
          <t>MNT-Halan round valuation (USD mn, June-2026 first close)</t>
        </is>
      </c>
      <c r="B45" s="9" t="n">
        <v>1400</v>
      </c>
    </row>
    <row r="46">
      <c r="A46" s="6" t="inlineStr">
        <is>
          <t>GB Corp stake in MNT-Halan — the figure the company states</t>
        </is>
      </c>
      <c r="B46" s="11" t="n">
        <v>0.4161</v>
      </c>
      <c r="C46" s="8" t="inlineStr">
        <is>
          <t>GB Corp's own press release of 9 June 2026 on MNT-Halan's Al Ahly Capital-led capital increase: the stake 'will be adjusted to 41.61%, compared to 42.58% prior to the transaction'</t>
        </is>
      </c>
    </row>
    <row r="47">
      <c r="A47" s="6" t="inlineStr">
        <is>
          <t>EGP per USD applied to the mark</t>
        </is>
      </c>
      <c r="B47" s="7" t="n">
        <v>47.5</v>
      </c>
      <c r="C47" s="8" t="inlineStr">
        <is>
          <t>a flagged estimate, and material to this one line.</t>
        </is>
      </c>
    </row>
    <row r="48">
      <c r="A48" s="17" t="inlineStr">
        <is>
          <t>BRANCH A — MNT-Halan at the June-2026 round price</t>
        </is>
      </c>
      <c r="B48" s="18">
        <f>B45*B46*B47</f>
        <v/>
      </c>
    </row>
    <row r="49">
      <c r="A49" s="6" t="inlineStr">
        <is>
          <t>BRANCH B — MNT-Halan at its reviewed carrying value, 30 June 2026</t>
        </is>
      </c>
      <c r="B49" s="9" t="n">
        <v>15733.523</v>
      </c>
      <c r="C49" s="8" t="inlineStr">
        <is>
          <t>note 34 to the reviewed consolidated interim statements. The review conclusion on those statements is QUALIFIED at exactly this line, so this branch is not a safe harbour either.</t>
        </is>
      </c>
    </row>
    <row r="50">
      <c r="A50" s="6" t="inlineStr">
        <is>
          <t>Other associates (Bedaya, Kaf) — by identity off the note's own total</t>
        </is>
      </c>
      <c r="B50" s="14">
        <f>B25-B49</f>
        <v/>
      </c>
      <c r="C50" s="8" t="inlineStr">
        <is>
          <t>the total and the MNT-Halan row each foot; three smaller rows carry a reading ambiguity in one cell, so the residual is the figure that can be reproduced.</t>
        </is>
      </c>
    </row>
    <row r="51">
      <c r="A51" s="6" t="inlineStr">
        <is>
          <t>Associates — branch A (round price)</t>
        </is>
      </c>
      <c r="B51" s="14">
        <f>B48+B50</f>
        <v/>
      </c>
    </row>
    <row r="52">
      <c r="A52" s="6" t="inlineStr">
        <is>
          <t>Associates — branch B (reviewed carrying value)</t>
        </is>
      </c>
      <c r="B52" s="14">
        <f>B49+B50</f>
        <v/>
      </c>
    </row>
    <row r="53">
      <c r="A53" s="5" t="inlineStr">
        <is>
          <t>CROSS-CHECK INPUTS — the relative multiple and the disclosed floor</t>
        </is>
      </c>
    </row>
    <row r="54">
      <c r="A54" s="6" t="inlineStr">
        <is>
          <t>GB Corp close, year-end 2023 (EGP)</t>
        </is>
      </c>
      <c r="B54" s="7" t="n">
        <v>7.9</v>
      </c>
    </row>
    <row r="55">
      <c r="A55" s="6" t="inlineStr">
        <is>
          <t>Net profit attributable, FY2023</t>
        </is>
      </c>
      <c r="B55" s="15" t="n">
        <v>1890.8</v>
      </c>
    </row>
    <row r="56">
      <c r="A56" s="6" t="inlineStr">
        <is>
          <t>GB Corp close, year-end 2024 (EGP)</t>
        </is>
      </c>
      <c r="B56" s="7" t="n">
        <v>17.13</v>
      </c>
    </row>
    <row r="57">
      <c r="A57" s="6" t="inlineStr">
        <is>
          <t>Net profit attributable, FY2024</t>
        </is>
      </c>
      <c r="B57" s="15" t="n">
        <v>2928.1</v>
      </c>
    </row>
    <row r="58">
      <c r="A58" s="6" t="inlineStr">
        <is>
          <t>GB Corp close, year-end 2025 (EGP)</t>
        </is>
      </c>
      <c r="B58" s="7" t="n">
        <v>27</v>
      </c>
    </row>
    <row r="59">
      <c r="A59" s="6" t="inlineStr">
        <is>
          <t>Net profit attributable, FY2025</t>
        </is>
      </c>
      <c r="B59" s="15" t="n">
        <v>2880</v>
      </c>
    </row>
    <row r="60">
      <c r="A60" s="6" t="inlineStr">
        <is>
          <t>Shareholders' equity before NCI, 30 June 2026</t>
        </is>
      </c>
      <c r="B60" s="9" t="n">
        <v>33454.3</v>
      </c>
      <c r="C60" s="8" t="inlineStr">
        <is>
          <t>the disclosed floor. It is worth printing because the shares trade BELOW it.</t>
        </is>
      </c>
    </row>
    <row r="61">
      <c r="A61" s="5" t="inlineStr">
        <is>
          <t>MONTE CARLO — a separate lens on a separate clock; engine outputs, not a sheet simulation</t>
        </is>
      </c>
    </row>
    <row r="62">
      <c r="A62" s="6" t="inlineStr">
        <is>
          <t>Anchor volatility (HAR forecast, annualised)</t>
        </is>
      </c>
      <c r="B62" s="10" t="n">
        <v>0.4968</v>
      </c>
    </row>
    <row r="63">
      <c r="A63" s="6" t="inlineStr">
        <is>
          <t>Secular drift (daily log-return, expanding window)</t>
        </is>
      </c>
      <c r="B63" s="20" t="n">
        <v>0.000415</v>
      </c>
    </row>
    <row r="64">
      <c r="A64" s="6" t="inlineStr">
        <is>
          <t>Net factor drift per quarter</t>
        </is>
      </c>
      <c r="B64" s="10" t="n">
        <v>0.0146</v>
      </c>
    </row>
    <row r="65">
      <c r="A65" s="6" t="inlineStr">
        <is>
          <t>Paths / seed</t>
        </is>
      </c>
      <c r="B65" s="21" t="inlineStr">
        <is>
          <t>50,000 / 42</t>
        </is>
      </c>
    </row>
    <row r="66">
      <c r="A66" s="5" t="inlineStr">
        <is>
          <t>FORECAST DRIVERS (FY26E–FY30E) — the units x ASP build; every driver disclosed</t>
        </is>
      </c>
    </row>
    <row r="67">
      <c r="A67" s="17" t="inlineStr">
        <is>
          <t>Driver \ year</t>
        </is>
      </c>
      <c r="C67" s="5" t="inlineStr">
        <is>
          <t>FY26E</t>
        </is>
      </c>
      <c r="D67" s="5" t="inlineStr">
        <is>
          <t>FY27E</t>
        </is>
      </c>
      <c r="E67" s="5" t="inlineStr">
        <is>
          <t>FY28E</t>
        </is>
      </c>
      <c r="F67" s="5" t="inlineStr">
        <is>
          <t>FY29E</t>
        </is>
      </c>
      <c r="G67" s="5" t="inlineStr">
        <is>
          <t>FY30E</t>
        </is>
      </c>
    </row>
    <row r="68">
      <c r="A68" s="6" t="inlineStr">
        <is>
          <t>PC volume growth</t>
        </is>
      </c>
      <c r="C68" s="10" t="n">
        <v>0.12</v>
      </c>
      <c r="D68" s="10" t="n">
        <v>0.14</v>
      </c>
      <c r="E68" s="10" t="n">
        <v>0.1</v>
      </c>
      <c r="F68" s="10" t="n">
        <v>0.08</v>
      </c>
      <c r="G68" s="10" t="n">
        <v>0.06</v>
      </c>
    </row>
    <row r="69">
      <c r="A69" s="6" t="inlineStr">
        <is>
          <t>PC ASP growth</t>
        </is>
      </c>
      <c r="C69" s="10" t="n">
        <v>0.06</v>
      </c>
      <c r="D69" s="10" t="n">
        <v>0.07000000000000001</v>
      </c>
      <c r="E69" s="10" t="n">
        <v>0.07000000000000001</v>
      </c>
      <c r="F69" s="10" t="n">
        <v>0.06</v>
      </c>
      <c r="G69" s="10" t="n">
        <v>0.06</v>
      </c>
    </row>
    <row r="70">
      <c r="A70" s="6" t="inlineStr">
        <is>
          <t>CV&amp;CE volume growth</t>
        </is>
      </c>
      <c r="C70" s="10" t="n">
        <v>0.25</v>
      </c>
      <c r="D70" s="10" t="n">
        <v>0.18</v>
      </c>
      <c r="E70" s="10" t="n">
        <v>0.12</v>
      </c>
      <c r="F70" s="10" t="n">
        <v>0.1</v>
      </c>
      <c r="G70" s="10" t="n">
        <v>0.08</v>
      </c>
    </row>
    <row r="71">
      <c r="A71" s="6" t="inlineStr">
        <is>
          <t>CV&amp;CE ASP growth</t>
        </is>
      </c>
      <c r="C71" s="10" t="n">
        <v>0.05</v>
      </c>
      <c r="D71" s="10" t="n">
        <v>0.05</v>
      </c>
      <c r="E71" s="10" t="n">
        <v>0.05</v>
      </c>
      <c r="F71" s="10" t="n">
        <v>0.05</v>
      </c>
      <c r="G71" s="10" t="n">
        <v>0.05</v>
      </c>
    </row>
    <row r="72">
      <c r="A72" s="6" t="inlineStr">
        <is>
          <t>Light-Mobility volume growth</t>
        </is>
      </c>
      <c r="C72" s="10" t="n">
        <v>0.3</v>
      </c>
      <c r="D72" s="10" t="n">
        <v>0.2</v>
      </c>
      <c r="E72" s="10" t="n">
        <v>0.15</v>
      </c>
      <c r="F72" s="10" t="n">
        <v>0.12</v>
      </c>
      <c r="G72" s="10" t="n">
        <v>0.1</v>
      </c>
    </row>
    <row r="73">
      <c r="A73" s="6" t="inlineStr">
        <is>
          <t>Light-Mobility ASP growth</t>
        </is>
      </c>
      <c r="C73" s="10" t="n">
        <v>0.05</v>
      </c>
      <c r="D73" s="10" t="n">
        <v>0.05</v>
      </c>
      <c r="E73" s="10" t="n">
        <v>0.05</v>
      </c>
      <c r="F73" s="10" t="n">
        <v>0.05</v>
      </c>
      <c r="G73" s="10" t="n">
        <v>0.05</v>
      </c>
    </row>
    <row r="74">
      <c r="A74" s="6" t="inlineStr">
        <is>
          <t>Trading revenue growth</t>
        </is>
      </c>
      <c r="C74" s="10" t="n">
        <v>0.18</v>
      </c>
      <c r="D74" s="10" t="n">
        <v>0.15</v>
      </c>
      <c r="E74" s="10" t="n">
        <v>0.12</v>
      </c>
      <c r="F74" s="10" t="n">
        <v>0.1</v>
      </c>
      <c r="G74" s="10" t="n">
        <v>0.1</v>
      </c>
    </row>
    <row r="75">
      <c r="A75" s="6" t="inlineStr">
        <is>
          <t>GB Capital revenue growth</t>
        </is>
      </c>
      <c r="C75" s="10" t="n">
        <v>0.45</v>
      </c>
      <c r="D75" s="10" t="n">
        <v>0.3</v>
      </c>
      <c r="E75" s="10" t="n">
        <v>0.25</v>
      </c>
      <c r="F75" s="10" t="n">
        <v>0.2</v>
      </c>
      <c r="G75" s="10" t="n">
        <v>0.18</v>
      </c>
    </row>
    <row r="76">
      <c r="A76" s="6" t="inlineStr">
        <is>
          <t>GB Capital loan-book growth</t>
        </is>
      </c>
      <c r="C76" s="10" t="n">
        <v>0.35</v>
      </c>
      <c r="D76" s="10" t="n">
        <v>0.28</v>
      </c>
      <c r="E76" s="10" t="n">
        <v>0.24</v>
      </c>
      <c r="F76" s="10" t="n">
        <v>0.2</v>
      </c>
      <c r="G76" s="10" t="n">
        <v>0.18</v>
      </c>
    </row>
    <row r="77">
      <c r="A77" s="6" t="inlineStr">
        <is>
          <t>Auto gross margin</t>
        </is>
      </c>
      <c r="C77" s="10" t="n">
        <v>0.138</v>
      </c>
      <c r="D77" s="10" t="n">
        <v>0.142</v>
      </c>
      <c r="E77" s="10" t="n">
        <v>0.145</v>
      </c>
      <c r="F77" s="10" t="n">
        <v>0.145</v>
      </c>
      <c r="G77" s="10" t="n">
        <v>0.145</v>
      </c>
    </row>
    <row r="78">
      <c r="A78" s="6" t="inlineStr">
        <is>
          <t>Auto GS&amp;A (% of revenue)</t>
        </is>
      </c>
      <c r="C78" s="10" t="n">
        <v>0.073</v>
      </c>
      <c r="D78" s="10" t="n">
        <v>0.07199999999999999</v>
      </c>
      <c r="E78" s="10" t="n">
        <v>0.07099999999999999</v>
      </c>
      <c r="F78" s="10" t="n">
        <v>0.07000000000000001</v>
      </c>
      <c r="G78" s="10" t="n">
        <v>0.07000000000000001</v>
      </c>
    </row>
    <row r="79">
      <c r="A79" s="6" t="inlineStr">
        <is>
          <t>Auto other operating income (% rev)</t>
        </is>
      </c>
      <c r="C79" s="10" t="n">
        <v>0.012</v>
      </c>
      <c r="D79" s="10" t="n">
        <v>0.012</v>
      </c>
      <c r="E79" s="10" t="n">
        <v>0.012</v>
      </c>
      <c r="F79" s="10" t="n">
        <v>0.012</v>
      </c>
      <c r="G79" s="10" t="n">
        <v>0.012</v>
      </c>
    </row>
    <row r="80">
      <c r="A80" s="6" t="inlineStr">
        <is>
          <t>Auto provisions (% rev)</t>
        </is>
      </c>
      <c r="C80" s="10" t="n">
        <v>-0.003</v>
      </c>
      <c r="D80" s="10" t="n">
        <v>-0.003</v>
      </c>
      <c r="E80" s="10" t="n">
        <v>-0.003</v>
      </c>
      <c r="F80" s="10" t="n">
        <v>-0.003</v>
      </c>
      <c r="G80" s="10" t="n">
        <v>-0.003</v>
      </c>
    </row>
    <row r="81">
      <c r="A81" s="6" t="inlineStr">
        <is>
          <t>Auto D&amp;A (% of revenue)</t>
        </is>
      </c>
      <c r="C81" s="10" t="n">
        <v>0.011</v>
      </c>
      <c r="D81" s="10" t="n">
        <v>0.011</v>
      </c>
      <c r="E81" s="10" t="n">
        <v>0.011</v>
      </c>
      <c r="F81" s="10" t="n">
        <v>0.011</v>
      </c>
      <c r="G81" s="10" t="n">
        <v>0.011</v>
      </c>
    </row>
    <row r="82">
      <c r="A82" s="6" t="inlineStr">
        <is>
          <t>Auto capex (EGP mn)</t>
        </is>
      </c>
      <c r="C82" s="9" t="n">
        <v>3000</v>
      </c>
      <c r="D82" s="9" t="n">
        <v>2400</v>
      </c>
      <c r="E82" s="9" t="n">
        <v>2500</v>
      </c>
      <c r="F82" s="9" t="n">
        <v>2600</v>
      </c>
      <c r="G82" s="9" t="n">
        <v>2800</v>
      </c>
    </row>
    <row r="83">
      <c r="A83" s="6" t="inlineStr">
        <is>
          <t>Rental-fleet &amp; other capex (EGP mn)</t>
        </is>
      </c>
      <c r="C83" s="9" t="n">
        <v>700</v>
      </c>
      <c r="D83" s="9" t="n">
        <v>800</v>
      </c>
      <c r="E83" s="9" t="n">
        <v>900</v>
      </c>
      <c r="F83" s="9" t="n">
        <v>1000</v>
      </c>
      <c r="G83" s="9" t="n">
        <v>1100</v>
      </c>
    </row>
    <row r="84">
      <c r="A84" s="6" t="inlineStr">
        <is>
          <t>GB Capital D&amp;A (EGP mn)</t>
        </is>
      </c>
      <c r="C84" s="9" t="n">
        <v>560</v>
      </c>
      <c r="D84" s="9" t="n">
        <v>640</v>
      </c>
      <c r="E84" s="9" t="n">
        <v>730</v>
      </c>
      <c r="F84" s="9" t="n">
        <v>830</v>
      </c>
      <c r="G84" s="9" t="n">
        <v>940</v>
      </c>
    </row>
    <row r="85">
      <c r="A85" s="6" t="inlineStr">
        <is>
          <t>Auto inventory (% of Auto rev)</t>
        </is>
      </c>
      <c r="C85" s="10" t="n">
        <v>0.36</v>
      </c>
      <c r="D85" s="10" t="n">
        <v>0.338</v>
      </c>
      <c r="E85" s="10" t="n">
        <v>0.32</v>
      </c>
      <c r="F85" s="10" t="n">
        <v>0.308</v>
      </c>
      <c r="G85" s="10" t="n">
        <v>0.296</v>
      </c>
    </row>
    <row r="86">
      <c r="A86" s="6" t="inlineStr">
        <is>
          <t>Auto receivables (% of Auto rev)</t>
        </is>
      </c>
      <c r="C86" s="10" t="n">
        <v>0.08</v>
      </c>
      <c r="D86" s="10" t="n">
        <v>0.08</v>
      </c>
      <c r="E86" s="10" t="n">
        <v>0.08</v>
      </c>
      <c r="F86" s="10" t="n">
        <v>0.08</v>
      </c>
      <c r="G86" s="10" t="n">
        <v>0.08</v>
      </c>
    </row>
    <row r="87">
      <c r="A87" s="6" t="inlineStr">
        <is>
          <t>Auto advances &amp; debtors (% rev)</t>
        </is>
      </c>
      <c r="C87" s="10" t="n">
        <v>0.07000000000000001</v>
      </c>
      <c r="D87" s="10" t="n">
        <v>0.06900000000000001</v>
      </c>
      <c r="E87" s="10" t="n">
        <v>0.0675</v>
      </c>
      <c r="F87" s="10" t="n">
        <v>0.066</v>
      </c>
      <c r="G87" s="10" t="n">
        <v>0.0645</v>
      </c>
    </row>
    <row r="88">
      <c r="A88" s="6" t="inlineStr">
        <is>
          <t>Auto payables (% of Auto rev)</t>
        </is>
      </c>
      <c r="C88" s="10" t="n">
        <v>0.245</v>
      </c>
      <c r="D88" s="10" t="n">
        <v>0.237</v>
      </c>
      <c r="E88" s="10" t="n">
        <v>0.2325</v>
      </c>
      <c r="F88" s="10" t="n">
        <v>0.229</v>
      </c>
      <c r="G88" s="10" t="n">
        <v>0.2255</v>
      </c>
    </row>
    <row r="89">
      <c r="A89" s="6" t="inlineStr">
        <is>
          <t>Group opex S&amp;M+Admin (% of group rev)</t>
        </is>
      </c>
      <c r="C89" s="10" t="n">
        <v>0.08</v>
      </c>
      <c r="D89" s="10" t="n">
        <v>0.079</v>
      </c>
      <c r="E89" s="10" t="n">
        <v>0.078</v>
      </c>
      <c r="F89" s="10" t="n">
        <v>0.0775</v>
      </c>
      <c r="G89" s="10" t="n">
        <v>0.077</v>
      </c>
    </row>
    <row r="90">
      <c r="A90" s="6" t="inlineStr">
        <is>
          <t>Group other income (% of group rev)</t>
        </is>
      </c>
      <c r="C90" s="10" t="n">
        <v>0.011</v>
      </c>
      <c r="D90" s="10" t="n">
        <v>0.011</v>
      </c>
      <c r="E90" s="10" t="n">
        <v>0.011</v>
      </c>
      <c r="F90" s="10" t="n">
        <v>0.011</v>
      </c>
      <c r="G90" s="10" t="n">
        <v>0.011</v>
      </c>
    </row>
    <row r="91">
      <c r="A91" s="6" t="inlineStr">
        <is>
          <t>Group provisions (% of group rev)</t>
        </is>
      </c>
      <c r="C91" s="10" t="n">
        <v>-0.003</v>
      </c>
      <c r="D91" s="10" t="n">
        <v>-0.003</v>
      </c>
      <c r="E91" s="10" t="n">
        <v>-0.003</v>
      </c>
      <c r="F91" s="10" t="n">
        <v>-0.003</v>
      </c>
      <c r="G91" s="10" t="n">
        <v>-0.003</v>
      </c>
    </row>
    <row r="92">
      <c r="A92" s="6" t="inlineStr">
        <is>
          <t>GB Capital gross margin</t>
        </is>
      </c>
      <c r="C92" s="10" t="n">
        <v>0.188</v>
      </c>
      <c r="D92" s="10" t="n">
        <v>0.19</v>
      </c>
      <c r="E92" s="10" t="n">
        <v>0.192</v>
      </c>
      <c r="F92" s="10" t="n">
        <v>0.194</v>
      </c>
      <c r="G92" s="10" t="n">
        <v>0.196</v>
      </c>
    </row>
    <row r="93">
      <c r="A93" s="6" t="inlineStr">
        <is>
          <t>Associates income (EGP mn)</t>
        </is>
      </c>
      <c r="C93" s="9" t="n">
        <v>1250</v>
      </c>
      <c r="D93" s="9" t="n">
        <v>1430</v>
      </c>
      <c r="E93" s="9" t="n">
        <v>1630</v>
      </c>
      <c r="F93" s="9" t="n">
        <v>1830</v>
      </c>
      <c r="G93" s="9" t="n">
        <v>2030</v>
      </c>
    </row>
    <row r="94">
      <c r="A94" s="6" t="inlineStr">
        <is>
          <t>Net finance cost (EGP mn)</t>
        </is>
      </c>
      <c r="C94" s="9" t="n">
        <v>-4100</v>
      </c>
      <c r="D94" s="9" t="n">
        <v>-3800</v>
      </c>
      <c r="E94" s="9" t="n">
        <v>-3500</v>
      </c>
      <c r="F94" s="9" t="n">
        <v>-3300</v>
      </c>
      <c r="G94" s="9" t="n">
        <v>-3100</v>
      </c>
    </row>
    <row r="95">
      <c r="A95" s="6" t="inlineStr">
        <is>
          <t>Minority interest (% of NP before MI)</t>
        </is>
      </c>
      <c r="C95" s="10" t="n">
        <v>-0.02</v>
      </c>
      <c r="D95" s="10" t="n">
        <v>-0.02</v>
      </c>
      <c r="E95" s="10" t="n">
        <v>-0.02</v>
      </c>
      <c r="F95" s="10" t="n">
        <v>-0.02</v>
      </c>
      <c r="G95" s="10" t="n">
        <v>-0.02</v>
      </c>
    </row>
    <row r="96">
      <c r="A96" s="6" t="inlineStr">
        <is>
          <t>Increase in borrowings, net (EGP mn)</t>
        </is>
      </c>
      <c r="C96" s="9" t="n">
        <v>5500</v>
      </c>
      <c r="D96" s="9" t="n">
        <v>5200</v>
      </c>
      <c r="E96" s="9" t="n">
        <v>5600</v>
      </c>
      <c r="F96" s="9" t="n">
        <v>5800</v>
      </c>
      <c r="G96" s="9" t="n">
        <v>6100</v>
      </c>
    </row>
    <row r="97">
      <c r="A97" s="6" t="inlineStr">
        <is>
          <t>Dividend payout (of attributable NP)</t>
        </is>
      </c>
      <c r="C97" s="10" t="n">
        <v>0.14</v>
      </c>
      <c r="D97" s="10" t="n">
        <v>0.15</v>
      </c>
      <c r="E97" s="10" t="n">
        <v>0.16</v>
      </c>
      <c r="F97" s="10" t="n">
        <v>0.18</v>
      </c>
      <c r="G97" s="10" t="n">
        <v>0.2</v>
      </c>
    </row>
    <row r="98">
      <c r="A98" s="6" t="inlineStr">
        <is>
          <t>Intercompany eliminations (% of gross revenue)</t>
        </is>
      </c>
      <c r="C98" s="10" t="n">
        <v>0.011</v>
      </c>
      <c r="D98" s="10" t="n">
        <v>0.011</v>
      </c>
      <c r="E98" s="10" t="n">
        <v>0.011</v>
      </c>
      <c r="F98" s="10" t="n">
        <v>0.011</v>
      </c>
      <c r="G98" s="10" t="n">
        <v>0.011</v>
      </c>
    </row>
    <row r="100">
      <c r="A100" s="5" t="inlineStr">
        <is>
          <t>COST-OF-CAPITAL DETAIL (reference; the figures above are what the model reads)</t>
        </is>
      </c>
    </row>
    <row r="101">
      <c r="A101" s="6" t="inlineStr">
        <is>
          <t>Risk-free rate — observed, and how it is normalised</t>
        </is>
      </c>
      <c r="C101" s="8" t="inlineStr">
        <is>
          <t>The observed local-currency government bond yield of 23.00% less this sovereign's OWN default spread of 3.41%, giving 19.59%. Country risk then enters exactly once, inside the equity risk premium, rather than twice.</t>
        </is>
      </c>
    </row>
    <row r="102">
      <c r="A102" s="6" t="inlineStr">
        <is>
          <t>Normalised risk-free rate rf* — rating basis</t>
        </is>
      </c>
      <c r="B102" s="11" t="n">
        <v>0.1663</v>
      </c>
      <c r="C102" s="8" t="inlineStr">
        <is>
          <t>the same observed yield of 23.00% less the RATING-basis default spread of 6.37%. The default spread stripped out and the premium added back must be on the same basis, or country risk is counted once and a half.</t>
        </is>
      </c>
    </row>
    <row r="103">
      <c r="A103" s="6" t="inlineStr">
        <is>
          <t>Equity risk premium — rating basis (the alternative to the adopted market basis)</t>
        </is>
      </c>
      <c r="B103" s="11" t="n">
        <v>0.1394</v>
      </c>
      <c r="C103" s="8" t="inlineStr">
        <is>
          <t>Both bases come from the same published country-risk file for this sovereign and both are published. The market basis is named CENTRAL because it is the market's own live pricing of that credit against an agency judgement updated in steps.</t>
        </is>
      </c>
    </row>
    <row r="104">
      <c r="A104" s="6" t="inlineStr">
        <is>
          <t xml:space="preserve">   of which the country premium, rating basis — charged FLAT, once</t>
        </is>
      </c>
      <c r="B104" s="11" t="n">
        <v>0.09682400000000001</v>
      </c>
      <c r="C104" s="8" t="inlineStr">
        <is>
          <t>the rating-basis premium of 13.94% less the same mature equity premium of 4.26% the market basis carries: the two bases differ in how the SOVEREIGN is read, not in what a mature equity market pays.</t>
        </is>
      </c>
    </row>
    <row r="105">
      <c r="A105" s="6" t="inlineStr">
        <is>
          <t>Cost of equity, alternative (rating-basis premium)</t>
        </is>
      </c>
      <c r="B105" s="13">
        <f>B102+B10*(B103-B104)+B104</f>
        <v/>
      </c>
    </row>
    <row r="106">
      <c r="A106" s="6" t="inlineStr">
        <is>
          <t>Weighted cost of capital, alternative (rating-basis premium)</t>
        </is>
      </c>
      <c r="B106" s="13">
        <f>(1-B17)*B105+B17*B16</f>
        <v/>
      </c>
    </row>
    <row r="107">
      <c r="A107" s="6" t="inlineStr">
        <is>
          <t>Cost of debt — how it was produced</t>
        </is>
      </c>
      <c r="C107" s="8" t="inlineStr">
        <is>
          <t>The company's own effective borrowing rate, computed independently from the filings on the borrowings that ACTUALLY BEAR THE INTEREST rather than on a broader liabilities total. Adopted 26.53% against a latest effective rate of 26.53% and a peak of 29.06%. The book is entirely local-currency on the disclosed facility note, so no foreign tranche is blended in.</t>
        </is>
      </c>
    </row>
    <row r="108">
      <c r="A108" s="6" t="inlineStr">
        <is>
          <t>The schedule, not a single rate</t>
        </is>
      </c>
      <c r="C108" s="8" t="inlineStr">
        <is>
          <t>One forward rate per explicit year on the DCF sheet, gliding from 23.12% to a norm-built terminal of 13.45%, with the terminal brought home on the same cumulative factor as the last explicit year: one date, one price of time. The glide fractions are the policy-rate path's own cumulative progress rather than a second assumption.</t>
        </is>
      </c>
    </row>
    <row r="109">
      <c r="A109" s="6" t="inlineStr">
        <is>
          <t>What is NOT on this sheet, and why</t>
        </is>
      </c>
      <c r="C109" s="8" t="inlineStr">
        <is>
          <t>There is no complexity or conglomerate discount and there are no lens weights. Both were free parameters that had never cleared an out-of-sample test and nothing in the filings disclosed a basis for either. The uncertainty they stood in for is the associate mark, and it is carried as two branches from row 44 down to the last sheet.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50" customWidth="1" min="1" max="1"/>
    <col width="72" customWidth="1" min="2" max="2"/>
    <col width="15" customWidth="1" min="3" max="3"/>
    <col width="15" customWidth="1" min="4" max="4"/>
    <col width="15" customWidth="1" min="5" max="5"/>
  </cols>
  <sheetData>
    <row r="1">
      <c r="A1" s="1" t="inlineStr">
        <is>
          <t>Sum of the parts — the class primary, and it IS the answer</t>
        </is>
      </c>
      <c r="B1" s="2" t="n"/>
      <c r="C1" s="2" t="n"/>
      <c r="D1" s="2" t="n"/>
      <c r="E1" s="2" t="n"/>
    </row>
    <row r="2">
      <c r="A2" s="4" t="inlineStr">
        <is>
          <t>Three legs, and the third has two bases the company itself discloses. Both are carried to the end; nothing between them is computed anywhere in this workbook.</t>
        </is>
      </c>
    </row>
    <row r="5">
      <c r="A5" s="5" t="inlineStr">
        <is>
          <t>Leg</t>
        </is>
      </c>
      <c r="B5" s="5" t="inlineStr">
        <is>
          <t>Basis</t>
        </is>
      </c>
      <c r="C5" s="5" t="inlineStr">
        <is>
          <t>MNT-Halan at its reviewed carrying value</t>
        </is>
      </c>
      <c r="D5" s="5" t="inlineStr">
        <is>
          <t>MNT-Halan at the June-2026 round price</t>
        </is>
      </c>
    </row>
    <row r="6">
      <c r="A6" s="6" t="inlineStr">
        <is>
          <t>GB Auto operating leg</t>
        </is>
      </c>
      <c r="B6" s="8" t="inlineStr">
        <is>
          <t>five-year cash-flow model: enterprise value less the segment's own net debt and minority</t>
        </is>
      </c>
      <c r="C6" s="23">
        <f>DCF!$B$27</f>
        <v/>
      </c>
      <c r="D6" s="23">
        <f>DCF!$B$27</f>
        <v/>
      </c>
    </row>
    <row r="7">
      <c r="A7" s="6" t="inlineStr">
        <is>
          <t>GB Capital lending leg</t>
        </is>
      </c>
      <c r="B7" s="8" t="inlineStr">
        <is>
          <t>operating equity x a justified price-to-book of (ROE - g) / (Ke - g)</t>
        </is>
      </c>
      <c r="C7" s="23">
        <f>Assumptions!$B$41</f>
        <v/>
      </c>
      <c r="D7" s="23">
        <f>Assumptions!$B$41</f>
        <v/>
      </c>
    </row>
    <row r="8">
      <c r="A8" s="6" t="inlineStr">
        <is>
          <t>Associates (MNT-Halan, Bedaya, Kaf)</t>
        </is>
      </c>
      <c r="B8" s="8" t="inlineStr">
        <is>
          <t>the contested judgement: the reviewed carrying value against the June-2026 round price</t>
        </is>
      </c>
      <c r="C8" s="23">
        <f>Assumptions!$B$52</f>
        <v/>
      </c>
      <c r="D8" s="23">
        <f>Assumptions!$B$51</f>
        <v/>
      </c>
    </row>
    <row r="9">
      <c r="A9" s="17" t="inlineStr">
        <is>
          <t>Equity value (EGP mn)</t>
        </is>
      </c>
      <c r="B9" s="8" t="inlineStr"/>
      <c r="C9" s="18">
        <f>SUM(C6:C8)</f>
        <v/>
      </c>
      <c r="D9" s="18">
        <f>SUM(D6:D8)</f>
        <v/>
      </c>
    </row>
    <row r="10">
      <c r="A10" s="6" t="inlineStr">
        <is>
          <t>Shares in issue (mn)</t>
        </is>
      </c>
      <c r="B10" s="8" t="inlineStr"/>
      <c r="C10" s="23">
        <f>Assumptions!$B$6</f>
        <v/>
      </c>
      <c r="D10" s="23">
        <f>Assumptions!$B$6</f>
        <v/>
      </c>
    </row>
    <row r="11">
      <c r="A11" s="17" t="inlineStr">
        <is>
          <t>FAIR VALUE PER SHARE (EGP)</t>
        </is>
      </c>
      <c r="B11" s="8" t="inlineStr"/>
      <c r="C11" s="28">
        <f>C9/C10</f>
        <v/>
      </c>
      <c r="D11" s="28">
        <f>D9/D10</f>
        <v/>
      </c>
    </row>
    <row r="12">
      <c r="A12" s="6" t="inlineStr">
        <is>
          <t>Latest known price (EGP)</t>
        </is>
      </c>
      <c r="B12" s="8" t="inlineStr"/>
      <c r="C12" s="27">
        <f>Assumptions!$B$5</f>
        <v/>
      </c>
      <c r="D12" s="27">
        <f>Assumptions!$B$5</f>
        <v/>
      </c>
    </row>
    <row r="13">
      <c r="A13" s="17" t="inlineStr">
        <is>
          <t>Difference against the price</t>
        </is>
      </c>
      <c r="B13" s="8" t="inlineStr"/>
      <c r="C13" s="29">
        <f>C11/C12-1</f>
        <v/>
      </c>
      <c r="D13" s="29">
        <f>D11/D12-1</f>
        <v/>
      </c>
    </row>
    <row r="15">
      <c r="A15" s="14" t="inlineStr">
        <is>
          <t>memo: MNT-Halan alone (EGP mn)</t>
        </is>
      </c>
      <c r="C15" s="23">
        <f>Assumptions!$B$49</f>
        <v/>
      </c>
      <c r="D15" s="23">
        <f>Assumptions!$B$48</f>
        <v/>
      </c>
    </row>
    <row r="16">
      <c r="A16" s="14" t="inlineStr">
        <is>
          <t>memo: MNT-Halan alone, per share (EGP)</t>
        </is>
      </c>
      <c r="C16" s="19">
        <f>C15/C10</f>
        <v/>
      </c>
      <c r="D16" s="19">
        <f>D15/D10</f>
        <v/>
      </c>
    </row>
    <row r="17">
      <c r="A17" s="14" t="inlineStr">
        <is>
          <t>memo: MNT-Halan as a share of the equity value</t>
        </is>
      </c>
      <c r="C17" s="26">
        <f>C15/C9</f>
        <v/>
      </c>
      <c r="D17" s="26">
        <f>D15/D9</f>
        <v/>
      </c>
    </row>
    <row r="18">
      <c r="A18" s="14" t="inlineStr">
        <is>
          <t>memo: the distance between the two branches, per share (EGP)</t>
        </is>
      </c>
      <c r="B18" s="8" t="inlineStr">
        <is>
          <t>the whole of it is the associate mark; the auto leg and the lender leg are identical in both branches, to the pound.</t>
        </is>
      </c>
      <c r="D18" s="19">
        <f>D11-C11</f>
        <v/>
      </c>
    </row>
    <row r="20">
      <c r="A20" s="8" t="inlineStr">
        <is>
          <t>WHY THERE IS NO SINGLE NUMBER HERE. GB Corp's largest single component is a minority interest in an unlisted company, and the two bases on which the company itself puts a number on it differ by EGP 11.9bn -- 27% of this answer. Both are GB Corp's own disclosures and the filings do not decide between them, so neither does this study. The low end is the equity-accounted carrying value in the reviewed consolidated interim statements at 30 June 2026; the review conclusion on those statements is QUALIFIED at exactly that line, because the reviewers were not provided with the associate's own financial statements — so the conservative branch is not a safe harbour either, and this workbook says so rather than resting on it. The high end is the stake the company states applied to the primary round it announced on 9 June 2026. A primary round prices new money with whatever preferences ride with it, and GB Corp holds an ordinary equity-accounted minority: it is a mark, not a realisable price.</t>
        </is>
      </c>
    </row>
    <row r="22">
      <c r="A22" s="5" t="inlineStr">
        <is>
          <t>THE MARK, PRICED ACROSS ITS OWN RANGE</t>
        </is>
      </c>
    </row>
    <row r="23">
      <c r="A23" s="17" t="inlineStr">
        <is>
          <t>MNT-Halan carried at (EGP mn)</t>
        </is>
      </c>
      <c r="B23" s="17" t="inlineStr">
        <is>
          <t>as a multiple of the reviewed carrying value</t>
        </is>
      </c>
      <c r="C23" s="17" t="inlineStr">
        <is>
          <t>Fair value per share (EGP)</t>
        </is>
      </c>
      <c r="D23" s="17" t="inlineStr"/>
    </row>
    <row r="24">
      <c r="A24" s="23">
        <f>Assumptions!$B$48*0.5</f>
        <v/>
      </c>
      <c r="B24" s="16">
        <f>A24/Assumptions!$B$49</f>
        <v/>
      </c>
      <c r="C24" s="19">
        <f>(DCF!$B$27+Assumptions!$B$41+A24+Assumptions!$B$50)/Assumptions!$B$6</f>
        <v/>
      </c>
      <c r="D24" s="8" t="inlineStr">
        <is>
          <t>the round price haircut to 0.5x — this study's own expert panel's stated sensitivity on a private mark held by a minority holder</t>
        </is>
      </c>
    </row>
    <row r="25">
      <c r="A25" s="23">
        <f>Assumptions!$B$49</f>
        <v/>
      </c>
      <c r="B25" s="16">
        <f>A25/Assumptions!$B$49</f>
        <v/>
      </c>
      <c r="C25" s="19">
        <f>(DCF!$B$27+Assumptions!$B$41+A25+Assumptions!$B$50)/Assumptions!$B$6</f>
        <v/>
      </c>
      <c r="D25" s="8" t="inlineStr">
        <is>
          <t>MNT-Halan at its reviewed carrying value</t>
        </is>
      </c>
    </row>
    <row r="26">
      <c r="A26" s="23">
        <f>Assumptions!$B$48*0.75</f>
        <v/>
      </c>
      <c r="B26" s="16">
        <f>A26/Assumptions!$B$49</f>
        <v/>
      </c>
      <c r="C26" s="19">
        <f>(DCF!$B$27+Assumptions!$B$41+A26+Assumptions!$B$50)/Assumptions!$B$6</f>
        <v/>
      </c>
      <c r="D26" s="8" t="inlineStr">
        <is>
          <t>the round price haircut to 0.75x — this study's own expert panel's stated sensitivity on a private mark held by a minority holder</t>
        </is>
      </c>
    </row>
    <row r="27">
      <c r="A27" s="23">
        <f>Assumptions!$B$48</f>
        <v/>
      </c>
      <c r="B27" s="16">
        <f>A27/Assumptions!$B$49</f>
        <v/>
      </c>
      <c r="C27" s="19">
        <f>(DCF!$B$27+Assumptions!$B$41+A27+Assumptions!$B$50)/Assumptions!$B$6</f>
        <v/>
      </c>
      <c r="D27" s="8" t="inlineStr">
        <is>
          <t>MNT-Halan at the June-2026 round price</t>
        </is>
      </c>
    </row>
    <row r="29">
      <c r="A29" s="8" t="inlineStr">
        <is>
          <t>The two branch rows here ARE the two branches above, recomputed from the legs rather than copied — which is what makes this table a check on the bridge and not a restatement of it. The rungs are not sorted into a line between the branches on purpose: this prices a mark, it does not interpolate an answer.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cols>
    <col width="44"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Segment view — the units x ASP build</t>
        </is>
      </c>
      <c r="B1" s="2" t="n"/>
      <c r="C1" s="2" t="n"/>
      <c r="D1" s="2" t="n"/>
      <c r="E1" s="2" t="n"/>
      <c r="F1" s="2" t="n"/>
      <c r="G1" s="2" t="n"/>
      <c r="H1" s="2" t="n"/>
      <c r="I1" s="2" t="n"/>
      <c r="J1" s="2" t="n"/>
    </row>
    <row r="2">
      <c r="A2" s="4" t="inlineStr">
        <is>
          <t>Volumes and average selling prices per line of business, FY23-FY30E. The forecast links to the drivers on Assumptions; nothing on this sheet is a hardcoded forecast.</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6" t="inlineStr">
        <is>
          <t>PC volume (units)</t>
        </is>
      </c>
      <c r="B6" s="9" t="n">
        <v>26994</v>
      </c>
      <c r="C6" s="9" t="n">
        <v>42043</v>
      </c>
      <c r="D6" s="9" t="n">
        <v>56548</v>
      </c>
      <c r="E6" s="14">
        <f>D6*(1+Assumptions!$C$68)</f>
        <v/>
      </c>
      <c r="F6" s="14">
        <f>E6*(1+Assumptions!$D$68)</f>
        <v/>
      </c>
      <c r="G6" s="14">
        <f>F6*(1+Assumptions!$E$68)</f>
        <v/>
      </c>
      <c r="H6" s="14">
        <f>G6*(1+Assumptions!$F$68)</f>
        <v/>
      </c>
      <c r="I6" s="14">
        <f>H6*(1+Assumptions!$G$68)</f>
        <v/>
      </c>
    </row>
    <row r="7">
      <c r="A7" s="6" t="inlineStr">
        <is>
          <t>PC revenue</t>
        </is>
      </c>
      <c r="B7" s="9" t="n">
        <v>16544.3</v>
      </c>
      <c r="C7" s="9" t="n">
        <v>36533.4</v>
      </c>
      <c r="D7" s="9" t="n">
        <v>52827.3</v>
      </c>
      <c r="E7" s="14">
        <f>E6*E8</f>
        <v/>
      </c>
      <c r="F7" s="14">
        <f>F6*F8</f>
        <v/>
      </c>
      <c r="G7" s="14">
        <f>G6*G8</f>
        <v/>
      </c>
      <c r="H7" s="14">
        <f>H6*H8</f>
        <v/>
      </c>
      <c r="I7" s="14">
        <f>I6*I8</f>
        <v/>
      </c>
    </row>
    <row r="8">
      <c r="A8" s="6" t="inlineStr">
        <is>
          <t>PC ASP (EGP mn/unit)</t>
        </is>
      </c>
      <c r="B8" s="19">
        <f>B7/B6</f>
        <v/>
      </c>
      <c r="C8" s="19">
        <f>C7/C6</f>
        <v/>
      </c>
      <c r="D8" s="19">
        <f>D7/D6</f>
        <v/>
      </c>
      <c r="E8" s="19">
        <f>D8*(1+Assumptions!$C$69)</f>
        <v/>
      </c>
      <c r="F8" s="19">
        <f>E8*(1+Assumptions!$D$69)</f>
        <v/>
      </c>
      <c r="G8" s="19">
        <f>F8*(1+Assumptions!$E$69)</f>
        <v/>
      </c>
      <c r="H8" s="19">
        <f>G8*(1+Assumptions!$F$69)</f>
        <v/>
      </c>
      <c r="I8" s="19">
        <f>H8*(1+Assumptions!$G$69)</f>
        <v/>
      </c>
    </row>
    <row r="9">
      <c r="A9" s="6" t="inlineStr">
        <is>
          <t>CV&amp;CE volume (units)</t>
        </is>
      </c>
      <c r="B9" s="9" t="n">
        <v>2273</v>
      </c>
      <c r="C9" s="9" t="n">
        <v>2096</v>
      </c>
      <c r="D9" s="9" t="n">
        <v>3404</v>
      </c>
      <c r="E9" s="14">
        <f>D9*(1+Assumptions!$C$70)</f>
        <v/>
      </c>
      <c r="F9" s="14">
        <f>E9*(1+Assumptions!$D$70)</f>
        <v/>
      </c>
      <c r="G9" s="14">
        <f>F9*(1+Assumptions!$E$70)</f>
        <v/>
      </c>
      <c r="H9" s="14">
        <f>G9*(1+Assumptions!$F$70)</f>
        <v/>
      </c>
      <c r="I9" s="14">
        <f>H9*(1+Assumptions!$G$70)</f>
        <v/>
      </c>
    </row>
    <row r="10">
      <c r="A10" s="6" t="inlineStr">
        <is>
          <t>CV&amp;CE revenue</t>
        </is>
      </c>
      <c r="B10" s="9" t="n">
        <v>2323</v>
      </c>
      <c r="C10" s="9" t="n">
        <v>3984.5</v>
      </c>
      <c r="D10" s="9" t="n">
        <v>5956.8</v>
      </c>
      <c r="E10" s="14">
        <f>D10*(1+Assumptions!$C$70)*(1+Assumptions!$C$71)</f>
        <v/>
      </c>
      <c r="F10" s="14">
        <f>E10*(1+Assumptions!$D$70)*(1+Assumptions!$D$71)</f>
        <v/>
      </c>
      <c r="G10" s="14">
        <f>F10*(1+Assumptions!$E$70)*(1+Assumptions!$E$71)</f>
        <v/>
      </c>
      <c r="H10" s="14">
        <f>G10*(1+Assumptions!$F$70)*(1+Assumptions!$F$71)</f>
        <v/>
      </c>
      <c r="I10" s="14">
        <f>H10*(1+Assumptions!$G$70)*(1+Assumptions!$G$71)</f>
        <v/>
      </c>
    </row>
    <row r="11">
      <c r="A11" s="6" t="inlineStr">
        <is>
          <t>Light-Mobility volume (units)</t>
        </is>
      </c>
      <c r="B11" s="9" t="n">
        <v>13610</v>
      </c>
      <c r="C11" s="9" t="n">
        <v>20189</v>
      </c>
      <c r="D11" s="9" t="n">
        <v>33906</v>
      </c>
      <c r="E11" s="14">
        <f>D11*(1+Assumptions!$C$72)</f>
        <v/>
      </c>
      <c r="F11" s="14">
        <f>E11*(1+Assumptions!$D$72)</f>
        <v/>
      </c>
      <c r="G11" s="14">
        <f>F11*(1+Assumptions!$E$72)</f>
        <v/>
      </c>
      <c r="H11" s="14">
        <f>G11*(1+Assumptions!$F$72)</f>
        <v/>
      </c>
      <c r="I11" s="14">
        <f>H11*(1+Assumptions!$G$72)</f>
        <v/>
      </c>
    </row>
    <row r="12">
      <c r="A12" s="6" t="inlineStr">
        <is>
          <t>Light-Mobility revenue</t>
        </is>
      </c>
      <c r="B12" s="9" t="n">
        <v>854.2</v>
      </c>
      <c r="C12" s="9" t="n">
        <v>1378.2</v>
      </c>
      <c r="D12" s="9" t="n">
        <v>2203.8</v>
      </c>
      <c r="E12" s="14">
        <f>D12*(1+Assumptions!$C$72)*(1+Assumptions!$C$73)</f>
        <v/>
      </c>
      <c r="F12" s="14">
        <f>E12*(1+Assumptions!$D$72)*(1+Assumptions!$D$73)</f>
        <v/>
      </c>
      <c r="G12" s="14">
        <f>F12*(1+Assumptions!$E$72)*(1+Assumptions!$E$73)</f>
        <v/>
      </c>
      <c r="H12" s="14">
        <f>G12*(1+Assumptions!$F$72)*(1+Assumptions!$F$73)</f>
        <v/>
      </c>
      <c r="I12" s="14">
        <f>H12*(1+Assumptions!$G$72)*(1+Assumptions!$G$73)</f>
        <v/>
      </c>
    </row>
    <row r="13">
      <c r="A13" s="6" t="inlineStr">
        <is>
          <t>Trading revenue (tires + parts)</t>
        </is>
      </c>
      <c r="B13" s="9" t="n">
        <v>2506.8</v>
      </c>
      <c r="C13" s="9" t="n">
        <v>3815.5</v>
      </c>
      <c r="D13" s="9" t="n">
        <v>4242.8</v>
      </c>
      <c r="E13" s="14">
        <f>D13*(1+Assumptions!$C$74)</f>
        <v/>
      </c>
      <c r="F13" s="14">
        <f>E13*(1+Assumptions!$D$74)</f>
        <v/>
      </c>
      <c r="G13" s="14">
        <f>F13*(1+Assumptions!$E$74)</f>
        <v/>
      </c>
      <c r="H13" s="14">
        <f>G13*(1+Assumptions!$F$74)</f>
        <v/>
      </c>
      <c r="I13" s="14">
        <f>H13*(1+Assumptions!$G$74)</f>
        <v/>
      </c>
    </row>
    <row r="14">
      <c r="A14" s="6" t="inlineStr">
        <is>
          <t>Other Auto / after-sales &amp; regional adj.</t>
        </is>
      </c>
      <c r="B14" s="14">
        <f>B15-B7-B10-B12-B13</f>
        <v/>
      </c>
      <c r="C14" s="14">
        <f>C15-C7-C10-C12-C13</f>
        <v/>
      </c>
      <c r="D14" s="14">
        <f>D15-D7-D10-D12-D13</f>
        <v/>
      </c>
      <c r="E14" s="14">
        <f>0</f>
        <v/>
      </c>
      <c r="F14" s="14">
        <f>0</f>
        <v/>
      </c>
      <c r="G14" s="14">
        <f>0</f>
        <v/>
      </c>
      <c r="H14" s="14">
        <f>0</f>
        <v/>
      </c>
      <c r="I14" s="14">
        <f>0</f>
        <v/>
      </c>
    </row>
    <row r="15">
      <c r="A15" s="17" t="inlineStr">
        <is>
          <t>GB Auto total revenue</t>
        </is>
      </c>
      <c r="B15" s="22" t="n">
        <v>23854</v>
      </c>
      <c r="C15" s="22" t="n">
        <v>47065</v>
      </c>
      <c r="D15" s="22" t="n">
        <v>66358.3</v>
      </c>
      <c r="E15" s="18">
        <f>E7+E10+E12+E13+E14</f>
        <v/>
      </c>
      <c r="F15" s="18">
        <f>F7+F10+F12+F13+F14</f>
        <v/>
      </c>
      <c r="G15" s="18">
        <f>G7+G10+G12+G13+G14</f>
        <v/>
      </c>
      <c r="H15" s="18">
        <f>H7+H10+H12+H13+H14</f>
        <v/>
      </c>
      <c r="I15" s="18">
        <f>I7+I10+I12+I13+I14</f>
        <v/>
      </c>
    </row>
    <row r="16">
      <c r="A16" s="6" t="inlineStr">
        <is>
          <t>GB Capital revenue</t>
        </is>
      </c>
      <c r="B16" s="9" t="n">
        <v>4950.9</v>
      </c>
      <c r="C16" s="9" t="n">
        <v>7383.6</v>
      </c>
      <c r="D16" s="9" t="n">
        <v>14743</v>
      </c>
      <c r="E16" s="14">
        <f>D16*(1+Assumptions!$C$75)</f>
        <v/>
      </c>
      <c r="F16" s="14">
        <f>E16*(1+Assumptions!$D$75)</f>
        <v/>
      </c>
      <c r="G16" s="14">
        <f>F16*(1+Assumptions!$E$75)</f>
        <v/>
      </c>
      <c r="H16" s="14">
        <f>G16*(1+Assumptions!$F$75)</f>
        <v/>
      </c>
      <c r="I16" s="14">
        <f>H16*(1+Assumptions!$G$75)</f>
        <v/>
      </c>
    </row>
    <row r="17">
      <c r="A17" s="6" t="inlineStr">
        <is>
          <t>Intercompany eliminations</t>
        </is>
      </c>
      <c r="B17" s="14">
        <f>B18-B15-B16</f>
        <v/>
      </c>
      <c r="C17" s="14">
        <f>C18-C15-C16</f>
        <v/>
      </c>
      <c r="D17" s="14">
        <f>D18-D15-D16</f>
        <v/>
      </c>
      <c r="E17" s="14">
        <f>-(E15+E16)*Assumptions!$C$98</f>
        <v/>
      </c>
      <c r="F17" s="14">
        <f>-(F15+F16)*Assumptions!$D$98</f>
        <v/>
      </c>
      <c r="G17" s="14">
        <f>-(G15+G16)*Assumptions!$E$98</f>
        <v/>
      </c>
      <c r="H17" s="14">
        <f>-(H15+H16)*Assumptions!$F$98</f>
        <v/>
      </c>
      <c r="I17" s="14">
        <f>-(I15+I16)*Assumptions!$G$98</f>
        <v/>
      </c>
    </row>
    <row r="18">
      <c r="A18" s="17" t="inlineStr">
        <is>
          <t>Group revenue</t>
        </is>
      </c>
      <c r="B18" s="22" t="n">
        <v>28317.2</v>
      </c>
      <c r="C18" s="22" t="n">
        <v>53969.5</v>
      </c>
      <c r="D18" s="22" t="n">
        <v>80229.8</v>
      </c>
      <c r="E18" s="18">
        <f>E15+E16+E17</f>
        <v/>
      </c>
      <c r="F18" s="18">
        <f>F15+F16+F17</f>
        <v/>
      </c>
      <c r="G18" s="18">
        <f>G15+G16+G17</f>
        <v/>
      </c>
      <c r="H18" s="18">
        <f>H15+H16+H17</f>
        <v/>
      </c>
      <c r="I18" s="18">
        <f>I15+I16+I17</f>
        <v/>
      </c>
    </row>
    <row r="20">
      <c r="A20" s="6" t="inlineStr">
        <is>
          <t>Auto gross profit</t>
        </is>
      </c>
      <c r="B20" s="9" t="n">
        <v>5813.1</v>
      </c>
      <c r="C20" s="9" t="n">
        <v>9057.4</v>
      </c>
      <c r="D20" s="9" t="n">
        <v>9837.1</v>
      </c>
      <c r="E20" s="14">
        <f>E15*Assumptions!$C$77</f>
        <v/>
      </c>
      <c r="F20" s="14">
        <f>F15*Assumptions!$D$77</f>
        <v/>
      </c>
      <c r="G20" s="14">
        <f>G15*Assumptions!$E$77</f>
        <v/>
      </c>
      <c r="H20" s="14">
        <f>H15*Assumptions!$F$77</f>
        <v/>
      </c>
      <c r="I20" s="14">
        <f>I15*Assumptions!$G$77</f>
        <v/>
      </c>
    </row>
    <row r="21">
      <c r="A21" s="6" t="inlineStr">
        <is>
          <t>Auto gross margin</t>
        </is>
      </c>
      <c r="B21" s="13">
        <f>B20/B15</f>
        <v/>
      </c>
      <c r="C21" s="13">
        <f>C20/C15</f>
        <v/>
      </c>
      <c r="D21" s="13">
        <f>D20/D15</f>
        <v/>
      </c>
      <c r="E21" s="13">
        <f>E20/E15</f>
        <v/>
      </c>
      <c r="F21" s="13">
        <f>F20/F15</f>
        <v/>
      </c>
      <c r="G21" s="13">
        <f>G20/G15</f>
        <v/>
      </c>
      <c r="H21" s="13">
        <f>H20/H15</f>
        <v/>
      </c>
      <c r="I21" s="13">
        <f>I20/I15</f>
        <v/>
      </c>
    </row>
    <row r="22">
      <c r="A22" s="6" t="inlineStr">
        <is>
          <t>Auto EBIT (operating profit)</t>
        </is>
      </c>
      <c r="B22" s="9" t="n">
        <v>3460.9</v>
      </c>
      <c r="C22" s="9" t="n">
        <v>5564.9</v>
      </c>
      <c r="D22" s="9" t="n">
        <v>5830.9</v>
      </c>
      <c r="E22" s="14">
        <f>E20-E15*Assumptions!$C$78+E15*Assumptions!$C$79+E15*Assumptions!$C$80</f>
        <v/>
      </c>
      <c r="F22" s="14">
        <f>F20-F15*Assumptions!$D$78+F15*Assumptions!$D$79+F15*Assumptions!$D$80</f>
        <v/>
      </c>
      <c r="G22" s="14">
        <f>G20-G15*Assumptions!$E$78+G15*Assumptions!$E$79+G15*Assumptions!$E$80</f>
        <v/>
      </c>
      <c r="H22" s="14">
        <f>H20-H15*Assumptions!$F$78+H15*Assumptions!$F$79+H15*Assumptions!$F$80</f>
        <v/>
      </c>
      <c r="I22" s="14">
        <f>I20-I15*Assumptions!$G$78+I15*Assumptions!$G$79+I15*Assumptions!$G$80</f>
        <v/>
      </c>
    </row>
    <row r="23">
      <c r="A23" s="6" t="inlineStr">
        <is>
          <t>Auto D&amp;A</t>
        </is>
      </c>
      <c r="B23" s="9" t="n">
        <v>374.3</v>
      </c>
      <c r="C23" s="9" t="n">
        <v>525.7</v>
      </c>
      <c r="D23" s="9" t="n">
        <v>683.3</v>
      </c>
      <c r="E23" s="14">
        <f>E15*Assumptions!$C$81</f>
        <v/>
      </c>
      <c r="F23" s="14">
        <f>F15*Assumptions!$D$81</f>
        <v/>
      </c>
      <c r="G23" s="14">
        <f>G15*Assumptions!$E$81</f>
        <v/>
      </c>
      <c r="H23" s="14">
        <f>H15*Assumptions!$F$81</f>
        <v/>
      </c>
      <c r="I23" s="14">
        <f>I15*Assumptions!$G$81</f>
        <v/>
      </c>
    </row>
    <row r="24">
      <c r="A24" s="6" t="inlineStr">
        <is>
          <t>Auto EBITDA</t>
        </is>
      </c>
      <c r="B24" s="14">
        <f>B22+B23</f>
        <v/>
      </c>
      <c r="C24" s="14">
        <f>C22+C23</f>
        <v/>
      </c>
      <c r="D24" s="14">
        <f>D22+D23</f>
        <v/>
      </c>
      <c r="E24" s="14">
        <f>E22+E23</f>
        <v/>
      </c>
      <c r="F24" s="14">
        <f>F22+F23</f>
        <v/>
      </c>
      <c r="G24" s="14">
        <f>G22+G23</f>
        <v/>
      </c>
      <c r="H24" s="14">
        <f>H22+H23</f>
        <v/>
      </c>
      <c r="I24" s="14">
        <f>I22+I23</f>
        <v/>
      </c>
    </row>
    <row r="25">
      <c r="A25" s="6" t="inlineStr">
        <is>
          <t>Auto EBITDA margin</t>
        </is>
      </c>
      <c r="B25" s="13">
        <f>B24/B15</f>
        <v/>
      </c>
      <c r="C25" s="13">
        <f>C24/C15</f>
        <v/>
      </c>
      <c r="D25" s="13">
        <f>D24/D15</f>
        <v/>
      </c>
      <c r="E25" s="13">
        <f>E24/E15</f>
        <v/>
      </c>
      <c r="F25" s="13">
        <f>F24/F15</f>
        <v/>
      </c>
      <c r="G25" s="13">
        <f>G24/G15</f>
        <v/>
      </c>
      <c r="H25" s="13">
        <f>H24/H15</f>
        <v/>
      </c>
      <c r="I25" s="13">
        <f>I24/I15</f>
        <v/>
      </c>
    </row>
    <row r="26">
      <c r="A26" s="6" t="inlineStr">
        <is>
          <t>GB Capital operating profit</t>
        </is>
      </c>
      <c r="B26" s="9" t="n">
        <v>243.7</v>
      </c>
      <c r="C26" s="9" t="n">
        <v>380.1</v>
      </c>
      <c r="D26" s="9" t="n">
        <v>788.5</v>
      </c>
    </row>
    <row r="27">
      <c r="A27" s="6" t="inlineStr">
        <is>
          <t>GB Capital net profit (after NCI)</t>
        </is>
      </c>
      <c r="B27" s="9" t="n">
        <v>1207.6</v>
      </c>
      <c r="C27" s="9" t="n">
        <v>1091.5</v>
      </c>
      <c r="D27" s="9" t="n">
        <v>1365.9</v>
      </c>
    </row>
    <row r="28">
      <c r="A28" s="6" t="inlineStr">
        <is>
          <t>GB Capital on-book loan portfolio</t>
        </is>
      </c>
      <c r="B28" s="9" t="n">
        <v>8980.5</v>
      </c>
      <c r="C28" s="9" t="n">
        <v>13183.4</v>
      </c>
      <c r="D28" s="9" t="n">
        <v>19495.2</v>
      </c>
    </row>
    <row r="30">
      <c r="A30" s="6" t="inlineStr">
        <is>
          <t>GB Auto 1H2026 reviewed gross margin — the forecast anchor</t>
        </is>
      </c>
      <c r="B30" s="11" t="n">
        <v>0.1429756505878091</v>
      </c>
      <c r="C30" s="8" t="inlineStr">
        <is>
          <t>The latest reviewed period, from the segment income statement in the 2Q26 release: revenue 40,021.5 and gross profit 5,722.1. The forecast OPENS BELOW it, at 13.80%, and the gap is 3.5% relative — inside the 5% materiality line, so no mechanism is claimed for it.</t>
        </is>
      </c>
    </row>
    <row r="31">
      <c r="A31" s="8" t="inlineStr">
        <is>
          <t>Source: GB Corp 4Q23 / 4Q24 / 4Q25 earnings releases. "Other Auto" is the residual against the disclosed segment total, so each historical column foots to the revenue the company published; it is set to zero in the forecast, which is conservative. Historical eliminations are likewise the residual against disclosed group revenue.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8" customWidth="1" min="1" max="1"/>
    <col width="15" customWidth="1" min="2" max="2"/>
    <col width="60" customWidth="1" min="3" max="3"/>
    <col width="15" customWidth="1" min="4" max="4"/>
    <col width="15" customWidth="1" min="5" max="5"/>
    <col width="15" customWidth="1" min="6" max="6"/>
  </cols>
  <sheetData>
    <row r="1">
      <c r="A1" s="1" t="inlineStr">
        <is>
          <t>The cross-checks — a relative multiple off the company's own history, and the disclosed floor</t>
        </is>
      </c>
      <c r="B1" s="2" t="n"/>
      <c r="C1" s="2" t="n"/>
      <c r="D1" s="2" t="n"/>
      <c r="E1" s="2" t="n"/>
      <c r="F1" s="2" t="n"/>
    </row>
    <row r="2">
      <c r="A2" s="4" t="inlineStr">
        <is>
          <t>Published beside the primary and never averaged into it. There is no normalised-earnings lens for this class, and the reason is at the foot of this sheet.</t>
        </is>
      </c>
    </row>
    <row r="5">
      <c r="A5" s="5" t="inlineStr">
        <is>
          <t>GB Corp's OWN trailing price-to-earnings, at its last three year-end closes</t>
        </is>
      </c>
      <c r="B5" s="5" t="inlineStr">
        <is>
          <t>Close (EGP)</t>
        </is>
      </c>
      <c r="C5" s="5" t="inlineStr">
        <is>
          <t>Net profit attributable</t>
        </is>
      </c>
      <c r="D5" s="5" t="inlineStr">
        <is>
          <t>EPS (EGP)</t>
        </is>
      </c>
      <c r="E5" s="5" t="inlineStr">
        <is>
          <t>Trailing P/E</t>
        </is>
      </c>
    </row>
    <row r="6">
      <c r="A6" s="14" t="inlineStr">
        <is>
          <t>FY2023 year-end</t>
        </is>
      </c>
      <c r="B6" s="27">
        <f>Assumptions!$B$54</f>
        <v/>
      </c>
      <c r="C6" s="30">
        <f>Assumptions!$B$55</f>
        <v/>
      </c>
      <c r="D6" s="19">
        <f>C6/Assumptions!$B$6</f>
        <v/>
      </c>
      <c r="E6" s="16">
        <f>B6/D6</f>
        <v/>
      </c>
    </row>
    <row r="7">
      <c r="A7" s="14" t="inlineStr">
        <is>
          <t>FY2024 year-end</t>
        </is>
      </c>
      <c r="B7" s="27">
        <f>Assumptions!$B$56</f>
        <v/>
      </c>
      <c r="C7" s="30">
        <f>Assumptions!$B$57</f>
        <v/>
      </c>
      <c r="D7" s="19">
        <f>C7/Assumptions!$B$6</f>
        <v/>
      </c>
      <c r="E7" s="16">
        <f>B7/D7</f>
        <v/>
      </c>
    </row>
    <row r="8">
      <c r="A8" s="14" t="inlineStr">
        <is>
          <t>FY2025 year-end</t>
        </is>
      </c>
      <c r="B8" s="27">
        <f>Assumptions!$B$58</f>
        <v/>
      </c>
      <c r="C8" s="30">
        <f>Assumptions!$B$59</f>
        <v/>
      </c>
      <c r="D8" s="19">
        <f>C8/Assumptions!$B$6</f>
        <v/>
      </c>
      <c r="E8" s="16">
        <f>B8/D8</f>
        <v/>
      </c>
    </row>
    <row r="9">
      <c r="A9" s="17" t="inlineStr">
        <is>
          <t>Adopted multiple — the MEDIAN of those three</t>
        </is>
      </c>
      <c r="E9" s="31">
        <f>MEDIAN(E6:E8)</f>
        <v/>
      </c>
      <c r="F9" s="8" t="inlineStr">
        <is>
          <t>THREE OBSERVATIONS IS THIN, and the count is published with the median for exactly that reason.</t>
        </is>
      </c>
    </row>
    <row r="10">
      <c r="A10" s="6" t="inlineStr">
        <is>
          <t>Observations behind it</t>
        </is>
      </c>
      <c r="E10" s="9" t="n">
        <v>3</v>
      </c>
    </row>
    <row r="12">
      <c r="A12" s="5" t="inlineStr">
        <is>
          <t>THE RELATIVE READ</t>
        </is>
      </c>
    </row>
    <row r="13">
      <c r="A13" s="14" t="inlineStr">
        <is>
          <t>FY26E group net profit attributable (EGP mn)</t>
        </is>
      </c>
      <c r="B13" s="30">
        <f>'Income Statement'!E26</f>
        <v/>
      </c>
      <c r="C13" s="8" t="inlineStr">
        <is>
          <t>READ from this model's own consolidated forecast rather than typed.</t>
        </is>
      </c>
    </row>
    <row r="14">
      <c r="A14" s="14" t="inlineStr">
        <is>
          <t>FY26E earnings per share (EGP)</t>
        </is>
      </c>
      <c r="B14" s="19">
        <f>B13/Assumptions!$B$6</f>
        <v/>
      </c>
    </row>
    <row r="15">
      <c r="A15" s="17" t="inlineStr">
        <is>
          <t>Relative multiple read (EGP/share)</t>
        </is>
      </c>
      <c r="B15" s="28">
        <f>B14*E9</f>
        <v/>
      </c>
    </row>
    <row r="16">
      <c r="A16" s="14" t="inlineStr">
        <is>
          <t>Difference against the price</t>
        </is>
      </c>
      <c r="B16" s="26">
        <f>B15/Assumptions!$B$5-1</f>
        <v/>
      </c>
    </row>
    <row r="17">
      <c r="A17" s="14" t="inlineStr">
        <is>
          <t>memo: the multiple the shares ALREADY trade at, on the same forward earnings</t>
        </is>
      </c>
      <c r="B17" s="16">
        <f>Assumptions!$B$5*Assumptions!$B$6/B13</f>
        <v/>
      </c>
      <c r="C17" s="8" t="inlineStr">
        <is>
          <t>committed so the non-circularity claim is arithmetic rather than prose: a lens whose multiple IS the traded one values the company at what it already trades at. This row is NOT an input to anything.</t>
        </is>
      </c>
    </row>
    <row r="19">
      <c r="A19" s="5" t="inlineStr">
        <is>
          <t>THE DISCLOSED FLOOR</t>
        </is>
      </c>
    </row>
    <row r="20">
      <c r="A20" s="14" t="inlineStr">
        <is>
          <t>Shareholders' equity before NCI, 30 June 2026 (EGP mn)</t>
        </is>
      </c>
      <c r="B20" s="23">
        <f>Assumptions!$B$60</f>
        <v/>
      </c>
    </row>
    <row r="21">
      <c r="A21" s="17" t="inlineStr">
        <is>
          <t>Book value per share (EGP)</t>
        </is>
      </c>
      <c r="B21" s="28">
        <f>B20/Assumptions!$B$6</f>
        <v/>
      </c>
    </row>
    <row r="22">
      <c r="A22" s="14" t="inlineStr">
        <is>
          <t>Price to book, at the latest known price</t>
        </is>
      </c>
      <c r="B22" s="16">
        <f>Assumptions!$B$5/B21</f>
        <v/>
      </c>
      <c r="C22" s="8" t="inlineStr">
        <is>
          <t>A DISCLOSED FLOOR, published as such and carrying no weight in any answer above. It is worth printing because the shares trade BELOW it.</t>
        </is>
      </c>
    </row>
    <row r="24">
      <c r="A24" s="5" t="inlineStr">
        <is>
          <t>NORMALISED EARNINGS POWER — ABSENT, AND HERE IS WHY</t>
        </is>
      </c>
    </row>
    <row r="25">
      <c r="A25" s="8" t="inlineStr">
        <is>
          <t>The superseded edition carried a normalised-earnings lens at a fifth of a weighted blend, on six typed figures — three mid-cycle profit levels and three through-cycle multiples — sourced to nothing. It is removed rather than re-sourced, and with this issuer's own numbers behind the decision: group earnings carry investment gains from associates that ran 451.6, 294.6 and 131.6 across three consecutive quarters, plus a revaluation on deconsolidating an associate that the company itself strips out of its own return measure. Normalising earnings that swing on associate marks normalises noise. The sheet keeps its name because the model report's sheet list is the standard and a study does not rename the standard to fit itself.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44" customWidth="1" min="1" max="1"/>
    <col width="11.5" customWidth="1" min="2" max="2"/>
    <col width="11.5" customWidth="1" min="3" max="3"/>
    <col width="11.5" customWidth="1" min="4" max="4"/>
    <col width="11.5" customWidth="1" min="5" max="5"/>
    <col width="11.5" customWidth="1" min="6" max="6"/>
    <col width="11.5" customWidth="1" min="7" max="7"/>
    <col width="11.5" customWidth="1" min="8" max="8"/>
  </cols>
  <sheetData>
    <row r="1">
      <c r="A1" s="1" t="inlineStr">
        <is>
          <t>DCF — GB Auto operating leg, explicit five-year free cash flow to the firm</t>
        </is>
      </c>
      <c r="B1" s="2" t="n"/>
      <c r="C1" s="2" t="n"/>
      <c r="D1" s="2" t="n"/>
      <c r="E1" s="2" t="n"/>
      <c r="F1" s="2" t="n"/>
      <c r="G1" s="2" t="n"/>
      <c r="H1" s="2" t="n"/>
    </row>
    <row r="2">
      <c r="A2" s="4" t="inlineStr">
        <is>
          <t>Revenue -&gt; EBITDA -&gt; D&amp;A -&gt; EBIT -&gt; NOPAT -&gt; +D&amp;A -&gt; -capex -&gt; -change in working capital -&gt; FCFF -&gt; discount factor -&gt; present value. Links to Segments, the Balance Sheet and Assumptions.</t>
        </is>
      </c>
    </row>
    <row r="4">
      <c r="B4" s="5" t="inlineStr">
        <is>
          <t>FY26E</t>
        </is>
      </c>
      <c r="C4" s="5" t="inlineStr">
        <is>
          <t>FY27E</t>
        </is>
      </c>
      <c r="D4" s="5" t="inlineStr">
        <is>
          <t>FY28E</t>
        </is>
      </c>
      <c r="E4" s="5" t="inlineStr">
        <is>
          <t>FY29E</t>
        </is>
      </c>
      <c r="F4" s="5" t="inlineStr">
        <is>
          <t>FY30E</t>
        </is>
      </c>
    </row>
    <row r="6">
      <c r="A6" s="6" t="inlineStr">
        <is>
          <t>Auto revenue</t>
        </is>
      </c>
      <c r="B6" s="23">
        <f>Segments!E15</f>
        <v/>
      </c>
      <c r="C6" s="23">
        <f>Segments!F15</f>
        <v/>
      </c>
      <c r="D6" s="23">
        <f>Segments!G15</f>
        <v/>
      </c>
      <c r="E6" s="23">
        <f>Segments!H15</f>
        <v/>
      </c>
      <c r="F6" s="23">
        <f>Segments!I15</f>
        <v/>
      </c>
    </row>
    <row r="7">
      <c r="A7" s="6" t="inlineStr">
        <is>
          <t>EBITDA</t>
        </is>
      </c>
      <c r="B7" s="23">
        <f>Segments!E24</f>
        <v/>
      </c>
      <c r="C7" s="23">
        <f>Segments!F24</f>
        <v/>
      </c>
      <c r="D7" s="23">
        <f>Segments!G24</f>
        <v/>
      </c>
      <c r="E7" s="23">
        <f>Segments!H24</f>
        <v/>
      </c>
      <c r="F7" s="23">
        <f>Segments!I24</f>
        <v/>
      </c>
    </row>
    <row r="8">
      <c r="A8" s="6" t="inlineStr">
        <is>
          <t>D&amp;A</t>
        </is>
      </c>
      <c r="B8" s="23">
        <f>-Segments!E23</f>
        <v/>
      </c>
      <c r="C8" s="23">
        <f>-Segments!F23</f>
        <v/>
      </c>
      <c r="D8" s="23">
        <f>-Segments!G23</f>
        <v/>
      </c>
      <c r="E8" s="23">
        <f>-Segments!H23</f>
        <v/>
      </c>
      <c r="F8" s="23">
        <f>-Segments!I23</f>
        <v/>
      </c>
    </row>
    <row r="9">
      <c r="A9" s="6" t="inlineStr">
        <is>
          <t>EBIT</t>
        </is>
      </c>
      <c r="B9" s="23">
        <f>Segments!E22</f>
        <v/>
      </c>
      <c r="C9" s="23">
        <f>Segments!F22</f>
        <v/>
      </c>
      <c r="D9" s="23">
        <f>Segments!G22</f>
        <v/>
      </c>
      <c r="E9" s="23">
        <f>Segments!H22</f>
        <v/>
      </c>
      <c r="F9" s="23">
        <f>Segments!I22</f>
        <v/>
      </c>
    </row>
    <row r="10">
      <c r="A10" s="6" t="inlineStr">
        <is>
          <t>NOPAT = EBIT x (1 - tax)</t>
        </is>
      </c>
      <c r="B10" s="14">
        <f>B9*(1-Assumptions!$B$7)</f>
        <v/>
      </c>
      <c r="C10" s="14">
        <f>C9*(1-Assumptions!$B$7)</f>
        <v/>
      </c>
      <c r="D10" s="14">
        <f>D9*(1-Assumptions!$B$7)</f>
        <v/>
      </c>
      <c r="E10" s="14">
        <f>E9*(1-Assumptions!$B$7)</f>
        <v/>
      </c>
      <c r="F10" s="14">
        <f>F9*(1-Assumptions!$B$7)</f>
        <v/>
      </c>
    </row>
    <row r="11">
      <c r="A11" s="6" t="inlineStr">
        <is>
          <t>+ D&amp;A</t>
        </is>
      </c>
      <c r="B11" s="23">
        <f>Segments!E23</f>
        <v/>
      </c>
      <c r="C11" s="23">
        <f>Segments!F23</f>
        <v/>
      </c>
      <c r="D11" s="23">
        <f>Segments!G23</f>
        <v/>
      </c>
      <c r="E11" s="23">
        <f>Segments!H23</f>
        <v/>
      </c>
      <c r="F11" s="23">
        <f>Segments!I23</f>
        <v/>
      </c>
    </row>
    <row r="12">
      <c r="A12" s="6" t="inlineStr">
        <is>
          <t>- Capex</t>
        </is>
      </c>
      <c r="B12" s="14">
        <f>-Assumptions!$C$82</f>
        <v/>
      </c>
      <c r="C12" s="14">
        <f>-Assumptions!$D$82</f>
        <v/>
      </c>
      <c r="D12" s="14">
        <f>-Assumptions!$E$82</f>
        <v/>
      </c>
      <c r="E12" s="14">
        <f>-Assumptions!$F$82</f>
        <v/>
      </c>
      <c r="F12" s="14">
        <f>-Assumptions!$G$82</f>
        <v/>
      </c>
    </row>
    <row r="13">
      <c r="A13" s="6" t="inlineStr">
        <is>
          <t>- Increase in net working capital</t>
        </is>
      </c>
      <c r="B13" s="23">
        <f>-'Balance Sheet'!E32</f>
        <v/>
      </c>
      <c r="C13" s="23">
        <f>-'Balance Sheet'!F32</f>
        <v/>
      </c>
      <c r="D13" s="23">
        <f>-'Balance Sheet'!G32</f>
        <v/>
      </c>
      <c r="E13" s="23">
        <f>-'Balance Sheet'!H32</f>
        <v/>
      </c>
      <c r="F13" s="23">
        <f>-'Balance Sheet'!I32</f>
        <v/>
      </c>
    </row>
    <row r="14">
      <c r="A14" s="17" t="inlineStr">
        <is>
          <t>FCFF</t>
        </is>
      </c>
      <c r="B14" s="18">
        <f>SUM(B10:B13)</f>
        <v/>
      </c>
      <c r="C14" s="18">
        <f>SUM(C10:C13)</f>
        <v/>
      </c>
      <c r="D14" s="18">
        <f>SUM(D10:D13)</f>
        <v/>
      </c>
      <c r="E14" s="18">
        <f>SUM(E10:E13)</f>
        <v/>
      </c>
      <c r="F14" s="18">
        <f>SUM(F10:F13)</f>
        <v/>
      </c>
    </row>
    <row r="15">
      <c r="A15" s="6" t="inlineStr">
        <is>
          <t>Cost of capital — this year's forward rate</t>
        </is>
      </c>
      <c r="B15" s="11" t="n">
        <v>0.2311662840904956</v>
      </c>
      <c r="C15" s="11" t="n">
        <v>0.1966574472650062</v>
      </c>
      <c r="D15" s="11" t="n">
        <v>0.1690503778046146</v>
      </c>
      <c r="E15" s="11" t="n">
        <v>0.148345075709321</v>
      </c>
      <c r="F15" s="11" t="n">
        <v>0.1345415409791253</v>
      </c>
    </row>
    <row r="16">
      <c r="A16" s="6" t="inlineStr">
        <is>
          <t>Discount factor (cumulative on the schedule)</t>
        </is>
      </c>
      <c r="B16" s="24">
        <f>1/(1+B15)</f>
        <v/>
      </c>
      <c r="C16" s="24">
        <f>B16/(1+C15)</f>
        <v/>
      </c>
      <c r="D16" s="24">
        <f>C16/(1+D15)</f>
        <v/>
      </c>
      <c r="E16" s="24">
        <f>D16/(1+E15)</f>
        <v/>
      </c>
      <c r="F16" s="24">
        <f>E16/(1+F15)</f>
        <v/>
      </c>
    </row>
    <row r="17">
      <c r="A17" s="17" t="inlineStr">
        <is>
          <t>PV of FCFF</t>
        </is>
      </c>
      <c r="B17" s="18">
        <f>B14*B16</f>
        <v/>
      </c>
      <c r="C17" s="18">
        <f>C14*C16</f>
        <v/>
      </c>
      <c r="D17" s="18">
        <f>D14*D16</f>
        <v/>
      </c>
      <c r="E17" s="18">
        <f>E14*E16</f>
        <v/>
      </c>
      <c r="F17" s="18">
        <f>F14*F16</f>
        <v/>
      </c>
    </row>
    <row r="19">
      <c r="A19" s="17" t="inlineStr">
        <is>
          <t>Sum of the present values, FY26-30E</t>
        </is>
      </c>
      <c r="B19" s="18">
        <f>SUM(B17:F17)</f>
        <v/>
      </c>
    </row>
    <row r="20">
      <c r="A20" s="6" t="inlineStr">
        <is>
          <t>Cost of capital — terminal (norm-built)</t>
        </is>
      </c>
      <c r="B20" s="11" t="n">
        <v>0.1345415409791253</v>
      </c>
      <c r="C20" s="8" t="inlineStr">
        <is>
          <t>the norm-built terminal rate the schedule glides to; the terminal is brought home on the SAME cumulative factor as the last explicit year — one date, one price of time.</t>
        </is>
      </c>
    </row>
    <row r="21">
      <c r="A21" s="6" t="inlineStr">
        <is>
          <t>Terminal value (on the terminal rate)</t>
        </is>
      </c>
      <c r="B21" s="14">
        <f>F14*(1+Assumptions!$B$19)/(B20-Assumptions!$B$19)</f>
        <v/>
      </c>
    </row>
    <row r="22">
      <c r="A22" s="6" t="inlineStr">
        <is>
          <t>PV of the terminal value</t>
        </is>
      </c>
      <c r="B22" s="14">
        <f>B21*F16</f>
        <v/>
      </c>
    </row>
    <row r="23">
      <c r="A23" s="17" t="inlineStr">
        <is>
          <t>Enterprise value — GB Auto leg</t>
        </is>
      </c>
      <c r="B23" s="18">
        <f>B19+B22</f>
        <v/>
      </c>
    </row>
    <row r="24">
      <c r="A24" s="6" t="inlineStr">
        <is>
          <t>Terminal share of enterprise value</t>
        </is>
      </c>
      <c r="B24" s="13">
        <f>B22/B23</f>
        <v/>
      </c>
    </row>
    <row r="25">
      <c r="A25" s="6" t="inlineStr">
        <is>
          <t>less: GB Auto net debt (30 June 2026)</t>
        </is>
      </c>
      <c r="B25" s="14">
        <f>-Assumptions!$B$21</f>
        <v/>
      </c>
    </row>
    <row r="26">
      <c r="A26" s="6" t="inlineStr">
        <is>
          <t>less: GB Auto non-controlling interests</t>
        </is>
      </c>
      <c r="B26" s="14">
        <f>-Assumptions!$B$22</f>
        <v/>
      </c>
    </row>
    <row r="27">
      <c r="A27" s="17" t="inlineStr">
        <is>
          <t>GB Auto equity value</t>
        </is>
      </c>
      <c r="B27" s="18">
        <f>B23-Assumptions!$B$21-Assumptions!$B$22</f>
        <v/>
      </c>
    </row>
    <row r="29">
      <c r="A29" s="6" t="inlineStr">
        <is>
          <t>check: year-1 forward rate less the WACC built on Assumptions</t>
        </is>
      </c>
      <c r="B29" s="13">
        <f>B15-Assumptions!$B$18</f>
        <v/>
      </c>
      <c r="C29" s="8" t="inlineStr">
        <is>
          <t>ZERO by construction: the schedule's first year and rf* + beta x ERP blended with after-tax debt are the same rate, and this row is what says so.</t>
        </is>
      </c>
    </row>
    <row r="30">
      <c r="A30" s="6" t="inlineStr">
        <is>
          <t>Enterprise value per +1pp of Auto gross margin (helper)</t>
        </is>
      </c>
      <c r="B30" s="14">
        <f>0.01*(1-Assumptions!$B$7)*(SUMPRODUCT(B6:F6,B16:F16)+F6*(1+Assumptions!$B$19)/(B20-Assumptions!$B$19)*F16)</f>
        <v/>
      </c>
      <c r="C30" s="8" t="inlineStr">
        <is>
          <t>EXACT rather than approximate: a margin shift moves cost only, so it moves every year's free cash flow by revenue x shift x (1 - tax) and nothing else. The Sensitivity sheet is built on this row.</t>
        </is>
      </c>
    </row>
    <row r="32">
      <c r="A32" s="8" t="inlineStr">
        <is>
          <t>The discount factors are the cost-of-capital schedule's own cumulative factors. The terminal growth rate on the Assumptions sheet is stored as a REAL rate on the house Egyptian inflation path and recomputed to its nominal value.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46"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Income statement (EGP mn, consolidated)</t>
        </is>
      </c>
      <c r="B1" s="2" t="n"/>
      <c r="C1" s="2" t="n"/>
      <c r="D1" s="2" t="n"/>
      <c r="E1" s="2" t="n"/>
      <c r="F1" s="2" t="n"/>
      <c r="G1" s="2" t="n"/>
      <c r="H1" s="2" t="n"/>
      <c r="I1" s="2" t="n"/>
      <c r="J1" s="2" t="n"/>
    </row>
    <row r="2">
      <c r="A2" s="4" t="inlineStr">
        <is>
          <t>FY23-FY25 as reported (blue, read from the study record); FY26E-FY30E formulas linking to Segments and to the drivers on Assumptions.</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6" t="inlineStr">
        <is>
          <t>GB Auto revenue</t>
        </is>
      </c>
      <c r="B6" s="23">
        <f>Segments!B15</f>
        <v/>
      </c>
      <c r="C6" s="23">
        <f>Segments!C15</f>
        <v/>
      </c>
      <c r="D6" s="23">
        <f>Segments!D15</f>
        <v/>
      </c>
      <c r="E6" s="23">
        <f>Segments!E15</f>
        <v/>
      </c>
      <c r="F6" s="23">
        <f>Segments!F15</f>
        <v/>
      </c>
      <c r="G6" s="23">
        <f>Segments!G15</f>
        <v/>
      </c>
      <c r="H6" s="23">
        <f>Segments!H15</f>
        <v/>
      </c>
      <c r="I6" s="23">
        <f>Segments!I15</f>
        <v/>
      </c>
    </row>
    <row r="7">
      <c r="A7" s="6" t="inlineStr">
        <is>
          <t>GB Capital revenue</t>
        </is>
      </c>
      <c r="B7" s="23">
        <f>Segments!B16</f>
        <v/>
      </c>
      <c r="C7" s="23">
        <f>Segments!C16</f>
        <v/>
      </c>
      <c r="D7" s="23">
        <f>Segments!D16</f>
        <v/>
      </c>
      <c r="E7" s="23">
        <f>Segments!E16</f>
        <v/>
      </c>
      <c r="F7" s="23">
        <f>Segments!F16</f>
        <v/>
      </c>
      <c r="G7" s="23">
        <f>Segments!G16</f>
        <v/>
      </c>
      <c r="H7" s="23">
        <f>Segments!H16</f>
        <v/>
      </c>
      <c r="I7" s="23">
        <f>Segments!I16</f>
        <v/>
      </c>
    </row>
    <row r="8">
      <c r="A8" s="6" t="inlineStr">
        <is>
          <t>Intercompany eliminations</t>
        </is>
      </c>
      <c r="B8" s="23">
        <f>Segments!B17</f>
        <v/>
      </c>
      <c r="C8" s="23">
        <f>Segments!C17</f>
        <v/>
      </c>
      <c r="D8" s="23">
        <f>Segments!D17</f>
        <v/>
      </c>
      <c r="E8" s="23">
        <f>Segments!E17</f>
        <v/>
      </c>
      <c r="F8" s="23">
        <f>Segments!F17</f>
        <v/>
      </c>
      <c r="G8" s="23">
        <f>Segments!G17</f>
        <v/>
      </c>
      <c r="H8" s="23">
        <f>Segments!H17</f>
        <v/>
      </c>
      <c r="I8" s="23">
        <f>Segments!I17</f>
        <v/>
      </c>
    </row>
    <row r="9">
      <c r="A9" s="17" t="inlineStr">
        <is>
          <t>Total revenue</t>
        </is>
      </c>
      <c r="B9" s="18">
        <f>SUM(B6:B8)</f>
        <v/>
      </c>
      <c r="C9" s="18">
        <f>SUM(C6:C8)</f>
        <v/>
      </c>
      <c r="D9" s="18">
        <f>SUM(D6:D8)</f>
        <v/>
      </c>
      <c r="E9" s="18">
        <f>SUM(E6:E8)</f>
        <v/>
      </c>
      <c r="F9" s="18">
        <f>SUM(F6:F8)</f>
        <v/>
      </c>
      <c r="G9" s="18">
        <f>SUM(G6:G8)</f>
        <v/>
      </c>
      <c r="H9" s="18">
        <f>SUM(H6:H8)</f>
        <v/>
      </c>
      <c r="I9" s="18">
        <f>SUM(I6:I8)</f>
        <v/>
      </c>
    </row>
    <row r="10">
      <c r="A10" s="6" t="inlineStr">
        <is>
          <t>Gross profit</t>
        </is>
      </c>
      <c r="B10" s="9" t="n">
        <v>6884.5</v>
      </c>
      <c r="C10" s="9" t="n">
        <v>10514.6</v>
      </c>
      <c r="D10" s="9" t="n">
        <v>12431.1</v>
      </c>
      <c r="E10" s="23">
        <f>Segments!E20+Segments!E16*Assumptions!$C$92+Segments!E17*0.2</f>
        <v/>
      </c>
      <c r="F10" s="23">
        <f>Segments!F20+Segments!F16*Assumptions!$D$92+Segments!F17*0.2</f>
        <v/>
      </c>
      <c r="G10" s="23">
        <f>Segments!G20+Segments!G16*Assumptions!$E$92+Segments!G17*0.2</f>
        <v/>
      </c>
      <c r="H10" s="23">
        <f>Segments!H20+Segments!H16*Assumptions!$F$92+Segments!H17*0.2</f>
        <v/>
      </c>
      <c r="I10" s="23">
        <f>Segments!I20+Segments!I16*Assumptions!$G$92+Segments!I17*0.2</f>
        <v/>
      </c>
    </row>
    <row r="11">
      <c r="A11" s="6" t="inlineStr">
        <is>
          <t>Gross profit margin</t>
        </is>
      </c>
      <c r="B11" s="13">
        <f>B10/B9</f>
        <v/>
      </c>
      <c r="C11" s="13">
        <f>C10/C9</f>
        <v/>
      </c>
      <c r="D11" s="13">
        <f>D10/D9</f>
        <v/>
      </c>
      <c r="E11" s="13">
        <f>E10/E9</f>
        <v/>
      </c>
      <c r="F11" s="13">
        <f>F10/F9</f>
        <v/>
      </c>
      <c r="G11" s="13">
        <f>G10/G9</f>
        <v/>
      </c>
      <c r="H11" s="13">
        <f>H10/H9</f>
        <v/>
      </c>
      <c r="I11" s="13">
        <f>I10/I9</f>
        <v/>
      </c>
    </row>
    <row r="12">
      <c r="A12" s="6" t="inlineStr">
        <is>
          <t>Selling, marketing &amp; administration</t>
        </is>
      </c>
      <c r="B12" s="9" t="n">
        <v>-3430.8</v>
      </c>
      <c r="C12" s="9" t="n">
        <v>-4843.6</v>
      </c>
      <c r="D12" s="9" t="n">
        <v>-6547.299999999999</v>
      </c>
      <c r="E12" s="14">
        <f>-E9*Assumptions!$C$89</f>
        <v/>
      </c>
      <c r="F12" s="14">
        <f>-F9*Assumptions!$D$89</f>
        <v/>
      </c>
      <c r="G12" s="14">
        <f>-G9*Assumptions!$E$89</f>
        <v/>
      </c>
      <c r="H12" s="14">
        <f>-H9*Assumptions!$F$89</f>
        <v/>
      </c>
      <c r="I12" s="14">
        <f>-I9*Assumptions!$G$89</f>
        <v/>
      </c>
    </row>
    <row r="13">
      <c r="A13" s="6" t="inlineStr">
        <is>
          <t>Other operating income</t>
        </is>
      </c>
      <c r="B13" s="9" t="n">
        <v>523.2</v>
      </c>
      <c r="C13" s="9" t="n">
        <v>505.6</v>
      </c>
      <c r="D13" s="9" t="n">
        <v>912.2</v>
      </c>
      <c r="E13" s="14">
        <f>E9*Assumptions!$C$90</f>
        <v/>
      </c>
      <c r="F13" s="14">
        <f>F9*Assumptions!$D$90</f>
        <v/>
      </c>
      <c r="G13" s="14">
        <f>G9*Assumptions!$E$90</f>
        <v/>
      </c>
      <c r="H13" s="14">
        <f>H9*Assumptions!$F$90</f>
        <v/>
      </c>
      <c r="I13" s="14">
        <f>I9*Assumptions!$G$90</f>
        <v/>
      </c>
    </row>
    <row r="14">
      <c r="A14" s="6" t="inlineStr">
        <is>
          <t>Provisions (net)</t>
        </is>
      </c>
      <c r="B14" s="9" t="n">
        <v>-268.9</v>
      </c>
      <c r="C14" s="9" t="n">
        <v>-355.7</v>
      </c>
      <c r="D14" s="9" t="n">
        <v>-165.1</v>
      </c>
      <c r="E14" s="14">
        <f>E9*Assumptions!$C$91</f>
        <v/>
      </c>
      <c r="F14" s="14">
        <f>F9*Assumptions!$D$91</f>
        <v/>
      </c>
      <c r="G14" s="14">
        <f>G9*Assumptions!$E$91</f>
        <v/>
      </c>
      <c r="H14" s="14">
        <f>H9*Assumptions!$F$91</f>
        <v/>
      </c>
      <c r="I14" s="14">
        <f>I9*Assumptions!$G$91</f>
        <v/>
      </c>
    </row>
    <row r="15">
      <c r="A15" s="17" t="inlineStr">
        <is>
          <t>Operating profit</t>
        </is>
      </c>
      <c r="B15" s="18">
        <f>B10+SUM(B12:B14)</f>
        <v/>
      </c>
      <c r="C15" s="18">
        <f>C10+SUM(C12:C14)</f>
        <v/>
      </c>
      <c r="D15" s="18">
        <f>D10+SUM(D12:D14)</f>
        <v/>
      </c>
      <c r="E15" s="18">
        <f>E10+SUM(E12:E14)</f>
        <v/>
      </c>
      <c r="F15" s="18">
        <f>F10+SUM(F12:F14)</f>
        <v/>
      </c>
      <c r="G15" s="18">
        <f>G10+SUM(G12:G14)</f>
        <v/>
      </c>
      <c r="H15" s="18">
        <f>H10+SUM(H12:H14)</f>
        <v/>
      </c>
      <c r="I15" s="18">
        <f>I10+SUM(I12:I14)</f>
        <v/>
      </c>
    </row>
    <row r="16">
      <c r="A16" s="6" t="inlineStr">
        <is>
          <t>Investment gains from associates</t>
        </is>
      </c>
      <c r="B16" s="9" t="n">
        <v>1061.7</v>
      </c>
      <c r="C16" s="9" t="n">
        <v>867.6</v>
      </c>
      <c r="D16" s="9" t="n">
        <v>974.8</v>
      </c>
      <c r="E16" s="14">
        <f>Assumptions!$C$93</f>
        <v/>
      </c>
      <c r="F16" s="14">
        <f>Assumptions!$D$93</f>
        <v/>
      </c>
      <c r="G16" s="14">
        <f>Assumptions!$E$93</f>
        <v/>
      </c>
      <c r="H16" s="14">
        <f>Assumptions!$F$93</f>
        <v/>
      </c>
      <c r="I16" s="14">
        <f>Assumptions!$G$93</f>
        <v/>
      </c>
    </row>
    <row r="17">
      <c r="A17" s="17" t="inlineStr">
        <is>
          <t>EBIT</t>
        </is>
      </c>
      <c r="B17" s="18">
        <f>B15+B16</f>
        <v/>
      </c>
      <c r="C17" s="18">
        <f>C15+C16</f>
        <v/>
      </c>
      <c r="D17" s="18">
        <f>D15+D16</f>
        <v/>
      </c>
      <c r="E17" s="18">
        <f>E15+E16</f>
        <v/>
      </c>
      <c r="F17" s="18">
        <f>F15+F16</f>
        <v/>
      </c>
      <c r="G17" s="18">
        <f>G15+G16</f>
        <v/>
      </c>
      <c r="H17" s="18">
        <f>H15+H16</f>
        <v/>
      </c>
      <c r="I17" s="18">
        <f>I15+I16</f>
        <v/>
      </c>
    </row>
    <row r="18">
      <c r="A18" s="6" t="inlineStr">
        <is>
          <t>Group D&amp;A</t>
        </is>
      </c>
      <c r="D18" s="9" t="n">
        <v>999.3</v>
      </c>
      <c r="E18" s="23">
        <f>Segments!E23+Assumptions!$C$84</f>
        <v/>
      </c>
      <c r="F18" s="23">
        <f>Segments!F23+Assumptions!$D$84</f>
        <v/>
      </c>
      <c r="G18" s="23">
        <f>Segments!G23+Assumptions!$E$84</f>
        <v/>
      </c>
      <c r="H18" s="23">
        <f>Segments!H23+Assumptions!$F$84</f>
        <v/>
      </c>
      <c r="I18" s="23">
        <f>Segments!I23+Assumptions!$G$84</f>
        <v/>
      </c>
    </row>
    <row r="19">
      <c r="A19" s="6" t="inlineStr">
        <is>
          <t>EBITDA (EBIT + D&amp;A)</t>
        </is>
      </c>
      <c r="D19" s="14">
        <f>D17+D18</f>
        <v/>
      </c>
      <c r="E19" s="14">
        <f>E17+E18</f>
        <v/>
      </c>
      <c r="F19" s="14">
        <f>F17+F18</f>
        <v/>
      </c>
      <c r="G19" s="14">
        <f>G17+G18</f>
        <v/>
      </c>
      <c r="H19" s="14">
        <f>H17+H18</f>
        <v/>
      </c>
      <c r="I19" s="14">
        <f>I17+I18</f>
        <v/>
      </c>
    </row>
    <row r="20">
      <c r="A20" s="6" t="inlineStr">
        <is>
          <t>Foreign exchange gains (losses)</t>
        </is>
      </c>
      <c r="B20" s="9" t="n">
        <v>-1499.2</v>
      </c>
      <c r="C20" s="9" t="n">
        <v>-291.6</v>
      </c>
      <c r="D20" s="9" t="n">
        <v>-37.1</v>
      </c>
      <c r="E20" s="14">
        <f>0</f>
        <v/>
      </c>
      <c r="F20" s="14">
        <f>0</f>
        <v/>
      </c>
      <c r="G20" s="14">
        <f>0</f>
        <v/>
      </c>
      <c r="H20" s="14">
        <f>0</f>
        <v/>
      </c>
      <c r="I20" s="14">
        <f>0</f>
        <v/>
      </c>
    </row>
    <row r="21">
      <c r="A21" s="6" t="inlineStr">
        <is>
          <t>Net finance cost</t>
        </is>
      </c>
      <c r="B21" s="9" t="n">
        <v>-965.8</v>
      </c>
      <c r="C21" s="9" t="n">
        <v>-2397.8</v>
      </c>
      <c r="D21" s="9" t="n">
        <v>-3702.1</v>
      </c>
      <c r="E21" s="14">
        <f>Assumptions!$C$94</f>
        <v/>
      </c>
      <c r="F21" s="14">
        <f>Assumptions!$D$94</f>
        <v/>
      </c>
      <c r="G21" s="14">
        <f>Assumptions!$E$94</f>
        <v/>
      </c>
      <c r="H21" s="14">
        <f>Assumptions!$F$94</f>
        <v/>
      </c>
      <c r="I21" s="14">
        <f>Assumptions!$G$94</f>
        <v/>
      </c>
    </row>
    <row r="22">
      <c r="A22" s="17" t="inlineStr">
        <is>
          <t>Earnings before tax</t>
        </is>
      </c>
      <c r="B22" s="18">
        <f>B17+B20+B21</f>
        <v/>
      </c>
      <c r="C22" s="18">
        <f>C17+C20+C21</f>
        <v/>
      </c>
      <c r="D22" s="18">
        <f>D17+D20+D21</f>
        <v/>
      </c>
      <c r="E22" s="18">
        <f>E17+E20+E21</f>
        <v/>
      </c>
      <c r="F22" s="18">
        <f>F17+F20+F21</f>
        <v/>
      </c>
      <c r="G22" s="18">
        <f>G17+G20+G21</f>
        <v/>
      </c>
      <c r="H22" s="18">
        <f>H17+H20+H21</f>
        <v/>
      </c>
      <c r="I22" s="18">
        <f>I17+I20+I21</f>
        <v/>
      </c>
    </row>
    <row r="23">
      <c r="A23" s="6" t="inlineStr">
        <is>
          <t>Income taxes</t>
        </is>
      </c>
      <c r="B23" s="9" t="n">
        <v>-493.2</v>
      </c>
      <c r="C23" s="9" t="n">
        <v>-939.2</v>
      </c>
      <c r="D23" s="9" t="n">
        <v>-1086.1</v>
      </c>
      <c r="E23" s="14">
        <f>-E22*Assumptions!$B$7</f>
        <v/>
      </c>
      <c r="F23" s="14">
        <f>-F22*Assumptions!$B$7</f>
        <v/>
      </c>
      <c r="G23" s="14">
        <f>-G22*Assumptions!$B$7</f>
        <v/>
      </c>
      <c r="H23" s="14">
        <f>-H22*Assumptions!$B$7</f>
        <v/>
      </c>
      <c r="I23" s="14">
        <f>-I22*Assumptions!$B$7</f>
        <v/>
      </c>
    </row>
    <row r="24">
      <c r="A24" s="17" t="inlineStr">
        <is>
          <t>Net profit before minority interest</t>
        </is>
      </c>
      <c r="B24" s="18">
        <f>B22+B23</f>
        <v/>
      </c>
      <c r="C24" s="18">
        <f>C22+C23</f>
        <v/>
      </c>
      <c r="D24" s="18">
        <f>D22+D23</f>
        <v/>
      </c>
      <c r="E24" s="18">
        <f>E22+E23</f>
        <v/>
      </c>
      <c r="F24" s="18">
        <f>F22+F23</f>
        <v/>
      </c>
      <c r="G24" s="18">
        <f>G22+G23</f>
        <v/>
      </c>
      <c r="H24" s="18">
        <f>H22+H23</f>
        <v/>
      </c>
      <c r="I24" s="18">
        <f>I22+I23</f>
        <v/>
      </c>
    </row>
    <row r="25">
      <c r="A25" s="6" t="inlineStr">
        <is>
          <t>Minority interest</t>
        </is>
      </c>
      <c r="B25" s="9" t="n">
        <v>79.3</v>
      </c>
      <c r="C25" s="9" t="n">
        <v>-131.8</v>
      </c>
      <c r="D25" s="9" t="n">
        <v>99.59999999999999</v>
      </c>
      <c r="E25" s="14">
        <f>E24*Assumptions!$C$95</f>
        <v/>
      </c>
      <c r="F25" s="14">
        <f>F24*Assumptions!$D$95</f>
        <v/>
      </c>
      <c r="G25" s="14">
        <f>G24*Assumptions!$E$95</f>
        <v/>
      </c>
      <c r="H25" s="14">
        <f>H24*Assumptions!$F$95</f>
        <v/>
      </c>
      <c r="I25" s="14">
        <f>I24*Assumptions!$G$95</f>
        <v/>
      </c>
    </row>
    <row r="26">
      <c r="A26" s="17" t="inlineStr">
        <is>
          <t>Net profit (attributable)</t>
        </is>
      </c>
      <c r="B26" s="18">
        <f>B24+B25</f>
        <v/>
      </c>
      <c r="C26" s="18">
        <f>C24+C25</f>
        <v/>
      </c>
      <c r="D26" s="18">
        <f>D24+D25</f>
        <v/>
      </c>
      <c r="E26" s="18">
        <f>E24+E25</f>
        <v/>
      </c>
      <c r="F26" s="18">
        <f>F24+F25</f>
        <v/>
      </c>
      <c r="G26" s="18">
        <f>G24+G25</f>
        <v/>
      </c>
      <c r="H26" s="18">
        <f>H24+H25</f>
        <v/>
      </c>
      <c r="I26" s="18">
        <f>I24+I25</f>
        <v/>
      </c>
    </row>
    <row r="27">
      <c r="A27" s="6" t="inlineStr">
        <is>
          <t>Net profit margin</t>
        </is>
      </c>
      <c r="B27" s="13">
        <f>B26/B9</f>
        <v/>
      </c>
      <c r="C27" s="13">
        <f>C26/C9</f>
        <v/>
      </c>
      <c r="D27" s="13">
        <f>D26/D9</f>
        <v/>
      </c>
      <c r="E27" s="13">
        <f>E26/E9</f>
        <v/>
      </c>
      <c r="F27" s="13">
        <f>F26/F9</f>
        <v/>
      </c>
      <c r="G27" s="13">
        <f>G26/G9</f>
        <v/>
      </c>
      <c r="H27" s="13">
        <f>H26/H9</f>
        <v/>
      </c>
      <c r="I27" s="13">
        <f>I26/I9</f>
        <v/>
      </c>
    </row>
    <row r="29">
      <c r="A29" s="8" t="inlineStr">
        <is>
          <t>Source: GB Corp 4Q23 / 4Q24 / 4Q25 earnings releases, group income statement and the segment income statement, read from this study's committed record. Operating profit is computed AFTER provisions in all three years so that the column foots on one definition; the company's own FY2023 and FY2024 captions state it before provisions, which is why its printed figure for those two years is higher by the provisions line directly above. Group depreciation for FY2023 and FY2024 is not carried in the study's record and is left empty rather than estimated.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cols>
    <col width="46"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Balance sheet (EGP mn, consolidated)</t>
        </is>
      </c>
      <c r="B1" s="2" t="n"/>
      <c r="C1" s="2" t="n"/>
      <c r="D1" s="2" t="n"/>
      <c r="E1" s="2" t="n"/>
      <c r="F1" s="2" t="n"/>
      <c r="G1" s="2" t="n"/>
      <c r="H1" s="2" t="n"/>
      <c r="I1" s="2" t="n"/>
      <c r="J1" s="2" t="n"/>
    </row>
    <row r="2">
      <c r="A2" s="4" t="inlineStr">
        <is>
          <t>FY23-FY25 grouped from the disclosed segment balance sheets to a house layout (blue). The forecast rolls forward and the check row is zero by clean-surplus construction.</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6" t="inlineStr">
        <is>
          <t>PP&amp;E, intangibles, right-of-use &amp; investment property</t>
        </is>
      </c>
      <c r="B6" s="9" t="n">
        <v>6937.4</v>
      </c>
      <c r="C6" s="9" t="n">
        <v>10360.6</v>
      </c>
      <c r="D6" s="9" t="n">
        <v>13389.1</v>
      </c>
      <c r="E6" s="23">
        <f>D6+Assumptions!$C$82+Assumptions!$C$83-'Income Statement'!E18</f>
        <v/>
      </c>
      <c r="F6" s="23">
        <f>E6+Assumptions!$D$82+Assumptions!$D$83-'Income Statement'!F18</f>
        <v/>
      </c>
      <c r="G6" s="23">
        <f>F6+Assumptions!$E$82+Assumptions!$E$83-'Income Statement'!G18</f>
        <v/>
      </c>
      <c r="H6" s="23">
        <f>G6+Assumptions!$F$82+Assumptions!$F$83-'Income Statement'!H18</f>
        <v/>
      </c>
      <c r="I6" s="23">
        <f>H6+Assumptions!$G$82+Assumptions!$G$83-'Income Statement'!I18</f>
        <v/>
      </c>
    </row>
    <row r="7">
      <c r="A7" s="6" t="inlineStr">
        <is>
          <t>Investments in associates (MNT-Halan, Bedaya, Kaf)</t>
        </is>
      </c>
      <c r="B7" s="9" t="n">
        <v>10732.4</v>
      </c>
      <c r="C7" s="9" t="n">
        <v>11743.6</v>
      </c>
      <c r="D7" s="9" t="n">
        <v>13689.5</v>
      </c>
      <c r="E7" s="14">
        <f>D7+Assumptions!$C$93</f>
        <v/>
      </c>
      <c r="F7" s="14">
        <f>E7+Assumptions!$D$93</f>
        <v/>
      </c>
      <c r="G7" s="14">
        <f>F7+Assumptions!$E$93</f>
        <v/>
      </c>
      <c r="H7" s="14">
        <f>G7+Assumptions!$F$93</f>
        <v/>
      </c>
      <c r="I7" s="14">
        <f>H7+Assumptions!$G$93</f>
        <v/>
      </c>
    </row>
    <row r="8">
      <c r="A8" s="6" t="inlineStr">
        <is>
          <t>GB Capital loan book (on balance sheet)</t>
        </is>
      </c>
      <c r="B8" s="9" t="n">
        <v>7681.4</v>
      </c>
      <c r="C8" s="9" t="n">
        <v>11483</v>
      </c>
      <c r="D8" s="9" t="n">
        <v>17518.3</v>
      </c>
      <c r="E8" s="14">
        <f>D8*(1+Assumptions!$C$76)</f>
        <v/>
      </c>
      <c r="F8" s="14">
        <f>E8*(1+Assumptions!$D$76)</f>
        <v/>
      </c>
      <c r="G8" s="14">
        <f>F8*(1+Assumptions!$E$76)</f>
        <v/>
      </c>
      <c r="H8" s="14">
        <f>G8*(1+Assumptions!$F$76)</f>
        <v/>
      </c>
      <c r="I8" s="14">
        <f>H8*(1+Assumptions!$G$76)</f>
        <v/>
      </c>
    </row>
    <row r="9">
      <c r="A9" s="6" t="inlineStr">
        <is>
          <t>Inventories</t>
        </is>
      </c>
      <c r="B9" s="9" t="n">
        <v>6366.1</v>
      </c>
      <c r="C9" s="9" t="n">
        <v>21134.3</v>
      </c>
      <c r="D9" s="9" t="n">
        <v>24649.7</v>
      </c>
      <c r="E9" s="23">
        <f>Segments!E15*Assumptions!$C$85</f>
        <v/>
      </c>
      <c r="F9" s="23">
        <f>Segments!F15*Assumptions!$D$85</f>
        <v/>
      </c>
      <c r="G9" s="23">
        <f>Segments!G15*Assumptions!$E$85</f>
        <v/>
      </c>
      <c r="H9" s="23">
        <f>Segments!H15*Assumptions!$F$85</f>
        <v/>
      </c>
      <c r="I9" s="23">
        <f>Segments!I15*Assumptions!$G$85</f>
        <v/>
      </c>
    </row>
    <row r="10">
      <c r="A10" s="6" t="inlineStr">
        <is>
          <t>Trade receivables — Auto</t>
        </is>
      </c>
      <c r="B10" s="9" t="n">
        <v>1743.5</v>
      </c>
      <c r="C10" s="9" t="n">
        <v>3708.7</v>
      </c>
      <c r="D10" s="9" t="n">
        <v>5316.9</v>
      </c>
      <c r="E10" s="23">
        <f>Segments!E15*Assumptions!$C$86</f>
        <v/>
      </c>
      <c r="F10" s="23">
        <f>Segments!F15*Assumptions!$D$86</f>
        <v/>
      </c>
      <c r="G10" s="23">
        <f>Segments!G15*Assumptions!$E$86</f>
        <v/>
      </c>
      <c r="H10" s="23">
        <f>Segments!H15*Assumptions!$F$86</f>
        <v/>
      </c>
      <c r="I10" s="23">
        <f>Segments!I15*Assumptions!$G$86</f>
        <v/>
      </c>
    </row>
    <row r="11">
      <c r="A11" s="6" t="inlineStr">
        <is>
          <t>Advances, debtors &amp; other current</t>
        </is>
      </c>
      <c r="B11" s="9" t="n">
        <v>1039.1</v>
      </c>
      <c r="C11" s="9" t="n">
        <v>2942.2</v>
      </c>
      <c r="D11" s="9" t="n">
        <v>4670.6</v>
      </c>
      <c r="E11" s="23">
        <f>Segments!E15*Assumptions!$C$87</f>
        <v/>
      </c>
      <c r="F11" s="23">
        <f>Segments!F15*Assumptions!$D$87</f>
        <v/>
      </c>
      <c r="G11" s="23">
        <f>Segments!G15*Assumptions!$E$87</f>
        <v/>
      </c>
      <c r="H11" s="23">
        <f>Segments!H15*Assumptions!$F$87</f>
        <v/>
      </c>
      <c r="I11" s="23">
        <f>Segments!I15*Assumptions!$G$87</f>
        <v/>
      </c>
    </row>
    <row r="12">
      <c r="A12" s="6" t="inlineStr">
        <is>
          <t>Cash &amp; cash equivalents</t>
        </is>
      </c>
      <c r="B12" s="9" t="n">
        <v>4504.2</v>
      </c>
      <c r="C12" s="9" t="n">
        <v>7420.9</v>
      </c>
      <c r="D12" s="9" t="n">
        <v>9523.6</v>
      </c>
      <c r="E12" s="23">
        <f>'Cash Flow'!E18</f>
        <v/>
      </c>
      <c r="F12" s="23">
        <f>'Cash Flow'!F18</f>
        <v/>
      </c>
      <c r="G12" s="23">
        <f>'Cash Flow'!G18</f>
        <v/>
      </c>
      <c r="H12" s="23">
        <f>'Cash Flow'!H18</f>
        <v/>
      </c>
      <c r="I12" s="23">
        <f>'Cash Flow'!I18</f>
        <v/>
      </c>
    </row>
    <row r="13">
      <c r="A13" s="6" t="inlineStr">
        <is>
          <t>Other assets (deferred tax, held-for-sale, miscellaneous)</t>
        </is>
      </c>
      <c r="B13" s="9" t="n">
        <v>3581.4</v>
      </c>
      <c r="C13" s="9" t="n">
        <v>3931.9</v>
      </c>
      <c r="D13" s="9" t="n">
        <v>2601.3</v>
      </c>
      <c r="E13" s="14">
        <f>D13</f>
        <v/>
      </c>
      <c r="F13" s="14">
        <f>E13</f>
        <v/>
      </c>
      <c r="G13" s="14">
        <f>F13</f>
        <v/>
      </c>
      <c r="H13" s="14">
        <f>G13</f>
        <v/>
      </c>
      <c r="I13" s="14">
        <f>H13</f>
        <v/>
      </c>
    </row>
    <row r="14">
      <c r="A14" s="17" t="inlineStr">
        <is>
          <t>TOTAL ASSETS</t>
        </is>
      </c>
      <c r="B14" s="18">
        <f>SUM(B6:B13)</f>
        <v/>
      </c>
      <c r="C14" s="18">
        <f>SUM(C6:C13)</f>
        <v/>
      </c>
      <c r="D14" s="18">
        <f>SUM(D6:D13)</f>
        <v/>
      </c>
      <c r="E14" s="18">
        <f>SUM(E6:E13)</f>
        <v/>
      </c>
      <c r="F14" s="18">
        <f>SUM(F6:F13)</f>
        <v/>
      </c>
      <c r="G14" s="18">
        <f>SUM(G6:G13)</f>
        <v/>
      </c>
      <c r="H14" s="18">
        <f>SUM(H6:H13)</f>
        <v/>
      </c>
      <c r="I14" s="18">
        <f>SUM(I6:I13)</f>
        <v/>
      </c>
    </row>
    <row r="16">
      <c r="A16" s="6" t="inlineStr">
        <is>
          <t>Equity attributable to shareholders</t>
        </is>
      </c>
      <c r="B16" s="9" t="n">
        <v>19838.8</v>
      </c>
      <c r="C16" s="9" t="n">
        <v>25438.5</v>
      </c>
      <c r="D16" s="9" t="n">
        <v>28788.7</v>
      </c>
      <c r="E16" s="23">
        <f>D16+'Income Statement'!E26+'Cash Flow'!E15</f>
        <v/>
      </c>
      <c r="F16" s="23">
        <f>E16+'Income Statement'!F26+'Cash Flow'!F15</f>
        <v/>
      </c>
      <c r="G16" s="23">
        <f>F16+'Income Statement'!G26+'Cash Flow'!G15</f>
        <v/>
      </c>
      <c r="H16" s="23">
        <f>G16+'Income Statement'!H26+'Cash Flow'!H15</f>
        <v/>
      </c>
      <c r="I16" s="23">
        <f>H16+'Income Statement'!I26+'Cash Flow'!I15</f>
        <v/>
      </c>
    </row>
    <row r="17">
      <c r="A17" s="6" t="inlineStr">
        <is>
          <t>Non-controlling interests</t>
        </is>
      </c>
      <c r="B17" s="9" t="n">
        <v>1363</v>
      </c>
      <c r="C17" s="9" t="n">
        <v>1978.4</v>
      </c>
      <c r="D17" s="9" t="n">
        <v>1801.4</v>
      </c>
      <c r="E17" s="23">
        <f>D17-'Income Statement'!E25</f>
        <v/>
      </c>
      <c r="F17" s="23">
        <f>E17-'Income Statement'!F25</f>
        <v/>
      </c>
      <c r="G17" s="23">
        <f>F17-'Income Statement'!G25</f>
        <v/>
      </c>
      <c r="H17" s="23">
        <f>G17-'Income Statement'!H25</f>
        <v/>
      </c>
      <c r="I17" s="23">
        <f>H17-'Income Statement'!I25</f>
        <v/>
      </c>
    </row>
    <row r="18">
      <c r="A18" s="17" t="inlineStr">
        <is>
          <t>Total equity</t>
        </is>
      </c>
      <c r="B18" s="18">
        <f>B16+B17</f>
        <v/>
      </c>
      <c r="C18" s="18">
        <f>C16+C17</f>
        <v/>
      </c>
      <c r="D18" s="18">
        <f>D16+D17</f>
        <v/>
      </c>
      <c r="E18" s="18">
        <f>E16+E17</f>
        <v/>
      </c>
      <c r="F18" s="18">
        <f>F16+F17</f>
        <v/>
      </c>
      <c r="G18" s="18">
        <f>G16+G17</f>
        <v/>
      </c>
      <c r="H18" s="18">
        <f>H16+H17</f>
        <v/>
      </c>
      <c r="I18" s="18">
        <f>I16+I17</f>
        <v/>
      </c>
    </row>
    <row r="19">
      <c r="A19" s="6" t="inlineStr">
        <is>
          <t>Borrowings (loans, overdrafts &amp; bonds)</t>
        </is>
      </c>
      <c r="B19" s="9" t="n">
        <v>12517.7</v>
      </c>
      <c r="C19" s="9" t="n">
        <v>22608.7</v>
      </c>
      <c r="D19" s="9" t="n">
        <v>38041.4</v>
      </c>
      <c r="E19" s="14">
        <f>D19+Assumptions!$C$96</f>
        <v/>
      </c>
      <c r="F19" s="14">
        <f>E19+Assumptions!$D$96</f>
        <v/>
      </c>
      <c r="G19" s="14">
        <f>F19+Assumptions!$E$96</f>
        <v/>
      </c>
      <c r="H19" s="14">
        <f>G19+Assumptions!$F$96</f>
        <v/>
      </c>
      <c r="I19" s="14">
        <f>H19+Assumptions!$G$96</f>
        <v/>
      </c>
    </row>
    <row r="20">
      <c r="A20" s="6" t="inlineStr">
        <is>
          <t>Trade &amp; notes payables</t>
        </is>
      </c>
      <c r="B20" s="9" t="n">
        <v>7398.7</v>
      </c>
      <c r="C20" s="9" t="n">
        <v>19717.6</v>
      </c>
      <c r="D20" s="9" t="n">
        <v>18436.5</v>
      </c>
      <c r="E20" s="14">
        <f>Segments!E15*Assumptions!$C$88+$B$30</f>
        <v/>
      </c>
      <c r="F20" s="14">
        <f>Segments!F15*Assumptions!$D$88+$B$30</f>
        <v/>
      </c>
      <c r="G20" s="14">
        <f>Segments!G15*Assumptions!$E$88+$B$30</f>
        <v/>
      </c>
      <c r="H20" s="14">
        <f>Segments!H15*Assumptions!$F$88+$B$30</f>
        <v/>
      </c>
      <c r="I20" s="14">
        <f>Segments!I15*Assumptions!$G$88+$B$30</f>
        <v/>
      </c>
    </row>
    <row r="21">
      <c r="A21" s="6" t="inlineStr">
        <is>
          <t>Lease obligations</t>
        </is>
      </c>
      <c r="B21" s="9" t="n">
        <v>371.3</v>
      </c>
      <c r="C21" s="9" t="n">
        <v>1123.8</v>
      </c>
      <c r="D21" s="9" t="n">
        <v>1554.3</v>
      </c>
      <c r="E21" s="14">
        <f>D21</f>
        <v/>
      </c>
      <c r="F21" s="14">
        <f>E21</f>
        <v/>
      </c>
      <c r="G21" s="14">
        <f>F21</f>
        <v/>
      </c>
      <c r="H21" s="14">
        <f>G21</f>
        <v/>
      </c>
      <c r="I21" s="14">
        <f>H21</f>
        <v/>
      </c>
    </row>
    <row r="22">
      <c r="A22" s="6" t="inlineStr">
        <is>
          <t>Provisions</t>
        </is>
      </c>
      <c r="B22" s="9" t="n">
        <v>347.7</v>
      </c>
      <c r="C22" s="9" t="n">
        <v>709.9</v>
      </c>
      <c r="D22" s="9" t="n">
        <v>794.9</v>
      </c>
      <c r="E22" s="14">
        <f>D22</f>
        <v/>
      </c>
      <c r="F22" s="14">
        <f>E22</f>
        <v/>
      </c>
      <c r="G22" s="14">
        <f>F22</f>
        <v/>
      </c>
      <c r="H22" s="14">
        <f>G22</f>
        <v/>
      </c>
      <c r="I22" s="14">
        <f>H22</f>
        <v/>
      </c>
    </row>
    <row r="23">
      <c r="A23" s="6" t="inlineStr">
        <is>
          <t>Other liabilities</t>
        </is>
      </c>
      <c r="B23" s="9" t="n">
        <v>415.2</v>
      </c>
      <c r="C23" s="9" t="n">
        <v>746.2</v>
      </c>
      <c r="D23" s="9" t="n">
        <v>1178.2</v>
      </c>
      <c r="E23" s="14">
        <f>D23</f>
        <v/>
      </c>
      <c r="F23" s="14">
        <f>E23</f>
        <v/>
      </c>
      <c r="G23" s="14">
        <f>F23</f>
        <v/>
      </c>
      <c r="H23" s="14">
        <f>G23</f>
        <v/>
      </c>
      <c r="I23" s="14">
        <f>H23</f>
        <v/>
      </c>
    </row>
    <row r="24">
      <c r="A24" s="6" t="inlineStr">
        <is>
          <t>Deferred tax liabilities</t>
        </is>
      </c>
      <c r="B24" s="9" t="n">
        <v>333.1</v>
      </c>
      <c r="C24" s="9" t="n">
        <v>402</v>
      </c>
      <c r="D24" s="9" t="n">
        <v>763.5</v>
      </c>
      <c r="E24" s="14">
        <f>D24</f>
        <v/>
      </c>
      <c r="F24" s="14">
        <f>E24</f>
        <v/>
      </c>
      <c r="G24" s="14">
        <f>F24</f>
        <v/>
      </c>
      <c r="H24" s="14">
        <f>G24</f>
        <v/>
      </c>
      <c r="I24" s="14">
        <f>H24</f>
        <v/>
      </c>
    </row>
    <row r="25">
      <c r="A25" s="17" t="inlineStr">
        <is>
          <t>TOTAL EQUITY &amp; LIABILITIES</t>
        </is>
      </c>
      <c r="B25" s="18">
        <f>B18+SUM(B19:B24)</f>
        <v/>
      </c>
      <c r="C25" s="18">
        <f>C18+SUM(C19:C24)</f>
        <v/>
      </c>
      <c r="D25" s="18">
        <f>D18+SUM(D19:D24)</f>
        <v/>
      </c>
      <c r="E25" s="18">
        <f>E18+SUM(E19:E24)</f>
        <v/>
      </c>
      <c r="F25" s="18">
        <f>F18+SUM(F19:F24)</f>
        <v/>
      </c>
      <c r="G25" s="18">
        <f>G18+SUM(G19:G24)</f>
        <v/>
      </c>
      <c r="H25" s="18">
        <f>H18+SUM(H19:H24)</f>
        <v/>
      </c>
      <c r="I25" s="18">
        <f>I18+SUM(I19:I24)</f>
        <v/>
      </c>
    </row>
    <row r="27">
      <c r="A27" s="17" t="inlineStr">
        <is>
          <t>Balance check (assets less equity &amp; liabilities) — constant, never growing</t>
        </is>
      </c>
      <c r="B27" s="18">
        <f>B14-B25</f>
        <v/>
      </c>
      <c r="C27" s="18">
        <f>C14-C25</f>
        <v/>
      </c>
      <c r="D27" s="18">
        <f>D14-D25</f>
        <v/>
      </c>
      <c r="E27" s="18">
        <f>E14-E25</f>
        <v/>
      </c>
      <c r="F27" s="18">
        <f>F14-F25</f>
        <v/>
      </c>
      <c r="G27" s="18">
        <f>G14-G25</f>
        <v/>
      </c>
      <c r="H27" s="18">
        <f>H14-H25</f>
        <v/>
      </c>
      <c r="I27" s="18">
        <f>I14-I25</f>
        <v/>
      </c>
    </row>
    <row r="28">
      <c r="A28" s="6" t="inlineStr">
        <is>
          <t>Group net debt (borrowings less cash)</t>
        </is>
      </c>
      <c r="B28" s="14">
        <f>B19-B12</f>
        <v/>
      </c>
      <c r="C28" s="14">
        <f>C19-C12</f>
        <v/>
      </c>
      <c r="D28" s="14">
        <f>D19-D12</f>
        <v/>
      </c>
      <c r="E28" s="14">
        <f>E19-E12</f>
        <v/>
      </c>
      <c r="F28" s="14">
        <f>F19-F12</f>
        <v/>
      </c>
      <c r="G28" s="14">
        <f>G19-G12</f>
        <v/>
      </c>
      <c r="H28" s="14">
        <f>H19-H12</f>
        <v/>
      </c>
      <c r="I28" s="14">
        <f>I19-I12</f>
        <v/>
      </c>
    </row>
    <row r="30">
      <c r="A30" s="14" t="inlineStr">
        <is>
          <t>memo: non-Auto trade payables, held flat across the forecast</t>
        </is>
      </c>
      <c r="B30" s="9" t="n">
        <v>2716.3</v>
      </c>
      <c r="C30" s="8" t="inlineStr">
        <is>
          <t>the payables block that does not move with Auto revenue; held flat, which is conservative for working capital.</t>
        </is>
      </c>
    </row>
    <row r="31">
      <c r="A31" s="6" t="inlineStr">
        <is>
          <t>Net Auto working capital (inventory + receivables + advances less payables)</t>
        </is>
      </c>
      <c r="B31" s="14">
        <f>B9+B10+B11-(B20-$B$30)</f>
        <v/>
      </c>
      <c r="C31" s="14">
        <f>C9+C10+C11-(C20-$B$30)</f>
        <v/>
      </c>
      <c r="D31" s="14">
        <f>D9+D10+D11-(D20-$B$30)</f>
        <v/>
      </c>
      <c r="E31" s="14">
        <f>E9+E10+E11-(E20-$B$30)</f>
        <v/>
      </c>
      <c r="F31" s="14">
        <f>F9+F10+F11-(F20-$B$30)</f>
        <v/>
      </c>
      <c r="G31" s="14">
        <f>G9+G10+G11-(G20-$B$30)</f>
        <v/>
      </c>
      <c r="H31" s="14">
        <f>H9+H10+H11-(H20-$B$30)</f>
        <v/>
      </c>
      <c r="I31" s="14">
        <f>I9+I10+I11-(I20-$B$30)</f>
        <v/>
      </c>
    </row>
    <row r="32">
      <c r="A32" s="6" t="inlineStr">
        <is>
          <t>Increase in net Auto working capital</t>
        </is>
      </c>
      <c r="E32" s="14">
        <f>E31-D31</f>
        <v/>
      </c>
      <c r="F32" s="14">
        <f>F31-E31</f>
        <v/>
      </c>
      <c r="G32" s="14">
        <f>G31-F31</f>
        <v/>
      </c>
      <c r="H32" s="14">
        <f>H31-G31</f>
        <v/>
      </c>
      <c r="I32" s="14">
        <f>I31-H31</f>
        <v/>
      </c>
    </row>
    <row r="34">
      <c r="A34" s="8" t="inlineStr">
        <is>
          <t>Historic mapping note: lines grouped from the disclosed 4Q23 / 4Q24 / 4Q25 segment balance sheets to one house layout. "GB Capital loan book (on balance sheet)" is notes receivable plus GB Capital trade receivables net of eliminations; the portfolio metric the company reports differs by provisions and presentation. Cash at 31-Dec-2025 and borrowings at 31-Dec-2025 are read from the study's committed input register.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46"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s>
  <sheetData>
    <row r="1">
      <c r="A1" s="1" t="inlineStr">
        <is>
          <t>Cash flow (EGP mn, forecast)</t>
        </is>
      </c>
      <c r="B1" s="2" t="n"/>
      <c r="C1" s="2" t="n"/>
      <c r="D1" s="2" t="n"/>
      <c r="E1" s="2" t="n"/>
      <c r="F1" s="2" t="n"/>
      <c r="G1" s="2" t="n"/>
      <c r="H1" s="2" t="n"/>
      <c r="I1" s="2" t="n"/>
      <c r="J1" s="2" t="n"/>
    </row>
    <row r="2">
      <c r="A2" s="4" t="inlineStr">
        <is>
          <t>Derived from the Income Statement and the Balance Sheet. Closing cash ties back to the Balance Sheet, and every balance-sheet movement is captured, so the balance check on that sheet is zero.</t>
        </is>
      </c>
    </row>
    <row r="4">
      <c r="D4" s="5" t="inlineStr"/>
      <c r="E4" s="5" t="inlineStr">
        <is>
          <t>FY26E</t>
        </is>
      </c>
      <c r="F4" s="5" t="inlineStr">
        <is>
          <t>FY27E</t>
        </is>
      </c>
      <c r="G4" s="5" t="inlineStr">
        <is>
          <t>FY28E</t>
        </is>
      </c>
      <c r="H4" s="5" t="inlineStr">
        <is>
          <t>FY29E</t>
        </is>
      </c>
      <c r="I4" s="5" t="inlineStr">
        <is>
          <t>FY30E</t>
        </is>
      </c>
    </row>
    <row r="6">
      <c r="A6" s="6" t="inlineStr">
        <is>
          <t>Net profit before minority interest</t>
        </is>
      </c>
      <c r="E6" s="23">
        <f>'Income Statement'!E24</f>
        <v/>
      </c>
      <c r="F6" s="23">
        <f>'Income Statement'!F24</f>
        <v/>
      </c>
      <c r="G6" s="23">
        <f>'Income Statement'!G24</f>
        <v/>
      </c>
      <c r="H6" s="23">
        <f>'Income Statement'!H24</f>
        <v/>
      </c>
      <c r="I6" s="23">
        <f>'Income Statement'!I24</f>
        <v/>
      </c>
    </row>
    <row r="7">
      <c r="A7" s="6" t="inlineStr">
        <is>
          <t>+ D&amp;A</t>
        </is>
      </c>
      <c r="E7" s="23">
        <f>'Income Statement'!E18</f>
        <v/>
      </c>
      <c r="F7" s="23">
        <f>'Income Statement'!F18</f>
        <v/>
      </c>
      <c r="G7" s="23">
        <f>'Income Statement'!G18</f>
        <v/>
      </c>
      <c r="H7" s="23">
        <f>'Income Statement'!H18</f>
        <v/>
      </c>
      <c r="I7" s="23">
        <f>'Income Statement'!I18</f>
        <v/>
      </c>
    </row>
    <row r="8">
      <c r="A8" s="6" t="inlineStr">
        <is>
          <t>- Associates income (non-cash)</t>
        </is>
      </c>
      <c r="E8" s="23">
        <f>-'Income Statement'!E16</f>
        <v/>
      </c>
      <c r="F8" s="23">
        <f>-'Income Statement'!F16</f>
        <v/>
      </c>
      <c r="G8" s="23">
        <f>-'Income Statement'!G16</f>
        <v/>
      </c>
      <c r="H8" s="23">
        <f>-'Income Statement'!H16</f>
        <v/>
      </c>
      <c r="I8" s="23">
        <f>-'Income Statement'!I16</f>
        <v/>
      </c>
    </row>
    <row r="9">
      <c r="A9" s="6" t="inlineStr">
        <is>
          <t>- Increase in net Auto working capital</t>
        </is>
      </c>
      <c r="E9" s="23">
        <f>-'Balance Sheet'!E32</f>
        <v/>
      </c>
      <c r="F9" s="23">
        <f>-'Balance Sheet'!F32</f>
        <v/>
      </c>
      <c r="G9" s="23">
        <f>-'Balance Sheet'!G32</f>
        <v/>
      </c>
      <c r="H9" s="23">
        <f>-'Balance Sheet'!H32</f>
        <v/>
      </c>
      <c r="I9" s="23">
        <f>-'Balance Sheet'!I32</f>
        <v/>
      </c>
    </row>
    <row r="10">
      <c r="A10" s="6" t="inlineStr">
        <is>
          <t>- Increase in the GB Capital loan book</t>
        </is>
      </c>
      <c r="E10" s="23">
        <f>-('Balance Sheet'!E8-'Balance Sheet'!D8)</f>
        <v/>
      </c>
      <c r="F10" s="23">
        <f>-('Balance Sheet'!F8-'Balance Sheet'!E8)</f>
        <v/>
      </c>
      <c r="G10" s="23">
        <f>-('Balance Sheet'!G8-'Balance Sheet'!F8)</f>
        <v/>
      </c>
      <c r="H10" s="23">
        <f>-('Balance Sheet'!H8-'Balance Sheet'!G8)</f>
        <v/>
      </c>
      <c r="I10" s="23">
        <f>-('Balance Sheet'!I8-'Balance Sheet'!H8)</f>
        <v/>
      </c>
    </row>
    <row r="11">
      <c r="A11" s="17" t="inlineStr">
        <is>
          <t>Operating cash flow</t>
        </is>
      </c>
      <c r="E11" s="18">
        <f>SUM(E6:E10)</f>
        <v/>
      </c>
      <c r="F11" s="18">
        <f>SUM(F6:F10)</f>
        <v/>
      </c>
      <c r="G11" s="18">
        <f>SUM(G6:G10)</f>
        <v/>
      </c>
      <c r="H11" s="18">
        <f>SUM(H6:H10)</f>
        <v/>
      </c>
      <c r="I11" s="18">
        <f>SUM(I6:I10)</f>
        <v/>
      </c>
    </row>
    <row r="12">
      <c r="A12" s="6" t="inlineStr">
        <is>
          <t>- Capex (Auto + rental fleet)</t>
        </is>
      </c>
      <c r="E12" s="23">
        <f>-Assumptions!$C$82-Assumptions!$C$83</f>
        <v/>
      </c>
      <c r="F12" s="23">
        <f>-Assumptions!$D$82-Assumptions!$D$83</f>
        <v/>
      </c>
      <c r="G12" s="23">
        <f>-Assumptions!$E$82-Assumptions!$E$83</f>
        <v/>
      </c>
      <c r="H12" s="23">
        <f>-Assumptions!$F$82-Assumptions!$F$83</f>
        <v/>
      </c>
      <c r="I12" s="23">
        <f>-Assumptions!$G$82-Assumptions!$G$83</f>
        <v/>
      </c>
    </row>
    <row r="13">
      <c r="A13" s="17" t="inlineStr">
        <is>
          <t>Free cash flow</t>
        </is>
      </c>
      <c r="E13" s="18">
        <f>E11+E12</f>
        <v/>
      </c>
      <c r="F13" s="18">
        <f>F11+F12</f>
        <v/>
      </c>
      <c r="G13" s="18">
        <f>G11+G12</f>
        <v/>
      </c>
      <c r="H13" s="18">
        <f>H11+H12</f>
        <v/>
      </c>
      <c r="I13" s="18">
        <f>I11+I12</f>
        <v/>
      </c>
    </row>
    <row r="14">
      <c r="A14" s="6" t="inlineStr">
        <is>
          <t>+ Increase in borrowings (net)</t>
        </is>
      </c>
      <c r="E14" s="23">
        <f>Assumptions!$C$96</f>
        <v/>
      </c>
      <c r="F14" s="23">
        <f>Assumptions!$D$96</f>
        <v/>
      </c>
      <c r="G14" s="23">
        <f>Assumptions!$E$96</f>
        <v/>
      </c>
      <c r="H14" s="23">
        <f>Assumptions!$F$96</f>
        <v/>
      </c>
      <c r="I14" s="23">
        <f>Assumptions!$G$96</f>
        <v/>
      </c>
    </row>
    <row r="15">
      <c r="A15" s="6" t="inlineStr">
        <is>
          <t>- Dividends paid</t>
        </is>
      </c>
      <c r="E15" s="23">
        <f>-'Income Statement'!E26*Assumptions!$C$97</f>
        <v/>
      </c>
      <c r="F15" s="23">
        <f>-'Income Statement'!F26*Assumptions!$D$97</f>
        <v/>
      </c>
      <c r="G15" s="23">
        <f>-'Income Statement'!G26*Assumptions!$E$97</f>
        <v/>
      </c>
      <c r="H15" s="23">
        <f>-'Income Statement'!H26*Assumptions!$F$97</f>
        <v/>
      </c>
      <c r="I15" s="23">
        <f>-'Income Statement'!I26*Assumptions!$G$97</f>
        <v/>
      </c>
    </row>
    <row r="16">
      <c r="A16" s="17" t="inlineStr">
        <is>
          <t>Net change in cash</t>
        </is>
      </c>
      <c r="E16" s="18">
        <f>E13+E14+E15</f>
        <v/>
      </c>
      <c r="F16" s="18">
        <f>F13+F14+F15</f>
        <v/>
      </c>
      <c r="G16" s="18">
        <f>G13+G14+G15</f>
        <v/>
      </c>
      <c r="H16" s="18">
        <f>H13+H14+H15</f>
        <v/>
      </c>
      <c r="I16" s="18">
        <f>I13+I14+I15</f>
        <v/>
      </c>
    </row>
    <row r="17">
      <c r="A17" s="6" t="inlineStr">
        <is>
          <t>Opening cash</t>
        </is>
      </c>
      <c r="E17" s="23">
        <f>'Balance Sheet'!D12</f>
        <v/>
      </c>
      <c r="F17" s="14">
        <f>E18</f>
        <v/>
      </c>
      <c r="G17" s="14">
        <f>F18</f>
        <v/>
      </c>
      <c r="H17" s="14">
        <f>G18</f>
        <v/>
      </c>
      <c r="I17" s="14">
        <f>H18</f>
        <v/>
      </c>
    </row>
    <row r="18">
      <c r="A18" s="17" t="inlineStr">
        <is>
          <t>Closing cash</t>
        </is>
      </c>
      <c r="E18" s="18">
        <f>E17+E16</f>
        <v/>
      </c>
      <c r="F18" s="18">
        <f>F17+F16</f>
        <v/>
      </c>
      <c r="G18" s="18">
        <f>G17+G16</f>
        <v/>
      </c>
      <c r="H18" s="18">
        <f>H17+H16</f>
        <v/>
      </c>
      <c r="I18" s="18">
        <f>I17+I16</f>
        <v/>
      </c>
    </row>
    <row r="20">
      <c r="A20" s="8" t="inlineStr">
        <is>
          <t>Historical group cash-flow statements are published per segment in the company's own releases; the forecast here is the consolidated clean-surplus build, which is what the balance check on the previous sheet tests.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42"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s>
  <sheetData>
    <row r="1">
      <c r="A1" s="1" t="inlineStr">
        <is>
          <t>Summary financials (EGP mn)</t>
        </is>
      </c>
      <c r="B1" s="2" t="n"/>
      <c r="C1" s="2" t="n"/>
      <c r="D1" s="2" t="n"/>
      <c r="E1" s="2" t="n"/>
      <c r="F1" s="2" t="n"/>
      <c r="G1" s="2" t="n"/>
      <c r="H1" s="2" t="n"/>
      <c r="I1" s="2" t="n"/>
      <c r="J1" s="2" t="n"/>
    </row>
    <row r="2">
      <c r="A2" s="4" t="inlineStr">
        <is>
          <t>Every cell links to a statement sheet.</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14" t="inlineStr">
        <is>
          <t>Revenue</t>
        </is>
      </c>
      <c r="B6" s="23">
        <f>'Income Statement'!B9</f>
        <v/>
      </c>
      <c r="C6" s="23">
        <f>'Income Statement'!C9</f>
        <v/>
      </c>
      <c r="D6" s="23">
        <f>'Income Statement'!D9</f>
        <v/>
      </c>
      <c r="E6" s="23">
        <f>'Income Statement'!E9</f>
        <v/>
      </c>
      <c r="F6" s="23">
        <f>'Income Statement'!F9</f>
        <v/>
      </c>
      <c r="G6" s="23">
        <f>'Income Statement'!G9</f>
        <v/>
      </c>
      <c r="H6" s="23">
        <f>'Income Statement'!H9</f>
        <v/>
      </c>
      <c r="I6" s="23">
        <f>'Income Statement'!I9</f>
        <v/>
      </c>
    </row>
    <row r="7">
      <c r="A7" s="14" t="inlineStr">
        <is>
          <t>EBITDA</t>
        </is>
      </c>
      <c r="D7" s="23">
        <f>'Income Statement'!D19</f>
        <v/>
      </c>
      <c r="E7" s="23">
        <f>'Income Statement'!E19</f>
        <v/>
      </c>
      <c r="F7" s="23">
        <f>'Income Statement'!F19</f>
        <v/>
      </c>
      <c r="G7" s="23">
        <f>'Income Statement'!G19</f>
        <v/>
      </c>
      <c r="H7" s="23">
        <f>'Income Statement'!H19</f>
        <v/>
      </c>
      <c r="I7" s="23">
        <f>'Income Statement'!I19</f>
        <v/>
      </c>
    </row>
    <row r="8">
      <c r="A8" s="14" t="inlineStr">
        <is>
          <t>EBIT</t>
        </is>
      </c>
      <c r="B8" s="23">
        <f>'Income Statement'!B17</f>
        <v/>
      </c>
      <c r="C8" s="23">
        <f>'Income Statement'!C17</f>
        <v/>
      </c>
      <c r="D8" s="23">
        <f>'Income Statement'!D17</f>
        <v/>
      </c>
      <c r="E8" s="23">
        <f>'Income Statement'!E17</f>
        <v/>
      </c>
      <c r="F8" s="23">
        <f>'Income Statement'!F17</f>
        <v/>
      </c>
      <c r="G8" s="23">
        <f>'Income Statement'!G17</f>
        <v/>
      </c>
      <c r="H8" s="23">
        <f>'Income Statement'!H17</f>
        <v/>
      </c>
      <c r="I8" s="23">
        <f>'Income Statement'!I17</f>
        <v/>
      </c>
    </row>
    <row r="9">
      <c r="A9" s="14" t="inlineStr">
        <is>
          <t>Net profit (attributable)</t>
        </is>
      </c>
      <c r="B9" s="23">
        <f>'Income Statement'!B26</f>
        <v/>
      </c>
      <c r="C9" s="23">
        <f>'Income Statement'!C26</f>
        <v/>
      </c>
      <c r="D9" s="23">
        <f>'Income Statement'!D26</f>
        <v/>
      </c>
      <c r="E9" s="23">
        <f>'Income Statement'!E26</f>
        <v/>
      </c>
      <c r="F9" s="23">
        <f>'Income Statement'!F26</f>
        <v/>
      </c>
      <c r="G9" s="23">
        <f>'Income Statement'!G26</f>
        <v/>
      </c>
      <c r="H9" s="23">
        <f>'Income Statement'!H26</f>
        <v/>
      </c>
      <c r="I9" s="23">
        <f>'Income Statement'!I26</f>
        <v/>
      </c>
    </row>
    <row r="10">
      <c r="A10" s="14" t="inlineStr">
        <is>
          <t>Total assets</t>
        </is>
      </c>
      <c r="B10" s="23">
        <f>'Balance Sheet'!B14</f>
        <v/>
      </c>
      <c r="C10" s="23">
        <f>'Balance Sheet'!C14</f>
        <v/>
      </c>
      <c r="D10" s="23">
        <f>'Balance Sheet'!D14</f>
        <v/>
      </c>
      <c r="E10" s="23">
        <f>'Balance Sheet'!E14</f>
        <v/>
      </c>
      <c r="F10" s="23">
        <f>'Balance Sheet'!F14</f>
        <v/>
      </c>
      <c r="G10" s="23">
        <f>'Balance Sheet'!G14</f>
        <v/>
      </c>
      <c r="H10" s="23">
        <f>'Balance Sheet'!H14</f>
        <v/>
      </c>
      <c r="I10" s="23">
        <f>'Balance Sheet'!I14</f>
        <v/>
      </c>
    </row>
    <row r="11">
      <c r="A11" s="14" t="inlineStr">
        <is>
          <t>Total equity</t>
        </is>
      </c>
      <c r="B11" s="23">
        <f>'Balance Sheet'!B18</f>
        <v/>
      </c>
      <c r="C11" s="23">
        <f>'Balance Sheet'!C18</f>
        <v/>
      </c>
      <c r="D11" s="23">
        <f>'Balance Sheet'!D18</f>
        <v/>
      </c>
      <c r="E11" s="23">
        <f>'Balance Sheet'!E18</f>
        <v/>
      </c>
      <c r="F11" s="23">
        <f>'Balance Sheet'!F18</f>
        <v/>
      </c>
      <c r="G11" s="23">
        <f>'Balance Sheet'!G18</f>
        <v/>
      </c>
      <c r="H11" s="23">
        <f>'Balance Sheet'!H18</f>
        <v/>
      </c>
      <c r="I11" s="23">
        <f>'Balance Sheet'!I18</f>
        <v/>
      </c>
    </row>
    <row r="12">
      <c r="A12" s="14" t="inlineStr">
        <is>
          <t>Group net debt</t>
        </is>
      </c>
      <c r="B12" s="23">
        <f>'Balance Sheet'!B28</f>
        <v/>
      </c>
      <c r="C12" s="23">
        <f>'Balance Sheet'!C28</f>
        <v/>
      </c>
      <c r="D12" s="23">
        <f>'Balance Sheet'!D28</f>
        <v/>
      </c>
      <c r="E12" s="23">
        <f>'Balance Sheet'!E28</f>
        <v/>
      </c>
      <c r="F12" s="23">
        <f>'Balance Sheet'!F28</f>
        <v/>
      </c>
      <c r="G12" s="23">
        <f>'Balance Sheet'!G28</f>
        <v/>
      </c>
      <c r="H12" s="23">
        <f>'Balance Sheet'!H28</f>
        <v/>
      </c>
      <c r="I12" s="23">
        <f>'Balance Sheet'!I28</f>
        <v/>
      </c>
    </row>
    <row r="13">
      <c r="A13" s="14" t="inlineStr">
        <is>
          <t>Free cash flow (forecast)</t>
        </is>
      </c>
      <c r="E13" s="23">
        <f>'Cash Flow'!E13</f>
        <v/>
      </c>
      <c r="F13" s="23">
        <f>'Cash Flow'!F13</f>
        <v/>
      </c>
      <c r="G13" s="23">
        <f>'Cash Flow'!G13</f>
        <v/>
      </c>
      <c r="H13" s="23">
        <f>'Cash Flow'!H13</f>
        <v/>
      </c>
      <c r="I13" s="23">
        <f>'Cash Flow'!I13</f>
        <v/>
      </c>
    </row>
    <row r="14">
      <c r="A14" s="14" t="inlineStr">
        <is>
          <t>GB Auto free cash flow to the firm (the DCF leg)</t>
        </is>
      </c>
      <c r="E14" s="23">
        <f>DCF!B14</f>
        <v/>
      </c>
      <c r="F14" s="23">
        <f>DCF!C14</f>
        <v/>
      </c>
      <c r="G14" s="23">
        <f>DCF!D14</f>
        <v/>
      </c>
      <c r="H14" s="23">
        <f>DCF!E14</f>
        <v/>
      </c>
      <c r="I14" s="23">
        <f>DCF!F14</f>
        <v/>
      </c>
    </row>
    <row r="16">
      <c r="A16" s="8" t="inlineStr">
        <is>
          <t>EBITDA for FY2023 and FY2024 is not shown because the group depreciation line for those two years is not carried in this study's committed record; it is left empty rather than estimated.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Monte Carlo — the price engine's own lens, on its own clock</t>
        </is>
      </c>
      <c r="B1" s="2" t="n"/>
      <c r="C1" s="2" t="n"/>
      <c r="D1" s="2" t="n"/>
      <c r="E1" s="2" t="n"/>
      <c r="F1" s="2" t="n"/>
      <c r="G1" s="2" t="n"/>
      <c r="H1" s="2" t="n"/>
    </row>
    <row r="2">
      <c r="A2" s="4" t="inlineStr">
        <is>
          <t>50,000 paths, seed 42, computed by the Testahil price engine. It is a SEPARATE LENS from the valuation on the sheets before this one: no output of either is an input to the other, which is what makes agreement between them information rather than an echo.</t>
        </is>
      </c>
    </row>
    <row r="5">
      <c r="A5" s="32" t="inlineStr">
        <is>
          <t>The probability read (three months)</t>
        </is>
      </c>
    </row>
    <row r="6">
      <c r="A6" s="14" t="inlineStr">
        <is>
          <t>Probability the price is above the anchor</t>
        </is>
      </c>
      <c r="B6" s="10" t="n">
        <v>0.58104</v>
      </c>
    </row>
    <row r="7">
      <c r="A7" s="14" t="inlineStr">
        <is>
          <t>P(+10%) against P(-10%) — odds</t>
        </is>
      </c>
      <c r="B7" s="21" t="inlineStr">
        <is>
          <t>39% vs 24% · 1.7:1</t>
        </is>
      </c>
    </row>
    <row r="8">
      <c r="A8" s="14" t="inlineStr">
        <is>
          <t>Median level (EGP) and move</t>
        </is>
      </c>
      <c r="B8" s="21" t="inlineStr">
        <is>
          <t>30.69 (+4.0%)</t>
        </is>
      </c>
    </row>
    <row r="9">
      <c r="A9" s="14" t="inlineStr">
        <is>
          <t>50% band (25th to 75th percentile)</t>
        </is>
      </c>
      <c r="B9" s="21" t="inlineStr">
        <is>
          <t>26.8 - 35.2  (-9% / +19%)</t>
        </is>
      </c>
    </row>
    <row r="10">
      <c r="A10" s="14" t="inlineStr">
        <is>
          <t>Touch(+10%) / touch(-10%)</t>
        </is>
      </c>
      <c r="B10" s="21" t="inlineStr">
        <is>
          <t>65% / 49%</t>
        </is>
      </c>
    </row>
    <row r="12">
      <c r="A12" s="5" t="inlineStr">
        <is>
          <t>Percentile map (EGP/share)</t>
        </is>
      </c>
    </row>
    <row r="13">
      <c r="A13" s="5" t="inlineStr">
        <is>
          <t>Horizon</t>
        </is>
      </c>
      <c r="B13" s="5" t="inlineStr">
        <is>
          <t>p5</t>
        </is>
      </c>
      <c r="C13" s="5" t="inlineStr">
        <is>
          <t>p25</t>
        </is>
      </c>
      <c r="D13" s="5" t="inlineStr">
        <is>
          <t>p50</t>
        </is>
      </c>
      <c r="E13" s="5" t="inlineStr">
        <is>
          <t>p75</t>
        </is>
      </c>
      <c r="F13" s="5" t="inlineStr">
        <is>
          <t>p95</t>
        </is>
      </c>
    </row>
    <row r="14">
      <c r="A14" s="14" t="inlineStr">
        <is>
          <t>1 month</t>
        </is>
      </c>
      <c r="B14" s="7" t="n">
        <v>24.0317</v>
      </c>
      <c r="C14" s="7" t="n">
        <v>27.6392</v>
      </c>
      <c r="D14" s="7" t="n">
        <v>29.9082</v>
      </c>
      <c r="E14" s="7" t="n">
        <v>32.3718</v>
      </c>
      <c r="F14" s="7" t="n">
        <v>37.3098</v>
      </c>
    </row>
    <row r="15">
      <c r="A15" s="14" t="inlineStr">
        <is>
          <t>3 months</t>
        </is>
      </c>
      <c r="B15" s="7" t="n">
        <v>21.0045</v>
      </c>
      <c r="C15" s="7" t="n">
        <v>26.8046</v>
      </c>
      <c r="D15" s="7" t="n">
        <v>30.6895</v>
      </c>
      <c r="E15" s="7" t="n">
        <v>35.1844</v>
      </c>
      <c r="F15" s="7" t="n">
        <v>44.8885</v>
      </c>
    </row>
    <row r="17">
      <c r="A17" s="5" t="inlineStr">
        <is>
          <t>Engine inputs (from Assumptions)</t>
        </is>
      </c>
    </row>
    <row r="18">
      <c r="A18" s="14" t="inlineStr">
        <is>
          <t>Anchor volatility (HAR, annualised)</t>
        </is>
      </c>
      <c r="B18" s="33">
        <f>Assumptions!$B$62</f>
        <v/>
      </c>
    </row>
    <row r="19">
      <c r="A19" s="14" t="inlineStr">
        <is>
          <t>Secular drift (daily)</t>
        </is>
      </c>
      <c r="B19" s="33">
        <f>Assumptions!$B$63</f>
        <v/>
      </c>
    </row>
    <row r="20">
      <c r="A20" s="14" t="inlineStr">
        <is>
          <t>Net factor drift per quarter</t>
        </is>
      </c>
      <c r="B20" s="33">
        <f>Assumptions!$B$64</f>
        <v/>
      </c>
    </row>
    <row r="22">
      <c r="A22" s="5" t="inlineStr">
        <is>
          <t>Level-touch ladder (probability of touching by the horizon)</t>
        </is>
      </c>
    </row>
    <row r="23">
      <c r="A23" s="5" t="inlineStr">
        <is>
          <t>Level (EGP)</t>
        </is>
      </c>
      <c r="B23" s="5" t="inlineStr">
        <is>
          <t>1 month</t>
        </is>
      </c>
      <c r="C23" s="5" t="inlineStr">
        <is>
          <t>3 months</t>
        </is>
      </c>
    </row>
    <row r="24">
      <c r="A24" s="7" t="n">
        <v>40</v>
      </c>
      <c r="B24" s="10" t="n">
        <v>0.0347</v>
      </c>
      <c r="C24" s="10" t="n">
        <v>0.1821</v>
      </c>
    </row>
    <row r="25">
      <c r="A25" s="7" t="n">
        <v>38</v>
      </c>
      <c r="B25" s="10" t="n">
        <v>0.06214</v>
      </c>
      <c r="C25" s="10" t="n">
        <v>0.25656</v>
      </c>
    </row>
    <row r="26">
      <c r="A26" s="7" t="n">
        <v>36</v>
      </c>
      <c r="B26" s="10" t="n">
        <v>0.11672</v>
      </c>
      <c r="C26" s="10" t="n">
        <v>0.36168</v>
      </c>
    </row>
    <row r="27">
      <c r="A27" s="7" t="n">
        <v>34</v>
      </c>
      <c r="B27" s="10" t="n">
        <v>0.23456</v>
      </c>
      <c r="C27" s="10" t="n">
        <v>0.50962</v>
      </c>
    </row>
    <row r="28">
      <c r="A28" s="7" t="n">
        <v>32</v>
      </c>
      <c r="B28" s="10" t="n">
        <v>0.45508</v>
      </c>
      <c r="C28" s="10" t="n">
        <v>0.69446</v>
      </c>
    </row>
    <row r="29">
      <c r="A29" s="7" t="n">
        <v>30</v>
      </c>
      <c r="B29" s="10" t="n">
        <v>0.8072</v>
      </c>
      <c r="C29" s="10" t="n">
        <v>0.9008</v>
      </c>
    </row>
    <row r="30">
      <c r="A30" s="7" t="n">
        <v>28</v>
      </c>
      <c r="B30" s="10" t="n">
        <v>0.52576</v>
      </c>
      <c r="C30" s="10" t="n">
        <v>0.6845</v>
      </c>
    </row>
    <row r="31">
      <c r="A31" s="7" t="n">
        <v>26</v>
      </c>
      <c r="B31" s="10" t="n">
        <v>0.22022</v>
      </c>
      <c r="C31" s="10" t="n">
        <v>0.4228</v>
      </c>
    </row>
    <row r="33">
      <c r="A33" s="8" t="inlineStr">
        <is>
          <t>The cone is anchored on the last real session the exchange library holds, EGP 29.51 on 2026-08-23; the valuation is struck against the latest known price of EGP 28.98 on 2026-09-03. Two clocks, both published with their own dates.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Sensitivity — the two things the answer actually turns on</t>
        </is>
      </c>
      <c r="B1" s="2" t="n"/>
      <c r="C1" s="2" t="n"/>
      <c r="D1" s="2" t="n"/>
      <c r="E1" s="2" t="n"/>
      <c r="F1" s="2" t="n"/>
      <c r="G1" s="2" t="n"/>
      <c r="H1" s="2" t="n"/>
    </row>
    <row r="2">
      <c r="A2" s="4" t="inlineStr">
        <is>
          <t>The mark on the associate, and the price of time. There is no complexity-discount axis: the superseded edition sensitised the answer across a discount it also applied, and that discount is gone.</t>
        </is>
      </c>
    </row>
    <row r="4">
      <c r="A4" s="5" t="inlineStr">
        <is>
          <t>GRID 1 — Auto gross-margin shift against the MNT-Halan mark</t>
        </is>
      </c>
    </row>
    <row r="5">
      <c r="A5" s="5" t="inlineStr">
        <is>
          <t>Gross-margin shift \ mark (EGP mn)</t>
        </is>
      </c>
      <c r="B5" s="34">
        <f>Assumptions!$B$48*0.5</f>
        <v/>
      </c>
      <c r="C5" s="34">
        <f>Assumptions!$B$49</f>
        <v/>
      </c>
      <c r="D5" s="34">
        <f>Assumptions!$B$48*0.75</f>
        <v/>
      </c>
      <c r="E5" s="34">
        <f>Assumptions!$B$48</f>
        <v/>
      </c>
    </row>
    <row r="6">
      <c r="A6" s="35" t="n">
        <v>-0.02</v>
      </c>
      <c r="B6" s="19">
        <f>(DCF!$B$23+$A6*100*DCF!$B$30-Assumptions!$B$21-Assumptions!$B$22+Assumptions!$B$41+B$5+Assumptions!$B$50)/Assumptions!$B$6</f>
        <v/>
      </c>
      <c r="C6" s="19">
        <f>(DCF!$B$23+$A6*100*DCF!$B$30-Assumptions!$B$21-Assumptions!$B$22+Assumptions!$B$41+C$5+Assumptions!$B$50)/Assumptions!$B$6</f>
        <v/>
      </c>
      <c r="D6" s="19">
        <f>(DCF!$B$23+$A6*100*DCF!$B$30-Assumptions!$B$21-Assumptions!$B$22+Assumptions!$B$41+D$5+Assumptions!$B$50)/Assumptions!$B$6</f>
        <v/>
      </c>
      <c r="E6" s="19">
        <f>(DCF!$B$23+$A6*100*DCF!$B$30-Assumptions!$B$21-Assumptions!$B$22+Assumptions!$B$41+E$5+Assumptions!$B$50)/Assumptions!$B$6</f>
        <v/>
      </c>
    </row>
    <row r="7">
      <c r="A7" s="35" t="n">
        <v>-0.01</v>
      </c>
      <c r="B7" s="19">
        <f>(DCF!$B$23+$A7*100*DCF!$B$30-Assumptions!$B$21-Assumptions!$B$22+Assumptions!$B$41+B$5+Assumptions!$B$50)/Assumptions!$B$6</f>
        <v/>
      </c>
      <c r="C7" s="19">
        <f>(DCF!$B$23+$A7*100*DCF!$B$30-Assumptions!$B$21-Assumptions!$B$22+Assumptions!$B$41+C$5+Assumptions!$B$50)/Assumptions!$B$6</f>
        <v/>
      </c>
      <c r="D7" s="19">
        <f>(DCF!$B$23+$A7*100*DCF!$B$30-Assumptions!$B$21-Assumptions!$B$22+Assumptions!$B$41+D$5+Assumptions!$B$50)/Assumptions!$B$6</f>
        <v/>
      </c>
      <c r="E7" s="19">
        <f>(DCF!$B$23+$A7*100*DCF!$B$30-Assumptions!$B$21-Assumptions!$B$22+Assumptions!$B$41+E$5+Assumptions!$B$50)/Assumptions!$B$6</f>
        <v/>
      </c>
    </row>
    <row r="8">
      <c r="A8" s="35" t="n">
        <v>0</v>
      </c>
      <c r="B8" s="19">
        <f>(DCF!$B$23+$A8*100*DCF!$B$30-Assumptions!$B$21-Assumptions!$B$22+Assumptions!$B$41+B$5+Assumptions!$B$50)/Assumptions!$B$6</f>
        <v/>
      </c>
      <c r="C8" s="19">
        <f>(DCF!$B$23+$A8*100*DCF!$B$30-Assumptions!$B$21-Assumptions!$B$22+Assumptions!$B$41+C$5+Assumptions!$B$50)/Assumptions!$B$6</f>
        <v/>
      </c>
      <c r="D8" s="19">
        <f>(DCF!$B$23+$A8*100*DCF!$B$30-Assumptions!$B$21-Assumptions!$B$22+Assumptions!$B$41+D$5+Assumptions!$B$50)/Assumptions!$B$6</f>
        <v/>
      </c>
      <c r="E8" s="19">
        <f>(DCF!$B$23+$A8*100*DCF!$B$30-Assumptions!$B$21-Assumptions!$B$22+Assumptions!$B$41+E$5+Assumptions!$B$50)/Assumptions!$B$6</f>
        <v/>
      </c>
    </row>
    <row r="9">
      <c r="A9" s="35" t="n">
        <v>0.01</v>
      </c>
      <c r="B9" s="19">
        <f>(DCF!$B$23+$A9*100*DCF!$B$30-Assumptions!$B$21-Assumptions!$B$22+Assumptions!$B$41+B$5+Assumptions!$B$50)/Assumptions!$B$6</f>
        <v/>
      </c>
      <c r="C9" s="19">
        <f>(DCF!$B$23+$A9*100*DCF!$B$30-Assumptions!$B$21-Assumptions!$B$22+Assumptions!$B$41+C$5+Assumptions!$B$50)/Assumptions!$B$6</f>
        <v/>
      </c>
      <c r="D9" s="19">
        <f>(DCF!$B$23+$A9*100*DCF!$B$30-Assumptions!$B$21-Assumptions!$B$22+Assumptions!$B$41+D$5+Assumptions!$B$50)/Assumptions!$B$6</f>
        <v/>
      </c>
      <c r="E9" s="19">
        <f>(DCF!$B$23+$A9*100*DCF!$B$30-Assumptions!$B$21-Assumptions!$B$22+Assumptions!$B$41+E$5+Assumptions!$B$50)/Assumptions!$B$6</f>
        <v/>
      </c>
    </row>
    <row r="10">
      <c r="A10" s="35" t="n">
        <v>0.02</v>
      </c>
      <c r="B10" s="19">
        <f>(DCF!$B$23+$A10*100*DCF!$B$30-Assumptions!$B$21-Assumptions!$B$22+Assumptions!$B$41+B$5+Assumptions!$B$50)/Assumptions!$B$6</f>
        <v/>
      </c>
      <c r="C10" s="19">
        <f>(DCF!$B$23+$A10*100*DCF!$B$30-Assumptions!$B$21-Assumptions!$B$22+Assumptions!$B$41+C$5+Assumptions!$B$50)/Assumptions!$B$6</f>
        <v/>
      </c>
      <c r="D10" s="19">
        <f>(DCF!$B$23+$A10*100*DCF!$B$30-Assumptions!$B$21-Assumptions!$B$22+Assumptions!$B$41+D$5+Assumptions!$B$50)/Assumptions!$B$6</f>
        <v/>
      </c>
      <c r="E10" s="19">
        <f>(DCF!$B$23+$A10*100*DCF!$B$30-Assumptions!$B$21-Assumptions!$B$22+Assumptions!$B$41+E$5+Assumptions!$B$50)/Assumptions!$B$6</f>
        <v/>
      </c>
    </row>
    <row r="11">
      <c r="A11" s="8" t="inlineStr">
        <is>
          <t>Two of these columns ARE the two published branches, at a zero margin shift, and the other two are haircuts on the round price that this study's own expert panel argues for. A margin shift moves cost only, so it moves each year's free cash flow by revenue x shift x (1 - tax) — the helper row on the DCF sheet is that arithmetic exactly, not an approximation of it.</t>
        </is>
      </c>
    </row>
    <row r="13">
      <c r="A13" s="5" t="inlineStr">
        <is>
          <t>GRID 2 — the price of time: a shift in the WHOLE cost-of-capital ladder against terminal growth</t>
        </is>
      </c>
    </row>
    <row r="14">
      <c r="A14" s="5" t="inlineStr">
        <is>
          <t>Ladder shift \ terminal growth</t>
        </is>
      </c>
      <c r="B14" s="36">
        <f>Assumptions!$B$19+-0.02</f>
        <v/>
      </c>
      <c r="C14" s="36">
        <f>Assumptions!$B$19+-0.01</f>
        <v/>
      </c>
      <c r="D14" s="36">
        <f>Assumptions!$B$19+0.0</f>
        <v/>
      </c>
      <c r="E14" s="36">
        <f>Assumptions!$B$19+0.01</f>
        <v/>
      </c>
      <c r="F14" s="36">
        <f>Assumptions!$B$19+0.02</f>
        <v/>
      </c>
    </row>
    <row r="15">
      <c r="A15" s="35" t="n">
        <v>-0.02</v>
      </c>
      <c r="B15" s="19">
        <f>(SUMPRODUCT(DCF!$B$14:$F$14,$B$23:$F$23)+DCF!$F$14*(1+B$14)/($G$23-B$14)*$F$23-Assumptions!$B$21-Assumptions!$B$22+Assumptions!$B$41+Assumptions!$B$51)/Assumptions!$B$6</f>
        <v/>
      </c>
      <c r="C15" s="19">
        <f>(SUMPRODUCT(DCF!$B$14:$F$14,$B$23:$F$23)+DCF!$F$14*(1+C$14)/($G$23-C$14)*$F$23-Assumptions!$B$21-Assumptions!$B$22+Assumptions!$B$41+Assumptions!$B$51)/Assumptions!$B$6</f>
        <v/>
      </c>
      <c r="D15" s="19">
        <f>(SUMPRODUCT(DCF!$B$14:$F$14,$B$23:$F$23)+DCF!$F$14*(1+D$14)/($G$23-D$14)*$F$23-Assumptions!$B$21-Assumptions!$B$22+Assumptions!$B$41+Assumptions!$B$51)/Assumptions!$B$6</f>
        <v/>
      </c>
      <c r="E15" s="19">
        <f>(SUMPRODUCT(DCF!$B$14:$F$14,$B$23:$F$23)+DCF!$F$14*(1+E$14)/($G$23-E$14)*$F$23-Assumptions!$B$21-Assumptions!$B$22+Assumptions!$B$41+Assumptions!$B$51)/Assumptions!$B$6</f>
        <v/>
      </c>
      <c r="F15" s="19">
        <f>(SUMPRODUCT(DCF!$B$14:$F$14,$B$23:$F$23)+DCF!$F$14*(1+F$14)/($G$23-F$14)*$F$23-Assumptions!$B$21-Assumptions!$B$22+Assumptions!$B$41+Assumptions!$B$51)/Assumptions!$B$6</f>
        <v/>
      </c>
    </row>
    <row r="16">
      <c r="A16" s="35" t="n">
        <v>-0.01</v>
      </c>
      <c r="B16" s="19">
        <f>(SUMPRODUCT(DCF!$B$14:$F$14,$B$24:$F$24)+DCF!$F$14*(1+B$14)/($G$24-B$14)*$F$24-Assumptions!$B$21-Assumptions!$B$22+Assumptions!$B$41+Assumptions!$B$51)/Assumptions!$B$6</f>
        <v/>
      </c>
      <c r="C16" s="19">
        <f>(SUMPRODUCT(DCF!$B$14:$F$14,$B$24:$F$24)+DCF!$F$14*(1+C$14)/($G$24-C$14)*$F$24-Assumptions!$B$21-Assumptions!$B$22+Assumptions!$B$41+Assumptions!$B$51)/Assumptions!$B$6</f>
        <v/>
      </c>
      <c r="D16" s="19">
        <f>(SUMPRODUCT(DCF!$B$14:$F$14,$B$24:$F$24)+DCF!$F$14*(1+D$14)/($G$24-D$14)*$F$24-Assumptions!$B$21-Assumptions!$B$22+Assumptions!$B$41+Assumptions!$B$51)/Assumptions!$B$6</f>
        <v/>
      </c>
      <c r="E16" s="19">
        <f>(SUMPRODUCT(DCF!$B$14:$F$14,$B$24:$F$24)+DCF!$F$14*(1+E$14)/($G$24-E$14)*$F$24-Assumptions!$B$21-Assumptions!$B$22+Assumptions!$B$41+Assumptions!$B$51)/Assumptions!$B$6</f>
        <v/>
      </c>
      <c r="F16" s="19">
        <f>(SUMPRODUCT(DCF!$B$14:$F$14,$B$24:$F$24)+DCF!$F$14*(1+F$14)/($G$24-F$14)*$F$24-Assumptions!$B$21-Assumptions!$B$22+Assumptions!$B$41+Assumptions!$B$51)/Assumptions!$B$6</f>
        <v/>
      </c>
    </row>
    <row r="17">
      <c r="A17" s="35" t="n">
        <v>0</v>
      </c>
      <c r="B17" s="19">
        <f>(SUMPRODUCT(DCF!$B$14:$F$14,$B$25:$F$25)+DCF!$F$14*(1+B$14)/($G$25-B$14)*$F$25-Assumptions!$B$21-Assumptions!$B$22+Assumptions!$B$41+Assumptions!$B$51)/Assumptions!$B$6</f>
        <v/>
      </c>
      <c r="C17" s="19">
        <f>(SUMPRODUCT(DCF!$B$14:$F$14,$B$25:$F$25)+DCF!$F$14*(1+C$14)/($G$25-C$14)*$F$25-Assumptions!$B$21-Assumptions!$B$22+Assumptions!$B$41+Assumptions!$B$51)/Assumptions!$B$6</f>
        <v/>
      </c>
      <c r="D17" s="19">
        <f>(SUMPRODUCT(DCF!$B$14:$F$14,$B$25:$F$25)+DCF!$F$14*(1+D$14)/($G$25-D$14)*$F$25-Assumptions!$B$21-Assumptions!$B$22+Assumptions!$B$41+Assumptions!$B$51)/Assumptions!$B$6</f>
        <v/>
      </c>
      <c r="E17" s="19">
        <f>(SUMPRODUCT(DCF!$B$14:$F$14,$B$25:$F$25)+DCF!$F$14*(1+E$14)/($G$25-E$14)*$F$25-Assumptions!$B$21-Assumptions!$B$22+Assumptions!$B$41+Assumptions!$B$51)/Assumptions!$B$6</f>
        <v/>
      </c>
      <c r="F17" s="19">
        <f>(SUMPRODUCT(DCF!$B$14:$F$14,$B$25:$F$25)+DCF!$F$14*(1+F$14)/($G$25-F$14)*$F$25-Assumptions!$B$21-Assumptions!$B$22+Assumptions!$B$41+Assumptions!$B$51)/Assumptions!$B$6</f>
        <v/>
      </c>
    </row>
    <row r="18">
      <c r="A18" s="35" t="n">
        <v>0.01</v>
      </c>
      <c r="B18" s="19">
        <f>(SUMPRODUCT(DCF!$B$14:$F$14,$B$26:$F$26)+DCF!$F$14*(1+B$14)/($G$26-B$14)*$F$26-Assumptions!$B$21-Assumptions!$B$22+Assumptions!$B$41+Assumptions!$B$51)/Assumptions!$B$6</f>
        <v/>
      </c>
      <c r="C18" s="19">
        <f>(SUMPRODUCT(DCF!$B$14:$F$14,$B$26:$F$26)+DCF!$F$14*(1+C$14)/($G$26-C$14)*$F$26-Assumptions!$B$21-Assumptions!$B$22+Assumptions!$B$41+Assumptions!$B$51)/Assumptions!$B$6</f>
        <v/>
      </c>
      <c r="D18" s="19">
        <f>(SUMPRODUCT(DCF!$B$14:$F$14,$B$26:$F$26)+DCF!$F$14*(1+D$14)/($G$26-D$14)*$F$26-Assumptions!$B$21-Assumptions!$B$22+Assumptions!$B$41+Assumptions!$B$51)/Assumptions!$B$6</f>
        <v/>
      </c>
      <c r="E18" s="19">
        <f>(SUMPRODUCT(DCF!$B$14:$F$14,$B$26:$F$26)+DCF!$F$14*(1+E$14)/($G$26-E$14)*$F$26-Assumptions!$B$21-Assumptions!$B$22+Assumptions!$B$41+Assumptions!$B$51)/Assumptions!$B$6</f>
        <v/>
      </c>
      <c r="F18" s="19">
        <f>(SUMPRODUCT(DCF!$B$14:$F$14,$B$26:$F$26)+DCF!$F$14*(1+F$14)/($G$26-F$14)*$F$26-Assumptions!$B$21-Assumptions!$B$22+Assumptions!$B$41+Assumptions!$B$51)/Assumptions!$B$6</f>
        <v/>
      </c>
    </row>
    <row r="19">
      <c r="A19" s="35" t="n">
        <v>0.02</v>
      </c>
      <c r="B19" s="19">
        <f>(SUMPRODUCT(DCF!$B$14:$F$14,$B$27:$F$27)+DCF!$F$14*(1+B$14)/($G$27-B$14)*$F$27-Assumptions!$B$21-Assumptions!$B$22+Assumptions!$B$41+Assumptions!$B$51)/Assumptions!$B$6</f>
        <v/>
      </c>
      <c r="C19" s="19">
        <f>(SUMPRODUCT(DCF!$B$14:$F$14,$B$27:$F$27)+DCF!$F$14*(1+C$14)/($G$27-C$14)*$F$27-Assumptions!$B$21-Assumptions!$B$22+Assumptions!$B$41+Assumptions!$B$51)/Assumptions!$B$6</f>
        <v/>
      </c>
      <c r="D19" s="19">
        <f>(SUMPRODUCT(DCF!$B$14:$F$14,$B$27:$F$27)+DCF!$F$14*(1+D$14)/($G$27-D$14)*$F$27-Assumptions!$B$21-Assumptions!$B$22+Assumptions!$B$41+Assumptions!$B$51)/Assumptions!$B$6</f>
        <v/>
      </c>
      <c r="E19" s="19">
        <f>(SUMPRODUCT(DCF!$B$14:$F$14,$B$27:$F$27)+DCF!$F$14*(1+E$14)/($G$27-E$14)*$F$27-Assumptions!$B$21-Assumptions!$B$22+Assumptions!$B$41+Assumptions!$B$51)/Assumptions!$B$6</f>
        <v/>
      </c>
      <c r="F19" s="19">
        <f>(SUMPRODUCT(DCF!$B$14:$F$14,$B$27:$F$27)+DCF!$F$14*(1+F$14)/($G$27-F$14)*$F$27-Assumptions!$B$21-Assumptions!$B$22+Assumptions!$B$41+Assumptions!$B$51)/Assumptions!$B$6</f>
        <v/>
      </c>
    </row>
    <row r="22">
      <c r="A22" s="5" t="inlineStr">
        <is>
          <t>helper — the shifted discount factors, one forward rate per year moved together</t>
        </is>
      </c>
      <c r="B22" s="5" t="inlineStr">
        <is>
          <t>FY26E</t>
        </is>
      </c>
      <c r="C22" s="5" t="inlineStr">
        <is>
          <t>FY27E</t>
        </is>
      </c>
      <c r="D22" s="5" t="inlineStr">
        <is>
          <t>FY28E</t>
        </is>
      </c>
      <c r="E22" s="5" t="inlineStr">
        <is>
          <t>FY29E</t>
        </is>
      </c>
      <c r="F22" s="5" t="inlineStr">
        <is>
          <t>FY30E</t>
        </is>
      </c>
      <c r="G22" s="5" t="inlineStr">
        <is>
          <t>terminal rate</t>
        </is>
      </c>
    </row>
    <row r="23">
      <c r="A23" s="35" t="n">
        <v>-0.02</v>
      </c>
      <c r="B23" s="24">
        <f>1/(1+DCF!B15+$A23)</f>
        <v/>
      </c>
      <c r="C23" s="24">
        <f>B23/(1+DCF!C15+$A23)</f>
        <v/>
      </c>
      <c r="D23" s="24">
        <f>C23/(1+DCF!D15+$A23)</f>
        <v/>
      </c>
      <c r="E23" s="24">
        <f>D23/(1+DCF!E15+$A23)</f>
        <v/>
      </c>
      <c r="F23" s="24">
        <f>E23/(1+DCF!F15+$A23)</f>
        <v/>
      </c>
      <c r="G23" s="13">
        <f>DCF!$B$20+$A23</f>
        <v/>
      </c>
    </row>
    <row r="24">
      <c r="A24" s="35" t="n">
        <v>-0.01</v>
      </c>
      <c r="B24" s="24">
        <f>1/(1+DCF!B15+$A24)</f>
        <v/>
      </c>
      <c r="C24" s="24">
        <f>B24/(1+DCF!C15+$A24)</f>
        <v/>
      </c>
      <c r="D24" s="24">
        <f>C24/(1+DCF!D15+$A24)</f>
        <v/>
      </c>
      <c r="E24" s="24">
        <f>D24/(1+DCF!E15+$A24)</f>
        <v/>
      </c>
      <c r="F24" s="24">
        <f>E24/(1+DCF!F15+$A24)</f>
        <v/>
      </c>
      <c r="G24" s="13">
        <f>DCF!$B$20+$A24</f>
        <v/>
      </c>
    </row>
    <row r="25">
      <c r="A25" s="35" t="n">
        <v>0</v>
      </c>
      <c r="B25" s="24">
        <f>1/(1+DCF!B15+$A25)</f>
        <v/>
      </c>
      <c r="C25" s="24">
        <f>B25/(1+DCF!C15+$A25)</f>
        <v/>
      </c>
      <c r="D25" s="24">
        <f>C25/(1+DCF!D15+$A25)</f>
        <v/>
      </c>
      <c r="E25" s="24">
        <f>D25/(1+DCF!E15+$A25)</f>
        <v/>
      </c>
      <c r="F25" s="24">
        <f>E25/(1+DCF!F15+$A25)</f>
        <v/>
      </c>
      <c r="G25" s="13">
        <f>DCF!$B$20+$A25</f>
        <v/>
      </c>
    </row>
    <row r="26">
      <c r="A26" s="35" t="n">
        <v>0.01</v>
      </c>
      <c r="B26" s="24">
        <f>1/(1+DCF!B15+$A26)</f>
        <v/>
      </c>
      <c r="C26" s="24">
        <f>B26/(1+DCF!C15+$A26)</f>
        <v/>
      </c>
      <c r="D26" s="24">
        <f>C26/(1+DCF!D15+$A26)</f>
        <v/>
      </c>
      <c r="E26" s="24">
        <f>D26/(1+DCF!E15+$A26)</f>
        <v/>
      </c>
      <c r="F26" s="24">
        <f>E26/(1+DCF!F15+$A26)</f>
        <v/>
      </c>
      <c r="G26" s="13">
        <f>DCF!$B$20+$A26</f>
        <v/>
      </c>
    </row>
    <row r="27">
      <c r="A27" s="35" t="n">
        <v>0.02</v>
      </c>
      <c r="B27" s="24">
        <f>1/(1+DCF!B15+$A27)</f>
        <v/>
      </c>
      <c r="C27" s="24">
        <f>B27/(1+DCF!C15+$A27)</f>
        <v/>
      </c>
      <c r="D27" s="24">
        <f>C27/(1+DCF!D15+$A27)</f>
        <v/>
      </c>
      <c r="E27" s="24">
        <f>D27/(1+DCF!E15+$A27)</f>
        <v/>
      </c>
      <c r="F27" s="24">
        <f>E27/(1+DCF!F15+$A27)</f>
        <v/>
      </c>
      <c r="G27" s="13">
        <f>DCF!$B$20+$A27</f>
        <v/>
      </c>
    </row>
    <row r="29">
      <c r="A29" s="8" t="inlineStr">
        <is>
          <t>Grid 2 is read on branch A — MNT-Halan at the June-2026 round price. Branch B is the same grid shifted DOWN by exactly the distance between the two marks per share, which the SOTP Bridge sheet prints; the price of time does not touch the associate mark, so the shift is a constant and there is nothing to recompute. The whole ladder moves together — moving one forward rate and leaving the others would price two different economies in one model.</t>
        </is>
      </c>
    </row>
    <row r="30">
      <c r="A30" s="14" t="inlineStr">
        <is>
          <t>the constant to subtract for branch B (EGP/share)</t>
        </is>
      </c>
      <c r="B30" s="19">
        <f>'SOTP Bridge'!D11-'SOTP Bridge'!C11</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44"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5" customWidth="1" min="10" max="10"/>
  </cols>
  <sheetData>
    <row r="1">
      <c r="A1" s="1" t="inlineStr">
        <is>
          <t>Per share and ratios — the standing dashboard</t>
        </is>
      </c>
      <c r="B1" s="2" t="n"/>
      <c r="C1" s="2" t="n"/>
      <c r="D1" s="2" t="n"/>
      <c r="E1" s="2" t="n"/>
      <c r="F1" s="2" t="n"/>
      <c r="G1" s="2" t="n"/>
      <c r="H1" s="2" t="n"/>
      <c r="I1" s="2" t="n"/>
      <c r="J1" s="2" t="n"/>
    </row>
    <row r="2">
      <c r="A2" s="4" t="inlineStr">
        <is>
          <t>Links to the statements and to Assumptions; nothing here is typed.</t>
        </is>
      </c>
    </row>
    <row r="4">
      <c r="A4" s="5" t="inlineStr"/>
      <c r="B4" s="5" t="inlineStr">
        <is>
          <t>FY23</t>
        </is>
      </c>
      <c r="C4" s="5" t="inlineStr">
        <is>
          <t>FY24</t>
        </is>
      </c>
      <c r="D4" s="5" t="inlineStr">
        <is>
          <t>FY25</t>
        </is>
      </c>
      <c r="E4" s="5" t="inlineStr">
        <is>
          <t>FY26E</t>
        </is>
      </c>
      <c r="F4" s="5" t="inlineStr">
        <is>
          <t>FY27E</t>
        </is>
      </c>
      <c r="G4" s="5" t="inlineStr">
        <is>
          <t>FY28E</t>
        </is>
      </c>
      <c r="H4" s="5" t="inlineStr">
        <is>
          <t>FY29E</t>
        </is>
      </c>
      <c r="I4" s="5" t="inlineStr">
        <is>
          <t>FY30E</t>
        </is>
      </c>
    </row>
    <row r="6">
      <c r="A6" s="14" t="inlineStr">
        <is>
          <t>EPS (EGP)</t>
        </is>
      </c>
      <c r="B6" s="19">
        <f>'Income Statement'!B26/Assumptions!$B$6</f>
        <v/>
      </c>
      <c r="C6" s="19">
        <f>'Income Statement'!C26/Assumptions!$B$6</f>
        <v/>
      </c>
      <c r="D6" s="19">
        <f>'Income Statement'!D26/Assumptions!$B$6</f>
        <v/>
      </c>
      <c r="E6" s="19">
        <f>'Income Statement'!E26/Assumptions!$B$6</f>
        <v/>
      </c>
      <c r="F6" s="19">
        <f>'Income Statement'!F26/Assumptions!$B$6</f>
        <v/>
      </c>
      <c r="G6" s="19">
        <f>'Income Statement'!G26/Assumptions!$B$6</f>
        <v/>
      </c>
      <c r="H6" s="19">
        <f>'Income Statement'!H26/Assumptions!$B$6</f>
        <v/>
      </c>
      <c r="I6" s="19">
        <f>'Income Statement'!I26/Assumptions!$B$6</f>
        <v/>
      </c>
    </row>
    <row r="7">
      <c r="A7" s="14" t="inlineStr">
        <is>
          <t>DPS (EGP)</t>
        </is>
      </c>
      <c r="E7" s="19">
        <f>'Income Statement'!E26*Assumptions!C$97/Assumptions!$B$6</f>
        <v/>
      </c>
      <c r="F7" s="19">
        <f>'Income Statement'!F26*Assumptions!D$97/Assumptions!$B$6</f>
        <v/>
      </c>
      <c r="G7" s="19">
        <f>'Income Statement'!G26*Assumptions!E$97/Assumptions!$B$6</f>
        <v/>
      </c>
      <c r="H7" s="19">
        <f>'Income Statement'!H26*Assumptions!F$97/Assumptions!$B$6</f>
        <v/>
      </c>
      <c r="I7" s="19">
        <f>'Income Statement'!I26*Assumptions!G$97/Assumptions!$B$6</f>
        <v/>
      </c>
    </row>
    <row r="8">
      <c r="A8" s="14" t="inlineStr">
        <is>
          <t>Book value per share (EGP)</t>
        </is>
      </c>
      <c r="B8" s="19">
        <f>'Balance Sheet'!B16/Assumptions!$B$6</f>
        <v/>
      </c>
      <c r="C8" s="19">
        <f>'Balance Sheet'!C16/Assumptions!$B$6</f>
        <v/>
      </c>
      <c r="D8" s="19">
        <f>'Balance Sheet'!D16/Assumptions!$B$6</f>
        <v/>
      </c>
      <c r="E8" s="19">
        <f>'Balance Sheet'!E16/Assumptions!$B$6</f>
        <v/>
      </c>
      <c r="F8" s="19">
        <f>'Balance Sheet'!F16/Assumptions!$B$6</f>
        <v/>
      </c>
      <c r="G8" s="19">
        <f>'Balance Sheet'!G16/Assumptions!$B$6</f>
        <v/>
      </c>
      <c r="H8" s="19">
        <f>'Balance Sheet'!H16/Assumptions!$B$6</f>
        <v/>
      </c>
      <c r="I8" s="19">
        <f>'Balance Sheet'!I16/Assumptions!$B$6</f>
        <v/>
      </c>
    </row>
    <row r="9">
      <c r="A9" s="14" t="inlineStr">
        <is>
          <t>P/E at the latest known price</t>
        </is>
      </c>
      <c r="B9" s="16">
        <f>Assumptions!$B$5/('Income Statement'!B26/Assumptions!$B$6)</f>
        <v/>
      </c>
      <c r="C9" s="16">
        <f>Assumptions!$B$5/('Income Statement'!C26/Assumptions!$B$6)</f>
        <v/>
      </c>
      <c r="D9" s="16">
        <f>Assumptions!$B$5/('Income Statement'!D26/Assumptions!$B$6)</f>
        <v/>
      </c>
      <c r="E9" s="16">
        <f>Assumptions!$B$5/('Income Statement'!E26/Assumptions!$B$6)</f>
        <v/>
      </c>
      <c r="F9" s="16">
        <f>Assumptions!$B$5/('Income Statement'!F26/Assumptions!$B$6)</f>
        <v/>
      </c>
      <c r="G9" s="16">
        <f>Assumptions!$B$5/('Income Statement'!G26/Assumptions!$B$6)</f>
        <v/>
      </c>
      <c r="H9" s="16">
        <f>Assumptions!$B$5/('Income Statement'!H26/Assumptions!$B$6)</f>
        <v/>
      </c>
      <c r="I9" s="16">
        <f>Assumptions!$B$5/('Income Statement'!I26/Assumptions!$B$6)</f>
        <v/>
      </c>
    </row>
    <row r="10">
      <c r="A10" s="14" t="inlineStr">
        <is>
          <t>P/B at the latest known price</t>
        </is>
      </c>
      <c r="B10" s="16">
        <f>Assumptions!$B$5/('Balance Sheet'!B16/Assumptions!$B$6)</f>
        <v/>
      </c>
      <c r="C10" s="16">
        <f>Assumptions!$B$5/('Balance Sheet'!C16/Assumptions!$B$6)</f>
        <v/>
      </c>
      <c r="D10" s="16">
        <f>Assumptions!$B$5/('Balance Sheet'!D16/Assumptions!$B$6)</f>
        <v/>
      </c>
      <c r="E10" s="16">
        <f>Assumptions!$B$5/('Balance Sheet'!E16/Assumptions!$B$6)</f>
        <v/>
      </c>
      <c r="F10" s="16">
        <f>Assumptions!$B$5/('Balance Sheet'!F16/Assumptions!$B$6)</f>
        <v/>
      </c>
      <c r="G10" s="16">
        <f>Assumptions!$B$5/('Balance Sheet'!G16/Assumptions!$B$6)</f>
        <v/>
      </c>
      <c r="H10" s="16">
        <f>Assumptions!$B$5/('Balance Sheet'!H16/Assumptions!$B$6)</f>
        <v/>
      </c>
      <c r="I10" s="16">
        <f>Assumptions!$B$5/('Balance Sheet'!I16/Assumptions!$B$6)</f>
        <v/>
      </c>
    </row>
    <row r="11">
      <c r="A11" s="14" t="inlineStr">
        <is>
          <t>Dividend yield at the latest known price</t>
        </is>
      </c>
      <c r="E11" s="13">
        <f>E7/Assumptions!$B$5</f>
        <v/>
      </c>
      <c r="F11" s="13">
        <f>F7/Assumptions!$B$5</f>
        <v/>
      </c>
      <c r="G11" s="13">
        <f>G7/Assumptions!$B$5</f>
        <v/>
      </c>
      <c r="H11" s="13">
        <f>H7/Assumptions!$B$5</f>
        <v/>
      </c>
      <c r="I11" s="13">
        <f>I7/Assumptions!$B$5</f>
        <v/>
      </c>
    </row>
    <row r="12">
      <c r="A12" s="14" t="inlineStr">
        <is>
          <t>EBITDA margin</t>
        </is>
      </c>
      <c r="D12" s="13">
        <f>'Income Statement'!D19/'Income Statement'!D9</f>
        <v/>
      </c>
      <c r="E12" s="13">
        <f>'Income Statement'!E19/'Income Statement'!E9</f>
        <v/>
      </c>
      <c r="F12" s="13">
        <f>'Income Statement'!F19/'Income Statement'!F9</f>
        <v/>
      </c>
      <c r="G12" s="13">
        <f>'Income Statement'!G19/'Income Statement'!G9</f>
        <v/>
      </c>
      <c r="H12" s="13">
        <f>'Income Statement'!H19/'Income Statement'!H9</f>
        <v/>
      </c>
      <c r="I12" s="13">
        <f>'Income Statement'!I19/'Income Statement'!I9</f>
        <v/>
      </c>
    </row>
    <row r="13">
      <c r="A13" s="14" t="inlineStr">
        <is>
          <t>Net margin</t>
        </is>
      </c>
      <c r="B13" s="13">
        <f>'Income Statement'!B26/'Income Statement'!B9</f>
        <v/>
      </c>
      <c r="C13" s="13">
        <f>'Income Statement'!C26/'Income Statement'!C9</f>
        <v/>
      </c>
      <c r="D13" s="13">
        <f>'Income Statement'!D26/'Income Statement'!D9</f>
        <v/>
      </c>
      <c r="E13" s="13">
        <f>'Income Statement'!E26/'Income Statement'!E9</f>
        <v/>
      </c>
      <c r="F13" s="13">
        <f>'Income Statement'!F26/'Income Statement'!F9</f>
        <v/>
      </c>
      <c r="G13" s="13">
        <f>'Income Statement'!G26/'Income Statement'!G9</f>
        <v/>
      </c>
      <c r="H13" s="13">
        <f>'Income Statement'!H26/'Income Statement'!H9</f>
        <v/>
      </c>
      <c r="I13" s="13">
        <f>'Income Statement'!I26/'Income Statement'!I9</f>
        <v/>
      </c>
    </row>
    <row r="14">
      <c r="A14" s="14" t="inlineStr">
        <is>
          <t>Return on average equity (attributable)</t>
        </is>
      </c>
      <c r="B14" s="13">
        <f>'Income Statement'!B26/'Balance Sheet'!B16</f>
        <v/>
      </c>
      <c r="C14" s="13">
        <f>'Income Statement'!C26/'Balance Sheet'!C16</f>
        <v/>
      </c>
      <c r="D14" s="13">
        <f>'Income Statement'!D26/'Balance Sheet'!D16</f>
        <v/>
      </c>
      <c r="E14" s="13">
        <f>'Income Statement'!E26/'Balance Sheet'!E16</f>
        <v/>
      </c>
      <c r="F14" s="13">
        <f>'Income Statement'!F26/'Balance Sheet'!F16</f>
        <v/>
      </c>
      <c r="G14" s="13">
        <f>'Income Statement'!G26/'Balance Sheet'!G16</f>
        <v/>
      </c>
      <c r="H14" s="13">
        <f>'Income Statement'!H26/'Balance Sheet'!H16</f>
        <v/>
      </c>
      <c r="I14" s="13">
        <f>'Income Statement'!I26/'Balance Sheet'!I16</f>
        <v/>
      </c>
    </row>
    <row r="15">
      <c r="A15" s="14" t="inlineStr">
        <is>
          <t>Group net debt / EBITDA</t>
        </is>
      </c>
      <c r="D15" s="16">
        <f>'Balance Sheet'!D28/'Income Statement'!D19</f>
        <v/>
      </c>
      <c r="E15" s="16">
        <f>'Balance Sheet'!E28/'Income Statement'!E19</f>
        <v/>
      </c>
      <c r="F15" s="16">
        <f>'Balance Sheet'!F28/'Income Statement'!F19</f>
        <v/>
      </c>
      <c r="G15" s="16">
        <f>'Balance Sheet'!G28/'Income Statement'!G19</f>
        <v/>
      </c>
      <c r="H15" s="16">
        <f>'Balance Sheet'!H28/'Income Statement'!H19</f>
        <v/>
      </c>
      <c r="I15" s="16">
        <f>'Balance Sheet'!I28/'Income Statement'!I19</f>
        <v/>
      </c>
    </row>
    <row r="16">
      <c r="A16" s="14" t="inlineStr">
        <is>
          <t>Revenue year on year</t>
        </is>
      </c>
      <c r="C16" s="13">
        <f>'Income Statement'!C9/'Income Statement'!B9-1</f>
        <v/>
      </c>
      <c r="D16" s="13">
        <f>'Income Statement'!D9/'Income Statement'!C9-1</f>
        <v/>
      </c>
      <c r="E16" s="13">
        <f>'Income Statement'!E9/'Income Statement'!D9-1</f>
        <v/>
      </c>
      <c r="F16" s="13">
        <f>'Income Statement'!F9/'Income Statement'!E9-1</f>
        <v/>
      </c>
      <c r="G16" s="13">
        <f>'Income Statement'!G9/'Income Statement'!F9-1</f>
        <v/>
      </c>
      <c r="H16" s="13">
        <f>'Income Statement'!H9/'Income Statement'!G9-1</f>
        <v/>
      </c>
      <c r="I16" s="13">
        <f>'Income Statement'!I9/'Income Statement'!H9-1</f>
        <v/>
      </c>
    </row>
    <row r="17">
      <c r="A17" s="14" t="inlineStr">
        <is>
          <t>EPS year on year</t>
        </is>
      </c>
      <c r="C17" s="13">
        <f>'Income Statement'!C26/'Income Statement'!B26-1</f>
        <v/>
      </c>
      <c r="D17" s="13">
        <f>'Income Statement'!D26/'Income Statement'!C26-1</f>
        <v/>
      </c>
      <c r="E17" s="13">
        <f>'Income Statement'!E26/'Income Statement'!D26-1</f>
        <v/>
      </c>
      <c r="F17" s="13">
        <f>'Income Statement'!F26/'Income Statement'!E26-1</f>
        <v/>
      </c>
      <c r="G17" s="13">
        <f>'Income Statement'!G26/'Income Statement'!F26-1</f>
        <v/>
      </c>
      <c r="H17" s="13">
        <f>'Income Statement'!H26/'Income Statement'!G26-1</f>
        <v/>
      </c>
      <c r="I17" s="13">
        <f>'Income Statement'!I26/'Income Statement'!H26-1</f>
        <v/>
      </c>
    </row>
    <row r="19">
      <c r="A19" s="8" t="inlineStr">
        <is>
          <t>Group net debt against group EBITDA blends the lender's funding book, which is its raw material rather than its leverage; the measure the valuation bridge actually deducts is the AUTO segment's own net debt at 30 June 2026, on the Assumptions sheet. Dividends per share are shown for the forecast only, because the payout is a forecast driver and the historical distributions are not carried in this study's record.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0" customWidth="1" min="1" max="1"/>
    <col width="62" customWidth="1" min="2" max="2"/>
    <col width="62" customWidth="1" min="3" max="3"/>
    <col width="15" customWidth="1" min="4" max="4"/>
    <col width="15" customWidth="1" min="5" max="5"/>
    <col width="15" customWidth="1" min="6" max="6"/>
    <col width="15" customWidth="1" min="7" max="7"/>
  </cols>
  <sheetData>
    <row r="1">
      <c r="A1" s="1" t="inlineStr">
        <is>
          <t>Peer set and sector</t>
        </is>
      </c>
      <c r="B1" s="2" t="n"/>
      <c r="C1" s="2" t="n"/>
      <c r="D1" s="2" t="n"/>
      <c r="E1" s="2" t="n"/>
      <c r="F1" s="2" t="n"/>
      <c r="G1" s="2" t="n"/>
    </row>
    <row r="2">
      <c r="A2" s="4" t="inlineStr">
        <is>
          <t>There is no clean single comparable — GB Corp is an auto operator plus a non-bank lender plus a fintech associate. Split by leg.</t>
        </is>
      </c>
    </row>
    <row r="5">
      <c r="A5" s="5" t="inlineStr">
        <is>
          <t>Leg</t>
        </is>
      </c>
      <c r="B5" s="5" t="inlineStr">
        <is>
          <t>Closest peers</t>
        </is>
      </c>
      <c r="C5" s="5" t="inlineStr">
        <is>
          <t>How that kind of business is usually valued</t>
        </is>
      </c>
    </row>
    <row r="6">
      <c r="A6" s="14" t="inlineStr">
        <is>
          <t>Auto assembly and distribution</t>
        </is>
      </c>
      <c r="B6" s="6" t="inlineStr">
        <is>
          <t>Al Watania (KSA autos), Saudi Co. for Vehicles, Turk Traktor, Astra Industrial; EGX consumer durables</t>
        </is>
      </c>
      <c r="C6" s="6" t="inlineStr">
        <is>
          <t>enterprise value to EBITDA in the mid single digits; earnings multiples around eight to twelve times</t>
        </is>
      </c>
    </row>
    <row r="7">
      <c r="A7" s="14" t="inlineStr">
        <is>
          <t>Non-bank lender — leasing and consumer finance</t>
        </is>
      </c>
      <c r="B7" s="6" t="inlineStr">
        <is>
          <t>EFG Hermes (its non-bank arm), Contact Financial (CNFN), Raya Holding's finance leg</t>
        </is>
      </c>
      <c r="C7" s="6" t="inlineStr">
        <is>
          <t>price to book around one to two times on a mid-teens return on equity — which is exactly the relationship the GB Capital leg builds from this segment's OWN return rather than importing</t>
        </is>
      </c>
    </row>
    <row r="8">
      <c r="A8" s="14" t="inlineStr">
        <is>
          <t>Fintech associate (MNT-Halan)</t>
        </is>
      </c>
      <c r="B8" s="6" t="inlineStr">
        <is>
          <t>Fawry (FWRY), e-Finance (EFIH), and MNT-Halan's own private rounds</t>
        </is>
      </c>
      <c r="C8" s="6" t="inlineStr">
        <is>
          <t>private marks; the last round GB Corp announced valued it at USD 1.4 bn (June 2026), and what that mark is worth to a minority holder is the contested judgement this study publishes both ways</t>
        </is>
      </c>
    </row>
    <row r="10">
      <c r="A10" s="8" t="inlineStr">
        <is>
          <t>Sector context: Egyptian passenger-car registrations recovered sharply through 2025 and GB Corp is the largest assembler and distributor in the market; the central bank's easing cycle lowers the customer's instalment and the lender's funding cost at once, which is the single most mechanical catalyst on this name. Iraq and Jordan carry the regional drag. A peer multiple is used here as CONTEXT and never as a source for this company's own reported figures.</t>
        </is>
      </c>
    </row>
    <row r="11">
      <c r="A11" s="8" t="inlineStr">
        <is>
          <t>Analyst price targets and ratings are deliberately not used as a model input, and this study publishes neither.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2026-09-13T08:20:54Z</dcterms:created>
  <dcterms:modified xmlns:dcterms="http://purl.org/dc/terms/" xmlns:xsi="http://www.w3.org/2001/XMLSchema-instance" xsi:type="dcterms:W3CDTF">2026-09-13T08:20:54Z</dcterms:modified>
</cp:coreProperties>
</file>