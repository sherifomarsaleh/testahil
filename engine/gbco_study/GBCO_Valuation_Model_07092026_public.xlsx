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quot;-&quot;"/>
    <numFmt numFmtId="165" formatCode="0.0%;(0.0%);&quot;-&quot;"/>
    <numFmt numFmtId="166" formatCode="0.0000"/>
    <numFmt numFmtId="167" formatCode="0.00x"/>
    <numFmt numFmtId="168" formatCode="0.0000%"/>
    <numFmt numFmtId="169" formatCode="#,##0.0;(#,##0.0);&quot;-&quot;"/>
    <numFmt numFmtId="170" formatCode="0.000"/>
    <numFmt numFmtId="171" formatCode="+0.0%;-0.0%;&quot;base&quot;"/>
  </numFmts>
  <fonts count="12">
    <font>
      <name val="Calibri"/>
      <family val="2"/>
      <color theme="1"/>
      <sz val="11"/>
      <scheme val="minor"/>
    </font>
    <font>
      <b val="1"/>
      <color rgb="00F6F1E6"/>
      <sz val="13"/>
    </font>
    <font>
      <sz val="10"/>
    </font>
    <font>
      <color rgb="006E7B77"/>
      <sz val="9"/>
    </font>
    <font>
      <b val="1"/>
      <color rgb="00000000"/>
    </font>
    <font>
      <color rgb="00000000"/>
    </font>
    <font>
      <color rgb="000000FF"/>
    </font>
    <font>
      <color rgb="006E7B77"/>
    </font>
    <font>
      <color rgb="00008000"/>
    </font>
    <font>
      <b val="1"/>
      <color rgb="000000FF"/>
    </font>
    <font>
      <b val="1"/>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2" fontId="6" fillId="0" borderId="0" pivotButton="0" quotePrefix="0" xfId="0"/>
    <xf numFmtId="0" fontId="7"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5" fontId="5" fillId="0" borderId="0" pivotButton="0" quotePrefix="0" xfId="0"/>
    <xf numFmtId="167" fontId="6" fillId="0" borderId="0" pivotButton="0" quotePrefix="0" xfId="0"/>
    <xf numFmtId="164" fontId="5" fillId="0" borderId="0" pivotButton="0" quotePrefix="0" xfId="0"/>
    <xf numFmtId="168" fontId="6" fillId="0" borderId="0" pivotButton="0" quotePrefix="0" xfId="0"/>
    <xf numFmtId="49" fontId="6" fillId="0" borderId="0" pivotButton="0" quotePrefix="0" xfId="0"/>
    <xf numFmtId="0" fontId="4" fillId="0" borderId="0" pivotButton="0" quotePrefix="0" xfId="0"/>
    <xf numFmtId="169" fontId="5" fillId="0" borderId="0" pivotButton="0" quotePrefix="0" xfId="0"/>
    <xf numFmtId="2" fontId="5" fillId="0" borderId="0" pivotButton="0" quotePrefix="0" xfId="0"/>
    <xf numFmtId="164" fontId="8" fillId="0" borderId="0" pivotButton="0" quotePrefix="0" xfId="0"/>
    <xf numFmtId="164" fontId="4" fillId="0" borderId="0" pivotButton="0" quotePrefix="0" xfId="0"/>
    <xf numFmtId="170" fontId="5" fillId="0" borderId="0" pivotButton="0" quotePrefix="0" xfId="0"/>
    <xf numFmtId="165" fontId="4" fillId="0" borderId="0" pivotButton="0" quotePrefix="0" xfId="0"/>
    <xf numFmtId="164" fontId="9" fillId="0" borderId="0" pivotButton="0" quotePrefix="0" xfId="0"/>
    <xf numFmtId="164" fontId="10" fillId="0" borderId="0" pivotButton="0" quotePrefix="0" xfId="0"/>
    <xf numFmtId="164" fontId="0" fillId="0" borderId="0" pivotButton="0" quotePrefix="0" xfId="0"/>
    <xf numFmtId="2" fontId="8" fillId="0" borderId="0" pivotButton="0" quotePrefix="0" xfId="0"/>
    <xf numFmtId="165" fontId="8" fillId="0" borderId="0" pivotButton="0" quotePrefix="0" xfId="0"/>
    <xf numFmtId="2" fontId="4" fillId="0" borderId="0" pivotButton="0" quotePrefix="0" xfId="0"/>
    <xf numFmtId="2" fontId="11" fillId="0" borderId="0" pivotButton="0" quotePrefix="0" xfId="0"/>
    <xf numFmtId="165" fontId="11" fillId="0" borderId="0" pivotButton="0" quotePrefix="0" xfId="0"/>
    <xf numFmtId="164" fontId="7" fillId="0" borderId="0" pivotButton="0" quotePrefix="0" xfId="0"/>
    <xf numFmtId="167" fontId="5" fillId="0" borderId="0" pivotButton="0" quotePrefix="0" xfId="0"/>
    <xf numFmtId="0" fontId="4" fillId="4" borderId="0" pivotButton="0" quotePrefix="0" xfId="0"/>
    <xf numFmtId="49" fontId="5" fillId="0" borderId="0" pivotButton="0" quotePrefix="0" xfId="0"/>
    <xf numFmtId="165" fontId="4" fillId="3" borderId="0" pivotButton="0" quotePrefix="0" xfId="0"/>
    <xf numFmtId="171"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18"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Testahil — GB Corp S.A.E. (EGX: GBCO)</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GBCO valuation study. Every blue cell is an input; every</t>
        </is>
      </c>
    </row>
    <row r="6">
      <c r="A6" s="3" t="inlineStr">
        <is>
          <t>black cell is a formula; green cells link across sheets. All inputs live on the Assumptions sheet — change one</t>
        </is>
      </c>
    </row>
    <row r="7">
      <c r="A7" s="3" t="inlineStr">
        <is>
          <t>(the complexity discount, the Auto gross margin, a growth rate, the GB Capital multiple) and the whole model reprices.</t>
        </is>
      </c>
    </row>
    <row r="8">
      <c r="A8" s="3" t="inlineStr"/>
    </row>
    <row r="9">
      <c r="A9" s="3" t="inlineStr">
        <is>
          <t>What it is not. It is not investment advice, a recommendation, or a price target. Values are model outputs shown</t>
        </is>
      </c>
    </row>
    <row r="10">
      <c r="A10" s="3" t="inlineStr">
        <is>
          <t>as ranges. The preparer is not licensed by any securities regulator and may hold a position in the security.</t>
        </is>
      </c>
    </row>
    <row r="11">
      <c r="A11" s="3" t="inlineStr"/>
    </row>
    <row r="12">
      <c r="A12" s="3" t="inlineStr">
        <is>
          <t>Entity note. GB Corp S.A.E. (formerly GB Auto / Ghabbour Auto; renamed March 2023) is an operating company with a</t>
        </is>
      </c>
    </row>
    <row r="13">
      <c r="A13" s="3" t="inlineStr">
        <is>
          <t>captive finance arm: GB Auto (passenger cars, CV&amp;CE, trading, light mobility; Egypt · Iraq · Jordan) plus GB Capital</t>
        </is>
      </c>
    </row>
    <row r="14">
      <c r="A14" s="3" t="inlineStr">
        <is>
          <t>(leasing, factoring, consumer finance, SME lending) and associate stakes in MNT-Halan, Bedaya and Kaf.</t>
        </is>
      </c>
    </row>
    <row r="15">
      <c r="A15" s="3" t="inlineStr">
        <is>
          <t>House lens: split the legs — Auto = FCFF DCF; captive lender = adjusted book × a return-justified multiple;</t>
        </is>
      </c>
    </row>
    <row r="16">
      <c r="A16" s="3" t="inlineStr">
        <is>
          <t>the fintech associate = the company's own stated stake applied to the June-2026 funding round.</t>
        </is>
      </c>
    </row>
    <row r="17">
      <c r="A17" s="3" t="inlineStr"/>
    </row>
    <row r="18">
      <c r="A18" s="3" t="inlineStr">
        <is>
          <t>Currency. EGP million unless stated. Price EGP 28.98 (2026-09-03 close), read from the study record. Historical</t>
        </is>
      </c>
    </row>
    <row r="19">
      <c r="A19" s="3" t="inlineStr">
        <is>
          <t>financials are company disclosure: the FY2023-FY2025 earnings releases and the reviewed consolidated statements to</t>
        </is>
      </c>
    </row>
    <row r="20">
      <c r="A20" s="3" t="inlineStr">
        <is>
          <t>30 June 2026. Some consolidated balance-sheet lines are grouped from the disclosed segment balance sheets to a house</t>
        </is>
      </c>
    </row>
    <row r="21">
      <c r="A21" s="3" t="inlineStr">
        <is>
          <t>layout — flagged on the Balance Sheet.</t>
        </is>
      </c>
    </row>
    <row r="22">
      <c r="A22" s="3" t="inlineStr"/>
    </row>
    <row r="23">
      <c r="A23" s="3" t="inlineStr">
        <is>
          <t>Sheets: Summary · Fundamental Valuation · Assumptions · SOTP Bridge · Segments · Relative &amp; Normalized · DCF ·</t>
        </is>
      </c>
    </row>
    <row r="24">
      <c r="A24" s="3" t="inlineStr">
        <is>
          <t>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Valuation summary — GB Corp (EGX: GBCO)</t>
        </is>
      </c>
      <c r="B1" s="2" t="n"/>
      <c r="C1" s="2" t="n"/>
      <c r="D1" s="2" t="n"/>
      <c r="E1" s="2" t="n"/>
      <c r="F1" s="2" t="n"/>
      <c r="G1" s="2" t="n"/>
    </row>
    <row r="2">
      <c r="A2" s="4" t="inlineStr">
        <is>
          <t>Four-lens fair value vs spot. Base links live; bear/bull are scenario outputs (study §1.5).</t>
        </is>
      </c>
    </row>
    <row r="5">
      <c r="A5" s="6" t="inlineStr"/>
      <c r="B5" s="5" t="inlineStr">
        <is>
          <t>Bear</t>
        </is>
      </c>
      <c r="C5" s="5" t="inlineStr">
        <is>
          <t>Base</t>
        </is>
      </c>
      <c r="D5" s="5" t="inlineStr">
        <is>
          <t>Bull</t>
        </is>
      </c>
      <c r="E5" s="5" t="inlineStr">
        <is>
          <t>Weight</t>
        </is>
      </c>
    </row>
    <row r="6">
      <c r="A6" s="14" t="inlineStr">
        <is>
          <t>Sum-of-the-parts (split legs)</t>
        </is>
      </c>
      <c r="B6" s="7" t="n">
        <v>28</v>
      </c>
      <c r="C6" s="27">
        <f>'SOTP Bridge'!C14</f>
        <v/>
      </c>
      <c r="D6" s="7" t="n">
        <v>90.7</v>
      </c>
      <c r="E6" s="28">
        <f>Assumptions!B32</f>
        <v/>
      </c>
    </row>
    <row r="7">
      <c r="A7" s="14" t="inlineStr">
        <is>
          <t>Pre-discount NAV (DCF-anchored)</t>
        </is>
      </c>
      <c r="B7" s="7" t="n">
        <v>34.1</v>
      </c>
      <c r="C7" s="27">
        <f>'SOTP Bridge'!C11</f>
        <v/>
      </c>
      <c r="D7" s="7" t="n">
        <v>94.5</v>
      </c>
      <c r="E7" s="28">
        <f>Assumptions!B33</f>
        <v/>
      </c>
    </row>
    <row r="8">
      <c r="A8" s="14" t="inlineStr">
        <is>
          <t>Relative multiples</t>
        </is>
      </c>
      <c r="B8" s="7" t="n">
        <v>24.3</v>
      </c>
      <c r="C8" s="27">
        <f>'Relative &amp; Normalized'!C6</f>
        <v/>
      </c>
      <c r="D8" s="7" t="n">
        <v>33.4</v>
      </c>
      <c r="E8" s="28">
        <f>Assumptions!B34</f>
        <v/>
      </c>
    </row>
    <row r="9">
      <c r="A9" s="14" t="inlineStr">
        <is>
          <t>Normalized earnings</t>
        </is>
      </c>
      <c r="B9" s="7" t="n">
        <v>24.9</v>
      </c>
      <c r="C9" s="27">
        <f>'Relative &amp; Normalized'!C9</f>
        <v/>
      </c>
      <c r="D9" s="7" t="n">
        <v>42</v>
      </c>
      <c r="E9" s="28">
        <f>Assumptions!B35</f>
        <v/>
      </c>
    </row>
    <row r="10">
      <c r="A10" s="17" t="inlineStr">
        <is>
          <t>Weighted central</t>
        </is>
      </c>
      <c r="B10" s="29">
        <f>SUMPRODUCT(B6:B9,$E$6:$E$9)</f>
        <v/>
      </c>
      <c r="C10" s="29">
        <f>SUMPRODUCT(C6:C9,$E$6:$E$9)</f>
        <v/>
      </c>
      <c r="D10" s="29">
        <f>SUMPRODUCT(D6:D9,$E$6:$E$9)</f>
        <v/>
      </c>
    </row>
    <row r="12">
      <c r="A12" s="14" t="inlineStr">
        <is>
          <t>Spot price (EGP)</t>
        </is>
      </c>
      <c r="B12" s="27">
        <f>Assumptions!B5</f>
        <v/>
      </c>
    </row>
    <row r="13">
      <c r="A13" s="14" t="inlineStr">
        <is>
          <t>Upside to central base</t>
        </is>
      </c>
      <c r="B13" s="12">
        <f>C10/Assumptions!B5-1</f>
        <v/>
      </c>
    </row>
    <row r="15">
      <c r="A15" s="8" t="inlineStr">
        <is>
          <t>Read: roughly fairly valued — the price already pays for the recovery; the swing is Auto cash conversion (working capital), the Egyptian nominal rate path, and the complexity discount.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Fundamental valuation — football-field data</t>
        </is>
      </c>
      <c r="B1" s="2" t="n"/>
      <c r="C1" s="2" t="n"/>
      <c r="D1" s="2" t="n"/>
      <c r="E1" s="2" t="n"/>
      <c r="F1" s="2" t="n"/>
      <c r="G1" s="2" t="n"/>
    </row>
    <row r="2">
      <c r="A2" s="4" t="inlineStr">
        <is>
          <t>Bear/base/bull per lens (links to Summary).</t>
        </is>
      </c>
    </row>
    <row r="5">
      <c r="A5" s="5" t="inlineStr">
        <is>
          <t>Lens</t>
        </is>
      </c>
      <c r="B5" s="5" t="inlineStr">
        <is>
          <t>Bear</t>
        </is>
      </c>
      <c r="C5" s="5" t="inlineStr">
        <is>
          <t>Base</t>
        </is>
      </c>
      <c r="D5" s="5" t="inlineStr">
        <is>
          <t>Bull</t>
        </is>
      </c>
    </row>
    <row r="6">
      <c r="A6" s="6" t="inlineStr">
        <is>
          <t>Sum-of-the-parts (split legs)</t>
        </is>
      </c>
      <c r="B6" s="27">
        <f>Summary!B6</f>
        <v/>
      </c>
      <c r="C6" s="27">
        <f>Summary!C6</f>
        <v/>
      </c>
      <c r="D6" s="27">
        <f>Summary!D6</f>
        <v/>
      </c>
    </row>
    <row r="7">
      <c r="A7" s="6" t="inlineStr">
        <is>
          <t>Pre-discount NAV (DCF-anchored)</t>
        </is>
      </c>
      <c r="B7" s="27">
        <f>Summary!B7</f>
        <v/>
      </c>
      <c r="C7" s="27">
        <f>Summary!C7</f>
        <v/>
      </c>
      <c r="D7" s="27">
        <f>Summary!D7</f>
        <v/>
      </c>
    </row>
    <row r="8">
      <c r="A8" s="6" t="inlineStr">
        <is>
          <t>Relative multiples</t>
        </is>
      </c>
      <c r="B8" s="27">
        <f>Summary!B8</f>
        <v/>
      </c>
      <c r="C8" s="27">
        <f>Summary!C8</f>
        <v/>
      </c>
      <c r="D8" s="27">
        <f>Summary!D8</f>
        <v/>
      </c>
    </row>
    <row r="9">
      <c r="A9" s="6" t="inlineStr">
        <is>
          <t>Normalized earnings</t>
        </is>
      </c>
      <c r="B9" s="27">
        <f>Summary!B9</f>
        <v/>
      </c>
      <c r="C9" s="27">
        <f>Summary!C9</f>
        <v/>
      </c>
      <c r="D9" s="27">
        <f>Summary!D9</f>
        <v/>
      </c>
    </row>
    <row r="10">
      <c r="A10" s="17" t="inlineStr">
        <is>
          <t>Weighted central</t>
        </is>
      </c>
      <c r="B10" s="30">
        <f>Summary!B10</f>
        <v/>
      </c>
      <c r="C10" s="30">
        <f>Summary!C10</f>
        <v/>
      </c>
      <c r="D10" s="30">
        <f>Summary!D10</f>
        <v/>
      </c>
    </row>
    <row r="11">
      <c r="A11" s="14" t="inlineStr">
        <is>
          <t>Spot</t>
        </is>
      </c>
      <c r="B11" s="27">
        <f>Assumptions!B5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0"/>
  <sheetViews>
    <sheetView workbookViewId="0">
      <selection activeCell="A1" sqref="A1"/>
    </sheetView>
  </sheetViews>
  <sheetFormatPr baseColWidth="8" defaultRowHeight="15"/>
  <cols>
    <col width="42" customWidth="1" min="1" max="1"/>
    <col width="12.5" customWidth="1" min="2" max="2"/>
    <col width="11"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Assumptions — the single input layer</t>
        </is>
      </c>
      <c r="B1" s="2" t="n"/>
      <c r="C1" s="2" t="n"/>
      <c r="D1" s="2" t="n"/>
      <c r="E1" s="2" t="n"/>
      <c r="F1" s="2" t="n"/>
      <c r="G1" s="2" t="n"/>
      <c r="H1" s="2" t="n"/>
      <c r="I1" s="2" t="n"/>
    </row>
    <row r="2">
      <c r="A2" s="4" t="inlineStr">
        <is>
          <t>All blue cells are inputs. Every other sheet links here.</t>
        </is>
      </c>
    </row>
    <row r="4">
      <c r="A4" s="5" t="inlineStr">
        <is>
          <t>ANCHORS</t>
        </is>
      </c>
    </row>
    <row r="5">
      <c r="A5" s="6" t="inlineStr">
        <is>
          <t>Price (EGP/share)</t>
        </is>
      </c>
      <c r="B5" s="7" t="n">
        <v>28.98</v>
      </c>
      <c r="C5" s="8" t="inlineStr">
        <is>
          <t>the latest known price, 2026-09-03 close. REBUILT: the superseded workbook carried a price three months older than the study it accompanied.</t>
        </is>
      </c>
    </row>
    <row r="6">
      <c r="A6" s="6" t="inlineStr">
        <is>
          <t>Shares outstanding (mn)</t>
        </is>
      </c>
      <c r="B6" s="9" t="n">
        <v>1085.5</v>
      </c>
    </row>
    <row r="7">
      <c r="A7" s="6" t="inlineStr">
        <is>
          <t>Tax rate</t>
        </is>
      </c>
      <c r="B7" s="10" t="n">
        <v>0.28</v>
      </c>
    </row>
    <row r="8">
      <c r="A8" s="5" t="inlineStr">
        <is>
          <t>COST OF CAPITAL — read from the study record; the full schedule is in the detail block below</t>
        </is>
      </c>
    </row>
    <row r="9">
      <c r="A9" s="6" t="inlineStr">
        <is>
          <t>Normalised risk-free rate rf* (Egypt 10Y less this sovereign's own default spread)</t>
        </is>
      </c>
      <c r="B9" s="10" t="n">
        <v>0.1959</v>
      </c>
      <c r="C9" s="8" t="inlineStr">
        <is>
          <t>REBUILT: observed 23.00% less a default spread of 3.41%, so country risk is counted EXACTLY ONCE, inside the equity risk premium below.</t>
        </is>
      </c>
    </row>
    <row r="10">
      <c r="A10" s="6" t="inlineStr">
        <is>
          <t>Equity beta — own-stock weekly regression vs the published EGX30 index</t>
        </is>
      </c>
      <c r="B10" s="11" t="n">
        <v>0.8906822450333004</v>
      </c>
      <c r="C10" s="8" t="inlineStr">
        <is>
          <t>REBUILT: a conforming tier-1 regression replaces an assumed 1.0.</t>
        </is>
      </c>
    </row>
    <row r="11">
      <c r="A11" s="6" t="inlineStr">
        <is>
          <t>Equity risk premium — Egypt, market basis (adopted)</t>
        </is>
      </c>
      <c r="B11" s="10" t="n">
        <v>0.0941</v>
      </c>
      <c r="C11" s="8" t="inlineStr">
        <is>
          <t>the sovereign's own row, market basis; the rating basis of 13.94% is published beside it in the study.</t>
        </is>
      </c>
    </row>
    <row r="12">
      <c r="A12" s="6" t="inlineStr">
        <is>
          <t>Cost of equity Ke = rf* + beta x ERP</t>
        </is>
      </c>
      <c r="B12" s="12">
        <f>B9+B10*B11</f>
        <v/>
      </c>
      <c r="C12" s="8" t="inlineStr">
        <is>
          <t>reproduces the study record to the basis point.</t>
        </is>
      </c>
    </row>
    <row r="13">
      <c r="A13" s="6" t="inlineStr">
        <is>
          <t>Pre-tax cost of debt</t>
        </is>
      </c>
      <c r="B13" s="10" t="n">
        <v>0.2653</v>
      </c>
      <c r="C13" s="8" t="inlineStr">
        <is>
          <t>the company's own effective borrowing rate, computed on the borrowings that actually bear the interest; the book is entirely local-currency on the disclosed facility note.</t>
        </is>
      </c>
    </row>
    <row r="14">
      <c r="A14" s="6" t="inlineStr">
        <is>
          <t>After-tax Kd</t>
        </is>
      </c>
      <c r="B14" s="12">
        <f>B13*(1-B7)</f>
        <v/>
      </c>
    </row>
    <row r="15">
      <c r="A15" s="6" t="inlineStr">
        <is>
          <t>Debt weight D/(D+E) — market-value equity</t>
        </is>
      </c>
      <c r="B15" s="12" t="n">
        <v>0.5745140347870709</v>
      </c>
      <c r="C15" s="8" t="inlineStr">
        <is>
          <t>market capitalisation against disclosed borrowings; never book equity.</t>
        </is>
      </c>
    </row>
    <row r="16">
      <c r="A16" s="6" t="inlineStr">
        <is>
          <t>WACC — first forecast year</t>
        </is>
      </c>
      <c r="B16" s="12">
        <f>(1-B15)*B12+B15*B14</f>
        <v/>
      </c>
      <c r="C16" s="8" t="inlineStr">
        <is>
          <t>the schedule GLIDES to a norm-built terminal of 14.18%; the DCF sheet carries one forward rate per year rather than this rate held for ever.</t>
        </is>
      </c>
    </row>
    <row r="17">
      <c r="A17" s="6" t="inlineStr">
        <is>
          <t>Terminal growth (nominal EGP, DERIVED)</t>
        </is>
      </c>
      <c r="B17" s="10" t="n">
        <v>0.07000000000000001</v>
      </c>
      <c r="C17" s="8" t="inlineStr">
        <is>
          <t>stored as a REAL rate of 0.0% on the house Egyptian inflation path and recomputed to this nominal figure; a typed nominal rate is unfalsifiable.</t>
        </is>
      </c>
    </row>
    <row r="18">
      <c r="A18" s="5" t="inlineStr">
        <is>
          <t>SOTP — the three legs (split-the-legs, §3.5-F5)</t>
        </is>
      </c>
    </row>
    <row r="19">
      <c r="A19" s="6" t="inlineStr">
        <is>
          <t>GB Auto net debt (30 June 2026, reviewed)</t>
        </is>
      </c>
      <c r="B19" s="9" t="n">
        <v>14623.7</v>
      </c>
      <c r="C19" s="8" t="inlineStr">
        <is>
          <t>REBUILT: the bridge stands on the LATEST disclosed balance sheet and on the AUTO segment's own net debt, not the prior year end and not the group total.</t>
        </is>
      </c>
    </row>
    <row r="20">
      <c r="A20" s="6" t="inlineStr">
        <is>
          <t>GB Auto non-controlling interests (30 June 2026)</t>
        </is>
      </c>
      <c r="B20" s="9" t="n">
        <v>590.7</v>
      </c>
      <c r="C20" s="8" t="inlineStr">
        <is>
          <t>that leg's own minority, deducted from equity value and never from enterprise value.</t>
        </is>
      </c>
    </row>
    <row r="21">
      <c r="A21" s="6" t="inlineStr">
        <is>
          <t>GB Capital adjusted operating equity</t>
        </is>
      </c>
      <c r="B21" s="9" t="n">
        <v>9500</v>
      </c>
      <c r="C21" s="8" t="inlineStr">
        <is>
          <t>from the disclosed adjusted-return basis</t>
        </is>
      </c>
    </row>
    <row r="22">
      <c r="A22" s="6" t="inlineStr">
        <is>
          <t>GB Capital multiple (× adjusted book)</t>
        </is>
      </c>
      <c r="B22" s="13" t="n">
        <v>1</v>
      </c>
      <c r="C22" s="8" t="inlineStr">
        <is>
          <t>return-justified ~1× book</t>
        </is>
      </c>
    </row>
    <row r="23">
      <c r="A23" s="6" t="inlineStr">
        <is>
          <t>Associates carrying value (MNT-Halan + Bedaya + Kaf)</t>
        </is>
      </c>
      <c r="B23" s="14">
        <f>B79+B80</f>
        <v/>
      </c>
      <c r="C23" s="8" t="inlineStr">
        <is>
          <t>FY25 carrying 13,689.5 — split in the MNT-Halan detail block (rows 75–80)</t>
        </is>
      </c>
    </row>
    <row r="24">
      <c r="A24" s="6" t="inlineStr">
        <is>
          <t>Associates mark (× carrying)</t>
        </is>
      </c>
      <c r="B24" s="13" t="n">
        <v>1</v>
      </c>
    </row>
    <row r="25">
      <c r="A25" s="6" t="inlineStr">
        <is>
          <t>Complexity / conglomerate discount</t>
        </is>
      </c>
      <c r="B25" s="10" t="n">
        <v>0.1</v>
      </c>
      <c r="C25" s="8" t="inlineStr">
        <is>
          <t>sensitized across the whole grid on the Sensitivity sheet</t>
        </is>
      </c>
    </row>
    <row r="26">
      <c r="A26" s="5" t="inlineStr">
        <is>
          <t>RELATIVE &amp; NORMALIZED</t>
        </is>
      </c>
    </row>
    <row r="27">
      <c r="A27" s="6" t="inlineStr">
        <is>
          <t>FY26E group net profit for the relative lens</t>
        </is>
      </c>
      <c r="B27" s="9" t="n">
        <v>3300</v>
      </c>
      <c r="C27" s="8" t="inlineStr">
        <is>
          <t>aligned to the income-statement build</t>
        </is>
      </c>
    </row>
    <row r="28">
      <c r="A28" s="6" t="inlineStr">
        <is>
          <t>Justified multiple (base)</t>
        </is>
      </c>
      <c r="B28" s="13" t="n">
        <v>9.5</v>
      </c>
    </row>
    <row r="29">
      <c r="A29" s="6" t="inlineStr">
        <is>
          <t>Mid-cycle group profit after tax (normalised)</t>
        </is>
      </c>
      <c r="B29" s="9" t="n">
        <v>4200</v>
      </c>
    </row>
    <row r="30">
      <c r="A30" s="6" t="inlineStr">
        <is>
          <t>Justified through-cycle multiple</t>
        </is>
      </c>
      <c r="B30" s="13" t="n">
        <v>8.5</v>
      </c>
    </row>
    <row r="31">
      <c r="A31" s="5" t="inlineStr">
        <is>
          <t>SYNTHESIS WEIGHTS</t>
        </is>
      </c>
    </row>
    <row r="32">
      <c r="A32" s="6" t="inlineStr">
        <is>
          <t>SOTP weight</t>
        </is>
      </c>
      <c r="B32" s="10" t="n">
        <v>0.4</v>
      </c>
    </row>
    <row r="33">
      <c r="A33" s="6" t="inlineStr">
        <is>
          <t>Pre-discount NAV weight</t>
        </is>
      </c>
      <c r="B33" s="10" t="n">
        <v>0.15</v>
      </c>
    </row>
    <row r="34">
      <c r="A34" s="6" t="inlineStr">
        <is>
          <t>Relative weight</t>
        </is>
      </c>
      <c r="B34" s="10" t="n">
        <v>0.2</v>
      </c>
    </row>
    <row r="35">
      <c r="A35" s="6" t="inlineStr">
        <is>
          <t>Normalized-earnings weight</t>
        </is>
      </c>
      <c r="B35" s="10" t="n">
        <v>0.25</v>
      </c>
    </row>
    <row r="36">
      <c r="A36" s="5" t="inlineStr">
        <is>
          <t>MONTE CARLO (YZ-HAR v2 — no KVOL; engine outputs on the Monte Carlo sheet)</t>
        </is>
      </c>
    </row>
    <row r="37">
      <c r="A37" s="6" t="inlineStr">
        <is>
          <t>Anchor volatility (HAR forecast, annualized)</t>
        </is>
      </c>
      <c r="B37" s="10" t="n">
        <v>0.4968</v>
      </c>
    </row>
    <row r="38">
      <c r="A38" s="6" t="inlineStr">
        <is>
          <t>Secular drift (daily log-return, expanding window)</t>
        </is>
      </c>
      <c r="B38" s="15" t="n">
        <v>0.000415</v>
      </c>
    </row>
    <row r="39">
      <c r="A39" s="6" t="inlineStr">
        <is>
          <t>Net factor drift per quarter (16-factor stack)</t>
        </is>
      </c>
      <c r="B39" s="10" t="n">
        <v>0.0146</v>
      </c>
    </row>
    <row r="40">
      <c r="A40" s="6" t="inlineStr">
        <is>
          <t>Paths / seed</t>
        </is>
      </c>
      <c r="B40" s="16" t="inlineStr">
        <is>
          <t>50,000 / 42</t>
        </is>
      </c>
    </row>
    <row r="41">
      <c r="A41" s="5" t="inlineStr">
        <is>
          <t>FORECAST DRIVERS (FY26E–FY30E) — units × ASP build; drivers disclosed</t>
        </is>
      </c>
    </row>
    <row r="42">
      <c r="A42" s="17" t="inlineStr">
        <is>
          <t>Driver \ year</t>
        </is>
      </c>
      <c r="C42" s="5" t="inlineStr">
        <is>
          <t>FY26E</t>
        </is>
      </c>
      <c r="D42" s="5" t="inlineStr">
        <is>
          <t>FY27E</t>
        </is>
      </c>
      <c r="E42" s="5" t="inlineStr">
        <is>
          <t>FY28E</t>
        </is>
      </c>
      <c r="F42" s="5" t="inlineStr">
        <is>
          <t>FY29E</t>
        </is>
      </c>
      <c r="G42" s="5" t="inlineStr">
        <is>
          <t>FY30E</t>
        </is>
      </c>
    </row>
    <row r="43">
      <c r="A43" s="6" t="inlineStr">
        <is>
          <t>PC volume growth</t>
        </is>
      </c>
      <c r="C43" s="10" t="n">
        <v>0.12</v>
      </c>
      <c r="D43" s="10" t="n">
        <v>0.14</v>
      </c>
      <c r="E43" s="10" t="n">
        <v>0.1</v>
      </c>
      <c r="F43" s="10" t="n">
        <v>0.08</v>
      </c>
      <c r="G43" s="10" t="n">
        <v>0.06</v>
      </c>
    </row>
    <row r="44">
      <c r="A44" s="6" t="inlineStr">
        <is>
          <t>PC ASP growth</t>
        </is>
      </c>
      <c r="C44" s="10" t="n">
        <v>0.06</v>
      </c>
      <c r="D44" s="10" t="n">
        <v>0.07000000000000001</v>
      </c>
      <c r="E44" s="10" t="n">
        <v>0.07000000000000001</v>
      </c>
      <c r="F44" s="10" t="n">
        <v>0.06</v>
      </c>
      <c r="G44" s="10" t="n">
        <v>0.06</v>
      </c>
    </row>
    <row r="45">
      <c r="A45" s="6" t="inlineStr">
        <is>
          <t>CV&amp;CE volume growth</t>
        </is>
      </c>
      <c r="C45" s="10" t="n">
        <v>0.25</v>
      </c>
      <c r="D45" s="10" t="n">
        <v>0.18</v>
      </c>
      <c r="E45" s="10" t="n">
        <v>0.12</v>
      </c>
      <c r="F45" s="10" t="n">
        <v>0.1</v>
      </c>
      <c r="G45" s="10" t="n">
        <v>0.08</v>
      </c>
    </row>
    <row r="46">
      <c r="A46" s="6" t="inlineStr">
        <is>
          <t>CV&amp;CE ASP growth</t>
        </is>
      </c>
      <c r="C46" s="10" t="n">
        <v>0.05</v>
      </c>
      <c r="D46" s="10" t="n">
        <v>0.05</v>
      </c>
      <c r="E46" s="10" t="n">
        <v>0.05</v>
      </c>
      <c r="F46" s="10" t="n">
        <v>0.05</v>
      </c>
      <c r="G46" s="10" t="n">
        <v>0.05</v>
      </c>
    </row>
    <row r="47">
      <c r="A47" s="6" t="inlineStr">
        <is>
          <t>Light-Mobility volume growth</t>
        </is>
      </c>
      <c r="C47" s="10" t="n">
        <v>0.3</v>
      </c>
      <c r="D47" s="10" t="n">
        <v>0.2</v>
      </c>
      <c r="E47" s="10" t="n">
        <v>0.15</v>
      </c>
      <c r="F47" s="10" t="n">
        <v>0.12</v>
      </c>
      <c r="G47" s="10" t="n">
        <v>0.1</v>
      </c>
    </row>
    <row r="48">
      <c r="A48" s="6" t="inlineStr">
        <is>
          <t>Light-Mobility ASP growth</t>
        </is>
      </c>
      <c r="C48" s="10" t="n">
        <v>0.05</v>
      </c>
      <c r="D48" s="10" t="n">
        <v>0.05</v>
      </c>
      <c r="E48" s="10" t="n">
        <v>0.05</v>
      </c>
      <c r="F48" s="10" t="n">
        <v>0.05</v>
      </c>
      <c r="G48" s="10" t="n">
        <v>0.05</v>
      </c>
    </row>
    <row r="49">
      <c r="A49" s="6" t="inlineStr">
        <is>
          <t>Trading revenue growth</t>
        </is>
      </c>
      <c r="C49" s="10" t="n">
        <v>0.18</v>
      </c>
      <c r="D49" s="10" t="n">
        <v>0.15</v>
      </c>
      <c r="E49" s="10" t="n">
        <v>0.12</v>
      </c>
      <c r="F49" s="10" t="n">
        <v>0.1</v>
      </c>
      <c r="G49" s="10" t="n">
        <v>0.1</v>
      </c>
    </row>
    <row r="50">
      <c r="A50" s="6" t="inlineStr">
        <is>
          <t>GB Capital revenue growth</t>
        </is>
      </c>
      <c r="C50" s="10" t="n">
        <v>0.45</v>
      </c>
      <c r="D50" s="10" t="n">
        <v>0.3</v>
      </c>
      <c r="E50" s="10" t="n">
        <v>0.25</v>
      </c>
      <c r="F50" s="10" t="n">
        <v>0.2</v>
      </c>
      <c r="G50" s="10" t="n">
        <v>0.18</v>
      </c>
    </row>
    <row r="51">
      <c r="A51" s="6" t="inlineStr">
        <is>
          <t>GB Capital loan-book growth</t>
        </is>
      </c>
      <c r="C51" s="10" t="n">
        <v>0.35</v>
      </c>
      <c r="D51" s="10" t="n">
        <v>0.28</v>
      </c>
      <c r="E51" s="10" t="n">
        <v>0.24</v>
      </c>
      <c r="F51" s="10" t="n">
        <v>0.2</v>
      </c>
      <c r="G51" s="10" t="n">
        <v>0.18</v>
      </c>
    </row>
    <row r="52">
      <c r="A52" s="6" t="inlineStr">
        <is>
          <t>Auto gross margin</t>
        </is>
      </c>
      <c r="C52" s="10" t="n">
        <v>0.138</v>
      </c>
      <c r="D52" s="10" t="n">
        <v>0.142</v>
      </c>
      <c r="E52" s="10" t="n">
        <v>0.145</v>
      </c>
      <c r="F52" s="10" t="n">
        <v>0.145</v>
      </c>
      <c r="G52" s="10" t="n">
        <v>0.145</v>
      </c>
    </row>
    <row r="53">
      <c r="A53" s="6" t="inlineStr">
        <is>
          <t>Auto GS&amp;A (% of revenue)</t>
        </is>
      </c>
      <c r="C53" s="10" t="n">
        <v>0.073</v>
      </c>
      <c r="D53" s="10" t="n">
        <v>0.07199999999999999</v>
      </c>
      <c r="E53" s="10" t="n">
        <v>0.07099999999999999</v>
      </c>
      <c r="F53" s="10" t="n">
        <v>0.07000000000000001</v>
      </c>
      <c r="G53" s="10" t="n">
        <v>0.07000000000000001</v>
      </c>
    </row>
    <row r="54">
      <c r="A54" s="6" t="inlineStr">
        <is>
          <t>Auto other operating income (% rev)</t>
        </is>
      </c>
      <c r="C54" s="10" t="n">
        <v>0.012</v>
      </c>
      <c r="D54" s="10" t="n">
        <v>0.012</v>
      </c>
      <c r="E54" s="10" t="n">
        <v>0.012</v>
      </c>
      <c r="F54" s="10" t="n">
        <v>0.012</v>
      </c>
      <c r="G54" s="10" t="n">
        <v>0.012</v>
      </c>
    </row>
    <row r="55">
      <c r="A55" s="6" t="inlineStr">
        <is>
          <t>Auto provisions (% rev)</t>
        </is>
      </c>
      <c r="C55" s="10" t="n">
        <v>-0.003</v>
      </c>
      <c r="D55" s="10" t="n">
        <v>-0.003</v>
      </c>
      <c r="E55" s="10" t="n">
        <v>-0.003</v>
      </c>
      <c r="F55" s="10" t="n">
        <v>-0.003</v>
      </c>
      <c r="G55" s="10" t="n">
        <v>-0.003</v>
      </c>
    </row>
    <row r="56">
      <c r="A56" s="6" t="inlineStr">
        <is>
          <t>Auto D&amp;A (% of revenue)</t>
        </is>
      </c>
      <c r="C56" s="10" t="n">
        <v>0.011</v>
      </c>
      <c r="D56" s="10" t="n">
        <v>0.011</v>
      </c>
      <c r="E56" s="10" t="n">
        <v>0.011</v>
      </c>
      <c r="F56" s="10" t="n">
        <v>0.011</v>
      </c>
      <c r="G56" s="10" t="n">
        <v>0.011</v>
      </c>
    </row>
    <row r="57">
      <c r="A57" s="6" t="inlineStr">
        <is>
          <t>Auto capex (EGP mn)</t>
        </is>
      </c>
      <c r="C57" s="9" t="n">
        <v>3000</v>
      </c>
      <c r="D57" s="9" t="n">
        <v>2400</v>
      </c>
      <c r="E57" s="9" t="n">
        <v>2500</v>
      </c>
      <c r="F57" s="9" t="n">
        <v>2600</v>
      </c>
      <c r="G57" s="9" t="n">
        <v>2800</v>
      </c>
    </row>
    <row r="58">
      <c r="A58" s="6" t="inlineStr">
        <is>
          <t>Rental-fleet &amp; other capex (EGP mn)</t>
        </is>
      </c>
      <c r="C58" s="9" t="n">
        <v>700</v>
      </c>
      <c r="D58" s="9" t="n">
        <v>800</v>
      </c>
      <c r="E58" s="9" t="n">
        <v>900</v>
      </c>
      <c r="F58" s="9" t="n">
        <v>1000</v>
      </c>
      <c r="G58" s="9" t="n">
        <v>1100</v>
      </c>
    </row>
    <row r="59">
      <c r="A59" s="6" t="inlineStr">
        <is>
          <t>GB Capital D&amp;A (EGP mn)</t>
        </is>
      </c>
      <c r="C59" s="9" t="n">
        <v>560</v>
      </c>
      <c r="D59" s="9" t="n">
        <v>640</v>
      </c>
      <c r="E59" s="9" t="n">
        <v>730</v>
      </c>
      <c r="F59" s="9" t="n">
        <v>830</v>
      </c>
      <c r="G59" s="9" t="n">
        <v>940</v>
      </c>
    </row>
    <row r="60">
      <c r="A60" s="6" t="inlineStr">
        <is>
          <t>Auto inventory (% of Auto rev)</t>
        </is>
      </c>
      <c r="C60" s="10" t="n">
        <v>0.36</v>
      </c>
      <c r="D60" s="10" t="n">
        <v>0.338</v>
      </c>
      <c r="E60" s="10" t="n">
        <v>0.32</v>
      </c>
      <c r="F60" s="10" t="n">
        <v>0.308</v>
      </c>
      <c r="G60" s="10" t="n">
        <v>0.296</v>
      </c>
    </row>
    <row r="61">
      <c r="A61" s="6" t="inlineStr">
        <is>
          <t>Auto receivables (% of Auto rev)</t>
        </is>
      </c>
      <c r="C61" s="10" t="n">
        <v>0.08</v>
      </c>
      <c r="D61" s="10" t="n">
        <v>0.08</v>
      </c>
      <c r="E61" s="10" t="n">
        <v>0.08</v>
      </c>
      <c r="F61" s="10" t="n">
        <v>0.08</v>
      </c>
      <c r="G61" s="10" t="n">
        <v>0.08</v>
      </c>
    </row>
    <row r="62">
      <c r="A62" s="6" t="inlineStr">
        <is>
          <t>Auto advances &amp; debtors (% rev)</t>
        </is>
      </c>
      <c r="C62" s="10" t="n">
        <v>0.07000000000000001</v>
      </c>
      <c r="D62" s="10" t="n">
        <v>0.06900000000000001</v>
      </c>
      <c r="E62" s="10" t="n">
        <v>0.0675</v>
      </c>
      <c r="F62" s="10" t="n">
        <v>0.066</v>
      </c>
      <c r="G62" s="10" t="n">
        <v>0.0645</v>
      </c>
    </row>
    <row r="63">
      <c r="A63" s="6" t="inlineStr">
        <is>
          <t>Auto payables (% of Auto rev)</t>
        </is>
      </c>
      <c r="C63" s="10" t="n">
        <v>0.245</v>
      </c>
      <c r="D63" s="10" t="n">
        <v>0.237</v>
      </c>
      <c r="E63" s="10" t="n">
        <v>0.2325</v>
      </c>
      <c r="F63" s="10" t="n">
        <v>0.229</v>
      </c>
      <c r="G63" s="10" t="n">
        <v>0.2255</v>
      </c>
    </row>
    <row r="64">
      <c r="A64" s="6" t="inlineStr">
        <is>
          <t>Group opex S&amp;M+Admin (% of group rev)</t>
        </is>
      </c>
      <c r="C64" s="10" t="n">
        <v>0.08</v>
      </c>
      <c r="D64" s="10" t="n">
        <v>0.079</v>
      </c>
      <c r="E64" s="10" t="n">
        <v>0.078</v>
      </c>
      <c r="F64" s="10" t="n">
        <v>0.0775</v>
      </c>
      <c r="G64" s="10" t="n">
        <v>0.077</v>
      </c>
    </row>
    <row r="65">
      <c r="A65" s="6" t="inlineStr">
        <is>
          <t>Group other income (% of group rev)</t>
        </is>
      </c>
      <c r="C65" s="10" t="n">
        <v>0.011</v>
      </c>
      <c r="D65" s="10" t="n">
        <v>0.011</v>
      </c>
      <c r="E65" s="10" t="n">
        <v>0.011</v>
      </c>
      <c r="F65" s="10" t="n">
        <v>0.011</v>
      </c>
      <c r="G65" s="10" t="n">
        <v>0.011</v>
      </c>
    </row>
    <row r="66">
      <c r="A66" s="6" t="inlineStr">
        <is>
          <t>Group provisions (% of group rev)</t>
        </is>
      </c>
      <c r="C66" s="10" t="n">
        <v>-0.003</v>
      </c>
      <c r="D66" s="10" t="n">
        <v>-0.003</v>
      </c>
      <c r="E66" s="10" t="n">
        <v>-0.003</v>
      </c>
      <c r="F66" s="10" t="n">
        <v>-0.003</v>
      </c>
      <c r="G66" s="10" t="n">
        <v>-0.003</v>
      </c>
    </row>
    <row r="67">
      <c r="A67" s="6" t="inlineStr">
        <is>
          <t>GB Capital gross margin</t>
        </is>
      </c>
      <c r="C67" s="10" t="n">
        <v>0.188</v>
      </c>
      <c r="D67" s="10" t="n">
        <v>0.19</v>
      </c>
      <c r="E67" s="10" t="n">
        <v>0.192</v>
      </c>
      <c r="F67" s="10" t="n">
        <v>0.194</v>
      </c>
      <c r="G67" s="10" t="n">
        <v>0.196</v>
      </c>
    </row>
    <row r="68">
      <c r="A68" s="6" t="inlineStr">
        <is>
          <t>Associates income (EGP mn)</t>
        </is>
      </c>
      <c r="C68" s="9" t="n">
        <v>1250</v>
      </c>
      <c r="D68" s="9" t="n">
        <v>1430</v>
      </c>
      <c r="E68" s="9" t="n">
        <v>1630</v>
      </c>
      <c r="F68" s="9" t="n">
        <v>1830</v>
      </c>
      <c r="G68" s="9" t="n">
        <v>2030</v>
      </c>
    </row>
    <row r="69">
      <c r="A69" s="6" t="inlineStr">
        <is>
          <t>Net finance cost (EGP mn)</t>
        </is>
      </c>
      <c r="C69" s="9" t="n">
        <v>-4100</v>
      </c>
      <c r="D69" s="9" t="n">
        <v>-3800</v>
      </c>
      <c r="E69" s="9" t="n">
        <v>-3500</v>
      </c>
      <c r="F69" s="9" t="n">
        <v>-3300</v>
      </c>
      <c r="G69" s="9" t="n">
        <v>-3100</v>
      </c>
    </row>
    <row r="70">
      <c r="A70" s="6" t="inlineStr">
        <is>
          <t>Minority interest (% of NP before MI)</t>
        </is>
      </c>
      <c r="C70" s="10" t="n">
        <v>-0.02</v>
      </c>
      <c r="D70" s="10" t="n">
        <v>-0.02</v>
      </c>
      <c r="E70" s="10" t="n">
        <v>-0.02</v>
      </c>
      <c r="F70" s="10" t="n">
        <v>-0.02</v>
      </c>
      <c r="G70" s="10" t="n">
        <v>-0.02</v>
      </c>
    </row>
    <row r="71">
      <c r="A71" s="6" t="inlineStr">
        <is>
          <t>Increase in borrowings, net (EGP mn)</t>
        </is>
      </c>
      <c r="C71" s="9" t="n">
        <v>5500</v>
      </c>
      <c r="D71" s="9" t="n">
        <v>5200</v>
      </c>
      <c r="E71" s="9" t="n">
        <v>5600</v>
      </c>
      <c r="F71" s="9" t="n">
        <v>5800</v>
      </c>
      <c r="G71" s="9" t="n">
        <v>6100</v>
      </c>
    </row>
    <row r="72">
      <c r="A72" s="6" t="inlineStr">
        <is>
          <t>Dividend payout (of attributable NP)</t>
        </is>
      </c>
      <c r="C72" s="10" t="n">
        <v>0.14</v>
      </c>
      <c r="D72" s="10" t="n">
        <v>0.15</v>
      </c>
      <c r="E72" s="10" t="n">
        <v>0.16</v>
      </c>
      <c r="F72" s="10" t="n">
        <v>0.18</v>
      </c>
      <c r="G72" s="10" t="n">
        <v>0.2</v>
      </c>
    </row>
    <row r="73">
      <c r="A73" s="6" t="inlineStr">
        <is>
          <t>Intercompany eliminations (% of gross revenue)</t>
        </is>
      </c>
      <c r="C73" s="10" t="n">
        <v>0.011</v>
      </c>
      <c r="D73" s="10" t="n">
        <v>0.011</v>
      </c>
      <c r="E73" s="10" t="n">
        <v>0.011</v>
      </c>
      <c r="F73" s="10" t="n">
        <v>0.011</v>
      </c>
      <c r="G73" s="10" t="n">
        <v>0.011</v>
      </c>
    </row>
    <row r="75">
      <c r="A75" s="5" t="inlineStr">
        <is>
          <t>MNT-HALAN DETAIL (feeds the associates line, row 23)</t>
        </is>
      </c>
    </row>
    <row r="76">
      <c r="A76" s="6" t="inlineStr">
        <is>
          <t>MNT-Halan round valuation (USD mn, June-2026 first close)</t>
        </is>
      </c>
      <c r="B76" s="9" t="n">
        <v>1400</v>
      </c>
    </row>
    <row r="77">
      <c r="A77" s="6" t="inlineStr">
        <is>
          <t>GB stake — the figure the company states</t>
        </is>
      </c>
      <c r="B77" s="10" t="n">
        <v>0.4161</v>
      </c>
      <c r="C77" s="8" t="inlineStr">
        <is>
          <t>GB Corp's own press release of 9 June 2026 on MNT-Halan's Al Ahly Capital-led capital increase: the stake 'will be adjusted to 41.61%, compared to 42.58% prior to the transaction'. Applying it to the round makes this one line 79% of market capitalisation after the complexity discount, which the study flags as a genuine valuation puzzle — a steep implied private-mark discount, or mispricing — rather than a sourcing gap.</t>
        </is>
      </c>
    </row>
    <row r="78">
      <c r="A78" s="6" t="inlineStr">
        <is>
          <t>EGP/USD applied to the mark</t>
        </is>
      </c>
      <c r="B78" s="7" t="n">
        <v>47.5</v>
      </c>
      <c r="C78" s="8" t="inlineStr">
        <is>
          <t>a flagged estimate, and material to this one line</t>
        </is>
      </c>
    </row>
    <row r="79">
      <c r="A79" s="6" t="inlineStr">
        <is>
          <t>MNT-Halan implied value (EGP mn)</t>
        </is>
      </c>
      <c r="B79" s="14">
        <f>B76*B77*B78</f>
        <v/>
      </c>
    </row>
    <row r="80">
      <c r="A80" s="6" t="inlineStr">
        <is>
          <t>Other associates (Bedaya, Kaf) — residual carrying</t>
        </is>
      </c>
      <c r="B80" s="9" t="n">
        <v>390</v>
      </c>
    </row>
    <row r="82">
      <c r="A82" s="5" t="inlineStr">
        <is>
          <t>COST-OF-CAPITAL DETAIL (feeds rows 9-17 above; this block is reference only)</t>
        </is>
      </c>
    </row>
    <row r="83">
      <c r="A83" s="6" t="inlineStr">
        <is>
          <t>Risk-free rate — observed, and how it is normalised</t>
        </is>
      </c>
      <c r="C83" s="8" t="inlineStr">
        <is>
          <t>The observed local-currency government bond yield of 23.00% less this sovereign's OWN default spread of 3.41%, giving 19.59%. Country risk then enters exactly once, inside the equity risk premium, rather than twice.</t>
        </is>
      </c>
    </row>
    <row r="84">
      <c r="A84" s="6" t="inlineStr">
        <is>
          <t>Equity risk premium — rating basis (alternative to the adopted market basis)</t>
        </is>
      </c>
      <c r="B84" s="10" t="n">
        <v>0.1394</v>
      </c>
      <c r="C84" s="8" t="inlineStr">
        <is>
          <t>Both bases come from the same published country-risk file for this sovereign and both are published. The market basis is named CENTRAL because it is the market's own live pricing of that credit against an agency judgement updated in steps.</t>
        </is>
      </c>
    </row>
    <row r="85">
      <c r="A85" s="6" t="inlineStr">
        <is>
          <t>Cost of equity, alternative (rating-basis premium)</t>
        </is>
      </c>
      <c r="B85" s="12">
        <f>B9+B10*B84</f>
        <v/>
      </c>
    </row>
    <row r="86">
      <c r="A86" s="6" t="inlineStr">
        <is>
          <t>Weighted cost of capital, alternative (rating-basis premium)</t>
        </is>
      </c>
      <c r="B86" s="12">
        <f>(1-B15)*B85+B15*B14</f>
        <v/>
      </c>
    </row>
    <row r="87">
      <c r="A87" s="6" t="inlineStr">
        <is>
          <t>Beta — how it was produced</t>
        </is>
      </c>
      <c r="C87" s="8" t="inlineStr">
        <is>
          <t>A weekly regression of the shares against the published index of the exchange the stock is listed on, over 4.85 years to 2026-07-16 on 251 observations: beta 0.8907, R-squared 0.2430, standard error 0.2041. It passes the usability gate and REPLACES the assumed 1.0 this workbook previously carried, which was the correct fallback at the time because the only regression then attempted, on five annual observations, was unusable.</t>
        </is>
      </c>
    </row>
    <row r="88">
      <c r="A88" s="6" t="inlineStr">
        <is>
          <t>Cost of debt — how it was produced</t>
        </is>
      </c>
      <c r="C88" s="8" t="inlineStr">
        <is>
          <t>The company's own effective borrowing rate, computed independently from the filings on the borrowings that ACTUALLY BEAR THE INTEREST rather than on a broader liabilities total. Adopted 26.53% against a latest effective rate of 26.53% and a peak of 29.06%. The book is entirely local-currency on the disclosed facility note, so no foreign tranche is blended in.</t>
        </is>
      </c>
    </row>
    <row r="89">
      <c r="A89" s="6" t="inlineStr">
        <is>
          <t>Weights</t>
        </is>
      </c>
      <c r="C89" s="8" t="inlineStr">
        <is>
          <t>Market-value equity — the price on row 5 times the shares on row 6 — against disclosed borrowings. Never book equity.</t>
        </is>
      </c>
    </row>
    <row r="90">
      <c r="A90" s="6" t="inlineStr">
        <is>
          <t>The schedule, not a single rate</t>
        </is>
      </c>
      <c r="C90" s="8" t="inlineStr">
        <is>
          <t>One forward rate per explicit year on the DCF sheet, gliding from 22.88% to a norm-built terminal of 14.18%, with the terminal brought home on the same cumulative factor as the last explicit year: one date, one price of time. The glide fractions are the policy-rate path's own cumulative progress rather than a second assumption.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44" customWidth="1" min="1" max="1"/>
    <col width="56" customWidth="1" min="2" max="2"/>
    <col width="16" customWidth="1" min="3" max="3"/>
    <col width="12" customWidth="1" min="4" max="4"/>
    <col width="12" customWidth="1" min="5" max="5"/>
    <col width="12" customWidth="1" min="6" max="6"/>
    <col width="12" customWidth="1" min="7" max="7"/>
  </cols>
  <sheetData>
    <row r="1">
      <c r="A1" s="1" t="inlineStr">
        <is>
          <t>Sum-of-the-parts — split the legs (primary lens, §3.5-F5)</t>
        </is>
      </c>
      <c r="B1" s="2" t="n"/>
      <c r="C1" s="2" t="n"/>
      <c r="D1" s="2" t="n"/>
      <c r="E1" s="2" t="n"/>
      <c r="F1" s="2" t="n"/>
      <c r="G1" s="2" t="n"/>
    </row>
    <row r="2">
      <c r="A2" s="4" t="inlineStr">
        <is>
          <t>Auto = FCFF DCF · captive lender = adjusted book × multiple · fintech associate = carrying value ≈ Jun-26 round. Links to DCF / Assumptions.</t>
        </is>
      </c>
    </row>
    <row r="5">
      <c r="A5" s="17" t="inlineStr">
        <is>
          <t>Leg</t>
        </is>
      </c>
      <c r="B5" s="8" t="inlineStr">
        <is>
          <t>Basis</t>
        </is>
      </c>
      <c r="C5" s="21" t="inlineStr">
        <is>
          <t>Value (EGP mn)</t>
        </is>
      </c>
    </row>
    <row r="6">
      <c r="A6" s="6" t="inlineStr">
        <is>
          <t>GB Auto operating leg</t>
        </is>
      </c>
      <c r="B6" s="8" t="inlineStr">
        <is>
          <t>FCFF DCF (§1.2): EV − net debt − NCI</t>
        </is>
      </c>
      <c r="C6" s="20">
        <f>DCF!B27</f>
        <v/>
      </c>
    </row>
    <row r="7">
      <c r="A7" s="6" t="inlineStr">
        <is>
          <t>GB Capital lending leg</t>
        </is>
      </c>
      <c r="B7" s="8" t="inlineStr">
        <is>
          <t>Adjusted operating book 9,500 × 1.0×</t>
        </is>
      </c>
      <c r="C7" s="20">
        <f>Assumptions!B21*Assumptions!B22</f>
        <v/>
      </c>
    </row>
    <row r="8">
      <c r="A8" s="6" t="inlineStr">
        <is>
          <t>Associate — MNT-Halan (41.61%, confirmed 9-Jun-2026)</t>
        </is>
      </c>
      <c r="B8" s="8" t="inlineStr">
        <is>
          <t>USD 1.4bn Jun-26 round × stake × FX, × mark</t>
        </is>
      </c>
      <c r="C8" s="20">
        <f>Assumptions!B79*Assumptions!B24</f>
        <v/>
      </c>
    </row>
    <row r="9">
      <c r="A9" s="6" t="inlineStr">
        <is>
          <t>Other associates (Bedaya, Kaf)</t>
        </is>
      </c>
      <c r="B9" s="8" t="inlineStr">
        <is>
          <t>Residual carrying value × mark</t>
        </is>
      </c>
      <c r="C9" s="20">
        <f>Assumptions!B80*Assumptions!B24</f>
        <v/>
      </c>
    </row>
    <row r="10">
      <c r="A10" s="17" t="inlineStr">
        <is>
          <t>Σ Equity value (pre-discount)</t>
        </is>
      </c>
      <c r="B10" s="6" t="inlineStr"/>
      <c r="C10" s="21">
        <f>SUM(C6:C9)</f>
        <v/>
      </c>
    </row>
    <row r="11">
      <c r="A11" s="17" t="inlineStr">
        <is>
          <t xml:space="preserve">  per share (EGP), pre-discount</t>
        </is>
      </c>
      <c r="B11" s="6" t="inlineStr"/>
      <c r="C11" s="30">
        <f>C10/Assumptions!B6</f>
        <v/>
      </c>
    </row>
    <row r="12">
      <c r="A12" s="6" t="inlineStr">
        <is>
          <t>less: complexity / conglomerate discount</t>
        </is>
      </c>
      <c r="B12" s="8" t="inlineStr">
        <is>
          <t>applied</t>
        </is>
      </c>
      <c r="C12" s="20">
        <f>-C10*Assumptions!B25</f>
        <v/>
      </c>
    </row>
    <row r="13">
      <c r="A13" s="17" t="inlineStr">
        <is>
          <t>SOTP equity value</t>
        </is>
      </c>
      <c r="B13" s="6" t="inlineStr"/>
      <c r="C13" s="21">
        <f>C10+C12</f>
        <v/>
      </c>
    </row>
    <row r="14">
      <c r="A14" s="17" t="inlineStr">
        <is>
          <t>SOTP fair value per share (EGP)</t>
        </is>
      </c>
      <c r="B14" s="6" t="inlineStr"/>
      <c r="C14" s="30">
        <f>C13/Assumptions!B6</f>
        <v/>
      </c>
    </row>
    <row r="15">
      <c r="A15" s="17" t="inlineStr">
        <is>
          <t>Upside / (downside) vs spot</t>
        </is>
      </c>
      <c r="B15" s="6" t="inlineStr"/>
      <c r="C15" s="31">
        <f>C14/Assumptions!B5-1</f>
        <v/>
      </c>
    </row>
    <row r="16">
      <c r="A16" s="6" t="inlineStr">
        <is>
          <t>memo: MNT-Halan share of SOTP value</t>
        </is>
      </c>
      <c r="B16" s="8" t="inlineStr">
        <is>
          <t>C8 ÷ Σ legs (discount pro-rata)</t>
        </is>
      </c>
      <c r="C16" s="12">
        <f>C8/C10</f>
        <v/>
      </c>
    </row>
    <row r="17">
      <c r="A17" s="6" t="inlineStr">
        <is>
          <t>memo: MNT-Halan per share, post-discount (EGP)</t>
        </is>
      </c>
      <c r="B17" s="6" t="inlineStr"/>
      <c r="C17" s="27">
        <f>C8*(1-Assumptions!B25)/Assumptions!B6</f>
        <v/>
      </c>
    </row>
    <row r="19">
      <c r="A19" s="8" t="inlineStr">
        <is>
          <t>The market-implied read is a genuine puzzle rather than a sanity check: market capitalisation less the lender and the associates at the stake the company states leaves EGP -6,103 mn for the Auto leg, which is impossible for a profitable business turning over EGP 66.4 bn. MNT-Halan alone is 88% of market capitalisation before the complexity discount and 79% after it. Either the market discounts this private mark far more steeply than this study's 10%, or GB Corp is mispriced — the study's caveats section takes it up.</t>
        </is>
      </c>
    </row>
    <row r="20">
      <c r="A20" s="5" t="inlineStr">
        <is>
          <t>MNT-Halan stake sensitivity — the stake itself is a figure the company states; what is contested is the mark</t>
        </is>
      </c>
    </row>
    <row r="21">
      <c r="A21" s="21" t="inlineStr">
        <is>
          <t>GB stake in MNT-Halan</t>
        </is>
      </c>
      <c r="B21" s="21" t="inlineStr">
        <is>
          <t>MNT-Halan value (EGP mn)</t>
        </is>
      </c>
      <c r="C21" s="21" t="inlineStr">
        <is>
          <t>SOTP fair value/sh (EGP)</t>
        </is>
      </c>
    </row>
    <row r="22">
      <c r="A22" s="10" t="n">
        <v>0.2</v>
      </c>
      <c r="B22" s="20">
        <f>A22*Assumptions!$B$76*Assumptions!$B$78</f>
        <v/>
      </c>
      <c r="C22" s="27">
        <f>((DCF!$B$25)+B22+Assumptions!$B$80+Assumptions!$B$21*Assumptions!$B$22)*(1-Assumptions!$B$25)/Assumptions!$B$6</f>
        <v/>
      </c>
      <c r="D22" s="32" t="inlineStr">
        <is>
          <t>prior placeholder (wrong)</t>
        </is>
      </c>
    </row>
    <row r="23">
      <c r="A23" s="10" t="n">
        <v>0.25</v>
      </c>
      <c r="B23" s="20">
        <f>A23*Assumptions!$B$76*Assumptions!$B$78</f>
        <v/>
      </c>
      <c r="C23" s="27">
        <f>((DCF!$B$25)+B23+Assumptions!$B$80+Assumptions!$B$21*Assumptions!$B$22)*(1-Assumptions!$B$25)/Assumptions!$B$6</f>
        <v/>
      </c>
    </row>
    <row r="24">
      <c r="A24" s="10" t="n">
        <v>0.3</v>
      </c>
      <c r="B24" s="20">
        <f>A24*Assumptions!$B$76*Assumptions!$B$78</f>
        <v/>
      </c>
      <c r="C24" s="27">
        <f>((DCF!$B$25)+B24+Assumptions!$B$80+Assumptions!$B$21*Assumptions!$B$22)*(1-Assumptions!$B$25)/Assumptions!$B$6</f>
        <v/>
      </c>
    </row>
    <row r="25">
      <c r="A25" s="10" t="n">
        <v>0.3545</v>
      </c>
      <c r="B25" s="20">
        <f>A25*Assumptions!$B$76*Assumptions!$B$78</f>
        <v/>
      </c>
      <c r="C25" s="27">
        <f>((DCF!$B$25)+B25+Assumptions!$B$80+Assumptions!$B$21*Assumptions!$B$22)*(1-Assumptions!$B$25)/Assumptions!$B$6</f>
        <v/>
      </c>
      <c r="D25" s="32" t="inlineStr">
        <is>
          <t>implied by pro-rata defense of the 2024 raise only</t>
        </is>
      </c>
    </row>
    <row r="26">
      <c r="A26" s="10" t="n">
        <v>0.4</v>
      </c>
      <c r="B26" s="20">
        <f>A26*Assumptions!$B$76*Assumptions!$B$78</f>
        <v/>
      </c>
      <c r="C26" s="27">
        <f>((DCF!$B$25)+B26+Assumptions!$B$80+Assumptions!$B$21*Assumptions!$B$22)*(1-Assumptions!$B$25)/Assumptions!$B$6</f>
        <v/>
      </c>
    </row>
    <row r="27">
      <c r="A27" s="10" t="n">
        <v>0.4258</v>
      </c>
      <c r="B27" s="20">
        <f>A27*Assumptions!$B$76*Assumptions!$B$78</f>
        <v/>
      </c>
      <c r="C27" s="27">
        <f>((DCF!$B$25)+B27+Assumptions!$B$80+Assumptions!$B$21*Assumptions!$B$22)*(1-Assumptions!$B$25)/Assumptions!$B$6</f>
        <v/>
      </c>
      <c r="D27" s="32" t="inlineStr">
        <is>
          <t>superseded — was the pre-transaction figure (28-Jul-2024)</t>
        </is>
      </c>
    </row>
    <row r="28">
      <c r="A28" s="10" t="n">
        <v>0.4161</v>
      </c>
      <c r="B28" s="20">
        <f>A28*Assumptions!$B$76*Assumptions!$B$78</f>
        <v/>
      </c>
      <c r="C28" s="27">
        <f>((DCF!$B$25)+B28+Assumptions!$B$80+Assumptions!$B$21*Assumptions!$B$22)*(1-Assumptions!$B$25)/Assumptions!$B$6</f>
        <v/>
      </c>
      <c r="D28" s="32" t="inlineStr">
        <is>
          <t>CONFIRMED current (GB Corp PR, 9-Jun-2026, post Al Ahly round) — base case</t>
        </is>
      </c>
    </row>
    <row r="29">
      <c r="A29" s="8" t="inlineStr">
        <is>
          <t>Every 5pp of stake ≈ EGP 3.3/share of SOTP fair value — by far the single largest swing factor in this study; confirm the FY25 annual-report associates footnote before relying on any point estimate.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0"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Segment view — the units × ASP build</t>
        </is>
      </c>
      <c r="B1" s="2" t="n"/>
      <c r="C1" s="2" t="n"/>
      <c r="D1" s="2" t="n"/>
      <c r="E1" s="2" t="n"/>
      <c r="F1" s="2" t="n"/>
      <c r="G1" s="2" t="n"/>
      <c r="H1" s="2" t="n"/>
      <c r="I1" s="2" t="n"/>
      <c r="J1" s="2" t="n"/>
    </row>
    <row r="2">
      <c r="A2" s="4" t="inlineStr">
        <is>
          <t>Volumes and ASP per line of business, FY23–FY30E. Drivers disclosed in company releases; forecast links to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8" t="n"/>
    </row>
    <row r="7">
      <c r="A7" s="18" t="inlineStr">
        <is>
          <t>PC volume (units)</t>
        </is>
      </c>
      <c r="B7" s="9" t="n">
        <v>26994</v>
      </c>
      <c r="C7" s="9" t="n">
        <v>42043</v>
      </c>
      <c r="D7" s="9" t="n">
        <v>56548</v>
      </c>
      <c r="E7" s="14">
        <f>D7*(1+Assumptions!$C$43)</f>
        <v/>
      </c>
      <c r="F7" s="14">
        <f>E7*(1+Assumptions!$D$43)</f>
        <v/>
      </c>
      <c r="G7" s="14">
        <f>F7*(1+Assumptions!$E$43)</f>
        <v/>
      </c>
      <c r="H7" s="14">
        <f>G7*(1+Assumptions!$F$43)</f>
        <v/>
      </c>
      <c r="I7" s="14">
        <f>H7*(1+Assumptions!$G$43)</f>
        <v/>
      </c>
    </row>
    <row r="8">
      <c r="A8" s="18" t="inlineStr">
        <is>
          <t>PC revenue</t>
        </is>
      </c>
      <c r="B8" s="9" t="n">
        <v>16544.3</v>
      </c>
      <c r="C8" s="9" t="n">
        <v>36533.4</v>
      </c>
      <c r="D8" s="9" t="n">
        <v>52827.3</v>
      </c>
      <c r="E8" s="14">
        <f>E7*E9</f>
        <v/>
      </c>
      <c r="F8" s="14">
        <f>F7*F9</f>
        <v/>
      </c>
      <c r="G8" s="14">
        <f>G7*G9</f>
        <v/>
      </c>
      <c r="H8" s="14">
        <f>H7*H9</f>
        <v/>
      </c>
      <c r="I8" s="14">
        <f>I7*I9</f>
        <v/>
      </c>
    </row>
    <row r="9">
      <c r="A9" s="18" t="inlineStr">
        <is>
          <t>PC ASP (EGP mn/unit)</t>
        </is>
      </c>
      <c r="B9" s="19">
        <f>B8/B7</f>
        <v/>
      </c>
      <c r="C9" s="19">
        <f>C8/C7</f>
        <v/>
      </c>
      <c r="D9" s="19">
        <f>D8/D7</f>
        <v/>
      </c>
      <c r="E9" s="19">
        <f>D9*(1+Assumptions!$C$44)</f>
        <v/>
      </c>
      <c r="F9" s="19">
        <f>E9*(1+Assumptions!$D$44)</f>
        <v/>
      </c>
      <c r="G9" s="19">
        <f>F9*(1+Assumptions!$E$44)</f>
        <v/>
      </c>
      <c r="H9" s="19">
        <f>G9*(1+Assumptions!$F$44)</f>
        <v/>
      </c>
      <c r="I9" s="19">
        <f>H9*(1+Assumptions!$G$44)</f>
        <v/>
      </c>
    </row>
    <row r="10">
      <c r="A10" s="18" t="inlineStr">
        <is>
          <t>CV&amp;CE volume (units)</t>
        </is>
      </c>
      <c r="B10" s="9" t="n">
        <v>2273</v>
      </c>
      <c r="C10" s="9" t="n">
        <v>2096</v>
      </c>
      <c r="D10" s="9" t="n">
        <v>3404</v>
      </c>
      <c r="E10" s="14">
        <f>D10*(1+Assumptions!$C$45)</f>
        <v/>
      </c>
      <c r="F10" s="14">
        <f>E10*(1+Assumptions!$D$45)</f>
        <v/>
      </c>
      <c r="G10" s="14">
        <f>F10*(1+Assumptions!$E$45)</f>
        <v/>
      </c>
      <c r="H10" s="14">
        <f>G10*(1+Assumptions!$F$45)</f>
        <v/>
      </c>
      <c r="I10" s="14">
        <f>H10*(1+Assumptions!$G$45)</f>
        <v/>
      </c>
    </row>
    <row r="11">
      <c r="A11" s="18" t="inlineStr">
        <is>
          <t>CV&amp;CE revenue</t>
        </is>
      </c>
      <c r="B11" s="9" t="n">
        <v>2323</v>
      </c>
      <c r="C11" s="9" t="n">
        <v>3984.5</v>
      </c>
      <c r="D11" s="9" t="n">
        <v>5956.8</v>
      </c>
      <c r="E11" s="14">
        <f>D11*(1+Assumptions!$C$45)*(1+Assumptions!$C$46)</f>
        <v/>
      </c>
      <c r="F11" s="14">
        <f>E11*(1+Assumptions!$D$45)*(1+Assumptions!$D$46)</f>
        <v/>
      </c>
      <c r="G11" s="14">
        <f>F11*(1+Assumptions!$E$45)*(1+Assumptions!$E$46)</f>
        <v/>
      </c>
      <c r="H11" s="14">
        <f>G11*(1+Assumptions!$F$45)*(1+Assumptions!$F$46)</f>
        <v/>
      </c>
      <c r="I11" s="14">
        <f>H11*(1+Assumptions!$G$45)*(1+Assumptions!$G$46)</f>
        <v/>
      </c>
    </row>
    <row r="12">
      <c r="A12" s="18" t="inlineStr">
        <is>
          <t>Light-Mobility volume (units)</t>
        </is>
      </c>
      <c r="B12" s="9" t="n">
        <v>13610</v>
      </c>
      <c r="C12" s="9" t="n">
        <v>20189</v>
      </c>
      <c r="D12" s="9" t="n">
        <v>33906</v>
      </c>
      <c r="E12" s="14">
        <f>D12*(1+Assumptions!$C$47)</f>
        <v/>
      </c>
      <c r="F12" s="14">
        <f>E12*(1+Assumptions!$D$47)</f>
        <v/>
      </c>
      <c r="G12" s="14">
        <f>F12*(1+Assumptions!$E$47)</f>
        <v/>
      </c>
      <c r="H12" s="14">
        <f>G12*(1+Assumptions!$F$47)</f>
        <v/>
      </c>
      <c r="I12" s="14">
        <f>H12*(1+Assumptions!$G$47)</f>
        <v/>
      </c>
    </row>
    <row r="13">
      <c r="A13" s="18" t="inlineStr">
        <is>
          <t>Light-Mobility revenue</t>
        </is>
      </c>
      <c r="B13" s="9" t="n">
        <v>854.2</v>
      </c>
      <c r="C13" s="9" t="n">
        <v>1378.2</v>
      </c>
      <c r="D13" s="9" t="n">
        <v>2203.8</v>
      </c>
      <c r="E13" s="14">
        <f>D13*(1+Assumptions!$C$47)*(1+Assumptions!$C$48)</f>
        <v/>
      </c>
      <c r="F13" s="14">
        <f>E13*(1+Assumptions!$D$47)*(1+Assumptions!$D$48)</f>
        <v/>
      </c>
      <c r="G13" s="14">
        <f>F13*(1+Assumptions!$E$47)*(1+Assumptions!$E$48)</f>
        <v/>
      </c>
      <c r="H13" s="14">
        <f>G13*(1+Assumptions!$F$47)*(1+Assumptions!$F$48)</f>
        <v/>
      </c>
      <c r="I13" s="14">
        <f>H13*(1+Assumptions!$G$47)*(1+Assumptions!$G$48)</f>
        <v/>
      </c>
    </row>
    <row r="14">
      <c r="A14" s="18" t="inlineStr">
        <is>
          <t>Trading revenue (tires + parts)</t>
        </is>
      </c>
      <c r="B14" s="9" t="n">
        <v>2506.8</v>
      </c>
      <c r="C14" s="9" t="n">
        <v>3815.5</v>
      </c>
      <c r="D14" s="9" t="n">
        <v>4242.8</v>
      </c>
      <c r="E14" s="14">
        <f>D14*(1+Assumptions!$C$49)</f>
        <v/>
      </c>
      <c r="F14" s="14">
        <f>E14*(1+Assumptions!$D$49)</f>
        <v/>
      </c>
      <c r="G14" s="14">
        <f>F14*(1+Assumptions!$E$49)</f>
        <v/>
      </c>
      <c r="H14" s="14">
        <f>G14*(1+Assumptions!$F$49)</f>
        <v/>
      </c>
      <c r="I14" s="14">
        <f>H14*(1+Assumptions!$G$49)</f>
        <v/>
      </c>
    </row>
    <row r="15">
      <c r="A15" s="18" t="inlineStr">
        <is>
          <t>Other Auto / after-sales &amp; adj.</t>
        </is>
      </c>
      <c r="B15" s="9" t="n">
        <v>7625.2</v>
      </c>
      <c r="C15" s="9" t="n">
        <v>1353.4</v>
      </c>
      <c r="D15" s="9" t="n">
        <v>1127.6</v>
      </c>
      <c r="E15" s="14">
        <f>0</f>
        <v/>
      </c>
      <c r="F15" s="14">
        <f>0</f>
        <v/>
      </c>
      <c r="G15" s="14">
        <f>0</f>
        <v/>
      </c>
      <c r="H15" s="14">
        <f>0</f>
        <v/>
      </c>
      <c r="I15" s="14">
        <f>0</f>
        <v/>
      </c>
    </row>
    <row r="16">
      <c r="A16" s="18" t="inlineStr">
        <is>
          <t>GB Auto total revenue</t>
        </is>
      </c>
      <c r="B16" s="9" t="n">
        <v>23854</v>
      </c>
      <c r="C16" s="9" t="n">
        <v>47065</v>
      </c>
      <c r="D16" s="9" t="n">
        <v>66358.3</v>
      </c>
      <c r="E16" s="14">
        <f>SUM(E8,E11,E13,E14,E15)</f>
        <v/>
      </c>
      <c r="F16" s="14">
        <f>SUM(F8,F11,F13,F14,F15)</f>
        <v/>
      </c>
      <c r="G16" s="14">
        <f>SUM(G8,G11,G13,G14,G15)</f>
        <v/>
      </c>
      <c r="H16" s="14">
        <f>SUM(H8,H11,H13,H14,H15)</f>
        <v/>
      </c>
      <c r="I16" s="14">
        <f>SUM(I8,I11,I13,I14,I15)</f>
        <v/>
      </c>
    </row>
    <row r="17">
      <c r="A17" s="18" t="inlineStr">
        <is>
          <t>GB Capital revenue</t>
        </is>
      </c>
      <c r="B17" s="9" t="n">
        <v>4950.9</v>
      </c>
      <c r="C17" s="9" t="n">
        <v>7383.6</v>
      </c>
      <c r="D17" s="9" t="n">
        <v>14743</v>
      </c>
      <c r="E17" s="14">
        <f>D17*(1+Assumptions!$C$50)</f>
        <v/>
      </c>
      <c r="F17" s="14">
        <f>E17*(1+Assumptions!$D$50)</f>
        <v/>
      </c>
      <c r="G17" s="14">
        <f>F17*(1+Assumptions!$E$50)</f>
        <v/>
      </c>
      <c r="H17" s="14">
        <f>G17*(1+Assumptions!$F$50)</f>
        <v/>
      </c>
      <c r="I17" s="14">
        <f>H17*(1+Assumptions!$G$50)</f>
        <v/>
      </c>
    </row>
    <row r="18">
      <c r="A18" s="18" t="inlineStr">
        <is>
          <t>Intercompany eliminations</t>
        </is>
      </c>
      <c r="B18" s="9" t="n">
        <v>-487.7</v>
      </c>
      <c r="C18" s="9" t="n">
        <v>-479</v>
      </c>
      <c r="D18" s="9" t="n">
        <v>-871.5</v>
      </c>
      <c r="E18" s="14">
        <f>-(E16+E17)*Assumptions!$C$73</f>
        <v/>
      </c>
      <c r="F18" s="14">
        <f>-(F16+F17)*Assumptions!$D$73</f>
        <v/>
      </c>
      <c r="G18" s="14">
        <f>-(G16+G17)*Assumptions!$E$73</f>
        <v/>
      </c>
      <c r="H18" s="14">
        <f>-(H16+H17)*Assumptions!$F$73</f>
        <v/>
      </c>
      <c r="I18" s="14">
        <f>-(I16+I17)*Assumptions!$G$73</f>
        <v/>
      </c>
    </row>
    <row r="19">
      <c r="A19" s="18" t="inlineStr">
        <is>
          <t>Group revenue</t>
        </is>
      </c>
      <c r="B19" s="14">
        <f>B16+B17+B18</f>
        <v/>
      </c>
      <c r="C19" s="14">
        <f>C16+C17+C18</f>
        <v/>
      </c>
      <c r="D19" s="14">
        <f>D16+D17+D18</f>
        <v/>
      </c>
      <c r="E19" s="14">
        <f>E16+E17+E18</f>
        <v/>
      </c>
      <c r="F19" s="14">
        <f>F16+F17+F18</f>
        <v/>
      </c>
      <c r="G19" s="14">
        <f>G16+G17+G18</f>
        <v/>
      </c>
      <c r="H19" s="14">
        <f>H16+H17+H18</f>
        <v/>
      </c>
      <c r="I19" s="14">
        <f>I16+I17+I18</f>
        <v/>
      </c>
    </row>
    <row r="21">
      <c r="A21" s="18" t="inlineStr">
        <is>
          <t>Auto gross profit</t>
        </is>
      </c>
      <c r="B21" s="9" t="n">
        <v>5813.1</v>
      </c>
      <c r="C21" s="9" t="n">
        <v>9057.4</v>
      </c>
      <c r="D21" s="9" t="n">
        <v>9837.1</v>
      </c>
      <c r="E21" s="14">
        <f>E16*Assumptions!$C$52</f>
        <v/>
      </c>
      <c r="F21" s="14">
        <f>F16*Assumptions!$D$52</f>
        <v/>
      </c>
      <c r="G21" s="14">
        <f>G16*Assumptions!$E$52</f>
        <v/>
      </c>
      <c r="H21" s="14">
        <f>H16*Assumptions!$F$52</f>
        <v/>
      </c>
      <c r="I21" s="14">
        <f>I16*Assumptions!$G$52</f>
        <v/>
      </c>
    </row>
    <row r="22">
      <c r="A22" s="18" t="inlineStr">
        <is>
          <t>Auto gross margin</t>
        </is>
      </c>
      <c r="B22" s="12">
        <f>B21/B16</f>
        <v/>
      </c>
      <c r="C22" s="12">
        <f>C21/C16</f>
        <v/>
      </c>
      <c r="D22" s="12">
        <f>D21/D16</f>
        <v/>
      </c>
      <c r="E22" s="12">
        <f>E21/E16</f>
        <v/>
      </c>
      <c r="F22" s="12">
        <f>F21/F16</f>
        <v/>
      </c>
      <c r="G22" s="12">
        <f>G21/G16</f>
        <v/>
      </c>
      <c r="H22" s="12">
        <f>H21/H16</f>
        <v/>
      </c>
      <c r="I22" s="12">
        <f>I21/I16</f>
        <v/>
      </c>
    </row>
    <row r="23">
      <c r="A23" s="18" t="inlineStr">
        <is>
          <t>Auto EBIT (operating profit)</t>
        </is>
      </c>
      <c r="B23" s="9" t="n">
        <v>3460.9</v>
      </c>
      <c r="C23" s="9" t="n">
        <v>5564.9</v>
      </c>
      <c r="D23" s="9" t="n">
        <v>5830.9</v>
      </c>
      <c r="E23" s="14">
        <f>E21-E16*Assumptions!$C$53+E16*Assumptions!$C$54+E16*Assumptions!$C$55</f>
        <v/>
      </c>
      <c r="F23" s="14">
        <f>F21-F16*Assumptions!$D$53+F16*Assumptions!$D$54+F16*Assumptions!$D$55</f>
        <v/>
      </c>
      <c r="G23" s="14">
        <f>G21-G16*Assumptions!$E$53+G16*Assumptions!$E$54+G16*Assumptions!$E$55</f>
        <v/>
      </c>
      <c r="H23" s="14">
        <f>H21-H16*Assumptions!$F$53+H16*Assumptions!$F$54+H16*Assumptions!$F$55</f>
        <v/>
      </c>
      <c r="I23" s="14">
        <f>I21-I16*Assumptions!$G$53+I16*Assumptions!$G$54+I16*Assumptions!$G$55</f>
        <v/>
      </c>
    </row>
    <row r="24">
      <c r="A24" s="18" t="inlineStr">
        <is>
          <t>Auto D&amp;A</t>
        </is>
      </c>
      <c r="B24" s="9" t="n">
        <v>374.3</v>
      </c>
      <c r="C24" s="9" t="n">
        <v>525.7</v>
      </c>
      <c r="D24" s="9" t="n">
        <v>683.3</v>
      </c>
      <c r="E24" s="14">
        <f>E16*Assumptions!$C$56</f>
        <v/>
      </c>
      <c r="F24" s="14">
        <f>F16*Assumptions!$D$56</f>
        <v/>
      </c>
      <c r="G24" s="14">
        <f>G16*Assumptions!$E$56</f>
        <v/>
      </c>
      <c r="H24" s="14">
        <f>H16*Assumptions!$F$56</f>
        <v/>
      </c>
      <c r="I24" s="14">
        <f>I16*Assumptions!$G$56</f>
        <v/>
      </c>
    </row>
    <row r="25">
      <c r="A25" s="18" t="inlineStr">
        <is>
          <t>Auto EBITDA</t>
        </is>
      </c>
      <c r="B25" s="9" t="n">
        <v>3794.6</v>
      </c>
      <c r="C25" s="9" t="n">
        <v>5880.5</v>
      </c>
      <c r="D25" s="9" t="n">
        <v>6363.3</v>
      </c>
      <c r="E25" s="14">
        <f>E23+E24</f>
        <v/>
      </c>
      <c r="F25" s="14">
        <f>F23+F24</f>
        <v/>
      </c>
      <c r="G25" s="14">
        <f>G23+G24</f>
        <v/>
      </c>
      <c r="H25" s="14">
        <f>H23+H24</f>
        <v/>
      </c>
      <c r="I25" s="14">
        <f>I23+I24</f>
        <v/>
      </c>
    </row>
    <row r="26">
      <c r="A26" s="18" t="inlineStr">
        <is>
          <t>Auto EBITDA margin</t>
        </is>
      </c>
      <c r="B26" s="12">
        <f>B25/B16</f>
        <v/>
      </c>
      <c r="C26" s="12">
        <f>C25/C16</f>
        <v/>
      </c>
      <c r="D26" s="12">
        <f>D25/D16</f>
        <v/>
      </c>
      <c r="E26" s="12">
        <f>E25/E16</f>
        <v/>
      </c>
      <c r="F26" s="12">
        <f>F25/F16</f>
        <v/>
      </c>
      <c r="G26" s="12">
        <f>G25/G16</f>
        <v/>
      </c>
      <c r="H26" s="12">
        <f>H25/H16</f>
        <v/>
      </c>
      <c r="I26" s="12">
        <f>I25/I16</f>
        <v/>
      </c>
    </row>
    <row r="27">
      <c r="A27" s="18" t="inlineStr">
        <is>
          <t>GB Capital operating profit</t>
        </is>
      </c>
      <c r="B27" s="9" t="n">
        <v>243.7</v>
      </c>
      <c r="C27" s="9" t="n">
        <v>380.1</v>
      </c>
      <c r="D27" s="9" t="n">
        <v>788.5</v>
      </c>
    </row>
    <row r="28">
      <c r="A28" s="18" t="inlineStr">
        <is>
          <t>GB Capital net profit (after NCI)</t>
        </is>
      </c>
      <c r="B28" s="9" t="n">
        <v>1207.6</v>
      </c>
      <c r="C28" s="9" t="n">
        <v>1091.5</v>
      </c>
      <c r="D28" s="9" t="n">
        <v>1365.9</v>
      </c>
    </row>
    <row r="29">
      <c r="A29" s="18" t="inlineStr">
        <is>
          <t>GB Capital on-book loan portfolio</t>
        </is>
      </c>
      <c r="B29" s="9" t="n">
        <v>8980.5</v>
      </c>
      <c r="C29" s="9" t="n">
        <v>13183.4</v>
      </c>
      <c r="D29" s="9" t="n">
        <v>19495.2</v>
      </c>
    </row>
    <row r="31">
      <c r="A31" s="8" t="inlineStr">
        <is>
          <t>Source: GB Corp 4Q23 / 4Q24 / 4Q25 earnings releases (Tables 1–14). Other Auto = after-sales &amp; regional lines folded into the four LoBs from FY24; forecast conservatively set to zero.</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44" customWidth="1" min="1" max="1"/>
    <col width="52" customWidth="1" min="2" max="2"/>
    <col width="12" customWidth="1" min="3" max="3"/>
    <col width="12" customWidth="1" min="4" max="4"/>
    <col width="12" customWidth="1" min="5" max="5"/>
    <col width="12" customWidth="1" min="6" max="6"/>
    <col width="12" customWidth="1" min="7" max="7"/>
  </cols>
  <sheetData>
    <row r="1">
      <c r="A1" s="1" t="inlineStr">
        <is>
          <t>Relative &amp; normalized-earnings lenses</t>
        </is>
      </c>
      <c r="B1" s="2" t="n"/>
      <c r="C1" s="2" t="n"/>
      <c r="D1" s="2" t="n"/>
      <c r="E1" s="2" t="n"/>
      <c r="F1" s="2" t="n"/>
      <c r="G1" s="2" t="n"/>
    </row>
    <row r="2">
      <c r="A2" s="4" t="inlineStr">
        <is>
          <t>Links to Assumptions and the Income Statement.</t>
        </is>
      </c>
    </row>
    <row r="5">
      <c r="A5" s="5" t="inlineStr">
        <is>
          <t>Lens</t>
        </is>
      </c>
      <c r="B5" s="5" t="inlineStr">
        <is>
          <t>Workings</t>
        </is>
      </c>
      <c r="C5" s="5" t="inlineStr">
        <is>
          <t>EGP/share</t>
        </is>
      </c>
    </row>
    <row r="6">
      <c r="A6" s="14" t="inlineStr">
        <is>
          <t>Relative P/E</t>
        </is>
      </c>
      <c r="B6" s="8" t="inlineStr">
        <is>
          <t>FY26E group NP (conservative input) × justified P/E, /sh</t>
        </is>
      </c>
      <c r="C6" s="27">
        <f>Assumptions!B27*Assumptions!B28/Assumptions!B6</f>
        <v/>
      </c>
    </row>
    <row r="7">
      <c r="A7" s="14" t="inlineStr">
        <is>
          <t xml:space="preserve">  implied FY26E EPS (EGP)</t>
        </is>
      </c>
      <c r="C7" s="27">
        <f>Assumptions!B27/Assumptions!B6</f>
        <v/>
      </c>
    </row>
    <row r="8">
      <c r="A8" s="14" t="inlineStr">
        <is>
          <t xml:space="preserve">  IS-build FY26E EPS, for reference</t>
        </is>
      </c>
      <c r="C8" s="27">
        <f>'Income Statement'!E26/Assumptions!B6</f>
        <v/>
      </c>
    </row>
    <row r="9">
      <c r="A9" s="14" t="inlineStr">
        <is>
          <t>Normalized earnings power</t>
        </is>
      </c>
      <c r="B9" s="8" t="inlineStr">
        <is>
          <t>Mid-cycle group PAT × through-cycle P/E, /sh</t>
        </is>
      </c>
      <c r="C9" s="27">
        <f>Assumptions!B29*Assumptions!B30/Assumptions!B6</f>
        <v/>
      </c>
    </row>
    <row r="10">
      <c r="A10" s="14" t="inlineStr">
        <is>
          <t xml:space="preserve">  normalized EPS (EGP)</t>
        </is>
      </c>
      <c r="C10" s="27">
        <f>Assumptions!B29/Assumptions!B6</f>
        <v/>
      </c>
    </row>
    <row r="12">
      <c r="A12" s="14" t="inlineStr">
        <is>
          <t>P/B cross-check: spot / FY25 BVPS</t>
        </is>
      </c>
      <c r="C12" s="33">
        <f>Assumptions!B5/('Balance Sheet'!D16/Assumptions!B6)</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40" customWidth="1" min="1" max="1"/>
    <col width="11.5" customWidth="1" min="2" max="2"/>
    <col width="11.5" customWidth="1" min="3" max="3"/>
    <col width="11.5" customWidth="1" min="4" max="4"/>
    <col width="11.5" customWidth="1" min="5" max="5"/>
    <col width="11.5" customWidth="1" min="6" max="6"/>
    <col width="11.5" customWidth="1" min="7" max="7"/>
    <col width="11.5" customWidth="1" min="8" max="8"/>
  </cols>
  <sheetData>
    <row r="1">
      <c r="A1" s="1" t="inlineStr">
        <is>
          <t>DCF — GB Auto operating leg, explicit 5-year FCFF</t>
        </is>
      </c>
      <c r="B1" s="2" t="n"/>
      <c r="C1" s="2" t="n"/>
      <c r="D1" s="2" t="n"/>
      <c r="E1" s="2" t="n"/>
      <c r="F1" s="2" t="n"/>
      <c r="G1" s="2" t="n"/>
      <c r="H1" s="2" t="n"/>
    </row>
    <row r="2">
      <c r="A2" s="4" t="inlineStr">
        <is>
          <t>Revenue → EBITDA → D&amp;A → EBIT → NOPAT → +D&amp;A → −Capex → −ΔWC → FCFF → discount factor → PV. Links to Segments / Balance Sheet / Assumptions.</t>
        </is>
      </c>
    </row>
    <row r="4">
      <c r="B4" s="5" t="inlineStr">
        <is>
          <t>FY26E</t>
        </is>
      </c>
      <c r="C4" s="5" t="inlineStr">
        <is>
          <t>FY27E</t>
        </is>
      </c>
      <c r="D4" s="5" t="inlineStr">
        <is>
          <t>FY28E</t>
        </is>
      </c>
      <c r="E4" s="5" t="inlineStr">
        <is>
          <t>FY29E</t>
        </is>
      </c>
      <c r="F4" s="5" t="inlineStr">
        <is>
          <t>FY30E</t>
        </is>
      </c>
    </row>
    <row r="6">
      <c r="A6" s="6" t="inlineStr">
        <is>
          <t>Auto revenue</t>
        </is>
      </c>
      <c r="B6" s="20">
        <f>Segments!E16</f>
        <v/>
      </c>
      <c r="C6" s="20">
        <f>Segments!F16</f>
        <v/>
      </c>
      <c r="D6" s="20">
        <f>Segments!G16</f>
        <v/>
      </c>
      <c r="E6" s="20">
        <f>Segments!H16</f>
        <v/>
      </c>
      <c r="F6" s="20">
        <f>Segments!I16</f>
        <v/>
      </c>
    </row>
    <row r="7">
      <c r="A7" s="6" t="inlineStr">
        <is>
          <t>EBITDA</t>
        </is>
      </c>
      <c r="B7" s="20">
        <f>Segments!E25</f>
        <v/>
      </c>
      <c r="C7" s="20">
        <f>Segments!F25</f>
        <v/>
      </c>
      <c r="D7" s="20">
        <f>Segments!G25</f>
        <v/>
      </c>
      <c r="E7" s="20">
        <f>Segments!H25</f>
        <v/>
      </c>
      <c r="F7" s="20">
        <f>Segments!I25</f>
        <v/>
      </c>
    </row>
    <row r="8">
      <c r="A8" s="6" t="inlineStr">
        <is>
          <t>D&amp;A</t>
        </is>
      </c>
      <c r="B8" s="20">
        <f>-Segments!E24</f>
        <v/>
      </c>
      <c r="C8" s="20">
        <f>-Segments!F24</f>
        <v/>
      </c>
      <c r="D8" s="20">
        <f>-Segments!G24</f>
        <v/>
      </c>
      <c r="E8" s="20">
        <f>-Segments!H24</f>
        <v/>
      </c>
      <c r="F8" s="20">
        <f>-Segments!I24</f>
        <v/>
      </c>
    </row>
    <row r="9">
      <c r="A9" s="6" t="inlineStr">
        <is>
          <t>EBIT</t>
        </is>
      </c>
      <c r="B9" s="20">
        <f>Segments!E23</f>
        <v/>
      </c>
      <c r="C9" s="20">
        <f>Segments!F23</f>
        <v/>
      </c>
      <c r="D9" s="20">
        <f>Segments!G23</f>
        <v/>
      </c>
      <c r="E9" s="20">
        <f>Segments!H23</f>
        <v/>
      </c>
      <c r="F9" s="20">
        <f>Segments!I23</f>
        <v/>
      </c>
    </row>
    <row r="10">
      <c r="A10" s="6" t="inlineStr">
        <is>
          <t>NOPAT = EBIT × (1 − tax)</t>
        </is>
      </c>
      <c r="B10" s="14">
        <f>B9*(1-Assumptions!$B$7)</f>
        <v/>
      </c>
      <c r="C10" s="14">
        <f>C9*(1-Assumptions!$B$7)</f>
        <v/>
      </c>
      <c r="D10" s="14">
        <f>D9*(1-Assumptions!$B$7)</f>
        <v/>
      </c>
      <c r="E10" s="14">
        <f>E9*(1-Assumptions!$B$7)</f>
        <v/>
      </c>
      <c r="F10" s="14">
        <f>F9*(1-Assumptions!$B$7)</f>
        <v/>
      </c>
    </row>
    <row r="11">
      <c r="A11" s="6" t="inlineStr">
        <is>
          <t>+ D&amp;A</t>
        </is>
      </c>
      <c r="B11" s="20">
        <f>Segments!E24</f>
        <v/>
      </c>
      <c r="C11" s="20">
        <f>Segments!F24</f>
        <v/>
      </c>
      <c r="D11" s="20">
        <f>Segments!G24</f>
        <v/>
      </c>
      <c r="E11" s="20">
        <f>Segments!H24</f>
        <v/>
      </c>
      <c r="F11" s="20">
        <f>Segments!I24</f>
        <v/>
      </c>
    </row>
    <row r="12">
      <c r="A12" s="6" t="inlineStr">
        <is>
          <t>− Capex</t>
        </is>
      </c>
      <c r="B12" s="14">
        <f>-Assumptions!$C$57</f>
        <v/>
      </c>
      <c r="C12" s="14">
        <f>-Assumptions!$D$57</f>
        <v/>
      </c>
      <c r="D12" s="14">
        <f>-Assumptions!$E$57</f>
        <v/>
      </c>
      <c r="E12" s="14">
        <f>-Assumptions!$F$57</f>
        <v/>
      </c>
      <c r="F12" s="14">
        <f>-Assumptions!$G$57</f>
        <v/>
      </c>
    </row>
    <row r="13">
      <c r="A13" s="6" t="inlineStr">
        <is>
          <t>− Increase in net working capital</t>
        </is>
      </c>
      <c r="B13" s="20">
        <f>-'Balance Sheet'!E31</f>
        <v/>
      </c>
      <c r="C13" s="20">
        <f>-'Balance Sheet'!F31</f>
        <v/>
      </c>
      <c r="D13" s="20">
        <f>-'Balance Sheet'!G31</f>
        <v/>
      </c>
      <c r="E13" s="20">
        <f>-'Balance Sheet'!H31</f>
        <v/>
      </c>
      <c r="F13" s="20">
        <f>-'Balance Sheet'!I31</f>
        <v/>
      </c>
    </row>
    <row r="14">
      <c r="A14" s="17" t="inlineStr">
        <is>
          <t>FCFF</t>
        </is>
      </c>
      <c r="B14" s="21">
        <f>SUM(B10:B13)</f>
        <v/>
      </c>
      <c r="C14" s="21">
        <f>SUM(C10:C13)</f>
        <v/>
      </c>
      <c r="D14" s="21">
        <f>SUM(D10:D13)</f>
        <v/>
      </c>
      <c r="E14" s="21">
        <f>SUM(E10:E13)</f>
        <v/>
      </c>
      <c r="F14" s="21">
        <f>SUM(F10:F13)</f>
        <v/>
      </c>
    </row>
    <row r="15">
      <c r="A15" s="6" t="inlineStr">
        <is>
          <t>Cost of capital — this year’s forward rate</t>
        </is>
      </c>
      <c r="B15" s="12" t="n">
        <v>0.2287554134378177</v>
      </c>
      <c r="C15" s="12" t="n">
        <v>0.1976861075812545</v>
      </c>
      <c r="D15" s="12" t="n">
        <v>0.1728306628960039</v>
      </c>
      <c r="E15" s="12" t="n">
        <v>0.154189079382066</v>
      </c>
      <c r="F15" s="12" t="n">
        <v>0.1417613570394407</v>
      </c>
    </row>
    <row r="16">
      <c r="A16" s="6" t="inlineStr">
        <is>
          <t>Discount factor (cumulative on the schedule)</t>
        </is>
      </c>
      <c r="B16" s="22">
        <f>1/(1+B15)</f>
        <v/>
      </c>
      <c r="C16" s="22">
        <f>B16/(1+C15)</f>
        <v/>
      </c>
      <c r="D16" s="22">
        <f>C16/(1+D15)</f>
        <v/>
      </c>
      <c r="E16" s="22">
        <f>D16/(1+E15)</f>
        <v/>
      </c>
      <c r="F16" s="22">
        <f>E16/(1+F15)</f>
        <v/>
      </c>
    </row>
    <row r="17">
      <c r="A17" s="17" t="inlineStr">
        <is>
          <t>PV of FCFF</t>
        </is>
      </c>
      <c r="B17" s="21">
        <f>B14*B16</f>
        <v/>
      </c>
      <c r="C17" s="21">
        <f>C14*C16</f>
        <v/>
      </c>
      <c r="D17" s="21">
        <f>D14*D16</f>
        <v/>
      </c>
      <c r="E17" s="21">
        <f>E14*E16</f>
        <v/>
      </c>
      <c r="F17" s="21">
        <f>F14*F16</f>
        <v/>
      </c>
    </row>
    <row r="19">
      <c r="A19" s="17" t="inlineStr">
        <is>
          <t>Σ PV of explicit FCFF (FY26–30E)</t>
        </is>
      </c>
      <c r="B19" s="21">
        <f>SUM(B17:F17)</f>
        <v/>
      </c>
    </row>
    <row r="20">
      <c r="A20" s="6" t="inlineStr">
        <is>
          <t>Cost of capital — terminal (norm-built)</t>
        </is>
      </c>
      <c r="B20" s="12" t="n">
        <v>0.1417613570394407</v>
      </c>
    </row>
    <row r="21">
      <c r="A21" s="6" t="inlineStr">
        <is>
          <t>Terminal value (Gordon, on the TERMINAL rate)</t>
        </is>
      </c>
      <c r="B21" s="14">
        <f>F14*(1+Assumptions!$B$17)/(B20-Assumptions!$B$17)</f>
        <v/>
      </c>
    </row>
    <row r="22">
      <c r="A22" s="6" t="inlineStr">
        <is>
          <t>PV of terminal value</t>
        </is>
      </c>
      <c r="B22" s="14">
        <f>B21*F16</f>
        <v/>
      </c>
    </row>
    <row r="23">
      <c r="A23" s="17" t="inlineStr">
        <is>
          <t>Enterprise value — Auto leg</t>
        </is>
      </c>
      <c r="B23" s="21">
        <f>B19+B22</f>
        <v/>
      </c>
    </row>
    <row r="24">
      <c r="A24" s="17" t="inlineStr">
        <is>
          <t>% terminal of EV (device A-7)</t>
        </is>
      </c>
      <c r="B24" s="23">
        <f>B22/B23</f>
        <v/>
      </c>
    </row>
    <row r="25">
      <c r="A25" s="6" t="inlineStr">
        <is>
          <t>less: Auto net debt</t>
        </is>
      </c>
      <c r="B25" s="14">
        <f>-Assumptions!$B$19</f>
        <v/>
      </c>
    </row>
    <row r="26">
      <c r="A26" s="6" t="inlineStr">
        <is>
          <t>less: Auto non-controlling interests</t>
        </is>
      </c>
      <c r="B26" s="14">
        <f>-Assumptions!$B$20</f>
        <v/>
      </c>
    </row>
    <row r="27">
      <c r="A27" s="17" t="inlineStr">
        <is>
          <t>Auto equity value</t>
        </is>
      </c>
      <c r="B27" s="21">
        <f>B23-Assumptions!$B$19-Assumptions!$B$20</f>
        <v/>
      </c>
    </row>
    <row r="29">
      <c r="A29" s="6" t="inlineStr">
        <is>
          <t>EV sensitivity per +1pp Auto GPM (helper for Sensitivity)</t>
        </is>
      </c>
      <c r="B29" s="14">
        <f>0.01*(1-Assumptions!$B$7)*(SUMPRODUCT(B6:F6,B16:F16)+F6*(1+Assumptions!$B$17)/(B20-Assumptions!$B$17)*F16)</f>
        <v/>
      </c>
    </row>
    <row r="31">
      <c r="A31" s="8" t="inlineStr">
        <is>
          <t>WACC is built on the Assumptions sheet as Ke = rf + β × ERP (house rule §3.5-G) blended with after-tax Kd.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Income statement (EGP mn, consolidated)</t>
        </is>
      </c>
      <c r="B1" s="2" t="n"/>
      <c r="C1" s="2" t="n"/>
      <c r="D1" s="2" t="n"/>
      <c r="E1" s="2" t="n"/>
      <c r="F1" s="2" t="n"/>
      <c r="G1" s="2" t="n"/>
      <c r="H1" s="2" t="n"/>
      <c r="I1" s="2" t="n"/>
      <c r="J1" s="2" t="n"/>
    </row>
    <row r="2">
      <c r="A2" s="4" t="inlineStr">
        <is>
          <t>FY23–FY25 disclosed (blue); FY26E–FY30E formulas linking to Segments and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GB Auto revenue</t>
        </is>
      </c>
      <c r="B6" s="9" t="n">
        <v>23854</v>
      </c>
      <c r="C6" s="9" t="n">
        <v>47065</v>
      </c>
      <c r="D6" s="9" t="n">
        <v>66358.3</v>
      </c>
      <c r="E6" s="20">
        <f>Segments!E16</f>
        <v/>
      </c>
      <c r="F6" s="20">
        <f>Segments!F16</f>
        <v/>
      </c>
      <c r="G6" s="20">
        <f>Segments!G16</f>
        <v/>
      </c>
      <c r="H6" s="20">
        <f>Segments!H16</f>
        <v/>
      </c>
      <c r="I6" s="20">
        <f>Segments!I16</f>
        <v/>
      </c>
    </row>
    <row r="7">
      <c r="A7" s="6" t="inlineStr">
        <is>
          <t>GB Capital revenue</t>
        </is>
      </c>
      <c r="B7" s="9" t="n">
        <v>4950.9</v>
      </c>
      <c r="C7" s="9" t="n">
        <v>7383.6</v>
      </c>
      <c r="D7" s="9" t="n">
        <v>14743</v>
      </c>
      <c r="E7" s="20">
        <f>Segments!E17</f>
        <v/>
      </c>
      <c r="F7" s="20">
        <f>Segments!F17</f>
        <v/>
      </c>
      <c r="G7" s="20">
        <f>Segments!G17</f>
        <v/>
      </c>
      <c r="H7" s="20">
        <f>Segments!H17</f>
        <v/>
      </c>
      <c r="I7" s="20">
        <f>Segments!I17</f>
        <v/>
      </c>
    </row>
    <row r="8">
      <c r="A8" s="6" t="inlineStr">
        <is>
          <t>Intercompany eliminations</t>
        </is>
      </c>
      <c r="B8" s="9" t="n">
        <v>-487.7</v>
      </c>
      <c r="C8" s="9" t="n">
        <v>-479</v>
      </c>
      <c r="D8" s="9" t="n">
        <v>-871.5</v>
      </c>
      <c r="E8" s="20">
        <f>Segments!E18</f>
        <v/>
      </c>
      <c r="F8" s="20">
        <f>Segments!F18</f>
        <v/>
      </c>
      <c r="G8" s="20">
        <f>Segments!G18</f>
        <v/>
      </c>
      <c r="H8" s="20">
        <f>Segments!H18</f>
        <v/>
      </c>
      <c r="I8" s="20">
        <f>Segments!I18</f>
        <v/>
      </c>
    </row>
    <row r="9">
      <c r="A9" s="17" t="inlineStr">
        <is>
          <t>Total revenue</t>
        </is>
      </c>
      <c r="B9" s="24" t="n">
        <v>28317.2</v>
      </c>
      <c r="C9" s="24" t="n">
        <v>53969.5</v>
      </c>
      <c r="D9" s="24" t="n">
        <v>80229.8</v>
      </c>
      <c r="E9" s="21">
        <f>SUM(E6:E8)</f>
        <v/>
      </c>
      <c r="F9" s="21">
        <f>SUM(F6:F8)</f>
        <v/>
      </c>
      <c r="G9" s="21">
        <f>SUM(G6:G8)</f>
        <v/>
      </c>
      <c r="H9" s="21">
        <f>SUM(H6:H8)</f>
        <v/>
      </c>
      <c r="I9" s="21">
        <f>SUM(I6:I8)</f>
        <v/>
      </c>
    </row>
    <row r="10">
      <c r="A10" s="6" t="inlineStr">
        <is>
          <t>Gross profit</t>
        </is>
      </c>
      <c r="B10" s="9" t="n">
        <v>6884.3</v>
      </c>
      <c r="C10" s="9" t="n">
        <v>10514.6</v>
      </c>
      <c r="D10" s="9" t="n">
        <v>12431.1</v>
      </c>
      <c r="E10" s="20">
        <f>Segments!E21+Segments!E17*Assumptions!$C$67+Segments!E18*0.2</f>
        <v/>
      </c>
      <c r="F10" s="20">
        <f>Segments!F21+Segments!F17*Assumptions!$D$67+Segments!F18*0.2</f>
        <v/>
      </c>
      <c r="G10" s="20">
        <f>Segments!G21+Segments!G17*Assumptions!$E$67+Segments!G18*0.2</f>
        <v/>
      </c>
      <c r="H10" s="20">
        <f>Segments!H21+Segments!H17*Assumptions!$F$67+Segments!H18*0.2</f>
        <v/>
      </c>
      <c r="I10" s="20">
        <f>Segments!I21+Segments!I17*Assumptions!$G$67+Segments!I18*0.2</f>
        <v/>
      </c>
    </row>
    <row r="11">
      <c r="A11" s="6" t="inlineStr">
        <is>
          <t>Gross profit margin</t>
        </is>
      </c>
      <c r="B11" s="12">
        <f>B10/B9</f>
        <v/>
      </c>
      <c r="C11" s="12">
        <f>C10/C9</f>
        <v/>
      </c>
      <c r="D11" s="12">
        <f>D10/D9</f>
        <v/>
      </c>
      <c r="E11" s="12">
        <f>E10/E9</f>
        <v/>
      </c>
      <c r="F11" s="12">
        <f>F10/F9</f>
        <v/>
      </c>
      <c r="G11" s="12">
        <f>G10/G9</f>
        <v/>
      </c>
      <c r="H11" s="12">
        <f>H10/H9</f>
        <v/>
      </c>
      <c r="I11" s="12">
        <f>I10/I9</f>
        <v/>
      </c>
    </row>
    <row r="12">
      <c r="A12" s="6" t="inlineStr">
        <is>
          <t>Selling, marketing &amp; administration</t>
        </is>
      </c>
      <c r="B12" s="9" t="n">
        <v>-3430.8</v>
      </c>
      <c r="C12" s="9" t="n">
        <v>-4843.6</v>
      </c>
      <c r="D12" s="9" t="n">
        <v>-6547.3</v>
      </c>
      <c r="E12" s="14">
        <f>-E9*Assumptions!$C$64</f>
        <v/>
      </c>
      <c r="F12" s="14">
        <f>-F9*Assumptions!$D$64</f>
        <v/>
      </c>
      <c r="G12" s="14">
        <f>-G9*Assumptions!$E$64</f>
        <v/>
      </c>
      <c r="H12" s="14">
        <f>-H9*Assumptions!$F$64</f>
        <v/>
      </c>
      <c r="I12" s="14">
        <f>-I9*Assumptions!$G$64</f>
        <v/>
      </c>
    </row>
    <row r="13">
      <c r="A13" s="6" t="inlineStr">
        <is>
          <t>Other income (expenses)</t>
        </is>
      </c>
      <c r="B13" s="9" t="n">
        <v>518.8</v>
      </c>
      <c r="C13" s="9" t="n">
        <v>505.6</v>
      </c>
      <c r="D13" s="9" t="n">
        <v>912.2</v>
      </c>
      <c r="E13" s="14">
        <f>E9*Assumptions!$C$65</f>
        <v/>
      </c>
      <c r="F13" s="14">
        <f>F9*Assumptions!$D$65</f>
        <v/>
      </c>
      <c r="G13" s="14">
        <f>G9*Assumptions!$E$65</f>
        <v/>
      </c>
      <c r="H13" s="14">
        <f>H9*Assumptions!$F$65</f>
        <v/>
      </c>
      <c r="I13" s="14">
        <f>I9*Assumptions!$G$65</f>
        <v/>
      </c>
    </row>
    <row r="14">
      <c r="A14" s="6" t="inlineStr">
        <is>
          <t>Provisions (net)</t>
        </is>
      </c>
      <c r="B14" s="9" t="n">
        <v>-268.9</v>
      </c>
      <c r="C14" s="9" t="n">
        <v>-355.7</v>
      </c>
      <c r="D14" s="9" t="n">
        <v>-165.1</v>
      </c>
      <c r="E14" s="14">
        <f>E9*Assumptions!$C$66</f>
        <v/>
      </c>
      <c r="F14" s="14">
        <f>F9*Assumptions!$D$66</f>
        <v/>
      </c>
      <c r="G14" s="14">
        <f>G9*Assumptions!$E$66</f>
        <v/>
      </c>
      <c r="H14" s="14">
        <f>H9*Assumptions!$F$66</f>
        <v/>
      </c>
      <c r="I14" s="14">
        <f>I9*Assumptions!$G$66</f>
        <v/>
      </c>
    </row>
    <row r="15">
      <c r="A15" s="17" t="inlineStr">
        <is>
          <t>Operating profit</t>
        </is>
      </c>
      <c r="B15" s="24" t="n">
        <v>3703.4</v>
      </c>
      <c r="C15" s="24" t="n">
        <v>5820.8</v>
      </c>
      <c r="D15" s="24" t="n">
        <v>6631</v>
      </c>
      <c r="E15" s="21">
        <f>SUM(E10,E12:E14)</f>
        <v/>
      </c>
      <c r="F15" s="21">
        <f>SUM(F10,F12:F14)</f>
        <v/>
      </c>
      <c r="G15" s="21">
        <f>SUM(G10,G12:G14)</f>
        <v/>
      </c>
      <c r="H15" s="21">
        <f>SUM(H10,H12:H14)</f>
        <v/>
      </c>
      <c r="I15" s="21">
        <f>SUM(I10,I12:I14)</f>
        <v/>
      </c>
    </row>
    <row r="16">
      <c r="A16" s="6" t="inlineStr">
        <is>
          <t>Investment gains from associates</t>
        </is>
      </c>
      <c r="B16" s="9" t="n">
        <v>1066.1</v>
      </c>
      <c r="C16" s="9" t="n">
        <v>867.6</v>
      </c>
      <c r="D16" s="9" t="n">
        <v>974.8</v>
      </c>
      <c r="E16" s="14">
        <f>Assumptions!$C$68</f>
        <v/>
      </c>
      <c r="F16" s="14">
        <f>Assumptions!$D$68</f>
        <v/>
      </c>
      <c r="G16" s="14">
        <f>Assumptions!$E$68</f>
        <v/>
      </c>
      <c r="H16" s="14">
        <f>Assumptions!$F$68</f>
        <v/>
      </c>
      <c r="I16" s="14">
        <f>Assumptions!$G$68</f>
        <v/>
      </c>
    </row>
    <row r="17">
      <c r="A17" s="17" t="inlineStr">
        <is>
          <t>EBIT</t>
        </is>
      </c>
      <c r="B17" s="24" t="n">
        <v>4769.5</v>
      </c>
      <c r="C17" s="24" t="n">
        <v>6688.5</v>
      </c>
      <c r="D17" s="24" t="n">
        <v>7605.7</v>
      </c>
      <c r="E17" s="21">
        <f>E15+E16</f>
        <v/>
      </c>
      <c r="F17" s="21">
        <f>F15+F16</f>
        <v/>
      </c>
      <c r="G17" s="21">
        <f>G15+G16</f>
        <v/>
      </c>
      <c r="H17" s="21">
        <f>H15+H16</f>
        <v/>
      </c>
      <c r="I17" s="21">
        <f>I15+I16</f>
        <v/>
      </c>
    </row>
    <row r="18">
      <c r="A18" s="6" t="inlineStr">
        <is>
          <t>Group D&amp;A</t>
        </is>
      </c>
      <c r="B18" s="9" t="n">
        <v>820</v>
      </c>
      <c r="C18" s="9" t="n">
        <v>1030</v>
      </c>
      <c r="D18" s="9" t="n">
        <v>1243</v>
      </c>
      <c r="E18" s="20">
        <f>Segments!E24+Assumptions!$C$59</f>
        <v/>
      </c>
      <c r="F18" s="20">
        <f>Segments!F24+Assumptions!$D$59</f>
        <v/>
      </c>
      <c r="G18" s="20">
        <f>Segments!G24+Assumptions!$E$59</f>
        <v/>
      </c>
      <c r="H18" s="20">
        <f>Segments!H24+Assumptions!$F$59</f>
        <v/>
      </c>
      <c r="I18" s="20">
        <f>Segments!I24+Assumptions!$G$59</f>
        <v/>
      </c>
    </row>
    <row r="19">
      <c r="A19" s="6" t="inlineStr">
        <is>
          <t>EBITDA (EBIT + D&amp;A)</t>
        </is>
      </c>
      <c r="B19" s="14">
        <f>B17+B18</f>
        <v/>
      </c>
      <c r="C19" s="14">
        <f>C17+C18</f>
        <v/>
      </c>
      <c r="D19" s="14">
        <f>D17+D18</f>
        <v/>
      </c>
      <c r="E19" s="14">
        <f>E17+E18</f>
        <v/>
      </c>
      <c r="F19" s="14">
        <f>F17+F18</f>
        <v/>
      </c>
      <c r="G19" s="14">
        <f>G17+G18</f>
        <v/>
      </c>
      <c r="H19" s="14">
        <f>H17+H18</f>
        <v/>
      </c>
      <c r="I19" s="14">
        <f>I17+I18</f>
        <v/>
      </c>
    </row>
    <row r="20">
      <c r="A20" s="6" t="inlineStr">
        <is>
          <t>Foreign exchange gains (losses)</t>
        </is>
      </c>
      <c r="B20" s="9" t="n">
        <v>-1499.2</v>
      </c>
      <c r="C20" s="9" t="n">
        <v>-291.6</v>
      </c>
      <c r="D20" s="9" t="n">
        <v>-37.1</v>
      </c>
      <c r="E20" s="14">
        <f>0</f>
        <v/>
      </c>
      <c r="F20" s="14">
        <f>0</f>
        <v/>
      </c>
      <c r="G20" s="14">
        <f>0</f>
        <v/>
      </c>
      <c r="H20" s="14">
        <f>0</f>
        <v/>
      </c>
      <c r="I20" s="14">
        <f>0</f>
        <v/>
      </c>
    </row>
    <row r="21">
      <c r="A21" s="6" t="inlineStr">
        <is>
          <t>Net finance cost</t>
        </is>
      </c>
      <c r="B21" s="9" t="n">
        <v>-965.8</v>
      </c>
      <c r="C21" s="9" t="n">
        <v>-2397.8</v>
      </c>
      <c r="D21" s="9" t="n">
        <v>-3702.1</v>
      </c>
      <c r="E21" s="14">
        <f>Assumptions!$C$69</f>
        <v/>
      </c>
      <c r="F21" s="14">
        <f>Assumptions!$D$69</f>
        <v/>
      </c>
      <c r="G21" s="14">
        <f>Assumptions!$E$69</f>
        <v/>
      </c>
      <c r="H21" s="14">
        <f>Assumptions!$F$69</f>
        <v/>
      </c>
      <c r="I21" s="14">
        <f>Assumptions!$G$69</f>
        <v/>
      </c>
    </row>
    <row r="22">
      <c r="A22" s="17" t="inlineStr">
        <is>
          <t>Earnings before tax</t>
        </is>
      </c>
      <c r="B22" s="24" t="n">
        <v>2304.4</v>
      </c>
      <c r="C22" s="24" t="n">
        <v>3999.1</v>
      </c>
      <c r="D22" s="24" t="n">
        <v>3866.5</v>
      </c>
      <c r="E22" s="21">
        <f>E17+E20+E21</f>
        <v/>
      </c>
      <c r="F22" s="21">
        <f>F17+F20+F21</f>
        <v/>
      </c>
      <c r="G22" s="21">
        <f>G17+G20+G21</f>
        <v/>
      </c>
      <c r="H22" s="21">
        <f>H17+H20+H21</f>
        <v/>
      </c>
      <c r="I22" s="21">
        <f>I17+I20+I21</f>
        <v/>
      </c>
    </row>
    <row r="23">
      <c r="A23" s="6" t="inlineStr">
        <is>
          <t>Income taxes</t>
        </is>
      </c>
      <c r="B23" s="9" t="n">
        <v>-493.2</v>
      </c>
      <c r="C23" s="9" t="n">
        <v>-939.2</v>
      </c>
      <c r="D23" s="9" t="n">
        <v>-1086.1</v>
      </c>
      <c r="E23" s="14">
        <f>-E22*Assumptions!$B$7</f>
        <v/>
      </c>
      <c r="F23" s="14">
        <f>-F22*Assumptions!$B$7</f>
        <v/>
      </c>
      <c r="G23" s="14">
        <f>-G22*Assumptions!$B$7</f>
        <v/>
      </c>
      <c r="H23" s="14">
        <f>-H22*Assumptions!$B$7</f>
        <v/>
      </c>
      <c r="I23" s="14">
        <f>-I22*Assumptions!$B$7</f>
        <v/>
      </c>
    </row>
    <row r="24">
      <c r="A24" s="17" t="inlineStr">
        <is>
          <t>Net profit before minority interest</t>
        </is>
      </c>
      <c r="B24" s="24" t="n">
        <v>1811.2</v>
      </c>
      <c r="C24" s="24" t="n">
        <v>3059.9</v>
      </c>
      <c r="D24" s="24" t="n">
        <v>2780.5</v>
      </c>
      <c r="E24" s="21">
        <f>E22+E23</f>
        <v/>
      </c>
      <c r="F24" s="21">
        <f>F22+F23</f>
        <v/>
      </c>
      <c r="G24" s="21">
        <f>G22+G23</f>
        <v/>
      </c>
      <c r="H24" s="21">
        <f>H22+H23</f>
        <v/>
      </c>
      <c r="I24" s="21">
        <f>I22+I23</f>
        <v/>
      </c>
    </row>
    <row r="25">
      <c r="A25" s="6" t="inlineStr">
        <is>
          <t>Minority interest</t>
        </is>
      </c>
      <c r="B25" s="9" t="n">
        <v>79.5</v>
      </c>
      <c r="C25" s="9" t="n">
        <v>-131.8</v>
      </c>
      <c r="D25" s="9" t="n">
        <v>99.59999999999999</v>
      </c>
      <c r="E25" s="14">
        <f>E24*Assumptions!$C$70</f>
        <v/>
      </c>
      <c r="F25" s="14">
        <f>F24*Assumptions!$D$70</f>
        <v/>
      </c>
      <c r="G25" s="14">
        <f>G24*Assumptions!$E$70</f>
        <v/>
      </c>
      <c r="H25" s="14">
        <f>H24*Assumptions!$F$70</f>
        <v/>
      </c>
      <c r="I25" s="14">
        <f>I24*Assumptions!$G$70</f>
        <v/>
      </c>
    </row>
    <row r="26">
      <c r="A26" s="17" t="inlineStr">
        <is>
          <t>Net profit (attributable)</t>
        </is>
      </c>
      <c r="B26" s="24" t="n">
        <v>1890.8</v>
      </c>
      <c r="C26" s="24" t="n">
        <v>2928.1</v>
      </c>
      <c r="D26" s="24" t="n">
        <v>2880</v>
      </c>
      <c r="E26" s="21">
        <f>E24+E25</f>
        <v/>
      </c>
      <c r="F26" s="21">
        <f>F24+F25</f>
        <v/>
      </c>
      <c r="G26" s="21">
        <f>G24+G25</f>
        <v/>
      </c>
      <c r="H26" s="21">
        <f>H24+H25</f>
        <v/>
      </c>
      <c r="I26" s="21">
        <f>I24+I25</f>
        <v/>
      </c>
    </row>
    <row r="27">
      <c r="A27" s="6" t="inlineStr">
        <is>
          <t>Net profit margin</t>
        </is>
      </c>
      <c r="B27" s="12">
        <f>B26/B9</f>
        <v/>
      </c>
      <c r="C27" s="12">
        <f>C26/C9</f>
        <v/>
      </c>
      <c r="D27" s="12">
        <f>D26/D9</f>
        <v/>
      </c>
      <c r="E27" s="12">
        <f>E26/E9</f>
        <v/>
      </c>
      <c r="F27" s="12">
        <f>F26/F9</f>
        <v/>
      </c>
      <c r="G27" s="12">
        <f>G26/G9</f>
        <v/>
      </c>
      <c r="H27" s="12">
        <f>H26/H9</f>
        <v/>
      </c>
      <c r="I27" s="12">
        <f>I26/I9</f>
        <v/>
      </c>
    </row>
    <row r="29">
      <c r="A29" s="8" t="inlineStr">
        <is>
          <t>Source: GB Corp 4Q23 / 4Q24 / 4Q25 earnings releases, Table 1 &amp; Table 11 (segment IS). FY23 operating profit shown after provisions for cross-year consistency with the FY25 layout.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Balance sheet (EGP mn, consolidated)</t>
        </is>
      </c>
      <c r="B1" s="2" t="n"/>
      <c r="C1" s="2" t="n"/>
      <c r="D1" s="2" t="n"/>
      <c r="E1" s="2" t="n"/>
      <c r="F1" s="2" t="n"/>
      <c r="G1" s="2" t="n"/>
      <c r="H1" s="2" t="n"/>
      <c r="I1" s="2" t="n"/>
      <c r="J1" s="2" t="n"/>
    </row>
    <row r="2">
      <c r="A2" s="4" t="inlineStr">
        <is>
          <t>FY23–FY25 grouped from the disclosed segment balance sheets to a house layout (blue). Forecast rolls forward; the check row is zero by clean-surplus construction.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PP&amp;E, intangibles, ROU &amp; inv. property</t>
        </is>
      </c>
      <c r="B6" s="9" t="n">
        <v>6937.4</v>
      </c>
      <c r="C6" s="9" t="n">
        <v>10360.6</v>
      </c>
      <c r="D6" s="9" t="n">
        <v>13389.1</v>
      </c>
      <c r="E6" s="20">
        <f>D6+Assumptions!$C$57+Assumptions!$C$58-'Income Statement'!E18</f>
        <v/>
      </c>
      <c r="F6" s="20">
        <f>E6+Assumptions!$D$57+Assumptions!$D$58-'Income Statement'!F18</f>
        <v/>
      </c>
      <c r="G6" s="20">
        <f>F6+Assumptions!$E$57+Assumptions!$E$58-'Income Statement'!G18</f>
        <v/>
      </c>
      <c r="H6" s="20">
        <f>G6+Assumptions!$F$57+Assumptions!$F$58-'Income Statement'!H18</f>
        <v/>
      </c>
      <c r="I6" s="20">
        <f>H6+Assumptions!$G$57+Assumptions!$G$58-'Income Statement'!I18</f>
        <v/>
      </c>
    </row>
    <row r="7">
      <c r="A7" s="6" t="inlineStr">
        <is>
          <t>Investments in associates (MNT-Halan, Bedaya, Kaf)</t>
        </is>
      </c>
      <c r="B7" s="9" t="n">
        <v>10732.4</v>
      </c>
      <c r="C7" s="9" t="n">
        <v>11743.6</v>
      </c>
      <c r="D7" s="9" t="n">
        <v>13689.5</v>
      </c>
      <c r="E7" s="14">
        <f>D7+Assumptions!$C$68</f>
        <v/>
      </c>
      <c r="F7" s="14">
        <f>E7+Assumptions!$D$68</f>
        <v/>
      </c>
      <c r="G7" s="14">
        <f>F7+Assumptions!$E$68</f>
        <v/>
      </c>
      <c r="H7" s="14">
        <f>G7+Assumptions!$F$68</f>
        <v/>
      </c>
      <c r="I7" s="14">
        <f>H7+Assumptions!$G$68</f>
        <v/>
      </c>
    </row>
    <row r="8">
      <c r="A8" s="6" t="inlineStr">
        <is>
          <t>GB Capital loan book (on balance sheet)</t>
        </is>
      </c>
      <c r="B8" s="9" t="n">
        <v>7681.4</v>
      </c>
      <c r="C8" s="9" t="n">
        <v>11483</v>
      </c>
      <c r="D8" s="9" t="n">
        <v>17518.3</v>
      </c>
      <c r="E8" s="14">
        <f>D8*(1+Assumptions!$C$51)</f>
        <v/>
      </c>
      <c r="F8" s="14">
        <f>E8*(1+Assumptions!$D$51)</f>
        <v/>
      </c>
      <c r="G8" s="14">
        <f>F8*(1+Assumptions!$E$51)</f>
        <v/>
      </c>
      <c r="H8" s="14">
        <f>G8*(1+Assumptions!$F$51)</f>
        <v/>
      </c>
      <c r="I8" s="14">
        <f>H8*(1+Assumptions!$G$51)</f>
        <v/>
      </c>
    </row>
    <row r="9">
      <c r="A9" s="6" t="inlineStr">
        <is>
          <t>Inventories</t>
        </is>
      </c>
      <c r="B9" s="9" t="n">
        <v>6366.1</v>
      </c>
      <c r="C9" s="9" t="n">
        <v>21134.3</v>
      </c>
      <c r="D9" s="9" t="n">
        <v>24649.7</v>
      </c>
      <c r="E9" s="20">
        <f>Segments!E16*Assumptions!$C$60</f>
        <v/>
      </c>
      <c r="F9" s="20">
        <f>Segments!F16*Assumptions!$D$60</f>
        <v/>
      </c>
      <c r="G9" s="20">
        <f>Segments!G16*Assumptions!$E$60</f>
        <v/>
      </c>
      <c r="H9" s="20">
        <f>Segments!H16*Assumptions!$F$60</f>
        <v/>
      </c>
      <c r="I9" s="20">
        <f>Segments!I16*Assumptions!$G$60</f>
        <v/>
      </c>
    </row>
    <row r="10">
      <c r="A10" s="6" t="inlineStr">
        <is>
          <t>Trade receivables — Auto</t>
        </is>
      </c>
      <c r="B10" s="9" t="n">
        <v>1743.5</v>
      </c>
      <c r="C10" s="9" t="n">
        <v>3708.7</v>
      </c>
      <c r="D10" s="9" t="n">
        <v>5316.9</v>
      </c>
      <c r="E10" s="20">
        <f>Segments!E16*Assumptions!$C$61</f>
        <v/>
      </c>
      <c r="F10" s="20">
        <f>Segments!F16*Assumptions!$D$61</f>
        <v/>
      </c>
      <c r="G10" s="20">
        <f>Segments!G16*Assumptions!$E$61</f>
        <v/>
      </c>
      <c r="H10" s="20">
        <f>Segments!H16*Assumptions!$F$61</f>
        <v/>
      </c>
      <c r="I10" s="20">
        <f>Segments!I16*Assumptions!$G$61</f>
        <v/>
      </c>
    </row>
    <row r="11">
      <c r="A11" s="6" t="inlineStr">
        <is>
          <t>Advances, debtors &amp; other current</t>
        </is>
      </c>
      <c r="B11" s="9" t="n">
        <v>1039.1</v>
      </c>
      <c r="C11" s="9" t="n">
        <v>2942.2</v>
      </c>
      <c r="D11" s="9" t="n">
        <v>4670.6</v>
      </c>
      <c r="E11" s="20">
        <f>Segments!E16*Assumptions!$C$62</f>
        <v/>
      </c>
      <c r="F11" s="20">
        <f>Segments!F16*Assumptions!$D$62</f>
        <v/>
      </c>
      <c r="G11" s="20">
        <f>Segments!G16*Assumptions!$E$62</f>
        <v/>
      </c>
      <c r="H11" s="20">
        <f>Segments!H16*Assumptions!$F$62</f>
        <v/>
      </c>
      <c r="I11" s="20">
        <f>Segments!I16*Assumptions!$G$62</f>
        <v/>
      </c>
    </row>
    <row r="12">
      <c r="A12" s="6" t="inlineStr">
        <is>
          <t>Cash &amp; cash equivalents</t>
        </is>
      </c>
      <c r="B12" s="9" t="n">
        <v>4504.2</v>
      </c>
      <c r="C12" s="9" t="n">
        <v>7420.9</v>
      </c>
      <c r="D12" s="9" t="n">
        <v>9523.6</v>
      </c>
      <c r="E12" s="20">
        <f>'Cash Flow'!E18</f>
        <v/>
      </c>
      <c r="F12" s="20">
        <f>'Cash Flow'!F18</f>
        <v/>
      </c>
      <c r="G12" s="20">
        <f>'Cash Flow'!G18</f>
        <v/>
      </c>
      <c r="H12" s="20">
        <f>'Cash Flow'!H18</f>
        <v/>
      </c>
      <c r="I12" s="20">
        <f>'Cash Flow'!I18</f>
        <v/>
      </c>
    </row>
    <row r="13">
      <c r="A13" s="6" t="inlineStr">
        <is>
          <t>Other assets (DTA, held-for-sale, misc.)</t>
        </is>
      </c>
      <c r="B13" s="9" t="n">
        <v>3581.4</v>
      </c>
      <c r="C13" s="9" t="n">
        <v>3931.9</v>
      </c>
      <c r="D13" s="9" t="n">
        <v>2601.3</v>
      </c>
      <c r="E13" s="14">
        <f>D13</f>
        <v/>
      </c>
      <c r="F13" s="14">
        <f>E13</f>
        <v/>
      </c>
      <c r="G13" s="14">
        <f>F13</f>
        <v/>
      </c>
      <c r="H13" s="14">
        <f>G13</f>
        <v/>
      </c>
      <c r="I13" s="14">
        <f>H13</f>
        <v/>
      </c>
    </row>
    <row r="14">
      <c r="A14" s="17" t="inlineStr">
        <is>
          <t>TOTAL ASSETS</t>
        </is>
      </c>
      <c r="B14" s="25">
        <f>SUM(B6:B13)</f>
        <v/>
      </c>
      <c r="C14" s="25">
        <f>SUM(C6:C13)</f>
        <v/>
      </c>
      <c r="D14" s="25">
        <f>SUM(D6:D13)</f>
        <v/>
      </c>
      <c r="E14" s="21">
        <f>SUM(E6:E13)</f>
        <v/>
      </c>
      <c r="F14" s="21">
        <f>SUM(F6:F13)</f>
        <v/>
      </c>
      <c r="G14" s="21">
        <f>SUM(G6:G13)</f>
        <v/>
      </c>
      <c r="H14" s="21">
        <f>SUM(H6:H13)</f>
        <v/>
      </c>
      <c r="I14" s="21">
        <f>SUM(I6:I13)</f>
        <v/>
      </c>
    </row>
    <row r="16">
      <c r="A16" s="6" t="inlineStr">
        <is>
          <t>Equity attributable to shareholders</t>
        </is>
      </c>
      <c r="B16" s="9" t="n">
        <v>19838.8</v>
      </c>
      <c r="C16" s="9" t="n">
        <v>25438.5</v>
      </c>
      <c r="D16" s="9" t="n">
        <v>28788.7</v>
      </c>
      <c r="E16" s="20">
        <f>D16+'Income Statement'!E26+'Cash Flow'!E15</f>
        <v/>
      </c>
      <c r="F16" s="20">
        <f>E16+'Income Statement'!F26+'Cash Flow'!F15</f>
        <v/>
      </c>
      <c r="G16" s="20">
        <f>F16+'Income Statement'!G26+'Cash Flow'!G15</f>
        <v/>
      </c>
      <c r="H16" s="20">
        <f>G16+'Income Statement'!H26+'Cash Flow'!H15</f>
        <v/>
      </c>
      <c r="I16" s="20">
        <f>H16+'Income Statement'!I26+'Cash Flow'!I15</f>
        <v/>
      </c>
    </row>
    <row r="17">
      <c r="A17" s="6" t="inlineStr">
        <is>
          <t>Non-controlling interests</t>
        </is>
      </c>
      <c r="B17" s="9" t="n">
        <v>1363</v>
      </c>
      <c r="C17" s="9" t="n">
        <v>1978.4</v>
      </c>
      <c r="D17" s="9" t="n">
        <v>1801.4</v>
      </c>
      <c r="E17" s="20">
        <f>D17-'Income Statement'!E25</f>
        <v/>
      </c>
      <c r="F17" s="20">
        <f>E17-'Income Statement'!F25</f>
        <v/>
      </c>
      <c r="G17" s="20">
        <f>F17-'Income Statement'!G25</f>
        <v/>
      </c>
      <c r="H17" s="20">
        <f>G17-'Income Statement'!H25</f>
        <v/>
      </c>
      <c r="I17" s="20">
        <f>H17-'Income Statement'!I25</f>
        <v/>
      </c>
    </row>
    <row r="18">
      <c r="A18" s="17" t="inlineStr">
        <is>
          <t>Total equity</t>
        </is>
      </c>
      <c r="B18" s="21" t="n">
        <v>21201.8</v>
      </c>
      <c r="C18" s="21" t="n">
        <v>27417</v>
      </c>
      <c r="D18" s="21" t="n">
        <v>30590.2</v>
      </c>
      <c r="E18" s="21">
        <f>E16+E17</f>
        <v/>
      </c>
      <c r="F18" s="21">
        <f>F16+F17</f>
        <v/>
      </c>
      <c r="G18" s="21">
        <f>G16+G17</f>
        <v/>
      </c>
      <c r="H18" s="21">
        <f>H16+H17</f>
        <v/>
      </c>
      <c r="I18" s="21">
        <f>I16+I17</f>
        <v/>
      </c>
    </row>
    <row r="19">
      <c r="A19" s="6" t="inlineStr">
        <is>
          <t>Borrowings (loans, overdrafts &amp; bonds)</t>
        </is>
      </c>
      <c r="B19" s="9" t="n">
        <v>12517.7</v>
      </c>
      <c r="C19" s="9" t="n">
        <v>22608.7</v>
      </c>
      <c r="D19" s="9" t="n">
        <v>38041.4</v>
      </c>
      <c r="E19" s="14">
        <f>D19+Assumptions!$C$71</f>
        <v/>
      </c>
      <c r="F19" s="14">
        <f>E19+Assumptions!$D$71</f>
        <v/>
      </c>
      <c r="G19" s="14">
        <f>F19+Assumptions!$E$71</f>
        <v/>
      </c>
      <c r="H19" s="14">
        <f>G19+Assumptions!$F$71</f>
        <v/>
      </c>
      <c r="I19" s="14">
        <f>H19+Assumptions!$G$71</f>
        <v/>
      </c>
    </row>
    <row r="20">
      <c r="A20" s="6" t="inlineStr">
        <is>
          <t>Trade &amp; notes payables</t>
        </is>
      </c>
      <c r="B20" s="9" t="n">
        <v>7398.7</v>
      </c>
      <c r="C20" s="9" t="n">
        <v>19717.6</v>
      </c>
      <c r="D20" s="9" t="n">
        <v>18436.5</v>
      </c>
      <c r="E20" s="20">
        <f>Segments!E16*Assumptions!$C$63+2716.3</f>
        <v/>
      </c>
      <c r="F20" s="20">
        <f>Segments!F16*Assumptions!$D$63+2716.3</f>
        <v/>
      </c>
      <c r="G20" s="20">
        <f>Segments!G16*Assumptions!$E$63+2716.3</f>
        <v/>
      </c>
      <c r="H20" s="20">
        <f>Segments!H16*Assumptions!$F$63+2716.3</f>
        <v/>
      </c>
      <c r="I20" s="20">
        <f>Segments!I16*Assumptions!$G$63+2716.3</f>
        <v/>
      </c>
    </row>
    <row r="21">
      <c r="A21" s="6" t="inlineStr">
        <is>
          <t>Lease obligations</t>
        </is>
      </c>
      <c r="B21" s="9" t="n">
        <v>371.3</v>
      </c>
      <c r="C21" s="9" t="n">
        <v>1123.8</v>
      </c>
      <c r="D21" s="9" t="n">
        <v>1554.3</v>
      </c>
      <c r="E21" s="14">
        <f>D21</f>
        <v/>
      </c>
      <c r="F21" s="14">
        <f>E21</f>
        <v/>
      </c>
      <c r="G21" s="14">
        <f>F21</f>
        <v/>
      </c>
      <c r="H21" s="14">
        <f>G21</f>
        <v/>
      </c>
      <c r="I21" s="14">
        <f>H21</f>
        <v/>
      </c>
    </row>
    <row r="22">
      <c r="A22" s="6" t="inlineStr">
        <is>
          <t>Provisions</t>
        </is>
      </c>
      <c r="B22" s="9" t="n">
        <v>347.7</v>
      </c>
      <c r="C22" s="9" t="n">
        <v>709.9</v>
      </c>
      <c r="D22" s="9" t="n">
        <v>794.9</v>
      </c>
      <c r="E22" s="14">
        <f>D22</f>
        <v/>
      </c>
      <c r="F22" s="14">
        <f>E22</f>
        <v/>
      </c>
      <c r="G22" s="14">
        <f>F22</f>
        <v/>
      </c>
      <c r="H22" s="14">
        <f>G22</f>
        <v/>
      </c>
      <c r="I22" s="14">
        <f>H22</f>
        <v/>
      </c>
    </row>
    <row r="23">
      <c r="A23" s="6" t="inlineStr">
        <is>
          <t>Other liabilities</t>
        </is>
      </c>
      <c r="B23" s="9" t="n">
        <v>415.2</v>
      </c>
      <c r="C23" s="9" t="n">
        <v>746.2</v>
      </c>
      <c r="D23" s="9" t="n">
        <v>1178.2</v>
      </c>
      <c r="E23" s="14">
        <f>D23</f>
        <v/>
      </c>
      <c r="F23" s="14">
        <f>E23</f>
        <v/>
      </c>
      <c r="G23" s="14">
        <f>F23</f>
        <v/>
      </c>
      <c r="H23" s="14">
        <f>G23</f>
        <v/>
      </c>
      <c r="I23" s="14">
        <f>H23</f>
        <v/>
      </c>
    </row>
    <row r="24">
      <c r="A24" s="6" t="inlineStr">
        <is>
          <t>Deferred tax liabilities</t>
        </is>
      </c>
      <c r="B24" s="9" t="n">
        <v>333.1</v>
      </c>
      <c r="C24" s="9" t="n">
        <v>402</v>
      </c>
      <c r="D24" s="9" t="n">
        <v>763.5</v>
      </c>
      <c r="E24" s="14">
        <f>D24</f>
        <v/>
      </c>
      <c r="F24" s="14">
        <f>E24</f>
        <v/>
      </c>
      <c r="G24" s="14">
        <f>F24</f>
        <v/>
      </c>
      <c r="H24" s="14">
        <f>G24</f>
        <v/>
      </c>
      <c r="I24" s="14">
        <f>H24</f>
        <v/>
      </c>
    </row>
    <row r="25">
      <c r="A25" s="17" t="inlineStr">
        <is>
          <t>TOTAL EQUITY &amp; LIABILITIES</t>
        </is>
      </c>
      <c r="B25" s="25">
        <f>B18+SUM(B19:B24)</f>
        <v/>
      </c>
      <c r="C25" s="25">
        <f>C18+SUM(C19:C24)</f>
        <v/>
      </c>
      <c r="D25" s="25">
        <f>D18+SUM(D19:D24)</f>
        <v/>
      </c>
      <c r="E25" s="25">
        <f>E18+SUM(E19:E24)</f>
        <v/>
      </c>
      <c r="F25" s="25">
        <f>F18+SUM(F19:F24)</f>
        <v/>
      </c>
      <c r="G25" s="25">
        <f>G18+SUM(G19:G24)</f>
        <v/>
      </c>
      <c r="H25" s="25">
        <f>H18+SUM(H19:H24)</f>
        <v/>
      </c>
      <c r="I25" s="25">
        <f>I18+SUM(I19:I24)</f>
        <v/>
      </c>
    </row>
    <row r="27">
      <c r="A27" s="17" t="inlineStr">
        <is>
          <t>Balance check (assets − L&amp;E)</t>
        </is>
      </c>
      <c r="B27" s="26">
        <f>B14-B25</f>
        <v/>
      </c>
      <c r="C27" s="26">
        <f>C14-C25</f>
        <v/>
      </c>
      <c r="D27" s="26">
        <f>D14-D25</f>
        <v/>
      </c>
      <c r="E27" s="21">
        <f>E14-E25</f>
        <v/>
      </c>
      <c r="F27" s="21">
        <f>F14-F25</f>
        <v/>
      </c>
      <c r="G27" s="21">
        <f>G14-G25</f>
        <v/>
      </c>
      <c r="H27" s="21">
        <f>H14-H25</f>
        <v/>
      </c>
      <c r="I27" s="21">
        <f>I14-I25</f>
        <v/>
      </c>
    </row>
    <row r="28">
      <c r="A28" s="6" t="inlineStr">
        <is>
          <t>Group net debt (borrowings − cash)</t>
        </is>
      </c>
      <c r="B28">
        <f>B19-B12</f>
        <v/>
      </c>
      <c r="C28">
        <f>C19-C12</f>
        <v/>
      </c>
      <c r="D28">
        <f>D19-D12</f>
        <v/>
      </c>
      <c r="E28" s="14">
        <f>E19-E12</f>
        <v/>
      </c>
      <c r="F28" s="14">
        <f>F19-F12</f>
        <v/>
      </c>
      <c r="G28" s="14">
        <f>G19-G12</f>
        <v/>
      </c>
      <c r="H28" s="14">
        <f>H19-H12</f>
        <v/>
      </c>
      <c r="I28" s="14">
        <f>I19-I12</f>
        <v/>
      </c>
    </row>
    <row r="30">
      <c r="A30" s="6" t="inlineStr">
        <is>
          <t>Net Auto working capital (inv + rec + adv − pay)</t>
        </is>
      </c>
      <c r="B30" s="26">
        <f>B9+B10+B11-(B20-2716.3)</f>
        <v/>
      </c>
      <c r="C30" s="26">
        <f>C9+C10+C11-(C20-2716.3)</f>
        <v/>
      </c>
      <c r="D30" s="26">
        <f>D9+D10+D11-(D20-2716.3)</f>
        <v/>
      </c>
      <c r="E30" s="14">
        <f>E9+E10+E11-(E20-2716.3)</f>
        <v/>
      </c>
      <c r="F30" s="14">
        <f>F9+F10+F11-(F20-2716.3)</f>
        <v/>
      </c>
      <c r="G30" s="14">
        <f>G9+G10+G11-(G20-2716.3)</f>
        <v/>
      </c>
      <c r="H30" s="14">
        <f>H9+H10+H11-(H20-2716.3)</f>
        <v/>
      </c>
      <c r="I30" s="14">
        <f>I9+I10+I11-(I20-2716.3)</f>
        <v/>
      </c>
    </row>
    <row r="31">
      <c r="A31" s="6" t="inlineStr">
        <is>
          <t>Increase in net Auto working capital</t>
        </is>
      </c>
      <c r="E31" s="14">
        <f>E30-D30</f>
        <v/>
      </c>
      <c r="F31" s="14">
        <f>F30-E30</f>
        <v/>
      </c>
      <c r="G31" s="14">
        <f>G30-F30</f>
        <v/>
      </c>
      <c r="H31" s="14">
        <f>H30-G30</f>
        <v/>
      </c>
      <c r="I31" s="14">
        <f>I30-H30</f>
        <v/>
      </c>
    </row>
    <row r="33">
      <c r="A33" s="8" t="inlineStr">
        <is>
          <t>Historic mapping note: lines grouped from the disclosed 4Q23/4Q24/4Q25 segment balance sheets (Table 12/13). "GB Capital loan book (on BS)" = notes receivable + GB Capital trade receivables net of eliminations; the disclosed portfolio metric (EGP 19.5bn FY25) differs by provisions and presentation. Payables forecast holds the non-Auto payables block (EGP 2,716mn) flat.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Cash flow (EGP mn, forecast)</t>
        </is>
      </c>
      <c r="B1" s="2" t="n"/>
      <c r="C1" s="2" t="n"/>
      <c r="D1" s="2" t="n"/>
      <c r="E1" s="2" t="n"/>
      <c r="F1" s="2" t="n"/>
      <c r="G1" s="2" t="n"/>
      <c r="H1" s="2" t="n"/>
      <c r="I1" s="2" t="n"/>
      <c r="J1" s="2" t="n"/>
    </row>
    <row r="2">
      <c r="A2" s="4" t="inlineStr">
        <is>
          <t>Derived from the Income Statement and Balance Sheet. Closing cash ties to the Balance Sheet; every balance-sheet movement is captured, so the check row is zero.</t>
        </is>
      </c>
    </row>
    <row r="4">
      <c r="D4" s="5" t="inlineStr"/>
      <c r="E4" s="5" t="inlineStr">
        <is>
          <t>FY26E</t>
        </is>
      </c>
      <c r="F4" s="5" t="inlineStr">
        <is>
          <t>FY27E</t>
        </is>
      </c>
      <c r="G4" s="5" t="inlineStr">
        <is>
          <t>FY28E</t>
        </is>
      </c>
      <c r="H4" s="5" t="inlineStr">
        <is>
          <t>FY29E</t>
        </is>
      </c>
      <c r="I4" s="5" t="inlineStr">
        <is>
          <t>FY30E</t>
        </is>
      </c>
    </row>
    <row r="6">
      <c r="A6" s="6" t="inlineStr">
        <is>
          <t>Net profit before minority interest</t>
        </is>
      </c>
      <c r="E6" s="20">
        <f>'Income Statement'!E24</f>
        <v/>
      </c>
      <c r="F6" s="20">
        <f>'Income Statement'!F24</f>
        <v/>
      </c>
      <c r="G6" s="20">
        <f>'Income Statement'!G24</f>
        <v/>
      </c>
      <c r="H6" s="20">
        <f>'Income Statement'!H24</f>
        <v/>
      </c>
      <c r="I6" s="20">
        <f>'Income Statement'!I24</f>
        <v/>
      </c>
    </row>
    <row r="7">
      <c r="A7" s="6" t="inlineStr">
        <is>
          <t>+ D&amp;A</t>
        </is>
      </c>
      <c r="E7" s="20">
        <f>'Income Statement'!E18</f>
        <v/>
      </c>
      <c r="F7" s="20">
        <f>'Income Statement'!F18</f>
        <v/>
      </c>
      <c r="G7" s="20">
        <f>'Income Statement'!G18</f>
        <v/>
      </c>
      <c r="H7" s="20">
        <f>'Income Statement'!H18</f>
        <v/>
      </c>
      <c r="I7" s="20">
        <f>'Income Statement'!I18</f>
        <v/>
      </c>
    </row>
    <row r="8">
      <c r="A8" s="6" t="inlineStr">
        <is>
          <t>− Associates income (non-cash)</t>
        </is>
      </c>
      <c r="E8" s="20">
        <f>-'Income Statement'!E16</f>
        <v/>
      </c>
      <c r="F8" s="20">
        <f>-'Income Statement'!F16</f>
        <v/>
      </c>
      <c r="G8" s="20">
        <f>-'Income Statement'!G16</f>
        <v/>
      </c>
      <c r="H8" s="20">
        <f>-'Income Statement'!H16</f>
        <v/>
      </c>
      <c r="I8" s="20">
        <f>-'Income Statement'!I16</f>
        <v/>
      </c>
    </row>
    <row r="9">
      <c r="A9" s="6" t="inlineStr">
        <is>
          <t>− Increase in net Auto working capital</t>
        </is>
      </c>
      <c r="E9" s="20">
        <f>-'Balance Sheet'!E31</f>
        <v/>
      </c>
      <c r="F9" s="20">
        <f>-'Balance Sheet'!F31</f>
        <v/>
      </c>
      <c r="G9" s="20">
        <f>-'Balance Sheet'!G31</f>
        <v/>
      </c>
      <c r="H9" s="20">
        <f>-'Balance Sheet'!H31</f>
        <v/>
      </c>
      <c r="I9" s="20">
        <f>-'Balance Sheet'!I31</f>
        <v/>
      </c>
    </row>
    <row r="10">
      <c r="A10" s="6" t="inlineStr">
        <is>
          <t>− Increase in GB Capital loan book</t>
        </is>
      </c>
      <c r="E10" s="20">
        <f>-('Balance Sheet'!E8-'Balance Sheet'!D8)</f>
        <v/>
      </c>
      <c r="F10" s="20">
        <f>-('Balance Sheet'!F8-'Balance Sheet'!E8)</f>
        <v/>
      </c>
      <c r="G10" s="20">
        <f>-('Balance Sheet'!G8-'Balance Sheet'!F8)</f>
        <v/>
      </c>
      <c r="H10" s="20">
        <f>-('Balance Sheet'!H8-'Balance Sheet'!G8)</f>
        <v/>
      </c>
      <c r="I10" s="20">
        <f>-('Balance Sheet'!I8-'Balance Sheet'!H8)</f>
        <v/>
      </c>
    </row>
    <row r="11">
      <c r="A11" s="17" t="inlineStr">
        <is>
          <t>Operating cash flow</t>
        </is>
      </c>
      <c r="E11" s="21">
        <f>SUM(E6:E10)</f>
        <v/>
      </c>
      <c r="F11" s="21">
        <f>SUM(F6:F10)</f>
        <v/>
      </c>
      <c r="G11" s="21">
        <f>SUM(G6:G10)</f>
        <v/>
      </c>
      <c r="H11" s="21">
        <f>SUM(H6:H10)</f>
        <v/>
      </c>
      <c r="I11" s="21">
        <f>SUM(I6:I10)</f>
        <v/>
      </c>
    </row>
    <row r="12">
      <c r="A12" s="6" t="inlineStr">
        <is>
          <t>− Capex (Auto + rental fleet)</t>
        </is>
      </c>
      <c r="E12" s="20">
        <f>-Assumptions!$C$57-Assumptions!$C$58</f>
        <v/>
      </c>
      <c r="F12" s="20">
        <f>-Assumptions!$D$57-Assumptions!$D$58</f>
        <v/>
      </c>
      <c r="G12" s="20">
        <f>-Assumptions!$E$57-Assumptions!$E$58</f>
        <v/>
      </c>
      <c r="H12" s="20">
        <f>-Assumptions!$F$57-Assumptions!$F$58</f>
        <v/>
      </c>
      <c r="I12" s="20">
        <f>-Assumptions!$G$57-Assumptions!$G$58</f>
        <v/>
      </c>
    </row>
    <row r="13">
      <c r="A13" s="17" t="inlineStr">
        <is>
          <t>Free cash flow</t>
        </is>
      </c>
      <c r="E13" s="21">
        <f>E11+E12</f>
        <v/>
      </c>
      <c r="F13" s="21">
        <f>F11+F12</f>
        <v/>
      </c>
      <c r="G13" s="21">
        <f>G11+G12</f>
        <v/>
      </c>
      <c r="H13" s="21">
        <f>H11+H12</f>
        <v/>
      </c>
      <c r="I13" s="21">
        <f>I11+I12</f>
        <v/>
      </c>
    </row>
    <row r="14">
      <c r="A14" s="6" t="inlineStr">
        <is>
          <t>+ Increase in borrowings (net)</t>
        </is>
      </c>
      <c r="E14" s="20">
        <f>Assumptions!$C$71</f>
        <v/>
      </c>
      <c r="F14" s="20">
        <f>Assumptions!$D$71</f>
        <v/>
      </c>
      <c r="G14" s="20">
        <f>Assumptions!$E$71</f>
        <v/>
      </c>
      <c r="H14" s="20">
        <f>Assumptions!$F$71</f>
        <v/>
      </c>
      <c r="I14" s="20">
        <f>Assumptions!$G$71</f>
        <v/>
      </c>
    </row>
    <row r="15">
      <c r="A15" s="6" t="inlineStr">
        <is>
          <t>− Dividends paid</t>
        </is>
      </c>
      <c r="E15" s="20">
        <f>-'Income Statement'!E26*Assumptions!$C$72</f>
        <v/>
      </c>
      <c r="F15" s="20">
        <f>-'Income Statement'!F26*Assumptions!$D$72</f>
        <v/>
      </c>
      <c r="G15" s="20">
        <f>-'Income Statement'!G26*Assumptions!$E$72</f>
        <v/>
      </c>
      <c r="H15" s="20">
        <f>-'Income Statement'!H26*Assumptions!$F$72</f>
        <v/>
      </c>
      <c r="I15" s="20">
        <f>-'Income Statement'!I26*Assumptions!$G$72</f>
        <v/>
      </c>
    </row>
    <row r="16">
      <c r="A16" s="17" t="inlineStr">
        <is>
          <t>Net change in cash</t>
        </is>
      </c>
      <c r="E16" s="21">
        <f>E13+E14+E15</f>
        <v/>
      </c>
      <c r="F16" s="21">
        <f>F13+F14+F15</f>
        <v/>
      </c>
      <c r="G16" s="21">
        <f>G13+G14+G15</f>
        <v/>
      </c>
      <c r="H16" s="21">
        <f>H13+H14+H15</f>
        <v/>
      </c>
      <c r="I16" s="21">
        <f>I13+I14+I15</f>
        <v/>
      </c>
    </row>
    <row r="17">
      <c r="A17" s="6" t="inlineStr">
        <is>
          <t>Opening cash</t>
        </is>
      </c>
      <c r="E17" s="20">
        <f>'Balance Sheet'!D12</f>
        <v/>
      </c>
      <c r="F17" s="14">
        <f>E18</f>
        <v/>
      </c>
      <c r="G17" s="14">
        <f>F18</f>
        <v/>
      </c>
      <c r="H17" s="14">
        <f>G18</f>
        <v/>
      </c>
      <c r="I17" s="14">
        <f>H18</f>
        <v/>
      </c>
    </row>
    <row r="18">
      <c r="A18" s="17" t="inlineStr">
        <is>
          <t>Closing cash</t>
        </is>
      </c>
      <c r="E18" s="21">
        <f>E17+E16</f>
        <v/>
      </c>
      <c r="F18" s="21">
        <f>F17+F16</f>
        <v/>
      </c>
      <c r="G18" s="21">
        <f>G17+G16</f>
        <v/>
      </c>
      <c r="H18" s="21">
        <f>H17+H16</f>
        <v/>
      </c>
      <c r="I18" s="21">
        <f>I17+I16</f>
        <v/>
      </c>
    </row>
    <row r="20">
      <c r="A20" s="8" t="inlineStr">
        <is>
          <t>Historical group cash-flow statements are published per segment (GB Auto CF in each release); the forecast is the consolidated clean-surplus build.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 (EGP mn)</t>
        </is>
      </c>
      <c r="B1" s="2" t="n"/>
      <c r="C1" s="2" t="n"/>
      <c r="D1" s="2" t="n"/>
      <c r="E1" s="2" t="n"/>
      <c r="F1" s="2" t="n"/>
      <c r="G1" s="2" t="n"/>
      <c r="H1" s="2" t="n"/>
      <c r="I1" s="2" t="n"/>
      <c r="J1" s="2" t="n"/>
    </row>
    <row r="2">
      <c r="A2" s="4" t="inlineStr">
        <is>
          <t>Every cell links to the statement sheets.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4" t="inlineStr">
        <is>
          <t>Revenue</t>
        </is>
      </c>
      <c r="B6" s="20">
        <f>'Income Statement'!B9</f>
        <v/>
      </c>
      <c r="C6" s="20">
        <f>'Income Statement'!C9</f>
        <v/>
      </c>
      <c r="D6" s="20">
        <f>'Income Statement'!D9</f>
        <v/>
      </c>
      <c r="E6" s="20">
        <f>'Income Statement'!E9</f>
        <v/>
      </c>
      <c r="F6" s="20">
        <f>'Income Statement'!F9</f>
        <v/>
      </c>
      <c r="G6" s="20">
        <f>'Income Statement'!G9</f>
        <v/>
      </c>
      <c r="H6" s="20">
        <f>'Income Statement'!H9</f>
        <v/>
      </c>
      <c r="I6" s="20">
        <f>'Income Statement'!I9</f>
        <v/>
      </c>
    </row>
    <row r="7">
      <c r="A7" s="14" t="inlineStr">
        <is>
          <t>EBITDA</t>
        </is>
      </c>
      <c r="B7" s="20">
        <f>'Income Statement'!B19</f>
        <v/>
      </c>
      <c r="C7" s="20">
        <f>'Income Statement'!C19</f>
        <v/>
      </c>
      <c r="D7" s="20">
        <f>'Income Statement'!D19</f>
        <v/>
      </c>
      <c r="E7" s="20">
        <f>'Income Statement'!E19</f>
        <v/>
      </c>
      <c r="F7" s="20">
        <f>'Income Statement'!F19</f>
        <v/>
      </c>
      <c r="G7" s="20">
        <f>'Income Statement'!G19</f>
        <v/>
      </c>
      <c r="H7" s="20">
        <f>'Income Statement'!H19</f>
        <v/>
      </c>
      <c r="I7" s="20">
        <f>'Income Statement'!I19</f>
        <v/>
      </c>
    </row>
    <row r="8">
      <c r="A8" s="14" t="inlineStr">
        <is>
          <t>EBIT</t>
        </is>
      </c>
      <c r="B8" s="20">
        <f>'Income Statement'!B17</f>
        <v/>
      </c>
      <c r="C8" s="20">
        <f>'Income Statement'!C17</f>
        <v/>
      </c>
      <c r="D8" s="20">
        <f>'Income Statement'!D17</f>
        <v/>
      </c>
      <c r="E8" s="20">
        <f>'Income Statement'!E17</f>
        <v/>
      </c>
      <c r="F8" s="20">
        <f>'Income Statement'!F17</f>
        <v/>
      </c>
      <c r="G8" s="20">
        <f>'Income Statement'!G17</f>
        <v/>
      </c>
      <c r="H8" s="20">
        <f>'Income Statement'!H17</f>
        <v/>
      </c>
      <c r="I8" s="20">
        <f>'Income Statement'!I17</f>
        <v/>
      </c>
    </row>
    <row r="9">
      <c r="A9" s="14" t="inlineStr">
        <is>
          <t>Net profit (attributable)</t>
        </is>
      </c>
      <c r="B9" s="20">
        <f>'Income Statement'!B26</f>
        <v/>
      </c>
      <c r="C9" s="20">
        <f>'Income Statement'!C26</f>
        <v/>
      </c>
      <c r="D9" s="20">
        <f>'Income Statement'!D26</f>
        <v/>
      </c>
      <c r="E9" s="20">
        <f>'Income Statement'!E26</f>
        <v/>
      </c>
      <c r="F9" s="20">
        <f>'Income Statement'!F26</f>
        <v/>
      </c>
      <c r="G9" s="20">
        <f>'Income Statement'!G26</f>
        <v/>
      </c>
      <c r="H9" s="20">
        <f>'Income Statement'!H26</f>
        <v/>
      </c>
      <c r="I9" s="20">
        <f>'Income Statement'!I26</f>
        <v/>
      </c>
    </row>
    <row r="10">
      <c r="A10" s="14" t="inlineStr">
        <is>
          <t>Total assets</t>
        </is>
      </c>
      <c r="B10" s="20">
        <f>'Balance Sheet'!B14</f>
        <v/>
      </c>
      <c r="C10" s="20">
        <f>'Balance Sheet'!C14</f>
        <v/>
      </c>
      <c r="D10" s="20">
        <f>'Balance Sheet'!D14</f>
        <v/>
      </c>
      <c r="E10" s="20">
        <f>'Balance Sheet'!E14</f>
        <v/>
      </c>
      <c r="F10" s="20">
        <f>'Balance Sheet'!F14</f>
        <v/>
      </c>
      <c r="G10" s="20">
        <f>'Balance Sheet'!G14</f>
        <v/>
      </c>
      <c r="H10" s="20">
        <f>'Balance Sheet'!H14</f>
        <v/>
      </c>
      <c r="I10" s="20">
        <f>'Balance Sheet'!I14</f>
        <v/>
      </c>
    </row>
    <row r="11">
      <c r="A11" s="14" t="inlineStr">
        <is>
          <t>Total equity</t>
        </is>
      </c>
      <c r="B11" s="20">
        <f>'Balance Sheet'!B18</f>
        <v/>
      </c>
      <c r="C11" s="20">
        <f>'Balance Sheet'!C18</f>
        <v/>
      </c>
      <c r="D11" s="20">
        <f>'Balance Sheet'!D18</f>
        <v/>
      </c>
      <c r="E11" s="20">
        <f>'Balance Sheet'!E18</f>
        <v/>
      </c>
      <c r="F11" s="20">
        <f>'Balance Sheet'!F18</f>
        <v/>
      </c>
      <c r="G11" s="20">
        <f>'Balance Sheet'!G18</f>
        <v/>
      </c>
      <c r="H11" s="20">
        <f>'Balance Sheet'!H18</f>
        <v/>
      </c>
      <c r="I11" s="20">
        <f>'Balance Sheet'!I18</f>
        <v/>
      </c>
    </row>
    <row r="12">
      <c r="A12" s="14" t="inlineStr">
        <is>
          <t>Group net debt</t>
        </is>
      </c>
      <c r="B12" s="20">
        <f>'Balance Sheet'!B28</f>
        <v/>
      </c>
      <c r="C12" s="20">
        <f>'Balance Sheet'!C28</f>
        <v/>
      </c>
      <c r="D12" s="20">
        <f>'Balance Sheet'!D28</f>
        <v/>
      </c>
      <c r="E12" s="20">
        <f>'Balance Sheet'!E28</f>
        <v/>
      </c>
      <c r="F12" s="20">
        <f>'Balance Sheet'!F28</f>
        <v/>
      </c>
      <c r="G12" s="20">
        <f>'Balance Sheet'!G28</f>
        <v/>
      </c>
      <c r="H12" s="20">
        <f>'Balance Sheet'!H28</f>
        <v/>
      </c>
      <c r="I12" s="20">
        <f>'Balance Sheet'!I28</f>
        <v/>
      </c>
    </row>
    <row r="13">
      <c r="A13" s="14" t="inlineStr">
        <is>
          <t>Free cash flow (forecast)</t>
        </is>
      </c>
      <c r="E13" s="20">
        <f>'Cash Flow'!E13</f>
        <v/>
      </c>
      <c r="F13" s="20">
        <f>'Cash Flow'!F13</f>
        <v/>
      </c>
      <c r="G13" s="20">
        <f>'Cash Flow'!G13</f>
        <v/>
      </c>
      <c r="H13" s="20">
        <f>'Cash Flow'!H13</f>
        <v/>
      </c>
      <c r="I13" s="20">
        <f>'Cash Flow'!I13</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Monte Carlo — engine outputs (YZ-HAR v2)</t>
        </is>
      </c>
      <c r="B1" s="2" t="n"/>
      <c r="C1" s="2" t="n"/>
      <c r="D1" s="2" t="n"/>
      <c r="E1" s="2" t="n"/>
      <c r="F1" s="2" t="n"/>
      <c r="G1" s="2" t="n"/>
      <c r="H1" s="2" t="n"/>
    </row>
    <row r="2">
      <c r="A2" s="4" t="inlineStr">
        <is>
          <t>50,000 paths · 16 factors · seed 42 · computed by the Testahil MC engine (values, not a sheet simulation). No KVOL — the retired multiplier is replaced by the HAR width.</t>
        </is>
      </c>
    </row>
    <row r="5">
      <c r="A5" s="34" t="inlineStr">
        <is>
          <t>The probability read (3 months)</t>
        </is>
      </c>
    </row>
    <row r="6">
      <c r="A6" s="14" t="inlineStr">
        <is>
          <t>P(price above spot)</t>
        </is>
      </c>
      <c r="B6" s="12" t="n">
        <v>0.58104</v>
      </c>
    </row>
    <row r="7">
      <c r="A7" s="14" t="inlineStr">
        <is>
          <t>P(+10%) vs P(−10%) — odds</t>
        </is>
      </c>
      <c r="B7" s="35" t="inlineStr">
        <is>
          <t>39% vs 24% · 1.7:1</t>
        </is>
      </c>
    </row>
    <row r="8">
      <c r="A8" s="14" t="inlineStr">
        <is>
          <t>Median level (EGP) and % move</t>
        </is>
      </c>
      <c r="B8" s="35" t="inlineStr">
        <is>
          <t>30.14 (+4.0%)</t>
        </is>
      </c>
    </row>
    <row r="9">
      <c r="A9" s="14" t="inlineStr">
        <is>
          <t>50% band (25th–75th)</t>
        </is>
      </c>
      <c r="B9" s="35" t="inlineStr">
        <is>
          <t>26.3 – 34.6  (-9% / +19%)</t>
        </is>
      </c>
    </row>
    <row r="10">
      <c r="A10" s="14" t="inlineStr">
        <is>
          <t>Touch(+10%) / touch(−10%)</t>
        </is>
      </c>
      <c r="B10" s="35" t="inlineStr">
        <is>
          <t>65% / 49%</t>
        </is>
      </c>
    </row>
    <row r="12">
      <c r="A12" s="5" t="inlineStr">
        <is>
          <t>Percentile map (EGP/share)</t>
        </is>
      </c>
    </row>
    <row r="13">
      <c r="A13" s="5" t="inlineStr">
        <is>
          <t>Horizon</t>
        </is>
      </c>
      <c r="B13" s="5" t="inlineStr">
        <is>
          <t>p5</t>
        </is>
      </c>
      <c r="C13" s="5" t="inlineStr">
        <is>
          <t>p25</t>
        </is>
      </c>
      <c r="D13" s="5" t="inlineStr">
        <is>
          <t>p50</t>
        </is>
      </c>
      <c r="E13" s="5" t="inlineStr">
        <is>
          <t>p75</t>
        </is>
      </c>
      <c r="F13" s="5" t="inlineStr">
        <is>
          <t>p95</t>
        </is>
      </c>
    </row>
    <row r="14">
      <c r="A14" s="14" t="inlineStr">
        <is>
          <t>1 month</t>
        </is>
      </c>
      <c r="B14" s="19" t="n">
        <v>23.6</v>
      </c>
      <c r="C14" s="19" t="n">
        <v>27.1</v>
      </c>
      <c r="D14" s="19" t="n">
        <v>29.4</v>
      </c>
      <c r="E14" s="19" t="n">
        <v>31.8</v>
      </c>
      <c r="F14" s="19" t="n">
        <v>36.6</v>
      </c>
    </row>
    <row r="15">
      <c r="A15" s="14" t="inlineStr">
        <is>
          <t>3 months</t>
        </is>
      </c>
      <c r="B15" s="19" t="n">
        <v>20.6</v>
      </c>
      <c r="C15" s="19" t="n">
        <v>26.3</v>
      </c>
      <c r="D15" s="19" t="n">
        <v>30.1</v>
      </c>
      <c r="E15" s="19" t="n">
        <v>34.6</v>
      </c>
      <c r="F15" s="19" t="n">
        <v>44.1</v>
      </c>
    </row>
    <row r="17">
      <c r="A17" s="5" t="inlineStr">
        <is>
          <t>Engine inputs (from Assumptions)</t>
        </is>
      </c>
    </row>
    <row r="18">
      <c r="A18" s="14" t="inlineStr">
        <is>
          <t>Anchor volatility (HAR, annualized)</t>
        </is>
      </c>
      <c r="B18" s="28">
        <f>Assumptions!B37</f>
        <v/>
      </c>
    </row>
    <row r="19">
      <c r="A19" s="14" t="inlineStr">
        <is>
          <t>Secular drift (daily)</t>
        </is>
      </c>
      <c r="B19" s="28">
        <f>Assumptions!B38</f>
        <v/>
      </c>
    </row>
    <row r="20">
      <c r="A20" s="14" t="inlineStr">
        <is>
          <t>Net factor drift / quarter</t>
        </is>
      </c>
      <c r="B20" s="28">
        <f>Assumptions!B39</f>
        <v/>
      </c>
    </row>
    <row r="22">
      <c r="A22" s="5" t="inlineStr">
        <is>
          <t>Level-touch ladder (probability of touching by horizon)</t>
        </is>
      </c>
    </row>
    <row r="23">
      <c r="A23" s="5" t="inlineStr">
        <is>
          <t>Level (EGP)</t>
        </is>
      </c>
      <c r="B23" s="5" t="inlineStr">
        <is>
          <t>1 month</t>
        </is>
      </c>
      <c r="C23" s="5" t="inlineStr">
        <is>
          <t>3 months</t>
        </is>
      </c>
    </row>
    <row r="24">
      <c r="A24" s="19" t="n">
        <v>40</v>
      </c>
      <c r="B24" s="12" t="n">
        <v>0.02878</v>
      </c>
      <c r="C24" s="12" t="n">
        <v>0.1617</v>
      </c>
    </row>
    <row r="25">
      <c r="A25" s="19" t="n">
        <v>38</v>
      </c>
      <c r="B25" s="12" t="n">
        <v>0.04962</v>
      </c>
      <c r="C25" s="12" t="n">
        <v>0.22722</v>
      </c>
    </row>
    <row r="26">
      <c r="A26" s="19" t="n">
        <v>36</v>
      </c>
      <c r="B26" s="12" t="n">
        <v>0.09488000000000001</v>
      </c>
      <c r="C26" s="12" t="n">
        <v>0.3228</v>
      </c>
    </row>
    <row r="27">
      <c r="A27" s="19" t="n">
        <v>34</v>
      </c>
      <c r="B27" s="12" t="n">
        <v>0.18812</v>
      </c>
      <c r="C27" s="12" t="n">
        <v>0.46032</v>
      </c>
    </row>
    <row r="28">
      <c r="A28" s="19" t="n">
        <v>32</v>
      </c>
      <c r="B28" s="12" t="n">
        <v>0.37654</v>
      </c>
      <c r="C28" s="12" t="n">
        <v>0.6361</v>
      </c>
    </row>
    <row r="29">
      <c r="A29" s="19" t="n">
        <v>30</v>
      </c>
      <c r="B29" s="12" t="n">
        <v>0.70448</v>
      </c>
      <c r="C29" s="12" t="n">
        <v>0.84532</v>
      </c>
    </row>
    <row r="30">
      <c r="A30" s="19" t="n">
        <v>28</v>
      </c>
      <c r="B30" s="12" t="n">
        <v>0.6341</v>
      </c>
      <c r="C30" s="12" t="n">
        <v>0.7614</v>
      </c>
    </row>
    <row r="31">
      <c r="A31" s="19" t="n">
        <v>26</v>
      </c>
      <c r="B31" s="12" t="n">
        <v>0.2752</v>
      </c>
      <c r="C31" s="12" t="n">
        <v>0.4786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SOTP sensitivity — Auto margin × complexity discount</t>
        </is>
      </c>
      <c r="B1" s="2" t="n"/>
      <c r="C1" s="2" t="n"/>
      <c r="D1" s="2" t="n"/>
      <c r="E1" s="2" t="n"/>
      <c r="F1" s="2" t="n"/>
      <c r="G1" s="2" t="n"/>
      <c r="H1" s="2" t="n"/>
    </row>
    <row r="2">
      <c r="A2" s="4" t="inlineStr">
        <is>
          <t>Fair value (EGP/share, post-discount). Live off Assumptions and the DCF helper (EV per +1pp GPM).</t>
        </is>
      </c>
    </row>
    <row r="5">
      <c r="A5" s="5" t="inlineStr">
        <is>
          <t>GPM shift \ discount</t>
        </is>
      </c>
      <c r="B5" s="36" t="n">
        <v>0</v>
      </c>
      <c r="C5" s="36" t="n">
        <v>0.05</v>
      </c>
      <c r="D5" s="36" t="n">
        <v>0.1</v>
      </c>
      <c r="E5" s="36" t="n">
        <v>0.15</v>
      </c>
      <c r="F5" s="36" t="n">
        <v>0.2</v>
      </c>
    </row>
    <row r="6">
      <c r="A6" s="37" t="n">
        <v>-0.02</v>
      </c>
      <c r="B6" s="19">
        <f>((DCF!$B$23+$A6*100*DCF!$B$29-Assumptions!$B$19-Assumptions!$B$20+Assumptions!$B$21*Assumptions!$B$22+Assumptions!$B$23*Assumptions!$B$24)*(1-B$5))/Assumptions!$B$6</f>
        <v/>
      </c>
      <c r="C6" s="19">
        <f>((DCF!$B$23+$A6*100*DCF!$B$29-Assumptions!$B$19-Assumptions!$B$20+Assumptions!$B$21*Assumptions!$B$22+Assumptions!$B$23*Assumptions!$B$24)*(1-C$5))/Assumptions!$B$6</f>
        <v/>
      </c>
      <c r="D6" s="19">
        <f>((DCF!$B$23+$A6*100*DCF!$B$29-Assumptions!$B$19-Assumptions!$B$20+Assumptions!$B$21*Assumptions!$B$22+Assumptions!$B$23*Assumptions!$B$24)*(1-D$5))/Assumptions!$B$6</f>
        <v/>
      </c>
      <c r="E6" s="19">
        <f>((DCF!$B$23+$A6*100*DCF!$B$29-Assumptions!$B$19-Assumptions!$B$20+Assumptions!$B$21*Assumptions!$B$22+Assumptions!$B$23*Assumptions!$B$24)*(1-E$5))/Assumptions!$B$6</f>
        <v/>
      </c>
      <c r="F6" s="19">
        <f>((DCF!$B$23+$A6*100*DCF!$B$29-Assumptions!$B$19-Assumptions!$B$20+Assumptions!$B$21*Assumptions!$B$22+Assumptions!$B$23*Assumptions!$B$24)*(1-F$5))/Assumptions!$B$6</f>
        <v/>
      </c>
    </row>
    <row r="7">
      <c r="A7" s="37" t="n">
        <v>-0.01</v>
      </c>
      <c r="B7" s="19">
        <f>((DCF!$B$23+$A7*100*DCF!$B$29-Assumptions!$B$19-Assumptions!$B$20+Assumptions!$B$21*Assumptions!$B$22+Assumptions!$B$23*Assumptions!$B$24)*(1-B$5))/Assumptions!$B$6</f>
        <v/>
      </c>
      <c r="C7" s="19">
        <f>((DCF!$B$23+$A7*100*DCF!$B$29-Assumptions!$B$19-Assumptions!$B$20+Assumptions!$B$21*Assumptions!$B$22+Assumptions!$B$23*Assumptions!$B$24)*(1-C$5))/Assumptions!$B$6</f>
        <v/>
      </c>
      <c r="D7" s="19">
        <f>((DCF!$B$23+$A7*100*DCF!$B$29-Assumptions!$B$19-Assumptions!$B$20+Assumptions!$B$21*Assumptions!$B$22+Assumptions!$B$23*Assumptions!$B$24)*(1-D$5))/Assumptions!$B$6</f>
        <v/>
      </c>
      <c r="E7" s="19">
        <f>((DCF!$B$23+$A7*100*DCF!$B$29-Assumptions!$B$19-Assumptions!$B$20+Assumptions!$B$21*Assumptions!$B$22+Assumptions!$B$23*Assumptions!$B$24)*(1-E$5))/Assumptions!$B$6</f>
        <v/>
      </c>
      <c r="F7" s="19">
        <f>((DCF!$B$23+$A7*100*DCF!$B$29-Assumptions!$B$19-Assumptions!$B$20+Assumptions!$B$21*Assumptions!$B$22+Assumptions!$B$23*Assumptions!$B$24)*(1-F$5))/Assumptions!$B$6</f>
        <v/>
      </c>
    </row>
    <row r="8">
      <c r="A8" s="37" t="n">
        <v>0</v>
      </c>
      <c r="B8" s="19">
        <f>((DCF!$B$23+$A8*100*DCF!$B$29-Assumptions!$B$19-Assumptions!$B$20+Assumptions!$B$21*Assumptions!$B$22+Assumptions!$B$23*Assumptions!$B$24)*(1-B$5))/Assumptions!$B$6</f>
        <v/>
      </c>
      <c r="C8" s="19">
        <f>((DCF!$B$23+$A8*100*DCF!$B$29-Assumptions!$B$19-Assumptions!$B$20+Assumptions!$B$21*Assumptions!$B$22+Assumptions!$B$23*Assumptions!$B$24)*(1-C$5))/Assumptions!$B$6</f>
        <v/>
      </c>
      <c r="D8" s="19">
        <f>((DCF!$B$23+$A8*100*DCF!$B$29-Assumptions!$B$19-Assumptions!$B$20+Assumptions!$B$21*Assumptions!$B$22+Assumptions!$B$23*Assumptions!$B$24)*(1-D$5))/Assumptions!$B$6</f>
        <v/>
      </c>
      <c r="E8" s="19">
        <f>((DCF!$B$23+$A8*100*DCF!$B$29-Assumptions!$B$19-Assumptions!$B$20+Assumptions!$B$21*Assumptions!$B$22+Assumptions!$B$23*Assumptions!$B$24)*(1-E$5))/Assumptions!$B$6</f>
        <v/>
      </c>
      <c r="F8" s="19">
        <f>((DCF!$B$23+$A8*100*DCF!$B$29-Assumptions!$B$19-Assumptions!$B$20+Assumptions!$B$21*Assumptions!$B$22+Assumptions!$B$23*Assumptions!$B$24)*(1-F$5))/Assumptions!$B$6</f>
        <v/>
      </c>
    </row>
    <row r="9">
      <c r="A9" s="37" t="n">
        <v>0.01</v>
      </c>
      <c r="B9" s="19">
        <f>((DCF!$B$23+$A9*100*DCF!$B$29-Assumptions!$B$19-Assumptions!$B$20+Assumptions!$B$21*Assumptions!$B$22+Assumptions!$B$23*Assumptions!$B$24)*(1-B$5))/Assumptions!$B$6</f>
        <v/>
      </c>
      <c r="C9" s="19">
        <f>((DCF!$B$23+$A9*100*DCF!$B$29-Assumptions!$B$19-Assumptions!$B$20+Assumptions!$B$21*Assumptions!$B$22+Assumptions!$B$23*Assumptions!$B$24)*(1-C$5))/Assumptions!$B$6</f>
        <v/>
      </c>
      <c r="D9" s="19">
        <f>((DCF!$B$23+$A9*100*DCF!$B$29-Assumptions!$B$19-Assumptions!$B$20+Assumptions!$B$21*Assumptions!$B$22+Assumptions!$B$23*Assumptions!$B$24)*(1-D$5))/Assumptions!$B$6</f>
        <v/>
      </c>
      <c r="E9" s="19">
        <f>((DCF!$B$23+$A9*100*DCF!$B$29-Assumptions!$B$19-Assumptions!$B$20+Assumptions!$B$21*Assumptions!$B$22+Assumptions!$B$23*Assumptions!$B$24)*(1-E$5))/Assumptions!$B$6</f>
        <v/>
      </c>
      <c r="F9" s="19">
        <f>((DCF!$B$23+$A9*100*DCF!$B$29-Assumptions!$B$19-Assumptions!$B$20+Assumptions!$B$21*Assumptions!$B$22+Assumptions!$B$23*Assumptions!$B$24)*(1-F$5))/Assumptions!$B$6</f>
        <v/>
      </c>
    </row>
    <row r="10">
      <c r="A10" s="37" t="n">
        <v>0.02</v>
      </c>
      <c r="B10" s="19">
        <f>((DCF!$B$23+$A10*100*DCF!$B$29-Assumptions!$B$19-Assumptions!$B$20+Assumptions!$B$21*Assumptions!$B$22+Assumptions!$B$23*Assumptions!$B$24)*(1-B$5))/Assumptions!$B$6</f>
        <v/>
      </c>
      <c r="C10" s="19">
        <f>((DCF!$B$23+$A10*100*DCF!$B$29-Assumptions!$B$19-Assumptions!$B$20+Assumptions!$B$21*Assumptions!$B$22+Assumptions!$B$23*Assumptions!$B$24)*(1-C$5))/Assumptions!$B$6</f>
        <v/>
      </c>
      <c r="D10" s="19">
        <f>((DCF!$B$23+$A10*100*DCF!$B$29-Assumptions!$B$19-Assumptions!$B$20+Assumptions!$B$21*Assumptions!$B$22+Assumptions!$B$23*Assumptions!$B$24)*(1-D$5))/Assumptions!$B$6</f>
        <v/>
      </c>
      <c r="E10" s="19">
        <f>((DCF!$B$23+$A10*100*DCF!$B$29-Assumptions!$B$19-Assumptions!$B$20+Assumptions!$B$21*Assumptions!$B$22+Assumptions!$B$23*Assumptions!$B$24)*(1-E$5))/Assumptions!$B$6</f>
        <v/>
      </c>
      <c r="F10" s="19">
        <f>((DCF!$B$23+$A10*100*DCF!$B$29-Assumptions!$B$19-Assumptions!$B$20+Assumptions!$B$21*Assumptions!$B$22+Assumptions!$B$23*Assumptions!$B$24)*(1-F$5))/Assumptions!$B$6</f>
        <v/>
      </c>
    </row>
    <row r="12">
      <c r="A12" s="8" t="inlineStr">
        <is>
          <t>Every cell is the sum-of-the-parts fair value per share at that margin shift and that discount, against a price of EGP 28.98 on the Assumptions sheet.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9"/>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&amp; ratios — the standing dashboard (device A-5)</t>
        </is>
      </c>
      <c r="B1" s="2" t="n"/>
      <c r="C1" s="2" t="n"/>
      <c r="D1" s="2" t="n"/>
      <c r="E1" s="2" t="n"/>
      <c r="F1" s="2" t="n"/>
      <c r="G1" s="2" t="n"/>
      <c r="H1" s="2" t="n"/>
      <c r="I1" s="2" t="n"/>
      <c r="J1" s="2" t="n"/>
    </row>
    <row r="2">
      <c r="A2" s="4" t="inlineStr">
        <is>
          <t>Links to statements /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4" t="inlineStr">
        <is>
          <t>EPS (EGP)</t>
        </is>
      </c>
      <c r="B6" s="19">
        <f>'Income Statement'!B26/Assumptions!$B$6</f>
        <v/>
      </c>
      <c r="C6" s="19">
        <f>'Income Statement'!C26/Assumptions!$B$6</f>
        <v/>
      </c>
      <c r="D6" s="19">
        <f>'Income Statement'!D26/Assumptions!$B$6</f>
        <v/>
      </c>
      <c r="E6" s="19">
        <f>'Income Statement'!E26/Assumptions!$B$6</f>
        <v/>
      </c>
      <c r="F6" s="19">
        <f>'Income Statement'!F26/Assumptions!$B$6</f>
        <v/>
      </c>
      <c r="G6" s="19">
        <f>'Income Statement'!G26/Assumptions!$B$6</f>
        <v/>
      </c>
      <c r="H6" s="19">
        <f>'Income Statement'!H26/Assumptions!$B$6</f>
        <v/>
      </c>
      <c r="I6" s="19">
        <f>'Income Statement'!I26/Assumptions!$B$6</f>
        <v/>
      </c>
    </row>
    <row r="7">
      <c r="A7" s="14" t="inlineStr">
        <is>
          <t>DPS (EGP)</t>
        </is>
      </c>
      <c r="B7" s="19">
        <f>'Income Statement'!B26*0.13/Assumptions!$B$6</f>
        <v/>
      </c>
      <c r="C7" s="19">
        <f>'Income Statement'!C26*0.13/Assumptions!$B$6</f>
        <v/>
      </c>
      <c r="D7" s="19">
        <f>'Income Statement'!D26*0.13/Assumptions!$B$6</f>
        <v/>
      </c>
      <c r="E7" s="19">
        <f>'Income Statement'!E26*Assumptions!C$72/Assumptions!$B$6</f>
        <v/>
      </c>
      <c r="F7" s="19">
        <f>'Income Statement'!F26*Assumptions!D$72/Assumptions!$B$6</f>
        <v/>
      </c>
      <c r="G7" s="19">
        <f>'Income Statement'!G26*Assumptions!E$72/Assumptions!$B$6</f>
        <v/>
      </c>
      <c r="H7" s="19">
        <f>'Income Statement'!H26*Assumptions!F$72/Assumptions!$B$6</f>
        <v/>
      </c>
      <c r="I7" s="19">
        <f>'Income Statement'!I26*Assumptions!G$72/Assumptions!$B$6</f>
        <v/>
      </c>
    </row>
    <row r="8">
      <c r="A8" s="14" t="inlineStr">
        <is>
          <t>Book value / share (EGP)</t>
        </is>
      </c>
      <c r="B8" s="19">
        <f>'Balance Sheet'!B16/Assumptions!$B$6</f>
        <v/>
      </c>
      <c r="C8" s="19">
        <f>'Balance Sheet'!C16/Assumptions!$B$6</f>
        <v/>
      </c>
      <c r="D8" s="19">
        <f>'Balance Sheet'!D16/Assumptions!$B$6</f>
        <v/>
      </c>
      <c r="E8" s="19">
        <f>'Balance Sheet'!E16/Assumptions!$B$6</f>
        <v/>
      </c>
      <c r="F8" s="19">
        <f>'Balance Sheet'!F16/Assumptions!$B$6</f>
        <v/>
      </c>
      <c r="G8" s="19">
        <f>'Balance Sheet'!G16/Assumptions!$B$6</f>
        <v/>
      </c>
      <c r="H8" s="19">
        <f>'Balance Sheet'!H16/Assumptions!$B$6</f>
        <v/>
      </c>
      <c r="I8" s="19">
        <f>'Balance Sheet'!I16/Assumptions!$B$6</f>
        <v/>
      </c>
    </row>
    <row r="9">
      <c r="A9" s="14" t="inlineStr">
        <is>
          <t>P/E at spot (×)</t>
        </is>
      </c>
      <c r="B9" s="33">
        <f>Assumptions!$B$5/('Income Statement'!B26/Assumptions!$B$6)</f>
        <v/>
      </c>
      <c r="C9" s="33">
        <f>Assumptions!$B$5/('Income Statement'!C26/Assumptions!$B$6)</f>
        <v/>
      </c>
      <c r="D9" s="33">
        <f>Assumptions!$B$5/('Income Statement'!D26/Assumptions!$B$6)</f>
        <v/>
      </c>
      <c r="E9" s="33">
        <f>Assumptions!$B$5/('Income Statement'!E26/Assumptions!$B$6)</f>
        <v/>
      </c>
      <c r="F9" s="33">
        <f>Assumptions!$B$5/('Income Statement'!F26/Assumptions!$B$6)</f>
        <v/>
      </c>
      <c r="G9" s="33">
        <f>Assumptions!$B$5/('Income Statement'!G26/Assumptions!$B$6)</f>
        <v/>
      </c>
      <c r="H9" s="33">
        <f>Assumptions!$B$5/('Income Statement'!H26/Assumptions!$B$6)</f>
        <v/>
      </c>
      <c r="I9" s="33">
        <f>Assumptions!$B$5/('Income Statement'!I26/Assumptions!$B$6)</f>
        <v/>
      </c>
    </row>
    <row r="10">
      <c r="A10" s="14" t="inlineStr">
        <is>
          <t>P/B at spot (×)</t>
        </is>
      </c>
      <c r="B10" s="33">
        <f>Assumptions!$B$5/('Balance Sheet'!B16/Assumptions!$B$6)</f>
        <v/>
      </c>
      <c r="C10" s="33">
        <f>Assumptions!$B$5/('Balance Sheet'!C16/Assumptions!$B$6)</f>
        <v/>
      </c>
      <c r="D10" s="33">
        <f>Assumptions!$B$5/('Balance Sheet'!D16/Assumptions!$B$6)</f>
        <v/>
      </c>
      <c r="E10" s="33">
        <f>Assumptions!$B$5/('Balance Sheet'!E16/Assumptions!$B$6)</f>
        <v/>
      </c>
      <c r="F10" s="33">
        <f>Assumptions!$B$5/('Balance Sheet'!F16/Assumptions!$B$6)</f>
        <v/>
      </c>
      <c r="G10" s="33">
        <f>Assumptions!$B$5/('Balance Sheet'!G16/Assumptions!$B$6)</f>
        <v/>
      </c>
      <c r="H10" s="33">
        <f>Assumptions!$B$5/('Balance Sheet'!H16/Assumptions!$B$6)</f>
        <v/>
      </c>
      <c r="I10" s="33">
        <f>Assumptions!$B$5/('Balance Sheet'!I16/Assumptions!$B$6)</f>
        <v/>
      </c>
    </row>
    <row r="11">
      <c r="A11" s="14" t="inlineStr">
        <is>
          <t>Dividend yield at spot</t>
        </is>
      </c>
      <c r="B11" s="12">
        <f>B7/Assumptions!$B$5</f>
        <v/>
      </c>
      <c r="C11" s="12">
        <f>C7/Assumptions!$B$5</f>
        <v/>
      </c>
      <c r="D11" s="12">
        <f>D7/Assumptions!$B$5</f>
        <v/>
      </c>
      <c r="E11" s="12">
        <f>E7/Assumptions!$B$5</f>
        <v/>
      </c>
      <c r="F11" s="12">
        <f>F7/Assumptions!$B$5</f>
        <v/>
      </c>
      <c r="G11" s="12">
        <f>G7/Assumptions!$B$5</f>
        <v/>
      </c>
      <c r="H11" s="12">
        <f>H7/Assumptions!$B$5</f>
        <v/>
      </c>
      <c r="I11" s="12">
        <f>I7/Assumptions!$B$5</f>
        <v/>
      </c>
    </row>
    <row r="12">
      <c r="A12" s="14" t="inlineStr">
        <is>
          <t>EBITDA margin</t>
        </is>
      </c>
      <c r="B12" s="12">
        <f>'Income Statement'!B19/'Income Statement'!B9</f>
        <v/>
      </c>
      <c r="C12" s="12">
        <f>'Income Statement'!C19/'Income Statement'!C9</f>
        <v/>
      </c>
      <c r="D12" s="12">
        <f>'Income Statement'!D19/'Income Statement'!D9</f>
        <v/>
      </c>
      <c r="E12" s="12">
        <f>'Income Statement'!E19/'Income Statement'!E9</f>
        <v/>
      </c>
      <c r="F12" s="12">
        <f>'Income Statement'!F19/'Income Statement'!F9</f>
        <v/>
      </c>
      <c r="G12" s="12">
        <f>'Income Statement'!G19/'Income Statement'!G9</f>
        <v/>
      </c>
      <c r="H12" s="12">
        <f>'Income Statement'!H19/'Income Statement'!H9</f>
        <v/>
      </c>
      <c r="I12" s="12">
        <f>'Income Statement'!I19/'Income Statement'!I9</f>
        <v/>
      </c>
    </row>
    <row r="13">
      <c r="A13" s="14" t="inlineStr">
        <is>
          <t>Net margin</t>
        </is>
      </c>
      <c r="B13" s="12">
        <f>'Income Statement'!B26/'Income Statement'!B9</f>
        <v/>
      </c>
      <c r="C13" s="12">
        <f>'Income Statement'!C26/'Income Statement'!C9</f>
        <v/>
      </c>
      <c r="D13" s="12">
        <f>'Income Statement'!D26/'Income Statement'!D9</f>
        <v/>
      </c>
      <c r="E13" s="12">
        <f>'Income Statement'!E26/'Income Statement'!E9</f>
        <v/>
      </c>
      <c r="F13" s="12">
        <f>'Income Statement'!F26/'Income Statement'!F9</f>
        <v/>
      </c>
      <c r="G13" s="12">
        <f>'Income Statement'!G26/'Income Statement'!G9</f>
        <v/>
      </c>
      <c r="H13" s="12">
        <f>'Income Statement'!H26/'Income Statement'!H9</f>
        <v/>
      </c>
      <c r="I13" s="12">
        <f>'Income Statement'!I26/'Income Statement'!I9</f>
        <v/>
      </c>
    </row>
    <row r="14">
      <c r="A14" s="14" t="inlineStr">
        <is>
          <t>ROAE (attributable)</t>
        </is>
      </c>
      <c r="B14" s="12">
        <f>'Income Statement'!B26/'Balance Sheet'!B16</f>
        <v/>
      </c>
      <c r="C14" s="12">
        <f>'Income Statement'!C26/'Balance Sheet'!C16</f>
        <v/>
      </c>
      <c r="D14" s="12">
        <f>'Income Statement'!D26/'Balance Sheet'!D16</f>
        <v/>
      </c>
      <c r="E14" s="12">
        <f>'Income Statement'!E26/'Balance Sheet'!E16</f>
        <v/>
      </c>
      <c r="F14" s="12">
        <f>'Income Statement'!F26/'Balance Sheet'!F16</f>
        <v/>
      </c>
      <c r="G14" s="12">
        <f>'Income Statement'!G26/'Balance Sheet'!G16</f>
        <v/>
      </c>
      <c r="H14" s="12">
        <f>'Income Statement'!H26/'Balance Sheet'!H16</f>
        <v/>
      </c>
      <c r="I14" s="12">
        <f>'Income Statement'!I26/'Balance Sheet'!I16</f>
        <v/>
      </c>
    </row>
    <row r="15">
      <c r="A15" s="14" t="inlineStr">
        <is>
          <t>Group net debt / EBITDA (×)</t>
        </is>
      </c>
      <c r="B15" s="33">
        <f>'Balance Sheet'!B28/'Income Statement'!B19</f>
        <v/>
      </c>
      <c r="C15" s="33">
        <f>'Balance Sheet'!C28/'Income Statement'!C19</f>
        <v/>
      </c>
      <c r="D15" s="33">
        <f>'Balance Sheet'!D28/'Income Statement'!D19</f>
        <v/>
      </c>
      <c r="E15" s="33">
        <f>'Balance Sheet'!E28/'Income Statement'!E19</f>
        <v/>
      </c>
      <c r="F15" s="33">
        <f>'Balance Sheet'!F28/'Income Statement'!F19</f>
        <v/>
      </c>
      <c r="G15" s="33">
        <f>'Balance Sheet'!G28/'Income Statement'!G19</f>
        <v/>
      </c>
      <c r="H15" s="33">
        <f>'Balance Sheet'!H28/'Income Statement'!H19</f>
        <v/>
      </c>
      <c r="I15" s="33">
        <f>'Balance Sheet'!I28/'Income Statement'!I19</f>
        <v/>
      </c>
    </row>
    <row r="16">
      <c r="A16" s="14" t="inlineStr">
        <is>
          <t>Revenue YoY</t>
        </is>
      </c>
      <c r="B16" s="12" t="n"/>
      <c r="C16" s="12">
        <f>'Income Statement'!C9/'Income Statement'!B9-1</f>
        <v/>
      </c>
      <c r="D16" s="12">
        <f>'Income Statement'!D9/'Income Statement'!C9-1</f>
        <v/>
      </c>
      <c r="E16" s="12">
        <f>'Income Statement'!E9/'Income Statement'!D9-1</f>
        <v/>
      </c>
      <c r="F16" s="12">
        <f>'Income Statement'!F9/'Income Statement'!E9-1</f>
        <v/>
      </c>
      <c r="G16" s="12">
        <f>'Income Statement'!G9/'Income Statement'!F9-1</f>
        <v/>
      </c>
      <c r="H16" s="12">
        <f>'Income Statement'!H9/'Income Statement'!G9-1</f>
        <v/>
      </c>
      <c r="I16" s="12">
        <f>'Income Statement'!I9/'Income Statement'!H9-1</f>
        <v/>
      </c>
    </row>
    <row r="17">
      <c r="A17" s="14" t="inlineStr">
        <is>
          <t>EPS YoY</t>
        </is>
      </c>
      <c r="B17" s="12" t="n"/>
      <c r="C17" s="12">
        <f>('Income Statement'!C26/'Income Statement'!B26)-1</f>
        <v/>
      </c>
      <c r="D17" s="12">
        <f>('Income Statement'!D26/'Income Statement'!C26)-1</f>
        <v/>
      </c>
      <c r="E17" s="12">
        <f>('Income Statement'!E26/'Income Statement'!D26)-1</f>
        <v/>
      </c>
      <c r="F17" s="12">
        <f>('Income Statement'!F26/'Income Statement'!E26)-1</f>
        <v/>
      </c>
      <c r="G17" s="12">
        <f>('Income Statement'!G26/'Income Statement'!F26)-1</f>
        <v/>
      </c>
      <c r="H17" s="12">
        <f>('Income Statement'!H26/'Income Statement'!G26)-1</f>
        <v/>
      </c>
      <c r="I17" s="12">
        <f>('Income Statement'!I26/'Income Statement'!H26)-1</f>
        <v/>
      </c>
    </row>
    <row r="19">
      <c r="A19" s="8" t="inlineStr">
        <is>
          <t>Group net debt against operating profit blends the lender's funding book, which is its raw material rather than its leverage; the operating-leg measure is the Auto segment's own net debt of EGP 14,623.7 mn at 30 June 2026, which is what the valuation bridge deducts.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4" customWidth="1" min="1" max="1"/>
    <col width="58" customWidth="1" min="2" max="2"/>
    <col width="46" customWidth="1" min="3" max="3"/>
    <col width="12" customWidth="1" min="4" max="4"/>
    <col width="12" customWidth="1" min="5" max="5"/>
    <col width="12" customWidth="1" min="6" max="6"/>
    <col width="12" customWidth="1" min="7" max="7"/>
  </cols>
  <sheetData>
    <row r="1">
      <c r="A1" s="1" t="inlineStr">
        <is>
          <t>Peer set &amp; sector</t>
        </is>
      </c>
      <c r="B1" s="2" t="n"/>
      <c r="C1" s="2" t="n"/>
      <c r="D1" s="2" t="n"/>
      <c r="E1" s="2" t="n"/>
      <c r="F1" s="2" t="n"/>
      <c r="G1" s="2" t="n"/>
    </row>
    <row r="2">
      <c r="A2" s="4" t="inlineStr">
        <is>
          <t>No clean single comparable — GB Corp is an auto operator plus an NBFI plus a fintech associate. Split by leg.</t>
        </is>
      </c>
    </row>
    <row r="5">
      <c r="A5" s="5" t="inlineStr">
        <is>
          <t>Leg</t>
        </is>
      </c>
      <c r="B5" s="5" t="inlineStr">
        <is>
          <t>Closest peers</t>
        </is>
      </c>
      <c r="C5" s="5" t="inlineStr">
        <is>
          <t>Typical valuation</t>
        </is>
      </c>
    </row>
    <row r="6">
      <c r="A6" s="14" t="inlineStr">
        <is>
          <t>Auto assembly &amp; distribution</t>
        </is>
      </c>
      <c r="B6" s="6" t="inlineStr">
        <is>
          <t>Al Watania (KSA autos), Saudi Co. for Vehicles, Türk Traktör, Astra Industrial; EGX consumer durables</t>
        </is>
      </c>
      <c r="C6" s="6" t="inlineStr">
        <is>
          <t>EV/EBITDA ~4–6× (EM distribution); P/E ~8–12×</t>
        </is>
      </c>
    </row>
    <row r="7">
      <c r="A7" s="14" t="inlineStr">
        <is>
          <t>NBFI / leasing &amp; consumer finance</t>
        </is>
      </c>
      <c r="B7" s="6" t="inlineStr">
        <is>
          <t>EFG Hermes (NBFI arm), Contact Financial (CNFN), Raya Holding finance leg</t>
        </is>
      </c>
      <c r="C7" s="6" t="inlineStr">
        <is>
          <t>P/B ~1.0–1.8× on mid-teens ROE; P/E ~6–10×</t>
        </is>
      </c>
    </row>
    <row r="8">
      <c r="A8" s="14" t="inlineStr">
        <is>
          <t>Fintech associate (MNT-Halan)</t>
        </is>
      </c>
      <c r="B8" s="6" t="inlineStr">
        <is>
          <t>Fawry (FWRY), e-Finance (EFIH), MNT-Halan private rounds</t>
        </is>
      </c>
      <c r="C8" s="6" t="inlineStr">
        <is>
          <t>Private marks; EV/Rev 2–5×; last round USD 1.4bn (Jun-26)</t>
        </is>
      </c>
    </row>
    <row r="10">
      <c r="A10" s="8" t="inlineStr">
        <is>
          <t>Sector context: Egypt PC registrations ~210k in 2025 (+40% y/y), GB share ~21%; CBE easing cycle (19.00% deposit rate) supports affordability and GB Capital margins; BYD entering Egypt; Iraq/Jordan drag from the regional conflict; Sadat CKD facility inaugurated Jun-2026.</t>
        </is>
      </c>
    </row>
    <row r="11">
      <c r="A11" s="8" t="inlineStr">
        <is>
          <t>Analyst context is deliberately not used as a model input (house rule: no rating, no target).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2026-09-07T20:03:54Z</dcterms:created>
  <dcterms:modified xmlns:dcterms="http://purl.org/dc/terms/" xmlns:xsi="http://www.w3.org/2001/XMLSchema-instance" xsi:type="dcterms:W3CDTF">2026-09-07T20:03:55Z</dcterms:modified>
</cp:coreProperties>
</file>