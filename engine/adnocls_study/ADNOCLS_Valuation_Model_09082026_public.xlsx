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quot;-&quot;"/>
    <numFmt numFmtId="166" formatCode="0.0000"/>
    <numFmt numFmtId="167" formatCode="#,##0;(#,##0);&quot;-&quot;"/>
    <numFmt numFmtId="168" formatCode="0.000"/>
    <numFmt numFmtId="169" formatCode="0.0%;(0.0%);&quot;-&quot;"/>
    <numFmt numFmtId="170" formatCode="0.00x"/>
    <numFmt numFmtId="171"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10"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67" fontId="6" fillId="0" borderId="0" pivotButton="0" quotePrefix="0" xfId="0"/>
    <xf numFmtId="167" fontId="4" fillId="4" borderId="0" pivotButton="0" quotePrefix="0" xfId="0"/>
    <xf numFmtId="170" fontId="6" fillId="0" borderId="0" pivotButton="0" quotePrefix="0" xfId="0"/>
    <xf numFmtId="167" fontId="5" fillId="4" borderId="0" pivotButton="0" quotePrefix="0" xfId="0"/>
    <xf numFmtId="170" fontId="8" fillId="0" borderId="0" pivotButton="0" quotePrefix="0" xfId="0"/>
    <xf numFmtId="167" fontId="5" fillId="0" borderId="0" pivotButton="0" quotePrefix="0" xfId="0"/>
    <xf numFmtId="0" fontId="5" fillId="0" borderId="0" pivotButton="0" quotePrefix="0" xfId="0"/>
    <xf numFmtId="165" fontId="6" fillId="0" borderId="0" pivotButton="0" quotePrefix="0" xfId="0"/>
    <xf numFmtId="2" fontId="8" fillId="0" borderId="0" pivotButton="0" quotePrefix="0" xfId="0"/>
    <xf numFmtId="171" fontId="6" fillId="0" borderId="0" pivotButton="0" quotePrefix="0" xfId="0"/>
    <xf numFmtId="170" fontId="5" fillId="0" borderId="0" pivotButton="0" quotePrefix="0" xfId="0"/>
    <xf numFmtId="10" fontId="6" fillId="0" borderId="0" pivotButton="0" quotePrefix="0" xfId="0"/>
    <xf numFmtId="166" fontId="6" fillId="0" borderId="0" pivotButton="0" quotePrefix="0" xfId="0"/>
    <xf numFmtId="10" fontId="4" fillId="4" borderId="0" pivotButton="0" quotePrefix="0" xfId="0"/>
    <xf numFmtId="171" fontId="8" fillId="0" borderId="0" pivotButton="0" quotePrefix="0" xfId="0"/>
    <xf numFmtId="0" fontId="7" fillId="0" borderId="0" pivotButton="0" quotePrefix="0" xfId="0"/>
    <xf numFmtId="17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THREE THINGS ARE PASTED VALUES, and it is worth knowing exactly which.</t>
        </is>
      </c>
    </row>
    <row r="21">
      <c r="A21" s="3" t="inlineStr">
        <is>
          <t xml:space="preserve">  (1) AUDITED AND DISCLOSED HISTORY — the primary record, not a calculation. Where a line is both disclosed</t>
        </is>
      </c>
    </row>
    <row r="22">
      <c r="A22" s="3" t="inlineStr">
        <is>
          <t xml:space="preserve">      and arithmetically derivable, the DISCLOSED figure is carried, because the filing is the record.</t>
        </is>
      </c>
    </row>
    <row r="23">
      <c r="A23" s="3" t="inlineStr">
        <is>
          <t xml:space="preserve">  (2) THE OUTPUT OF A UNIT BUILD that would be unreadable flattened into a grid — the historical segment</t>
        </is>
      </c>
    </row>
    <row r="24">
      <c r="A24" s="3" t="inlineStr">
        <is>
          <t xml:space="preserve">      revenue and earnings table, which the operating-segments note gives directly.</t>
        </is>
      </c>
    </row>
    <row r="25">
      <c r="A25" s="3" t="inlineStr">
        <is>
          <t xml:space="preserve">  (3) WHOLE-MODEL RE-RUNS, where each figure is a complete revaluation of the entire model and so cannot be</t>
        </is>
      </c>
    </row>
    <row r="26">
      <c r="A26" s="3" t="inlineStr">
        <is>
          <t xml:space="preserve">      a single formula: the Monte Carlo price map, the two sensitivity grids, the discounted-cash-flow</t>
        </is>
      </c>
    </row>
    <row r="27">
      <c r="A27" s="3" t="inlineStr">
        <is>
          <t xml:space="preserve">      bear and bull bounds (each of which re-runs the fleet build at a different rate anchor, a different</t>
        </is>
      </c>
    </row>
    <row r="28">
      <c r="A28" s="3" t="inlineStr">
        <is>
          <t xml:space="preserve">      beta — the two ends of the regression's own confidence interval — and a different capital-expenditure</t>
        </is>
      </c>
    </row>
    <row r="29">
      <c r="A29" s="3" t="inlineStr">
        <is>
          <t xml:space="preserve">      path) and the three expert-panel legs.</t>
        </is>
      </c>
    </row>
    <row r="30">
      <c r="A30" s="3" t="inlineStr">
        <is>
          <t xml:space="preserve">  THE MONTE CARLO AND SENSITIVITY GRIDS DO NOT REDRAW WHEN A DRIVER IS CHANGED. Changing a blue cell</t>
        </is>
      </c>
    </row>
    <row r="31">
      <c r="A31" s="3" t="inlineStr">
        <is>
          <t xml:space="preserve">  reprices the whole valuation chain, but those grids are engine outputs and stay as they were run.</t>
        </is>
      </c>
    </row>
    <row r="32">
      <c r="A32" s="3" t="inlineStr">
        <is>
          <t xml:space="preserve">  Anything else pasted is a defect.</t>
        </is>
      </c>
    </row>
    <row r="33">
      <c r="A33" s="3" t="inlineStr"/>
    </row>
    <row r="34">
      <c r="A34" s="3" t="inlineStr">
        <is>
          <t>How revenue is built. Not as one growth rate. The tanker fleet is built vessel by vessel: fifty-three owned</t>
        </is>
      </c>
    </row>
    <row r="35">
      <c r="A35" s="3" t="inlineStr">
        <is>
          <t>vessels split into those trading at spot rates and those on charters out at rates already fixed and</t>
        </is>
      </c>
    </row>
    <row r="36">
      <c r="A36" s="3" t="inlineStr">
        <is>
          <t>disclosed, each class earning its own time-charter equivalent per day over 365 days, less an all-in running</t>
        </is>
      </c>
    </row>
    <row r="37">
      <c r="A37" s="3" t="inlineStr">
        <is>
          <t>cost per vessel per day escalated on a services-and-wage escalator. The gas carriers are built from</t>
        </is>
      </c>
    </row>
    <row r="38">
      <c r="A38" s="3" t="inlineStr">
        <is>
          <t>contracted vessel-years times an implied day rate. The five remaining units are grown on their own revenue</t>
        </is>
      </c>
    </row>
    <row r="39">
      <c r="A39" s="3" t="inlineStr">
        <is>
          <t>and margin drivers, anchored on what each actually earned in the first quarter of 2026.</t>
        </is>
      </c>
    </row>
    <row r="40">
      <c r="A40" s="3" t="inlineStr"/>
    </row>
    <row r="41">
      <c r="A41" s="3" t="inlineStr">
        <is>
          <t>THE CONTESTED JUDGEMENT, PUBLISHED BOTH WAYS — HOW THE MARKET IS MEASURED. The same weekly regression of the</t>
        </is>
      </c>
    </row>
    <row r="42">
      <c r="A42" s="3" t="inlineStr">
        <is>
          <t>stock's own returns is run against two different measures of its market, and the answer moves a long way</t>
        </is>
      </c>
    </row>
    <row r="43">
      <c r="A43" s="3" t="inlineStr">
        <is>
          <t>between them. Against the published index of the exchange the share is listed on — the index the method</t>
        </is>
      </c>
    </row>
    <row r="44">
      <c r="A44" s="3" t="inlineStr">
        <is>
          <t>asks for, and the primary reading — the beta is 1.085. Against an equal-weight composite of that same</t>
        </is>
      </c>
    </row>
    <row r="45">
      <c r="A45" s="3" t="inlineStr">
        <is>
          <t>exchange's names, which gives its smallest listings the same say as its largest, the beta is</t>
        </is>
      </c>
    </row>
    <row r="46">
      <c r="A46" s="3" t="inlineStr">
        <is>
          <t>0.705. The published index is weighted by size and is therefore dominated by the very group this</t>
        </is>
      </c>
    </row>
    <row r="47">
      <c r="A47" s="3" t="inlineStr">
        <is>
          <t>company belongs to; the composite is not. That single difference in construction, and nothing about the</t>
        </is>
      </c>
    </row>
    <row r="48">
      <c r="A48" s="3" t="inlineStr">
        <is>
          <t>company, moves the cost of equity and the cash-flow value materially. BOTH are carried through the model in</t>
        </is>
      </c>
    </row>
    <row r="49">
      <c r="A49" s="3" t="inlineStr">
        <is>
          <t>full, side by side, on the Summary, Fundamental Valuation and DCF sheets. They are NOT averaged into one</t>
        </is>
      </c>
    </row>
    <row r="50">
      <c r="A50" s="3" t="inlineStr">
        <is>
          <t>number. The regression's own 90% confidence interval on the primary estimate runs 0.758 to 1.412, and</t>
        </is>
      </c>
    </row>
    <row r="51">
      <c r="A51" s="3" t="inlineStr">
        <is>
          <t>those two bounds — not round numbers chosen by hand — are the betas used in the bear and bull cases, so the</t>
        </is>
      </c>
    </row>
    <row r="52">
      <c r="A52" s="3" t="inlineStr">
        <is>
          <t>published range is the range the estimate itself supports.</t>
        </is>
      </c>
    </row>
    <row r="53">
      <c r="A53" s="3" t="inlineStr"/>
    </row>
    <row r="54">
      <c r="A54" s="3" t="inlineStr">
        <is>
          <t>What it is not. It is not investment advice, a recommendation, or a price target. Values are model outputs</t>
        </is>
      </c>
    </row>
    <row r="55">
      <c r="A55" s="3" t="inlineStr">
        <is>
          <t>shown as ranges and distributions.</t>
        </is>
      </c>
    </row>
    <row r="56">
      <c r="A56" s="3" t="inlineStr"/>
    </row>
    <row r="57">
      <c r="A57" s="3" t="inlineStr">
        <is>
          <t>Sourcing note, up front. FY2023, FY2024 and FY2025 come from the company's own audited consolidated</t>
        </is>
      </c>
    </row>
    <row r="58">
      <c r="A58" s="3" t="inlineStr">
        <is>
          <t>financial statements; the first quarter of 2026 comes from the reviewed interim statements; the fleet,</t>
        </is>
      </c>
    </row>
    <row r="59">
      <c r="A59" s="3" t="inlineStr">
        <is>
          <t>rate and contract data come from the company's own investor presentations and earnings calls. Every input</t>
        </is>
      </c>
    </row>
    <row r="60">
      <c r="A60" s="3" t="inlineStr">
        <is>
          <t>is listed with its value, source and date in the companion bibliography document.</t>
        </is>
      </c>
    </row>
    <row r="61">
      <c r="A61" s="3" t="inlineStr"/>
    </row>
    <row r="62">
      <c r="A62" s="3" t="inlineStr">
        <is>
          <t>Currency. US dollar thousand unless stated — the company reports in US dollars. Per-share figures are in</t>
        </is>
      </c>
    </row>
    <row r="63">
      <c r="A63" s="3" t="inlineStr">
        <is>
          <t>dirhams at the fixed parity of 3.6725 dirhams to the dollar. Spot AED 6.16 (2026-08-07 close).</t>
        </is>
      </c>
    </row>
    <row r="64">
      <c r="A64" s="3" t="inlineStr">
        <is>
          <t>Sheets: READ FIRST · Summary · Fundamental Valuation · Assumptions · SOTP Bridge · Segments · Relative &amp;</t>
        </is>
      </c>
    </row>
    <row r="65">
      <c r="A65" s="3" t="inlineStr">
        <is>
          <t>Normalized · DCF · Income Statement · Balance Sheet · Cash Flow · Summary Financials · Monte Carlo ·</t>
        </is>
      </c>
    </row>
    <row r="66">
      <c r="A6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DCF!$C$57</f>
        <v/>
      </c>
      <c r="D5" s="7">
        <f>'Fundamental Valuation'!$C$7</f>
        <v/>
      </c>
      <c r="E5" s="8">
        <f>Assumptions!$C$110</f>
        <v/>
      </c>
      <c r="F5" s="9">
        <f>C5*E5</f>
        <v/>
      </c>
      <c r="G5" s="10">
        <f>C5/$C$16-1</f>
        <v/>
      </c>
      <c r="H5" s="8">
        <f>DCF!$C$48</f>
        <v/>
      </c>
    </row>
    <row r="6">
      <c r="A6" s="6" t="inlineStr">
        <is>
          <t>Relative multiples</t>
        </is>
      </c>
      <c r="B6" s="7">
        <f>'Relative &amp; Normalized'!$C$20</f>
        <v/>
      </c>
      <c r="C6" s="7">
        <f>'Relative &amp; Normalized'!$C$19</f>
        <v/>
      </c>
      <c r="D6" s="7">
        <f>'Relative &amp; Normalized'!$D$20</f>
        <v/>
      </c>
      <c r="E6" s="8">
        <f>Assumptions!$C$111</f>
        <v/>
      </c>
      <c r="F6" s="9">
        <f>C6*E6</f>
        <v/>
      </c>
      <c r="G6" s="10">
        <f>C6/$C$16-1</f>
        <v/>
      </c>
    </row>
    <row r="7">
      <c r="A7" s="6" t="inlineStr">
        <is>
          <t>Normalised earnings power</t>
        </is>
      </c>
      <c r="B7" s="7">
        <f>'Relative &amp; Normalized'!$C$42</f>
        <v/>
      </c>
      <c r="C7" s="7">
        <f>'Relative &amp; Normalized'!$C$41</f>
        <v/>
      </c>
      <c r="D7" s="7">
        <f>'Relative &amp; Normalized'!$D$42</f>
        <v/>
      </c>
      <c r="E7" s="8">
        <f>Assumptions!$C$112</f>
        <v/>
      </c>
      <c r="F7" s="9">
        <f>C7*E7</f>
        <v/>
      </c>
      <c r="G7" s="10">
        <f>C7/$C$16-1</f>
        <v/>
      </c>
    </row>
    <row r="8">
      <c r="A8" s="6" t="inlineStr">
        <is>
          <t>Book value and sustainable return</t>
        </is>
      </c>
      <c r="B8" s="7">
        <f>'Relative &amp; Normalized'!$C$53</f>
        <v/>
      </c>
      <c r="C8" s="7">
        <f>'Relative &amp; Normalized'!$C$52</f>
        <v/>
      </c>
      <c r="D8" s="7">
        <f>'Relative &amp; Normalized'!$D$53</f>
        <v/>
      </c>
      <c r="E8" s="8">
        <f>Assumptions!$C$113</f>
        <v/>
      </c>
      <c r="F8" s="9">
        <f>C8*E8</f>
        <v/>
      </c>
      <c r="G8" s="10">
        <f>C8/$C$16-1</f>
        <v/>
      </c>
    </row>
    <row r="9">
      <c r="A9" s="11" t="inlineStr">
        <is>
          <t>WEIGHTED CENTRAL</t>
        </is>
      </c>
      <c r="B9" s="12">
        <f>B5*E5+B6*E6+B7*E7+B8*E8</f>
        <v/>
      </c>
      <c r="C9" s="12">
        <f>SUM(F5:F8)</f>
        <v/>
      </c>
      <c r="D9" s="12">
        <f>D5*E5+D6*E6+D7*E7+D8*E8</f>
        <v/>
      </c>
      <c r="E9" s="13">
        <f>SUM(E5:E8)</f>
        <v/>
      </c>
      <c r="F9" s="14" t="n"/>
      <c r="G9" s="13">
        <f>C9/$C$16-1</f>
        <v/>
      </c>
      <c r="H9" s="14" t="n"/>
    </row>
    <row r="11">
      <c r="A11" s="11" t="inlineStr">
        <is>
          <t>THE CONTESTED JUDGEMENT — PUBLISHED BOTH WAYS, NEVER AVERAGED</t>
        </is>
      </c>
      <c r="B11" s="14" t="n"/>
      <c r="C11" s="14" t="n"/>
      <c r="D11" s="14" t="n"/>
      <c r="E11" s="14" t="n"/>
      <c r="F11" s="14" t="n"/>
      <c r="G11" s="14" t="n"/>
      <c r="H11" s="14" t="n"/>
    </row>
    <row r="12">
      <c r="A12" s="6" t="inlineStr">
        <is>
          <t>Discounted cash flow (composite-index beta of 0.705)</t>
        </is>
      </c>
      <c r="B12" s="9">
        <f>B5</f>
        <v/>
      </c>
      <c r="C12" s="7">
        <f>DCF!$C$130</f>
        <v/>
      </c>
      <c r="D12" s="9">
        <f>D5</f>
        <v/>
      </c>
      <c r="E12" s="10">
        <f>E5</f>
        <v/>
      </c>
      <c r="F12" s="9">
        <f>C12*E12</f>
        <v/>
      </c>
      <c r="G12" s="10">
        <f>C12/$C$16-1</f>
        <v/>
      </c>
      <c r="H12" s="8">
        <f>DCF!$C$127</f>
        <v/>
      </c>
    </row>
    <row r="13">
      <c r="A13" s="14" t="inlineStr">
        <is>
          <t>Weighted central on the composite-index beta</t>
        </is>
      </c>
      <c r="B13" s="14" t="n"/>
      <c r="C13" s="15">
        <f>F12+F6+F7+F8</f>
        <v/>
      </c>
      <c r="D13" s="14" t="n"/>
      <c r="E13" s="14" t="n"/>
      <c r="F13" s="14" t="n"/>
      <c r="G13" s="16">
        <f>C13/$C$16-1</f>
        <v/>
      </c>
      <c r="H13" s="14" t="n"/>
    </row>
    <row r="15">
      <c r="A15" s="6" t="inlineStr">
        <is>
          <t>Expert panel average</t>
        </is>
      </c>
      <c r="C15" s="7">
        <f>'Fundamental Valuation'!$C$34</f>
        <v/>
      </c>
      <c r="G15" s="10">
        <f>C15/$C$16-1</f>
        <v/>
      </c>
    </row>
    <row r="16">
      <c r="A16" s="14" t="inlineStr">
        <is>
          <t>Market price (AED, anchor)</t>
        </is>
      </c>
      <c r="B16" s="14" t="n"/>
      <c r="C16" s="15" t="n">
        <v>6.16</v>
      </c>
      <c r="D16" s="14" t="n"/>
      <c r="E16" s="14" t="n"/>
      <c r="F16" s="14" t="n"/>
      <c r="G16" s="14" t="n"/>
      <c r="H16" s="14" t="n"/>
    </row>
    <row r="18">
      <c r="A18" s="5" t="inlineStr">
        <is>
          <t>Key figure</t>
        </is>
      </c>
      <c r="B18" s="5" t="inlineStr"/>
      <c r="C18" s="5" t="inlineStr">
        <is>
          <t>Value</t>
        </is>
      </c>
    </row>
    <row r="19">
      <c r="A19" s="6" t="inlineStr">
        <is>
          <t>Shares outstanding (mn)</t>
        </is>
      </c>
      <c r="C19" s="17">
        <f>Assumptions!$C$6</f>
        <v/>
      </c>
    </row>
    <row r="20">
      <c r="A20" s="6" t="inlineStr">
        <is>
          <t>Market capitalisation (USD 000)</t>
        </is>
      </c>
      <c r="C20" s="18">
        <f>DCF!$C$93</f>
        <v/>
      </c>
    </row>
    <row r="21">
      <c r="A21" s="6" t="inlineStr">
        <is>
          <t>Enterprise value at the anchor price (USD 000)</t>
        </is>
      </c>
      <c r="C21" s="18">
        <f>'Relative &amp; Normalized'!$C$26</f>
        <v/>
      </c>
    </row>
    <row r="22">
      <c r="A22" s="6" t="inlineStr">
        <is>
          <t>Net debt including deferred consideration, 31 March 2026 (USD 000)</t>
        </is>
      </c>
      <c r="C22" s="18">
        <f>'Relative &amp; Normalized'!$C$25</f>
        <v/>
      </c>
    </row>
    <row r="23">
      <c r="A23" s="6" t="inlineStr">
        <is>
          <t>FY2025 revenue (USD 000)</t>
        </is>
      </c>
      <c r="C23" s="18">
        <f>'Income Statement'!D5</f>
        <v/>
      </c>
    </row>
    <row r="24">
      <c r="A24" s="6" t="inlineStr">
        <is>
          <t>FY2025 EBITDA as reported (USD 000)</t>
        </is>
      </c>
      <c r="C24" s="18">
        <f>'Income Statement'!D16</f>
        <v/>
      </c>
    </row>
    <row r="25">
      <c r="A25" s="6" t="inlineStr">
        <is>
          <t>FY2025 profit attributable to shareholders (USD 000)</t>
        </is>
      </c>
      <c r="C25" s="18">
        <f>'Income Statement'!D28</f>
        <v/>
      </c>
    </row>
    <row r="26">
      <c r="A26" s="6" t="inlineStr">
        <is>
          <t>Cost of equity — published-index beta (primary)</t>
        </is>
      </c>
      <c r="C26" s="19">
        <f>DCF!$C$65</f>
        <v/>
      </c>
    </row>
    <row r="27">
      <c r="A27" s="6" t="inlineStr">
        <is>
          <t>Cost of equity — composite-index beta (alternative)</t>
        </is>
      </c>
      <c r="C27" s="19">
        <f>DCF!$C$106</f>
        <v/>
      </c>
    </row>
    <row r="28">
      <c r="A28" s="6" t="inlineStr">
        <is>
          <t>Cost of equity at the lower 90% confidence bound on the primary beta</t>
        </is>
      </c>
      <c r="C28" s="19">
        <f>DCF!$C$114</f>
        <v/>
      </c>
    </row>
    <row r="29">
      <c r="A29" s="6" t="inlineStr">
        <is>
          <t>Cost of equity at the upper 90% confidence bound on the primary beta</t>
        </is>
      </c>
      <c r="C29" s="19">
        <f>DCF!$C$115</f>
        <v/>
      </c>
    </row>
    <row r="30">
      <c r="A30" s="6" t="inlineStr">
        <is>
          <t>Cost of debt — the three constructions averaged</t>
        </is>
      </c>
      <c r="C30" s="19">
        <f>DCF!$C$88</f>
        <v/>
      </c>
    </row>
    <row r="31">
      <c r="A31" s="6" t="inlineStr">
        <is>
          <t>Cost of capital — explicit window</t>
        </is>
      </c>
      <c r="C31" s="19">
        <f>DCF!$C$97</f>
        <v/>
      </c>
    </row>
    <row r="32">
      <c r="A32" s="6" t="inlineStr">
        <is>
          <t>Cost of capital — terminal</t>
        </is>
      </c>
      <c r="C32" s="19">
        <f>DCF!$C$102</f>
        <v/>
      </c>
    </row>
    <row r="33">
      <c r="A33" s="6" t="inlineStr">
        <is>
          <t>Terminal growth</t>
        </is>
      </c>
      <c r="C33" s="8">
        <f>DCF!$C$39</f>
        <v/>
      </c>
    </row>
    <row r="34">
      <c r="A34" s="6" t="inlineStr">
        <is>
          <t>Sum-of-the-parts cross-check (AED per share)</t>
        </is>
      </c>
      <c r="C34" s="7">
        <f>'SOTP Bridge'!$C$40</f>
        <v/>
      </c>
    </row>
    <row r="36">
      <c r="A36"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0" t="inlineStr">
        <is>
          <t>links to the DCF sheet — five explicit years plus a capitalised terminal value</t>
        </is>
      </c>
      <c r="C5" s="7">
        <f>DCF!$C$57</f>
        <v/>
      </c>
    </row>
    <row r="6" ht="28" customHeight="1">
      <c r="A6" s="6" t="inlineStr">
        <is>
          <t xml:space="preserve">  bear</t>
        </is>
      </c>
      <c r="B6" s="20" t="inlineStr">
        <is>
          <t>beta 1.412 — the TOP of the regression's own 90% confidence interval, not a round number picked by hand — with the rate anchor at 0.85x and capital expenditure at 1.10x. A whole-model re-run</t>
        </is>
      </c>
      <c r="C6" s="21" t="n">
        <v>3.47772190260892</v>
      </c>
    </row>
    <row r="7" ht="28" customHeight="1">
      <c r="A7" s="6" t="inlineStr">
        <is>
          <t xml:space="preserve">  bull</t>
        </is>
      </c>
      <c r="B7" s="20" t="inlineStr">
        <is>
          <t>beta 0.758 — the BOTTOM of the same interval — with the rate anchor at 1.15x and capital expenditure at 0.95x. Taking both bounds from the interval means the published range is the range the estimate itself supports. A whole-model re-run</t>
        </is>
      </c>
      <c r="C7" s="21" t="n">
        <v>9.000150484360782</v>
      </c>
    </row>
    <row r="8" ht="28" customHeight="1">
      <c r="A8" s="6" t="inlineStr">
        <is>
          <t>Relative multiples</t>
        </is>
      </c>
      <c r="B8" s="20" t="inlineStr">
        <is>
          <t>blended enterprise and earnings multiples on 2026 earnings</t>
        </is>
      </c>
      <c r="C8" s="7">
        <f>'Relative &amp; Normalized'!$C$19</f>
        <v/>
      </c>
    </row>
    <row r="9" ht="28" customHeight="1">
      <c r="A9" s="6" t="inlineStr">
        <is>
          <t>Normalised earnings power</t>
        </is>
      </c>
      <c r="B9" s="20" t="inlineStr">
        <is>
          <t>the same multiples on the five-year average of the forecast</t>
        </is>
      </c>
      <c r="C9" s="7">
        <f>'Relative &amp; Normalized'!$C$41</f>
        <v/>
      </c>
    </row>
    <row r="10" ht="28" customHeight="1">
      <c r="A10" s="6" t="inlineStr">
        <is>
          <t>Book value and sustainable return</t>
        </is>
      </c>
      <c r="B10" s="20" t="inlineStr">
        <is>
          <t>justified price-to-book on the sustainable return on equity</t>
        </is>
      </c>
      <c r="C10" s="7">
        <f>'Relative &amp; Normalized'!$C$52</f>
        <v/>
      </c>
    </row>
    <row r="12">
      <c r="A12" s="11" t="inlineStr">
        <is>
          <t>Weighted central</t>
        </is>
      </c>
      <c r="B12" s="14" t="n"/>
      <c r="C12" s="22">
        <f>Summary!$C$9</f>
        <v/>
      </c>
    </row>
    <row r="14">
      <c r="A14" s="11" t="inlineStr">
        <is>
          <t>THE CONTESTED JUDGEMENT — TWO INDEX CONSTRUCTIONS, BOTH CARRIED THROUGH IN FULL</t>
        </is>
      </c>
      <c r="B14" s="14" t="n"/>
      <c r="C14" s="14" t="n"/>
    </row>
    <row r="15" ht="26" customHeight="1">
      <c r="A15" s="6" t="inlineStr">
        <is>
          <t>Beta — weekly regression against the published index of its own exchange (primary)</t>
        </is>
      </c>
      <c r="B15" s="20" t="inlineStr">
        <is>
          <t>161 weekly observations, R-squared 15.8%, standard error 0.199, 90% confidence interval 0.758 to 1.412 — the usability gate is passed, and this is the index the method asks for</t>
        </is>
      </c>
      <c r="C15" s="23">
        <f>Assumptions!$C$14</f>
        <v/>
      </c>
    </row>
    <row r="16" ht="26" customHeight="1">
      <c r="A16" s="6" t="inlineStr">
        <is>
          <t>Cost of equity on the published-index beta</t>
        </is>
      </c>
      <c r="B16" s="20" t="inlineStr">
        <is>
          <t>normalised risk-free rate plus beta times the equity risk premium</t>
        </is>
      </c>
      <c r="C16" s="19">
        <f>DCF!$C$65</f>
        <v/>
      </c>
    </row>
    <row r="17" ht="26" customHeight="1">
      <c r="A17" s="6" t="inlineStr">
        <is>
          <t>Cost of capital on the published-index beta</t>
        </is>
      </c>
      <c r="B17" s="20" t="inlineStr">
        <is>
          <t>explicit window, market-value weights</t>
        </is>
      </c>
      <c r="C17" s="19">
        <f>DCF!$C$97</f>
        <v/>
      </c>
    </row>
    <row r="18" ht="26" customHeight="1">
      <c r="A18" s="6" t="inlineStr">
        <is>
          <t>Fair value per share — published-index beta (AED)</t>
        </is>
      </c>
      <c r="B18" s="20" t="inlineStr">
        <is>
          <t>the primary reading</t>
        </is>
      </c>
      <c r="C18" s="7">
        <f>DCF!$C$57</f>
        <v/>
      </c>
    </row>
    <row r="19" ht="26" customHeight="1">
      <c r="A19" s="6" t="inlineStr">
        <is>
          <t>Weighted central — published-index beta (AED)</t>
        </is>
      </c>
      <c r="B19" s="20" t="inlineStr">
        <is>
          <t>all four lenses</t>
        </is>
      </c>
      <c r="C19" s="7">
        <f>Summary!$C$9</f>
        <v/>
      </c>
    </row>
    <row r="20" ht="26" customHeight="1">
      <c r="A20" s="6" t="inlineStr">
        <is>
          <t>Beta — the same regression against an equal-weight composite of the same exchange's names (alternative)</t>
        </is>
      </c>
      <c r="B20" s="20" t="inlineStr">
        <is>
          <t>the published index is weighted by size and is dominated by the same large-capitalisation group this company belongs to; the composite gives the exchange's smallest names the same say as its largest. Only the measure of the market changes</t>
        </is>
      </c>
      <c r="C20" s="23">
        <f>Assumptions!$C$15</f>
        <v/>
      </c>
    </row>
    <row r="21" ht="26" customHeight="1">
      <c r="A21" s="6" t="inlineStr">
        <is>
          <t>Cost of equity on the composite-index beta</t>
        </is>
      </c>
      <c r="B21" s="20" t="inlineStr">
        <is>
          <t>the same construction, the same premium, the composite beta</t>
        </is>
      </c>
      <c r="C21" s="19">
        <f>DCF!$C$106</f>
        <v/>
      </c>
    </row>
    <row r="22" ht="26" customHeight="1">
      <c r="A22" s="6" t="inlineStr">
        <is>
          <t>Cost of capital on the composite-index beta</t>
        </is>
      </c>
      <c r="B22" s="20" t="inlineStr">
        <is>
          <t>explicit window, market-value weights</t>
        </is>
      </c>
      <c r="C22" s="19">
        <f>DCF!$C$108</f>
        <v/>
      </c>
    </row>
    <row r="23" ht="26" customHeight="1">
      <c r="A23" s="6" t="inlineStr">
        <is>
          <t>Fair value per share — composite-index beta (AED)</t>
        </is>
      </c>
      <c r="B23" s="20" t="inlineStr">
        <is>
          <t>the alternative reading</t>
        </is>
      </c>
      <c r="C23" s="7">
        <f>DCF!$C$130</f>
        <v/>
      </c>
    </row>
    <row r="24" ht="26" customHeight="1">
      <c r="A24" s="6" t="inlineStr">
        <is>
          <t>Weighted central — composite-index beta (AED)</t>
        </is>
      </c>
      <c r="B24" s="20" t="inlineStr">
        <is>
          <t>all four lenses, the discounted-cash-flow leg swapped</t>
        </is>
      </c>
      <c r="C24" s="7">
        <f>Summary!$C$13</f>
        <v/>
      </c>
    </row>
    <row r="25" ht="26" customHeight="1">
      <c r="A25" s="6" t="inlineStr">
        <is>
          <t>Beta — lower bound of the 90% confidence interval on the primary regression</t>
        </is>
      </c>
      <c r="B25" s="20" t="inlineStr">
        <is>
          <t>the bull-case beta; the bear and bull cases take the two ends of this interval rather than round numbers picked by hand</t>
        </is>
      </c>
      <c r="C25" s="23">
        <f>Assumptions!$C$16</f>
        <v/>
      </c>
    </row>
    <row r="26" ht="26" customHeight="1">
      <c r="A26" s="6" t="inlineStr">
        <is>
          <t>Beta — upper bound of the 90% confidence interval on the primary regression</t>
        </is>
      </c>
      <c r="B26" s="20" t="inlineStr">
        <is>
          <t>the bear-case beta; the published range is therefore the range the estimate itself supports</t>
        </is>
      </c>
      <c r="C26" s="23">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4" t="n"/>
      <c r="C29" s="14" t="n"/>
      <c r="D29" s="14" t="n"/>
      <c r="E29" s="14"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1" t="n">
        <v>6.051858331225449</v>
      </c>
      <c r="D31" s="21" t="n">
        <v>4.538893748419087</v>
      </c>
      <c r="E31" s="21" t="n">
        <v>7.564822914031812</v>
      </c>
    </row>
    <row r="32">
      <c r="A32" s="6" t="inlineStr">
        <is>
          <t>Expert 2</t>
        </is>
      </c>
      <c r="B32" s="6" t="inlineStr">
        <is>
          <t>owner cash earnings</t>
        </is>
      </c>
      <c r="C32" s="21" t="n">
        <v>4.659955276266538</v>
      </c>
      <c r="D32" s="21" t="n">
        <v>3.410372734655293</v>
      </c>
      <c r="E32" s="21" t="n">
        <v>6.548699942289825</v>
      </c>
    </row>
    <row r="33">
      <c r="A33" s="6" t="inlineStr">
        <is>
          <t>Expert 3</t>
        </is>
      </c>
      <c r="B33" s="6" t="inlineStr">
        <is>
          <t>cash returns against the cost of capital</t>
        </is>
      </c>
      <c r="C33" s="21" t="n">
        <v>4.792142453207098</v>
      </c>
      <c r="D33" s="21" t="n">
        <v>3.709183272309684</v>
      </c>
      <c r="E33" s="21" t="n">
        <v>5.641772237728</v>
      </c>
    </row>
    <row r="34">
      <c r="A34" s="11" t="inlineStr">
        <is>
          <t>Panel average</t>
        </is>
      </c>
      <c r="B34" s="14" t="n"/>
      <c r="C34" s="12">
        <f>AVERAGE(C31:C33)</f>
        <v/>
      </c>
      <c r="D34" s="14" t="n"/>
      <c r="E34"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5"/>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4" t="n"/>
      <c r="C4" s="14" t="n"/>
      <c r="D4" s="14" t="n"/>
      <c r="E4" s="14" t="n"/>
      <c r="F4" s="14" t="n"/>
      <c r="G4" s="14" t="n"/>
      <c r="H4" s="14" t="n"/>
    </row>
    <row r="5">
      <c r="A5" s="6" t="inlineStr">
        <is>
          <t>Share price (AED, Abu Dhabi Securities Exchange close)</t>
        </is>
      </c>
      <c r="C5" s="21" t="n">
        <v>6.16</v>
      </c>
    </row>
    <row r="6">
      <c r="A6" s="6" t="inlineStr">
        <is>
          <t>Shares outstanding (mn)</t>
        </is>
      </c>
      <c r="C6" s="24" t="n">
        <v>7398.498764</v>
      </c>
    </row>
    <row r="7">
      <c r="A7" s="6" t="inlineStr">
        <is>
          <t>Dirhams per US dollar (fixed parity, unchanged since 1997)</t>
        </is>
      </c>
      <c r="C7" s="25" t="n">
        <v>3.6725</v>
      </c>
    </row>
    <row r="8">
      <c r="A8" s="6" t="inlineStr">
        <is>
          <t>Stub year fraction — 31 March 2026 valuation date to 31 December 2026</t>
        </is>
      </c>
      <c r="C8" s="26" t="n">
        <v>0.75</v>
      </c>
    </row>
    <row r="9">
      <c r="A9" s="6" t="inlineStr">
        <is>
          <t>First-quarter 2026 free cash flow, already inside net debt at the valuation date (USD 000)</t>
        </is>
      </c>
      <c r="C9" s="27" t="n">
        <v>130000</v>
      </c>
    </row>
    <row r="11">
      <c r="A11" s="11" t="inlineStr">
        <is>
          <t>Cost of capital</t>
        </is>
      </c>
      <c r="B11" s="14" t="n"/>
      <c r="C11" s="14" t="n"/>
      <c r="D11" s="14" t="n"/>
      <c r="E11" s="14" t="n"/>
      <c r="F11" s="14" t="n"/>
      <c r="G11" s="14" t="n"/>
      <c r="H11" s="14" t="n"/>
    </row>
    <row r="12">
      <c r="A12" s="6" t="inlineStr">
        <is>
          <t>Observed government bond yield (dirham tranche maturing January 2031)</t>
        </is>
      </c>
      <c r="C12" s="28" t="n">
        <v>0.0448</v>
      </c>
    </row>
    <row r="13">
      <c r="A13" s="6" t="inlineStr">
        <is>
          <t>Sovereign default spread (netted out of the risk-free rate)</t>
        </is>
      </c>
      <c r="C13" s="28" t="n">
        <v>0.0042</v>
      </c>
    </row>
    <row r="14">
      <c r="A14" s="6" t="inlineStr">
        <is>
          <t>Beta — own-stock weekly regression against the published index of its own exchange</t>
        </is>
      </c>
      <c r="C14" s="29" t="n">
        <v>1.085</v>
      </c>
    </row>
    <row r="15">
      <c r="A15" s="6" t="inlineStr">
        <is>
          <t>Beta — the same regression against an equal-weight composite of that exchange's names (the disclosed alternative)</t>
        </is>
      </c>
      <c r="C15" s="29" t="n">
        <v>0.705</v>
      </c>
    </row>
    <row r="16">
      <c r="A16" s="6" t="inlineStr">
        <is>
          <t>Beta — lower bound of the regression's 90% confidence interval (the bull-case beta)</t>
        </is>
      </c>
      <c r="C16" s="29" t="n">
        <v>0.758</v>
      </c>
    </row>
    <row r="17">
      <c r="A17" s="6" t="inlineStr">
        <is>
          <t>Beta — upper bound of the regression's 90% confidence interval (the bear-case beta)</t>
        </is>
      </c>
      <c r="C17" s="29" t="n">
        <v>1.412</v>
      </c>
    </row>
    <row r="18">
      <c r="A18" s="6" t="inlineStr">
        <is>
          <t>Beta — lead-lag sum beta from the same series, one lead and two lags</t>
        </is>
      </c>
      <c r="C18" s="29" t="n">
        <v>1.164</v>
      </c>
    </row>
    <row r="19">
      <c r="A19" s="6" t="inlineStr">
        <is>
          <t>Equity risk premium (mature premium plus country risk)</t>
        </is>
      </c>
      <c r="C19" s="28"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28" t="n">
        <v>0.0325</v>
      </c>
    </row>
    <row r="21">
      <c r="A21" s="6" t="inlineStr">
        <is>
          <t>Statutory corporate tax rate</t>
        </is>
      </c>
      <c r="C21" s="30" t="n">
        <v>0.09</v>
      </c>
    </row>
    <row r="23">
      <c r="A23" s="11" t="inlineStr">
        <is>
          <t>Cost of debt — the evidence behind the three constructions</t>
        </is>
      </c>
      <c r="B23" s="14" t="n"/>
      <c r="C23" s="14" t="n"/>
      <c r="D23" s="14" t="n"/>
      <c r="E23" s="14" t="n"/>
      <c r="F23" s="14" t="n"/>
      <c r="G23" s="14" t="n"/>
      <c r="H23" s="14" t="n"/>
    </row>
    <row r="24">
      <c r="A24" s="6" t="inlineStr">
        <is>
          <t>Secured overnight financing rate</t>
        </is>
      </c>
      <c r="C24" s="28"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28" t="n">
        <v>0.008</v>
      </c>
    </row>
    <row r="26">
      <c r="A26" s="6" t="inlineStr">
        <is>
          <t>Third-party bank loans — low end of the disclosed range</t>
        </is>
      </c>
      <c r="C26" s="28" t="n">
        <v>0.0711</v>
      </c>
    </row>
    <row r="27">
      <c r="A27" s="6" t="inlineStr">
        <is>
          <t>Third-party bank loans — high end of the disclosed range</t>
        </is>
      </c>
      <c r="C27" s="28" t="n">
        <v>0.0755</v>
      </c>
    </row>
    <row r="28">
      <c r="A28" s="6" t="inlineStr">
        <is>
          <t>Other third-party borrowings — low end of the disclosed range</t>
        </is>
      </c>
      <c r="C28" s="28" t="n">
        <v>0.0436</v>
      </c>
    </row>
    <row r="29">
      <c r="A29" s="6" t="inlineStr">
        <is>
          <t>Other third-party borrowings — high end of the disclosed range</t>
        </is>
      </c>
      <c r="C29" s="28" t="n">
        <v>0.08309999999999999</v>
      </c>
    </row>
    <row r="30">
      <c r="A30" s="6" t="inlineStr">
        <is>
          <t>Lease interest charged in 2025 (USD 000)</t>
        </is>
      </c>
      <c r="C30" s="27" t="n">
        <v>12719</v>
      </c>
    </row>
    <row r="31">
      <c r="A31" s="6" t="inlineStr">
        <is>
          <t>Lease liabilities, opening balance 2025 (USD 000)</t>
        </is>
      </c>
      <c r="C31" s="27" t="n">
        <v>170274</v>
      </c>
    </row>
    <row r="32">
      <c r="A32" s="6" t="inlineStr">
        <is>
          <t>Lease liabilities, closing balance 2025 (USD 000)</t>
        </is>
      </c>
      <c r="C32" s="27" t="n">
        <v>223153</v>
      </c>
    </row>
    <row r="33">
      <c r="A33" s="6" t="inlineStr">
        <is>
          <t>Shareholder loan at 31 March 2026 (USD 000)</t>
        </is>
      </c>
      <c r="C33" s="27" t="n">
        <v>500000</v>
      </c>
    </row>
    <row r="34">
      <c r="A34" s="6" t="inlineStr">
        <is>
          <t>Third-party borrowings at 31 March 2026 (USD 000)</t>
        </is>
      </c>
      <c r="C34" s="27" t="n">
        <v>402763</v>
      </c>
    </row>
    <row r="35">
      <c r="A35" s="6" t="inlineStr">
        <is>
          <t>Lease liabilities at 31 March 2026 (USD 000)</t>
        </is>
      </c>
      <c r="C35" s="27" t="n">
        <v>212449</v>
      </c>
    </row>
    <row r="37">
      <c r="A37" s="11" t="inlineStr">
        <is>
          <t>Tanker fleet — vessel counts and day rates by class</t>
        </is>
      </c>
      <c r="B37" s="14" t="inlineStr">
        <is>
          <t>Handysize</t>
        </is>
      </c>
      <c r="C37" s="14" t="inlineStr">
        <is>
          <t>Medium range</t>
        </is>
      </c>
      <c r="D37" s="14" t="inlineStr">
        <is>
          <t>Long range 1</t>
        </is>
      </c>
      <c r="E37" s="14" t="inlineStr">
        <is>
          <t>Long range 2</t>
        </is>
      </c>
      <c r="F37" s="14" t="inlineStr">
        <is>
          <t>Very large crude carrier</t>
        </is>
      </c>
      <c r="G37" s="14" t="n"/>
      <c r="H37" s="14" t="n"/>
    </row>
    <row r="38">
      <c r="A38" s="6" t="inlineStr">
        <is>
          <t>Vessels owned</t>
        </is>
      </c>
      <c r="B38" s="27" t="n">
        <v>2</v>
      </c>
      <c r="C38" s="27" t="n">
        <v>16</v>
      </c>
      <c r="D38" s="27" t="n">
        <v>9</v>
      </c>
      <c r="E38" s="27" t="n">
        <v>17</v>
      </c>
      <c r="F38" s="27" t="n">
        <v>9</v>
      </c>
    </row>
    <row r="39">
      <c r="A39" s="6" t="inlineStr">
        <is>
          <t>Vessels trading at spot rates</t>
        </is>
      </c>
      <c r="B39" s="27" t="n">
        <v>2</v>
      </c>
      <c r="C39" s="27" t="n">
        <v>16</v>
      </c>
      <c r="D39" s="27" t="n">
        <v>7</v>
      </c>
      <c r="E39" s="27" t="n">
        <v>13</v>
      </c>
      <c r="F39" s="27" t="n">
        <v>7</v>
      </c>
    </row>
    <row r="40">
      <c r="A40" s="6" t="inlineStr">
        <is>
          <t>Fixed charter-out rate (USD per day)</t>
        </is>
      </c>
      <c r="B40" s="31" t="inlineStr">
        <is>
          <t>-</t>
        </is>
      </c>
      <c r="C40" s="31" t="inlineStr">
        <is>
          <t>-</t>
        </is>
      </c>
      <c r="D40" s="27" t="n">
        <v>19750</v>
      </c>
      <c r="E40" s="27" t="n">
        <v>35943</v>
      </c>
      <c r="F40" s="27" t="n">
        <v>60942</v>
      </c>
      <c r="H40" s="4" t="inlineStr">
        <is>
          <t>The smallest two classes have no vessels on charters out, so no fixed rate applies to them.</t>
        </is>
      </c>
    </row>
    <row r="41">
      <c r="A41" s="6" t="inlineStr">
        <is>
          <t>2025 average time-charter equivalent (USD per day)</t>
        </is>
      </c>
      <c r="B41" s="27" t="n">
        <v>24139.5</v>
      </c>
      <c r="C41" s="27" t="n">
        <v>24139.5</v>
      </c>
      <c r="D41" s="27" t="n">
        <v>24199.25</v>
      </c>
      <c r="E41" s="27" t="n">
        <v>35737.25</v>
      </c>
      <c r="F41" s="27" t="n">
        <v>52466</v>
      </c>
    </row>
    <row r="42">
      <c r="A42" s="6" t="inlineStr">
        <is>
          <t>First-quarter 2026 time-charter equivalent (USD per day)</t>
        </is>
      </c>
      <c r="B42" s="27" t="n">
        <v>30000</v>
      </c>
      <c r="C42" s="27" t="n">
        <v>30000</v>
      </c>
      <c r="D42" s="27" t="n">
        <v>36000</v>
      </c>
      <c r="E42" s="27" t="n">
        <v>58000</v>
      </c>
      <c r="F42" s="27" t="n">
        <v>145000</v>
      </c>
    </row>
    <row r="43">
      <c r="A43" s="6" t="inlineStr">
        <is>
          <t>Second-quarter 2026 time-charter equivalent (USD per day)</t>
        </is>
      </c>
      <c r="B43" s="27" t="n">
        <v>44000</v>
      </c>
      <c r="C43" s="27" t="n">
        <v>44000</v>
      </c>
      <c r="D43" s="27" t="n">
        <v>55000</v>
      </c>
      <c r="E43" s="27" t="n">
        <v>95000</v>
      </c>
      <c r="F43" s="27" t="n">
        <v>260000</v>
      </c>
    </row>
    <row r="44">
      <c r="A44" s="6" t="inlineStr">
        <is>
          <t>Mid-cycle rate anchor (USD per day)</t>
        </is>
      </c>
      <c r="B44" s="27" t="n">
        <v>24139.5</v>
      </c>
      <c r="C44" s="27" t="n">
        <v>24139.5</v>
      </c>
      <c r="D44" s="27" t="n">
        <v>32177.125</v>
      </c>
      <c r="E44" s="27" t="n">
        <v>41874</v>
      </c>
      <c r="F44" s="27" t="n">
        <v>47923.625</v>
      </c>
    </row>
    <row r="46">
      <c r="A46" s="11" t="inlineStr">
        <is>
          <t>Tanker fleet — rate path and running cost</t>
        </is>
      </c>
      <c r="B46" s="14" t="n"/>
      <c r="C46" s="14" t="n"/>
      <c r="D46" s="14" t="n"/>
      <c r="E46" s="14" t="n"/>
      <c r="F46" s="14" t="n"/>
      <c r="G46" s="14" t="n"/>
      <c r="H46" s="14" t="n"/>
    </row>
    <row r="47">
      <c r="A47" s="6" t="inlineStr">
        <is>
          <t>Weight on the 2025 average rate in setting the second half of 2026</t>
        </is>
      </c>
      <c r="C47" s="30" t="n">
        <v>0.5</v>
      </c>
    </row>
    <row r="48">
      <c r="A48" s="6" t="inlineStr">
        <is>
          <t>All-in running cost per vessel per day (USD)</t>
        </is>
      </c>
      <c r="C48" s="24" t="n">
        <v>9354.949470147329</v>
      </c>
    </row>
    <row r="49">
      <c r="A49" s="6" t="inlineStr">
        <is>
          <t>Running-cost escalation (services and wages)</t>
        </is>
      </c>
      <c r="C49" s="30" t="n">
        <v>0.02</v>
      </c>
    </row>
    <row r="50">
      <c r="A50" s="6" t="inlineStr">
        <is>
          <t>Gross-up from time-charter-equivalent revenue to reported revenue</t>
        </is>
      </c>
      <c r="C50" s="26" t="n">
        <v>1.6</v>
      </c>
    </row>
    <row r="52">
      <c r="A52" s="11" t="inlineStr">
        <is>
          <t>Tanker charter-out roll-off and gas-carrier contracts</t>
        </is>
      </c>
      <c r="B52" s="14" t="inlineStr">
        <is>
          <t>FY2026</t>
        </is>
      </c>
      <c r="C52" s="14" t="inlineStr">
        <is>
          <t>FY2027</t>
        </is>
      </c>
      <c r="D52" s="14" t="inlineStr">
        <is>
          <t>FY2028</t>
        </is>
      </c>
      <c r="E52" s="14" t="inlineStr">
        <is>
          <t>FY2029</t>
        </is>
      </c>
      <c r="F52" s="14" t="inlineStr">
        <is>
          <t>FY2030</t>
        </is>
      </c>
      <c r="G52" s="14" t="n"/>
      <c r="H52" s="14" t="n"/>
    </row>
    <row r="53">
      <c r="A53" s="6" t="inlineStr">
        <is>
          <t>Charter-out contracts still running (share of the year)</t>
        </is>
      </c>
      <c r="B53" s="30" t="n">
        <v>1</v>
      </c>
      <c r="C53" s="30" t="n">
        <v>0.5</v>
      </c>
      <c r="D53" s="30" t="n">
        <v>0</v>
      </c>
      <c r="E53" s="30" t="n">
        <v>0</v>
      </c>
      <c r="F53" s="30" t="n">
        <v>0</v>
      </c>
    </row>
    <row r="54">
      <c r="A54" s="6" t="inlineStr">
        <is>
          <t>Gas carriers — contracted vessel-years</t>
        </is>
      </c>
      <c r="B54" s="24" t="n">
        <v>10.75</v>
      </c>
      <c r="C54" s="24" t="n">
        <v>13</v>
      </c>
      <c r="D54" s="24" t="n">
        <v>21.25</v>
      </c>
      <c r="E54" s="24" t="n">
        <v>25</v>
      </c>
      <c r="F54" s="24" t="n">
        <v>25</v>
      </c>
    </row>
    <row r="55">
      <c r="A55" s="6" t="inlineStr">
        <is>
          <t>Gas carriers — implied revenue per vessel-day (USD)</t>
        </is>
      </c>
      <c r="C55" s="27" t="n">
        <v>61573.28767123288</v>
      </c>
    </row>
    <row r="56">
      <c r="A56" s="6" t="inlineStr">
        <is>
          <t>Gas carriers — earnings margin</t>
        </is>
      </c>
      <c r="C56" s="30" t="n">
        <v>0.7</v>
      </c>
    </row>
    <row r="58">
      <c r="A58" s="11" t="inlineStr">
        <is>
          <t>The remaining five units — revenue and margin drivers</t>
        </is>
      </c>
      <c r="B58" s="14" t="inlineStr">
        <is>
          <t>FY2026</t>
        </is>
      </c>
      <c r="C58" s="14" t="inlineStr">
        <is>
          <t>FY2027</t>
        </is>
      </c>
      <c r="D58" s="14" t="inlineStr">
        <is>
          <t>FY2028</t>
        </is>
      </c>
      <c r="E58" s="14" t="inlineStr">
        <is>
          <t>FY2029</t>
        </is>
      </c>
      <c r="F58" s="14" t="inlineStr">
        <is>
          <t>FY2030</t>
        </is>
      </c>
      <c r="G58" s="14" t="n"/>
      <c r="H58" s="14" t="n"/>
    </row>
    <row r="59">
      <c r="A59" s="6" t="inlineStr">
        <is>
          <t>Offshore Contracting — revenue (USD 000)</t>
        </is>
      </c>
      <c r="B59" s="27" t="n">
        <v>1248192</v>
      </c>
      <c r="C59" s="27" t="n">
        <v>1298120</v>
      </c>
      <c r="D59" s="27" t="n">
        <v>1350044</v>
      </c>
      <c r="E59" s="27" t="n">
        <v>1404046</v>
      </c>
      <c r="F59" s="27" t="n">
        <v>1460208</v>
      </c>
    </row>
    <row r="60">
      <c r="A60" s="6" t="inlineStr">
        <is>
          <t>Offshore Contracting — earnings margin</t>
        </is>
      </c>
      <c r="B60" s="30" t="n">
        <v>0.385</v>
      </c>
      <c r="C60" s="30" t="n">
        <v>0.415</v>
      </c>
      <c r="D60" s="30" t="n">
        <v>0.43</v>
      </c>
      <c r="E60" s="30" t="n">
        <v>0.43</v>
      </c>
      <c r="F60" s="30" t="n">
        <v>0.43</v>
      </c>
    </row>
    <row r="61">
      <c r="A61" s="6" t="inlineStr">
        <is>
          <t>Offshore Services — revenue (USD 000)</t>
        </is>
      </c>
      <c r="B61" s="27" t="n">
        <v>662856</v>
      </c>
      <c r="C61" s="27" t="n">
        <v>696000</v>
      </c>
      <c r="D61" s="27" t="n">
        <v>730800</v>
      </c>
      <c r="E61" s="27" t="n">
        <v>767340</v>
      </c>
      <c r="F61" s="27" t="n">
        <v>805707</v>
      </c>
    </row>
    <row r="62">
      <c r="A62" s="6" t="inlineStr">
        <is>
          <t>Offshore Services — earnings margin</t>
        </is>
      </c>
      <c r="B62" s="30" t="n">
        <v>0.287</v>
      </c>
      <c r="C62" s="30" t="n">
        <v>0.29</v>
      </c>
      <c r="D62" s="30" t="n">
        <v>0.29</v>
      </c>
      <c r="E62" s="30" t="n">
        <v>0.29</v>
      </c>
      <c r="F62" s="30" t="n">
        <v>0.29</v>
      </c>
    </row>
    <row r="63">
      <c r="A63" s="6" t="inlineStr">
        <is>
          <t>Offshore Projects — revenue (USD 000)</t>
        </is>
      </c>
      <c r="B63" s="27" t="n">
        <v>125000</v>
      </c>
      <c r="C63" s="27" t="n">
        <v>200000</v>
      </c>
      <c r="D63" s="27" t="n">
        <v>250000</v>
      </c>
      <c r="E63" s="27" t="n">
        <v>275000</v>
      </c>
      <c r="F63" s="27" t="n">
        <v>300000</v>
      </c>
    </row>
    <row r="64">
      <c r="A64" s="6" t="inlineStr">
        <is>
          <t>Offshore Projects — earnings margin</t>
        </is>
      </c>
      <c r="B64" s="30" t="n">
        <v>-0.02</v>
      </c>
      <c r="C64" s="30" t="n">
        <v>0.06</v>
      </c>
      <c r="D64" s="30" t="n">
        <v>0.065</v>
      </c>
      <c r="E64" s="30" t="n">
        <v>0.065</v>
      </c>
      <c r="F64" s="30" t="n">
        <v>0.065</v>
      </c>
    </row>
    <row r="65">
      <c r="A65" s="6" t="inlineStr">
        <is>
          <t>Dry-Bulk and Containers — revenue (USD 000)</t>
        </is>
      </c>
      <c r="B65" s="27" t="n">
        <v>197164</v>
      </c>
      <c r="C65" s="27" t="n">
        <v>201107</v>
      </c>
      <c r="D65" s="27" t="n">
        <v>205129</v>
      </c>
      <c r="E65" s="27" t="n">
        <v>209232</v>
      </c>
      <c r="F65" s="27" t="n">
        <v>213417</v>
      </c>
    </row>
    <row r="66">
      <c r="A66" s="6" t="inlineStr">
        <is>
          <t>Dry-Bulk and Containers — earnings margin</t>
        </is>
      </c>
      <c r="B66" s="30" t="n">
        <v>0.184</v>
      </c>
      <c r="C66" s="30" t="n">
        <v>0.184</v>
      </c>
      <c r="D66" s="30" t="n">
        <v>0.184</v>
      </c>
      <c r="E66" s="30" t="n">
        <v>0.184</v>
      </c>
      <c r="F66" s="30" t="n">
        <v>0.184</v>
      </c>
    </row>
    <row r="67">
      <c r="A67" s="6" t="inlineStr">
        <is>
          <t>Services — revenue (USD 000)</t>
        </is>
      </c>
      <c r="B67" s="27" t="n">
        <v>355372</v>
      </c>
      <c r="C67" s="27" t="n">
        <v>369587</v>
      </c>
      <c r="D67" s="27" t="n">
        <v>384370</v>
      </c>
      <c r="E67" s="27" t="n">
        <v>399745</v>
      </c>
      <c r="F67" s="27" t="n">
        <v>415735</v>
      </c>
    </row>
    <row r="68">
      <c r="A68" s="6" t="inlineStr">
        <is>
          <t>Services — earnings margin</t>
        </is>
      </c>
      <c r="B68" s="30" t="n">
        <v>0.2</v>
      </c>
      <c r="C68" s="30" t="n">
        <v>0.2</v>
      </c>
      <c r="D68" s="30" t="n">
        <v>0.2</v>
      </c>
      <c r="E68" s="30" t="n">
        <v>0.2</v>
      </c>
      <c r="F68" s="30" t="n">
        <v>0.2</v>
      </c>
    </row>
    <row r="70">
      <c r="A70" s="11" t="inlineStr">
        <is>
          <t>Capital expenditure, depreciation and working capital</t>
        </is>
      </c>
      <c r="B70" s="14" t="inlineStr">
        <is>
          <t>FY2026</t>
        </is>
      </c>
      <c r="C70" s="14" t="inlineStr">
        <is>
          <t>FY2027</t>
        </is>
      </c>
      <c r="D70" s="14" t="inlineStr">
        <is>
          <t>FY2028</t>
        </is>
      </c>
      <c r="E70" s="14" t="inlineStr">
        <is>
          <t>FY2029</t>
        </is>
      </c>
      <c r="F70" s="14" t="inlineStr">
        <is>
          <t>FY2030</t>
        </is>
      </c>
      <c r="G70" s="14" t="n"/>
      <c r="H70" s="14" t="n"/>
    </row>
    <row r="71">
      <c r="A71" s="6" t="inlineStr">
        <is>
          <t>Capital expenditure (USD 000)</t>
        </is>
      </c>
      <c r="B71" s="27" t="n">
        <v>1375000</v>
      </c>
      <c r="C71" s="27" t="n">
        <v>1245000</v>
      </c>
      <c r="D71" s="27" t="n">
        <v>1245000</v>
      </c>
      <c r="E71" s="27" t="n">
        <v>700000</v>
      </c>
      <c r="F71" s="27" t="n">
        <v>650000</v>
      </c>
    </row>
    <row r="72">
      <c r="A72" s="6" t="inlineStr">
        <is>
          <t>Depreciation rate on property, plant and equipment</t>
        </is>
      </c>
      <c r="C72" s="28" t="n">
        <v>0.058</v>
      </c>
    </row>
    <row r="73">
      <c r="A73" s="6" t="inlineStr">
        <is>
          <t>Other depreciation and amortisation, 2026 run rate (USD 000)</t>
        </is>
      </c>
      <c r="C73" s="27" t="n">
        <v>109836</v>
      </c>
    </row>
    <row r="74">
      <c r="A74" s="6" t="inlineStr">
        <is>
          <t>Days sales outstanding</t>
        </is>
      </c>
      <c r="C74" s="24" t="n">
        <v>108.3964672240173</v>
      </c>
    </row>
    <row r="75">
      <c r="A75" s="6" t="inlineStr">
        <is>
          <t>Days inventory outstanding</t>
        </is>
      </c>
      <c r="C75" s="24" t="n">
        <v>14.10679115477453</v>
      </c>
    </row>
    <row r="76">
      <c r="A76" s="6" t="inlineStr">
        <is>
          <t>Days payable outstanding</t>
        </is>
      </c>
      <c r="C76" s="24" t="n">
        <v>131.7339996916174</v>
      </c>
    </row>
    <row r="77">
      <c r="A77" s="6" t="inlineStr">
        <is>
          <t>Net working capital at 31 December 2025 (USD 000)</t>
        </is>
      </c>
      <c r="C77" s="27" t="n">
        <v>346415</v>
      </c>
    </row>
    <row r="79">
      <c r="A79" s="11" t="inlineStr">
        <is>
          <t>Tax by business unit and the 2025 depreciation allocation basis</t>
        </is>
      </c>
      <c r="B79" s="14" t="n"/>
      <c r="C79" s="14" t="n"/>
      <c r="D79" s="14" t="n"/>
      <c r="E79" s="14" t="n"/>
      <c r="F79" s="14" t="n"/>
      <c r="G79" s="14" t="n"/>
      <c r="H79" s="14" t="n"/>
    </row>
    <row r="80">
      <c r="A80" s="6" t="inlineStr">
        <is>
          <t>Integrated Logistics — income tax rate</t>
        </is>
      </c>
      <c r="C80" s="30" t="n">
        <v>0.09</v>
      </c>
    </row>
    <row r="81">
      <c r="A81" s="6" t="inlineStr">
        <is>
          <t>Shipping — income tax rate</t>
        </is>
      </c>
      <c r="C81" s="30" t="n">
        <v>0.01</v>
      </c>
    </row>
    <row r="82">
      <c r="A82" s="6" t="inlineStr">
        <is>
          <t>Services — income tax rate</t>
        </is>
      </c>
      <c r="C82" s="30" t="n">
        <v>0.04</v>
      </c>
    </row>
    <row r="83">
      <c r="A83" s="6" t="inlineStr">
        <is>
          <t>Offshore Contracting — 2025 depreciation and amortisation (USD 000)</t>
        </is>
      </c>
      <c r="C83" s="27" t="n">
        <v>151367</v>
      </c>
    </row>
    <row r="84">
      <c r="A84" s="6" t="inlineStr">
        <is>
          <t>Offshore Services — 2025 depreciation and amortisation (USD 000)</t>
        </is>
      </c>
      <c r="C84" s="27" t="n">
        <v>62963</v>
      </c>
    </row>
    <row r="85">
      <c r="A85" s="6" t="inlineStr">
        <is>
          <t>Offshore Projects — 2025 depreciation and amortisation (USD 000)</t>
        </is>
      </c>
      <c r="C85" s="27" t="n">
        <v>8860</v>
      </c>
    </row>
    <row r="86">
      <c r="A86" s="6" t="inlineStr">
        <is>
          <t>Tankers — 2025 depreciation and amortisation (USD 000)</t>
        </is>
      </c>
      <c r="C86" s="27" t="n">
        <v>195374</v>
      </c>
    </row>
    <row r="87">
      <c r="A87" s="6" t="inlineStr">
        <is>
          <t>Gas Carriers — 2025 depreciation and amortisation (USD 000)</t>
        </is>
      </c>
      <c r="C87" s="27" t="n">
        <v>50526</v>
      </c>
    </row>
    <row r="88">
      <c r="A88" s="6" t="inlineStr">
        <is>
          <t>Dry-Bulk and Containers — 2025 depreciation and amortisation (USD 000)</t>
        </is>
      </c>
      <c r="C88" s="27" t="n">
        <v>25225</v>
      </c>
    </row>
    <row r="89">
      <c r="A89" s="6" t="inlineStr">
        <is>
          <t>Services — 2025 depreciation and amortisation (USD 000)</t>
        </is>
      </c>
      <c r="C89" s="27" t="n">
        <v>30297</v>
      </c>
    </row>
    <row r="91">
      <c r="A91" s="11" t="inlineStr">
        <is>
          <t>Funding, distributions and the bridge</t>
        </is>
      </c>
      <c r="B91" s="14" t="n"/>
      <c r="C91" s="14" t="n"/>
      <c r="D91" s="14" t="n"/>
      <c r="E91" s="14" t="n"/>
      <c r="F91" s="14" t="n"/>
      <c r="G91" s="14" t="n"/>
      <c r="H91" s="14" t="n"/>
    </row>
    <row r="92">
      <c r="A92" s="6" t="inlineStr">
        <is>
          <t>Net debt at 31 March 2026, company basis (USD 000)</t>
        </is>
      </c>
      <c r="C92" s="27" t="n">
        <v>419867</v>
      </c>
    </row>
    <row r="93">
      <c r="A93" s="6" t="inlineStr">
        <is>
          <t>Deferred consideration on acquisitions (USD 000)</t>
        </is>
      </c>
      <c r="C93" s="27" t="n">
        <v>301462</v>
      </c>
    </row>
    <row r="94">
      <c r="A94" s="6" t="inlineStr">
        <is>
          <t>Perpetual capital securities at carrying value (USD 000)</t>
        </is>
      </c>
      <c r="C94" s="27" t="n">
        <v>1978619</v>
      </c>
    </row>
    <row r="95">
      <c r="A95" s="6" t="inlineStr">
        <is>
          <t>Perpetual capital securities margin over the overnight rate</t>
        </is>
      </c>
      <c r="C95" s="28" t="n">
        <v>0.0125</v>
      </c>
    </row>
    <row r="96">
      <c r="A96" s="6" t="inlineStr">
        <is>
          <t>Non-controlling interests at carrying value (USD 000)</t>
        </is>
      </c>
      <c r="C96" s="27" t="n">
        <v>272134</v>
      </c>
    </row>
    <row r="97">
      <c r="A97" s="6" t="inlineStr">
        <is>
          <t>Non-controlling interests' share of profit</t>
        </is>
      </c>
      <c r="C97" s="30" t="n">
        <v>0.08799999999999999</v>
      </c>
    </row>
    <row r="98">
      <c r="A98" s="6" t="inlineStr">
        <is>
          <t>Joint ventures and associates at carrying value (USD 000)</t>
        </is>
      </c>
      <c r="C98" s="27" t="n">
        <v>493120</v>
      </c>
    </row>
    <row r="99">
      <c r="A99" s="6" t="inlineStr">
        <is>
          <t>Equity attributable to shareholders at 31 March 2026 (USD 000)</t>
        </is>
      </c>
      <c r="C99" s="27" t="n">
        <v>5073902</v>
      </c>
    </row>
    <row r="100">
      <c r="A100" s="6" t="inlineStr">
        <is>
          <t>Cash and cash equivalents held (USD 000)</t>
        </is>
      </c>
      <c r="C100" s="27" t="n">
        <v>695345</v>
      </c>
    </row>
    <row r="101">
      <c r="A101" s="6" t="inlineStr">
        <is>
          <t>Intangible assets (USD 000)</t>
        </is>
      </c>
      <c r="C101" s="27" t="n">
        <v>19434</v>
      </c>
    </row>
    <row r="102">
      <c r="A102" s="6" t="inlineStr">
        <is>
          <t>Goodwill (USD 000)</t>
        </is>
      </c>
      <c r="C102" s="27" t="n">
        <v>51368</v>
      </c>
    </row>
    <row r="103">
      <c r="A103" s="6" t="inlineStr">
        <is>
          <t>Ordinary dividend declared for 2026 (USD 000)</t>
        </is>
      </c>
      <c r="C103" s="27" t="n">
        <v>341000</v>
      </c>
    </row>
    <row r="104">
      <c r="A104" s="6" t="inlineStr">
        <is>
          <t>Ordinary dividend growth</t>
        </is>
      </c>
      <c r="C104" s="30" t="n">
        <v>0.05</v>
      </c>
    </row>
    <row r="105">
      <c r="A105" s="6" t="inlineStr">
        <is>
          <t>Terminal growth</t>
        </is>
      </c>
      <c r="C105" s="30" t="n">
        <v>0.02</v>
      </c>
    </row>
    <row r="107">
      <c r="A107" s="11" t="inlineStr">
        <is>
          <t>Lens weights and the multiple blend</t>
        </is>
      </c>
      <c r="B107" s="14" t="n"/>
      <c r="C107" s="14" t="n"/>
      <c r="D107" s="14" t="n"/>
      <c r="E107" s="14" t="n"/>
      <c r="F107" s="14" t="n"/>
      <c r="G107" s="14" t="n"/>
      <c r="H107" s="14" t="n"/>
    </row>
    <row r="108">
      <c r="A108" s="6" t="inlineStr">
        <is>
          <t>Share of 2026 earnings exposed to spot rates</t>
        </is>
      </c>
      <c r="C108" s="30" t="n">
        <v>0.31</v>
      </c>
    </row>
    <row r="109">
      <c r="A109" s="6" t="inlineStr">
        <is>
          <t>Weight on the enterprise multiple within the relative lens</t>
        </is>
      </c>
      <c r="C109" s="30" t="n">
        <v>0.7</v>
      </c>
    </row>
    <row r="110">
      <c r="A110" s="6" t="inlineStr">
        <is>
          <t>Weight — discounted cash flow</t>
        </is>
      </c>
      <c r="C110" s="30" t="n">
        <v>0.4</v>
      </c>
    </row>
    <row r="111">
      <c r="A111" s="6" t="inlineStr">
        <is>
          <t>Weight — relative multiples</t>
        </is>
      </c>
      <c r="C111" s="30" t="n">
        <v>0.25</v>
      </c>
    </row>
    <row r="112">
      <c r="A112" s="6" t="inlineStr">
        <is>
          <t>Weight — normalised earnings power</t>
        </is>
      </c>
      <c r="C112" s="30" t="n">
        <v>0.2</v>
      </c>
    </row>
    <row r="113">
      <c r="A113" s="6" t="inlineStr">
        <is>
          <t>Weight — book value and sustainable return</t>
        </is>
      </c>
      <c r="C113" s="30" t="n">
        <v>0.15</v>
      </c>
    </row>
    <row r="115">
      <c r="A115" s="4" t="inlineStr">
        <is>
          <t>Every figure on this sheet is an input. Nothing here is computed; everything computed from these cells lives on the sheets that follow.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18">
        <f>DCF!$C$45</f>
        <v/>
      </c>
      <c r="D5" s="9">
        <f>C5/Assumptions!$C$6/1000*Assumptions!$C$7</f>
        <v/>
      </c>
    </row>
    <row r="6">
      <c r="A6" s="6" t="inlineStr">
        <is>
          <t>Present value of the terminal value</t>
        </is>
      </c>
      <c r="C6" s="18">
        <f>DCF!$C$46</f>
        <v/>
      </c>
      <c r="D6" s="9">
        <f>C6/Assumptions!$C$6/1000*Assumptions!$C$7</f>
        <v/>
      </c>
    </row>
    <row r="7">
      <c r="A7" s="14" t="inlineStr">
        <is>
          <t>Enterprise value of operations</t>
        </is>
      </c>
      <c r="B7" s="14" t="n"/>
      <c r="C7" s="32">
        <f>C5+C6</f>
        <v/>
      </c>
      <c r="D7" s="15">
        <f>C7/Assumptions!$C$6/1000*Assumptions!$C$7</f>
        <v/>
      </c>
    </row>
    <row r="8">
      <c r="A8" s="6" t="inlineStr">
        <is>
          <t>Terminal value as a share of enterprise value</t>
        </is>
      </c>
      <c r="C8" s="10">
        <f>C6/C7</f>
        <v/>
      </c>
    </row>
    <row r="9">
      <c r="A9" s="6" t="inlineStr">
        <is>
          <t>Plus joint ventures and associates at carrying value</t>
        </is>
      </c>
      <c r="C9" s="18">
        <f>Assumptions!$C$98</f>
        <v/>
      </c>
      <c r="D9" s="9">
        <f>C9/Assumptions!$C$6/1000*Assumptions!$C$7</f>
        <v/>
      </c>
    </row>
    <row r="10">
      <c r="A10" s="14" t="inlineStr">
        <is>
          <t>Enterprise value</t>
        </is>
      </c>
      <c r="B10" s="14" t="n"/>
      <c r="C10" s="32">
        <f>C7+C9</f>
        <v/>
      </c>
      <c r="D10" s="15">
        <f>C10/Assumptions!$C$6/1000*Assumptions!$C$7</f>
        <v/>
      </c>
    </row>
    <row r="11">
      <c r="A11" s="6" t="inlineStr">
        <is>
          <t>Less net debt at 31 March 2026</t>
        </is>
      </c>
      <c r="C11" s="18">
        <f>-Assumptions!$C$92</f>
        <v/>
      </c>
      <c r="D11" s="9">
        <f>C11/Assumptions!$C$6/1000*Assumptions!$C$7</f>
        <v/>
      </c>
    </row>
    <row r="12">
      <c r="A12" s="6" t="inlineStr">
        <is>
          <t>Less deferred consideration on acquisitions</t>
        </is>
      </c>
      <c r="C12" s="18">
        <f>-Assumptions!$C$93</f>
        <v/>
      </c>
      <c r="D12" s="9">
        <f>C12/Assumptions!$C$6/1000*Assumptions!$C$7</f>
        <v/>
      </c>
    </row>
    <row r="13">
      <c r="A13" s="6" t="inlineStr">
        <is>
          <t>Less perpetual capital securities at carrying value</t>
        </is>
      </c>
      <c r="C13" s="18">
        <f>-Assumptions!$C$94</f>
        <v/>
      </c>
      <c r="D13" s="9">
        <f>C13/Assumptions!$C$6/1000*Assumptions!$C$7</f>
        <v/>
      </c>
    </row>
    <row r="14">
      <c r="A14" s="6" t="inlineStr">
        <is>
          <t>Less non-controlling interests at carrying value</t>
        </is>
      </c>
      <c r="C14" s="18">
        <f>-Assumptions!$C$96</f>
        <v/>
      </c>
      <c r="D14" s="9">
        <f>C14/Assumptions!$C$6/1000*Assumptions!$C$7</f>
        <v/>
      </c>
    </row>
    <row r="15">
      <c r="A15" s="14" t="inlineStr">
        <is>
          <t>Equity attributable to ordinary shareholders</t>
        </is>
      </c>
      <c r="B15" s="14" t="n"/>
      <c r="C15" s="32">
        <f>C10+C11+C12+C13+C14</f>
        <v/>
      </c>
      <c r="D15" s="15">
        <f>C15/Assumptions!$C$6/1000*Assumptions!$C$7</f>
        <v/>
      </c>
    </row>
    <row r="16">
      <c r="A16" s="6" t="inlineStr">
        <is>
          <t>Fair value per share (USD)</t>
        </is>
      </c>
      <c r="C16" s="9">
        <f>C15/Assumptions!$C$6/1000</f>
        <v/>
      </c>
    </row>
    <row r="17">
      <c r="A17" s="14" t="inlineStr">
        <is>
          <t>Fair value per share (AED)</t>
        </is>
      </c>
      <c r="B17" s="14" t="n"/>
      <c r="C17" s="15">
        <f>C16*Assumptions!$C$7</f>
        <v/>
      </c>
      <c r="D17" s="14" t="n"/>
    </row>
    <row r="19">
      <c r="A19" s="11" t="inlineStr">
        <is>
          <t>THE SUM-OF-THE-PARTS CROSS-CHECK — EACH LEG ON ITS OWN MULTIPLE</t>
        </is>
      </c>
      <c r="B19" s="5" t="inlineStr"/>
      <c r="C19" s="5" t="inlineStr">
        <is>
          <t>2026E EBITDA</t>
        </is>
      </c>
      <c r="D19" s="5" t="inlineStr">
        <is>
          <t>Multiple</t>
        </is>
      </c>
      <c r="E19" s="5" t="inlineStr">
        <is>
          <t>Enterprise value</t>
        </is>
      </c>
      <c r="F19" s="5" t="inlineStr">
        <is>
          <t>Basis</t>
        </is>
      </c>
    </row>
    <row r="20" ht="28" customHeight="1">
      <c r="A20" s="6" t="inlineStr">
        <is>
          <t>Integrated Logistics</t>
        </is>
      </c>
      <c r="B20" s="18">
        <f>Segments!B99</f>
        <v/>
      </c>
      <c r="C20" s="33">
        <f>C26</f>
        <v/>
      </c>
      <c r="D20" s="31">
        <f>B20*C20</f>
        <v/>
      </c>
      <c r="E20" s="20" t="inlineStr">
        <is>
          <t>a contracted-fleet multiple, because this leg earns under long-term contracts</t>
        </is>
      </c>
    </row>
    <row r="21" ht="28" customHeight="1">
      <c r="A21" s="6" t="inlineStr">
        <is>
          <t>Shipping</t>
        </is>
      </c>
      <c r="B21" s="18">
        <f>Segments!B100</f>
        <v/>
      </c>
      <c r="C21" s="33">
        <f>C29</f>
        <v/>
      </c>
      <c r="D21" s="31">
        <f>B21*C21</f>
        <v/>
      </c>
      <c r="E21" s="20" t="inlineStr">
        <is>
          <t>a blend of the contracted and spot multiples, weighted by the company's own disclosed share of earnings exposed to spot rates</t>
        </is>
      </c>
    </row>
    <row r="22" ht="28" customHeight="1">
      <c r="A22" s="6" t="inlineStr">
        <is>
          <t>Services</t>
        </is>
      </c>
      <c r="B22" s="18">
        <f>Segments!B101</f>
        <v/>
      </c>
      <c r="C22" s="33">
        <f>C26</f>
        <v/>
      </c>
      <c r="D22" s="31">
        <f>B22*C22</f>
        <v/>
      </c>
      <c r="E22" s="20" t="inlineStr">
        <is>
          <t>a contracted-fleet multiple, because this leg earns under long-term contracts</t>
        </is>
      </c>
    </row>
    <row r="23">
      <c r="A23" s="11" t="inlineStr">
        <is>
          <t>Enterprise value of the operating legs</t>
        </is>
      </c>
      <c r="B23" s="14" t="n"/>
      <c r="C23" s="14" t="n"/>
      <c r="D23" s="34">
        <f>SUM(D20:D22)</f>
        <v/>
      </c>
      <c r="E23" s="14" t="n"/>
      <c r="F23" s="14" t="n"/>
    </row>
    <row r="25">
      <c r="A25" s="11" t="inlineStr">
        <is>
          <t>THE SHIPPING MULTIPLE, BUILT — NOT PASTED</t>
        </is>
      </c>
      <c r="B25" s="14" t="n"/>
      <c r="C25" s="14" t="n"/>
      <c r="D25" s="14" t="n"/>
      <c r="E25" s="14" t="n"/>
      <c r="F25" s="14" t="n"/>
    </row>
    <row r="26">
      <c r="A26" s="6" t="inlineStr">
        <is>
          <t>Contracted-fleet multiple (long-term contracted gas shipping peer)</t>
        </is>
      </c>
      <c r="C26" s="35">
        <f>'Peer &amp; Sector'!$C$10</f>
        <v/>
      </c>
    </row>
    <row r="27">
      <c r="A27" s="6" t="inlineStr">
        <is>
          <t>Spot-tanker multiple (average of the two spot-tanker peers)</t>
        </is>
      </c>
      <c r="C27" s="35">
        <f>'Peer &amp; Sector'!$C$11</f>
        <v/>
      </c>
    </row>
    <row r="28">
      <c r="A28" s="6" t="inlineStr">
        <is>
          <t>Share of 2026 earnings exposed to spot rates, as disclosed</t>
        </is>
      </c>
      <c r="C28" s="8">
        <f>Assumptions!$C$108</f>
        <v/>
      </c>
    </row>
    <row r="29">
      <c r="A29" s="6" t="inlineStr">
        <is>
          <t>Shipping multiple — the two weighted by that share</t>
        </is>
      </c>
      <c r="C29" s="33">
        <f>(1-C28)*C26+C28*C27</f>
        <v/>
      </c>
    </row>
    <row r="31">
      <c r="A31" s="11" t="inlineStr">
        <is>
          <t>THE SUM-OF-THE-PARTS BRIDGE TO EQUITY</t>
        </is>
      </c>
      <c r="B31" s="14" t="n"/>
      <c r="C31" s="14" t="n"/>
      <c r="D31" s="14" t="n"/>
      <c r="E31" s="14" t="n"/>
      <c r="F31" s="14" t="n"/>
    </row>
    <row r="32">
      <c r="A32" s="6" t="inlineStr">
        <is>
          <t>Enterprise value of the operating legs</t>
        </is>
      </c>
      <c r="C32" s="31">
        <f>D23</f>
        <v/>
      </c>
    </row>
    <row r="33">
      <c r="A33" s="6" t="inlineStr">
        <is>
          <t>Plus joint ventures and associates at carrying value</t>
        </is>
      </c>
      <c r="C33" s="18">
        <f>Assumptions!$C$98</f>
        <v/>
      </c>
    </row>
    <row r="34">
      <c r="A34" s="6" t="inlineStr">
        <is>
          <t>Enterprise value</t>
        </is>
      </c>
      <c r="C34" s="36">
        <f>C32+C33</f>
        <v/>
      </c>
    </row>
    <row r="35">
      <c r="A35" s="6" t="inlineStr">
        <is>
          <t>Less net debt at 31 March 2026</t>
        </is>
      </c>
      <c r="C35" s="18">
        <f>-Assumptions!$C$92</f>
        <v/>
      </c>
    </row>
    <row r="36">
      <c r="A36" s="6" t="inlineStr">
        <is>
          <t>Less deferred consideration on acquisitions</t>
        </is>
      </c>
      <c r="C36" s="18">
        <f>-Assumptions!$C$93</f>
        <v/>
      </c>
    </row>
    <row r="37">
      <c r="A37" s="6" t="inlineStr">
        <is>
          <t>Less perpetual capital securities at carrying value</t>
        </is>
      </c>
      <c r="C37" s="18">
        <f>-Assumptions!$C$94</f>
        <v/>
      </c>
    </row>
    <row r="38">
      <c r="A38" s="6" t="inlineStr">
        <is>
          <t>Less non-controlling interests at carrying value</t>
        </is>
      </c>
      <c r="C38" s="18">
        <f>-Assumptions!$C$96</f>
        <v/>
      </c>
    </row>
    <row r="39">
      <c r="A39" s="14" t="inlineStr">
        <is>
          <t>Equity attributable to ordinary shareholders</t>
        </is>
      </c>
      <c r="B39" s="14" t="n"/>
      <c r="C39" s="32">
        <f>C34+C35+C36+C37+C38</f>
        <v/>
      </c>
      <c r="D39" s="14" t="n"/>
      <c r="E39" s="14" t="n"/>
      <c r="F39" s="14" t="n"/>
    </row>
    <row r="40">
      <c r="A40" s="14" t="inlineStr">
        <is>
          <t>Sum-of-the-parts fair value per share (AED)</t>
        </is>
      </c>
      <c r="B40" s="14" t="n"/>
      <c r="C40" s="15">
        <f>C39/Assumptions!$C$6/1000*Assumptions!$C$7</f>
        <v/>
      </c>
      <c r="D40" s="14" t="n"/>
      <c r="E40" s="14" t="n"/>
      <c r="F40" s="14" t="n"/>
    </row>
    <row r="42">
      <c r="A42"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06"/>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7" t="n">
        <v>974525</v>
      </c>
      <c r="C5" s="27" t="n">
        <v>1108200</v>
      </c>
      <c r="D5" s="27" t="n">
        <v>1368875</v>
      </c>
    </row>
    <row r="6">
      <c r="A6" s="6" t="inlineStr">
        <is>
          <t>Offshore Services</t>
        </is>
      </c>
      <c r="B6" s="27" t="n">
        <v>500751</v>
      </c>
      <c r="C6" s="27" t="n">
        <v>552790</v>
      </c>
      <c r="D6" s="27" t="n">
        <v>628915</v>
      </c>
    </row>
    <row r="7">
      <c r="A7" s="6" t="inlineStr">
        <is>
          <t>Offshore Projects</t>
        </is>
      </c>
      <c r="B7" s="27" t="n">
        <v>157146</v>
      </c>
      <c r="C7" s="27" t="n">
        <v>619930</v>
      </c>
      <c r="D7" s="27" t="n">
        <v>531333</v>
      </c>
    </row>
    <row r="8">
      <c r="A8" s="6" t="inlineStr">
        <is>
          <t>Tankers</t>
        </is>
      </c>
      <c r="B8" s="27" t="n">
        <v>407370</v>
      </c>
      <c r="C8" s="27" t="n">
        <v>516530</v>
      </c>
      <c r="D8" s="27" t="n">
        <v>1719714</v>
      </c>
    </row>
    <row r="9">
      <c r="A9" s="6" t="inlineStr">
        <is>
          <t>Gas Carriers</t>
        </is>
      </c>
      <c r="B9" s="27" t="n">
        <v>173550</v>
      </c>
      <c r="C9" s="27" t="n">
        <v>152650</v>
      </c>
      <c r="D9" s="27" t="n">
        <v>179794</v>
      </c>
    </row>
    <row r="10">
      <c r="A10" s="6" t="inlineStr">
        <is>
          <t>Dry-Bulk and Containers</t>
        </is>
      </c>
      <c r="B10" s="27" t="n">
        <v>257900</v>
      </c>
      <c r="C10" s="27" t="n">
        <v>286820</v>
      </c>
      <c r="D10" s="27" t="n">
        <v>225048</v>
      </c>
    </row>
    <row r="11">
      <c r="A11" s="6" t="inlineStr">
        <is>
          <t>Services</t>
        </is>
      </c>
      <c r="B11" s="27" t="n">
        <v>283910</v>
      </c>
      <c r="C11" s="27" t="n">
        <v>312410</v>
      </c>
      <c r="D11" s="27" t="n">
        <v>362433</v>
      </c>
    </row>
    <row r="12">
      <c r="A12" s="11" t="inlineStr">
        <is>
          <t>Total revenue</t>
        </is>
      </c>
      <c r="B12" s="34">
        <f>SUM(B5:B11)</f>
        <v/>
      </c>
      <c r="C12" s="34">
        <f>SUM(C5:C11)</f>
        <v/>
      </c>
      <c r="D12" s="34">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7" t="n">
        <v>424419</v>
      </c>
      <c r="C15" s="27" t="n">
        <v>497703</v>
      </c>
      <c r="D15" s="27" t="n">
        <v>623065</v>
      </c>
    </row>
    <row r="16">
      <c r="A16" s="6" t="inlineStr">
        <is>
          <t>Offshore Services</t>
        </is>
      </c>
      <c r="B16" s="27" t="n">
        <v>92741</v>
      </c>
      <c r="C16" s="27" t="n">
        <v>134880</v>
      </c>
      <c r="D16" s="27" t="n">
        <v>178369</v>
      </c>
    </row>
    <row r="17">
      <c r="A17" s="6" t="inlineStr">
        <is>
          <t>Offshore Projects</t>
        </is>
      </c>
      <c r="B17" s="27" t="n">
        <v>10439</v>
      </c>
      <c r="C17" s="27" t="n">
        <v>54240</v>
      </c>
      <c r="D17" s="27" t="n">
        <v>28024</v>
      </c>
    </row>
    <row r="18">
      <c r="A18" s="6" t="inlineStr">
        <is>
          <t>Tankers</t>
        </is>
      </c>
      <c r="B18" s="27" t="n">
        <v>159260</v>
      </c>
      <c r="C18" s="27" t="n">
        <v>239700</v>
      </c>
      <c r="D18" s="27" t="n">
        <v>451220</v>
      </c>
    </row>
    <row r="19">
      <c r="A19" s="6" t="inlineStr">
        <is>
          <t>Gas Carriers</t>
        </is>
      </c>
      <c r="B19" s="27" t="n">
        <v>101022</v>
      </c>
      <c r="C19" s="27" t="n">
        <v>87308</v>
      </c>
      <c r="D19" s="27" t="n">
        <v>129547</v>
      </c>
    </row>
    <row r="20">
      <c r="A20" s="6" t="inlineStr">
        <is>
          <t>Dry-Bulk and Containers</t>
        </is>
      </c>
      <c r="B20" s="27" t="n">
        <v>60280</v>
      </c>
      <c r="C20" s="27" t="n">
        <v>69440</v>
      </c>
      <c r="D20" s="27" t="n">
        <v>37862</v>
      </c>
    </row>
    <row r="21">
      <c r="A21" s="6" t="inlineStr">
        <is>
          <t>Services</t>
        </is>
      </c>
      <c r="B21" s="27" t="n">
        <v>44488</v>
      </c>
      <c r="C21" s="27" t="n">
        <v>56000</v>
      </c>
      <c r="D21" s="27" t="n">
        <v>60273</v>
      </c>
    </row>
    <row r="22">
      <c r="A22" s="11" t="inlineStr">
        <is>
          <t>Total segment EBITDA</t>
        </is>
      </c>
      <c r="B22" s="34">
        <f>SUM(B15:B21)</f>
        <v/>
      </c>
      <c r="C22" s="34">
        <f>SUM(C15:C21)</f>
        <v/>
      </c>
      <c r="D22" s="34">
        <f>SUM(D15:D21)</f>
        <v/>
      </c>
    </row>
    <row r="23">
      <c r="A23" s="6" t="inlineStr">
        <is>
          <t>Segment EBITDA margin</t>
        </is>
      </c>
      <c r="B23" s="10">
        <f>B22/B12</f>
        <v/>
      </c>
      <c r="C23" s="10">
        <f>C22/C12</f>
        <v/>
      </c>
      <c r="D23" s="10">
        <f>D22/D12</f>
        <v/>
      </c>
    </row>
    <row r="25">
      <c r="A25" s="11" t="inlineStr">
        <is>
          <t>TANKERS — THE UNIT BUILD, VESSEL BY VESSEL</t>
        </is>
      </c>
      <c r="B25" s="14" t="inlineStr">
        <is>
          <t>Handysize</t>
        </is>
      </c>
      <c r="C25" s="14" t="inlineStr">
        <is>
          <t>Medium range</t>
        </is>
      </c>
      <c r="D25" s="14" t="inlineStr">
        <is>
          <t>Long range 1</t>
        </is>
      </c>
      <c r="E25" s="14" t="inlineStr">
        <is>
          <t>Long range 2</t>
        </is>
      </c>
      <c r="F25" s="14" t="inlineStr">
        <is>
          <t>Very large crude carrier</t>
        </is>
      </c>
      <c r="G25" s="14" t="n"/>
      <c r="H25" s="14" t="n"/>
      <c r="I25" s="14" t="n"/>
    </row>
    <row r="26">
      <c r="A26" s="6" t="inlineStr">
        <is>
          <t>Vessels owned</t>
        </is>
      </c>
      <c r="B26" s="18">
        <f>Assumptions!$B$38</f>
        <v/>
      </c>
      <c r="C26" s="18">
        <f>Assumptions!$C$38</f>
        <v/>
      </c>
      <c r="D26" s="18">
        <f>Assumptions!$D$38</f>
        <v/>
      </c>
      <c r="E26" s="18">
        <f>Assumptions!$E$38</f>
        <v/>
      </c>
      <c r="F26" s="18">
        <f>Assumptions!$F$38</f>
        <v/>
      </c>
    </row>
    <row r="27">
      <c r="A27" s="6" t="inlineStr">
        <is>
          <t>Vessels trading at spot rates</t>
        </is>
      </c>
      <c r="B27" s="18">
        <f>Assumptions!$B$39</f>
        <v/>
      </c>
      <c r="C27" s="18">
        <f>Assumptions!$C$39</f>
        <v/>
      </c>
      <c r="D27" s="18">
        <f>Assumptions!$D$39</f>
        <v/>
      </c>
      <c r="E27" s="18">
        <f>Assumptions!$E$39</f>
        <v/>
      </c>
      <c r="F27" s="18">
        <f>Assumptions!$F$39</f>
        <v/>
      </c>
    </row>
    <row r="28">
      <c r="A28" s="6" t="inlineStr">
        <is>
          <t>Vessels on charters out at fixed rates</t>
        </is>
      </c>
      <c r="B28" s="31">
        <f>B26-B27</f>
        <v/>
      </c>
      <c r="C28" s="31">
        <f>C26-C27</f>
        <v/>
      </c>
      <c r="D28" s="31">
        <f>D26-D27</f>
        <v/>
      </c>
      <c r="E28" s="31">
        <f>E26-E27</f>
        <v/>
      </c>
      <c r="F28" s="31">
        <f>F26-F27</f>
        <v/>
      </c>
    </row>
    <row r="29">
      <c r="A29" s="6" t="inlineStr">
        <is>
          <t>Fixed charter-out rate (USD per day)</t>
        </is>
      </c>
      <c r="B29" s="18">
        <f>Assumptions!$B$40</f>
        <v/>
      </c>
      <c r="C29" s="18">
        <f>Assumptions!$C$40</f>
        <v/>
      </c>
      <c r="D29" s="18">
        <f>Assumptions!$D$40</f>
        <v/>
      </c>
      <c r="E29" s="18">
        <f>Assumptions!$E$40</f>
        <v/>
      </c>
      <c r="F29" s="18">
        <f>Assumptions!$F$40</f>
        <v/>
      </c>
    </row>
    <row r="30">
      <c r="A30" s="6" t="inlineStr">
        <is>
          <t>2025 average time-charter equivalent (USD per day)</t>
        </is>
      </c>
      <c r="B30" s="18">
        <f>Assumptions!$B$41</f>
        <v/>
      </c>
      <c r="C30" s="18">
        <f>Assumptions!$C$41</f>
        <v/>
      </c>
      <c r="D30" s="18">
        <f>Assumptions!$D$41</f>
        <v/>
      </c>
      <c r="E30" s="18">
        <f>Assumptions!$E$41</f>
        <v/>
      </c>
      <c r="F30" s="18">
        <f>Assumptions!$F$41</f>
        <v/>
      </c>
    </row>
    <row r="31">
      <c r="A31" s="6" t="inlineStr">
        <is>
          <t>First-quarter 2026 time-charter equivalent (USD per day)</t>
        </is>
      </c>
      <c r="B31" s="18">
        <f>Assumptions!$B$42</f>
        <v/>
      </c>
      <c r="C31" s="18">
        <f>Assumptions!$C$42</f>
        <v/>
      </c>
      <c r="D31" s="18">
        <f>Assumptions!$D$42</f>
        <v/>
      </c>
      <c r="E31" s="18">
        <f>Assumptions!$E$42</f>
        <v/>
      </c>
      <c r="F31" s="18">
        <f>Assumptions!$F$42</f>
        <v/>
      </c>
    </row>
    <row r="32">
      <c r="A32" s="6" t="inlineStr">
        <is>
          <t>Second-quarter 2026 time-charter equivalent (USD per day)</t>
        </is>
      </c>
      <c r="B32" s="18">
        <f>Assumptions!$B$43</f>
        <v/>
      </c>
      <c r="C32" s="18">
        <f>Assumptions!$C$43</f>
        <v/>
      </c>
      <c r="D32" s="18">
        <f>Assumptions!$D$43</f>
        <v/>
      </c>
      <c r="E32" s="18">
        <f>Assumptions!$E$43</f>
        <v/>
      </c>
      <c r="F32" s="18">
        <f>Assumptions!$F$43</f>
        <v/>
      </c>
    </row>
    <row r="33">
      <c r="A33" s="6" t="inlineStr">
        <is>
          <t>Second-half 2026 time-charter equivalent — the first quarter stepped back toward the 2025 average (USD per day)</t>
        </is>
      </c>
      <c r="B33" s="31">
        <f>B31*(1-Assumptions!$C$47)+B30*Assumptions!$C$47</f>
        <v/>
      </c>
      <c r="C33" s="31">
        <f>C31*(1-Assumptions!$C$47)+C30*Assumptions!$C$47</f>
        <v/>
      </c>
      <c r="D33" s="31">
        <f>D31*(1-Assumptions!$C$47)+D30*Assumptions!$C$47</f>
        <v/>
      </c>
      <c r="E33" s="31">
        <f>E31*(1-Assumptions!$C$47)+E30*Assumptions!$C$47</f>
        <v/>
      </c>
      <c r="F33" s="31">
        <f>F31*(1-Assumptions!$C$47)+F30*Assumptions!$C$47</f>
        <v/>
      </c>
    </row>
    <row r="34">
      <c r="A34" s="6" t="inlineStr">
        <is>
          <t>FY2026 spot time-charter equivalent — the four quarters averaged (USD per day)</t>
        </is>
      </c>
      <c r="B34" s="31">
        <f>(B31+B32+2*B33)/4</f>
        <v/>
      </c>
      <c r="C34" s="31">
        <f>(C31+C32+2*C33)/4</f>
        <v/>
      </c>
      <c r="D34" s="31">
        <f>(D31+D32+2*D33)/4</f>
        <v/>
      </c>
      <c r="E34" s="31">
        <f>(E31+E32+2*E33)/4</f>
        <v/>
      </c>
      <c r="F34" s="31">
        <f>(F31+F32+2*F33)/4</f>
        <v/>
      </c>
    </row>
    <row r="35">
      <c r="A35" s="6" t="inlineStr">
        <is>
          <t>Mid-cycle rate anchor (USD per day)</t>
        </is>
      </c>
      <c r="B35" s="18">
        <f>Assumptions!$B$44</f>
        <v/>
      </c>
      <c r="C35" s="18">
        <f>Assumptions!$C$44</f>
        <v/>
      </c>
      <c r="D35" s="18">
        <f>Assumptions!$D$44</f>
        <v/>
      </c>
      <c r="E35" s="18">
        <f>Assumptions!$E$44</f>
        <v/>
      </c>
      <c r="F35" s="18">
        <f>Assumptions!$F$44</f>
        <v/>
      </c>
    </row>
    <row r="37">
      <c r="A37" s="11" t="inlineStr">
        <is>
          <t>Spot time-charter equivalent by class, gliding to the mid-cycle anchor (USD per day)</t>
        </is>
      </c>
      <c r="B37" s="14" t="inlineStr">
        <is>
          <t>FY2026</t>
        </is>
      </c>
      <c r="C37" s="14" t="inlineStr">
        <is>
          <t>FY2027</t>
        </is>
      </c>
      <c r="D37" s="14" t="inlineStr">
        <is>
          <t>FY2028</t>
        </is>
      </c>
      <c r="E37" s="14" t="inlineStr">
        <is>
          <t>FY2029</t>
        </is>
      </c>
      <c r="F37" s="14" t="inlineStr">
        <is>
          <t>FY2030</t>
        </is>
      </c>
    </row>
    <row r="38">
      <c r="A38" s="6" t="inlineStr">
        <is>
          <t>Handysize</t>
        </is>
      </c>
      <c r="B38" s="31">
        <f>$B$34</f>
        <v/>
      </c>
      <c r="C38" s="31">
        <f>$B$34+($B$35-$B$34)*1/4</f>
        <v/>
      </c>
      <c r="D38" s="31">
        <f>$B$34+($B$35-$B$34)*2/4</f>
        <v/>
      </c>
      <c r="E38" s="31">
        <f>$B$34+($B$35-$B$34)*3/4</f>
        <v/>
      </c>
      <c r="F38" s="31">
        <f>$B$34+($B$35-$B$34)*4/4</f>
        <v/>
      </c>
    </row>
    <row r="39">
      <c r="A39" s="6" t="inlineStr">
        <is>
          <t>Medium range</t>
        </is>
      </c>
      <c r="B39" s="31">
        <f>$C$34</f>
        <v/>
      </c>
      <c r="C39" s="31">
        <f>$C$34+($C$35-$C$34)*1/4</f>
        <v/>
      </c>
      <c r="D39" s="31">
        <f>$C$34+($C$35-$C$34)*2/4</f>
        <v/>
      </c>
      <c r="E39" s="31">
        <f>$C$34+($C$35-$C$34)*3/4</f>
        <v/>
      </c>
      <c r="F39" s="31">
        <f>$C$34+($C$35-$C$34)*4/4</f>
        <v/>
      </c>
    </row>
    <row r="40">
      <c r="A40" s="6" t="inlineStr">
        <is>
          <t>Long range 1</t>
        </is>
      </c>
      <c r="B40" s="31">
        <f>$D$34</f>
        <v/>
      </c>
      <c r="C40" s="31">
        <f>$D$34+($D$35-$D$34)*1/4</f>
        <v/>
      </c>
      <c r="D40" s="31">
        <f>$D$34+($D$35-$D$34)*2/4</f>
        <v/>
      </c>
      <c r="E40" s="31">
        <f>$D$34+($D$35-$D$34)*3/4</f>
        <v/>
      </c>
      <c r="F40" s="31">
        <f>$D$34+($D$35-$D$34)*4/4</f>
        <v/>
      </c>
    </row>
    <row r="41">
      <c r="A41" s="6" t="inlineStr">
        <is>
          <t>Long range 2</t>
        </is>
      </c>
      <c r="B41" s="31">
        <f>$E$34</f>
        <v/>
      </c>
      <c r="C41" s="31">
        <f>$E$34+($E$35-$E$34)*1/4</f>
        <v/>
      </c>
      <c r="D41" s="31">
        <f>$E$34+($E$35-$E$34)*2/4</f>
        <v/>
      </c>
      <c r="E41" s="31">
        <f>$E$34+($E$35-$E$34)*3/4</f>
        <v/>
      </c>
      <c r="F41" s="31">
        <f>$E$34+($E$35-$E$34)*4/4</f>
        <v/>
      </c>
    </row>
    <row r="42">
      <c r="A42" s="6" t="inlineStr">
        <is>
          <t>Very large crude carrier</t>
        </is>
      </c>
      <c r="B42" s="31">
        <f>$F$34</f>
        <v/>
      </c>
      <c r="C42" s="31">
        <f>$F$34+($F$35-$F$34)*1/4</f>
        <v/>
      </c>
      <c r="D42" s="31">
        <f>$F$34+($F$35-$F$34)*2/4</f>
        <v/>
      </c>
      <c r="E42" s="31">
        <f>$F$34+($F$35-$F$34)*3/4</f>
        <v/>
      </c>
      <c r="F42" s="31">
        <f>$F$34+($F$35-$F$34)*4/4</f>
        <v/>
      </c>
    </row>
    <row r="44">
      <c r="A44" s="11" t="inlineStr">
        <is>
          <t>Tanker revenue and running cost (USD 000)</t>
        </is>
      </c>
      <c r="B44" s="14" t="inlineStr">
        <is>
          <t>FY2026</t>
        </is>
      </c>
      <c r="C44" s="14" t="inlineStr">
        <is>
          <t>FY2027</t>
        </is>
      </c>
      <c r="D44" s="14" t="inlineStr">
        <is>
          <t>FY2028</t>
        </is>
      </c>
      <c r="E44" s="14" t="inlineStr">
        <is>
          <t>FY2029</t>
        </is>
      </c>
      <c r="F44" s="14" t="inlineStr">
        <is>
          <t>FY2030</t>
        </is>
      </c>
    </row>
    <row r="45">
      <c r="A45" s="6" t="inlineStr">
        <is>
          <t>Spot fleet — vessels x rate per day x 365</t>
        </is>
      </c>
      <c r="B45" s="31">
        <f>($B$27*B38+$C$27*B39+$D$27*B40+$E$27*B41+$F$27*B42)*365/1000</f>
        <v/>
      </c>
      <c r="C45" s="31">
        <f>($B$27*C38+$C$27*C39+$D$27*C40+$E$27*C41+$F$27*C42)*365/1000</f>
        <v/>
      </c>
      <c r="D45" s="31">
        <f>($B$27*D38+$C$27*D39+$D$27*D40+$E$27*D41+$F$27*D42)*365/1000</f>
        <v/>
      </c>
      <c r="E45" s="31">
        <f>($B$27*E38+$C$27*E39+$D$27*E40+$E$27*E41+$F$27*E42)*365/1000</f>
        <v/>
      </c>
      <c r="F45" s="31">
        <f>($B$27*F38+$C$27*F39+$D$27*F40+$E$27*F41+$F$27*F42)*365/1000</f>
        <v/>
      </c>
    </row>
    <row r="46">
      <c r="A46" s="6" t="inlineStr">
        <is>
          <t>Chartered-out fleet — vessels at their fixed rates while the contracts run, at spot thereafter</t>
        </is>
      </c>
      <c r="B46" s="31">
        <f>($B$28*($B$29*Assumptions!$B$53+B38*(1-Assumptions!$B$53))+$C$28*($C$29*Assumptions!$B$53+B39*(1-Assumptions!$B$53))+$D$28*($D$29*Assumptions!$B$53+B40*(1-Assumptions!$B$53))+$E$28*($E$29*Assumptions!$B$53+B41*(1-Assumptions!$B$53))+$F$28*($F$29*Assumptions!$B$53+B42*(1-Assumptions!$B$53)))*365/1000</f>
        <v/>
      </c>
      <c r="C46" s="31">
        <f>($B$28*($B$29*Assumptions!$C$53+C38*(1-Assumptions!$C$53))+$C$28*($C$29*Assumptions!$C$53+C39*(1-Assumptions!$C$53))+$D$28*($D$29*Assumptions!$C$53+C40*(1-Assumptions!$C$53))+$E$28*($E$29*Assumptions!$C$53+C41*(1-Assumptions!$C$53))+$F$28*($F$29*Assumptions!$C$53+C42*(1-Assumptions!$C$53)))*365/1000</f>
        <v/>
      </c>
      <c r="D46" s="31">
        <f>($B$28*($B$29*Assumptions!$D$53+D38*(1-Assumptions!$D$53))+$C$28*($C$29*Assumptions!$D$53+D39*(1-Assumptions!$D$53))+$D$28*($D$29*Assumptions!$D$53+D40*(1-Assumptions!$D$53))+$E$28*($E$29*Assumptions!$D$53+D41*(1-Assumptions!$D$53))+$F$28*($F$29*Assumptions!$D$53+D42*(1-Assumptions!$D$53)))*365/1000</f>
        <v/>
      </c>
      <c r="E46" s="31">
        <f>($B$28*($B$29*Assumptions!$E$53+E38*(1-Assumptions!$E$53))+$C$28*($C$29*Assumptions!$E$53+E39*(1-Assumptions!$E$53))+$D$28*($D$29*Assumptions!$E$53+E40*(1-Assumptions!$E$53))+$E$28*($E$29*Assumptions!$E$53+E41*(1-Assumptions!$E$53))+$F$28*($F$29*Assumptions!$E$53+E42*(1-Assumptions!$E$53)))*365/1000</f>
        <v/>
      </c>
      <c r="F46" s="31">
        <f>($B$28*($B$29*Assumptions!$F$53+F38*(1-Assumptions!$F$53))+$C$28*($C$29*Assumptions!$F$53+F39*(1-Assumptions!$F$53))+$D$28*($D$29*Assumptions!$F$53+F40*(1-Assumptions!$F$53))+$E$28*($E$29*Assumptions!$F$53+F41*(1-Assumptions!$F$53))+$F$28*($F$29*Assumptions!$F$53+F42*(1-Assumptions!$F$53)))*365/1000</f>
        <v/>
      </c>
    </row>
    <row r="47">
      <c r="A47" s="37" t="inlineStr">
        <is>
          <t>Time-charter-equivalent revenue</t>
        </is>
      </c>
      <c r="B47" s="36">
        <f>B45+B46</f>
        <v/>
      </c>
      <c r="C47" s="36">
        <f>C45+C46</f>
        <v/>
      </c>
      <c r="D47" s="36">
        <f>D45+D46</f>
        <v/>
      </c>
      <c r="E47" s="36">
        <f>E45+E46</f>
        <v/>
      </c>
      <c r="F47" s="36">
        <f>F45+F46</f>
        <v/>
      </c>
    </row>
    <row r="48">
      <c r="A48" s="6" t="inlineStr">
        <is>
          <t>Vessel-days a year (owned fleet x 365)</t>
        </is>
      </c>
      <c r="B48" s="31">
        <f>SUM(B26:F26)*365</f>
        <v/>
      </c>
    </row>
    <row r="49">
      <c r="A49" s="6" t="inlineStr">
        <is>
          <t>Running cost per vessel-day, escalated (USD)</t>
        </is>
      </c>
      <c r="B49" s="38">
        <f>Assumptions!$C$48*(1+Assumptions!$C$49)^1</f>
        <v/>
      </c>
      <c r="C49" s="38">
        <f>Assumptions!$C$48*(1+Assumptions!$C$49)^2</f>
        <v/>
      </c>
      <c r="D49" s="38">
        <f>Assumptions!$C$48*(1+Assumptions!$C$49)^3</f>
        <v/>
      </c>
      <c r="E49" s="38">
        <f>Assumptions!$C$48*(1+Assumptions!$C$49)^4</f>
        <v/>
      </c>
      <c r="F49" s="38">
        <f>Assumptions!$C$48*(1+Assumptions!$C$49)^5</f>
        <v/>
      </c>
    </row>
    <row r="50">
      <c r="A50" s="6" t="inlineStr">
        <is>
          <t>Total running cost — cost per day x vessel-days</t>
        </is>
      </c>
      <c r="B50" s="31">
        <f>$B$48*B49/1000</f>
        <v/>
      </c>
      <c r="C50" s="31">
        <f>$B$48*C49/1000</f>
        <v/>
      </c>
      <c r="D50" s="31">
        <f>$B$48*D49/1000</f>
        <v/>
      </c>
      <c r="E50" s="31">
        <f>$B$48*E49/1000</f>
        <v/>
      </c>
      <c r="F50" s="31">
        <f>$B$48*F49/1000</f>
        <v/>
      </c>
    </row>
    <row r="51">
      <c r="A51" s="37" t="inlineStr">
        <is>
          <t>Tankers EBITDA</t>
        </is>
      </c>
      <c r="B51" s="36">
        <f>B47-B50</f>
        <v/>
      </c>
      <c r="C51" s="36">
        <f>C47-C50</f>
        <v/>
      </c>
      <c r="D51" s="36">
        <f>D47-D50</f>
        <v/>
      </c>
      <c r="E51" s="36">
        <f>E47-E50</f>
        <v/>
      </c>
      <c r="F51" s="36">
        <f>F47-F50</f>
        <v/>
      </c>
    </row>
    <row r="52">
      <c r="A52" s="6" t="inlineStr">
        <is>
          <t>Gross-up from time-charter-equivalent to reported revenue</t>
        </is>
      </c>
      <c r="B52" s="39">
        <f>Assumptions!$C$50</f>
        <v/>
      </c>
      <c r="C52" s="39">
        <f>Assumptions!$C$50</f>
        <v/>
      </c>
      <c r="D52" s="39">
        <f>Assumptions!$C$50</f>
        <v/>
      </c>
      <c r="E52" s="39">
        <f>Assumptions!$C$50</f>
        <v/>
      </c>
      <c r="F52" s="39">
        <f>Assumptions!$C$50</f>
        <v/>
      </c>
    </row>
    <row r="53">
      <c r="A53" s="37" t="inlineStr">
        <is>
          <t>Tankers revenue</t>
        </is>
      </c>
      <c r="B53" s="36">
        <f>B47*B52</f>
        <v/>
      </c>
      <c r="C53" s="36">
        <f>C47*C52</f>
        <v/>
      </c>
      <c r="D53" s="36">
        <f>D47*D52</f>
        <v/>
      </c>
      <c r="E53" s="36">
        <f>E47*E52</f>
        <v/>
      </c>
      <c r="F53" s="36">
        <f>F47*F52</f>
        <v/>
      </c>
    </row>
    <row r="55">
      <c r="A55" s="11" t="inlineStr">
        <is>
          <t>GAS CARRIERS — CONTRACTED VESSEL-YEARS x IMPLIED DAY RATE</t>
        </is>
      </c>
      <c r="B55" s="14" t="inlineStr">
        <is>
          <t>FY2026</t>
        </is>
      </c>
      <c r="C55" s="14" t="inlineStr">
        <is>
          <t>FY2027</t>
        </is>
      </c>
      <c r="D55" s="14" t="inlineStr">
        <is>
          <t>FY2028</t>
        </is>
      </c>
      <c r="E55" s="14" t="inlineStr">
        <is>
          <t>FY2029</t>
        </is>
      </c>
      <c r="F55" s="14" t="inlineStr">
        <is>
          <t>FY2030</t>
        </is>
      </c>
    </row>
    <row r="56">
      <c r="A56" s="6" t="inlineStr">
        <is>
          <t>Contracted vessel-years</t>
        </is>
      </c>
      <c r="B56" s="17">
        <f>Assumptions!$B$54</f>
        <v/>
      </c>
      <c r="C56" s="17">
        <f>Assumptions!$C$54</f>
        <v/>
      </c>
      <c r="D56" s="17">
        <f>Assumptions!$D$54</f>
        <v/>
      </c>
      <c r="E56" s="17">
        <f>Assumptions!$E$54</f>
        <v/>
      </c>
      <c r="F56" s="17">
        <f>Assumptions!$F$54</f>
        <v/>
      </c>
    </row>
    <row r="57">
      <c r="A57" s="6" t="inlineStr">
        <is>
          <t>Revenue per vessel-day, escalated (USD)</t>
        </is>
      </c>
      <c r="B57" s="31">
        <f>Assumptions!$C$55*(1+Assumptions!$C$49)^1</f>
        <v/>
      </c>
      <c r="C57" s="31">
        <f>Assumptions!$C$55*(1+Assumptions!$C$49)^2</f>
        <v/>
      </c>
      <c r="D57" s="31">
        <f>Assumptions!$C$55*(1+Assumptions!$C$49)^3</f>
        <v/>
      </c>
      <c r="E57" s="31">
        <f>Assumptions!$C$55*(1+Assumptions!$C$49)^4</f>
        <v/>
      </c>
      <c r="F57" s="31">
        <f>Assumptions!$C$55*(1+Assumptions!$C$49)^5</f>
        <v/>
      </c>
    </row>
    <row r="58">
      <c r="A58" s="6" t="inlineStr">
        <is>
          <t>Gas Carriers revenue</t>
        </is>
      </c>
      <c r="B58" s="31">
        <f>B56*365*B57/1000</f>
        <v/>
      </c>
      <c r="C58" s="31">
        <f>C56*365*C57/1000</f>
        <v/>
      </c>
      <c r="D58" s="31">
        <f>D56*365*D57/1000</f>
        <v/>
      </c>
      <c r="E58" s="31">
        <f>E56*365*E57/1000</f>
        <v/>
      </c>
      <c r="F58" s="31">
        <f>F56*365*F57/1000</f>
        <v/>
      </c>
    </row>
    <row r="59">
      <c r="A59" s="6" t="inlineStr">
        <is>
          <t>Gas Carriers earnings margin</t>
        </is>
      </c>
      <c r="B59" s="8">
        <f>Assumptions!$C$56</f>
        <v/>
      </c>
      <c r="C59" s="8">
        <f>Assumptions!$C$56</f>
        <v/>
      </c>
      <c r="D59" s="8">
        <f>Assumptions!$C$56</f>
        <v/>
      </c>
      <c r="E59" s="8">
        <f>Assumptions!$C$56</f>
        <v/>
      </c>
      <c r="F59" s="8">
        <f>Assumptions!$C$56</f>
        <v/>
      </c>
    </row>
    <row r="60">
      <c r="A60" s="37" t="inlineStr">
        <is>
          <t>Gas Carriers EBITDA</t>
        </is>
      </c>
      <c r="B60" s="36">
        <f>B58*B59</f>
        <v/>
      </c>
      <c r="C60" s="36">
        <f>C58*C59</f>
        <v/>
      </c>
      <c r="D60" s="36">
        <f>D58*D59</f>
        <v/>
      </c>
      <c r="E60" s="36">
        <f>E58*E59</f>
        <v/>
      </c>
      <c r="F60" s="36">
        <f>F58*F59</f>
        <v/>
      </c>
    </row>
    <row r="62">
      <c r="A62" s="11" t="inlineStr">
        <is>
          <t>THE REMAINING FIVE UNITS — REVENUE DRIVER x MARGIN DRIVER</t>
        </is>
      </c>
      <c r="B62" s="14" t="inlineStr">
        <is>
          <t>FY2026</t>
        </is>
      </c>
      <c r="C62" s="14" t="inlineStr">
        <is>
          <t>FY2027</t>
        </is>
      </c>
      <c r="D62" s="14" t="inlineStr">
        <is>
          <t>FY2028</t>
        </is>
      </c>
      <c r="E62" s="14" t="inlineStr">
        <is>
          <t>FY2029</t>
        </is>
      </c>
      <c r="F62" s="14" t="inlineStr">
        <is>
          <t>FY2030</t>
        </is>
      </c>
    </row>
    <row r="63">
      <c r="A63" s="6" t="inlineStr">
        <is>
          <t>Offshore Contracting — revenue</t>
        </is>
      </c>
      <c r="B63" s="18">
        <f>Assumptions!$B$59</f>
        <v/>
      </c>
      <c r="C63" s="18">
        <f>Assumptions!$C$59</f>
        <v/>
      </c>
      <c r="D63" s="18">
        <f>Assumptions!$D$59</f>
        <v/>
      </c>
      <c r="E63" s="18">
        <f>Assumptions!$E$59</f>
        <v/>
      </c>
      <c r="F63" s="18">
        <f>Assumptions!$F$59</f>
        <v/>
      </c>
    </row>
    <row r="64">
      <c r="A64" s="6" t="inlineStr">
        <is>
          <t>Offshore Contracting — EBITDA</t>
        </is>
      </c>
      <c r="B64" s="31">
        <f>B63*Assumptions!$B$60</f>
        <v/>
      </c>
      <c r="C64" s="31">
        <f>C63*Assumptions!$C$60</f>
        <v/>
      </c>
      <c r="D64" s="31">
        <f>D63*Assumptions!$D$60</f>
        <v/>
      </c>
      <c r="E64" s="31">
        <f>E63*Assumptions!$E$60</f>
        <v/>
      </c>
      <c r="F64" s="31">
        <f>F63*Assumptions!$F$60</f>
        <v/>
      </c>
    </row>
    <row r="65">
      <c r="A65" s="6" t="inlineStr">
        <is>
          <t>Offshore Services — revenue</t>
        </is>
      </c>
      <c r="B65" s="18">
        <f>Assumptions!$B$61</f>
        <v/>
      </c>
      <c r="C65" s="18">
        <f>Assumptions!$C$61</f>
        <v/>
      </c>
      <c r="D65" s="18">
        <f>Assumptions!$D$61</f>
        <v/>
      </c>
      <c r="E65" s="18">
        <f>Assumptions!$E$61</f>
        <v/>
      </c>
      <c r="F65" s="18">
        <f>Assumptions!$F$61</f>
        <v/>
      </c>
    </row>
    <row r="66">
      <c r="A66" s="6" t="inlineStr">
        <is>
          <t>Offshore Services — EBITDA</t>
        </is>
      </c>
      <c r="B66" s="31">
        <f>B65*Assumptions!$B$62</f>
        <v/>
      </c>
      <c r="C66" s="31">
        <f>C65*Assumptions!$C$62</f>
        <v/>
      </c>
      <c r="D66" s="31">
        <f>D65*Assumptions!$D$62</f>
        <v/>
      </c>
      <c r="E66" s="31">
        <f>E65*Assumptions!$E$62</f>
        <v/>
      </c>
      <c r="F66" s="31">
        <f>F65*Assumptions!$F$62</f>
        <v/>
      </c>
    </row>
    <row r="67">
      <c r="A67" s="6" t="inlineStr">
        <is>
          <t>Offshore Projects — revenue</t>
        </is>
      </c>
      <c r="B67" s="18">
        <f>Assumptions!$B$63</f>
        <v/>
      </c>
      <c r="C67" s="18">
        <f>Assumptions!$C$63</f>
        <v/>
      </c>
      <c r="D67" s="18">
        <f>Assumptions!$D$63</f>
        <v/>
      </c>
      <c r="E67" s="18">
        <f>Assumptions!$E$63</f>
        <v/>
      </c>
      <c r="F67" s="18">
        <f>Assumptions!$F$63</f>
        <v/>
      </c>
    </row>
    <row r="68">
      <c r="A68" s="6" t="inlineStr">
        <is>
          <t>Offshore Projects — EBITDA</t>
        </is>
      </c>
      <c r="B68" s="31">
        <f>B67*Assumptions!$B$64</f>
        <v/>
      </c>
      <c r="C68" s="31">
        <f>C67*Assumptions!$C$64</f>
        <v/>
      </c>
      <c r="D68" s="31">
        <f>D67*Assumptions!$D$64</f>
        <v/>
      </c>
      <c r="E68" s="31">
        <f>E67*Assumptions!$E$64</f>
        <v/>
      </c>
      <c r="F68" s="31">
        <f>F67*Assumptions!$F$64</f>
        <v/>
      </c>
    </row>
    <row r="69">
      <c r="A69" s="6" t="inlineStr">
        <is>
          <t>Dry-Bulk and Containers — revenue</t>
        </is>
      </c>
      <c r="B69" s="18">
        <f>Assumptions!$B$65</f>
        <v/>
      </c>
      <c r="C69" s="18">
        <f>Assumptions!$C$65</f>
        <v/>
      </c>
      <c r="D69" s="18">
        <f>Assumptions!$D$65</f>
        <v/>
      </c>
      <c r="E69" s="18">
        <f>Assumptions!$E$65</f>
        <v/>
      </c>
      <c r="F69" s="18">
        <f>Assumptions!$F$65</f>
        <v/>
      </c>
    </row>
    <row r="70">
      <c r="A70" s="6" t="inlineStr">
        <is>
          <t>Dry-Bulk and Containers — EBITDA</t>
        </is>
      </c>
      <c r="B70" s="31">
        <f>B69*Assumptions!$B$66</f>
        <v/>
      </c>
      <c r="C70" s="31">
        <f>C69*Assumptions!$C$66</f>
        <v/>
      </c>
      <c r="D70" s="31">
        <f>D69*Assumptions!$D$66</f>
        <v/>
      </c>
      <c r="E70" s="31">
        <f>E69*Assumptions!$E$66</f>
        <v/>
      </c>
      <c r="F70" s="31">
        <f>F69*Assumptions!$F$66</f>
        <v/>
      </c>
    </row>
    <row r="71">
      <c r="A71" s="6" t="inlineStr">
        <is>
          <t>Services — revenue</t>
        </is>
      </c>
      <c r="B71" s="18">
        <f>Assumptions!$B$67</f>
        <v/>
      </c>
      <c r="C71" s="18">
        <f>Assumptions!$C$67</f>
        <v/>
      </c>
      <c r="D71" s="18">
        <f>Assumptions!$D$67</f>
        <v/>
      </c>
      <c r="E71" s="18">
        <f>Assumptions!$E$67</f>
        <v/>
      </c>
      <c r="F71" s="18">
        <f>Assumptions!$F$67</f>
        <v/>
      </c>
    </row>
    <row r="72">
      <c r="A72" s="6" t="inlineStr">
        <is>
          <t>Services — EBITDA</t>
        </is>
      </c>
      <c r="B72" s="31">
        <f>B71*Assumptions!$B$68</f>
        <v/>
      </c>
      <c r="C72" s="31">
        <f>C71*Assumptions!$C$68</f>
        <v/>
      </c>
      <c r="D72" s="31">
        <f>D71*Assumptions!$D$68</f>
        <v/>
      </c>
      <c r="E72" s="31">
        <f>E71*Assumptions!$E$68</f>
        <v/>
      </c>
      <c r="F72" s="31">
        <f>F71*Assumptions!$F$68</f>
        <v/>
      </c>
    </row>
    <row r="74">
      <c r="A74" s="11" t="inlineStr">
        <is>
          <t>FORECAST REVENUE BY SEGMENT</t>
        </is>
      </c>
      <c r="B74" s="14" t="inlineStr">
        <is>
          <t>FY2026E</t>
        </is>
      </c>
      <c r="C74" s="14" t="inlineStr">
        <is>
          <t>FY2027E</t>
        </is>
      </c>
      <c r="D74" s="14" t="inlineStr">
        <is>
          <t>FY2028E</t>
        </is>
      </c>
      <c r="E74" s="14" t="inlineStr">
        <is>
          <t>FY2029E</t>
        </is>
      </c>
      <c r="F74" s="14" t="inlineStr">
        <is>
          <t>FY2030E</t>
        </is>
      </c>
    </row>
    <row r="75">
      <c r="A75" s="6" t="inlineStr">
        <is>
          <t>Offshore Contracting</t>
        </is>
      </c>
      <c r="B75" s="31">
        <f>B63</f>
        <v/>
      </c>
      <c r="C75" s="31">
        <f>C63</f>
        <v/>
      </c>
      <c r="D75" s="31">
        <f>D63</f>
        <v/>
      </c>
      <c r="E75" s="31">
        <f>E63</f>
        <v/>
      </c>
      <c r="F75" s="31">
        <f>F63</f>
        <v/>
      </c>
    </row>
    <row r="76">
      <c r="A76" s="6" t="inlineStr">
        <is>
          <t>Offshore Services</t>
        </is>
      </c>
      <c r="B76" s="31">
        <f>B65</f>
        <v/>
      </c>
      <c r="C76" s="31">
        <f>C65</f>
        <v/>
      </c>
      <c r="D76" s="31">
        <f>D65</f>
        <v/>
      </c>
      <c r="E76" s="31">
        <f>E65</f>
        <v/>
      </c>
      <c r="F76" s="31">
        <f>F65</f>
        <v/>
      </c>
    </row>
    <row r="77">
      <c r="A77" s="6" t="inlineStr">
        <is>
          <t>Offshore Projects</t>
        </is>
      </c>
      <c r="B77" s="31">
        <f>B67</f>
        <v/>
      </c>
      <c r="C77" s="31">
        <f>C67</f>
        <v/>
      </c>
      <c r="D77" s="31">
        <f>D67</f>
        <v/>
      </c>
      <c r="E77" s="31">
        <f>E67</f>
        <v/>
      </c>
      <c r="F77" s="31">
        <f>F67</f>
        <v/>
      </c>
    </row>
    <row r="78">
      <c r="A78" s="6" t="inlineStr">
        <is>
          <t>Tankers</t>
        </is>
      </c>
      <c r="B78" s="31">
        <f>B53</f>
        <v/>
      </c>
      <c r="C78" s="31">
        <f>C53</f>
        <v/>
      </c>
      <c r="D78" s="31">
        <f>D53</f>
        <v/>
      </c>
      <c r="E78" s="31">
        <f>E53</f>
        <v/>
      </c>
      <c r="F78" s="31">
        <f>F53</f>
        <v/>
      </c>
    </row>
    <row r="79">
      <c r="A79" s="6" t="inlineStr">
        <is>
          <t>Gas Carriers</t>
        </is>
      </c>
      <c r="B79" s="31">
        <f>B58</f>
        <v/>
      </c>
      <c r="C79" s="31">
        <f>C58</f>
        <v/>
      </c>
      <c r="D79" s="31">
        <f>D58</f>
        <v/>
      </c>
      <c r="E79" s="31">
        <f>E58</f>
        <v/>
      </c>
      <c r="F79" s="31">
        <f>F58</f>
        <v/>
      </c>
    </row>
    <row r="80">
      <c r="A80" s="6" t="inlineStr">
        <is>
          <t>Dry-Bulk and Containers</t>
        </is>
      </c>
      <c r="B80" s="31">
        <f>B69</f>
        <v/>
      </c>
      <c r="C80" s="31">
        <f>C69</f>
        <v/>
      </c>
      <c r="D80" s="31">
        <f>D69</f>
        <v/>
      </c>
      <c r="E80" s="31">
        <f>E69</f>
        <v/>
      </c>
      <c r="F80" s="31">
        <f>F69</f>
        <v/>
      </c>
    </row>
    <row r="81">
      <c r="A81" s="6" t="inlineStr">
        <is>
          <t>Services</t>
        </is>
      </c>
      <c r="B81" s="31">
        <f>B71</f>
        <v/>
      </c>
      <c r="C81" s="31">
        <f>C71</f>
        <v/>
      </c>
      <c r="D81" s="31">
        <f>D71</f>
        <v/>
      </c>
      <c r="E81" s="31">
        <f>E71</f>
        <v/>
      </c>
      <c r="F81" s="31">
        <f>F71</f>
        <v/>
      </c>
    </row>
    <row r="82">
      <c r="A82" s="11" t="inlineStr">
        <is>
          <t>Total revenue</t>
        </is>
      </c>
      <c r="B82" s="34">
        <f>SUM(B75:B81)</f>
        <v/>
      </c>
      <c r="C82" s="34">
        <f>SUM(C75:C81)</f>
        <v/>
      </c>
      <c r="D82" s="34">
        <f>SUM(D75:D81)</f>
        <v/>
      </c>
      <c r="E82" s="34">
        <f>SUM(E75:E81)</f>
        <v/>
      </c>
      <c r="F82" s="34">
        <f>SUM(F75:F81)</f>
        <v/>
      </c>
    </row>
    <row r="84">
      <c r="A84" s="11" t="inlineStr">
        <is>
          <t>FORECAST EBITDA BY SEGMENT</t>
        </is>
      </c>
      <c r="B84" s="14" t="inlineStr">
        <is>
          <t>FY2026E</t>
        </is>
      </c>
      <c r="C84" s="14" t="inlineStr">
        <is>
          <t>FY2027E</t>
        </is>
      </c>
      <c r="D84" s="14" t="inlineStr">
        <is>
          <t>FY2028E</t>
        </is>
      </c>
      <c r="E84" s="14" t="inlineStr">
        <is>
          <t>FY2029E</t>
        </is>
      </c>
      <c r="F84" s="14" t="inlineStr">
        <is>
          <t>FY2030E</t>
        </is>
      </c>
    </row>
    <row r="85">
      <c r="A85" s="6" t="inlineStr">
        <is>
          <t>Offshore Contracting</t>
        </is>
      </c>
      <c r="B85" s="31">
        <f>B64</f>
        <v/>
      </c>
      <c r="C85" s="31">
        <f>C64</f>
        <v/>
      </c>
      <c r="D85" s="31">
        <f>D64</f>
        <v/>
      </c>
      <c r="E85" s="31">
        <f>E64</f>
        <v/>
      </c>
      <c r="F85" s="31">
        <f>F64</f>
        <v/>
      </c>
    </row>
    <row r="86">
      <c r="A86" s="6" t="inlineStr">
        <is>
          <t>Offshore Services</t>
        </is>
      </c>
      <c r="B86" s="31">
        <f>B66</f>
        <v/>
      </c>
      <c r="C86" s="31">
        <f>C66</f>
        <v/>
      </c>
      <c r="D86" s="31">
        <f>D66</f>
        <v/>
      </c>
      <c r="E86" s="31">
        <f>E66</f>
        <v/>
      </c>
      <c r="F86" s="31">
        <f>F66</f>
        <v/>
      </c>
    </row>
    <row r="87">
      <c r="A87" s="6" t="inlineStr">
        <is>
          <t>Offshore Projects</t>
        </is>
      </c>
      <c r="B87" s="31">
        <f>B68</f>
        <v/>
      </c>
      <c r="C87" s="31">
        <f>C68</f>
        <v/>
      </c>
      <c r="D87" s="31">
        <f>D68</f>
        <v/>
      </c>
      <c r="E87" s="31">
        <f>E68</f>
        <v/>
      </c>
      <c r="F87" s="31">
        <f>F68</f>
        <v/>
      </c>
    </row>
    <row r="88">
      <c r="A88" s="6" t="inlineStr">
        <is>
          <t>Tankers</t>
        </is>
      </c>
      <c r="B88" s="31">
        <f>B51</f>
        <v/>
      </c>
      <c r="C88" s="31">
        <f>C51</f>
        <v/>
      </c>
      <c r="D88" s="31">
        <f>D51</f>
        <v/>
      </c>
      <c r="E88" s="31">
        <f>E51</f>
        <v/>
      </c>
      <c r="F88" s="31">
        <f>F51</f>
        <v/>
      </c>
    </row>
    <row r="89">
      <c r="A89" s="6" t="inlineStr">
        <is>
          <t>Gas Carriers</t>
        </is>
      </c>
      <c r="B89" s="31">
        <f>B60</f>
        <v/>
      </c>
      <c r="C89" s="31">
        <f>C60</f>
        <v/>
      </c>
      <c r="D89" s="31">
        <f>D60</f>
        <v/>
      </c>
      <c r="E89" s="31">
        <f>E60</f>
        <v/>
      </c>
      <c r="F89" s="31">
        <f>F60</f>
        <v/>
      </c>
    </row>
    <row r="90">
      <c r="A90" s="6" t="inlineStr">
        <is>
          <t>Dry-Bulk and Containers</t>
        </is>
      </c>
      <c r="B90" s="31">
        <f>B70</f>
        <v/>
      </c>
      <c r="C90" s="31">
        <f>C70</f>
        <v/>
      </c>
      <c r="D90" s="31">
        <f>D70</f>
        <v/>
      </c>
      <c r="E90" s="31">
        <f>E70</f>
        <v/>
      </c>
      <c r="F90" s="31">
        <f>F70</f>
        <v/>
      </c>
    </row>
    <row r="91">
      <c r="A91" s="6" t="inlineStr">
        <is>
          <t>Services</t>
        </is>
      </c>
      <c r="B91" s="31">
        <f>B72</f>
        <v/>
      </c>
      <c r="C91" s="31">
        <f>C72</f>
        <v/>
      </c>
      <c r="D91" s="31">
        <f>D72</f>
        <v/>
      </c>
      <c r="E91" s="31">
        <f>E72</f>
        <v/>
      </c>
      <c r="F91" s="31">
        <f>F72</f>
        <v/>
      </c>
    </row>
    <row r="92">
      <c r="A92" s="11" t="inlineStr">
        <is>
          <t>Total EBITDA</t>
        </is>
      </c>
      <c r="B92" s="34">
        <f>SUM(B85:B91)</f>
        <v/>
      </c>
      <c r="C92" s="34">
        <f>SUM(C85:C91)</f>
        <v/>
      </c>
      <c r="D92" s="34">
        <f>SUM(D85:D91)</f>
        <v/>
      </c>
      <c r="E92" s="34">
        <f>SUM(E85:E91)</f>
        <v/>
      </c>
      <c r="F92" s="34">
        <f>SUM(F85:F91)</f>
        <v/>
      </c>
    </row>
    <row r="93">
      <c r="A93" s="6" t="inlineStr">
        <is>
          <t>Group EBITDA margin</t>
        </is>
      </c>
      <c r="B93" s="10">
        <f>B92/B82</f>
        <v/>
      </c>
      <c r="C93" s="10">
        <f>C92/C82</f>
        <v/>
      </c>
      <c r="D93" s="10">
        <f>D92/D82</f>
        <v/>
      </c>
      <c r="E93" s="10">
        <f>E92/E82</f>
        <v/>
      </c>
      <c r="F93" s="10">
        <f>F92/F82</f>
        <v/>
      </c>
    </row>
    <row r="95">
      <c r="A95" s="11" t="inlineStr">
        <is>
          <t>FORECAST BY BUSINESS UNIT</t>
        </is>
      </c>
      <c r="B95" s="14" t="inlineStr">
        <is>
          <t>FY2026E</t>
        </is>
      </c>
      <c r="C95" s="14" t="inlineStr">
        <is>
          <t>FY2027E</t>
        </is>
      </c>
      <c r="D95" s="14" t="inlineStr">
        <is>
          <t>FY2028E</t>
        </is>
      </c>
      <c r="E95" s="14" t="inlineStr">
        <is>
          <t>FY2029E</t>
        </is>
      </c>
      <c r="F95" s="14" t="inlineStr">
        <is>
          <t>FY2030E</t>
        </is>
      </c>
    </row>
    <row r="96">
      <c r="A96" s="6" t="inlineStr">
        <is>
          <t>Integrated Logistics — revenue</t>
        </is>
      </c>
      <c r="B96" s="31">
        <f>B75+B76+B77</f>
        <v/>
      </c>
      <c r="C96" s="31">
        <f>C75+C76+C77</f>
        <v/>
      </c>
      <c r="D96" s="31">
        <f>D75+D76+D77</f>
        <v/>
      </c>
      <c r="E96" s="31">
        <f>E75+E76+E77</f>
        <v/>
      </c>
      <c r="F96" s="31">
        <f>F75+F76+F77</f>
        <v/>
      </c>
    </row>
    <row r="97">
      <c r="A97" s="6" t="inlineStr">
        <is>
          <t>Shipping — revenue</t>
        </is>
      </c>
      <c r="B97" s="31">
        <f>B78+B79+B80</f>
        <v/>
      </c>
      <c r="C97" s="31">
        <f>C78+C79+C80</f>
        <v/>
      </c>
      <c r="D97" s="31">
        <f>D78+D79+D80</f>
        <v/>
      </c>
      <c r="E97" s="31">
        <f>E78+E79+E80</f>
        <v/>
      </c>
      <c r="F97" s="31">
        <f>F78+F79+F80</f>
        <v/>
      </c>
    </row>
    <row r="98">
      <c r="A98" s="6" t="inlineStr">
        <is>
          <t>Services — revenue</t>
        </is>
      </c>
      <c r="B98" s="31">
        <f>B81</f>
        <v/>
      </c>
      <c r="C98" s="31">
        <f>C81</f>
        <v/>
      </c>
      <c r="D98" s="31">
        <f>D81</f>
        <v/>
      </c>
      <c r="E98" s="31">
        <f>E81</f>
        <v/>
      </c>
      <c r="F98" s="31">
        <f>F81</f>
        <v/>
      </c>
    </row>
    <row r="99">
      <c r="A99" s="6" t="inlineStr">
        <is>
          <t>Integrated Logistics — EBITDA</t>
        </is>
      </c>
      <c r="B99" s="31">
        <f>B85+B86+B87</f>
        <v/>
      </c>
      <c r="C99" s="31">
        <f>C85+C86+C87</f>
        <v/>
      </c>
      <c r="D99" s="31">
        <f>D85+D86+D87</f>
        <v/>
      </c>
      <c r="E99" s="31">
        <f>E85+E86+E87</f>
        <v/>
      </c>
      <c r="F99" s="31">
        <f>F85+F86+F87</f>
        <v/>
      </c>
    </row>
    <row r="100">
      <c r="A100" s="6" t="inlineStr">
        <is>
          <t>Shipping — EBITDA</t>
        </is>
      </c>
      <c r="B100" s="31">
        <f>B88+B89+B90</f>
        <v/>
      </c>
      <c r="C100" s="31">
        <f>C88+C89+C90</f>
        <v/>
      </c>
      <c r="D100" s="31">
        <f>D88+D89+D90</f>
        <v/>
      </c>
      <c r="E100" s="31">
        <f>E88+E89+E90</f>
        <v/>
      </c>
      <c r="F100" s="31">
        <f>F88+F89+F90</f>
        <v/>
      </c>
    </row>
    <row r="101">
      <c r="A101" s="6" t="inlineStr">
        <is>
          <t>Services — EBITDA</t>
        </is>
      </c>
      <c r="B101" s="31">
        <f>B91</f>
        <v/>
      </c>
      <c r="C101" s="31">
        <f>C91</f>
        <v/>
      </c>
      <c r="D101" s="31">
        <f>D91</f>
        <v/>
      </c>
      <c r="E101" s="31">
        <f>E91</f>
        <v/>
      </c>
      <c r="F101" s="31">
        <f>F91</f>
        <v/>
      </c>
    </row>
    <row r="102">
      <c r="A102" s="6" t="inlineStr">
        <is>
          <t>Integrated Logistics — EBITDA margin</t>
        </is>
      </c>
      <c r="B102" s="10">
        <f>B99/B96</f>
        <v/>
      </c>
      <c r="C102" s="10">
        <f>C99/C96</f>
        <v/>
      </c>
      <c r="D102" s="10">
        <f>D99/D96</f>
        <v/>
      </c>
      <c r="E102" s="10">
        <f>E99/E96</f>
        <v/>
      </c>
      <c r="F102" s="10">
        <f>F99/F96</f>
        <v/>
      </c>
    </row>
    <row r="103">
      <c r="A103" s="6" t="inlineStr">
        <is>
          <t>Shipping — EBITDA margin</t>
        </is>
      </c>
      <c r="B103" s="10">
        <f>B100/B97</f>
        <v/>
      </c>
      <c r="C103" s="10">
        <f>C100/C97</f>
        <v/>
      </c>
      <c r="D103" s="10">
        <f>D100/D97</f>
        <v/>
      </c>
      <c r="E103" s="10">
        <f>E100/E97</f>
        <v/>
      </c>
      <c r="F103" s="10">
        <f>F100/F97</f>
        <v/>
      </c>
    </row>
    <row r="104">
      <c r="A104" s="6" t="inlineStr">
        <is>
          <t>Services — EBITDA margin</t>
        </is>
      </c>
      <c r="B104" s="10">
        <f>B101/B98</f>
        <v/>
      </c>
      <c r="C104" s="10">
        <f>C101/C98</f>
        <v/>
      </c>
      <c r="D104" s="10">
        <f>D101/D98</f>
        <v/>
      </c>
      <c r="E104" s="10">
        <f>E101/E98</f>
        <v/>
      </c>
      <c r="F104" s="10">
        <f>F101/F98</f>
        <v/>
      </c>
    </row>
    <row r="106">
      <c r="A106" s="4" t="inlineStr">
        <is>
          <t>The tanker gross-up moves reported revenue only, never earnings: earnings are struck on time-charter-equivalent revenue less the running cost of the same vessels, so the presentation of voyage and relet revenue cannot change the valuation.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0"/>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18">
        <f>DCF!B6</f>
        <v/>
      </c>
    </row>
    <row r="6">
      <c r="A6" s="6" t="inlineStr">
        <is>
          <t>Blended enterprise multiple</t>
        </is>
      </c>
      <c r="C6" s="35">
        <f>'Peer &amp; Sector'!$C$13</f>
        <v/>
      </c>
    </row>
    <row r="7">
      <c r="A7" s="6" t="inlineStr">
        <is>
          <t>Implied enterprise value</t>
        </is>
      </c>
      <c r="C7" s="31">
        <f>C5*C6</f>
        <v/>
      </c>
    </row>
    <row r="8">
      <c r="A8" s="6" t="inlineStr">
        <is>
          <t>Plus joint ventures and associates at carrying value</t>
        </is>
      </c>
      <c r="C8" s="18">
        <f>Assumptions!$C$98</f>
        <v/>
      </c>
    </row>
    <row r="9">
      <c r="A9" s="6" t="inlineStr">
        <is>
          <t>Less net debt at 31 March 2026</t>
        </is>
      </c>
      <c r="C9" s="18">
        <f>-Assumptions!$C$92</f>
        <v/>
      </c>
    </row>
    <row r="10">
      <c r="A10" s="6" t="inlineStr">
        <is>
          <t>Less deferred consideration on acquisitions</t>
        </is>
      </c>
      <c r="C10" s="18">
        <f>-Assumptions!$C$93</f>
        <v/>
      </c>
    </row>
    <row r="11">
      <c r="A11" s="6" t="inlineStr">
        <is>
          <t>Less perpetual capital securities at carrying value</t>
        </is>
      </c>
      <c r="C11" s="18">
        <f>-Assumptions!$C$94</f>
        <v/>
      </c>
    </row>
    <row r="12">
      <c r="A12" s="6" t="inlineStr">
        <is>
          <t>Less non-controlling interests at carrying value</t>
        </is>
      </c>
      <c r="C12" s="18">
        <f>-Assumptions!$C$96</f>
        <v/>
      </c>
    </row>
    <row r="13">
      <c r="A13" s="6" t="inlineStr">
        <is>
          <t>Implied equity attributable to ordinary shareholders</t>
        </is>
      </c>
      <c r="C13" s="31">
        <f>C7+C8+C9+C10+C11+C12</f>
        <v/>
      </c>
    </row>
    <row r="14">
      <c r="A14" s="6" t="inlineStr">
        <is>
          <t>Value per share on the enterprise multiple (AED)</t>
        </is>
      </c>
      <c r="C14" s="9">
        <f>C13/Assumptions!$C$6/1000*Assumptions!$C$7</f>
        <v/>
      </c>
    </row>
    <row r="15">
      <c r="A15" s="6" t="inlineStr">
        <is>
          <t>Blended price/earnings</t>
        </is>
      </c>
      <c r="C15" s="35">
        <f>'Peer &amp; Sector'!$C$16</f>
        <v/>
      </c>
    </row>
    <row r="16">
      <c r="A16" s="6" t="inlineStr">
        <is>
          <t>FY2026E earnings attributable to ordinary shareholders</t>
        </is>
      </c>
      <c r="C16" s="18">
        <f>'Income Statement'!E30</f>
        <v/>
      </c>
    </row>
    <row r="17">
      <c r="A17" s="6" t="inlineStr">
        <is>
          <t>Value per share on the earnings multiple (AED)</t>
        </is>
      </c>
      <c r="C17" s="9">
        <f>C16*C15/Assumptions!$C$6/1000*Assumptions!$C$7</f>
        <v/>
      </c>
    </row>
    <row r="18">
      <c r="A18" s="6" t="inlineStr">
        <is>
          <t>Weight on the enterprise multiple</t>
        </is>
      </c>
      <c r="C18" s="8">
        <f>Assumptions!$C$109</f>
        <v/>
      </c>
    </row>
    <row r="19">
      <c r="A19" s="11" t="inlineStr">
        <is>
          <t>RELATIVE LENS — value per share (AED)</t>
        </is>
      </c>
      <c r="B19" s="14" t="n"/>
      <c r="C19" s="12">
        <f>C18*C14+(1-C18)*C17</f>
        <v/>
      </c>
      <c r="D19" s="14" t="n"/>
      <c r="E19" s="14" t="n"/>
    </row>
    <row r="20">
      <c r="A20" s="6" t="inlineStr">
        <is>
          <t>Bear on the spot multiple (C) / bull on the contracted multiple (D), same construction</t>
        </is>
      </c>
      <c r="C20" s="9">
        <f>(C5*'Peer &amp; Sector'!$C$11+Assumptions!$C$98-Assumptions!$C$92-Assumptions!$C$93-Assumptions!$C$94-Assumptions!$C$96)/Assumptions!$C$6/1000*Assumptions!$C$7</f>
        <v/>
      </c>
      <c r="D20" s="9">
        <f>(C5*'Peer &amp; Sector'!$C$10+Assumptions!$C$98-Assumptions!$C$92-Assumptions!$C$93-Assumptions!$C$94-Assumptions!$C$96)/Assumptions!$C$6/1000*Assumptions!$C$7</f>
        <v/>
      </c>
    </row>
    <row r="22">
      <c r="A22" s="11" t="inlineStr">
        <is>
          <t>THE COMPANY'S OWN MULTIPLES AT THE ANCHOR PRICE</t>
        </is>
      </c>
      <c r="B22" s="14" t="n"/>
      <c r="C22" s="14" t="n"/>
      <c r="D22" s="14" t="n"/>
      <c r="E22" s="14" t="n"/>
    </row>
    <row r="23">
      <c r="A23" s="6" t="inlineStr">
        <is>
          <t>Share price (USD)</t>
        </is>
      </c>
      <c r="C23" s="7">
        <f>Assumptions!$C$5/Assumptions!$C$7</f>
        <v/>
      </c>
    </row>
    <row r="24">
      <c r="A24" s="6" t="inlineStr">
        <is>
          <t>Market capitalisation (USD 000)</t>
        </is>
      </c>
      <c r="C24" s="31">
        <f>C23*Assumptions!$C$6*1000</f>
        <v/>
      </c>
    </row>
    <row r="25">
      <c r="A25" s="6" t="inlineStr">
        <is>
          <t>Net debt including deferred consideration (USD 000)</t>
        </is>
      </c>
      <c r="C25" s="18">
        <f>Assumptions!$C$92+Assumptions!$C$93</f>
        <v/>
      </c>
    </row>
    <row r="26">
      <c r="A26" s="6" t="inlineStr">
        <is>
          <t>Enterprise value (USD 000)</t>
        </is>
      </c>
      <c r="C26" s="31">
        <f>C24+C25</f>
        <v/>
      </c>
    </row>
    <row r="27">
      <c r="A27" s="6" t="inlineStr">
        <is>
          <t>Enterprise value / 2025 reported EBITDA</t>
        </is>
      </c>
      <c r="C27" s="35">
        <f>C26/'Income Statement'!D16</f>
        <v/>
      </c>
    </row>
    <row r="28">
      <c r="A28" s="6" t="inlineStr">
        <is>
          <t>Enterprise value / FY2026E EBITDA</t>
        </is>
      </c>
      <c r="C28" s="33">
        <f>C26/C5</f>
        <v/>
      </c>
    </row>
    <row r="29">
      <c r="A29" s="6" t="inlineStr">
        <is>
          <t>Price / 2025 earnings attributable to ordinary shareholders</t>
        </is>
      </c>
      <c r="C29" s="35">
        <f>C24/'Income Statement'!D30</f>
        <v/>
      </c>
    </row>
    <row r="30">
      <c r="A30" s="6" t="inlineStr">
        <is>
          <t>Price / book at 31 March 2026</t>
        </is>
      </c>
      <c r="C30" s="33">
        <f>C24/(Assumptions!$C$99+Assumptions!$C$94)</f>
        <v/>
      </c>
    </row>
    <row r="31">
      <c r="A31" s="6" t="inlineStr">
        <is>
          <t>Dividend yield on the 2026 distribution</t>
        </is>
      </c>
      <c r="C31" s="8">
        <f>Assumptions!$C$103/C24</f>
        <v/>
      </c>
    </row>
    <row r="33">
      <c r="A33" s="5" t="inlineStr">
        <is>
          <t>Normalised earnings lens — the five-year average of the model's own forecast</t>
        </is>
      </c>
      <c r="B33" s="5" t="inlineStr"/>
      <c r="C33" s="5" t="inlineStr">
        <is>
          <t>Value</t>
        </is>
      </c>
    </row>
    <row r="34">
      <c r="A34" s="6" t="inlineStr">
        <is>
          <t>Mid-cycle EBITDA — five-year average</t>
        </is>
      </c>
      <c r="C34" s="18">
        <f>AVERAGE(DCF!B6:F6)</f>
        <v/>
      </c>
    </row>
    <row r="35">
      <c r="A35" s="6" t="inlineStr">
        <is>
          <t>Implied enterprise value</t>
        </is>
      </c>
      <c r="C35" s="31">
        <f>C34*C6</f>
        <v/>
      </c>
    </row>
    <row r="36">
      <c r="A36" s="6" t="inlineStr">
        <is>
          <t>Implied equity attributable to ordinary shareholders</t>
        </is>
      </c>
      <c r="C36" s="31">
        <f>C35+Assumptions!$C$98-Assumptions!$C$92-Assumptions!$C$93-Assumptions!$C$94-Assumptions!$C$96</f>
        <v/>
      </c>
    </row>
    <row r="37">
      <c r="A37" s="6" t="inlineStr">
        <is>
          <t>Value per share on the enterprise multiple (AED)</t>
        </is>
      </c>
      <c r="C37" s="9">
        <f>C36/Assumptions!$C$6/1000*Assumptions!$C$7</f>
        <v/>
      </c>
    </row>
    <row r="38">
      <c r="A38" s="6" t="inlineStr">
        <is>
          <t>Mid-cycle earnings attributable to ordinary shareholders — five-year average</t>
        </is>
      </c>
      <c r="C38" s="18">
        <f>AVERAGE('Income Statement'!E30:I30)</f>
        <v/>
      </c>
    </row>
    <row r="39">
      <c r="A39" s="6" t="inlineStr">
        <is>
          <t>Mid-cycle earnings per share (USD)</t>
        </is>
      </c>
      <c r="C39" s="40">
        <f>C38/Assumptions!$C$6/1000</f>
        <v/>
      </c>
    </row>
    <row r="40">
      <c r="A40" s="6" t="inlineStr">
        <is>
          <t>Value per share on the earnings multiple (AED)</t>
        </is>
      </c>
      <c r="C40" s="9">
        <f>C39*C15*Assumptions!$C$7</f>
        <v/>
      </c>
    </row>
    <row r="41">
      <c r="A41" s="11" t="inlineStr">
        <is>
          <t>NORMALISED LENS — value per share (AED)</t>
        </is>
      </c>
      <c r="B41" s="14" t="n"/>
      <c r="C41" s="12">
        <f>(C37+C40)/2</f>
        <v/>
      </c>
      <c r="D41" s="14" t="n"/>
      <c r="E41" s="14" t="n"/>
    </row>
    <row r="42">
      <c r="A42" s="6" t="inlineStr">
        <is>
          <t>Bear on the spot multiple (C) / bull on the contracted multiple (D), same construction</t>
        </is>
      </c>
      <c r="C42" s="9">
        <f>(C34*'Peer &amp; Sector'!$C$11+Assumptions!$C$98-Assumptions!$C$92-Assumptions!$C$93-Assumptions!$C$94-Assumptions!$C$96)/Assumptions!$C$6/1000*Assumptions!$C$7</f>
        <v/>
      </c>
      <c r="D42" s="9">
        <f>(C34*'Peer &amp; Sector'!$C$10+Assumptions!$C$98-Assumptions!$C$92-Assumptions!$C$93-Assumptions!$C$94-Assumptions!$C$96)/Assumptions!$C$6/1000*Assumptions!$C$7</f>
        <v/>
      </c>
    </row>
    <row r="44">
      <c r="A44" s="5" t="inlineStr">
        <is>
          <t>Book value and sustainable return</t>
        </is>
      </c>
      <c r="B44" s="5" t="inlineStr"/>
      <c r="C44" s="5" t="inlineStr">
        <is>
          <t>Value</t>
        </is>
      </c>
    </row>
    <row r="45">
      <c r="A45" s="6" t="inlineStr">
        <is>
          <t>Equity attributable to shareholders at 31 March 2026 (USD 000)</t>
        </is>
      </c>
      <c r="C45" s="18">
        <f>Assumptions!$C$99</f>
        <v/>
      </c>
    </row>
    <row r="46">
      <c r="A46" s="6" t="inlineStr">
        <is>
          <t>Book value per share (USD)</t>
        </is>
      </c>
      <c r="C46" s="40">
        <f>C45/Assumptions!$C$6/1000</f>
        <v/>
      </c>
    </row>
    <row r="47">
      <c r="A47" s="6" t="inlineStr">
        <is>
          <t>Book value per share (AED)</t>
        </is>
      </c>
      <c r="C47" s="9">
        <f>C46*Assumptions!$C$7</f>
        <v/>
      </c>
    </row>
    <row r="48">
      <c r="A48" s="6" t="inlineStr">
        <is>
          <t>Sustainable return on equity — five-year forecast average</t>
        </is>
      </c>
      <c r="C48" s="8">
        <f>AVERAGE('Balance Sheet'!E28:I28)</f>
        <v/>
      </c>
    </row>
    <row r="49">
      <c r="A49" s="6" t="inlineStr">
        <is>
          <t>Cost of equity</t>
        </is>
      </c>
      <c r="C49" s="19">
        <f>DCF!$C$65</f>
        <v/>
      </c>
    </row>
    <row r="50">
      <c r="A50" s="6" t="inlineStr">
        <is>
          <t>Terminal growth</t>
        </is>
      </c>
      <c r="C50" s="8">
        <f>Assumptions!$C$105</f>
        <v/>
      </c>
    </row>
    <row r="51">
      <c r="A51" s="6" t="inlineStr">
        <is>
          <t>Justified price / book</t>
        </is>
      </c>
      <c r="C51" s="33">
        <f>(C48-C50)/(C49-C50)</f>
        <v/>
      </c>
    </row>
    <row r="52">
      <c r="A52" s="11" t="inlineStr">
        <is>
          <t>BOOK LENS — value per share (AED)</t>
        </is>
      </c>
      <c r="B52" s="14" t="n"/>
      <c r="C52" s="12">
        <f>C51*C47</f>
        <v/>
      </c>
      <c r="D52" s="14" t="n"/>
      <c r="E52" s="14" t="n"/>
    </row>
    <row r="53">
      <c r="A53" s="6" t="inlineStr">
        <is>
          <t>Bear — return 15% lower, discounted at the cost of equity built on the TOP of the beta's 90% confidence interval (C) / bull — return 15% higher, discounted at the cost of equity built on the BOTTOM of the same interval (D)</t>
        </is>
      </c>
      <c r="C53" s="9">
        <f>(C48*0.85-C50)/(DCF!$C$115-C50)*C47</f>
        <v/>
      </c>
      <c r="D53" s="9">
        <f>(C48*1.15-C50)/(DCF!$C$114-C50)*C47</f>
        <v/>
      </c>
    </row>
    <row r="55">
      <c r="A55" s="11" t="inlineStr">
        <is>
          <t>THE REALISED VESSEL SALE — DIRECT EVIDENCE ON CARRYING VALUES</t>
        </is>
      </c>
      <c r="B55" s="14" t="n"/>
      <c r="C55" s="14" t="n"/>
      <c r="D55" s="14" t="n"/>
      <c r="E55" s="14" t="n"/>
    </row>
    <row r="56">
      <c r="A56" s="6" t="inlineStr">
        <is>
          <t>Carrying value of the very large crude carrier sold (USD 000)</t>
        </is>
      </c>
      <c r="C56" s="27" t="n">
        <v>83000</v>
      </c>
    </row>
    <row r="57">
      <c r="A57" s="6" t="inlineStr">
        <is>
          <t>Realised sale price, January 2026 (USD 000)</t>
        </is>
      </c>
      <c r="C57" s="27" t="n">
        <v>111000</v>
      </c>
    </row>
    <row r="58">
      <c r="A58" s="37" t="inlineStr">
        <is>
          <t>Realised price over carrying value</t>
        </is>
      </c>
      <c r="C58" s="41">
        <f>C57/C56</f>
        <v/>
      </c>
    </row>
    <row r="59">
      <c r="A59" s="6" t="inlineStr">
        <is>
          <t>Capital gain recognised on the sale, as disclosed (USD 000)</t>
        </is>
      </c>
      <c r="C59" s="27" t="n">
        <v>27000</v>
      </c>
    </row>
    <row r="60">
      <c r="A60"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2"/>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18">
        <f>Segments!B82</f>
        <v/>
      </c>
      <c r="C5" s="18">
        <f>Segments!C82</f>
        <v/>
      </c>
      <c r="D5" s="18">
        <f>Segments!D82</f>
        <v/>
      </c>
      <c r="E5" s="18">
        <f>Segments!E82</f>
        <v/>
      </c>
      <c r="F5" s="18">
        <f>Segments!F82</f>
        <v/>
      </c>
    </row>
    <row r="6">
      <c r="A6" s="6" t="inlineStr">
        <is>
          <t>EBITDA</t>
        </is>
      </c>
      <c r="B6" s="18">
        <f>Segments!B92</f>
        <v/>
      </c>
      <c r="C6" s="18">
        <f>Segments!C92</f>
        <v/>
      </c>
      <c r="D6" s="18">
        <f>Segments!D92</f>
        <v/>
      </c>
      <c r="E6" s="18">
        <f>Segments!E92</f>
        <v/>
      </c>
      <c r="F6" s="18">
        <f>Segments!F92</f>
        <v/>
      </c>
    </row>
    <row r="7">
      <c r="A7" s="6" t="inlineStr">
        <is>
          <t>EBITDA margin</t>
        </is>
      </c>
      <c r="B7" s="10">
        <f>B6/B5</f>
        <v/>
      </c>
      <c r="C7" s="10">
        <f>C6/C5</f>
        <v/>
      </c>
      <c r="D7" s="10">
        <f>D6/D5</f>
        <v/>
      </c>
      <c r="E7" s="10">
        <f>E6/E5</f>
        <v/>
      </c>
      <c r="F7" s="10">
        <f>F6/F5</f>
        <v/>
      </c>
    </row>
    <row r="8">
      <c r="A8" s="6" t="inlineStr">
        <is>
          <t>Less depreciation and amortisation</t>
        </is>
      </c>
      <c r="B8" s="18">
        <f>-'Balance Sheet'!B38</f>
        <v/>
      </c>
      <c r="C8" s="18">
        <f>-'Balance Sheet'!C38</f>
        <v/>
      </c>
      <c r="D8" s="18">
        <f>-'Balance Sheet'!D38</f>
        <v/>
      </c>
      <c r="E8" s="18">
        <f>-'Balance Sheet'!E38</f>
        <v/>
      </c>
      <c r="F8" s="18">
        <f>-'Balance Sheet'!F38</f>
        <v/>
      </c>
    </row>
    <row r="9">
      <c r="A9" s="14" t="inlineStr">
        <is>
          <t>EBIT</t>
        </is>
      </c>
      <c r="B9" s="32">
        <f>B6+B8</f>
        <v/>
      </c>
      <c r="C9" s="32">
        <f>C6+C8</f>
        <v/>
      </c>
      <c r="D9" s="32">
        <f>D6+D8</f>
        <v/>
      </c>
      <c r="E9" s="32">
        <f>E6+E8</f>
        <v/>
      </c>
      <c r="F9" s="32">
        <f>F6+F8</f>
        <v/>
      </c>
    </row>
    <row r="10">
      <c r="A10" s="6" t="inlineStr">
        <is>
          <t>Less tax on operating profit — the business-unit mix below</t>
        </is>
      </c>
      <c r="B10" s="31">
        <f>-B35</f>
        <v/>
      </c>
      <c r="C10" s="31">
        <f>-C35</f>
        <v/>
      </c>
      <c r="D10" s="31">
        <f>-D35</f>
        <v/>
      </c>
      <c r="E10" s="31">
        <f>-E35</f>
        <v/>
      </c>
      <c r="F10" s="31">
        <f>-F35</f>
        <v/>
      </c>
    </row>
    <row r="11">
      <c r="A11" s="14" t="inlineStr">
        <is>
          <t>NOPAT</t>
        </is>
      </c>
      <c r="B11" s="32">
        <f>B9+B10</f>
        <v/>
      </c>
      <c r="C11" s="32">
        <f>C9+C10</f>
        <v/>
      </c>
      <c r="D11" s="32">
        <f>D9+D10</f>
        <v/>
      </c>
      <c r="E11" s="32">
        <f>E9+E10</f>
        <v/>
      </c>
      <c r="F11" s="32">
        <f>F9+F10</f>
        <v/>
      </c>
    </row>
    <row r="12">
      <c r="A12" s="6" t="inlineStr">
        <is>
          <t>Add back depreciation and amortisation</t>
        </is>
      </c>
      <c r="B12" s="31">
        <f>-B8</f>
        <v/>
      </c>
      <c r="C12" s="31">
        <f>-C8</f>
        <v/>
      </c>
      <c r="D12" s="31">
        <f>-D8</f>
        <v/>
      </c>
      <c r="E12" s="31">
        <f>-E8</f>
        <v/>
      </c>
      <c r="F12" s="31">
        <f>-F8</f>
        <v/>
      </c>
    </row>
    <row r="13">
      <c r="A13" s="6" t="inlineStr">
        <is>
          <t>Less capital expenditure</t>
        </is>
      </c>
      <c r="B13" s="18">
        <f>-Assumptions!$B$71</f>
        <v/>
      </c>
      <c r="C13" s="18">
        <f>-Assumptions!$C$71</f>
        <v/>
      </c>
      <c r="D13" s="18">
        <f>-Assumptions!$D$71</f>
        <v/>
      </c>
      <c r="E13" s="18">
        <f>-Assumptions!$E$71</f>
        <v/>
      </c>
      <c r="F13" s="18">
        <f>-Assumptions!$F$71</f>
        <v/>
      </c>
    </row>
    <row r="14">
      <c r="A14" s="6" t="inlineStr">
        <is>
          <t>Less change in working capital</t>
        </is>
      </c>
      <c r="B14" s="18">
        <f>-'Balance Sheet'!B50</f>
        <v/>
      </c>
      <c r="C14" s="18">
        <f>-'Balance Sheet'!C50</f>
        <v/>
      </c>
      <c r="D14" s="18">
        <f>-'Balance Sheet'!D50</f>
        <v/>
      </c>
      <c r="E14" s="18">
        <f>-'Balance Sheet'!E50</f>
        <v/>
      </c>
      <c r="F14" s="18">
        <f>-'Balance Sheet'!F50</f>
        <v/>
      </c>
    </row>
    <row r="15">
      <c r="A15" s="14" t="inlineStr">
        <is>
          <t>Free cash flow to the firm</t>
        </is>
      </c>
      <c r="B15" s="32">
        <f>B11+B12+B13+B14</f>
        <v/>
      </c>
      <c r="C15" s="32">
        <f>C11+C12+C13+C14</f>
        <v/>
      </c>
      <c r="D15" s="32">
        <f>D11+D12+D13+D14</f>
        <v/>
      </c>
      <c r="E15" s="32">
        <f>E11+E12+E13+E14</f>
        <v/>
      </c>
      <c r="F15" s="32">
        <f>F11+F12+F13+F14</f>
        <v/>
      </c>
    </row>
    <row r="16">
      <c r="A16" s="6" t="inlineStr">
        <is>
          <t>Less first-quarter 2026 free cash flow, already inside net debt at the valuation date</t>
        </is>
      </c>
      <c r="B16" s="18">
        <f>-Assumptions!$C$9</f>
        <v/>
      </c>
      <c r="C16" s="31" t="inlineStr">
        <is>
          <t>-</t>
        </is>
      </c>
      <c r="D16" s="31" t="inlineStr">
        <is>
          <t>-</t>
        </is>
      </c>
      <c r="E16" s="31" t="inlineStr">
        <is>
          <t>-</t>
        </is>
      </c>
      <c r="F16" s="31" t="inlineStr">
        <is>
          <t>-</t>
        </is>
      </c>
    </row>
    <row r="17">
      <c r="A17" s="14" t="inlineStr">
        <is>
          <t>Free cash flow discounted from 31 March 2026</t>
        </is>
      </c>
      <c r="B17" s="32">
        <f>B15+B16</f>
        <v/>
      </c>
      <c r="C17" s="32">
        <f>C15</f>
        <v/>
      </c>
      <c r="D17" s="32">
        <f>D15</f>
        <v/>
      </c>
      <c r="E17" s="32">
        <f>E15</f>
        <v/>
      </c>
      <c r="F17" s="32">
        <f>F15</f>
        <v/>
      </c>
    </row>
    <row r="18">
      <c r="A18" s="6" t="inlineStr">
        <is>
          <t>Forward cost of capital — the glide from current to terminal</t>
        </is>
      </c>
      <c r="B18" s="42">
        <f>$C$97+($C$102-$C$97)*1/5</f>
        <v/>
      </c>
      <c r="C18" s="42">
        <f>$C$97+($C$102-$C$97)*2/5</f>
        <v/>
      </c>
      <c r="D18" s="42">
        <f>$C$97+($C$102-$C$97)*3/5</f>
        <v/>
      </c>
      <c r="E18" s="42">
        <f>$C$97+($C$102-$C$97)*4/5</f>
        <v/>
      </c>
      <c r="F18" s="42">
        <f>$C$97+($C$102-$C$97)*5/5</f>
        <v/>
      </c>
    </row>
    <row r="19">
      <c r="A19" s="6" t="inlineStr">
        <is>
          <t>Discount factor — each year compounded onto the last</t>
        </is>
      </c>
      <c r="B19" s="43">
        <f>1/(1+B18)^Assumptions!$C$8</f>
        <v/>
      </c>
      <c r="C19" s="43">
        <f>B19/(1+C18)</f>
        <v/>
      </c>
      <c r="D19" s="43">
        <f>C19/(1+D18)</f>
        <v/>
      </c>
      <c r="E19" s="43">
        <f>D19/(1+E18)</f>
        <v/>
      </c>
      <c r="F19" s="43">
        <f>E19/(1+F18)</f>
        <v/>
      </c>
    </row>
    <row r="20">
      <c r="A20" s="14" t="inlineStr">
        <is>
          <t>Present value of free cash flow</t>
        </is>
      </c>
      <c r="B20" s="32">
        <f>B17*B19</f>
        <v/>
      </c>
      <c r="C20" s="32">
        <f>C17*C19</f>
        <v/>
      </c>
      <c r="D20" s="32">
        <f>D17*D19</f>
        <v/>
      </c>
      <c r="E20" s="32">
        <f>E17*E19</f>
        <v/>
      </c>
      <c r="F20" s="32">
        <f>F17*F19</f>
        <v/>
      </c>
    </row>
    <row r="22">
      <c r="A22" s="11" t="inlineStr">
        <is>
          <t>THE TAX MIX — EACH BUSINESS UNIT AT ITS OWN DISCLOSED RATE</t>
        </is>
      </c>
      <c r="B22" s="14" t="inlineStr">
        <is>
          <t>FY2026E</t>
        </is>
      </c>
      <c r="C22" s="14" t="inlineStr">
        <is>
          <t>FY2027E</t>
        </is>
      </c>
      <c r="D22" s="14" t="inlineStr">
        <is>
          <t>FY2028E</t>
        </is>
      </c>
      <c r="E22" s="14" t="inlineStr">
        <is>
          <t>FY2029E</t>
        </is>
      </c>
      <c r="F22" s="14" t="inlineStr">
        <is>
          <t>FY2030E</t>
        </is>
      </c>
    </row>
    <row r="23">
      <c r="A23" s="6" t="inlineStr">
        <is>
          <t>Integrated Logistics — EBITDA</t>
        </is>
      </c>
      <c r="B23" s="18">
        <f>Segments!B99</f>
        <v/>
      </c>
      <c r="C23" s="18">
        <f>Segments!C99</f>
        <v/>
      </c>
      <c r="D23" s="18">
        <f>Segments!D99</f>
        <v/>
      </c>
      <c r="E23" s="18">
        <f>Segments!E99</f>
        <v/>
      </c>
      <c r="F23" s="18">
        <f>Segments!F99</f>
        <v/>
      </c>
    </row>
    <row r="24">
      <c r="A24" s="6" t="inlineStr">
        <is>
          <t>Shipping — EBITDA</t>
        </is>
      </c>
      <c r="B24" s="18">
        <f>Segments!B100</f>
        <v/>
      </c>
      <c r="C24" s="18">
        <f>Segments!C100</f>
        <v/>
      </c>
      <c r="D24" s="18">
        <f>Segments!D100</f>
        <v/>
      </c>
      <c r="E24" s="18">
        <f>Segments!E100</f>
        <v/>
      </c>
      <c r="F24" s="18">
        <f>Segments!F100</f>
        <v/>
      </c>
    </row>
    <row r="25">
      <c r="A25" s="6" t="inlineStr">
        <is>
          <t>Services — EBITDA</t>
        </is>
      </c>
      <c r="B25" s="18">
        <f>Segments!B101</f>
        <v/>
      </c>
      <c r="C25" s="18">
        <f>Segments!C101</f>
        <v/>
      </c>
      <c r="D25" s="18">
        <f>Segments!D101</f>
        <v/>
      </c>
      <c r="E25" s="18">
        <f>Segments!E101</f>
        <v/>
      </c>
      <c r="F25" s="18">
        <f>Segments!F101</f>
        <v/>
      </c>
    </row>
    <row r="26">
      <c r="A26" s="6" t="inlineStr">
        <is>
          <t>Integrated Logistics — share of depreciation and amortisation</t>
        </is>
      </c>
      <c r="B26" s="31">
        <f>-B8*(Assumptions!$C$83+Assumptions!$C$84+Assumptions!$C$85)/(Assumptions!$C$83+Assumptions!$C$84+Assumptions!$C$85+Assumptions!$C$86+Assumptions!$C$87+Assumptions!$C$88+Assumptions!$C$89)</f>
        <v/>
      </c>
      <c r="C26" s="31">
        <f>-C8*(Assumptions!$C$83+Assumptions!$C$84+Assumptions!$C$85)/(Assumptions!$C$83+Assumptions!$C$84+Assumptions!$C$85+Assumptions!$C$86+Assumptions!$C$87+Assumptions!$C$88+Assumptions!$C$89)</f>
        <v/>
      </c>
      <c r="D26" s="31">
        <f>-D8*(Assumptions!$C$83+Assumptions!$C$84+Assumptions!$C$85)/(Assumptions!$C$83+Assumptions!$C$84+Assumptions!$C$85+Assumptions!$C$86+Assumptions!$C$87+Assumptions!$C$88+Assumptions!$C$89)</f>
        <v/>
      </c>
      <c r="E26" s="31">
        <f>-E8*(Assumptions!$C$83+Assumptions!$C$84+Assumptions!$C$85)/(Assumptions!$C$83+Assumptions!$C$84+Assumptions!$C$85+Assumptions!$C$86+Assumptions!$C$87+Assumptions!$C$88+Assumptions!$C$89)</f>
        <v/>
      </c>
      <c r="F26" s="31">
        <f>-F8*(Assumptions!$C$83+Assumptions!$C$84+Assumptions!$C$85)/(Assumptions!$C$83+Assumptions!$C$84+Assumptions!$C$85+Assumptions!$C$86+Assumptions!$C$87+Assumptions!$C$88+Assumptions!$C$89)</f>
        <v/>
      </c>
    </row>
    <row r="27">
      <c r="A27" s="6" t="inlineStr">
        <is>
          <t>Shipping — share of depreciation and amortisation</t>
        </is>
      </c>
      <c r="B27" s="31">
        <f>-B8*(Assumptions!$C$86+Assumptions!$C$87+Assumptions!$C$88)/(Assumptions!$C$83+Assumptions!$C$84+Assumptions!$C$85+Assumptions!$C$86+Assumptions!$C$87+Assumptions!$C$88+Assumptions!$C$89)</f>
        <v/>
      </c>
      <c r="C27" s="31">
        <f>-C8*(Assumptions!$C$86+Assumptions!$C$87+Assumptions!$C$88)/(Assumptions!$C$83+Assumptions!$C$84+Assumptions!$C$85+Assumptions!$C$86+Assumptions!$C$87+Assumptions!$C$88+Assumptions!$C$89)</f>
        <v/>
      </c>
      <c r="D27" s="31">
        <f>-D8*(Assumptions!$C$86+Assumptions!$C$87+Assumptions!$C$88)/(Assumptions!$C$83+Assumptions!$C$84+Assumptions!$C$85+Assumptions!$C$86+Assumptions!$C$87+Assumptions!$C$88+Assumptions!$C$89)</f>
        <v/>
      </c>
      <c r="E27" s="31">
        <f>-E8*(Assumptions!$C$86+Assumptions!$C$87+Assumptions!$C$88)/(Assumptions!$C$83+Assumptions!$C$84+Assumptions!$C$85+Assumptions!$C$86+Assumptions!$C$87+Assumptions!$C$88+Assumptions!$C$89)</f>
        <v/>
      </c>
      <c r="F27" s="31">
        <f>-F8*(Assumptions!$C$86+Assumptions!$C$87+Assumptions!$C$88)/(Assumptions!$C$83+Assumptions!$C$84+Assumptions!$C$85+Assumptions!$C$86+Assumptions!$C$87+Assumptions!$C$88+Assumptions!$C$89)</f>
        <v/>
      </c>
    </row>
    <row r="28">
      <c r="A28" s="6" t="inlineStr">
        <is>
          <t>Services — share of depreciation and amortisation</t>
        </is>
      </c>
      <c r="B28" s="31">
        <f>-B8*(Assumptions!$C$89)/(Assumptions!$C$83+Assumptions!$C$84+Assumptions!$C$85+Assumptions!$C$86+Assumptions!$C$87+Assumptions!$C$88+Assumptions!$C$89)</f>
        <v/>
      </c>
      <c r="C28" s="31">
        <f>-C8*(Assumptions!$C$89)/(Assumptions!$C$83+Assumptions!$C$84+Assumptions!$C$85+Assumptions!$C$86+Assumptions!$C$87+Assumptions!$C$88+Assumptions!$C$89)</f>
        <v/>
      </c>
      <c r="D28" s="31">
        <f>-D8*(Assumptions!$C$89)/(Assumptions!$C$83+Assumptions!$C$84+Assumptions!$C$85+Assumptions!$C$86+Assumptions!$C$87+Assumptions!$C$88+Assumptions!$C$89)</f>
        <v/>
      </c>
      <c r="E28" s="31">
        <f>-E8*(Assumptions!$C$89)/(Assumptions!$C$83+Assumptions!$C$84+Assumptions!$C$85+Assumptions!$C$86+Assumptions!$C$87+Assumptions!$C$88+Assumptions!$C$89)</f>
        <v/>
      </c>
      <c r="F28" s="31">
        <f>-F8*(Assumptions!$C$89)/(Assumptions!$C$83+Assumptions!$C$84+Assumptions!$C$85+Assumptions!$C$86+Assumptions!$C$87+Assumptions!$C$88+Assumptions!$C$89)</f>
        <v/>
      </c>
    </row>
    <row r="29">
      <c r="A29" s="6" t="inlineStr">
        <is>
          <t>Integrated Logistics — taxable profit</t>
        </is>
      </c>
      <c r="B29" s="31">
        <f>MAX(B23-B26,0)</f>
        <v/>
      </c>
      <c r="C29" s="31">
        <f>MAX(C23-C26,0)</f>
        <v/>
      </c>
      <c r="D29" s="31">
        <f>MAX(D23-D26,0)</f>
        <v/>
      </c>
      <c r="E29" s="31">
        <f>MAX(E23-E26,0)</f>
        <v/>
      </c>
      <c r="F29" s="31">
        <f>MAX(F23-F26,0)</f>
        <v/>
      </c>
    </row>
    <row r="30">
      <c r="A30" s="6" t="inlineStr">
        <is>
          <t>Shipping — taxable profit</t>
        </is>
      </c>
      <c r="B30" s="31">
        <f>MAX(B24-B27,0)</f>
        <v/>
      </c>
      <c r="C30" s="31">
        <f>MAX(C24-C27,0)</f>
        <v/>
      </c>
      <c r="D30" s="31">
        <f>MAX(D24-D27,0)</f>
        <v/>
      </c>
      <c r="E30" s="31">
        <f>MAX(E24-E27,0)</f>
        <v/>
      </c>
      <c r="F30" s="31">
        <f>MAX(F24-F27,0)</f>
        <v/>
      </c>
    </row>
    <row r="31">
      <c r="A31" s="6" t="inlineStr">
        <is>
          <t>Services — taxable profit</t>
        </is>
      </c>
      <c r="B31" s="31">
        <f>MAX(B25-B28,0)</f>
        <v/>
      </c>
      <c r="C31" s="31">
        <f>MAX(C25-C28,0)</f>
        <v/>
      </c>
      <c r="D31" s="31">
        <f>MAX(D25-D28,0)</f>
        <v/>
      </c>
      <c r="E31" s="31">
        <f>MAX(E25-E28,0)</f>
        <v/>
      </c>
      <c r="F31" s="31">
        <f>MAX(F25-F28,0)</f>
        <v/>
      </c>
    </row>
    <row r="32">
      <c r="A32" s="6" t="inlineStr">
        <is>
          <t>Integrated Logistics — tax charge at 9%</t>
        </is>
      </c>
      <c r="B32" s="31">
        <f>B29*Assumptions!$C$80</f>
        <v/>
      </c>
      <c r="C32" s="31">
        <f>C29*Assumptions!$C$80</f>
        <v/>
      </c>
      <c r="D32" s="31">
        <f>D29*Assumptions!$C$80</f>
        <v/>
      </c>
      <c r="E32" s="31">
        <f>E29*Assumptions!$C$80</f>
        <v/>
      </c>
      <c r="F32" s="31">
        <f>F29*Assumptions!$C$80</f>
        <v/>
      </c>
    </row>
    <row r="33">
      <c r="A33" s="6" t="inlineStr">
        <is>
          <t>Shipping — tax charge at 1%</t>
        </is>
      </c>
      <c r="B33" s="31">
        <f>B30*Assumptions!$C$81</f>
        <v/>
      </c>
      <c r="C33" s="31">
        <f>C30*Assumptions!$C$81</f>
        <v/>
      </c>
      <c r="D33" s="31">
        <f>D30*Assumptions!$C$81</f>
        <v/>
      </c>
      <c r="E33" s="31">
        <f>E30*Assumptions!$C$81</f>
        <v/>
      </c>
      <c r="F33" s="31">
        <f>F30*Assumptions!$C$81</f>
        <v/>
      </c>
    </row>
    <row r="34">
      <c r="A34" s="6" t="inlineStr">
        <is>
          <t>Services — tax charge at 4%</t>
        </is>
      </c>
      <c r="B34" s="31">
        <f>B31*Assumptions!$C$82</f>
        <v/>
      </c>
      <c r="C34" s="31">
        <f>C31*Assumptions!$C$82</f>
        <v/>
      </c>
      <c r="D34" s="31">
        <f>D31*Assumptions!$C$82</f>
        <v/>
      </c>
      <c r="E34" s="31">
        <f>E31*Assumptions!$C$82</f>
        <v/>
      </c>
      <c r="F34" s="31">
        <f>F31*Assumptions!$C$82</f>
        <v/>
      </c>
    </row>
    <row r="35">
      <c r="A35" s="14" t="inlineStr">
        <is>
          <t>Tax on operating profit</t>
        </is>
      </c>
      <c r="B35" s="32">
        <f>SUM(B32:B34)</f>
        <v/>
      </c>
      <c r="C35" s="32">
        <f>SUM(C32:C34)</f>
        <v/>
      </c>
      <c r="D35" s="32">
        <f>SUM(D32:D34)</f>
        <v/>
      </c>
      <c r="E35" s="32">
        <f>SUM(E32:E34)</f>
        <v/>
      </c>
      <c r="F35" s="32">
        <f>SUM(F32:F34)</f>
        <v/>
      </c>
    </row>
    <row r="36">
      <c r="A36" s="6" t="inlineStr">
        <is>
          <t>Effective tax rate on operating profit</t>
        </is>
      </c>
      <c r="B36" s="42">
        <f>B35/B9</f>
        <v/>
      </c>
      <c r="C36" s="42">
        <f>C35/C9</f>
        <v/>
      </c>
      <c r="D36" s="42">
        <f>D35/D9</f>
        <v/>
      </c>
      <c r="E36" s="42">
        <f>E35/E9</f>
        <v/>
      </c>
      <c r="F36" s="42">
        <f>F35/F9</f>
        <v/>
      </c>
    </row>
    <row r="38">
      <c r="A38" s="11" t="inlineStr">
        <is>
          <t>TERMINAL VALUE AND THE BRIDGE TO EQUITY</t>
        </is>
      </c>
      <c r="B38" s="14" t="n"/>
      <c r="C38" s="14" t="n"/>
      <c r="D38" s="14" t="n"/>
      <c r="E38" s="14" t="n"/>
      <c r="F38" s="14" t="n"/>
    </row>
    <row r="39">
      <c r="A39" s="6" t="inlineStr">
        <is>
          <t>Terminal growth</t>
        </is>
      </c>
      <c r="C39" s="8">
        <f>Assumptions!$C$105</f>
        <v/>
      </c>
    </row>
    <row r="40">
      <c r="A40" s="6" t="inlineStr">
        <is>
          <t>Terminal invested capital</t>
        </is>
      </c>
      <c r="C40" s="18">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1">
        <f>F11*(1+C39)</f>
        <v/>
      </c>
    </row>
    <row r="44">
      <c r="A44" s="6" t="inlineStr">
        <is>
          <t>Terminal value — grown NOPAT net of reinvestment, capitalised at the terminal rate</t>
        </is>
      </c>
      <c r="C44" s="31">
        <f>C43*(1-C42)/(C102-C39)</f>
        <v/>
      </c>
    </row>
    <row r="45">
      <c r="A45" s="6" t="inlineStr">
        <is>
          <t>Present value of the five forecast years</t>
        </is>
      </c>
      <c r="C45" s="31">
        <f>SUM(B20:F20)</f>
        <v/>
      </c>
    </row>
    <row r="46">
      <c r="A46" s="6" t="inlineStr">
        <is>
          <t>Present value of the terminal value</t>
        </is>
      </c>
      <c r="C46" s="31">
        <f>C44*F19</f>
        <v/>
      </c>
    </row>
    <row r="47">
      <c r="A47" s="6" t="inlineStr">
        <is>
          <t>Enterprise value of operations</t>
        </is>
      </c>
      <c r="C47" s="31">
        <f>C45+C46</f>
        <v/>
      </c>
    </row>
    <row r="48">
      <c r="A48" s="6" t="inlineStr">
        <is>
          <t>Terminal value as a share of enterprise value</t>
        </is>
      </c>
      <c r="C48" s="10">
        <f>C46/C47</f>
        <v/>
      </c>
    </row>
    <row r="49">
      <c r="A49" s="6" t="inlineStr">
        <is>
          <t>Plus joint ventures and associates at carrying value</t>
        </is>
      </c>
      <c r="C49" s="18">
        <f>Assumptions!$C$98</f>
        <v/>
      </c>
    </row>
    <row r="50">
      <c r="A50" s="6" t="inlineStr">
        <is>
          <t>Enterprise value</t>
        </is>
      </c>
      <c r="C50" s="36">
        <f>C47+C49</f>
        <v/>
      </c>
    </row>
    <row r="51">
      <c r="A51" s="6" t="inlineStr">
        <is>
          <t>Less net debt at 31 March 2026</t>
        </is>
      </c>
      <c r="C51" s="18">
        <f>-Assumptions!$C$92</f>
        <v/>
      </c>
    </row>
    <row r="52">
      <c r="A52" s="6" t="inlineStr">
        <is>
          <t>Less deferred consideration on acquisitions</t>
        </is>
      </c>
      <c r="C52" s="18">
        <f>-Assumptions!$C$93</f>
        <v/>
      </c>
    </row>
    <row r="53">
      <c r="A53" s="6" t="inlineStr">
        <is>
          <t>Less perpetual capital securities at carrying value</t>
        </is>
      </c>
      <c r="C53" s="18">
        <f>-Assumptions!$C$94</f>
        <v/>
      </c>
    </row>
    <row r="54">
      <c r="A54" s="6" t="inlineStr">
        <is>
          <t>Less non-controlling interests at carrying value</t>
        </is>
      </c>
      <c r="C54" s="18">
        <f>-Assumptions!$C$96</f>
        <v/>
      </c>
    </row>
    <row r="55">
      <c r="A55" s="14" t="inlineStr">
        <is>
          <t>Equity attributable to ordinary shareholders</t>
        </is>
      </c>
      <c r="B55" s="14" t="n"/>
      <c r="C55" s="32">
        <f>C50+C51+C52+C53+C54</f>
        <v/>
      </c>
      <c r="D55" s="14" t="n"/>
    </row>
    <row r="56">
      <c r="A56" s="6" t="inlineStr">
        <is>
          <t>Fair value per share (USD)</t>
        </is>
      </c>
      <c r="C56" s="9">
        <f>C55/Assumptions!$C$6/1000</f>
        <v/>
      </c>
    </row>
    <row r="57">
      <c r="A57" s="14" t="inlineStr">
        <is>
          <t>Fair value per share (AED)</t>
        </is>
      </c>
      <c r="B57" s="14" t="n"/>
      <c r="C57" s="15">
        <f>C56*Assumptions!$C$7</f>
        <v/>
      </c>
      <c r="D57" s="14" t="n"/>
    </row>
    <row r="59">
      <c r="A59" s="11" t="inlineStr">
        <is>
          <t>COST OF EQUITY — BUILT HERE, NOT ASSUMED</t>
        </is>
      </c>
      <c r="B59" s="14" t="n"/>
      <c r="C59" s="14" t="n"/>
      <c r="D59" s="14" t="n"/>
      <c r="E59" s="14" t="n"/>
      <c r="F59" s="14" t="n"/>
    </row>
    <row r="60">
      <c r="A60" s="6" t="inlineStr">
        <is>
          <t>Observed government bond yield (dirham tranche, January 2031)</t>
        </is>
      </c>
      <c r="C60" s="19">
        <f>Assumptions!$C$12</f>
        <v/>
      </c>
    </row>
    <row r="61">
      <c r="A61" s="6" t="inlineStr">
        <is>
          <t>Less sovereign default spread — country risk enters once, through the premium</t>
        </is>
      </c>
      <c r="C61" s="19">
        <f>Assumptions!$C$13</f>
        <v/>
      </c>
    </row>
    <row r="62">
      <c r="A62" s="6" t="inlineStr">
        <is>
          <t>Normalised risk-free rate</t>
        </is>
      </c>
      <c r="C62" s="42">
        <f>C60-C61</f>
        <v/>
      </c>
    </row>
    <row r="63">
      <c r="A63" s="6" t="inlineStr">
        <is>
          <t>Beta — own-stock weekly regression against its local index</t>
        </is>
      </c>
      <c r="C63" s="23">
        <f>Assumptions!$C$14</f>
        <v/>
      </c>
    </row>
    <row r="64">
      <c r="A64" s="6" t="inlineStr">
        <is>
          <t>Equity risk premium</t>
        </is>
      </c>
      <c r="C64" s="19">
        <f>Assumptions!$C$19</f>
        <v/>
      </c>
    </row>
    <row r="65">
      <c r="A65" s="14" t="inlineStr">
        <is>
          <t>Cost of equity</t>
        </is>
      </c>
      <c r="B65" s="14" t="n"/>
      <c r="C65" s="44">
        <f>C62+C63*C64</f>
        <v/>
      </c>
      <c r="D65" s="14" t="n"/>
    </row>
    <row r="67">
      <c r="A67" s="11" t="inlineStr">
        <is>
          <t>COST OF DEBT — THREE CONSTRUCTIONS, AVERAGED HERE</t>
        </is>
      </c>
      <c r="B67" s="14" t="n"/>
      <c r="C67" s="14" t="n"/>
      <c r="D67" s="14" t="n"/>
      <c r="E67" s="14" t="n"/>
      <c r="F67" s="14" t="n"/>
    </row>
    <row r="68">
      <c r="A68" s="6" t="inlineStr">
        <is>
          <t>Secured overnight financing rate</t>
        </is>
      </c>
      <c r="C68" s="19">
        <f>Assumptions!$C$24</f>
        <v/>
      </c>
    </row>
    <row r="69">
      <c r="A69" s="6" t="inlineStr">
        <is>
          <t>Parent revolving credit facility margin</t>
        </is>
      </c>
      <c r="C69" s="19">
        <f>Assumptions!$C$25</f>
        <v/>
      </c>
    </row>
    <row r="70">
      <c r="A70" s="6" t="inlineStr">
        <is>
          <t>METHOD 1 — parent revolving facility rate drawn January 2026</t>
        </is>
      </c>
      <c r="C70" s="42">
        <f>C68+C69</f>
        <v/>
      </c>
    </row>
    <row r="71">
      <c r="A71" s="6" t="inlineStr">
        <is>
          <t>Third-party bank loans — low end of the disclosed range</t>
        </is>
      </c>
      <c r="C71" s="19">
        <f>Assumptions!$C$26</f>
        <v/>
      </c>
    </row>
    <row r="72">
      <c r="A72" s="6" t="inlineStr">
        <is>
          <t>Third-party bank loans — high end of the disclosed range</t>
        </is>
      </c>
      <c r="C72" s="19">
        <f>Assumptions!$C$27</f>
        <v/>
      </c>
    </row>
    <row r="73">
      <c r="A73" s="6" t="inlineStr">
        <is>
          <t>Bank-loan midpoint</t>
        </is>
      </c>
      <c r="C73" s="42">
        <f>(C71+C72)/2</f>
        <v/>
      </c>
    </row>
    <row r="74">
      <c r="A74" s="6" t="inlineStr">
        <is>
          <t>Other third-party borrowings — low end of the disclosed range</t>
        </is>
      </c>
      <c r="C74" s="19">
        <f>Assumptions!$C$28</f>
        <v/>
      </c>
    </row>
    <row r="75">
      <c r="A75" s="6" t="inlineStr">
        <is>
          <t>Other third-party borrowings — high end of the disclosed range</t>
        </is>
      </c>
      <c r="C75" s="19">
        <f>Assumptions!$C$29</f>
        <v/>
      </c>
    </row>
    <row r="76">
      <c r="A76" s="6" t="inlineStr">
        <is>
          <t>Other-borrowings midpoint</t>
        </is>
      </c>
      <c r="C76" s="42">
        <f>(C74+C75)/2</f>
        <v/>
      </c>
    </row>
    <row r="77">
      <c r="A77" s="6" t="inlineStr">
        <is>
          <t>Third-party blended rate — the two midpoints averaged</t>
        </is>
      </c>
      <c r="C77" s="42">
        <f>(C73+C76)/2</f>
        <v/>
      </c>
    </row>
    <row r="78">
      <c r="A78" s="6" t="inlineStr">
        <is>
          <t>Lease interest charged in 2025 (USD 000)</t>
        </is>
      </c>
      <c r="C78" s="18">
        <f>Assumptions!$C$30</f>
        <v/>
      </c>
    </row>
    <row r="79">
      <c r="A79" s="6" t="inlineStr">
        <is>
          <t>Lease liabilities, opening balance (USD 000)</t>
        </is>
      </c>
      <c r="C79" s="18">
        <f>Assumptions!$C$31</f>
        <v/>
      </c>
    </row>
    <row r="80">
      <c r="A80" s="6" t="inlineStr">
        <is>
          <t>Lease liabilities, closing balance (USD 000)</t>
        </is>
      </c>
      <c r="C80" s="18">
        <f>Assumptions!$C$32</f>
        <v/>
      </c>
    </row>
    <row r="81">
      <c r="A81" s="6" t="inlineStr">
        <is>
          <t>Implied lease borrowing rate — interest over the average balance</t>
        </is>
      </c>
      <c r="C81" s="42">
        <f>C78/((C79+C80)/2)</f>
        <v/>
      </c>
    </row>
    <row r="82">
      <c r="A82" s="6" t="inlineStr">
        <is>
          <t>Shareholder loan at 31 March 2026 (USD 000)</t>
        </is>
      </c>
      <c r="C82" s="18">
        <f>Assumptions!$C$33</f>
        <v/>
      </c>
    </row>
    <row r="83">
      <c r="A83" s="6" t="inlineStr">
        <is>
          <t>Third-party borrowings at 31 March 2026 (USD 000)</t>
        </is>
      </c>
      <c r="C83" s="18">
        <f>Assumptions!$C$34</f>
        <v/>
      </c>
    </row>
    <row r="84">
      <c r="A84" s="6" t="inlineStr">
        <is>
          <t>Lease liabilities at 31 March 2026 (USD 000)</t>
        </is>
      </c>
      <c r="C84" s="18">
        <f>Assumptions!$C$35</f>
        <v/>
      </c>
    </row>
    <row r="85">
      <c r="A85" s="6" t="inlineStr">
        <is>
          <t>Borrowings at 31 March 2026 (USD 000)</t>
        </is>
      </c>
      <c r="C85" s="31">
        <f>C82+C83+C84</f>
        <v/>
      </c>
    </row>
    <row r="86">
      <c r="A86" s="6" t="inlineStr">
        <is>
          <t>METHOD 2 — the instruments actually outstanding, weighted by balance</t>
        </is>
      </c>
      <c r="C86" s="42">
        <f>(C82*C70+C83*C77+C84*C81)/C85</f>
        <v/>
      </c>
    </row>
    <row r="87">
      <c r="A87" s="6" t="inlineStr">
        <is>
          <t>METHOD 3 — the disclosed third-party bank-loan midpoint</t>
        </is>
      </c>
      <c r="C87" s="42">
        <f>C73</f>
        <v/>
      </c>
    </row>
    <row r="88">
      <c r="A88" s="14" t="inlineStr">
        <is>
          <t>Cost of debt — the three constructions averaged</t>
        </is>
      </c>
      <c r="B88" s="14" t="n"/>
      <c r="C88" s="44">
        <f>AVERAGE(C70,C86,C87)</f>
        <v/>
      </c>
      <c r="D88" s="14" t="n"/>
    </row>
    <row r="89">
      <c r="A89" s="6" t="inlineStr">
        <is>
          <t>Statutory corporate tax rate</t>
        </is>
      </c>
      <c r="C89" s="8">
        <f>Assumptions!$C$21</f>
        <v/>
      </c>
    </row>
    <row r="90">
      <c r="A90" s="6" t="inlineStr">
        <is>
          <t>Cost of debt after tax</t>
        </is>
      </c>
      <c r="C90" s="42">
        <f>C88*(1-C89)</f>
        <v/>
      </c>
    </row>
    <row r="92">
      <c r="A92" s="11" t="inlineStr">
        <is>
          <t>WEIGHTS AND THE COST OF CAPITAL</t>
        </is>
      </c>
      <c r="B92" s="14" t="n"/>
      <c r="C92" s="14" t="n"/>
      <c r="D92" s="14" t="n"/>
      <c r="E92" s="14" t="n"/>
      <c r="F92" s="14" t="n"/>
    </row>
    <row r="93">
      <c r="A93" s="6" t="inlineStr">
        <is>
          <t>Market capitalisation (USD 000)</t>
        </is>
      </c>
      <c r="C93" s="31">
        <f>Assumptions!$C$5/Assumptions!$C$7*Assumptions!$C$6*1000</f>
        <v/>
      </c>
    </row>
    <row r="94">
      <c r="A94" s="6" t="inlineStr">
        <is>
          <t>Borrowings at 31 March 2026 (USD 000)</t>
        </is>
      </c>
      <c r="C94" s="31">
        <f>C85</f>
        <v/>
      </c>
    </row>
    <row r="95">
      <c r="A95" s="6" t="inlineStr">
        <is>
          <t>Equity weight — market capitalisation over the total</t>
        </is>
      </c>
      <c r="C95" s="42">
        <f>C93/(C93+C94)</f>
        <v/>
      </c>
    </row>
    <row r="96">
      <c r="A96" s="6" t="inlineStr">
        <is>
          <t>Debt weight</t>
        </is>
      </c>
      <c r="C96" s="42">
        <f>1-C95</f>
        <v/>
      </c>
    </row>
    <row r="97">
      <c r="A97" s="14" t="inlineStr">
        <is>
          <t>Cost of capital — explicit window</t>
        </is>
      </c>
      <c r="B97" s="14" t="n"/>
      <c r="C97" s="44">
        <f>C95*C65+C96*C90</f>
        <v/>
      </c>
      <c r="D97" s="14" t="n"/>
    </row>
    <row r="98">
      <c r="A98" s="6" t="inlineStr">
        <is>
          <t>Terminal risk-free rate</t>
        </is>
      </c>
      <c r="C98" s="19">
        <f>Assumptions!$C$20</f>
        <v/>
      </c>
    </row>
    <row r="99">
      <c r="A99" s="6" t="inlineStr">
        <is>
          <t>Terminal cost of equity</t>
        </is>
      </c>
      <c r="C99" s="42">
        <f>C98+C63*C64</f>
        <v/>
      </c>
    </row>
    <row r="100">
      <c r="A100" s="6" t="inlineStr">
        <is>
          <t>Terminal cost of debt — the same spread over the terminal rate</t>
        </is>
      </c>
      <c r="C100" s="42">
        <f>C98+(C88-C62)</f>
        <v/>
      </c>
    </row>
    <row r="101">
      <c r="A101" s="6" t="inlineStr">
        <is>
          <t>Terminal cost of debt after tax</t>
        </is>
      </c>
      <c r="C101" s="42">
        <f>C100*(1-C89)</f>
        <v/>
      </c>
    </row>
    <row r="102">
      <c r="A102" s="14" t="inlineStr">
        <is>
          <t>Terminal cost of capital</t>
        </is>
      </c>
      <c r="B102" s="14" t="n"/>
      <c r="C102" s="44">
        <f>C95*C99+C96*C101</f>
        <v/>
      </c>
      <c r="D102" s="14" t="n"/>
    </row>
    <row r="104">
      <c r="A104" s="11" t="inlineStr">
        <is>
          <t>THE CONTESTED JUDGEMENT — THE SAME MODEL ON THE COMPOSITE-INDEX BETA</t>
        </is>
      </c>
      <c r="B104" s="14" t="n"/>
      <c r="C104" s="14" t="n"/>
      <c r="D104" s="14" t="n"/>
      <c r="E104" s="14" t="n"/>
      <c r="F104" s="14" t="n"/>
    </row>
    <row r="105">
      <c r="A105" s="6" t="inlineStr">
        <is>
          <t>Beta against an equal-weight composite of the exchange's names — the disclosed alternative construction</t>
        </is>
      </c>
      <c r="C105" s="23">
        <f>Assumptions!$C$15</f>
        <v/>
      </c>
    </row>
    <row r="106">
      <c r="A106" s="6" t="inlineStr">
        <is>
          <t>Cost of equity on the composite-index beta</t>
        </is>
      </c>
      <c r="C106" s="42">
        <f>C62+C105*C64</f>
        <v/>
      </c>
    </row>
    <row r="107">
      <c r="A107" s="6" t="inlineStr">
        <is>
          <t>Terminal cost of equity on the composite-index beta</t>
        </is>
      </c>
      <c r="C107" s="42">
        <f>C98+C105*C64</f>
        <v/>
      </c>
    </row>
    <row r="108">
      <c r="A108" s="6" t="inlineStr">
        <is>
          <t>Cost of capital — explicit window, composite-index beta</t>
        </is>
      </c>
      <c r="C108" s="42">
        <f>C95*C106+C96*C90</f>
        <v/>
      </c>
    </row>
    <row r="109">
      <c r="A109" s="6" t="inlineStr">
        <is>
          <t>Terminal cost of capital, composite-index beta</t>
        </is>
      </c>
      <c r="C109" s="42">
        <f>C95*C107+C96*C101</f>
        <v/>
      </c>
    </row>
    <row r="111">
      <c r="A111" s="11" t="inlineStr">
        <is>
          <t>HOW PRECISE THE PRIMARY BETA IS — THE INTERVAL AROUND IT, PRICED</t>
        </is>
      </c>
      <c r="B111" s="14" t="n"/>
      <c r="C111" s="14" t="n"/>
      <c r="D111" s="14" t="n"/>
      <c r="E111" s="14" t="n"/>
      <c r="F111" s="14" t="n"/>
    </row>
    <row r="112">
      <c r="A112" s="6" t="inlineStr">
        <is>
          <t>Beta — lower bound of the 90% confidence interval on the primary regression</t>
        </is>
      </c>
      <c r="C112" s="23">
        <f>Assumptions!$C$16</f>
        <v/>
      </c>
    </row>
    <row r="113">
      <c r="A113" s="6" t="inlineStr">
        <is>
          <t>Beta — upper bound of the 90% confidence interval on the primary regression</t>
        </is>
      </c>
      <c r="C113" s="23">
        <f>Assumptions!$C$17</f>
        <v/>
      </c>
    </row>
    <row r="114">
      <c r="A114" s="6" t="inlineStr">
        <is>
          <t>Cost of equity at the lower confidence bound — the bull-case discount rate</t>
        </is>
      </c>
      <c r="C114" s="42">
        <f>C62+C112*C64</f>
        <v/>
      </c>
    </row>
    <row r="115">
      <c r="A115" s="6" t="inlineStr">
        <is>
          <t>Cost of equity at the upper confidence bound — the bear-case discount rate</t>
        </is>
      </c>
      <c r="C115" s="42">
        <f>C62+C113*C64</f>
        <v/>
      </c>
    </row>
    <row r="116">
      <c r="A116" s="6" t="inlineStr">
        <is>
          <t>Beta — lead-lag sum beta, one lead and two lags</t>
        </is>
      </c>
      <c r="C116" s="23">
        <f>Assumptions!$C$18</f>
        <v/>
      </c>
    </row>
    <row r="117">
      <c r="A117" s="6" t="inlineStr">
        <is>
          <t>Cost of equity on the lead-lag sum beta</t>
        </is>
      </c>
      <c r="C117" s="42">
        <f>C62+C116*C64</f>
        <v/>
      </c>
    </row>
    <row r="119">
      <c r="A119" s="5" t="inlineStr">
        <is>
          <t>The same cash flows, discounted at the composite-index cost of capital</t>
        </is>
      </c>
      <c r="B119" s="5" t="inlineStr">
        <is>
          <t>FY2026E</t>
        </is>
      </c>
      <c r="C119" s="5" t="inlineStr">
        <is>
          <t>FY2027E</t>
        </is>
      </c>
      <c r="D119" s="5" t="inlineStr">
        <is>
          <t>FY2028E</t>
        </is>
      </c>
      <c r="E119" s="5" t="inlineStr">
        <is>
          <t>FY2029E</t>
        </is>
      </c>
      <c r="F119" s="5" t="inlineStr">
        <is>
          <t>FY2030E</t>
        </is>
      </c>
    </row>
    <row r="120">
      <c r="A120" s="6" t="inlineStr">
        <is>
          <t>Forward cost of capital — the glide</t>
        </is>
      </c>
      <c r="B120" s="42">
        <f>$C$108+($C$109-$C$108)*1/5</f>
        <v/>
      </c>
      <c r="C120" s="42">
        <f>$C$108+($C$109-$C$108)*2/5</f>
        <v/>
      </c>
      <c r="D120" s="42">
        <f>$C$108+($C$109-$C$108)*3/5</f>
        <v/>
      </c>
      <c r="E120" s="42">
        <f>$C$108+($C$109-$C$108)*4/5</f>
        <v/>
      </c>
      <c r="F120" s="42">
        <f>$C$108+($C$109-$C$108)*5/5</f>
        <v/>
      </c>
    </row>
    <row r="121">
      <c r="A121" s="6" t="inlineStr">
        <is>
          <t>Discount factor</t>
        </is>
      </c>
      <c r="B121" s="43">
        <f>1/(1+B120)^Assumptions!$C$8</f>
        <v/>
      </c>
      <c r="C121" s="43">
        <f>B121/(1+C120)</f>
        <v/>
      </c>
      <c r="D121" s="43">
        <f>C121/(1+D120)</f>
        <v/>
      </c>
      <c r="E121" s="43">
        <f>D121/(1+E120)</f>
        <v/>
      </c>
      <c r="F121" s="43">
        <f>E121/(1+F120)</f>
        <v/>
      </c>
    </row>
    <row r="122">
      <c r="A122" s="6" t="inlineStr">
        <is>
          <t>Present value of free cash flow</t>
        </is>
      </c>
      <c r="B122" s="31">
        <f>B17*B121</f>
        <v/>
      </c>
      <c r="C122" s="31">
        <f>C17*C121</f>
        <v/>
      </c>
      <c r="D122" s="31">
        <f>D17*D121</f>
        <v/>
      </c>
      <c r="E122" s="31">
        <f>E17*E121</f>
        <v/>
      </c>
      <c r="F122" s="31">
        <f>F17*F121</f>
        <v/>
      </c>
    </row>
    <row r="123">
      <c r="A123" s="6" t="inlineStr">
        <is>
          <t>Present value of the five forecast years</t>
        </is>
      </c>
      <c r="C123" s="31">
        <f>SUM(B122:F122)</f>
        <v/>
      </c>
    </row>
    <row r="124">
      <c r="A124" s="6" t="inlineStr">
        <is>
          <t>Terminal value</t>
        </is>
      </c>
      <c r="C124" s="31">
        <f>C43*(1-C42)/(C109-C39)</f>
        <v/>
      </c>
    </row>
    <row r="125">
      <c r="A125" s="6" t="inlineStr">
        <is>
          <t>Present value of the terminal value</t>
        </is>
      </c>
      <c r="C125" s="31">
        <f>C124*F121</f>
        <v/>
      </c>
    </row>
    <row r="126">
      <c r="A126" s="6" t="inlineStr">
        <is>
          <t>Enterprise value of operations</t>
        </is>
      </c>
      <c r="C126" s="31">
        <f>C123+C125</f>
        <v/>
      </c>
    </row>
    <row r="127">
      <c r="A127" s="6" t="inlineStr">
        <is>
          <t>Terminal value as a share of enterprise value</t>
        </is>
      </c>
      <c r="C127" s="10">
        <f>C125/C126</f>
        <v/>
      </c>
    </row>
    <row r="128">
      <c r="A128" s="6" t="inlineStr">
        <is>
          <t>Enterprise value</t>
        </is>
      </c>
      <c r="C128" s="31">
        <f>C126+C49</f>
        <v/>
      </c>
    </row>
    <row r="129">
      <c r="A129" s="6" t="inlineStr">
        <is>
          <t>Equity attributable to ordinary shareholders</t>
        </is>
      </c>
      <c r="C129" s="31">
        <f>C128+C51+C52+C53+C54</f>
        <v/>
      </c>
    </row>
    <row r="130">
      <c r="A130" s="14" t="inlineStr">
        <is>
          <t>Fair value per share (AED) — composite-index beta</t>
        </is>
      </c>
      <c r="B130" s="14" t="n"/>
      <c r="C130" s="15">
        <f>C129/Assumptions!$C$6/1000*Assumptions!$C$7</f>
        <v/>
      </c>
      <c r="D130" s="14" t="n"/>
    </row>
    <row r="132">
      <c r="A132"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2" t="n">
        <v>2755152</v>
      </c>
      <c r="C5" s="32" t="n">
        <v>3549330</v>
      </c>
      <c r="D5" s="32" t="n">
        <v>5016112</v>
      </c>
      <c r="E5" s="32">
        <f>DCF!B5</f>
        <v/>
      </c>
      <c r="F5" s="32">
        <f>DCF!C5</f>
        <v/>
      </c>
      <c r="G5" s="32">
        <f>DCF!D5</f>
        <v/>
      </c>
      <c r="H5" s="32">
        <f>DCF!E5</f>
        <v/>
      </c>
      <c r="I5" s="32">
        <f>DCF!F5</f>
        <v/>
      </c>
    </row>
    <row r="6">
      <c r="A6" s="6" t="inlineStr">
        <is>
          <t>Direct costs</t>
        </is>
      </c>
      <c r="B6" s="27" t="n">
        <v>-2003225</v>
      </c>
      <c r="C6" s="27" t="n">
        <v>-2608784</v>
      </c>
      <c r="D6" s="27" t="n">
        <v>-3908236</v>
      </c>
      <c r="E6" s="31" t="inlineStr">
        <is>
          <t>-</t>
        </is>
      </c>
      <c r="F6" s="31" t="inlineStr">
        <is>
          <t>-</t>
        </is>
      </c>
      <c r="G6" s="31" t="inlineStr">
        <is>
          <t>-</t>
        </is>
      </c>
      <c r="H6" s="31" t="inlineStr">
        <is>
          <t>-</t>
        </is>
      </c>
      <c r="I6" s="31" t="inlineStr">
        <is>
          <t>-</t>
        </is>
      </c>
    </row>
    <row r="7">
      <c r="A7" s="6" t="inlineStr">
        <is>
          <t>Gross profit</t>
        </is>
      </c>
      <c r="B7" s="31">
        <f>B5+B6</f>
        <v/>
      </c>
      <c r="C7" s="31">
        <f>C5+C6</f>
        <v/>
      </c>
      <c r="D7" s="31">
        <f>D5+D6</f>
        <v/>
      </c>
      <c r="E7" s="31" t="inlineStr">
        <is>
          <t>-</t>
        </is>
      </c>
      <c r="F7" s="31" t="inlineStr">
        <is>
          <t>-</t>
        </is>
      </c>
      <c r="G7" s="31" t="inlineStr">
        <is>
          <t>-</t>
        </is>
      </c>
      <c r="H7" s="31" t="inlineStr">
        <is>
          <t>-</t>
        </is>
      </c>
      <c r="I7" s="31" t="inlineStr">
        <is>
          <t>-</t>
        </is>
      </c>
    </row>
    <row r="8">
      <c r="A8" s="6" t="inlineStr">
        <is>
          <t>General and administrative expenses</t>
        </is>
      </c>
      <c r="B8" s="27" t="n">
        <v>-146436</v>
      </c>
      <c r="C8" s="27" t="n">
        <v>-141522</v>
      </c>
      <c r="D8" s="27" t="n">
        <v>-204983</v>
      </c>
      <c r="E8" s="31" t="inlineStr">
        <is>
          <t>-</t>
        </is>
      </c>
      <c r="F8" s="31" t="inlineStr">
        <is>
          <t>-</t>
        </is>
      </c>
      <c r="G8" s="31" t="inlineStr">
        <is>
          <t>-</t>
        </is>
      </c>
      <c r="H8" s="31" t="inlineStr">
        <is>
          <t>-</t>
        </is>
      </c>
      <c r="I8" s="31" t="inlineStr">
        <is>
          <t>-</t>
        </is>
      </c>
    </row>
    <row r="9">
      <c r="A9" s="6" t="inlineStr">
        <is>
          <t>Expected credit losses</t>
        </is>
      </c>
      <c r="B9" s="27" t="n">
        <v>-2672</v>
      </c>
      <c r="C9" s="27" t="n">
        <v>2649</v>
      </c>
      <c r="D9" s="27" t="n">
        <v>-9590</v>
      </c>
      <c r="E9" s="31" t="inlineStr">
        <is>
          <t>-</t>
        </is>
      </c>
      <c r="F9" s="31" t="inlineStr">
        <is>
          <t>-</t>
        </is>
      </c>
      <c r="G9" s="31" t="inlineStr">
        <is>
          <t>-</t>
        </is>
      </c>
      <c r="H9" s="31" t="inlineStr">
        <is>
          <t>-</t>
        </is>
      </c>
      <c r="I9" s="31" t="inlineStr">
        <is>
          <t>-</t>
        </is>
      </c>
    </row>
    <row r="10">
      <c r="A10" s="6" t="inlineStr">
        <is>
          <t>Other income</t>
        </is>
      </c>
      <c r="B10" s="27" t="n">
        <v>10865</v>
      </c>
      <c r="C10" s="27" t="n">
        <v>19896</v>
      </c>
      <c r="D10" s="27" t="n">
        <v>50459</v>
      </c>
      <c r="E10" s="31" t="inlineStr">
        <is>
          <t>-</t>
        </is>
      </c>
      <c r="F10" s="31" t="inlineStr">
        <is>
          <t>-</t>
        </is>
      </c>
      <c r="G10" s="31" t="inlineStr">
        <is>
          <t>-</t>
        </is>
      </c>
      <c r="H10" s="31" t="inlineStr">
        <is>
          <t>-</t>
        </is>
      </c>
      <c r="I10" s="31" t="inlineStr">
        <is>
          <t>-</t>
        </is>
      </c>
    </row>
    <row r="11">
      <c r="A11" s="6" t="inlineStr">
        <is>
          <t>Other expenses</t>
        </is>
      </c>
      <c r="B11" s="27" t="n">
        <v>0</v>
      </c>
      <c r="C11" s="27" t="n">
        <v>-4310</v>
      </c>
      <c r="D11" s="27" t="n">
        <v>0</v>
      </c>
      <c r="E11" s="31" t="inlineStr">
        <is>
          <t>-</t>
        </is>
      </c>
      <c r="F11" s="31" t="inlineStr">
        <is>
          <t>-</t>
        </is>
      </c>
      <c r="G11" s="31" t="inlineStr">
        <is>
          <t>-</t>
        </is>
      </c>
      <c r="H11" s="31" t="inlineStr">
        <is>
          <t>-</t>
        </is>
      </c>
      <c r="I11" s="31" t="inlineStr">
        <is>
          <t>-</t>
        </is>
      </c>
    </row>
    <row r="12">
      <c r="A12" s="14" t="inlineStr">
        <is>
          <t>Operating profit</t>
        </is>
      </c>
      <c r="B12" s="32">
        <f>B7+B8+B9+B10+B11</f>
        <v/>
      </c>
      <c r="C12" s="32">
        <f>C7+C8+C9+C10+C11</f>
        <v/>
      </c>
      <c r="D12" s="32">
        <f>D7+D8+D9+D10+D11</f>
        <v/>
      </c>
      <c r="E12" s="32">
        <f>E14-E13</f>
        <v/>
      </c>
      <c r="F12" s="32">
        <f>F14-F13</f>
        <v/>
      </c>
      <c r="G12" s="32">
        <f>G14-G13</f>
        <v/>
      </c>
      <c r="H12" s="32">
        <f>H14-H13</f>
        <v/>
      </c>
      <c r="I12" s="32">
        <f>I14-I13</f>
        <v/>
      </c>
    </row>
    <row r="13">
      <c r="A13" s="6" t="inlineStr">
        <is>
          <t>Depreciation and amortisation</t>
        </is>
      </c>
      <c r="B13" s="27" t="n">
        <v>248526</v>
      </c>
      <c r="C13" s="27" t="n">
        <v>317339</v>
      </c>
      <c r="D13" s="27" t="n">
        <v>524809</v>
      </c>
      <c r="E13" s="18">
        <f>'Balance Sheet'!B38</f>
        <v/>
      </c>
      <c r="F13" s="18">
        <f>'Balance Sheet'!C38</f>
        <v/>
      </c>
      <c r="G13" s="18">
        <f>'Balance Sheet'!D38</f>
        <v/>
      </c>
      <c r="H13" s="18">
        <f>'Balance Sheet'!E38</f>
        <v/>
      </c>
      <c r="I13" s="18">
        <f>'Balance Sheet'!F38</f>
        <v/>
      </c>
    </row>
    <row r="14">
      <c r="A14" s="14" t="inlineStr">
        <is>
          <t>EBITDA (operating)</t>
        </is>
      </c>
      <c r="B14" s="32">
        <f>B12+B13</f>
        <v/>
      </c>
      <c r="C14" s="32">
        <f>C12+C13</f>
        <v/>
      </c>
      <c r="D14" s="32">
        <f>D12+D13</f>
        <v/>
      </c>
      <c r="E14" s="32">
        <f>DCF!B6</f>
        <v/>
      </c>
      <c r="F14" s="32">
        <f>DCF!C6</f>
        <v/>
      </c>
      <c r="G14" s="32">
        <f>DCF!D6</f>
        <v/>
      </c>
      <c r="H14" s="32">
        <f>DCF!E6</f>
        <v/>
      </c>
      <c r="I14" s="32">
        <f>DCF!F6</f>
        <v/>
      </c>
    </row>
    <row r="15">
      <c r="A15" s="6" t="inlineStr">
        <is>
          <t>Add share of joint ventures and one-off gains carried in reported EBITDA</t>
        </is>
      </c>
      <c r="B15" s="27" t="n">
        <v>14071</v>
      </c>
      <c r="C15" s="27" t="n">
        <v>14198</v>
      </c>
      <c r="D15" s="27" t="n">
        <v>46050</v>
      </c>
      <c r="E15" s="31" t="inlineStr">
        <is>
          <t>-</t>
        </is>
      </c>
      <c r="F15" s="31" t="inlineStr">
        <is>
          <t>-</t>
        </is>
      </c>
      <c r="G15" s="31" t="inlineStr">
        <is>
          <t>-</t>
        </is>
      </c>
      <c r="H15" s="31" t="inlineStr">
        <is>
          <t>-</t>
        </is>
      </c>
      <c r="I15" s="31" t="inlineStr">
        <is>
          <t>-</t>
        </is>
      </c>
    </row>
    <row r="16">
      <c r="A16" s="6" t="inlineStr">
        <is>
          <t>EBITDA as reported</t>
        </is>
      </c>
      <c r="B16" s="31">
        <f>B14+B15</f>
        <v/>
      </c>
      <c r="C16" s="31">
        <f>C14+C15</f>
        <v/>
      </c>
      <c r="D16" s="31">
        <f>D14+D15</f>
        <v/>
      </c>
      <c r="E16" s="31">
        <f>E14</f>
        <v/>
      </c>
      <c r="F16" s="31">
        <f>F14</f>
        <v/>
      </c>
      <c r="G16" s="31">
        <f>G14</f>
        <v/>
      </c>
      <c r="H16" s="31">
        <f>H14</f>
        <v/>
      </c>
      <c r="I16" s="31">
        <f>I14</f>
        <v/>
      </c>
    </row>
    <row r="17">
      <c r="A17" s="6" t="inlineStr">
        <is>
          <t>Total operating costs</t>
        </is>
      </c>
      <c r="B17" s="31">
        <f>B5-B14</f>
        <v/>
      </c>
      <c r="C17" s="31">
        <f>C5-C14</f>
        <v/>
      </c>
      <c r="D17" s="31">
        <f>D5-D14</f>
        <v/>
      </c>
      <c r="E17" s="31">
        <f>E5-E14</f>
        <v/>
      </c>
      <c r="F17" s="31">
        <f>F5-F14</f>
        <v/>
      </c>
      <c r="G17" s="31">
        <f>G5-G14</f>
        <v/>
      </c>
      <c r="H17" s="31">
        <f>H5-H14</f>
        <v/>
      </c>
      <c r="I17" s="31">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7" t="n">
        <v>14071</v>
      </c>
      <c r="C19" s="27" t="n">
        <v>14198</v>
      </c>
      <c r="D19" s="27" t="n">
        <v>37392</v>
      </c>
      <c r="E19" s="31" t="inlineStr">
        <is>
          <t>-</t>
        </is>
      </c>
      <c r="F19" s="31" t="inlineStr">
        <is>
          <t>-</t>
        </is>
      </c>
      <c r="G19" s="31" t="inlineStr">
        <is>
          <t>-</t>
        </is>
      </c>
      <c r="H19" s="31" t="inlineStr">
        <is>
          <t>-</t>
        </is>
      </c>
      <c r="I19" s="31" t="inlineStr">
        <is>
          <t>-</t>
        </is>
      </c>
    </row>
    <row r="20">
      <c r="A20" s="6" t="inlineStr">
        <is>
          <t>Gain on bargain purchase</t>
        </is>
      </c>
      <c r="B20" s="27" t="n">
        <v>0</v>
      </c>
      <c r="C20" s="27" t="n">
        <v>0</v>
      </c>
      <c r="D20" s="27" t="n">
        <v>12056</v>
      </c>
      <c r="E20" s="31" t="inlineStr">
        <is>
          <t>-</t>
        </is>
      </c>
      <c r="F20" s="31" t="inlineStr">
        <is>
          <t>-</t>
        </is>
      </c>
      <c r="G20" s="31" t="inlineStr">
        <is>
          <t>-</t>
        </is>
      </c>
      <c r="H20" s="31" t="inlineStr">
        <is>
          <t>-</t>
        </is>
      </c>
      <c r="I20" s="31" t="inlineStr">
        <is>
          <t>-</t>
        </is>
      </c>
    </row>
    <row r="21">
      <c r="A21" s="6" t="inlineStr">
        <is>
          <t>Loss on the previously held interest</t>
        </is>
      </c>
      <c r="B21" s="27" t="n">
        <v>0</v>
      </c>
      <c r="C21" s="27" t="n">
        <v>0</v>
      </c>
      <c r="D21" s="27" t="n">
        <v>-3398</v>
      </c>
      <c r="E21" s="31" t="inlineStr">
        <is>
          <t>-</t>
        </is>
      </c>
      <c r="F21" s="31" t="inlineStr">
        <is>
          <t>-</t>
        </is>
      </c>
      <c r="G21" s="31" t="inlineStr">
        <is>
          <t>-</t>
        </is>
      </c>
      <c r="H21" s="31" t="inlineStr">
        <is>
          <t>-</t>
        </is>
      </c>
      <c r="I21" s="31" t="inlineStr">
        <is>
          <t>-</t>
        </is>
      </c>
    </row>
    <row r="22">
      <c r="A22" s="6" t="inlineStr">
        <is>
          <t>Finance income</t>
        </is>
      </c>
      <c r="B22" s="27" t="n">
        <v>9785</v>
      </c>
      <c r="C22" s="27" t="n">
        <v>15594</v>
      </c>
      <c r="D22" s="27" t="n">
        <v>18959</v>
      </c>
      <c r="E22" s="18">
        <f>Assumptions!$C$24*Assumptions!$C$100</f>
        <v/>
      </c>
      <c r="F22" s="18">
        <f>Assumptions!$C$24*Assumptions!$C$100</f>
        <v/>
      </c>
      <c r="G22" s="18">
        <f>Assumptions!$C$24*Assumptions!$C$100</f>
        <v/>
      </c>
      <c r="H22" s="18">
        <f>Assumptions!$C$24*Assumptions!$C$100</f>
        <v/>
      </c>
      <c r="I22" s="18">
        <f>Assumptions!$C$24*Assumptions!$C$100</f>
        <v/>
      </c>
    </row>
    <row r="23">
      <c r="A23" s="6" t="inlineStr">
        <is>
          <t>Finance costs</t>
        </is>
      </c>
      <c r="B23" s="27" t="n">
        <v>-15098</v>
      </c>
      <c r="C23" s="27" t="n">
        <v>-18034</v>
      </c>
      <c r="D23" s="27" t="n">
        <v>-87143</v>
      </c>
      <c r="E23" s="18">
        <f>-DCF!$C$88*'Balance Sheet'!B54</f>
        <v/>
      </c>
      <c r="F23" s="18">
        <f>-DCF!$C$88*'Balance Sheet'!C54</f>
        <v/>
      </c>
      <c r="G23" s="18">
        <f>-DCF!$C$88*'Balance Sheet'!D54</f>
        <v/>
      </c>
      <c r="H23" s="18">
        <f>-DCF!$C$88*'Balance Sheet'!E54</f>
        <v/>
      </c>
      <c r="I23" s="18">
        <f>-DCF!$C$88*'Balance Sheet'!F54</f>
        <v/>
      </c>
    </row>
    <row r="24">
      <c r="A24" s="14" t="inlineStr">
        <is>
          <t>Profit before tax</t>
        </is>
      </c>
      <c r="B24" s="32">
        <f>B12+B19+B20+B21+B22+B23</f>
        <v/>
      </c>
      <c r="C24" s="32">
        <f>C12+C19+C20+C21+C22+C23</f>
        <v/>
      </c>
      <c r="D24" s="32">
        <f>D12+D19+D20+D21+D22+D23</f>
        <v/>
      </c>
      <c r="E24" s="32">
        <f>E12+E22+E23</f>
        <v/>
      </c>
      <c r="F24" s="32">
        <f>F12+F22+F23</f>
        <v/>
      </c>
      <c r="G24" s="32">
        <f>G12+G22+G23</f>
        <v/>
      </c>
      <c r="H24" s="32">
        <f>H12+H22+H23</f>
        <v/>
      </c>
      <c r="I24" s="32">
        <f>I12+I22+I23</f>
        <v/>
      </c>
    </row>
    <row r="25">
      <c r="A25" s="6" t="inlineStr">
        <is>
          <t>Income tax</t>
        </is>
      </c>
      <c r="B25" s="27" t="n">
        <v>-2283</v>
      </c>
      <c r="C25" s="27" t="n">
        <v>-72847</v>
      </c>
      <c r="D25" s="27" t="n">
        <v>-58781</v>
      </c>
      <c r="E25" s="31">
        <f>-E24*DCF!B36</f>
        <v/>
      </c>
      <c r="F25" s="31">
        <f>-F24*DCF!C36</f>
        <v/>
      </c>
      <c r="G25" s="31">
        <f>-G24*DCF!D36</f>
        <v/>
      </c>
      <c r="H25" s="31">
        <f>-H24*DCF!E36</f>
        <v/>
      </c>
      <c r="I25" s="31">
        <f>-I24*DCF!F36</f>
        <v/>
      </c>
    </row>
    <row r="26">
      <c r="A26" s="6" t="inlineStr">
        <is>
          <t>Profit for the year</t>
        </is>
      </c>
      <c r="B26" s="31">
        <f>B24+B25</f>
        <v/>
      </c>
      <c r="C26" s="31">
        <f>C24+C25</f>
        <v/>
      </c>
      <c r="D26" s="31">
        <f>D24+D25</f>
        <v/>
      </c>
      <c r="E26" s="31">
        <f>E24+E25</f>
        <v/>
      </c>
      <c r="F26" s="31">
        <f>F24+F25</f>
        <v/>
      </c>
      <c r="G26" s="31">
        <f>G24+G25</f>
        <v/>
      </c>
      <c r="H26" s="31">
        <f>H24+H25</f>
        <v/>
      </c>
      <c r="I26" s="31">
        <f>I24+I25</f>
        <v/>
      </c>
    </row>
    <row r="27">
      <c r="A27" s="6" t="inlineStr">
        <is>
          <t>Non-controlling interests</t>
        </is>
      </c>
      <c r="B27" s="27" t="n">
        <v>0</v>
      </c>
      <c r="C27" s="27" t="n">
        <v>0</v>
      </c>
      <c r="D27" s="27" t="n">
        <v>-24306</v>
      </c>
      <c r="E27" s="31">
        <f>-E26*Assumptions!$C$97</f>
        <v/>
      </c>
      <c r="F27" s="31">
        <f>-F26*Assumptions!$C$97</f>
        <v/>
      </c>
      <c r="G27" s="31">
        <f>-G26*Assumptions!$C$97</f>
        <v/>
      </c>
      <c r="H27" s="31">
        <f>-H26*Assumptions!$C$97</f>
        <v/>
      </c>
      <c r="I27" s="31">
        <f>-I26*Assumptions!$C$97</f>
        <v/>
      </c>
    </row>
    <row r="28">
      <c r="A28" s="14" t="inlineStr">
        <is>
          <t>Profit attributable to shareholders</t>
        </is>
      </c>
      <c r="B28" s="32">
        <f>B26+B27</f>
        <v/>
      </c>
      <c r="C28" s="32">
        <f>C26+C27</f>
        <v/>
      </c>
      <c r="D28" s="32">
        <f>D26+D27</f>
        <v/>
      </c>
      <c r="E28" s="32">
        <f>E26+E27</f>
        <v/>
      </c>
      <c r="F28" s="32">
        <f>F26+F27</f>
        <v/>
      </c>
      <c r="G28" s="32">
        <f>G26+G27</f>
        <v/>
      </c>
      <c r="H28" s="32">
        <f>H26+H27</f>
        <v/>
      </c>
      <c r="I28" s="32">
        <f>I26+I27</f>
        <v/>
      </c>
    </row>
    <row r="29">
      <c r="A29" s="6" t="inlineStr">
        <is>
          <t>Perpetual capital securities coupon</t>
        </is>
      </c>
      <c r="B29" s="27" t="n">
        <v>0</v>
      </c>
      <c r="C29" s="27" t="n">
        <v>0</v>
      </c>
      <c r="D29" s="27" t="n">
        <v>-61333</v>
      </c>
      <c r="E29" s="31">
        <f>-Assumptions!$C$94*(Assumptions!$C$24+Assumptions!$C$95)</f>
        <v/>
      </c>
      <c r="F29" s="31">
        <f>-Assumptions!$C$94*(Assumptions!$C$24+Assumptions!$C$95)</f>
        <v/>
      </c>
      <c r="G29" s="31">
        <f>-Assumptions!$C$94*(Assumptions!$C$24+Assumptions!$C$95)</f>
        <v/>
      </c>
      <c r="H29" s="31">
        <f>-Assumptions!$C$94*(Assumptions!$C$24+Assumptions!$C$95)</f>
        <v/>
      </c>
      <c r="I29" s="31">
        <f>-Assumptions!$C$94*(Assumptions!$C$24+Assumptions!$C$95)</f>
        <v/>
      </c>
    </row>
    <row r="30">
      <c r="A30" s="14" t="inlineStr">
        <is>
          <t>Earnings attributable to ordinary shareholders</t>
        </is>
      </c>
      <c r="B30" s="32">
        <f>B28+B29</f>
        <v/>
      </c>
      <c r="C30" s="32">
        <f>C28+C29</f>
        <v/>
      </c>
      <c r="D30" s="32">
        <f>D28+D29</f>
        <v/>
      </c>
      <c r="E30" s="32">
        <f>E28+E29</f>
        <v/>
      </c>
      <c r="F30" s="32">
        <f>F28+F29</f>
        <v/>
      </c>
      <c r="G30" s="32">
        <f>G28+G29</f>
        <v/>
      </c>
      <c r="H30" s="32">
        <f>H28+H29</f>
        <v/>
      </c>
      <c r="I30" s="32">
        <f>I28+I29</f>
        <v/>
      </c>
    </row>
    <row r="31">
      <c r="A31" s="6" t="inlineStr">
        <is>
          <t>Earnings per ordinary share (USD)</t>
        </is>
      </c>
      <c r="B31" s="40">
        <f>B30/Assumptions!$C$6/1000</f>
        <v/>
      </c>
      <c r="C31" s="40">
        <f>C30/Assumptions!$C$6/1000</f>
        <v/>
      </c>
      <c r="D31" s="40">
        <f>D30/Assumptions!$C$6/1000</f>
        <v/>
      </c>
      <c r="E31" s="40">
        <f>E30/Assumptions!$C$6/1000</f>
        <v/>
      </c>
      <c r="F31" s="40">
        <f>F30/Assumptions!$C$6/1000</f>
        <v/>
      </c>
      <c r="G31" s="40">
        <f>G30/Assumptions!$C$6/1000</f>
        <v/>
      </c>
      <c r="H31" s="40">
        <f>H30/Assumptions!$C$6/1000</f>
        <v/>
      </c>
      <c r="I31" s="40">
        <f>I30/Assumptions!$C$6/1000</f>
        <v/>
      </c>
    </row>
    <row r="32">
      <c r="A32" s="6" t="inlineStr">
        <is>
          <t>Earnings per ordinary share (AED)</t>
        </is>
      </c>
      <c r="B32" s="40">
        <f>B31*Assumptions!$C$7</f>
        <v/>
      </c>
      <c r="C32" s="40">
        <f>C31*Assumptions!$C$7</f>
        <v/>
      </c>
      <c r="D32" s="40">
        <f>D31*Assumptions!$C$7</f>
        <v/>
      </c>
      <c r="E32" s="40">
        <f>E31*Assumptions!$C$7</f>
        <v/>
      </c>
      <c r="F32" s="40">
        <f>F31*Assumptions!$C$7</f>
        <v/>
      </c>
      <c r="G32" s="40">
        <f>G31*Assumptions!$C$7</f>
        <v/>
      </c>
      <c r="H32" s="40">
        <f>H31*Assumptions!$C$7</f>
        <v/>
      </c>
      <c r="I32" s="40">
        <f>I31*Assumptions!$C$7</f>
        <v/>
      </c>
    </row>
    <row r="34">
      <c r="A34"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7" t="n">
        <v>3806543</v>
      </c>
      <c r="C5" s="27" t="n">
        <v>4543335</v>
      </c>
      <c r="D5" s="27" t="n">
        <v>6884178</v>
      </c>
      <c r="E5" s="31">
        <f>B36</f>
        <v/>
      </c>
      <c r="F5" s="31">
        <f>C36</f>
        <v/>
      </c>
      <c r="G5" s="31">
        <f>D36</f>
        <v/>
      </c>
      <c r="H5" s="31">
        <f>E36</f>
        <v/>
      </c>
      <c r="I5" s="31">
        <f>F36</f>
        <v/>
      </c>
    </row>
    <row r="6">
      <c r="A6" s="6" t="inlineStr">
        <is>
          <t>Right-of-use assets</t>
        </is>
      </c>
      <c r="B6" s="27" t="n">
        <v>148146</v>
      </c>
      <c r="C6" s="27" t="n">
        <v>161691</v>
      </c>
      <c r="D6" s="27" t="n">
        <v>225292</v>
      </c>
      <c r="E6" s="31" t="inlineStr">
        <is>
          <t>-</t>
        </is>
      </c>
      <c r="F6" s="31" t="inlineStr">
        <is>
          <t>-</t>
        </is>
      </c>
      <c r="G6" s="31" t="inlineStr">
        <is>
          <t>-</t>
        </is>
      </c>
      <c r="H6" s="31" t="inlineStr">
        <is>
          <t>-</t>
        </is>
      </c>
      <c r="I6" s="31" t="inlineStr">
        <is>
          <t>-</t>
        </is>
      </c>
    </row>
    <row r="7">
      <c r="A7" s="6" t="inlineStr">
        <is>
          <t>Intangible assets</t>
        </is>
      </c>
      <c r="B7" s="27" t="n">
        <v>11440</v>
      </c>
      <c r="C7" s="27" t="n">
        <v>11078</v>
      </c>
      <c r="D7" s="27" t="n">
        <v>19434</v>
      </c>
      <c r="E7" s="18">
        <f>Assumptions!$C$101</f>
        <v/>
      </c>
      <c r="F7" s="18">
        <f>Assumptions!$C$101</f>
        <v/>
      </c>
      <c r="G7" s="18">
        <f>Assumptions!$C$101</f>
        <v/>
      </c>
      <c r="H7" s="18">
        <f>Assumptions!$C$101</f>
        <v/>
      </c>
      <c r="I7" s="18">
        <f>Assumptions!$C$101</f>
        <v/>
      </c>
    </row>
    <row r="8">
      <c r="A8" s="6" t="inlineStr">
        <is>
          <t>Goodwill</t>
        </is>
      </c>
      <c r="B8" s="27" t="n">
        <v>51368</v>
      </c>
      <c r="C8" s="27" t="n">
        <v>51368</v>
      </c>
      <c r="D8" s="27" t="n">
        <v>51368</v>
      </c>
      <c r="E8" s="18">
        <f>Assumptions!$C$102</f>
        <v/>
      </c>
      <c r="F8" s="18">
        <f>Assumptions!$C$102</f>
        <v/>
      </c>
      <c r="G8" s="18">
        <f>Assumptions!$C$102</f>
        <v/>
      </c>
      <c r="H8" s="18">
        <f>Assumptions!$C$102</f>
        <v/>
      </c>
      <c r="I8" s="18">
        <f>Assumptions!$C$102</f>
        <v/>
      </c>
    </row>
    <row r="9">
      <c r="A9" s="6" t="inlineStr">
        <is>
          <t>Investment properties</t>
        </is>
      </c>
      <c r="B9" s="27" t="n">
        <v>95269</v>
      </c>
      <c r="C9" s="27" t="n">
        <v>92501</v>
      </c>
      <c r="D9" s="27" t="n">
        <v>89154</v>
      </c>
      <c r="E9" s="31" t="inlineStr">
        <is>
          <t>-</t>
        </is>
      </c>
      <c r="F9" s="31" t="inlineStr">
        <is>
          <t>-</t>
        </is>
      </c>
      <c r="G9" s="31" t="inlineStr">
        <is>
          <t>-</t>
        </is>
      </c>
      <c r="H9" s="31" t="inlineStr">
        <is>
          <t>-</t>
        </is>
      </c>
      <c r="I9" s="31" t="inlineStr">
        <is>
          <t>-</t>
        </is>
      </c>
    </row>
    <row r="10">
      <c r="A10" s="6" t="inlineStr">
        <is>
          <t>Investments in joint ventures and associates</t>
        </is>
      </c>
      <c r="B10" s="27" t="n">
        <v>76712</v>
      </c>
      <c r="C10" s="27" t="n">
        <v>267775</v>
      </c>
      <c r="D10" s="27" t="n">
        <v>577769</v>
      </c>
      <c r="E10" s="18">
        <f>Assumptions!$C$98</f>
        <v/>
      </c>
      <c r="F10" s="18">
        <f>Assumptions!$C$98</f>
        <v/>
      </c>
      <c r="G10" s="18">
        <f>Assumptions!$C$98</f>
        <v/>
      </c>
      <c r="H10" s="18">
        <f>Assumptions!$C$98</f>
        <v/>
      </c>
      <c r="I10" s="18">
        <f>Assumptions!$C$98</f>
        <v/>
      </c>
    </row>
    <row r="11">
      <c r="A11" s="6" t="inlineStr">
        <is>
          <t>Inventories</t>
        </is>
      </c>
      <c r="B11" s="27" t="n">
        <v>120720</v>
      </c>
      <c r="C11" s="27" t="n">
        <v>132687</v>
      </c>
      <c r="D11" s="27" t="n">
        <v>137108</v>
      </c>
      <c r="E11" s="31">
        <f>B47</f>
        <v/>
      </c>
      <c r="F11" s="31">
        <f>C47</f>
        <v/>
      </c>
      <c r="G11" s="31">
        <f>D47</f>
        <v/>
      </c>
      <c r="H11" s="31">
        <f>E47</f>
        <v/>
      </c>
      <c r="I11" s="31">
        <f>F47</f>
        <v/>
      </c>
    </row>
    <row r="12">
      <c r="A12" s="6" t="inlineStr">
        <is>
          <t>Trade and other receivables, including amounts due from related parties</t>
        </is>
      </c>
      <c r="B12" s="27" t="n">
        <v>1131167</v>
      </c>
      <c r="C12" s="27" t="n">
        <v>1284889</v>
      </c>
      <c r="D12" s="27" t="n">
        <v>1489668</v>
      </c>
      <c r="E12" s="31">
        <f>B46</f>
        <v/>
      </c>
      <c r="F12" s="31">
        <f>C46</f>
        <v/>
      </c>
      <c r="G12" s="31">
        <f>D46</f>
        <v/>
      </c>
      <c r="H12" s="31">
        <f>E46</f>
        <v/>
      </c>
      <c r="I12" s="31">
        <f>F46</f>
        <v/>
      </c>
    </row>
    <row r="13">
      <c r="A13" s="6" t="inlineStr">
        <is>
          <t>Cash and cash equivalents</t>
        </is>
      </c>
      <c r="B13" s="27" t="n">
        <v>215709</v>
      </c>
      <c r="C13" s="27" t="n">
        <v>198919</v>
      </c>
      <c r="D13" s="27" t="n">
        <v>337794</v>
      </c>
      <c r="E13" s="18">
        <f>Assumptions!$C$100</f>
        <v/>
      </c>
      <c r="F13" s="18">
        <f>Assumptions!$C$100</f>
        <v/>
      </c>
      <c r="G13" s="18">
        <f>Assumptions!$C$100</f>
        <v/>
      </c>
      <c r="H13" s="18">
        <f>Assumptions!$C$100</f>
        <v/>
      </c>
      <c r="I13" s="18">
        <f>Assumptions!$C$100</f>
        <v/>
      </c>
    </row>
    <row r="14">
      <c r="A14" s="14" t="inlineStr">
        <is>
          <t>Total assets</t>
        </is>
      </c>
      <c r="B14" s="32" t="n">
        <v>5745668</v>
      </c>
      <c r="C14" s="32" t="n">
        <v>7003326</v>
      </c>
      <c r="D14" s="32" t="n">
        <v>9965153</v>
      </c>
      <c r="E14" s="32" t="inlineStr">
        <is>
          <t>-</t>
        </is>
      </c>
      <c r="F14" s="32" t="inlineStr">
        <is>
          <t>-</t>
        </is>
      </c>
      <c r="G14" s="32" t="inlineStr">
        <is>
          <t>-</t>
        </is>
      </c>
      <c r="H14" s="32" t="inlineStr">
        <is>
          <t>-</t>
        </is>
      </c>
      <c r="I14" s="32" t="inlineStr">
        <is>
          <t>-</t>
        </is>
      </c>
    </row>
    <row r="15">
      <c r="A15" s="6" t="inlineStr">
        <is>
          <t>Trade and other payables, including amounts due to related parties</t>
        </is>
      </c>
      <c r="B15" s="27" t="n">
        <v>962048</v>
      </c>
      <c r="C15" s="27" t="n">
        <v>1227680</v>
      </c>
      <c r="D15" s="27" t="n">
        <v>1280361</v>
      </c>
      <c r="E15" s="31">
        <f>B48</f>
        <v/>
      </c>
      <c r="F15" s="31">
        <f>C48</f>
        <v/>
      </c>
      <c r="G15" s="31">
        <f>D48</f>
        <v/>
      </c>
      <c r="H15" s="31">
        <f>E48</f>
        <v/>
      </c>
      <c r="I15" s="31">
        <f>F48</f>
        <v/>
      </c>
    </row>
    <row r="16">
      <c r="A16" s="6" t="inlineStr">
        <is>
          <t>Net working capital</t>
        </is>
      </c>
      <c r="B16" s="31">
        <f>B12+B11-B15</f>
        <v/>
      </c>
      <c r="C16" s="31">
        <f>C12+C11-C15</f>
        <v/>
      </c>
      <c r="D16" s="31">
        <f>D12+D11-D15</f>
        <v/>
      </c>
      <c r="E16" s="31">
        <f>E12+E11-E15</f>
        <v/>
      </c>
      <c r="F16" s="31">
        <f>F12+F11-F15</f>
        <v/>
      </c>
      <c r="G16" s="31">
        <f>G12+G11-G15</f>
        <v/>
      </c>
      <c r="H16" s="31">
        <f>H12+H11-H15</f>
        <v/>
      </c>
      <c r="I16" s="31">
        <f>I12+I11-I15</f>
        <v/>
      </c>
    </row>
    <row r="17">
      <c r="A17" s="6" t="inlineStr">
        <is>
          <t>Gross borrowings</t>
        </is>
      </c>
      <c r="B17" s="27" t="n">
        <v>289554</v>
      </c>
      <c r="C17" s="27" t="n">
        <v>739301</v>
      </c>
      <c r="D17" s="27" t="n">
        <v>1031879</v>
      </c>
      <c r="E17" s="31">
        <f>B54</f>
        <v/>
      </c>
      <c r="F17" s="31">
        <f>C54</f>
        <v/>
      </c>
      <c r="G17" s="31">
        <f>D54</f>
        <v/>
      </c>
      <c r="H17" s="31">
        <f>E54</f>
        <v/>
      </c>
      <c r="I17" s="31">
        <f>F54</f>
        <v/>
      </c>
    </row>
    <row r="18">
      <c r="A18" s="14" t="inlineStr">
        <is>
          <t>Net debt</t>
        </is>
      </c>
      <c r="B18" s="32" t="n">
        <v>73845</v>
      </c>
      <c r="C18" s="32" t="n">
        <v>540382</v>
      </c>
      <c r="D18" s="32" t="n">
        <v>694085</v>
      </c>
      <c r="E18" s="32">
        <f>B62</f>
        <v/>
      </c>
      <c r="F18" s="32">
        <f>C62</f>
        <v/>
      </c>
      <c r="G18" s="32">
        <f>D62</f>
        <v/>
      </c>
      <c r="H18" s="32">
        <f>E62</f>
        <v/>
      </c>
      <c r="I18" s="32">
        <f>F62</f>
        <v/>
      </c>
    </row>
    <row r="19">
      <c r="A19" s="6" t="inlineStr">
        <is>
          <t>Perpetual capital securities</t>
        </is>
      </c>
      <c r="B19" s="27" t="n">
        <v>0</v>
      </c>
      <c r="C19" s="27" t="n">
        <v>0</v>
      </c>
      <c r="D19" s="27" t="n">
        <v>1978619</v>
      </c>
      <c r="E19" s="18">
        <f>Assumptions!$C$94</f>
        <v/>
      </c>
      <c r="F19" s="18">
        <f>Assumptions!$C$94</f>
        <v/>
      </c>
      <c r="G19" s="18">
        <f>Assumptions!$C$94</f>
        <v/>
      </c>
      <c r="H19" s="18">
        <f>Assumptions!$C$94</f>
        <v/>
      </c>
      <c r="I19" s="18">
        <f>Assumptions!$C$94</f>
        <v/>
      </c>
    </row>
    <row r="20">
      <c r="A20" s="6" t="inlineStr">
        <is>
          <t>Non-controlling interests</t>
        </is>
      </c>
      <c r="B20" s="27" t="n">
        <v>0</v>
      </c>
      <c r="C20" s="27" t="n">
        <v>0</v>
      </c>
      <c r="D20" s="27" t="n">
        <v>264512</v>
      </c>
      <c r="E20" s="18">
        <f>Assumptions!$C$96</f>
        <v/>
      </c>
      <c r="F20" s="18">
        <f>Assumptions!$C$96</f>
        <v/>
      </c>
      <c r="G20" s="18">
        <f>Assumptions!$C$96</f>
        <v/>
      </c>
      <c r="H20" s="18">
        <f>Assumptions!$C$96</f>
        <v/>
      </c>
      <c r="I20" s="18">
        <f>Assumptions!$C$96</f>
        <v/>
      </c>
    </row>
    <row r="21">
      <c r="A21" s="14" t="inlineStr">
        <is>
          <t>Equity attributable to shareholders</t>
        </is>
      </c>
      <c r="B21" s="32" t="n">
        <v>4405982</v>
      </c>
      <c r="C21" s="32" t="n">
        <v>4894627</v>
      </c>
      <c r="D21" s="32" t="n">
        <v>4981987</v>
      </c>
      <c r="E21" s="32">
        <f>B69</f>
        <v/>
      </c>
      <c r="F21" s="32">
        <f>C69</f>
        <v/>
      </c>
      <c r="G21" s="32">
        <f>D69</f>
        <v/>
      </c>
      <c r="H21" s="32">
        <f>E69</f>
        <v/>
      </c>
      <c r="I21" s="32">
        <f>F69</f>
        <v/>
      </c>
    </row>
    <row r="22">
      <c r="A22" s="14" t="inlineStr">
        <is>
          <t>Total equity</t>
        </is>
      </c>
      <c r="B22" s="32">
        <f>B21+B19+B20</f>
        <v/>
      </c>
      <c r="C22" s="32">
        <f>C21+C19+C20</f>
        <v/>
      </c>
      <c r="D22" s="32">
        <f>D21+D19+D20</f>
        <v/>
      </c>
      <c r="E22" s="32">
        <f>E21+E19+E20</f>
        <v/>
      </c>
      <c r="F22" s="32">
        <f>F21+F19+F20</f>
        <v/>
      </c>
      <c r="G22" s="32">
        <f>G21+G19+G20</f>
        <v/>
      </c>
      <c r="H22" s="32">
        <f>H21+H19+H20</f>
        <v/>
      </c>
      <c r="I22" s="32">
        <f>I21+I19+I20</f>
        <v/>
      </c>
    </row>
    <row r="23">
      <c r="A23" s="6" t="inlineStr">
        <is>
          <t>Net debt / EBITDA</t>
        </is>
      </c>
      <c r="B23" s="33">
        <f>B18/'Income Statement'!B14</f>
        <v/>
      </c>
      <c r="C23" s="33">
        <f>C18/'Income Statement'!C14</f>
        <v/>
      </c>
      <c r="D23" s="33">
        <f>D18/'Income Statement'!D14</f>
        <v/>
      </c>
      <c r="E23" s="33">
        <f>E18/'Income Statement'!E14</f>
        <v/>
      </c>
      <c r="F23" s="33">
        <f>F18/'Income Statement'!F14</f>
        <v/>
      </c>
      <c r="G23" s="33">
        <f>G18/'Income Statement'!G14</f>
        <v/>
      </c>
      <c r="H23" s="33">
        <f>H18/'Income Statement'!H14</f>
        <v/>
      </c>
      <c r="I23" s="33">
        <f>I18/'Income Statement'!I14</f>
        <v/>
      </c>
    </row>
    <row r="24">
      <c r="A24" s="6" t="inlineStr">
        <is>
          <t>Book value per share (USD)</t>
        </is>
      </c>
      <c r="B24" s="40">
        <f>B21/Assumptions!$C$6/1000</f>
        <v/>
      </c>
      <c r="C24" s="40">
        <f>C21/Assumptions!$C$6/1000</f>
        <v/>
      </c>
      <c r="D24" s="40">
        <f>D21/Assumptions!$C$6/1000</f>
        <v/>
      </c>
      <c r="E24" s="40">
        <f>E21/Assumptions!$C$6/1000</f>
        <v/>
      </c>
      <c r="F24" s="40">
        <f>F21/Assumptions!$C$6/1000</f>
        <v/>
      </c>
      <c r="G24" s="40">
        <f>G21/Assumptions!$C$6/1000</f>
        <v/>
      </c>
      <c r="H24" s="40">
        <f>H21/Assumptions!$C$6/1000</f>
        <v/>
      </c>
      <c r="I24" s="40">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1">
        <f>B5+B16+B7+B8</f>
        <v/>
      </c>
      <c r="C26" s="31">
        <f>C5+C16+C7+C8</f>
        <v/>
      </c>
      <c r="D26" s="31">
        <f>D5+D16+D7+D8</f>
        <v/>
      </c>
      <c r="E26" s="31">
        <f>E5+E16+E7+E8</f>
        <v/>
      </c>
      <c r="F26" s="31">
        <f>F5+F16+F7+F8</f>
        <v/>
      </c>
      <c r="G26" s="31">
        <f>G5+G16+G7+G8</f>
        <v/>
      </c>
      <c r="H26" s="31">
        <f>H5+H16+H7+H8</f>
        <v/>
      </c>
      <c r="I26" s="31">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Statement'!E28/((Assumptions!$C$99+E21)/2)</f>
        <v/>
      </c>
      <c r="F28" s="10">
        <f>'Income Statement'!F28/((E21+F21)/2)</f>
        <v/>
      </c>
      <c r="G28" s="10">
        <f>'Income Statement'!G28/((F21+G21)/2)</f>
        <v/>
      </c>
      <c r="H28" s="10">
        <f>'Income Statement'!H28/((G21+H21)/2)</f>
        <v/>
      </c>
      <c r="I28" s="10">
        <f>'Income Statement'!I28/((H21+I21)/2)</f>
        <v/>
      </c>
    </row>
    <row r="30">
      <c r="A30" s="11" t="inlineStr">
        <is>
          <t>THE PROPERTY, PLANT AND EQUIPMENT ROLL</t>
        </is>
      </c>
      <c r="B30" s="14" t="inlineStr">
        <is>
          <t>FY2026E</t>
        </is>
      </c>
      <c r="C30" s="14" t="inlineStr">
        <is>
          <t>FY2027E</t>
        </is>
      </c>
      <c r="D30" s="14" t="inlineStr">
        <is>
          <t>FY2028E</t>
        </is>
      </c>
      <c r="E30" s="14" t="inlineStr">
        <is>
          <t>FY2029E</t>
        </is>
      </c>
      <c r="F30" s="14" t="inlineStr">
        <is>
          <t>FY2030E</t>
        </is>
      </c>
    </row>
    <row r="31">
      <c r="A31" s="6" t="inlineStr">
        <is>
          <t>Opening property, plant and equipment</t>
        </is>
      </c>
      <c r="B31" s="18">
        <f>D5</f>
        <v/>
      </c>
      <c r="C31" s="31">
        <f>B36</f>
        <v/>
      </c>
      <c r="D31" s="31">
        <f>C36</f>
        <v/>
      </c>
      <c r="E31" s="31">
        <f>D36</f>
        <v/>
      </c>
      <c r="F31" s="31">
        <f>E36</f>
        <v/>
      </c>
    </row>
    <row r="32">
      <c r="A32" s="6" t="inlineStr">
        <is>
          <t>Capital expenditure</t>
        </is>
      </c>
      <c r="B32" s="18">
        <f>Assumptions!$B$71</f>
        <v/>
      </c>
      <c r="C32" s="18">
        <f>Assumptions!$C$71</f>
        <v/>
      </c>
      <c r="D32" s="18">
        <f>Assumptions!$D$71</f>
        <v/>
      </c>
      <c r="E32" s="18">
        <f>Assumptions!$E$71</f>
        <v/>
      </c>
      <c r="F32" s="18">
        <f>Assumptions!$F$71</f>
        <v/>
      </c>
    </row>
    <row r="33">
      <c r="A33" s="6" t="inlineStr">
        <is>
          <t>Depreciation rate on property, plant and equipment</t>
        </is>
      </c>
      <c r="B33" s="19">
        <f>Assumptions!$C$72</f>
        <v/>
      </c>
      <c r="C33" s="19">
        <f>Assumptions!$C$72</f>
        <v/>
      </c>
      <c r="D33" s="19">
        <f>Assumptions!$C$72</f>
        <v/>
      </c>
      <c r="E33" s="19">
        <f>Assumptions!$C$72</f>
        <v/>
      </c>
      <c r="F33" s="19">
        <f>Assumptions!$C$72</f>
        <v/>
      </c>
    </row>
    <row r="34">
      <c r="A34" s="6" t="inlineStr">
        <is>
          <t>First-pass depreciation, on the opening balance plus the full additions</t>
        </is>
      </c>
      <c r="B34" s="31">
        <f>B33*(B31+(B31+B32))/2</f>
        <v/>
      </c>
      <c r="C34" s="31">
        <f>C33*(C31+(C31+C32))/2</f>
        <v/>
      </c>
      <c r="D34" s="31">
        <f>D33*(D31+(D31+D32))/2</f>
        <v/>
      </c>
      <c r="E34" s="31">
        <f>E33*(E31+(E31+E32))/2</f>
        <v/>
      </c>
      <c r="F34" s="31">
        <f>F33*(F31+(F31+F32))/2</f>
        <v/>
      </c>
    </row>
    <row r="35">
      <c r="A35" s="6" t="inlineStr">
        <is>
          <t>Depreciation on property, plant and equipment — on the average of opening and closing</t>
        </is>
      </c>
      <c r="B35" s="31">
        <f>B33*(B31+(B31+B32-B34))/2</f>
        <v/>
      </c>
      <c r="C35" s="31">
        <f>C33*(C31+(C31+C32-C34))/2</f>
        <v/>
      </c>
      <c r="D35" s="31">
        <f>D33*(D31+(D31+D32-D34))/2</f>
        <v/>
      </c>
      <c r="E35" s="31">
        <f>E33*(E31+(E31+E32-E34))/2</f>
        <v/>
      </c>
      <c r="F35" s="31">
        <f>F33*(F31+(F31+F32-F34))/2</f>
        <v/>
      </c>
    </row>
    <row r="36">
      <c r="A36" s="37" t="inlineStr">
        <is>
          <t>Closing property, plant and equipment</t>
        </is>
      </c>
      <c r="B36" s="36">
        <f>B31+B32-B35</f>
        <v/>
      </c>
      <c r="C36" s="36">
        <f>C31+C32-C35</f>
        <v/>
      </c>
      <c r="D36" s="36">
        <f>D31+D32-D35</f>
        <v/>
      </c>
      <c r="E36" s="36">
        <f>E31+E32-E35</f>
        <v/>
      </c>
      <c r="F36" s="36">
        <f>F31+F32-F35</f>
        <v/>
      </c>
    </row>
    <row r="37">
      <c r="A37" s="6" t="inlineStr">
        <is>
          <t>Other depreciation and amortisation, escalated</t>
        </is>
      </c>
      <c r="B37" s="31">
        <f>Assumptions!$C$73*(1+Assumptions!$C$49)^1</f>
        <v/>
      </c>
      <c r="C37" s="31">
        <f>Assumptions!$C$73*(1+Assumptions!$C$49)^2</f>
        <v/>
      </c>
      <c r="D37" s="31">
        <f>Assumptions!$C$73*(1+Assumptions!$C$49)^3</f>
        <v/>
      </c>
      <c r="E37" s="31">
        <f>Assumptions!$C$73*(1+Assumptions!$C$49)^4</f>
        <v/>
      </c>
      <c r="F37" s="31">
        <f>Assumptions!$C$73*(1+Assumptions!$C$49)^5</f>
        <v/>
      </c>
    </row>
    <row r="38">
      <c r="A38" s="14" t="inlineStr">
        <is>
          <t>Total depreciation and amortisation</t>
        </is>
      </c>
      <c r="B38" s="32">
        <f>B35+B37</f>
        <v/>
      </c>
      <c r="C38" s="32">
        <f>C35+C37</f>
        <v/>
      </c>
      <c r="D38" s="32">
        <f>D35+D37</f>
        <v/>
      </c>
      <c r="E38" s="32">
        <f>E35+E37</f>
        <v/>
      </c>
      <c r="F38" s="32">
        <f>F35+F37</f>
        <v/>
      </c>
    </row>
    <row r="40">
      <c r="A40" s="11" t="inlineStr">
        <is>
          <t>THE WORKING-CAPITAL ROLL FROM THE DAYS RATIOS</t>
        </is>
      </c>
      <c r="B40" s="14" t="inlineStr">
        <is>
          <t>FY2026E</t>
        </is>
      </c>
      <c r="C40" s="14" t="inlineStr">
        <is>
          <t>FY2027E</t>
        </is>
      </c>
      <c r="D40" s="14" t="inlineStr">
        <is>
          <t>FY2028E</t>
        </is>
      </c>
      <c r="E40" s="14" t="inlineStr">
        <is>
          <t>FY2029E</t>
        </is>
      </c>
      <c r="F40" s="14" t="inlineStr">
        <is>
          <t>FY2030E</t>
        </is>
      </c>
    </row>
    <row r="41">
      <c r="A41" s="6" t="inlineStr">
        <is>
          <t>Revenue</t>
        </is>
      </c>
      <c r="B41" s="18">
        <f>DCF!B5</f>
        <v/>
      </c>
      <c r="C41" s="18">
        <f>DCF!C5</f>
        <v/>
      </c>
      <c r="D41" s="18">
        <f>DCF!D5</f>
        <v/>
      </c>
      <c r="E41" s="18">
        <f>DCF!E5</f>
        <v/>
      </c>
      <c r="F41" s="18">
        <f>DCF!F5</f>
        <v/>
      </c>
    </row>
    <row r="42">
      <c r="A42" s="6" t="inlineStr">
        <is>
          <t>Total operating costs</t>
        </is>
      </c>
      <c r="B42" s="31">
        <f>B41-DCF!B6</f>
        <v/>
      </c>
      <c r="C42" s="31">
        <f>C41-DCF!C6</f>
        <v/>
      </c>
      <c r="D42" s="31">
        <f>D41-DCF!D6</f>
        <v/>
      </c>
      <c r="E42" s="31">
        <f>E41-DCF!E6</f>
        <v/>
      </c>
      <c r="F42" s="31">
        <f>F41-DCF!F6</f>
        <v/>
      </c>
    </row>
    <row r="43">
      <c r="A43" s="6" t="inlineStr">
        <is>
          <t>Days sales outstanding</t>
        </is>
      </c>
      <c r="B43" s="17">
        <f>Assumptions!$C$74</f>
        <v/>
      </c>
      <c r="C43" s="17">
        <f>Assumptions!$C$74</f>
        <v/>
      </c>
      <c r="D43" s="17">
        <f>Assumptions!$C$74</f>
        <v/>
      </c>
      <c r="E43" s="17">
        <f>Assumptions!$C$74</f>
        <v/>
      </c>
      <c r="F43" s="17">
        <f>Assumptions!$C$74</f>
        <v/>
      </c>
    </row>
    <row r="44">
      <c r="A44" s="6" t="inlineStr">
        <is>
          <t>Days inventory outstanding</t>
        </is>
      </c>
      <c r="B44" s="17">
        <f>Assumptions!$C$75</f>
        <v/>
      </c>
      <c r="C44" s="17">
        <f>Assumptions!$C$75</f>
        <v/>
      </c>
      <c r="D44" s="17">
        <f>Assumptions!$C$75</f>
        <v/>
      </c>
      <c r="E44" s="17">
        <f>Assumptions!$C$75</f>
        <v/>
      </c>
      <c r="F44" s="17">
        <f>Assumptions!$C$75</f>
        <v/>
      </c>
    </row>
    <row r="45">
      <c r="A45" s="6" t="inlineStr">
        <is>
          <t>Days payable outstanding</t>
        </is>
      </c>
      <c r="B45" s="17">
        <f>Assumptions!$C$76</f>
        <v/>
      </c>
      <c r="C45" s="17">
        <f>Assumptions!$C$76</f>
        <v/>
      </c>
      <c r="D45" s="17">
        <f>Assumptions!$C$76</f>
        <v/>
      </c>
      <c r="E45" s="17">
        <f>Assumptions!$C$76</f>
        <v/>
      </c>
      <c r="F45" s="17">
        <f>Assumptions!$C$76</f>
        <v/>
      </c>
    </row>
    <row r="46">
      <c r="A46" s="6" t="inlineStr">
        <is>
          <t>Trade and other receivables — revenue x days / 365</t>
        </is>
      </c>
      <c r="B46" s="31">
        <f>B41*B43/365</f>
        <v/>
      </c>
      <c r="C46" s="31">
        <f>C41*C43/365</f>
        <v/>
      </c>
      <c r="D46" s="31">
        <f>D41*D43/365</f>
        <v/>
      </c>
      <c r="E46" s="31">
        <f>E41*E43/365</f>
        <v/>
      </c>
      <c r="F46" s="31">
        <f>F41*F43/365</f>
        <v/>
      </c>
    </row>
    <row r="47">
      <c r="A47" s="6" t="inlineStr">
        <is>
          <t>Inventories — operating cost x days / 365</t>
        </is>
      </c>
      <c r="B47" s="31">
        <f>B42*B44/365</f>
        <v/>
      </c>
      <c r="C47" s="31">
        <f>C42*C44/365</f>
        <v/>
      </c>
      <c r="D47" s="31">
        <f>D42*D44/365</f>
        <v/>
      </c>
      <c r="E47" s="31">
        <f>E42*E44/365</f>
        <v/>
      </c>
      <c r="F47" s="31">
        <f>F42*F44/365</f>
        <v/>
      </c>
    </row>
    <row r="48">
      <c r="A48" s="6" t="inlineStr">
        <is>
          <t>Trade and other payables — operating cost x days / 365</t>
        </is>
      </c>
      <c r="B48" s="31">
        <f>B42*B45/365</f>
        <v/>
      </c>
      <c r="C48" s="31">
        <f>C42*C45/365</f>
        <v/>
      </c>
      <c r="D48" s="31">
        <f>D42*D45/365</f>
        <v/>
      </c>
      <c r="E48" s="31">
        <f>E42*E45/365</f>
        <v/>
      </c>
      <c r="F48" s="31">
        <f>F42*F45/365</f>
        <v/>
      </c>
    </row>
    <row r="49">
      <c r="A49" s="14" t="inlineStr">
        <is>
          <t>Net working capital</t>
        </is>
      </c>
      <c r="B49" s="32">
        <f>B46+B47-B48</f>
        <v/>
      </c>
      <c r="C49" s="32">
        <f>C46+C47-C48</f>
        <v/>
      </c>
      <c r="D49" s="32">
        <f>D46+D47-D48</f>
        <v/>
      </c>
      <c r="E49" s="32">
        <f>E46+E47-E48</f>
        <v/>
      </c>
      <c r="F49" s="32">
        <f>F46+F47-F48</f>
        <v/>
      </c>
    </row>
    <row r="50">
      <c r="A50" s="37" t="inlineStr">
        <is>
          <t>Change in net working capital</t>
        </is>
      </c>
      <c r="B50" s="36">
        <f>B49-Assumptions!$C$77</f>
        <v/>
      </c>
      <c r="C50" s="36">
        <f>C49-B49</f>
        <v/>
      </c>
      <c r="D50" s="36">
        <f>D49-C49</f>
        <v/>
      </c>
      <c r="E50" s="36">
        <f>E49-D49</f>
        <v/>
      </c>
      <c r="F50" s="36">
        <f>F49-E49</f>
        <v/>
      </c>
    </row>
    <row r="52">
      <c r="A52" s="11" t="inlineStr">
        <is>
          <t>THE NET-DEBT ROLL</t>
        </is>
      </c>
      <c r="B52" s="14" t="inlineStr">
        <is>
          <t>FY2026E</t>
        </is>
      </c>
      <c r="C52" s="14" t="inlineStr">
        <is>
          <t>FY2027E</t>
        </is>
      </c>
      <c r="D52" s="14" t="inlineStr">
        <is>
          <t>FY2028E</t>
        </is>
      </c>
      <c r="E52" s="14" t="inlineStr">
        <is>
          <t>FY2029E</t>
        </is>
      </c>
      <c r="F52" s="14" t="inlineStr">
        <is>
          <t>FY2030E</t>
        </is>
      </c>
    </row>
    <row r="53">
      <c r="A53" s="6" t="inlineStr">
        <is>
          <t>Opening net debt</t>
        </is>
      </c>
      <c r="B53" s="18">
        <f>Assumptions!$C$92+Assumptions!$C$93</f>
        <v/>
      </c>
      <c r="C53" s="31">
        <f>B62</f>
        <v/>
      </c>
      <c r="D53" s="31">
        <f>C62</f>
        <v/>
      </c>
      <c r="E53" s="31">
        <f>D62</f>
        <v/>
      </c>
      <c r="F53" s="31">
        <f>E62</f>
        <v/>
      </c>
    </row>
    <row r="54">
      <c r="A54" s="6" t="inlineStr">
        <is>
          <t>Gross borrowings — opening net debt plus the cash held</t>
        </is>
      </c>
      <c r="B54" s="31">
        <f>B53+Assumptions!$C$100</f>
        <v/>
      </c>
      <c r="C54" s="31">
        <f>C53+Assumptions!$C$100</f>
        <v/>
      </c>
      <c r="D54" s="31">
        <f>D53+Assumptions!$C$100</f>
        <v/>
      </c>
      <c r="E54" s="31">
        <f>E53+Assumptions!$C$100</f>
        <v/>
      </c>
      <c r="F54" s="31">
        <f>F53+Assumptions!$C$100</f>
        <v/>
      </c>
    </row>
    <row r="55">
      <c r="A55" s="6" t="inlineStr">
        <is>
          <t>Interest charge on gross borrowings</t>
        </is>
      </c>
      <c r="B55" s="31">
        <f>DCF!$C$88*B54</f>
        <v/>
      </c>
      <c r="C55" s="31">
        <f>DCF!$C$88*C54</f>
        <v/>
      </c>
      <c r="D55" s="31">
        <f>DCF!$C$88*D54</f>
        <v/>
      </c>
      <c r="E55" s="31">
        <f>DCF!$C$88*E54</f>
        <v/>
      </c>
      <c r="F55" s="31">
        <f>DCF!$C$88*F54</f>
        <v/>
      </c>
    </row>
    <row r="56">
      <c r="A56" s="6" t="inlineStr">
        <is>
          <t>Free cash flow to the firm</t>
        </is>
      </c>
      <c r="B56" s="18">
        <f>DCF!B15</f>
        <v/>
      </c>
      <c r="C56" s="18">
        <f>DCF!C15</f>
        <v/>
      </c>
      <c r="D56" s="18">
        <f>DCF!D15</f>
        <v/>
      </c>
      <c r="E56" s="18">
        <f>DCF!E15</f>
        <v/>
      </c>
      <c r="F56" s="18">
        <f>DCF!F15</f>
        <v/>
      </c>
    </row>
    <row r="57">
      <c r="A57" s="6" t="inlineStr">
        <is>
          <t>Less interest after tax</t>
        </is>
      </c>
      <c r="B57" s="31">
        <f>-B55*(1-Assumptions!$C$21)</f>
        <v/>
      </c>
      <c r="C57" s="31">
        <f>-C55*(1-Assumptions!$C$21)</f>
        <v/>
      </c>
      <c r="D57" s="31">
        <f>-D55*(1-Assumptions!$C$21)</f>
        <v/>
      </c>
      <c r="E57" s="31">
        <f>-E55*(1-Assumptions!$C$21)</f>
        <v/>
      </c>
      <c r="F57" s="31">
        <f>-F55*(1-Assumptions!$C$21)</f>
        <v/>
      </c>
    </row>
    <row r="58">
      <c r="A58" s="6" t="inlineStr">
        <is>
          <t>Plus finance income after tax</t>
        </is>
      </c>
      <c r="B58" s="31">
        <f>Assumptions!$C$24*Assumptions!$C$100*(1-Assumptions!$C$21)</f>
        <v/>
      </c>
      <c r="C58" s="31">
        <f>Assumptions!$C$24*Assumptions!$C$100*(1-Assumptions!$C$21)</f>
        <v/>
      </c>
      <c r="D58" s="31">
        <f>Assumptions!$C$24*Assumptions!$C$100*(1-Assumptions!$C$21)</f>
        <v/>
      </c>
      <c r="E58" s="31">
        <f>Assumptions!$C$24*Assumptions!$C$100*(1-Assumptions!$C$21)</f>
        <v/>
      </c>
      <c r="F58" s="31">
        <f>Assumptions!$C$24*Assumptions!$C$100*(1-Assumptions!$C$21)</f>
        <v/>
      </c>
    </row>
    <row r="59">
      <c r="A59" s="6" t="inlineStr">
        <is>
          <t>Less perpetual capital securities coupon</t>
        </is>
      </c>
      <c r="B59" s="31">
        <f>-Assumptions!$C$94*(Assumptions!$C$24+Assumptions!$C$95)</f>
        <v/>
      </c>
      <c r="C59" s="31">
        <f>-Assumptions!$C$94*(Assumptions!$C$24+Assumptions!$C$95)</f>
        <v/>
      </c>
      <c r="D59" s="31">
        <f>-Assumptions!$C$94*(Assumptions!$C$24+Assumptions!$C$95)</f>
        <v/>
      </c>
      <c r="E59" s="31">
        <f>-Assumptions!$C$94*(Assumptions!$C$24+Assumptions!$C$95)</f>
        <v/>
      </c>
      <c r="F59" s="31">
        <f>-Assumptions!$C$94*(Assumptions!$C$24+Assumptions!$C$95)</f>
        <v/>
      </c>
    </row>
    <row r="60">
      <c r="A60" s="37" t="inlineStr">
        <is>
          <t>Free cash flow to equity</t>
        </is>
      </c>
      <c r="B60" s="36">
        <f>B56+B57+B58+B59</f>
        <v/>
      </c>
      <c r="C60" s="36">
        <f>C56+C57+C58+C59</f>
        <v/>
      </c>
      <c r="D60" s="36">
        <f>D56+D57+D58+D59</f>
        <v/>
      </c>
      <c r="E60" s="36">
        <f>E56+E57+E58+E59</f>
        <v/>
      </c>
      <c r="F60" s="36">
        <f>F56+F57+F58+F59</f>
        <v/>
      </c>
    </row>
    <row r="61">
      <c r="A61" s="6" t="inlineStr">
        <is>
          <t>Less ordinary dividends</t>
        </is>
      </c>
      <c r="B61" s="31">
        <f>-Assumptions!$C$103*(1+Assumptions!$C$104)^0</f>
        <v/>
      </c>
      <c r="C61" s="31">
        <f>-Assumptions!$C$103*(1+Assumptions!$C$104)^1</f>
        <v/>
      </c>
      <c r="D61" s="31">
        <f>-Assumptions!$C$103*(1+Assumptions!$C$104)^2</f>
        <v/>
      </c>
      <c r="E61" s="31">
        <f>-Assumptions!$C$103*(1+Assumptions!$C$104)^3</f>
        <v/>
      </c>
      <c r="F61" s="31">
        <f>-Assumptions!$C$103*(1+Assumptions!$C$104)^4</f>
        <v/>
      </c>
    </row>
    <row r="62">
      <c r="A62" s="14" t="inlineStr">
        <is>
          <t>Closing net debt</t>
        </is>
      </c>
      <c r="B62" s="32">
        <f>B53-B60-B61</f>
        <v/>
      </c>
      <c r="C62" s="32">
        <f>C53-C60-C61</f>
        <v/>
      </c>
      <c r="D62" s="32">
        <f>D53-D60-D61</f>
        <v/>
      </c>
      <c r="E62" s="32">
        <f>E53-E60-E61</f>
        <v/>
      </c>
      <c r="F62" s="32">
        <f>F53-F60-F61</f>
        <v/>
      </c>
    </row>
    <row r="64">
      <c r="A64" s="11" t="inlineStr">
        <is>
          <t>THE EQUITY ROLL</t>
        </is>
      </c>
      <c r="B64" s="14" t="inlineStr">
        <is>
          <t>FY2026E</t>
        </is>
      </c>
      <c r="C64" s="14" t="inlineStr">
        <is>
          <t>FY2027E</t>
        </is>
      </c>
      <c r="D64" s="14" t="inlineStr">
        <is>
          <t>FY2028E</t>
        </is>
      </c>
      <c r="E64" s="14" t="inlineStr">
        <is>
          <t>FY2029E</t>
        </is>
      </c>
      <c r="F64" s="14" t="inlineStr">
        <is>
          <t>FY2030E</t>
        </is>
      </c>
    </row>
    <row r="65">
      <c r="A65" s="6" t="inlineStr">
        <is>
          <t>Opening equity attributable to shareholders</t>
        </is>
      </c>
      <c r="B65" s="18">
        <f>Assumptions!$C$99</f>
        <v/>
      </c>
      <c r="C65" s="31">
        <f>B69</f>
        <v/>
      </c>
      <c r="D65" s="31">
        <f>C69</f>
        <v/>
      </c>
      <c r="E65" s="31">
        <f>D69</f>
        <v/>
      </c>
      <c r="F65" s="31">
        <f>E69</f>
        <v/>
      </c>
    </row>
    <row r="66">
      <c r="A66" s="6" t="inlineStr">
        <is>
          <t>Add profit attributable to shareholders</t>
        </is>
      </c>
      <c r="B66" s="18">
        <f>'Income Statement'!E28</f>
        <v/>
      </c>
      <c r="C66" s="18">
        <f>'Income Statement'!F28</f>
        <v/>
      </c>
      <c r="D66" s="18">
        <f>'Income Statement'!G28</f>
        <v/>
      </c>
      <c r="E66" s="18">
        <f>'Income Statement'!H28</f>
        <v/>
      </c>
      <c r="F66" s="18">
        <f>'Income Statement'!I28</f>
        <v/>
      </c>
    </row>
    <row r="67">
      <c r="A67" s="6" t="inlineStr">
        <is>
          <t>Less ordinary dividends</t>
        </is>
      </c>
      <c r="B67" s="31">
        <f>B61</f>
        <v/>
      </c>
      <c r="C67" s="31">
        <f>C61</f>
        <v/>
      </c>
      <c r="D67" s="31">
        <f>D61</f>
        <v/>
      </c>
      <c r="E67" s="31">
        <f>E61</f>
        <v/>
      </c>
      <c r="F67" s="31">
        <f>F61</f>
        <v/>
      </c>
    </row>
    <row r="68">
      <c r="A68" s="6" t="inlineStr">
        <is>
          <t>Less perpetual capital securities coupon</t>
        </is>
      </c>
      <c r="B68" s="31">
        <f>B59</f>
        <v/>
      </c>
      <c r="C68" s="31">
        <f>C59</f>
        <v/>
      </c>
      <c r="D68" s="31">
        <f>D59</f>
        <v/>
      </c>
      <c r="E68" s="31">
        <f>E59</f>
        <v/>
      </c>
      <c r="F68" s="31">
        <f>F59</f>
        <v/>
      </c>
    </row>
    <row r="69">
      <c r="A69" s="14" t="inlineStr">
        <is>
          <t>Closing equity attributable to shareholders</t>
        </is>
      </c>
      <c r="B69" s="32">
        <f>B65+B66+B67+B68</f>
        <v/>
      </c>
      <c r="C69" s="32">
        <f>C65+C66+C67+C68</f>
        <v/>
      </c>
      <c r="D69" s="32">
        <f>D65+D66+D67+D68</f>
        <v/>
      </c>
      <c r="E69" s="32">
        <f>E65+E66+E67+E68</f>
        <v/>
      </c>
      <c r="F69" s="32">
        <f>F65+F66+F67+F68</f>
        <v/>
      </c>
    </row>
    <row r="70">
      <c r="A70" s="6" t="inlineStr">
        <is>
          <t>Ordinary dividend per share (USD)</t>
        </is>
      </c>
      <c r="B70" s="40">
        <f>-B67/Assumptions!$C$6/1000</f>
        <v/>
      </c>
      <c r="C70" s="40">
        <f>-C67/Assumptions!$C$6/1000</f>
        <v/>
      </c>
      <c r="D70" s="40">
        <f>-D67/Assumptions!$C$6/1000</f>
        <v/>
      </c>
      <c r="E70" s="40">
        <f>-E67/Assumptions!$C$6/1000</f>
        <v/>
      </c>
      <c r="F70" s="40">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18">
        <f>'Income Statement'!B14</f>
        <v/>
      </c>
      <c r="C5" s="18">
        <f>'Income Statement'!C14</f>
        <v/>
      </c>
      <c r="D5" s="18">
        <f>'Income Statement'!D14</f>
        <v/>
      </c>
      <c r="E5" s="18">
        <f>'Income Statement'!E14</f>
        <v/>
      </c>
      <c r="F5" s="18">
        <f>'Income Statement'!F14</f>
        <v/>
      </c>
      <c r="G5" s="18">
        <f>'Income Statement'!G14</f>
        <v/>
      </c>
      <c r="H5" s="18">
        <f>'Income Statement'!H14</f>
        <v/>
      </c>
      <c r="I5" s="18">
        <f>'Income Statement'!I14</f>
        <v/>
      </c>
    </row>
    <row r="6">
      <c r="A6" s="6" t="inlineStr">
        <is>
          <t>Operating cash flow, as reported</t>
        </is>
      </c>
      <c r="B6" s="27" t="n">
        <v>822648</v>
      </c>
      <c r="C6" s="27" t="n">
        <v>1068865</v>
      </c>
      <c r="D6" s="27" t="n">
        <v>1370729</v>
      </c>
      <c r="E6" s="31" t="inlineStr">
        <is>
          <t>-</t>
        </is>
      </c>
      <c r="F6" s="31" t="inlineStr">
        <is>
          <t>-</t>
        </is>
      </c>
      <c r="G6" s="31" t="inlineStr">
        <is>
          <t>-</t>
        </is>
      </c>
      <c r="H6" s="31" t="inlineStr">
        <is>
          <t>-</t>
        </is>
      </c>
      <c r="I6" s="31" t="inlineStr">
        <is>
          <t>-</t>
        </is>
      </c>
    </row>
    <row r="7">
      <c r="A7" s="6" t="inlineStr">
        <is>
          <t>Capital expenditure</t>
        </is>
      </c>
      <c r="B7" s="27" t="n">
        <v>-774015</v>
      </c>
      <c r="C7" s="27" t="n">
        <v>-810851</v>
      </c>
      <c r="D7" s="27" t="n">
        <v>-1106529</v>
      </c>
      <c r="E7" s="18">
        <f>DCF!B13</f>
        <v/>
      </c>
      <c r="F7" s="18">
        <f>DCF!C13</f>
        <v/>
      </c>
      <c r="G7" s="18">
        <f>DCF!D13</f>
        <v/>
      </c>
      <c r="H7" s="18">
        <f>DCF!E13</f>
        <v/>
      </c>
      <c r="I7" s="18">
        <f>DCF!F13</f>
        <v/>
      </c>
    </row>
    <row r="8">
      <c r="A8" s="14" t="inlineStr">
        <is>
          <t>Free cash flow, as reported</t>
        </is>
      </c>
      <c r="B8" s="32">
        <f>B6+B7</f>
        <v/>
      </c>
      <c r="C8" s="32">
        <f>C6+C7</f>
        <v/>
      </c>
      <c r="D8" s="32">
        <f>D6+D7</f>
        <v/>
      </c>
      <c r="E8" s="32" t="inlineStr">
        <is>
          <t>-</t>
        </is>
      </c>
      <c r="F8" s="32" t="inlineStr">
        <is>
          <t>-</t>
        </is>
      </c>
      <c r="G8" s="32" t="inlineStr">
        <is>
          <t>-</t>
        </is>
      </c>
      <c r="H8" s="32" t="inlineStr">
        <is>
          <t>-</t>
        </is>
      </c>
      <c r="I8" s="32" t="inlineStr">
        <is>
          <t>-</t>
        </is>
      </c>
    </row>
    <row r="10">
      <c r="A10" s="11" t="inlineStr">
        <is>
          <t>THE FORECAST WATERFALL — LINKED TO THE DISCOUNTED-CASH-FLOW SHEET</t>
        </is>
      </c>
      <c r="B10" s="14" t="n"/>
      <c r="C10" s="14" t="n"/>
      <c r="D10" s="14" t="n"/>
      <c r="E10" s="14" t="inlineStr">
        <is>
          <t>FY2026E</t>
        </is>
      </c>
      <c r="F10" s="14" t="inlineStr">
        <is>
          <t>FY2027E</t>
        </is>
      </c>
      <c r="G10" s="14" t="inlineStr">
        <is>
          <t>FY2028E</t>
        </is>
      </c>
      <c r="H10" s="14" t="inlineStr">
        <is>
          <t>FY2029E</t>
        </is>
      </c>
      <c r="I10" s="14" t="inlineStr">
        <is>
          <t>FY2030E</t>
        </is>
      </c>
    </row>
    <row r="11">
      <c r="A11" s="6" t="inlineStr">
        <is>
          <t>NOPAT</t>
        </is>
      </c>
      <c r="B11" s="31" t="inlineStr">
        <is>
          <t>-</t>
        </is>
      </c>
      <c r="C11" s="31" t="inlineStr">
        <is>
          <t>-</t>
        </is>
      </c>
      <c r="D11" s="31" t="inlineStr">
        <is>
          <t>-</t>
        </is>
      </c>
      <c r="E11" s="18">
        <f>DCF!B11</f>
        <v/>
      </c>
      <c r="F11" s="18">
        <f>DCF!C11</f>
        <v/>
      </c>
      <c r="G11" s="18">
        <f>DCF!D11</f>
        <v/>
      </c>
      <c r="H11" s="18">
        <f>DCF!E11</f>
        <v/>
      </c>
      <c r="I11" s="18">
        <f>DCF!F11</f>
        <v/>
      </c>
    </row>
    <row r="12">
      <c r="A12" s="6" t="inlineStr">
        <is>
          <t>Add back depreciation and amortisation</t>
        </is>
      </c>
      <c r="B12" s="31" t="inlineStr">
        <is>
          <t>-</t>
        </is>
      </c>
      <c r="C12" s="31" t="inlineStr">
        <is>
          <t>-</t>
        </is>
      </c>
      <c r="D12" s="31" t="inlineStr">
        <is>
          <t>-</t>
        </is>
      </c>
      <c r="E12" s="18">
        <f>DCF!B12</f>
        <v/>
      </c>
      <c r="F12" s="18">
        <f>DCF!C12</f>
        <v/>
      </c>
      <c r="G12" s="18">
        <f>DCF!D12</f>
        <v/>
      </c>
      <c r="H12" s="18">
        <f>DCF!E12</f>
        <v/>
      </c>
      <c r="I12" s="18">
        <f>DCF!F12</f>
        <v/>
      </c>
    </row>
    <row r="13">
      <c r="A13" s="6" t="inlineStr">
        <is>
          <t>Less capital expenditure</t>
        </is>
      </c>
      <c r="B13" s="31" t="inlineStr">
        <is>
          <t>-</t>
        </is>
      </c>
      <c r="C13" s="31" t="inlineStr">
        <is>
          <t>-</t>
        </is>
      </c>
      <c r="D13" s="31" t="inlineStr">
        <is>
          <t>-</t>
        </is>
      </c>
      <c r="E13" s="18">
        <f>DCF!B13</f>
        <v/>
      </c>
      <c r="F13" s="18">
        <f>DCF!C13</f>
        <v/>
      </c>
      <c r="G13" s="18">
        <f>DCF!D13</f>
        <v/>
      </c>
      <c r="H13" s="18">
        <f>DCF!E13</f>
        <v/>
      </c>
      <c r="I13" s="18">
        <f>DCF!F13</f>
        <v/>
      </c>
    </row>
    <row r="14">
      <c r="A14" s="6" t="inlineStr">
        <is>
          <t>Less change in working capital</t>
        </is>
      </c>
      <c r="B14" s="31" t="inlineStr">
        <is>
          <t>-</t>
        </is>
      </c>
      <c r="C14" s="31" t="inlineStr">
        <is>
          <t>-</t>
        </is>
      </c>
      <c r="D14" s="31" t="inlineStr">
        <is>
          <t>-</t>
        </is>
      </c>
      <c r="E14" s="18">
        <f>DCF!B14</f>
        <v/>
      </c>
      <c r="F14" s="18">
        <f>DCF!C14</f>
        <v/>
      </c>
      <c r="G14" s="18">
        <f>DCF!D14</f>
        <v/>
      </c>
      <c r="H14" s="18">
        <f>DCF!E14</f>
        <v/>
      </c>
      <c r="I14" s="18">
        <f>DCF!F14</f>
        <v/>
      </c>
    </row>
    <row r="15">
      <c r="A15" s="14" t="inlineStr">
        <is>
          <t>Free cash flow to the firm</t>
        </is>
      </c>
      <c r="B15" s="32" t="inlineStr">
        <is>
          <t>-</t>
        </is>
      </c>
      <c r="C15" s="32" t="inlineStr">
        <is>
          <t>-</t>
        </is>
      </c>
      <c r="D15" s="32" t="inlineStr">
        <is>
          <t>-</t>
        </is>
      </c>
      <c r="E15" s="32">
        <f>E11+E12+E13+E14</f>
        <v/>
      </c>
      <c r="F15" s="32">
        <f>F11+F12+F13+F14</f>
        <v/>
      </c>
      <c r="G15" s="32">
        <f>G11+G12+G13+G14</f>
        <v/>
      </c>
      <c r="H15" s="32">
        <f>H11+H12+H13+H14</f>
        <v/>
      </c>
      <c r="I15" s="32">
        <f>I11+I12+I13+I14</f>
        <v/>
      </c>
    </row>
    <row r="16">
      <c r="A16" s="6" t="inlineStr">
        <is>
          <t>Less interest after tax</t>
        </is>
      </c>
      <c r="B16" s="31" t="inlineStr">
        <is>
          <t>-</t>
        </is>
      </c>
      <c r="C16" s="31" t="inlineStr">
        <is>
          <t>-</t>
        </is>
      </c>
      <c r="D16" s="31" t="inlineStr">
        <is>
          <t>-</t>
        </is>
      </c>
      <c r="E16" s="18">
        <f>'Balance Sheet'!B57</f>
        <v/>
      </c>
      <c r="F16" s="18">
        <f>'Balance Sheet'!C57</f>
        <v/>
      </c>
      <c r="G16" s="18">
        <f>'Balance Sheet'!D57</f>
        <v/>
      </c>
      <c r="H16" s="18">
        <f>'Balance Sheet'!E57</f>
        <v/>
      </c>
      <c r="I16" s="18">
        <f>'Balance Sheet'!F57</f>
        <v/>
      </c>
    </row>
    <row r="17">
      <c r="A17" s="6" t="inlineStr">
        <is>
          <t>Plus finance income after tax</t>
        </is>
      </c>
      <c r="B17" s="31" t="inlineStr">
        <is>
          <t>-</t>
        </is>
      </c>
      <c r="C17" s="31" t="inlineStr">
        <is>
          <t>-</t>
        </is>
      </c>
      <c r="D17" s="31" t="inlineStr">
        <is>
          <t>-</t>
        </is>
      </c>
      <c r="E17" s="18">
        <f>'Balance Sheet'!B58</f>
        <v/>
      </c>
      <c r="F17" s="18">
        <f>'Balance Sheet'!C58</f>
        <v/>
      </c>
      <c r="G17" s="18">
        <f>'Balance Sheet'!D58</f>
        <v/>
      </c>
      <c r="H17" s="18">
        <f>'Balance Sheet'!E58</f>
        <v/>
      </c>
      <c r="I17" s="18">
        <f>'Balance Sheet'!F58</f>
        <v/>
      </c>
    </row>
    <row r="18">
      <c r="A18" s="6" t="inlineStr">
        <is>
          <t>Less perpetual capital securities coupon</t>
        </is>
      </c>
      <c r="B18" s="31" t="inlineStr">
        <is>
          <t>-</t>
        </is>
      </c>
      <c r="C18" s="31" t="inlineStr">
        <is>
          <t>-</t>
        </is>
      </c>
      <c r="D18" s="31" t="inlineStr">
        <is>
          <t>-</t>
        </is>
      </c>
      <c r="E18" s="18">
        <f>'Balance Sheet'!B59</f>
        <v/>
      </c>
      <c r="F18" s="18">
        <f>'Balance Sheet'!C59</f>
        <v/>
      </c>
      <c r="G18" s="18">
        <f>'Balance Sheet'!D59</f>
        <v/>
      </c>
      <c r="H18" s="18">
        <f>'Balance Sheet'!E59</f>
        <v/>
      </c>
      <c r="I18" s="18">
        <f>'Balance Sheet'!F59</f>
        <v/>
      </c>
    </row>
    <row r="19">
      <c r="A19" s="14" t="inlineStr">
        <is>
          <t>Free cash flow to equity</t>
        </is>
      </c>
      <c r="B19" s="32" t="inlineStr">
        <is>
          <t>-</t>
        </is>
      </c>
      <c r="C19" s="32" t="inlineStr">
        <is>
          <t>-</t>
        </is>
      </c>
      <c r="D19" s="32" t="inlineStr">
        <is>
          <t>-</t>
        </is>
      </c>
      <c r="E19" s="32">
        <f>E15+E16+E17+E18</f>
        <v/>
      </c>
      <c r="F19" s="32">
        <f>F15+F16+F17+F18</f>
        <v/>
      </c>
      <c r="G19" s="32">
        <f>G15+G16+G17+G18</f>
        <v/>
      </c>
      <c r="H19" s="32">
        <f>H15+H16+H17+H18</f>
        <v/>
      </c>
      <c r="I19" s="32">
        <f>I15+I16+I17+I18</f>
        <v/>
      </c>
    </row>
    <row r="20">
      <c r="A20" s="6" t="inlineStr">
        <is>
          <t>Less ordinary dividends</t>
        </is>
      </c>
      <c r="B20" s="31" t="inlineStr">
        <is>
          <t>-</t>
        </is>
      </c>
      <c r="C20" s="31" t="inlineStr">
        <is>
          <t>-</t>
        </is>
      </c>
      <c r="D20" s="31" t="inlineStr">
        <is>
          <t>-</t>
        </is>
      </c>
      <c r="E20" s="18">
        <f>'Balance Sheet'!B61</f>
        <v/>
      </c>
      <c r="F20" s="18">
        <f>'Balance Sheet'!C61</f>
        <v/>
      </c>
      <c r="G20" s="18">
        <f>'Balance Sheet'!D61</f>
        <v/>
      </c>
      <c r="H20" s="18">
        <f>'Balance Sheet'!E61</f>
        <v/>
      </c>
      <c r="I20" s="18">
        <f>'Balance Sheet'!F61</f>
        <v/>
      </c>
    </row>
    <row r="21">
      <c r="A21" s="6" t="inlineStr">
        <is>
          <t>Movement in net debt (a fall is a negative)</t>
        </is>
      </c>
      <c r="B21" s="31" t="inlineStr">
        <is>
          <t>-</t>
        </is>
      </c>
      <c r="C21" s="31" t="inlineStr">
        <is>
          <t>-</t>
        </is>
      </c>
      <c r="D21" s="31" t="inlineStr">
        <is>
          <t>-</t>
        </is>
      </c>
      <c r="E21" s="31">
        <f>-E19-E20</f>
        <v/>
      </c>
      <c r="F21" s="31">
        <f>-F19-F20</f>
        <v/>
      </c>
      <c r="G21" s="31">
        <f>-G19-G20</f>
        <v/>
      </c>
      <c r="H21" s="31">
        <f>-H19-H20</f>
        <v/>
      </c>
      <c r="I21" s="31">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18">
        <f>'Income Statement'!B14</f>
        <v/>
      </c>
      <c r="C7" s="18">
        <f>'Income Statement'!C14</f>
        <v/>
      </c>
      <c r="D7" s="18">
        <f>'Income Statement'!D14</f>
        <v/>
      </c>
      <c r="E7" s="18">
        <f>'Income Statement'!E14</f>
        <v/>
      </c>
      <c r="F7" s="18">
        <f>'Income Statement'!F14</f>
        <v/>
      </c>
      <c r="G7" s="18">
        <f>'Income Statement'!G14</f>
        <v/>
      </c>
      <c r="H7" s="18">
        <f>'Income Statement'!H14</f>
        <v/>
      </c>
      <c r="I7" s="18">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18">
        <f>'Income Statement'!B12</f>
        <v/>
      </c>
      <c r="C9" s="18">
        <f>'Income Statement'!C12</f>
        <v/>
      </c>
      <c r="D9" s="18">
        <f>'Income Statement'!D12</f>
        <v/>
      </c>
      <c r="E9" s="18">
        <f>'Income Statement'!E12</f>
        <v/>
      </c>
      <c r="F9" s="18">
        <f>'Income Statement'!F12</f>
        <v/>
      </c>
      <c r="G9" s="18">
        <f>'Income Statement'!G12</f>
        <v/>
      </c>
      <c r="H9" s="18">
        <f>'Income Statement'!H12</f>
        <v/>
      </c>
      <c r="I9" s="18">
        <f>'Income Statement'!I12</f>
        <v/>
      </c>
    </row>
    <row r="10">
      <c r="A10" s="6" t="inlineStr">
        <is>
          <t>Depreciation and amortisation</t>
        </is>
      </c>
      <c r="B10" s="18">
        <f>'Income Statement'!B13</f>
        <v/>
      </c>
      <c r="C10" s="18">
        <f>'Income Statement'!C13</f>
        <v/>
      </c>
      <c r="D10" s="18">
        <f>'Income Statement'!D13</f>
        <v/>
      </c>
      <c r="E10" s="18">
        <f>'Income Statement'!E13</f>
        <v/>
      </c>
      <c r="F10" s="18">
        <f>'Income Statement'!F13</f>
        <v/>
      </c>
      <c r="G10" s="18">
        <f>'Income Statement'!G13</f>
        <v/>
      </c>
      <c r="H10" s="18">
        <f>'Income Statement'!H13</f>
        <v/>
      </c>
      <c r="I10" s="18">
        <f>'Income Statement'!I13</f>
        <v/>
      </c>
    </row>
    <row r="11">
      <c r="A11" s="6" t="inlineStr">
        <is>
          <t>Profit attributable to shareholders</t>
        </is>
      </c>
      <c r="B11" s="18">
        <f>'Income Statement'!B28</f>
        <v/>
      </c>
      <c r="C11" s="18">
        <f>'Income Statement'!C28</f>
        <v/>
      </c>
      <c r="D11" s="18">
        <f>'Income Statement'!D28</f>
        <v/>
      </c>
      <c r="E11" s="18">
        <f>'Income Statement'!E28</f>
        <v/>
      </c>
      <c r="F11" s="18">
        <f>'Income Statement'!F28</f>
        <v/>
      </c>
      <c r="G11" s="18">
        <f>'Income Statement'!G28</f>
        <v/>
      </c>
      <c r="H11" s="18">
        <f>'Income Statement'!H28</f>
        <v/>
      </c>
      <c r="I11" s="18">
        <f>'Income Statement'!I28</f>
        <v/>
      </c>
    </row>
    <row r="12">
      <c r="A12" s="6" t="inlineStr">
        <is>
          <t>Earnings attributable to ordinary shareholders</t>
        </is>
      </c>
      <c r="B12" s="18">
        <f>'Income Statement'!B30</f>
        <v/>
      </c>
      <c r="C12" s="18">
        <f>'Income Statement'!C30</f>
        <v/>
      </c>
      <c r="D12" s="18">
        <f>'Income Statement'!D30</f>
        <v/>
      </c>
      <c r="E12" s="18">
        <f>'Income Statement'!E30</f>
        <v/>
      </c>
      <c r="F12" s="18">
        <f>'Income Statement'!F30</f>
        <v/>
      </c>
      <c r="G12" s="18">
        <f>'Income Statement'!G30</f>
        <v/>
      </c>
      <c r="H12" s="18">
        <f>'Income Statement'!H30</f>
        <v/>
      </c>
      <c r="I12" s="18">
        <f>'Income Statement'!I30</f>
        <v/>
      </c>
    </row>
    <row r="13">
      <c r="A13" s="6" t="inlineStr">
        <is>
          <t>Earnings per ordinary share (AED)</t>
        </is>
      </c>
      <c r="B13" s="45">
        <f>'Income Statement'!B32</f>
        <v/>
      </c>
      <c r="C13" s="45">
        <f>'Income Statement'!C32</f>
        <v/>
      </c>
      <c r="D13" s="45">
        <f>'Income Statement'!D32</f>
        <v/>
      </c>
      <c r="E13" s="45">
        <f>'Income Statement'!E32</f>
        <v/>
      </c>
      <c r="F13" s="45">
        <f>'Income Statement'!F32</f>
        <v/>
      </c>
      <c r="G13" s="45">
        <f>'Income Statement'!G32</f>
        <v/>
      </c>
      <c r="H13" s="45">
        <f>'Income Statement'!H32</f>
        <v/>
      </c>
      <c r="I13" s="45">
        <f>'Income Statement'!I32</f>
        <v/>
      </c>
    </row>
    <row r="14">
      <c r="A14" s="6" t="inlineStr">
        <is>
          <t>Free cash flow to the firm</t>
        </is>
      </c>
      <c r="B14" s="31" t="inlineStr">
        <is>
          <t>-</t>
        </is>
      </c>
      <c r="C14" s="31" t="inlineStr">
        <is>
          <t>-</t>
        </is>
      </c>
      <c r="D14" s="31" t="inlineStr">
        <is>
          <t>-</t>
        </is>
      </c>
      <c r="E14" s="18">
        <f>'Cash Flow'!E15</f>
        <v/>
      </c>
      <c r="F14" s="18">
        <f>'Cash Flow'!F15</f>
        <v/>
      </c>
      <c r="G14" s="18">
        <f>'Cash Flow'!G15</f>
        <v/>
      </c>
      <c r="H14" s="18">
        <f>'Cash Flow'!H15</f>
        <v/>
      </c>
      <c r="I14" s="18">
        <f>'Cash Flow'!I15</f>
        <v/>
      </c>
    </row>
    <row r="15">
      <c r="A15" s="6" t="inlineStr">
        <is>
          <t>Capital expenditure</t>
        </is>
      </c>
      <c r="B15" s="18">
        <f>'Cash Flow'!B7</f>
        <v/>
      </c>
      <c r="C15" s="18">
        <f>'Cash Flow'!C7</f>
        <v/>
      </c>
      <c r="D15" s="18">
        <f>'Cash Flow'!D7</f>
        <v/>
      </c>
      <c r="E15" s="18">
        <f>'Cash Flow'!E7</f>
        <v/>
      </c>
      <c r="F15" s="18">
        <f>'Cash Flow'!F7</f>
        <v/>
      </c>
      <c r="G15" s="18">
        <f>'Cash Flow'!G7</f>
        <v/>
      </c>
      <c r="H15" s="18">
        <f>'Cash Flow'!H7</f>
        <v/>
      </c>
      <c r="I15" s="18">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18">
        <f>'Balance Sheet'!B16</f>
        <v/>
      </c>
      <c r="C17" s="18">
        <f>'Balance Sheet'!C16</f>
        <v/>
      </c>
      <c r="D17" s="18">
        <f>'Balance Sheet'!D16</f>
        <v/>
      </c>
      <c r="E17" s="18">
        <f>'Balance Sheet'!E16</f>
        <v/>
      </c>
      <c r="F17" s="18">
        <f>'Balance Sheet'!F16</f>
        <v/>
      </c>
      <c r="G17" s="18">
        <f>'Balance Sheet'!G16</f>
        <v/>
      </c>
      <c r="H17" s="18">
        <f>'Balance Sheet'!H16</f>
        <v/>
      </c>
      <c r="I17" s="18">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18">
        <f>'Balance Sheet'!B18</f>
        <v/>
      </c>
      <c r="C19" s="18">
        <f>'Balance Sheet'!C18</f>
        <v/>
      </c>
      <c r="D19" s="18">
        <f>'Balance Sheet'!D18</f>
        <v/>
      </c>
      <c r="E19" s="18">
        <f>'Balance Sheet'!E18</f>
        <v/>
      </c>
      <c r="F19" s="18">
        <f>'Balance Sheet'!F18</f>
        <v/>
      </c>
      <c r="G19" s="18">
        <f>'Balance Sheet'!G18</f>
        <v/>
      </c>
      <c r="H19" s="18">
        <f>'Balance Sheet'!H18</f>
        <v/>
      </c>
      <c r="I19" s="18">
        <f>'Balance Sheet'!I18</f>
        <v/>
      </c>
    </row>
    <row r="20">
      <c r="A20" s="6" t="inlineStr">
        <is>
          <t>Net debt / EBITDA</t>
        </is>
      </c>
      <c r="B20" s="35">
        <f>'Balance Sheet'!B23</f>
        <v/>
      </c>
      <c r="C20" s="35">
        <f>'Balance Sheet'!C23</f>
        <v/>
      </c>
      <c r="D20" s="35">
        <f>'Balance Sheet'!D23</f>
        <v/>
      </c>
      <c r="E20" s="35">
        <f>'Balance Sheet'!E23</f>
        <v/>
      </c>
      <c r="F20" s="35">
        <f>'Balance Sheet'!F23</f>
        <v/>
      </c>
      <c r="G20" s="35">
        <f>'Balance Sheet'!G23</f>
        <v/>
      </c>
      <c r="H20" s="35">
        <f>'Balance Sheet'!H23</f>
        <v/>
      </c>
      <c r="I20" s="35">
        <f>'Balance Sheet'!I23</f>
        <v/>
      </c>
    </row>
    <row r="21">
      <c r="A21" s="6" t="inlineStr">
        <is>
          <t>Equity attributable to shareholders</t>
        </is>
      </c>
      <c r="B21" s="18">
        <f>'Balance Sheet'!B21</f>
        <v/>
      </c>
      <c r="C21" s="18">
        <f>'Balance Sheet'!C21</f>
        <v/>
      </c>
      <c r="D21" s="18">
        <f>'Balance Sheet'!D21</f>
        <v/>
      </c>
      <c r="E21" s="18">
        <f>'Balance Sheet'!E21</f>
        <v/>
      </c>
      <c r="F21" s="18">
        <f>'Balance Sheet'!F21</f>
        <v/>
      </c>
      <c r="G21" s="18">
        <f>'Balance Sheet'!G21</f>
        <v/>
      </c>
      <c r="H21" s="18">
        <f>'Balance Sheet'!H21</f>
        <v/>
      </c>
      <c r="I21" s="18">
        <f>'Balance Sheet'!I21</f>
        <v/>
      </c>
    </row>
    <row r="22">
      <c r="A22" s="6" t="inlineStr">
        <is>
          <t>Invested capital</t>
        </is>
      </c>
      <c r="B22" s="18">
        <f>'Balance Sheet'!B26</f>
        <v/>
      </c>
      <c r="C22" s="18">
        <f>'Balance Sheet'!C26</f>
        <v/>
      </c>
      <c r="D22" s="18">
        <f>'Balance Sheet'!D26</f>
        <v/>
      </c>
      <c r="E22" s="18">
        <f>'Balance Sheet'!E26</f>
        <v/>
      </c>
      <c r="F22" s="18">
        <f>'Balance Sheet'!F26</f>
        <v/>
      </c>
      <c r="G22" s="18">
        <f>'Balance Sheet'!G26</f>
        <v/>
      </c>
      <c r="H22" s="18">
        <f>'Balance Sheet'!H26</f>
        <v/>
      </c>
      <c r="I22" s="18">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1" t="n">
        <v>5.474008898785125</v>
      </c>
      <c r="C5" s="21" t="n">
        <v>5.88933321848616</v>
      </c>
      <c r="D5" s="21" t="n">
        <v>6.164121008679707</v>
      </c>
      <c r="E5" s="21" t="n">
        <v>6.453225115627275</v>
      </c>
      <c r="F5" s="21" t="n">
        <v>6.92808563076805</v>
      </c>
      <c r="G5" s="30" t="n">
        <v>0.50406</v>
      </c>
    </row>
    <row r="6">
      <c r="A6" s="6" t="inlineStr">
        <is>
          <t>Three months — graded 2026-11-09</t>
        </is>
      </c>
      <c r="B6" s="21" t="n">
        <v>4.945077982333779</v>
      </c>
      <c r="C6" s="21" t="n">
        <v>5.672464109137894</v>
      </c>
      <c r="D6" s="21" t="n">
        <v>6.178480100840813</v>
      </c>
      <c r="E6" s="21" t="n">
        <v>6.727685936316127</v>
      </c>
      <c r="F6" s="21" t="n">
        <v>7.728370123428927</v>
      </c>
      <c r="G6" s="30" t="n">
        <v>0.5092</v>
      </c>
    </row>
    <row r="8">
      <c r="A8" s="5" t="inlineStr">
        <is>
          <t>Level event</t>
        </is>
      </c>
      <c r="B8" s="5" t="inlineStr">
        <is>
          <t>One month</t>
        </is>
      </c>
      <c r="C8" s="5" t="inlineStr">
        <is>
          <t>Three months</t>
        </is>
      </c>
    </row>
    <row r="9">
      <c r="A9" s="6" t="inlineStr">
        <is>
          <t>Finishes 10% or more above spot</t>
        </is>
      </c>
      <c r="B9" s="30" t="n">
        <v>0.08631999999999999</v>
      </c>
      <c r="C9" s="30" t="n">
        <v>0.23286</v>
      </c>
    </row>
    <row r="10">
      <c r="A10" s="6" t="inlineStr">
        <is>
          <t>Finishes 10% or more below spot</t>
        </is>
      </c>
      <c r="B10" s="30" t="n">
        <v>0.06752</v>
      </c>
      <c r="C10" s="30" t="n">
        <v>0.19752</v>
      </c>
    </row>
    <row r="11">
      <c r="A11" s="6" t="inlineStr">
        <is>
          <t>Touches 10% above spot at any point</t>
        </is>
      </c>
      <c r="B11" s="30" t="n">
        <v>0.14278</v>
      </c>
      <c r="C11" s="30" t="n">
        <v>0.42208</v>
      </c>
    </row>
    <row r="12">
      <c r="A12" s="6" t="inlineStr">
        <is>
          <t>Touches 10% below spot at any point</t>
        </is>
      </c>
      <c r="B12" s="30" t="n">
        <v>0.11002</v>
      </c>
      <c r="C12" s="30" t="n">
        <v>0.3644</v>
      </c>
    </row>
    <row r="14">
      <c r="A14" s="5" t="inlineStr">
        <is>
          <t>Engine setting</t>
        </is>
      </c>
      <c r="B14" s="5" t="inlineStr"/>
      <c r="C14" s="5" t="inlineStr">
        <is>
          <t>Value</t>
        </is>
      </c>
    </row>
    <row r="15">
      <c r="A15" s="6" t="inlineStr">
        <is>
          <t>Simulated paths</t>
        </is>
      </c>
      <c r="C15" s="27" t="n">
        <v>50000</v>
      </c>
    </row>
    <row r="16">
      <c r="A16" s="6" t="inlineStr">
        <is>
          <t>Annualised volatility (three-month anchor)</t>
        </is>
      </c>
      <c r="C16" s="30" t="n">
        <v>0.2817324653066295</v>
      </c>
    </row>
    <row r="17">
      <c r="A17" s="6" t="inlineStr">
        <is>
          <t>Spot price (AED)</t>
        </is>
      </c>
      <c r="C17" s="7">
        <f>Summary!$C$16</f>
        <v/>
      </c>
    </row>
    <row r="18">
      <c r="A18" s="6" t="inlineStr">
        <is>
          <t>Anchor date</t>
        </is>
      </c>
      <c r="C18" s="46" t="inlineStr">
        <is>
          <t>2026-08-07</t>
        </is>
      </c>
    </row>
    <row r="19">
      <c r="A19" s="6" t="inlineStr">
        <is>
          <t>Calibration verdict on the five-year walk-forward</t>
        </is>
      </c>
      <c r="C19" s="46" t="inlineStr">
        <is>
          <t>PARITY</t>
        </is>
      </c>
    </row>
    <row r="21">
      <c r="A21" s="4" t="inlineStr">
        <is>
          <t>The price map is a dispersion forecast from the price series alone. It is deliberately not reconciled to the valuation lenses: one is a statement about what a price could do over weeks, the other about what a business is worth.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4" t="n"/>
      <c r="C4" s="14" t="n"/>
      <c r="D4" s="14" t="n"/>
      <c r="E4" s="14" t="n"/>
      <c r="F4" s="14" t="n"/>
      <c r="G4" s="14" t="n"/>
      <c r="H4" s="14" t="n"/>
    </row>
    <row r="5">
      <c r="A5" s="5" t="inlineStr">
        <is>
          <t>Beta</t>
        </is>
      </c>
      <c r="B5" s="5" t="inlineStr">
        <is>
          <t>1.0%</t>
        </is>
      </c>
      <c r="C5" s="5" t="inlineStr">
        <is>
          <t>1.5%</t>
        </is>
      </c>
      <c r="D5" s="5" t="inlineStr">
        <is>
          <t>2.0%</t>
        </is>
      </c>
      <c r="E5" s="5" t="inlineStr">
        <is>
          <t>2.5%</t>
        </is>
      </c>
    </row>
    <row r="6">
      <c r="A6" s="6" t="inlineStr">
        <is>
          <t>0.705</t>
        </is>
      </c>
      <c r="B6" s="21" t="n">
        <v>7.545680996606645</v>
      </c>
      <c r="C6" s="21" t="n">
        <v>7.931348061513757</v>
      </c>
      <c r="D6" s="21" t="n">
        <v>8.398472715396702</v>
      </c>
      <c r="E6" s="21" t="n">
        <v>8.977536366227794</v>
      </c>
    </row>
    <row r="7">
      <c r="A7" s="6" t="inlineStr">
        <is>
          <t>0.900</t>
        </is>
      </c>
      <c r="B7" s="21" t="n">
        <v>6.283565631675469</v>
      </c>
      <c r="C7" s="21" t="n">
        <v>6.519104656680824</v>
      </c>
      <c r="D7" s="21" t="n">
        <v>6.795132335801774</v>
      </c>
      <c r="E7" s="21" t="n">
        <v>7.124094206639689</v>
      </c>
    </row>
    <row r="8">
      <c r="A8" s="6" t="inlineStr">
        <is>
          <t>1.085</t>
        </is>
      </c>
      <c r="B8" s="21" t="n">
        <v>5.369137616541499</v>
      </c>
      <c r="C8" s="21" t="n">
        <v>5.518897207717134</v>
      </c>
      <c r="D8" s="21" t="n">
        <v>5.690033756953623</v>
      </c>
      <c r="E8" s="21" t="n">
        <v>5.888166311203</v>
      </c>
    </row>
    <row r="9">
      <c r="A9" s="6" t="inlineStr">
        <is>
          <t>1.250</t>
        </is>
      </c>
      <c r="B9" s="21" t="n">
        <v>4.714750523785993</v>
      </c>
      <c r="C9" s="21" t="n">
        <v>4.814547320478896</v>
      </c>
      <c r="D9" s="21" t="n">
        <v>4.926333903107382</v>
      </c>
      <c r="E9" s="21" t="n">
        <v>5.05290125339436</v>
      </c>
    </row>
    <row r="10">
      <c r="A10" s="6" t="inlineStr">
        <is>
          <t>1.412</t>
        </is>
      </c>
      <c r="B10" s="21" t="n">
        <v>4.181085324391071</v>
      </c>
      <c r="C10" s="21" t="n">
        <v>4.24697992822436</v>
      </c>
      <c r="D10" s="21" t="n">
        <v>4.319377618424721</v>
      </c>
      <c r="E10" s="21" t="n">
        <v>4.399639302029021</v>
      </c>
    </row>
    <row r="11">
      <c r="A11" s="4" t="inlineStr">
        <is>
          <t>The beta rows are not evenly spaced round numbers. They span the two index constructions and the interval around the adopted one: 0.705 is the equal-weight composite of the exchange's own names, 1.085 is the adopted regression against the exchange's published index, and 1.412 is the top of that regression's own 90% confidence interval (its bottom, 0.758, sits just above the composite reading). The terminal growth column at 2.0% is the one the model runs on, so the cell where that column meets the 1.085 row is the published cash-flow value.</t>
        </is>
      </c>
    </row>
    <row r="12">
      <c r="A12" s="11" t="inlineStr">
        <is>
          <t>Mid-cycle tanker rate anchor, as a multiple of the base anchor</t>
        </is>
      </c>
      <c r="B12" s="14" t="n"/>
      <c r="C12" s="14" t="n"/>
      <c r="D12" s="14" t="n"/>
      <c r="E12" s="14" t="n"/>
      <c r="F12" s="14" t="n"/>
      <c r="G12" s="14" t="n"/>
      <c r="H12" s="14"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1" t="n">
        <v>4.839888773483615</v>
      </c>
      <c r="C14" s="21" t="n">
        <v>5.264961265218619</v>
      </c>
      <c r="D14" s="21" t="n">
        <v>5.690033756953623</v>
      </c>
      <c r="E14" s="21" t="n">
        <v>6.115106248688621</v>
      </c>
      <c r="F14" s="21" t="n">
        <v>6.540178740423624</v>
      </c>
    </row>
    <row r="15">
      <c r="A15" s="6" t="inlineStr">
        <is>
          <t>Swing across the grid</t>
        </is>
      </c>
      <c r="C15" s="9">
        <f>MAX(B14:F14)-MIN(B14:F14)</f>
        <v/>
      </c>
    </row>
    <row r="17">
      <c r="A17" s="11" t="inlineStr">
        <is>
          <t>Capital expenditure, as a multiple of the guided path</t>
        </is>
      </c>
      <c r="B17" s="14" t="n"/>
      <c r="C17" s="14" t="n"/>
      <c r="D17" s="14" t="n"/>
      <c r="E17" s="14" t="n"/>
      <c r="F17" s="14" t="n"/>
      <c r="G17" s="14" t="n"/>
      <c r="H17" s="14" t="n"/>
    </row>
    <row r="18">
      <c r="A18" s="5" t="inlineStr"/>
      <c r="B18" s="5" t="inlineStr">
        <is>
          <t>0.90x</t>
        </is>
      </c>
      <c r="C18" s="5" t="inlineStr">
        <is>
          <t>1.00x</t>
        </is>
      </c>
      <c r="D18" s="5" t="inlineStr">
        <is>
          <t>1.10x</t>
        </is>
      </c>
      <c r="E18" s="5" t="inlineStr">
        <is>
          <t>1.20x</t>
        </is>
      </c>
    </row>
    <row r="19">
      <c r="A19" s="6" t="inlineStr">
        <is>
          <t>Fair value per share (AED)</t>
        </is>
      </c>
      <c r="B19" s="21" t="n">
        <v>6.080954150614569</v>
      </c>
      <c r="C19" s="21" t="n">
        <v>5.690033756953623</v>
      </c>
      <c r="D19" s="21" t="n">
        <v>5.299113363292675</v>
      </c>
      <c r="E19" s="21" t="n">
        <v>4.908192969631731</v>
      </c>
    </row>
    <row r="20">
      <c r="A20" s="6" t="inlineStr">
        <is>
          <t>Swing across the grid</t>
        </is>
      </c>
      <c r="C20" s="9">
        <f>MAX(B19:E19)-MIN(B19:E19)</f>
        <v/>
      </c>
    </row>
    <row r="22">
      <c r="A22" s="11" t="inlineStr">
        <is>
          <t>A uniform group tax rate — the global-minimum-tax case</t>
        </is>
      </c>
      <c r="B22" s="14" t="n"/>
      <c r="C22" s="14" t="n"/>
      <c r="D22" s="14" t="n"/>
      <c r="E22" s="14" t="n"/>
      <c r="F22" s="14" t="n"/>
      <c r="G22" s="14" t="n"/>
      <c r="H22" s="14" t="n"/>
    </row>
    <row r="23">
      <c r="A23" s="5" t="inlineStr"/>
      <c r="B23" s="5" t="inlineStr">
        <is>
          <t>5%</t>
        </is>
      </c>
      <c r="C23" s="5" t="inlineStr">
        <is>
          <t>9%</t>
        </is>
      </c>
      <c r="D23" s="5" t="inlineStr">
        <is>
          <t>15%</t>
        </is>
      </c>
    </row>
    <row r="24">
      <c r="A24" s="6" t="inlineStr">
        <is>
          <t>Fair value per share (AED)</t>
        </is>
      </c>
      <c r="B24" s="21" t="n">
        <v>5.664303093467798</v>
      </c>
      <c r="C24" s="21" t="n">
        <v>5.282629999295614</v>
      </c>
      <c r="D24" s="21" t="n">
        <v>4.710120358037337</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4" t="n"/>
      <c r="C27" s="14" t="n"/>
      <c r="D27" s="14" t="n"/>
      <c r="E27" s="14" t="n"/>
      <c r="F27" s="14" t="n"/>
      <c r="G27" s="14" t="n"/>
      <c r="H27" s="14" t="n"/>
    </row>
    <row r="28">
      <c r="A28" s="6" t="inlineStr">
        <is>
          <t>One-year time charter fixed in early 2026, very large crude carrier (USD per day)</t>
        </is>
      </c>
      <c r="C28" s="27" t="n">
        <v>76900</v>
      </c>
    </row>
    <row r="29">
      <c r="A29" s="6" t="inlineStr">
        <is>
          <t>Broker spot print for the same vessel class (USD per day)</t>
        </is>
      </c>
      <c r="C29" s="27"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18">
        <f>Segments!B42</f>
        <v/>
      </c>
      <c r="C31" s="18">
        <f>Segments!C42</f>
        <v/>
      </c>
      <c r="D31" s="18">
        <f>Segments!D42</f>
        <v/>
      </c>
      <c r="E31" s="18">
        <f>Segments!E42</f>
        <v/>
      </c>
      <c r="F31" s="18">
        <f>Segments!F42</f>
        <v/>
      </c>
    </row>
    <row r="32">
      <c r="A32" s="6" t="inlineStr">
        <is>
          <t>The study's 2027 path over the one-year time charter</t>
        </is>
      </c>
      <c r="C32" s="33">
        <f>C31/C28</f>
        <v/>
      </c>
    </row>
    <row r="33">
      <c r="A33" s="6" t="inlineStr">
        <is>
          <t>Crude tanker order book as a share of the trading fleet</t>
        </is>
      </c>
      <c r="C33" s="30"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0">
        <f>'Income Statement'!B31</f>
        <v/>
      </c>
      <c r="C5" s="40">
        <f>'Income Statement'!C31</f>
        <v/>
      </c>
      <c r="D5" s="40">
        <f>'Income Statement'!D31</f>
        <v/>
      </c>
      <c r="E5" s="40">
        <f>'Income Statement'!E31</f>
        <v/>
      </c>
      <c r="F5" s="40">
        <f>'Income Statement'!F31</f>
        <v/>
      </c>
      <c r="G5" s="40">
        <f>'Income Statement'!G31</f>
        <v/>
      </c>
      <c r="H5" s="40">
        <f>'Income Statement'!H31</f>
        <v/>
      </c>
      <c r="I5" s="40">
        <f>'Income Statement'!I31</f>
        <v/>
      </c>
    </row>
    <row r="6">
      <c r="A6" s="6" t="inlineStr">
        <is>
          <t>Earnings per ordinary share (AED)</t>
        </is>
      </c>
      <c r="B6" s="40">
        <f>'Income Statement'!B32</f>
        <v/>
      </c>
      <c r="C6" s="40">
        <f>'Income Statement'!C32</f>
        <v/>
      </c>
      <c r="D6" s="40">
        <f>'Income Statement'!D32</f>
        <v/>
      </c>
      <c r="E6" s="40">
        <f>'Income Statement'!E32</f>
        <v/>
      </c>
      <c r="F6" s="40">
        <f>'Income Statement'!F32</f>
        <v/>
      </c>
      <c r="G6" s="40">
        <f>'Income Statement'!G32</f>
        <v/>
      </c>
      <c r="H6" s="40">
        <f>'Income Statement'!H32</f>
        <v/>
      </c>
      <c r="I6" s="40">
        <f>'Income Statement'!I32</f>
        <v/>
      </c>
    </row>
    <row r="7">
      <c r="A7" s="6" t="inlineStr">
        <is>
          <t>Attributable profit per share (AED, before the perpetual coupon)</t>
        </is>
      </c>
      <c r="B7" s="40">
        <f>'Income Statement'!B28/Assumptions!$C$6/1000*Assumptions!$C$7</f>
        <v/>
      </c>
      <c r="C7" s="40">
        <f>'Income Statement'!C28/Assumptions!$C$6/1000*Assumptions!$C$7</f>
        <v/>
      </c>
      <c r="D7" s="40">
        <f>'Income Statement'!D28/Assumptions!$C$6/1000*Assumptions!$C$7</f>
        <v/>
      </c>
      <c r="E7" s="40">
        <f>'Income Statement'!E28/Assumptions!$C$6/1000*Assumptions!$C$7</f>
        <v/>
      </c>
      <c r="F7" s="40">
        <f>'Income Statement'!F28/Assumptions!$C$6/1000*Assumptions!$C$7</f>
        <v/>
      </c>
      <c r="G7" s="40">
        <f>'Income Statement'!G28/Assumptions!$C$6/1000*Assumptions!$C$7</f>
        <v/>
      </c>
      <c r="H7" s="40">
        <f>'Income Statement'!H28/Assumptions!$C$6/1000*Assumptions!$C$7</f>
        <v/>
      </c>
      <c r="I7" s="40">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0" t="inlineStr">
        <is>
          <t>-</t>
        </is>
      </c>
      <c r="C9" s="40" t="inlineStr">
        <is>
          <t>-</t>
        </is>
      </c>
      <c r="D9" s="40" t="inlineStr">
        <is>
          <t>-</t>
        </is>
      </c>
      <c r="E9" s="40">
        <f>'Cash Flow'!E15/Assumptions!$C$6/1000*Assumptions!$C$7</f>
        <v/>
      </c>
      <c r="F9" s="40">
        <f>'Cash Flow'!F15/Assumptions!$C$6/1000*Assumptions!$C$7</f>
        <v/>
      </c>
      <c r="G9" s="40">
        <f>'Cash Flow'!G15/Assumptions!$C$6/1000*Assumptions!$C$7</f>
        <v/>
      </c>
      <c r="H9" s="40">
        <f>'Cash Flow'!H15/Assumptions!$C$6/1000*Assumptions!$C$7</f>
        <v/>
      </c>
      <c r="I9" s="40">
        <f>'Cash Flow'!I15/Assumptions!$C$6/1000*Assumptions!$C$7</f>
        <v/>
      </c>
    </row>
    <row r="10">
      <c r="A10" s="6" t="inlineStr">
        <is>
          <t>Ordinary dividend per share (AED)</t>
        </is>
      </c>
      <c r="B10" s="40" t="inlineStr">
        <is>
          <t>-</t>
        </is>
      </c>
      <c r="C10" s="40" t="inlineStr">
        <is>
          <t>-</t>
        </is>
      </c>
      <c r="D10" s="40" t="inlineStr">
        <is>
          <t>-</t>
        </is>
      </c>
      <c r="E10" s="40">
        <f>'Balance Sheet'!B70*Assumptions!$C$7</f>
        <v/>
      </c>
      <c r="F10" s="40">
        <f>'Balance Sheet'!C70*Assumptions!$C$7</f>
        <v/>
      </c>
      <c r="G10" s="40">
        <f>'Balance Sheet'!D70*Assumptions!$C$7</f>
        <v/>
      </c>
      <c r="H10" s="40">
        <f>'Balance Sheet'!E70*Assumptions!$C$7</f>
        <v/>
      </c>
      <c r="I10" s="40">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33">
        <f>'Balance Sheet'!B23</f>
        <v/>
      </c>
      <c r="C18" s="33">
        <f>'Balance Sheet'!C23</f>
        <v/>
      </c>
      <c r="D18" s="33">
        <f>'Balance Sheet'!D23</f>
        <v/>
      </c>
      <c r="E18" s="33">
        <f>'Balance Sheet'!E23</f>
        <v/>
      </c>
      <c r="F18" s="33">
        <f>'Balance Sheet'!F23</f>
        <v/>
      </c>
      <c r="G18" s="33">
        <f>'Balance Sheet'!G23</f>
        <v/>
      </c>
      <c r="H18" s="33">
        <f>'Balance Sheet'!H23</f>
        <v/>
      </c>
      <c r="I18" s="33">
        <f>'Balance Sheet'!I23</f>
        <v/>
      </c>
    </row>
    <row r="19">
      <c r="A19" s="6" t="inlineStr">
        <is>
          <t>Interest cover (EBIT over finance costs)</t>
        </is>
      </c>
      <c r="B19" s="33">
        <f>-'Income Statement'!B12/'Income Statement'!B23</f>
        <v/>
      </c>
      <c r="C19" s="33">
        <f>-'Income Statement'!C12/'Income Statement'!C23</f>
        <v/>
      </c>
      <c r="D19" s="33">
        <f>-'Income Statement'!D12/'Income Statement'!D23</f>
        <v/>
      </c>
      <c r="E19" s="33">
        <f>-'Income Statement'!E12/'Income Statement'!E23</f>
        <v/>
      </c>
      <c r="F19" s="33">
        <f>-'Income Statement'!F12/'Income Statement'!F23</f>
        <v/>
      </c>
      <c r="G19" s="33">
        <f>-'Income Statement'!G12/'Income Statement'!G23</f>
        <v/>
      </c>
      <c r="H19" s="33">
        <f>-'Income Statement'!H12/'Income Statement'!H23</f>
        <v/>
      </c>
      <c r="I19" s="33">
        <f>-'Income Statement'!I12/'Income Statement'!I23</f>
        <v/>
      </c>
    </row>
    <row r="20">
      <c r="A20" s="6" t="inlineStr">
        <is>
          <t>Days sales outstanding</t>
        </is>
      </c>
      <c r="B20" s="38">
        <f>'Balance Sheet'!B12/'Income Statement'!B5*365</f>
        <v/>
      </c>
      <c r="C20" s="38">
        <f>'Balance Sheet'!C12/'Income Statement'!C5*365</f>
        <v/>
      </c>
      <c r="D20" s="38">
        <f>'Balance Sheet'!D12/'Income Statement'!D5*365</f>
        <v/>
      </c>
      <c r="E20" s="38">
        <f>'Balance Sheet'!E12/'Income Statement'!E5*365</f>
        <v/>
      </c>
      <c r="F20" s="38">
        <f>'Balance Sheet'!F12/'Income Statement'!F5*365</f>
        <v/>
      </c>
      <c r="G20" s="38">
        <f>'Balance Sheet'!G12/'Income Statement'!G5*365</f>
        <v/>
      </c>
      <c r="H20" s="38">
        <f>'Balance Sheet'!H12/'Income Statement'!H5*365</f>
        <v/>
      </c>
      <c r="I20" s="38">
        <f>'Balance Sheet'!I12/'Income Statement'!I5*365</f>
        <v/>
      </c>
    </row>
    <row r="21">
      <c r="A21" s="6" t="inlineStr">
        <is>
          <t>Days inventory outstanding</t>
        </is>
      </c>
      <c r="B21" s="38">
        <f>'Balance Sheet'!B11/'Income Statement'!B17*365</f>
        <v/>
      </c>
      <c r="C21" s="38">
        <f>'Balance Sheet'!C11/'Income Statement'!C17*365</f>
        <v/>
      </c>
      <c r="D21" s="38">
        <f>'Balance Sheet'!D11/'Income Statement'!D17*365</f>
        <v/>
      </c>
      <c r="E21" s="38">
        <f>'Balance Sheet'!E11/'Income Statement'!E17*365</f>
        <v/>
      </c>
      <c r="F21" s="38">
        <f>'Balance Sheet'!F11/'Income Statement'!F17*365</f>
        <v/>
      </c>
      <c r="G21" s="38">
        <f>'Balance Sheet'!G11/'Income Statement'!G17*365</f>
        <v/>
      </c>
      <c r="H21" s="38">
        <f>'Balance Sheet'!H11/'Income Statement'!H17*365</f>
        <v/>
      </c>
      <c r="I21" s="38">
        <f>'Balance Sheet'!I11/'Income Statement'!I17*365</f>
        <v/>
      </c>
    </row>
    <row r="22">
      <c r="A22" s="6" t="inlineStr">
        <is>
          <t>Days payable outstanding</t>
        </is>
      </c>
      <c r="B22" s="38">
        <f>'Balance Sheet'!B15/'Income Statement'!B17*365</f>
        <v/>
      </c>
      <c r="C22" s="38">
        <f>'Balance Sheet'!C15/'Income Statement'!C17*365</f>
        <v/>
      </c>
      <c r="D22" s="38">
        <f>'Balance Sheet'!D15/'Income Statement'!D17*365</f>
        <v/>
      </c>
      <c r="E22" s="38">
        <f>'Balance Sheet'!E15/'Income Statement'!E17*365</f>
        <v/>
      </c>
      <c r="F22" s="38">
        <f>'Balance Sheet'!F15/'Income Statement'!F17*365</f>
        <v/>
      </c>
      <c r="G22" s="38">
        <f>'Balance Sheet'!G15/'Income Statement'!G17*365</f>
        <v/>
      </c>
      <c r="H22" s="38">
        <f>'Balance Sheet'!H15/'Income Statement'!H17*365</f>
        <v/>
      </c>
      <c r="I22" s="38">
        <f>'Balance Sheet'!I15/'Income Statement'!I17*365</f>
        <v/>
      </c>
    </row>
    <row r="23">
      <c r="A23" s="6" t="inlineStr">
        <is>
          <t>Cash conversion cycle (days)</t>
        </is>
      </c>
      <c r="B23" s="38">
        <f>B20+B21-B22</f>
        <v/>
      </c>
      <c r="C23" s="38">
        <f>C20+C21-C22</f>
        <v/>
      </c>
      <c r="D23" s="38">
        <f>D20+D21-D22</f>
        <v/>
      </c>
      <c r="E23" s="38">
        <f>E20+E21-E22</f>
        <v/>
      </c>
      <c r="F23" s="38">
        <f>F20+F21-F22</f>
        <v/>
      </c>
      <c r="G23" s="38">
        <f>G20+G21-G22</f>
        <v/>
      </c>
      <c r="H23" s="38">
        <f>H20+H21-H22</f>
        <v/>
      </c>
      <c r="I23" s="38">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4" t="n"/>
      <c r="C26" s="14" t="n"/>
      <c r="D26" s="14" t="n"/>
      <c r="E26" s="14" t="n"/>
      <c r="F26" s="14" t="n"/>
      <c r="G26" s="14" t="n"/>
      <c r="H26" s="14" t="n"/>
      <c r="I26" s="14" t="n"/>
    </row>
    <row r="27">
      <c r="A27" s="6" t="inlineStr">
        <is>
          <t>Share price (AED)</t>
        </is>
      </c>
      <c r="C27" s="7">
        <f>Summary!$C$16</f>
        <v/>
      </c>
    </row>
    <row r="28">
      <c r="A28" s="6" t="inlineStr">
        <is>
          <t>Share price (USD)</t>
        </is>
      </c>
      <c r="C28" s="7">
        <f>'Relative &amp; Normalized'!$C$23</f>
        <v/>
      </c>
    </row>
    <row r="29">
      <c r="A29" s="6" t="inlineStr">
        <is>
          <t>Market capitalisation (USD 000)</t>
        </is>
      </c>
      <c r="C29" s="18">
        <f>'Relative &amp; Normalized'!$C$24</f>
        <v/>
      </c>
    </row>
    <row r="30">
      <c r="A30" s="6" t="inlineStr">
        <is>
          <t>Enterprise value (USD 000)</t>
        </is>
      </c>
      <c r="C30" s="18">
        <f>'Relative &amp; Normalized'!$C$26</f>
        <v/>
      </c>
    </row>
    <row r="31">
      <c r="A31" s="6" t="inlineStr">
        <is>
          <t>Enterprise value / 2025 reported EBITDA</t>
        </is>
      </c>
      <c r="C31" s="35">
        <f>'Relative &amp; Normalized'!$C$27</f>
        <v/>
      </c>
    </row>
    <row r="32">
      <c r="A32" s="6" t="inlineStr">
        <is>
          <t>Enterprise value / FY2026E EBITDA</t>
        </is>
      </c>
      <c r="C32" s="35">
        <f>'Relative &amp; Normalized'!$C$28</f>
        <v/>
      </c>
    </row>
    <row r="33">
      <c r="A33" s="6" t="inlineStr">
        <is>
          <t>Price / 2025 ordinary earnings</t>
        </is>
      </c>
      <c r="C33" s="35">
        <f>'Relative &amp; Normalized'!$C$29</f>
        <v/>
      </c>
    </row>
    <row r="34">
      <c r="A34" s="6" t="inlineStr">
        <is>
          <t>Price / book at 31 March 2026</t>
        </is>
      </c>
      <c r="C34" s="35">
        <f>'Relative &amp; Normalized'!$C$30</f>
        <v/>
      </c>
    </row>
    <row r="35">
      <c r="A35" s="6" t="inlineStr">
        <is>
          <t>Dividend yield on the 2026 distribution</t>
        </is>
      </c>
      <c r="C35" s="8">
        <f>'Relative &amp; Normalized'!$C$31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0" t="inlineStr">
        <is>
          <t>long-term contracted gas shipping</t>
        </is>
      </c>
      <c r="D5" s="47" t="n">
        <v>12.26</v>
      </c>
      <c r="E5" s="47" t="n">
        <v>13.97</v>
      </c>
      <c r="F5" s="47" t="n">
        <v>14.15</v>
      </c>
      <c r="G5" s="47" t="n">
        <v>1.65</v>
      </c>
      <c r="H5" s="30" t="n">
        <v>0.0336</v>
      </c>
      <c r="I5" s="20" t="inlineStr">
        <is>
          <t>stockanalysis.com company statistics page</t>
        </is>
      </c>
      <c r="J5" s="6" t="inlineStr">
        <is>
          <t>2026-08-09</t>
        </is>
      </c>
    </row>
    <row r="6" ht="28" customHeight="1">
      <c r="A6" s="6" t="inlineStr">
        <is>
          <t>Frontline plc</t>
        </is>
      </c>
      <c r="B6" s="6" t="inlineStr">
        <is>
          <t>Oslo / New York</t>
        </is>
      </c>
      <c r="C6" s="20" t="inlineStr">
        <is>
          <t>spot crude tankers</t>
        </is>
      </c>
      <c r="D6" s="47" t="n">
        <v>8.960000000000001</v>
      </c>
      <c r="E6" s="47" t="n">
        <v>6.44</v>
      </c>
      <c r="F6" s="47" t="n">
        <v>9.98</v>
      </c>
      <c r="G6" s="47" t="inlineStr">
        <is>
          <t>n/a</t>
        </is>
      </c>
      <c r="H6" s="30" t="inlineStr">
        <is>
          <t>n/a</t>
        </is>
      </c>
      <c r="I6" s="20" t="inlineStr">
        <is>
          <t>stockanalysis.com company statistics page</t>
        </is>
      </c>
      <c r="J6" s="6" t="inlineStr">
        <is>
          <t>2026-08-09</t>
        </is>
      </c>
    </row>
    <row r="7" ht="28" customHeight="1">
      <c r="A7" s="6" t="inlineStr">
        <is>
          <t>International Seaways</t>
        </is>
      </c>
      <c r="B7" s="6" t="inlineStr">
        <is>
          <t>New York</t>
        </is>
      </c>
      <c r="C7" s="20" t="inlineStr">
        <is>
          <t>spot crude and product tankers</t>
        </is>
      </c>
      <c r="D7" s="47" t="n">
        <v>8.1</v>
      </c>
      <c r="E7" s="47" t="inlineStr">
        <is>
          <t>n/a</t>
        </is>
      </c>
      <c r="F7" s="47" t="inlineStr">
        <is>
          <t>n/a</t>
        </is>
      </c>
      <c r="G7" s="47" t="inlineStr">
        <is>
          <t>n/a</t>
        </is>
      </c>
      <c r="H7" s="30" t="inlineStr">
        <is>
          <t>n/a</t>
        </is>
      </c>
      <c r="I7" s="20" t="inlineStr">
        <is>
          <t>valueinvesting.io enterprise-value-to-earnings page</t>
        </is>
      </c>
      <c r="J7" s="6" t="inlineStr">
        <is>
          <t>2026-07-26</t>
        </is>
      </c>
    </row>
    <row r="9">
      <c r="A9" s="11" t="inlineStr">
        <is>
          <t>THE MULTIPLES USED IN THE RELATIVE LENS</t>
        </is>
      </c>
      <c r="B9" s="14" t="n"/>
      <c r="C9" s="14" t="n"/>
      <c r="D9" s="14" t="n"/>
      <c r="E9" s="14" t="n"/>
      <c r="F9" s="14" t="n"/>
      <c r="G9" s="14" t="n"/>
      <c r="H9" s="14" t="n"/>
      <c r="I9" s="14" t="n"/>
      <c r="J9" s="14" t="n"/>
    </row>
    <row r="10">
      <c r="A10" s="6" t="inlineStr">
        <is>
          <t>Contracted-shipping multiple</t>
        </is>
      </c>
      <c r="C10" s="33">
        <f>D5</f>
        <v/>
      </c>
    </row>
    <row r="11">
      <c r="A11" s="6" t="inlineStr">
        <is>
          <t>Spot-tanker multiple — the two spot owners averaged</t>
        </is>
      </c>
      <c r="C11" s="33">
        <f>(D6+D7)/2</f>
        <v/>
      </c>
    </row>
    <row r="12">
      <c r="A12" s="6" t="inlineStr">
        <is>
          <t>Share of 2026 earnings exposed to spot rates, as disclosed</t>
        </is>
      </c>
      <c r="C12" s="8">
        <f>Assumptions!$C$108</f>
        <v/>
      </c>
    </row>
    <row r="13">
      <c r="A13" s="6" t="inlineStr">
        <is>
          <t>Blended enterprise multiple</t>
        </is>
      </c>
      <c r="C13" s="33">
        <f>(1-C12)*C10+C12*C11</f>
        <v/>
      </c>
    </row>
    <row r="14">
      <c r="A14" s="6" t="inlineStr">
        <is>
          <t>Contracted-shipping forward price/earnings</t>
        </is>
      </c>
      <c r="C14" s="33">
        <f>E5</f>
        <v/>
      </c>
    </row>
    <row r="15">
      <c r="A15" s="6" t="inlineStr">
        <is>
          <t>Spot-tanker forward price/earnings</t>
        </is>
      </c>
      <c r="C15" s="33">
        <f>E6</f>
        <v/>
      </c>
    </row>
    <row r="16">
      <c r="A16" s="6" t="inlineStr">
        <is>
          <t>Blended price/earnings</t>
        </is>
      </c>
      <c r="C16" s="33">
        <f>(1-C12)*C14+C12*C15</f>
        <v/>
      </c>
    </row>
    <row r="18">
      <c r="A18" s="11" t="inlineStr">
        <is>
          <t>THE COMPANY'S OWN MULTIPLES AT THE ANCHOR PRICE</t>
        </is>
      </c>
      <c r="B18" s="14" t="n"/>
      <c r="C18" s="14" t="n"/>
      <c r="D18" s="14" t="n"/>
      <c r="E18" s="14" t="n"/>
      <c r="F18" s="14" t="n"/>
      <c r="G18" s="14" t="n"/>
      <c r="H18" s="14" t="n"/>
      <c r="I18" s="14" t="n"/>
      <c r="J18" s="14" t="n"/>
    </row>
    <row r="19">
      <c r="A19" s="6" t="inlineStr">
        <is>
          <t>Enterprise value / 2025 reported EBITDA</t>
        </is>
      </c>
      <c r="C19" s="35">
        <f>'Relative &amp; Normalized'!$C$27</f>
        <v/>
      </c>
    </row>
    <row r="20">
      <c r="A20" s="6" t="inlineStr">
        <is>
          <t>Enterprise value / FY2026E EBITDA</t>
        </is>
      </c>
      <c r="C20" s="35">
        <f>'Relative &amp; Normalized'!$C$28</f>
        <v/>
      </c>
    </row>
    <row r="21">
      <c r="A21" s="6" t="inlineStr">
        <is>
          <t>Price / 2025 ordinary earnings</t>
        </is>
      </c>
      <c r="C21" s="35">
        <f>'Relative &amp; Normalized'!$C$29</f>
        <v/>
      </c>
    </row>
    <row r="22">
      <c r="A22" s="6" t="inlineStr">
        <is>
          <t>Price / book at 31 March 2026</t>
        </is>
      </c>
      <c r="C22" s="35">
        <f>'Relative &amp; Normalized'!$C$30</f>
        <v/>
      </c>
    </row>
    <row r="23">
      <c r="A23" s="6" t="inlineStr">
        <is>
          <t>Dividend yield on the 2026 distribution</t>
        </is>
      </c>
      <c r="C23" s="8">
        <f>'Relative &amp; Normalized'!$C$31</f>
        <v/>
      </c>
    </row>
    <row r="25">
      <c r="A25"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2026-08-17T12:01:15Z</dcterms:created>
  <dcterms:modified xmlns:dcterms="http://purl.org/dc/terms/" xmlns:xsi="http://www.w3.org/2001/XMLSchema-instance" xsi:type="dcterms:W3CDTF">2026-08-17T12:01:15Z</dcterms:modified>
</cp:coreProperties>
</file>