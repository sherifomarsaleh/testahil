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6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0" fontId="7" fillId="0" borderId="0" pivotButton="0" quotePrefix="0" xfId="0"/>
    <xf numFmtId="170" fontId="7" fillId="0" borderId="0" pivotButton="0" quotePrefix="0" xfId="0"/>
    <xf numFmtId="170" fontId="6" fillId="0" borderId="0" pivotButton="0" quotePrefix="0" xfId="0"/>
    <xf numFmtId="0" fontId="5" fillId="0" borderId="0" pivotButton="0" quotePrefix="0" xfId="0"/>
    <xf numFmtId="167" fontId="5" fillId="0" borderId="0" pivotButton="0" quotePrefix="0" xfId="0"/>
    <xf numFmtId="166" fontId="8"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6" fontId="5" fillId="0" borderId="0" pivotButton="0" quotePrefix="0" xfId="0"/>
    <xf numFmtId="0" fontId="6" fillId="4" borderId="0" pivotButton="0" quotePrefix="0" xfId="0"/>
    <xf numFmtId="167"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6.80 (2026-09-07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DCF!$C$63</f>
        <v/>
      </c>
      <c r="D5" s="7">
        <f>'Fundamental Valuation'!$C$7</f>
        <v/>
      </c>
      <c r="E5" s="8">
        <f>Assumptions!$C$199</f>
        <v/>
      </c>
      <c r="F5" s="9">
        <f>C5*E5</f>
        <v/>
      </c>
      <c r="G5" s="10">
        <f>C5/$C$16-1</f>
        <v/>
      </c>
      <c r="H5" s="8">
        <f>DCF!$C$48</f>
        <v/>
      </c>
    </row>
    <row r="6">
      <c r="A6" s="6" t="inlineStr">
        <is>
          <t>Relative multiples</t>
        </is>
      </c>
      <c r="B6" s="7">
        <f>'Relative &amp; Normalized'!$C$27</f>
        <v/>
      </c>
      <c r="C6" s="7">
        <f>'Relative &amp; Normalized'!$C$22</f>
        <v/>
      </c>
      <c r="D6" s="7">
        <f>'Relative &amp; Normalized'!$D$27</f>
        <v/>
      </c>
      <c r="E6" s="8">
        <f>Assumptions!$C$200</f>
        <v/>
      </c>
      <c r="F6" s="9">
        <f>C6*E6</f>
        <v/>
      </c>
      <c r="G6" s="10">
        <f>C6/$C$16-1</f>
        <v/>
      </c>
    </row>
    <row r="7">
      <c r="A7" s="6" t="inlineStr">
        <is>
          <t>Normalised earnings power</t>
        </is>
      </c>
      <c r="B7" s="7">
        <f>'Relative &amp; Normalized'!$C$59</f>
        <v/>
      </c>
      <c r="C7" s="7">
        <f>'Relative &amp; Normalized'!$C$54</f>
        <v/>
      </c>
      <c r="D7" s="7">
        <f>'Relative &amp; Normalized'!$D$59</f>
        <v/>
      </c>
      <c r="E7" s="8">
        <f>Assumptions!$C$201</f>
        <v/>
      </c>
      <c r="F7" s="9">
        <f>C7*E7</f>
        <v/>
      </c>
      <c r="G7" s="10">
        <f>C7/$C$16-1</f>
        <v/>
      </c>
    </row>
    <row r="8">
      <c r="A8" s="6" t="inlineStr">
        <is>
          <t>Book value and sustainable return</t>
        </is>
      </c>
      <c r="B8" s="7">
        <f>'Relative &amp; Normalized'!$C$103</f>
        <v/>
      </c>
      <c r="C8" s="7">
        <f>'Relative &amp; Normalized'!$C$81</f>
        <v/>
      </c>
      <c r="D8" s="7">
        <f>'Relative &amp; Normalized'!$D$103</f>
        <v/>
      </c>
      <c r="E8" s="8">
        <f>Assumptions!$C$202</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DCF!$C$142</f>
        <v/>
      </c>
      <c r="D12" s="9">
        <f>D5</f>
        <v/>
      </c>
      <c r="E12" s="10">
        <f>E5</f>
        <v/>
      </c>
      <c r="F12" s="9">
        <f>C12*E12</f>
        <v/>
      </c>
      <c r="G12" s="10">
        <f>C12/$C$16-1</f>
        <v/>
      </c>
      <c r="H12" s="8">
        <f>DCF!$C$137</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DCF!$C$98</f>
        <v/>
      </c>
    </row>
    <row r="21">
      <c r="A21" s="6" t="inlineStr">
        <is>
          <t>Enterprise value at the anchor price (USD 000)</t>
        </is>
      </c>
      <c r="C21" s="20">
        <f>'Relative &amp; Normalized'!$C$33</f>
        <v/>
      </c>
    </row>
    <row r="22">
      <c r="A22" s="6" t="inlineStr">
        <is>
          <t>Net debt at 31 March 2026, including the deferred consideration and the eleven vessels bought on 7 August 2026 (USD 000)</t>
        </is>
      </c>
      <c r="C22" s="20">
        <f>'Relative &amp; Normalized'!$C$32</f>
        <v/>
      </c>
    </row>
    <row r="23">
      <c r="A23" s="6" t="inlineStr">
        <is>
          <t>The eleven vessels bought on 7 August 2026, at the announced price (USD 000)</t>
        </is>
      </c>
      <c r="C23" s="20">
        <f>Assumptions!$C$88</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DCF!$C$70</f>
        <v/>
      </c>
    </row>
    <row r="28">
      <c r="A28" s="6" t="inlineStr">
        <is>
          <t>Cost of equity — composite-index beta (alternative)</t>
        </is>
      </c>
      <c r="C28" s="21">
        <f>DCF!$C$116</f>
        <v/>
      </c>
    </row>
    <row r="29">
      <c r="A29" s="6" t="inlineStr">
        <is>
          <t>Cost of equity at the lower 90% confidence bound on the primary beta</t>
        </is>
      </c>
      <c r="C29" s="21">
        <f>DCF!$C$124</f>
        <v/>
      </c>
    </row>
    <row r="30">
      <c r="A30" s="6" t="inlineStr">
        <is>
          <t>Cost of equity at the upper 90% confidence bound on the primary beta</t>
        </is>
      </c>
      <c r="C30" s="21">
        <f>DCF!$C$125</f>
        <v/>
      </c>
    </row>
    <row r="31">
      <c r="A31" s="6" t="inlineStr">
        <is>
          <t>Cost of debt ADOPTED — the instruments actually outstanding, weighted by balance</t>
        </is>
      </c>
      <c r="C31" s="21">
        <f>DCF!$C$93</f>
        <v/>
      </c>
    </row>
    <row r="32">
      <c r="A32" s="6" t="inlineStr">
        <is>
          <t>Cost of debt — MEMORANDUM, the retired average of three constructions</t>
        </is>
      </c>
      <c r="C32" s="21">
        <f>DCF!$C$94</f>
        <v/>
      </c>
    </row>
    <row r="33">
      <c r="A33" s="6" t="inlineStr">
        <is>
          <t>Cost of capital — explicit window</t>
        </is>
      </c>
      <c r="C33" s="21">
        <f>DCF!$C$106</f>
        <v/>
      </c>
    </row>
    <row r="34">
      <c r="A34" s="6" t="inlineStr">
        <is>
          <t>Cost of capital — terminal</t>
        </is>
      </c>
      <c r="C34" s="21">
        <f>DCF!$C$112</f>
        <v/>
      </c>
    </row>
    <row r="35">
      <c r="A35" s="6" t="inlineStr">
        <is>
          <t>Terminal growth</t>
        </is>
      </c>
      <c r="C35" s="8">
        <f>DCF!$C$39</f>
        <v/>
      </c>
    </row>
    <row r="36">
      <c r="A36" s="6" t="inlineStr">
        <is>
          <t>Sum-of-the-parts cross-check (AED per share)</t>
        </is>
      </c>
      <c r="C36" s="7">
        <f>'SOTP Bridge'!$C$45</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DCF!$C$63</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2.901206740142437</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9.487133335472489</v>
      </c>
    </row>
    <row r="8" ht="28" customHeight="1">
      <c r="A8" s="6" t="inlineStr">
        <is>
          <t>Relative multiples</t>
        </is>
      </c>
      <c r="B8" s="22" t="inlineStr">
        <is>
          <t>blended enterprise and earnings multiples on 2026 earnings</t>
        </is>
      </c>
      <c r="C8" s="7">
        <f>'Relative &amp; Normalized'!$C$22</f>
        <v/>
      </c>
    </row>
    <row r="9" ht="28" customHeight="1">
      <c r="A9" s="6" t="inlineStr">
        <is>
          <t>Normalised earnings power</t>
        </is>
      </c>
      <c r="B9" s="22" t="inlineStr">
        <is>
          <t>the same multiples on the five-year average of the forecast</t>
        </is>
      </c>
      <c r="C9" s="7">
        <f>'Relative &amp; Normalized'!$C$54</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Normalized'!$C$81</f>
        <v/>
      </c>
    </row>
    <row r="12">
      <c r="A12" s="11" t="inlineStr">
        <is>
          <t>Central — the cash-flow lens</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DCF!$C$70</f>
        <v/>
      </c>
    </row>
    <row r="17" ht="26" customHeight="1">
      <c r="A17" s="6" t="inlineStr">
        <is>
          <t>Cost of capital on the published-index beta</t>
        </is>
      </c>
      <c r="B17" s="22" t="inlineStr">
        <is>
          <t>explicit window, market-value weights</t>
        </is>
      </c>
      <c r="C17" s="21">
        <f>DCF!$C$106</f>
        <v/>
      </c>
    </row>
    <row r="18" ht="26" customHeight="1">
      <c r="A18" s="6" t="inlineStr">
        <is>
          <t>Fair value per share — published-index beta (AED)</t>
        </is>
      </c>
      <c r="B18" s="22" t="inlineStr">
        <is>
          <t>the primary reading</t>
        </is>
      </c>
      <c r="C18" s="7">
        <f>DCF!$C$63</f>
        <v/>
      </c>
    </row>
    <row r="19" ht="26" customHeight="1">
      <c r="A19" s="6" t="inlineStr">
        <is>
          <t>Central — published-index beta (AED)</t>
        </is>
      </c>
      <c r="B19" s="22" t="inlineStr">
        <is>
          <t>the cash-flow lens alone; the other reads are cross-checks published beside it and never averaged into it</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DCF!$C$116</f>
        <v/>
      </c>
    </row>
    <row r="22" ht="26" customHeight="1">
      <c r="A22" s="6" t="inlineStr">
        <is>
          <t>Cost of capital on the composite-index beta</t>
        </is>
      </c>
      <c r="B22" s="22" t="inlineStr">
        <is>
          <t>explicit window, market-value weights</t>
        </is>
      </c>
      <c r="C22" s="21">
        <f>DCF!$C$118</f>
        <v/>
      </c>
    </row>
    <row r="23" ht="26" customHeight="1">
      <c r="A23" s="6" t="inlineStr">
        <is>
          <t>Fair value per share — composite-index beta (AED)</t>
        </is>
      </c>
      <c r="B23" s="22" t="inlineStr">
        <is>
          <t>the alternative reading</t>
        </is>
      </c>
      <c r="C23" s="7">
        <f>DCF!$C$142</f>
        <v/>
      </c>
    </row>
    <row r="24" ht="26" customHeight="1">
      <c r="A24" s="6" t="inlineStr">
        <is>
          <t>Central — composite-index beta (AED)</t>
        </is>
      </c>
      <c r="B24" s="22" t="inlineStr">
        <is>
          <t>the same cash-flow lens with the composite beta in place of the published-index one; nothing else moves</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9.887078427030136</v>
      </c>
      <c r="D31" s="23" t="n">
        <v>7.415308820272602</v>
      </c>
      <c r="E31" s="23" t="n">
        <v>12.35884803378767</v>
      </c>
    </row>
    <row r="32">
      <c r="A32" s="6" t="inlineStr">
        <is>
          <t>Expert 2</t>
        </is>
      </c>
      <c r="B32" s="6" t="inlineStr">
        <is>
          <t>owner cash earnings</t>
        </is>
      </c>
      <c r="C32" s="23" t="n">
        <v>9.429012541620233</v>
      </c>
      <c r="D32" s="23" t="n">
        <v>6.514574635137859</v>
      </c>
      <c r="E32" s="23" t="n">
        <v>14.92754150840185</v>
      </c>
    </row>
    <row r="33">
      <c r="A33" s="6" t="inlineStr">
        <is>
          <t>Expert 3</t>
        </is>
      </c>
      <c r="B33" s="6" t="inlineStr">
        <is>
          <t>cash returns against the cost of capital</t>
        </is>
      </c>
      <c r="C33" s="23" t="n">
        <v>4.723665256272398</v>
      </c>
      <c r="D33" s="23" t="n">
        <v>3.608196688676206</v>
      </c>
      <c r="E33" s="23" t="n">
        <v>5.576266469484299</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6.8</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0.5</v>
      </c>
    </row>
    <row r="9">
      <c r="A9" s="6" t="inlineStr">
        <is>
          <t>First-quarter 2026 free cash flow, already inside net debt at the valuation date (USD 000)</t>
        </is>
      </c>
      <c r="C9" s="29" t="n">
        <v>598095</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30 June 2026 (USD 000)</t>
        </is>
      </c>
      <c r="C33" s="29" t="n">
        <v>125000</v>
      </c>
    </row>
    <row r="34">
      <c r="A34" s="6" t="inlineStr">
        <is>
          <t>Third-party borrowings at 30 June 2026 (USD 000)</t>
        </is>
      </c>
      <c r="C34" s="29" t="n">
        <v>431353</v>
      </c>
    </row>
    <row r="35">
      <c r="A35" s="6" t="inlineStr">
        <is>
          <t>Lease liabilities at 30 June 2026 (USD 000)</t>
        </is>
      </c>
      <c r="C35" s="29" t="n">
        <v>243647</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through 2026 (USD per day). The first two quarters are REPORTED; the third is DISCLOSED to 11 August on the share of vessel days it covers, with the balance at the mid-cycle rate; the fourth reverts halfway to mid-cycle</t>
        </is>
      </c>
      <c r="B50" s="16" t="inlineStr">
        <is>
          <t>First quarter 2026</t>
        </is>
      </c>
      <c r="C50" s="16" t="inlineStr">
        <is>
          <t>Second quarter 2026</t>
        </is>
      </c>
      <c r="D50" s="16" t="inlineStr">
        <is>
          <t>Third quarter 2026</t>
        </is>
      </c>
      <c r="E50" s="16" t="inlineStr">
        <is>
          <t>Fourth quarter 2026</t>
        </is>
      </c>
      <c r="F50" s="16" t="n"/>
      <c r="G50" s="16" t="n"/>
      <c r="H50" s="16" t="n"/>
    </row>
    <row r="51">
      <c r="A51" s="6" t="inlineStr">
        <is>
          <t>Medium range</t>
        </is>
      </c>
      <c r="B51" s="29" t="n">
        <v>30000</v>
      </c>
      <c r="C51" s="29" t="n">
        <v>36229</v>
      </c>
      <c r="D51" s="33">
        <f>B57*C57+(1-C57)*Segments!$J$39</f>
        <v/>
      </c>
      <c r="E51" s="33">
        <f>(1-Assumptions!$C$96)*D51+Assumptions!$C$96*Segments!$J$39</f>
        <v/>
      </c>
    </row>
    <row r="52">
      <c r="A52" s="6" t="inlineStr">
        <is>
          <t>Long range 1</t>
        </is>
      </c>
      <c r="B52" s="29" t="n">
        <v>36000</v>
      </c>
      <c r="C52" s="29" t="n">
        <v>80206</v>
      </c>
      <c r="D52" s="33">
        <f>B58*C58+(1-C58)*Segments!$J$40</f>
        <v/>
      </c>
      <c r="E52" s="33">
        <f>(1-Assumptions!$C$96)*D52+Assumptions!$C$96*Segments!$J$40</f>
        <v/>
      </c>
    </row>
    <row r="53">
      <c r="A53" s="6" t="inlineStr">
        <is>
          <t>Long range 2</t>
        </is>
      </c>
      <c r="B53" s="29" t="n">
        <v>58000</v>
      </c>
      <c r="C53" s="29" t="n">
        <v>129568</v>
      </c>
      <c r="D53" s="33">
        <f>B59*C59+(1-C59)*Segments!$J$41</f>
        <v/>
      </c>
      <c r="E53" s="33">
        <f>(1-Assumptions!$C$96)*D53+Assumptions!$C$96*Segments!$J$41</f>
        <v/>
      </c>
    </row>
    <row r="54">
      <c r="A54" s="6" t="inlineStr">
        <is>
          <t>Very large crude carrier</t>
        </is>
      </c>
      <c r="B54" s="29" t="n">
        <v>145000</v>
      </c>
      <c r="C54" s="29" t="n">
        <v>291145</v>
      </c>
      <c r="D54" s="33">
        <f>B60*C60+(1-C60)*Segments!$J$42</f>
        <v/>
      </c>
      <c r="E54" s="33">
        <f>(1-Assumptions!$C$96)*D54+Assumptions!$C$96*Segments!$J$42</f>
        <v/>
      </c>
    </row>
    <row r="56">
      <c r="A56" s="11" t="inlineStr">
        <is>
          <t>The disclosed third quarter and its coverage — the rate applies to the days it covers and the balance is taken at the mid-cycle rate</t>
        </is>
      </c>
      <c r="B56" s="16" t="inlineStr">
        <is>
          <t>Disclosed rate (USD per day)</t>
        </is>
      </c>
      <c r="C56" s="16" t="inlineStr">
        <is>
          <t>Share of vessel days contracted</t>
        </is>
      </c>
      <c r="D56" s="16" t="n"/>
      <c r="E56" s="16" t="n"/>
      <c r="F56" s="16" t="n"/>
      <c r="G56" s="16" t="n"/>
      <c r="H56" s="16" t="n"/>
    </row>
    <row r="57">
      <c r="A57" s="6" t="inlineStr">
        <is>
          <t>Medium range — disclosed third-quarter rate and share of days covered</t>
        </is>
      </c>
      <c r="B57" s="34" t="n">
        <v>30441</v>
      </c>
      <c r="C57" s="34" t="n">
        <v>0.65</v>
      </c>
    </row>
    <row r="58">
      <c r="A58" s="6" t="inlineStr">
        <is>
          <t>Long range 1</t>
        </is>
      </c>
      <c r="B58" s="34" t="n">
        <v>89721</v>
      </c>
      <c r="C58" s="34" t="n">
        <v>0.62</v>
      </c>
    </row>
    <row r="59">
      <c r="A59" s="6" t="inlineStr">
        <is>
          <t>Long range 2</t>
        </is>
      </c>
      <c r="B59" s="34" t="n">
        <v>107917</v>
      </c>
      <c r="C59" s="34" t="n">
        <v>0.58</v>
      </c>
    </row>
    <row r="60">
      <c r="A60" s="6" t="inlineStr">
        <is>
          <t>Very large crude carrier</t>
        </is>
      </c>
      <c r="B60" s="34" t="n">
        <v>159518</v>
      </c>
      <c r="C60" s="34" t="n">
        <v>0.78</v>
      </c>
    </row>
    <row r="62">
      <c r="A62" s="11" t="inlineStr">
        <is>
          <t>The smallest tankers, which the rate disclosure does not break out</t>
        </is>
      </c>
      <c r="B62" s="16" t="n"/>
      <c r="C62" s="16" t="n"/>
      <c r="D62" s="16" t="n"/>
      <c r="E62" s="16" t="n"/>
      <c r="F62" s="16" t="n"/>
      <c r="G62" s="16" t="n"/>
      <c r="H62" s="16" t="n"/>
    </row>
    <row r="63">
      <c r="A63"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63" s="28" t="n">
        <v>0.79</v>
      </c>
    </row>
    <row r="65">
      <c r="A65" s="11" t="inlineStr">
        <is>
          <t>Tanker charters out — the twelve fixtures as disclosed, each at its own rate for exactly the days its own contract runs</t>
        </is>
      </c>
      <c r="B65" s="16" t="inlineStr">
        <is>
          <t>Rate (USD per day)</t>
        </is>
      </c>
      <c r="C65" s="16" t="inlineStr">
        <is>
          <t>Contract begins</t>
        </is>
      </c>
      <c r="D65" s="16" t="inlineStr">
        <is>
          <t>Contract ends</t>
        </is>
      </c>
      <c r="E65" s="16" t="n"/>
      <c r="F65" s="16" t="n"/>
      <c r="G65" s="16" t="n"/>
      <c r="H65" s="16" t="n"/>
    </row>
    <row r="66">
      <c r="A66" s="6" t="inlineStr">
        <is>
          <t>Navig8 Macallister — long range 1, fixed for 18 months</t>
        </is>
      </c>
      <c r="B66" s="29" t="n">
        <v>19750</v>
      </c>
      <c r="C66" s="35" t="n">
        <v>45928</v>
      </c>
      <c r="D66" s="35" t="n">
        <v>46474</v>
      </c>
    </row>
    <row r="67">
      <c r="A67" s="6" t="inlineStr">
        <is>
          <t>Navig8 Martinez — long range 1, fixed for 32 months</t>
        </is>
      </c>
      <c r="B67" s="29" t="n">
        <v>19750</v>
      </c>
      <c r="C67" s="35" t="n">
        <v>45989</v>
      </c>
      <c r="D67" s="35" t="n">
        <v>46962</v>
      </c>
    </row>
    <row r="68">
      <c r="A68" s="6" t="inlineStr">
        <is>
          <t>Navig8 Prosperity — long range 2, fixed for 36 months</t>
        </is>
      </c>
      <c r="B68" s="29" t="n">
        <v>30561</v>
      </c>
      <c r="C68" s="35" t="n">
        <v>45050</v>
      </c>
      <c r="D68" s="35" t="n">
        <v>46146</v>
      </c>
    </row>
    <row r="69">
      <c r="A69" s="6" t="inlineStr">
        <is>
          <t>Navig8 Promise — long range 2, fixed for 12 months</t>
        </is>
      </c>
      <c r="B69" s="29" t="n">
        <v>32125</v>
      </c>
      <c r="C69" s="35" t="n">
        <v>45896</v>
      </c>
      <c r="D69" s="35" t="n">
        <v>46261</v>
      </c>
    </row>
    <row r="70">
      <c r="A70" s="6" t="inlineStr">
        <is>
          <t>Navig8 Pride — long range 2, fixed for 12 months</t>
        </is>
      </c>
      <c r="B70" s="29" t="n">
        <v>32125</v>
      </c>
      <c r="C70" s="35" t="n">
        <v>45937</v>
      </c>
      <c r="D70" s="35" t="n">
        <v>46302</v>
      </c>
    </row>
    <row r="71">
      <c r="A71" s="6" t="inlineStr">
        <is>
          <t>Navig8 Prestige — long range 2, fixed for 12 months</t>
        </is>
      </c>
      <c r="B71" s="29" t="n">
        <v>36850</v>
      </c>
      <c r="C71" s="35" t="n">
        <v>45998</v>
      </c>
      <c r="D71" s="35" t="n">
        <v>46363</v>
      </c>
    </row>
    <row r="72">
      <c r="A72" s="6" t="inlineStr">
        <is>
          <t>Navig8 Providence — long range 2, fixed for 12 months</t>
        </is>
      </c>
      <c r="B72" s="29" t="n">
        <v>42000</v>
      </c>
      <c r="C72" s="35" t="n">
        <v>46130</v>
      </c>
      <c r="D72" s="35" t="n">
        <v>46495</v>
      </c>
    </row>
    <row r="73">
      <c r="A73" s="6" t="inlineStr">
        <is>
          <t>Navig8 Passion — long range 2, fixed for 12 months</t>
        </is>
      </c>
      <c r="B73" s="29" t="n">
        <v>42000</v>
      </c>
      <c r="C73" s="35" t="n">
        <v>46193</v>
      </c>
      <c r="D73" s="35" t="n">
        <v>46558</v>
      </c>
    </row>
    <row r="74">
      <c r="A74" s="6" t="inlineStr">
        <is>
          <t>Zakum — very large crude carrier, fixed for 22 months</t>
        </is>
      </c>
      <c r="B74" s="29" t="n">
        <v>50633</v>
      </c>
      <c r="C74" s="35" t="n">
        <v>46083</v>
      </c>
      <c r="D74" s="35" t="n">
        <v>46754</v>
      </c>
    </row>
    <row r="75">
      <c r="A75" s="6" t="inlineStr">
        <is>
          <t>Hili — very large crude carrier, fixed for 22 months</t>
        </is>
      </c>
      <c r="B75" s="29" t="n">
        <v>50633</v>
      </c>
      <c r="C75" s="35" t="n">
        <v>46097</v>
      </c>
      <c r="D75" s="35" t="n">
        <v>46768</v>
      </c>
    </row>
    <row r="76">
      <c r="A76" s="6" t="inlineStr">
        <is>
          <t>Arzanah — very large crude carrier, fixed for 12 months</t>
        </is>
      </c>
      <c r="B76" s="29" t="n">
        <v>70000</v>
      </c>
      <c r="C76" s="35" t="n">
        <v>46132</v>
      </c>
      <c r="D76" s="35" t="n">
        <v>46497</v>
      </c>
    </row>
    <row r="77">
      <c r="A77" s="6" t="inlineStr">
        <is>
          <t>Habshan — very large crude carrier, fixed for 12 months</t>
        </is>
      </c>
      <c r="B77" s="29" t="n">
        <v>72500</v>
      </c>
      <c r="C77" s="35" t="n">
        <v>46163</v>
      </c>
      <c r="D77" s="35" t="n">
        <v>46528</v>
      </c>
    </row>
    <row r="79">
      <c r="A79" s="11" t="inlineStr">
        <is>
          <t>Rate windows and forecast years — the calendar the fleet build runs on (dates)</t>
        </is>
      </c>
      <c r="B79" s="16" t="inlineStr">
        <is>
          <t>Q1 2025</t>
        </is>
      </c>
      <c r="C79" s="16" t="inlineStr">
        <is>
          <t>Q2 2025</t>
        </is>
      </c>
      <c r="D79" s="16" t="inlineStr">
        <is>
          <t>Q3 2025</t>
        </is>
      </c>
      <c r="E79" s="16" t="inlineStr">
        <is>
          <t>Q4 2025</t>
        </is>
      </c>
      <c r="F79" s="16" t="inlineStr">
        <is>
          <t>Q1 2026</t>
        </is>
      </c>
      <c r="G79" s="16" t="inlineStr">
        <is>
          <t>Q2 2026</t>
        </is>
      </c>
      <c r="H79" s="16" t="inlineStr">
        <is>
          <t>Q3 2026</t>
        </is>
      </c>
      <c r="I79" s="16" t="inlineStr">
        <is>
          <t>Q4 2026</t>
        </is>
      </c>
      <c r="J79" s="16" t="inlineStr">
        <is>
          <t>Mid-cycle anchor</t>
        </is>
      </c>
    </row>
    <row r="80">
      <c r="A80" s="6" t="inlineStr">
        <is>
          <t>Rate window begins</t>
        </is>
      </c>
      <c r="B80" s="35" t="n">
        <v>45658</v>
      </c>
      <c r="C80" s="35" t="n">
        <v>45748</v>
      </c>
      <c r="D80" s="35" t="n">
        <v>45839</v>
      </c>
      <c r="E80" s="35" t="n">
        <v>45931</v>
      </c>
      <c r="F80" s="35" t="n">
        <v>46023</v>
      </c>
      <c r="G80" s="35" t="n">
        <v>46113</v>
      </c>
      <c r="H80" s="35" t="n">
        <v>46204</v>
      </c>
      <c r="I80" s="35" t="n">
        <v>46296</v>
      </c>
      <c r="J80" s="35" t="n">
        <v>45658</v>
      </c>
    </row>
    <row r="81">
      <c r="A81" s="6" t="inlineStr">
        <is>
          <t>Rate window ends — each window closes where the next one opens; the last is the disclosed quarter end</t>
        </is>
      </c>
      <c r="B81" s="36">
        <f>C80</f>
        <v/>
      </c>
      <c r="C81" s="36">
        <f>D80</f>
        <v/>
      </c>
      <c r="D81" s="36">
        <f>E80</f>
        <v/>
      </c>
      <c r="E81" s="36">
        <f>F80</f>
        <v/>
      </c>
      <c r="F81" s="36">
        <f>G80</f>
        <v/>
      </c>
      <c r="G81" s="36">
        <f>H80</f>
        <v/>
      </c>
      <c r="H81" s="36">
        <f>I80</f>
        <v/>
      </c>
      <c r="I81" s="35" t="n">
        <v>46388</v>
      </c>
      <c r="J81" s="35" t="n">
        <v>45748</v>
      </c>
    </row>
    <row r="83">
      <c r="A83" s="11" t="inlineStr">
        <is>
          <t>Forecast years (dates)</t>
        </is>
      </c>
      <c r="B83" s="16" t="inlineStr">
        <is>
          <t>FY2026</t>
        </is>
      </c>
      <c r="C83" s="16" t="inlineStr">
        <is>
          <t>FY2027</t>
        </is>
      </c>
      <c r="D83" s="16" t="inlineStr">
        <is>
          <t>FY2028</t>
        </is>
      </c>
      <c r="E83" s="16" t="inlineStr">
        <is>
          <t>FY2029</t>
        </is>
      </c>
      <c r="F83" s="16" t="inlineStr">
        <is>
          <t>FY2030</t>
        </is>
      </c>
      <c r="G83" s="16" t="n"/>
      <c r="H83" s="16" t="n"/>
    </row>
    <row r="84">
      <c r="A84" s="6" t="inlineStr">
        <is>
          <t>Forecast year begins</t>
        </is>
      </c>
      <c r="B84" s="36">
        <f>H80</f>
        <v/>
      </c>
      <c r="C84" s="35" t="n">
        <v>46388</v>
      </c>
      <c r="D84" s="35" t="n">
        <v>46753</v>
      </c>
      <c r="E84" s="35" t="n">
        <v>47119</v>
      </c>
      <c r="F84" s="35" t="n">
        <v>47484</v>
      </c>
    </row>
    <row r="85">
      <c r="A85" s="6" t="inlineStr">
        <is>
          <t>Forecast year ends — each year closes where the next one opens</t>
        </is>
      </c>
      <c r="B85" s="36">
        <f>C84</f>
        <v/>
      </c>
      <c r="C85" s="36">
        <f>D84</f>
        <v/>
      </c>
      <c r="D85" s="36">
        <f>E84</f>
        <v/>
      </c>
      <c r="E85" s="36">
        <f>F84</f>
        <v/>
      </c>
      <c r="F85" s="35" t="n">
        <v>47849</v>
      </c>
    </row>
    <row r="87">
      <c r="A87" s="11" t="inlineStr">
        <is>
          <t>THE FLEET PURCHASE ANNOUNCED 7 AUGUST 2026 — eleven vessels for about USD 1.3 billion, announced on the anchor date of this study and therefore already inside the market price the valuation is compared against</t>
        </is>
      </c>
      <c r="B87" s="16" t="inlineStr">
        <is>
          <t>Vessels</t>
        </is>
      </c>
      <c r="C87" s="16" t="inlineStr">
        <is>
          <t>Delivery date</t>
        </is>
      </c>
      <c r="D87" s="16" t="n"/>
      <c r="E87" s="16" t="n"/>
      <c r="F87" s="16" t="n"/>
      <c r="G87" s="16" t="n"/>
      <c r="H87" s="16" t="n"/>
    </row>
    <row r="88">
      <c r="A88" s="6" t="inlineStr">
        <is>
          <t>Purchase price — added BOTH to net debt, because it is committed and funded, and to the opening asset base, so it depreciates and shields tax (USD 000)</t>
        </is>
      </c>
      <c r="C88" s="29" t="n">
        <v>1300000</v>
      </c>
    </row>
    <row r="89">
      <c r="A89" s="6" t="inlineStr">
        <is>
          <t>Very large crude carriers bought secondhand — they join the spot fleet on delivery and earn at the implied spot rate from that date</t>
        </is>
      </c>
      <c r="B89" s="29" t="n">
        <v>6</v>
      </c>
      <c r="C89" s="35" t="n">
        <v>46266</v>
      </c>
    </row>
    <row r="90">
      <c r="A90" s="6" t="inlineStr">
        <is>
          <t>Gas carriers acquired in total — they add contracted vessel-years to the gas fleet</t>
        </is>
      </c>
      <c r="B90" s="29" t="n">
        <v>5</v>
      </c>
    </row>
    <row r="91">
      <c r="A91" s="6" t="inlineStr">
        <is>
          <t>Of which bought secondhand, delivering in the third quarter</t>
        </is>
      </c>
      <c r="B91" s="29" t="n">
        <v>3</v>
      </c>
      <c r="C91" s="35" t="n">
        <v>46266</v>
      </c>
    </row>
    <row r="92">
      <c r="A92" s="6" t="inlineStr">
        <is>
          <t>Of which newbuildings resold from the yard, delivering in the fourth quarter</t>
        </is>
      </c>
      <c r="B92" s="33">
        <f>B90-B91</f>
        <v/>
      </c>
      <c r="C92" s="35" t="n">
        <v>46341</v>
      </c>
    </row>
    <row r="93">
      <c r="A93" s="37" t="inlineStr">
        <is>
          <t>Vessels acquired in total</t>
        </is>
      </c>
      <c r="B93" s="38">
        <f>B89+B90</f>
        <v/>
      </c>
    </row>
    <row r="95">
      <c r="A95" s="11" t="inlineStr">
        <is>
          <t>Tanker fleet — rate path and cost stack</t>
        </is>
      </c>
      <c r="B95" s="16" t="n"/>
      <c r="C95" s="16" t="n"/>
      <c r="D95" s="16" t="n"/>
      <c r="E95" s="16" t="n"/>
      <c r="F95" s="16" t="n"/>
      <c r="G95" s="16" t="n"/>
      <c r="H95" s="16" t="n"/>
    </row>
    <row r="96">
      <c r="A96" s="6" t="inlineStr">
        <is>
          <t>Weight on the mid-cycle rate against the disclosed third-quarter 2026 rate, in setting the fourth quarter of 2026</t>
        </is>
      </c>
      <c r="C96" s="32" t="n">
        <v>0.5</v>
      </c>
    </row>
    <row r="97">
      <c r="A97" s="6" t="inlineStr">
        <is>
          <t>Tanker cost stack — fixed base a year before escalation (USD 000)</t>
        </is>
      </c>
      <c r="C97" s="20">
        <f>Segments!B144</f>
        <v/>
      </c>
      <c r="H97" s="4" t="inlineStr">
        <is>
          <t>GREEN, NOT BLUE. The fixed cost base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8">
      <c r="A98" s="6" t="inlineStr">
        <is>
          <t>Tanker cost stack — variable cost per unit of charter-equivalent revenue</t>
        </is>
      </c>
      <c r="C98" s="39">
        <f>Assumptions!$C$104-Segments!B143</f>
        <v/>
      </c>
    </row>
    <row r="99">
      <c r="A99" s="6" t="inlineStr">
        <is>
          <t>House inflation ladder, FY2026</t>
        </is>
      </c>
      <c r="C99" s="32" t="n">
        <v>0.025</v>
      </c>
    </row>
    <row r="100">
      <c r="A100" s="6" t="inlineStr">
        <is>
          <t>House inflation ladder, FY2027</t>
        </is>
      </c>
      <c r="C100" s="32" t="n">
        <v>0.02</v>
      </c>
    </row>
    <row r="101">
      <c r="A101" s="6" t="inlineStr">
        <is>
          <t>House inflation ladder, FY2028</t>
        </is>
      </c>
      <c r="C101" s="32" t="n">
        <v>0.02</v>
      </c>
    </row>
    <row r="102">
      <c r="A102" s="6" t="inlineStr">
        <is>
          <t>House inflation ladder, FY2029</t>
        </is>
      </c>
      <c r="C102" s="32" t="n">
        <v>0.02</v>
      </c>
    </row>
    <row r="103">
      <c r="A103" s="6" t="inlineStr">
        <is>
          <t>House inflation ladder, FY2030</t>
        </is>
      </c>
      <c r="C103" s="32" t="n">
        <v>0.02</v>
      </c>
    </row>
    <row r="104">
      <c r="A104" s="6" t="inlineStr">
        <is>
          <t>Gross-up from time-charter-equivalent revenue to reported revenue</t>
        </is>
      </c>
      <c r="C104" s="28" t="n">
        <v>2.608567993323544</v>
      </c>
    </row>
    <row r="106">
      <c r="A106" s="11" t="inlineStr">
        <is>
          <t>The reviewed first half of 2026, as reported — the anchor every unit is built from</t>
        </is>
      </c>
      <c r="B106" s="16" t="n"/>
      <c r="C106" s="16" t="n"/>
      <c r="D106" s="16" t="n"/>
      <c r="E106" s="16" t="n"/>
      <c r="F106" s="16" t="n"/>
      <c r="G106" s="16" t="n"/>
      <c r="H106" s="16" t="n"/>
    </row>
    <row r="107">
      <c r="A107" s="6" t="inlineStr">
        <is>
          <t>Offshore Contracting — revenue, six months to 30 June 2026 (USD 000)</t>
        </is>
      </c>
      <c r="C107" s="29" t="n">
        <v>667002</v>
      </c>
    </row>
    <row r="108">
      <c r="A108" s="6" t="inlineStr">
        <is>
          <t>Offshore Services — revenue, six months to 30 June 2026 (USD 000)</t>
        </is>
      </c>
      <c r="C108" s="29" t="n">
        <v>371157</v>
      </c>
    </row>
    <row r="109">
      <c r="A109" s="6" t="inlineStr">
        <is>
          <t>Offshore Projects — revenue, six months to 30 June 2026 (USD 000)</t>
        </is>
      </c>
      <c r="C109" s="29" t="n">
        <v>1884</v>
      </c>
    </row>
    <row r="110">
      <c r="A110" s="6" t="inlineStr">
        <is>
          <t>Tankers — revenue, six months to 30 June 2026 (USD 000)</t>
        </is>
      </c>
      <c r="C110" s="29" t="n">
        <v>2102006</v>
      </c>
    </row>
    <row r="111">
      <c r="A111" s="6" t="inlineStr">
        <is>
          <t>Gas Carriers — revenue, six months to 30 June 2026 (USD 000)</t>
        </is>
      </c>
      <c r="C111" s="29" t="n">
        <v>186656</v>
      </c>
    </row>
    <row r="112">
      <c r="A112" s="6" t="inlineStr">
        <is>
          <t>Dry-Bulk and Containers — revenue, six months to 30 June 2026 (USD 000)</t>
        </is>
      </c>
      <c r="C112" s="29" t="n">
        <v>149038</v>
      </c>
    </row>
    <row r="113">
      <c r="A113" s="6" t="inlineStr">
        <is>
          <t>Services — revenue, six months to 30 June 2026 (USD 000)</t>
        </is>
      </c>
      <c r="C113" s="29" t="n">
        <v>188931</v>
      </c>
    </row>
    <row r="114">
      <c r="A114" s="6" t="inlineStr">
        <is>
          <t>Offshore Contracting — EBITDA, six months to 30 June 2026 (USD 000)</t>
        </is>
      </c>
      <c r="C114" s="29" t="n">
        <v>210970</v>
      </c>
    </row>
    <row r="115">
      <c r="A115" s="6" t="inlineStr">
        <is>
          <t>Offshore Services — EBITDA, six months to 30 June 2026 (USD 000)</t>
        </is>
      </c>
      <c r="C115" s="29" t="n">
        <v>89262</v>
      </c>
    </row>
    <row r="116">
      <c r="A116" s="6" t="inlineStr">
        <is>
          <t>Offshore Projects — EBITDA, six months to 30 June 2026 (USD 000)</t>
        </is>
      </c>
      <c r="C116" s="29" t="n">
        <v>-16959</v>
      </c>
    </row>
    <row r="117">
      <c r="A117" s="6" t="inlineStr">
        <is>
          <t>Tankers — EBITDA, six months to 30 June 2026 (USD 000)</t>
        </is>
      </c>
      <c r="C117" s="29" t="n">
        <v>994166</v>
      </c>
    </row>
    <row r="118">
      <c r="A118" s="6" t="inlineStr">
        <is>
          <t>Gas Carriers — EBITDA, six months to 30 June 2026 (USD 000)</t>
        </is>
      </c>
      <c r="C118" s="29" t="n">
        <v>92694</v>
      </c>
    </row>
    <row r="119">
      <c r="A119" s="6" t="inlineStr">
        <is>
          <t>Dry-Bulk and Containers — EBITDA, six months to 30 June 2026 (USD 000)</t>
        </is>
      </c>
      <c r="C119" s="29" t="n">
        <v>52852</v>
      </c>
    </row>
    <row r="120">
      <c r="A120" s="6" t="inlineStr">
        <is>
          <t>Services — EBITDA, six months to 30 June 2026 (USD 000)</t>
        </is>
      </c>
      <c r="C120" s="29" t="n">
        <v>52035</v>
      </c>
    </row>
    <row r="122">
      <c r="A122" s="11" t="inlineStr">
        <is>
          <t>Gas carriers</t>
        </is>
      </c>
      <c r="B122" s="16" t="n"/>
      <c r="C122" s="16" t="n"/>
      <c r="D122" s="16" t="n"/>
      <c r="E122" s="16" t="n"/>
      <c r="F122" s="16" t="n"/>
      <c r="G122" s="16" t="n"/>
      <c r="H122" s="16" t="n"/>
    </row>
    <row r="123">
      <c r="A123" s="6" t="inlineStr">
        <is>
          <t>Consolidated gas vessels in service through 2025 (vessel-years)</t>
        </is>
      </c>
      <c r="C123" s="26" t="n">
        <v>8</v>
      </c>
    </row>
    <row r="124">
      <c r="A124" s="6" t="inlineStr">
        <is>
          <t>Consolidated gas vessels in service through the first half of 2026 (vessel-years)</t>
        </is>
      </c>
      <c r="C124" s="26" t="n">
        <v>9.5</v>
      </c>
    </row>
    <row r="125">
      <c r="A125" s="6" t="inlineStr">
        <is>
          <t>Gas carriers — implied revenue per vessel-day (USD)</t>
        </is>
      </c>
      <c r="C125" s="20">
        <f>Segments!B155</f>
        <v/>
      </c>
    </row>
    <row r="126">
      <c r="A126" s="6" t="inlineStr">
        <is>
          <t>Gas carriers — earnings margin</t>
        </is>
      </c>
      <c r="C126" s="32" t="n">
        <v>0.4966</v>
      </c>
    </row>
    <row r="127">
      <c r="A127" s="6" t="inlineStr">
        <is>
          <t>Share of joint-venture profit carried in the disclosed 2025 Gas Carriers earnings (USD 000)</t>
        </is>
      </c>
      <c r="C127" s="29" t="n">
        <v>24880</v>
      </c>
    </row>
    <row r="128">
      <c r="A128" s="6" t="inlineStr">
        <is>
          <t>Share of joint-venture profit carried in the disclosed 2025 Services earnings (USD 000)</t>
        </is>
      </c>
      <c r="C128" s="29" t="n">
        <v>52160</v>
      </c>
    </row>
    <row r="130">
      <c r="A130" s="11" t="inlineStr">
        <is>
          <t>Gas-carrier contract table — the vessel-years the fleet is contracted for, before and after the August 2026 purchase</t>
        </is>
      </c>
      <c r="B130" s="16" t="inlineStr">
        <is>
          <t>FY2026</t>
        </is>
      </c>
      <c r="C130" s="16" t="inlineStr">
        <is>
          <t>FY2027</t>
        </is>
      </c>
      <c r="D130" s="16" t="inlineStr">
        <is>
          <t>FY2028</t>
        </is>
      </c>
      <c r="E130" s="16" t="inlineStr">
        <is>
          <t>FY2029</t>
        </is>
      </c>
      <c r="F130" s="16" t="inlineStr">
        <is>
          <t>FY2030</t>
        </is>
      </c>
      <c r="G130" s="16" t="n"/>
      <c r="H130" s="16" t="n"/>
    </row>
    <row r="131">
      <c r="A131" s="6" t="inlineStr">
        <is>
          <t>Contracted vessel-years before that purchase — the disclosed contract table</t>
        </is>
      </c>
      <c r="B131" s="26" t="n">
        <v>9.5</v>
      </c>
      <c r="C131" s="26" t="n">
        <v>13</v>
      </c>
      <c r="D131" s="26" t="n">
        <v>21.25</v>
      </c>
      <c r="E131" s="26" t="n">
        <v>25</v>
      </c>
      <c r="F131" s="26" t="n">
        <v>25</v>
      </c>
    </row>
    <row r="132">
      <c r="A132" s="6" t="inlineStr">
        <is>
          <t>Vessel-years the gas carriers bought in August 2026 add — each tranche from its own delivery date</t>
        </is>
      </c>
      <c r="B132" s="40">
        <f>(Assumptions!$B$91*MAX(Assumptions!$B$85-MAX(Assumptions!$B$84,Assumptions!$C$91),0)+Assumptions!$B$92*MAX(Assumptions!$B$85-MAX(Assumptions!$B$84,Assumptions!$C$92),0))/(Assumptions!$B$85-Assumptions!$B$84)</f>
        <v/>
      </c>
      <c r="C132" s="40">
        <f>(Assumptions!$B$91*MAX(Assumptions!$C$85-MAX(Assumptions!$C$84,Assumptions!$C$91),0)+Assumptions!$B$92*MAX(Assumptions!$C$85-MAX(Assumptions!$C$84,Assumptions!$C$92),0))/(Assumptions!$C$85-Assumptions!$C$84)</f>
        <v/>
      </c>
      <c r="D132" s="40">
        <f>(Assumptions!$B$91*MAX(Assumptions!$D$85-MAX(Assumptions!$D$84,Assumptions!$C$91),0)+Assumptions!$B$92*MAX(Assumptions!$D$85-MAX(Assumptions!$D$84,Assumptions!$C$92),0))/(Assumptions!$D$85-Assumptions!$D$84)</f>
        <v/>
      </c>
      <c r="E132" s="40">
        <f>(Assumptions!$B$91*MAX(Assumptions!$E$85-MAX(Assumptions!$E$84,Assumptions!$C$91),0)+Assumptions!$B$92*MAX(Assumptions!$E$85-MAX(Assumptions!$E$84,Assumptions!$C$92),0))/(Assumptions!$E$85-Assumptions!$E$84)</f>
        <v/>
      </c>
      <c r="F132" s="40">
        <f>(Assumptions!$B$91*MAX(Assumptions!$F$85-MAX(Assumptions!$F$84,Assumptions!$C$91),0)+Assumptions!$B$92*MAX(Assumptions!$F$85-MAX(Assumptions!$F$84,Assumptions!$C$92),0))/(Assumptions!$F$85-Assumptions!$F$84)</f>
        <v/>
      </c>
    </row>
    <row r="133">
      <c r="A133" s="6" t="inlineStr">
        <is>
          <t>Gas carriers — contracted vessel-years</t>
        </is>
      </c>
      <c r="B133" s="41">
        <f>B131+B132</f>
        <v/>
      </c>
      <c r="C133" s="41">
        <f>C131+C132</f>
        <v/>
      </c>
      <c r="D133" s="41">
        <f>D131+D132</f>
        <v/>
      </c>
      <c r="E133" s="41">
        <f>E131+E132</f>
        <v/>
      </c>
      <c r="F133" s="41">
        <f>F131+F132</f>
        <v/>
      </c>
    </row>
    <row r="135">
      <c r="A135" s="11" t="inlineStr">
        <is>
          <t>The remaining five units — revenue and margin drivers</t>
        </is>
      </c>
      <c r="B135" s="16" t="inlineStr">
        <is>
          <t>FY2026</t>
        </is>
      </c>
      <c r="C135" s="16" t="inlineStr">
        <is>
          <t>FY2027</t>
        </is>
      </c>
      <c r="D135" s="16" t="inlineStr">
        <is>
          <t>FY2028</t>
        </is>
      </c>
      <c r="E135" s="16" t="inlineStr">
        <is>
          <t>FY2029</t>
        </is>
      </c>
      <c r="F135" s="16" t="inlineStr">
        <is>
          <t>FY2030</t>
        </is>
      </c>
      <c r="G135" s="16" t="n"/>
      <c r="H135" s="16" t="n"/>
    </row>
    <row r="136">
      <c r="A136" s="6" t="inlineStr">
        <is>
          <t>Offshore Contracting — revenue (USD 000)</t>
        </is>
      </c>
      <c r="B136" s="29" t="n">
        <v>1334004</v>
      </c>
      <c r="C136" s="29" t="n">
        <v>1387364.16</v>
      </c>
      <c r="D136" s="29" t="n">
        <v>1442858.7264</v>
      </c>
      <c r="E136" s="29" t="n">
        <v>1500573.075456</v>
      </c>
      <c r="F136" s="29" t="n">
        <v>1560595.99847424</v>
      </c>
    </row>
    <row r="137">
      <c r="A137" s="6" t="inlineStr">
        <is>
          <t>Offshore Contracting — earnings margin</t>
        </is>
      </c>
      <c r="B137" s="32" t="n">
        <v>0.3875565590507974</v>
      </c>
      <c r="C137" s="32" t="n">
        <v>0.3875565590507974</v>
      </c>
      <c r="D137" s="32" t="n">
        <v>0.3875565590507974</v>
      </c>
      <c r="E137" s="32" t="n">
        <v>0.3875565590507974</v>
      </c>
      <c r="F137" s="32" t="n">
        <v>0.3875565590507974</v>
      </c>
    </row>
    <row r="138">
      <c r="A138" s="6" t="inlineStr">
        <is>
          <t>Offshore Services — revenue (USD 000)</t>
        </is>
      </c>
      <c r="B138" s="29" t="n">
        <v>742314</v>
      </c>
      <c r="C138" s="29" t="n">
        <v>779429.7000000001</v>
      </c>
      <c r="D138" s="29" t="n">
        <v>818401.1850000001</v>
      </c>
      <c r="E138" s="29" t="n">
        <v>859321.2442500001</v>
      </c>
      <c r="F138" s="29" t="n">
        <v>902287.3064625001</v>
      </c>
    </row>
    <row r="139">
      <c r="A139" s="6" t="inlineStr">
        <is>
          <t>Offshore Services — earnings margin</t>
        </is>
      </c>
      <c r="B139" s="32" t="n">
        <v>0.2404966092516105</v>
      </c>
      <c r="C139" s="32" t="n">
        <v>0.2404966092516105</v>
      </c>
      <c r="D139" s="32" t="n">
        <v>0.2404966092516105</v>
      </c>
      <c r="E139" s="32" t="n">
        <v>0.2404966092516105</v>
      </c>
      <c r="F139" s="32" t="n">
        <v>0.2404966092516105</v>
      </c>
    </row>
    <row r="140">
      <c r="A140" s="6" t="inlineStr">
        <is>
          <t>Offshore Projects — revenue (USD 000)</t>
        </is>
      </c>
      <c r="B140" s="29" t="n">
        <v>3768</v>
      </c>
      <c r="C140" s="29" t="n">
        <v>3768</v>
      </c>
      <c r="D140" s="29" t="n">
        <v>3768</v>
      </c>
      <c r="E140" s="29" t="n">
        <v>3768</v>
      </c>
      <c r="F140" s="29" t="n">
        <v>3768</v>
      </c>
    </row>
    <row r="141">
      <c r="A141" s="6" t="inlineStr">
        <is>
          <t>Offshore Projects — earnings margin</t>
        </is>
      </c>
      <c r="B141" s="32" t="n">
        <v>0</v>
      </c>
      <c r="C141" s="32" t="n">
        <v>0</v>
      </c>
      <c r="D141" s="32" t="n">
        <v>0</v>
      </c>
      <c r="E141" s="32" t="n">
        <v>0</v>
      </c>
      <c r="F141" s="32" t="n">
        <v>0</v>
      </c>
    </row>
    <row r="142">
      <c r="A142" s="6" t="inlineStr">
        <is>
          <t>Dry-Bulk and Containers — revenue (USD 000)</t>
        </is>
      </c>
      <c r="B142" s="29" t="n">
        <v>298076</v>
      </c>
      <c r="C142" s="29" t="n">
        <v>279819</v>
      </c>
      <c r="D142" s="29" t="n">
        <v>261562</v>
      </c>
      <c r="E142" s="29" t="n">
        <v>243305</v>
      </c>
      <c r="F142" s="29" t="n">
        <v>225048</v>
      </c>
    </row>
    <row r="143">
      <c r="A143" s="6" t="inlineStr">
        <is>
          <t>Dry-Bulk and Containers — earnings margin</t>
        </is>
      </c>
      <c r="B143" s="32" t="n">
        <v>0.3546209691488077</v>
      </c>
      <c r="C143" s="32" t="n">
        <v>0.3080256429683919</v>
      </c>
      <c r="D143" s="32" t="n">
        <v>0.2614303167879761</v>
      </c>
      <c r="E143" s="32" t="n">
        <v>0.2148349906075603</v>
      </c>
      <c r="F143" s="32" t="n">
        <v>0.1682396644271444</v>
      </c>
    </row>
    <row r="144">
      <c r="A144" s="6" t="inlineStr">
        <is>
          <t>Services — revenue (USD 000)</t>
        </is>
      </c>
      <c r="B144" s="29" t="n">
        <v>377862</v>
      </c>
      <c r="C144" s="29" t="n">
        <v>392976.48</v>
      </c>
      <c r="D144" s="29" t="n">
        <v>408695.5392000001</v>
      </c>
      <c r="E144" s="29" t="n">
        <v>425043.360768</v>
      </c>
      <c r="F144" s="29" t="n">
        <v>442045.0951987201</v>
      </c>
    </row>
    <row r="145">
      <c r="A145" s="6" t="inlineStr">
        <is>
          <t>Services — earnings margin</t>
        </is>
      </c>
      <c r="B145" s="32" t="n">
        <v>0.2754180097495911</v>
      </c>
      <c r="C145" s="32" t="n">
        <v>0.2754180097495911</v>
      </c>
      <c r="D145" s="32" t="n">
        <v>0.2754180097495911</v>
      </c>
      <c r="E145" s="32" t="n">
        <v>0.2754180097495911</v>
      </c>
      <c r="F145" s="32" t="n">
        <v>0.2754180097495911</v>
      </c>
    </row>
    <row r="147">
      <c r="A147" s="11" t="inlineStr">
        <is>
          <t>Capital expenditure, depreciation and working capital</t>
        </is>
      </c>
      <c r="B147" s="16" t="inlineStr">
        <is>
          <t>FY2026</t>
        </is>
      </c>
      <c r="C147" s="16" t="inlineStr">
        <is>
          <t>FY2027</t>
        </is>
      </c>
      <c r="D147" s="16" t="inlineStr">
        <is>
          <t>FY2028</t>
        </is>
      </c>
      <c r="E147" s="16" t="inlineStr">
        <is>
          <t>FY2029</t>
        </is>
      </c>
      <c r="F147" s="16" t="inlineStr">
        <is>
          <t>FY2030</t>
        </is>
      </c>
      <c r="G147" s="16" t="n"/>
      <c r="H147" s="16" t="n"/>
    </row>
    <row r="148">
      <c r="A148" s="6" t="inlineStr">
        <is>
          <t>Capital expenditure (USD 000)</t>
        </is>
      </c>
      <c r="B148" s="29" t="n">
        <v>1375000</v>
      </c>
      <c r="C148" s="29" t="n">
        <v>1245000</v>
      </c>
      <c r="D148" s="29" t="n">
        <v>1245000</v>
      </c>
      <c r="E148" s="29" t="n">
        <v>700000</v>
      </c>
      <c r="F148" s="29" t="n">
        <v>650000</v>
      </c>
    </row>
    <row r="149">
      <c r="A149" s="6" t="inlineStr">
        <is>
          <t>Depreciation rate on property, plant and equipment</t>
        </is>
      </c>
      <c r="C149" s="30" t="n">
        <v>0.0591</v>
      </c>
    </row>
    <row r="150">
      <c r="A150" s="6" t="inlineStr">
        <is>
          <t>Other depreciation and amortisation, 2026 run rate (USD 000)</t>
        </is>
      </c>
      <c r="C150" s="29" t="n">
        <v>112962</v>
      </c>
    </row>
    <row r="151">
      <c r="A151" s="6" t="inlineStr">
        <is>
          <t>Days sales outstanding measured on REPORTED 2025 revenue</t>
        </is>
      </c>
      <c r="C151" s="19">
        <f>'Balance Sheet'!D12/'Income Statement'!D5*365</f>
        <v/>
      </c>
    </row>
    <row r="152">
      <c r="A152" s="6" t="inlineStr">
        <is>
          <t>Gross-up inside 2025 reported revenue — reported tanker revenue over the same fleet's charter-equivalent revenue</t>
        </is>
      </c>
      <c r="C152" s="42">
        <f>Segments!D8/Segments!B139</f>
        <v/>
      </c>
    </row>
    <row r="153">
      <c r="A153" s="6" t="inlineStr">
        <is>
          <t>Gross-up the forecast is built at, from 2026 onward</t>
        </is>
      </c>
      <c r="C153" s="42">
        <f>Assumptions!$C$104</f>
        <v/>
      </c>
    </row>
    <row r="154">
      <c r="A154" s="6" t="inlineStr">
        <is>
          <t>Days sales outstanding — the reported ratio RE-BASED onto the revenue basis the forecast actually uses</t>
        </is>
      </c>
      <c r="C154" s="19">
        <f>C151*'Income Statement'!D5/('Income Statement'!D5-Segments!D8+Segments!D8/C152*C153)</f>
        <v/>
      </c>
    </row>
    <row r="155">
      <c r="A155" s="6" t="inlineStr">
        <is>
          <t>Days inventory outstanding</t>
        </is>
      </c>
      <c r="C155" s="19">
        <f>'Balance Sheet'!D11/'Income Statement'!D17*365</f>
        <v/>
      </c>
    </row>
    <row r="156">
      <c r="A156" s="6" t="inlineStr">
        <is>
          <t>Days payable outstanding</t>
        </is>
      </c>
      <c r="C156" s="19">
        <f>'Balance Sheet'!D15/'Income Statement'!D17*365</f>
        <v/>
      </c>
    </row>
    <row r="157">
      <c r="A157" s="6" t="inlineStr">
        <is>
          <t>Net working capital at 31 December 2025 (USD 000)</t>
        </is>
      </c>
      <c r="C157" s="20">
        <f>'Balance Sheet'!D16</f>
        <v/>
      </c>
    </row>
    <row r="159">
      <c r="A159" s="11" t="inlineStr">
        <is>
          <t>DEPRECIATION — THE RATE USED, THE RATE REALISED IN 2025 AND THE DISCLOSED USEFUL LIVES, SO THE CHOICE CAN BE JUDGED. These three are memoranda: the rate the model runs on is the blue driver above, and it is sensitised</t>
        </is>
      </c>
      <c r="B159" s="16" t="inlineStr">
        <is>
          <t>Memorandum</t>
        </is>
      </c>
      <c r="C159" s="16" t="n"/>
      <c r="D159" s="16" t="n"/>
      <c r="E159" s="16" t="n"/>
      <c r="F159" s="16" t="n"/>
      <c r="G159" s="16" t="n"/>
      <c r="H159" s="16" t="n"/>
    </row>
    <row r="160">
      <c r="A160" s="6" t="inlineStr">
        <is>
          <t>The rate used — first-quarter 2026 depreciation annualised over that quarter's average balance (the driver above)</t>
        </is>
      </c>
      <c r="B160" s="21">
        <f>C149</f>
        <v/>
      </c>
    </row>
    <row r="161">
      <c r="A161" s="6" t="inlineStr">
        <is>
          <t>The rate realised in 2025 — depreciation charged on property, plant and equipment over the average balance for that year</t>
        </is>
      </c>
      <c r="B161" s="30" t="n">
        <v>0.0675</v>
      </c>
    </row>
    <row r="162">
      <c r="A162"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62" s="29" t="n">
        <v>25</v>
      </c>
    </row>
    <row r="163">
      <c r="A163" s="6" t="inlineStr">
        <is>
          <t>Average life implied by the rate used (years)</t>
        </is>
      </c>
      <c r="B163" s="40">
        <f>1/C149</f>
        <v/>
      </c>
    </row>
    <row r="165">
      <c r="A165" s="11" t="inlineStr">
        <is>
          <t>Tax by business unit and the 2025 depreciation allocation basis</t>
        </is>
      </c>
      <c r="B165" s="16" t="n"/>
      <c r="C165" s="16" t="n"/>
      <c r="D165" s="16" t="n"/>
      <c r="E165" s="16" t="n"/>
      <c r="F165" s="16" t="n"/>
      <c r="G165" s="16" t="n"/>
      <c r="H165" s="16" t="n"/>
    </row>
    <row r="166">
      <c r="A166" s="6" t="inlineStr">
        <is>
          <t>Integrated Logistics — income tax rate</t>
        </is>
      </c>
      <c r="C166" s="32" t="n">
        <v>0.09</v>
      </c>
    </row>
    <row r="167">
      <c r="A167" s="6" t="inlineStr">
        <is>
          <t>Shipping — income tax rate</t>
        </is>
      </c>
      <c r="C167" s="32" t="n">
        <v>0.01</v>
      </c>
    </row>
    <row r="168">
      <c r="A168" s="6" t="inlineStr">
        <is>
          <t>Services — income tax rate</t>
        </is>
      </c>
      <c r="C168" s="32" t="n">
        <v>0.04</v>
      </c>
    </row>
    <row r="169">
      <c r="A169" s="6" t="inlineStr">
        <is>
          <t>Offshore Contracting — 2025 depreciation and amortisation (USD 000)</t>
        </is>
      </c>
      <c r="C169" s="29" t="n">
        <v>151367</v>
      </c>
    </row>
    <row r="170">
      <c r="A170" s="6" t="inlineStr">
        <is>
          <t>Offshore Services — 2025 depreciation and amortisation (USD 000)</t>
        </is>
      </c>
      <c r="C170" s="29" t="n">
        <v>62963</v>
      </c>
    </row>
    <row r="171">
      <c r="A171" s="6" t="inlineStr">
        <is>
          <t>Offshore Projects — 2025 depreciation and amortisation (USD 000)</t>
        </is>
      </c>
      <c r="C171" s="29" t="n">
        <v>8860</v>
      </c>
    </row>
    <row r="172">
      <c r="A172" s="6" t="inlineStr">
        <is>
          <t>Tankers — 2025 depreciation and amortisation (USD 000)</t>
        </is>
      </c>
      <c r="C172" s="29" t="n">
        <v>195374</v>
      </c>
    </row>
    <row r="173">
      <c r="A173" s="6" t="inlineStr">
        <is>
          <t>Gas Carriers — 2025 depreciation and amortisation (USD 000)</t>
        </is>
      </c>
      <c r="C173" s="29" t="n">
        <v>50526</v>
      </c>
    </row>
    <row r="174">
      <c r="A174" s="6" t="inlineStr">
        <is>
          <t>Dry-Bulk and Containers — 2025 depreciation and amortisation (USD 000)</t>
        </is>
      </c>
      <c r="C174" s="29" t="n">
        <v>25225</v>
      </c>
    </row>
    <row r="175">
      <c r="A175" s="6" t="inlineStr">
        <is>
          <t>Services — 2025 depreciation and amortisation (USD 000)</t>
        </is>
      </c>
      <c r="C175" s="29" t="n">
        <v>30297</v>
      </c>
    </row>
    <row r="177">
      <c r="A177" s="11" t="inlineStr">
        <is>
          <t>Funding, distributions and the bridge</t>
        </is>
      </c>
      <c r="B177" s="16" t="n"/>
      <c r="C177" s="16" t="n"/>
      <c r="D177" s="16" t="n"/>
      <c r="E177" s="16" t="n"/>
      <c r="F177" s="16" t="n"/>
      <c r="G177" s="16" t="n"/>
      <c r="H177" s="16" t="n"/>
    </row>
    <row r="178">
      <c r="A178" s="6" t="inlineStr">
        <is>
          <t>Net debt at 30 June 2026, company basis (USD 000)</t>
        </is>
      </c>
      <c r="C178" s="29" t="n">
        <v>257318</v>
      </c>
    </row>
    <row r="179">
      <c r="A179" s="6" t="inlineStr">
        <is>
          <t>Interim dividend declared after the balance-sheet date (USD 000)</t>
        </is>
      </c>
      <c r="C179" s="29" t="n">
        <v>85300</v>
      </c>
    </row>
    <row r="180">
      <c r="A180" s="6" t="inlineStr">
        <is>
          <t>Deferred consideration on acquisitions (USD 000)</t>
        </is>
      </c>
      <c r="C180" s="29" t="n">
        <v>304297</v>
      </c>
    </row>
    <row r="181">
      <c r="A181" s="6" t="inlineStr">
        <is>
          <t>Perpetual capital securities at carrying value (USD 000)</t>
        </is>
      </c>
      <c r="C181" s="29" t="n">
        <v>1978619</v>
      </c>
    </row>
    <row r="182">
      <c r="A182" s="6" t="inlineStr">
        <is>
          <t>Perpetual capital securities margin over the overnight rate</t>
        </is>
      </c>
      <c r="C182" s="30" t="n">
        <v>0.0125</v>
      </c>
    </row>
    <row r="183">
      <c r="A183" s="6" t="inlineStr">
        <is>
          <t>Non-controlling interests at carrying value (USD 000)</t>
        </is>
      </c>
      <c r="C183" s="29" t="n">
        <v>289197</v>
      </c>
    </row>
    <row r="184">
      <c r="A184" s="6" t="inlineStr">
        <is>
          <t>Of which arose on the tanker combination — the 20% contracted for purchase in mid-2027 (USD 000)</t>
        </is>
      </c>
      <c r="C184" s="29" t="n">
        <v>251985</v>
      </c>
    </row>
    <row r="185">
      <c r="A185" s="6" t="inlineStr">
        <is>
          <t>Non-controlling interests' share of profit</t>
        </is>
      </c>
      <c r="C185" s="32" t="n">
        <v>0.0454</v>
      </c>
    </row>
    <row r="186">
      <c r="A186" s="6" t="inlineStr">
        <is>
          <t>Joint ventures and associates at carrying value (USD 000)</t>
        </is>
      </c>
      <c r="C186" s="29" t="n">
        <v>522768</v>
      </c>
    </row>
    <row r="187">
      <c r="A187" s="6" t="inlineStr">
        <is>
          <t>Equity attributable to shareholders at 31 March 2026 (USD 000)</t>
        </is>
      </c>
      <c r="C187" s="29" t="n">
        <v>5883066</v>
      </c>
    </row>
    <row r="188">
      <c r="A188" s="6" t="inlineStr">
        <is>
          <t>Cash and cash equivalents held (USD 000)</t>
        </is>
      </c>
      <c r="C188" s="29" t="n">
        <v>542682</v>
      </c>
    </row>
    <row r="189">
      <c r="A189" s="6" t="inlineStr">
        <is>
          <t>Intangible assets (USD 000)</t>
        </is>
      </c>
      <c r="C189" s="29" t="n">
        <v>16192</v>
      </c>
    </row>
    <row r="190">
      <c r="A190" s="6" t="inlineStr">
        <is>
          <t>Goodwill (USD 000)</t>
        </is>
      </c>
      <c r="C190" s="20">
        <f>'Balance Sheet'!D8</f>
        <v/>
      </c>
    </row>
    <row r="191">
      <c r="A191" s="6" t="inlineStr">
        <is>
          <t>Ordinary dividend declared for 2026 (USD 000)</t>
        </is>
      </c>
      <c r="C191" s="29" t="n">
        <v>341000</v>
      </c>
    </row>
    <row r="192">
      <c r="A192" s="6" t="inlineStr">
        <is>
          <t>Ordinary dividend growth</t>
        </is>
      </c>
      <c r="C192" s="32" t="n">
        <v>0.05</v>
      </c>
    </row>
    <row r="193">
      <c r="A193" s="6" t="inlineStr">
        <is>
          <t>Terminal growth</t>
        </is>
      </c>
      <c r="C193" s="32" t="n">
        <v>0.02</v>
      </c>
    </row>
    <row r="195">
      <c r="A195" s="11" t="inlineStr">
        <is>
          <t>Lens weights and the multiple blend</t>
        </is>
      </c>
      <c r="B195" s="16" t="n"/>
      <c r="C195" s="16" t="n"/>
      <c r="D195" s="16" t="n"/>
      <c r="E195" s="16" t="n"/>
      <c r="F195" s="16" t="n"/>
      <c r="G195" s="16" t="n"/>
      <c r="H195" s="16" t="n"/>
    </row>
    <row r="196">
      <c r="A196" s="6" t="inlineStr">
        <is>
          <t>Share of 2026 earnings exposed to spot rates</t>
        </is>
      </c>
      <c r="C196" s="32" t="n">
        <v>0.31</v>
      </c>
    </row>
    <row r="197">
      <c r="A197" s="6" t="inlineStr">
        <is>
          <t>Rate at which the return above the cost of equity fades beyond the forecast (the book lens)</t>
        </is>
      </c>
      <c r="C197" s="32" t="n">
        <v>0.1</v>
      </c>
    </row>
    <row r="198">
      <c r="A198" s="6" t="inlineStr">
        <is>
          <t>Weight on the enterprise multiple within the relative lens</t>
        </is>
      </c>
      <c r="C198" s="32" t="n">
        <v>0.7</v>
      </c>
    </row>
    <row r="199">
      <c r="A199" s="6" t="inlineStr">
        <is>
          <t>Weight — discounted cash flow</t>
        </is>
      </c>
      <c r="C199" s="32" t="n">
        <v>0.4</v>
      </c>
    </row>
    <row r="200">
      <c r="A200" s="6" t="inlineStr">
        <is>
          <t>Weight — relative multiples</t>
        </is>
      </c>
      <c r="C200" s="32" t="n">
        <v>0.25</v>
      </c>
    </row>
    <row r="201">
      <c r="A201" s="6" t="inlineStr">
        <is>
          <t>Weight — normalised earnings power</t>
        </is>
      </c>
      <c r="C201" s="32" t="n">
        <v>0.2</v>
      </c>
    </row>
    <row r="202">
      <c r="A202" s="6" t="inlineStr">
        <is>
          <t>Weight — book value and sustainable return</t>
        </is>
      </c>
      <c r="C202" s="32" t="n">
        <v>0.15</v>
      </c>
    </row>
    <row r="204">
      <c r="A204"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3">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Assumptions!$C$186</f>
        <v/>
      </c>
      <c r="D9" s="9">
        <f>C9/Assumptions!$C$6/1000*Assumptions!$C$7</f>
        <v/>
      </c>
    </row>
    <row r="10">
      <c r="A10" s="16" t="inlineStr">
        <is>
          <t>Enterprise value</t>
        </is>
      </c>
      <c r="B10" s="16" t="n"/>
      <c r="C10" s="43">
        <f>C7+C9</f>
        <v/>
      </c>
      <c r="D10" s="17">
        <f>C10/Assumptions!$C$6/1000*Assumptions!$C$7</f>
        <v/>
      </c>
    </row>
    <row r="11">
      <c r="A11" s="6" t="inlineStr">
        <is>
          <t>Less net debt at 30 June 2026</t>
        </is>
      </c>
      <c r="C11" s="20">
        <f>-Assumptions!$C$178</f>
        <v/>
      </c>
      <c r="D11" s="9">
        <f>C11/Assumptions!$C$6/1000*Assumptions!$C$7</f>
        <v/>
      </c>
    </row>
    <row r="12">
      <c r="A12" s="6" t="inlineStr">
        <is>
          <t>Less deferred consideration on acquisitions</t>
        </is>
      </c>
      <c r="C12" s="20">
        <f>-Assumptions!$C$180</f>
        <v/>
      </c>
      <c r="D12" s="9">
        <f>C12/Assumptions!$C$6/1000*Assumptions!$C$7</f>
        <v/>
      </c>
    </row>
    <row r="13">
      <c r="A13" s="6" t="inlineStr">
        <is>
          <t>Less the eleven vessels bought on 7 August 2026, at the announced price</t>
        </is>
      </c>
      <c r="C13" s="20">
        <f>-Assumptions!$C$88</f>
        <v/>
      </c>
      <c r="D13" s="9">
        <f>C13/Assumptions!$C$6/1000*Assumptions!$C$7</f>
        <v/>
      </c>
    </row>
    <row r="14">
      <c r="A14" s="6" t="inlineStr">
        <is>
          <t>Less perpetual capital securities at carrying value</t>
        </is>
      </c>
      <c r="C14" s="20">
        <f>-Assumptions!$C$181</f>
        <v/>
      </c>
      <c r="D14" s="9">
        <f>C14/Assumptions!$C$6/1000*Assumptions!$C$7</f>
        <v/>
      </c>
    </row>
    <row r="15">
      <c r="A15" s="6" t="inlineStr">
        <is>
          <t>Less the interim dividend declared after the balance-sheet date, on a record date already past</t>
        </is>
      </c>
      <c r="C15" s="20">
        <f>-Assumptions!$C$179</f>
        <v/>
      </c>
      <c r="D15" s="9">
        <f>C15/Assumptions!$C$6/1000*Assumptions!$C$7</f>
        <v/>
      </c>
    </row>
    <row r="16">
      <c r="A16" s="6" t="inlineStr">
        <is>
          <t>Equity value before the minorities</t>
        </is>
      </c>
      <c r="C16" s="33">
        <f>C10+C11+C12+C13+C14+C15</f>
        <v/>
      </c>
      <c r="D16" s="9">
        <f>C16/Assumptions!$C$6/1000*Assumptions!$C$7</f>
        <v/>
      </c>
    </row>
    <row r="17">
      <c r="A17" s="6" t="inlineStr">
        <is>
          <t>Less non-controlling interests — the contracted slice at its contracted price, the rest at the greater of book and value</t>
        </is>
      </c>
      <c r="C17" s="20">
        <f>DCF!$C$60</f>
        <v/>
      </c>
      <c r="D17" s="9">
        <f>C17/Assumptions!$C$6/1000*Assumptions!$C$7</f>
        <v/>
      </c>
    </row>
    <row r="18">
      <c r="A18" s="16" t="inlineStr">
        <is>
          <t>Equity attributable to ordinary shareholders</t>
        </is>
      </c>
      <c r="B18" s="16" t="n"/>
      <c r="C18" s="43">
        <f>C16+C17</f>
        <v/>
      </c>
      <c r="D18" s="17">
        <f>C18/Assumptions!$C$6/1000*Assumptions!$C$7</f>
        <v/>
      </c>
    </row>
    <row r="19">
      <c r="A19" s="6" t="inlineStr">
        <is>
          <t>Fair value per share (USD)</t>
        </is>
      </c>
      <c r="C19" s="9">
        <f>C18/Assumptions!$C$6/1000</f>
        <v/>
      </c>
    </row>
    <row r="20">
      <c r="A20" s="16" t="inlineStr">
        <is>
          <t>Fair value per share (AED)</t>
        </is>
      </c>
      <c r="B20" s="16" t="n"/>
      <c r="C20" s="17">
        <f>C19*Assumptions!$C$7</f>
        <v/>
      </c>
      <c r="D20" s="16" t="n"/>
    </row>
    <row r="22">
      <c r="A22" s="11" t="inlineStr">
        <is>
          <t>THE SUM-OF-THE-PARTS CROSS-CHECK — EACH LEG ON ITS OWN MULTIPLE</t>
        </is>
      </c>
      <c r="B22" s="5" t="inlineStr"/>
      <c r="C22" s="5" t="inlineStr">
        <is>
          <t>2026E EBITDA</t>
        </is>
      </c>
      <c r="D22" s="5" t="inlineStr">
        <is>
          <t>Multiple</t>
        </is>
      </c>
      <c r="E22" s="5" t="inlineStr">
        <is>
          <t>Enterprise value</t>
        </is>
      </c>
      <c r="F22" s="5" t="inlineStr">
        <is>
          <t>Basis</t>
        </is>
      </c>
    </row>
    <row r="23" ht="28" customHeight="1">
      <c r="A23" s="6" t="inlineStr">
        <is>
          <t>Integrated Logistics</t>
        </is>
      </c>
      <c r="B23" s="20">
        <f>Segments!B206</f>
        <v/>
      </c>
      <c r="C23" s="44">
        <f>C29</f>
        <v/>
      </c>
      <c r="D23" s="33">
        <f>B23*C23</f>
        <v/>
      </c>
      <c r="E23" s="22" t="inlineStr">
        <is>
          <t>a contracted-fleet multiple, because this leg earns under long-term contracts</t>
        </is>
      </c>
    </row>
    <row r="24" ht="28" customHeight="1">
      <c r="A24" s="6" t="inlineStr">
        <is>
          <t>Shipping</t>
        </is>
      </c>
      <c r="B24" s="20">
        <f>Segments!B207</f>
        <v/>
      </c>
      <c r="C24" s="44">
        <f>C32</f>
        <v/>
      </c>
      <c r="D24" s="33">
        <f>B24*C24</f>
        <v/>
      </c>
      <c r="E24" s="22" t="inlineStr">
        <is>
          <t>a blend of the contracted and spot multiples, weighted by the company's own disclosed share of earnings exposed to spot rates</t>
        </is>
      </c>
    </row>
    <row r="25" ht="28" customHeight="1">
      <c r="A25" s="6" t="inlineStr">
        <is>
          <t>Services</t>
        </is>
      </c>
      <c r="B25" s="20">
        <f>Segments!B208</f>
        <v/>
      </c>
      <c r="C25" s="44">
        <f>C29</f>
        <v/>
      </c>
      <c r="D25" s="33">
        <f>B25*C25</f>
        <v/>
      </c>
      <c r="E25" s="22" t="inlineStr">
        <is>
          <t>a contracted-fleet multiple, because this leg earns under long-term contracts</t>
        </is>
      </c>
    </row>
    <row r="26">
      <c r="A26" s="11" t="inlineStr">
        <is>
          <t>Enterprise value of the operating legs</t>
        </is>
      </c>
      <c r="B26" s="16" t="n"/>
      <c r="C26" s="16" t="n"/>
      <c r="D26" s="45">
        <f>SUM(D23:D25)</f>
        <v/>
      </c>
      <c r="E26" s="16" t="n"/>
      <c r="F26" s="16" t="n"/>
    </row>
    <row r="28">
      <c r="A28" s="11" t="inlineStr">
        <is>
          <t>THE SHIPPING MULTIPLE, BUILT — NOT PASTED</t>
        </is>
      </c>
      <c r="B28" s="16" t="n"/>
      <c r="C28" s="16" t="n"/>
      <c r="D28" s="16" t="n"/>
      <c r="E28" s="16" t="n"/>
      <c r="F28" s="16" t="n"/>
    </row>
    <row r="29">
      <c r="A29" s="6" t="inlineStr">
        <is>
          <t>Contracted-fleet multiple (long-term contracted gas shipping peer)</t>
        </is>
      </c>
      <c r="C29" s="46">
        <f>'Peer &amp; Sector'!$C$10</f>
        <v/>
      </c>
    </row>
    <row r="30">
      <c r="A30" s="6" t="inlineStr">
        <is>
          <t>Spot-tanker multiple (average of the two spot-tanker peers)</t>
        </is>
      </c>
      <c r="C30" s="46">
        <f>'Peer &amp; Sector'!$C$11</f>
        <v/>
      </c>
    </row>
    <row r="31">
      <c r="A31" s="6" t="inlineStr">
        <is>
          <t>Share of 2026 earnings exposed to spot rates, as disclosed</t>
        </is>
      </c>
      <c r="C31" s="8">
        <f>Assumptions!$C$196</f>
        <v/>
      </c>
    </row>
    <row r="32">
      <c r="A32" s="6" t="inlineStr">
        <is>
          <t>Shipping multiple — the two weighted by that share</t>
        </is>
      </c>
      <c r="C32" s="44">
        <f>(1-C31)*C29+C31*C30</f>
        <v/>
      </c>
    </row>
    <row r="34">
      <c r="A34" s="11" t="inlineStr">
        <is>
          <t>THE SUM-OF-THE-PARTS BRIDGE TO EQUITY</t>
        </is>
      </c>
      <c r="B34" s="16" t="n"/>
      <c r="C34" s="16" t="n"/>
      <c r="D34" s="16" t="n"/>
      <c r="E34" s="16" t="n"/>
      <c r="F34" s="16" t="n"/>
    </row>
    <row r="35">
      <c r="A35" s="6" t="inlineStr">
        <is>
          <t>Enterprise value of the operating legs</t>
        </is>
      </c>
      <c r="C35" s="33">
        <f>D26</f>
        <v/>
      </c>
    </row>
    <row r="36">
      <c r="A36" s="6" t="inlineStr">
        <is>
          <t>Plus joint ventures and associates at carrying value</t>
        </is>
      </c>
      <c r="C36" s="20">
        <f>Assumptions!$C$186</f>
        <v/>
      </c>
    </row>
    <row r="37">
      <c r="A37" s="6" t="inlineStr">
        <is>
          <t>Enterprise value</t>
        </is>
      </c>
      <c r="C37" s="38">
        <f>C35+C36</f>
        <v/>
      </c>
    </row>
    <row r="38">
      <c r="A38" s="6" t="inlineStr">
        <is>
          <t>Less net debt at 30 June 2026</t>
        </is>
      </c>
      <c r="C38" s="20">
        <f>-Assumptions!$C$178</f>
        <v/>
      </c>
    </row>
    <row r="39">
      <c r="A39" s="6" t="inlineStr">
        <is>
          <t>Less deferred consideration on acquisitions</t>
        </is>
      </c>
      <c r="C39" s="20">
        <f>-Assumptions!$C$180</f>
        <v/>
      </c>
    </row>
    <row r="40">
      <c r="A40" s="6" t="inlineStr">
        <is>
          <t>Less the eleven vessels bought on 7 August 2026, at the announced price</t>
        </is>
      </c>
      <c r="C40" s="20">
        <f>-Assumptions!$C$88</f>
        <v/>
      </c>
    </row>
    <row r="41">
      <c r="A41" s="6" t="inlineStr">
        <is>
          <t>Less perpetual capital securities at carrying value</t>
        </is>
      </c>
      <c r="C41" s="20">
        <f>-Assumptions!$C$181</f>
        <v/>
      </c>
    </row>
    <row r="42">
      <c r="A42" s="6" t="inlineStr">
        <is>
          <t>Less the interim dividend declared after the balance-sheet date</t>
        </is>
      </c>
      <c r="C42" s="20">
        <f>-Assumptions!$C$179</f>
        <v/>
      </c>
    </row>
    <row r="43">
      <c r="A43" s="6" t="inlineStr">
        <is>
          <t>Less non-controlling interests at carrying value</t>
        </is>
      </c>
      <c r="C43" s="20">
        <f>-Assumptions!$C$183</f>
        <v/>
      </c>
    </row>
    <row r="44">
      <c r="A44" s="16" t="inlineStr">
        <is>
          <t>Equity attributable to ordinary shareholders</t>
        </is>
      </c>
      <c r="B44" s="16" t="n"/>
      <c r="C44" s="43">
        <f>C37+C38+C39+C40+C41+C42+C43</f>
        <v/>
      </c>
      <c r="D44" s="16" t="n"/>
      <c r="E44" s="16" t="n"/>
      <c r="F44" s="16" t="n"/>
    </row>
    <row r="45">
      <c r="A45" s="16" t="inlineStr">
        <is>
          <t>Sum-of-the-parts fair value per share (AED)</t>
        </is>
      </c>
      <c r="B45" s="16" t="n"/>
      <c r="C45" s="17">
        <f>C44/Assumptions!$C$6/1000*Assumptions!$C$7</f>
        <v/>
      </c>
      <c r="D45" s="16" t="n"/>
      <c r="E45" s="16" t="n"/>
      <c r="F45" s="16" t="n"/>
    </row>
    <row r="47">
      <c r="A47"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3"/>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5">
        <f>SUM(B5:B11)</f>
        <v/>
      </c>
      <c r="C12" s="45">
        <f>SUM(C5:C11)</f>
        <v/>
      </c>
      <c r="D12" s="45">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5">
        <f>SUM(B15:B21)</f>
        <v/>
      </c>
      <c r="C22" s="45">
        <f>SUM(C15:C21)</f>
        <v/>
      </c>
      <c r="D22" s="45">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7" t="inlineStr">
        <is>
          <t>Vessels owned at the 31 March 2026 valuation date</t>
        </is>
      </c>
      <c r="B28" s="38">
        <f>B26-B27</f>
        <v/>
      </c>
      <c r="C28" s="38">
        <f>C26-C27</f>
        <v/>
      </c>
      <c r="D28" s="38">
        <f>D26-D27</f>
        <v/>
      </c>
      <c r="E28" s="38">
        <f>E26-E27</f>
        <v/>
      </c>
      <c r="F28" s="38">
        <f>F26-F27</f>
        <v/>
      </c>
    </row>
    <row r="29">
      <c r="A29" s="6" t="inlineStr">
        <is>
          <t>Vessels bought in the purchase announced 7 August 2026</t>
        </is>
      </c>
      <c r="B29" s="33">
        <f>0</f>
        <v/>
      </c>
      <c r="C29" s="33">
        <f>0</f>
        <v/>
      </c>
      <c r="D29" s="33">
        <f>0</f>
        <v/>
      </c>
      <c r="E29" s="33">
        <f>0</f>
        <v/>
      </c>
      <c r="F29" s="20">
        <f>Assumptions!$B$89</f>
        <v/>
      </c>
    </row>
    <row r="30">
      <c r="A30" s="6" t="inlineStr">
        <is>
          <t>Their delivery date — they earn nothing before it and at the implied spot rate after it</t>
        </is>
      </c>
      <c r="B30" s="33">
        <f>0</f>
        <v/>
      </c>
      <c r="C30" s="33">
        <f>0</f>
        <v/>
      </c>
      <c r="D30" s="33">
        <f>0</f>
        <v/>
      </c>
      <c r="E30" s="33">
        <f>0</f>
        <v/>
      </c>
      <c r="F30" s="47">
        <f>Assumptions!$C$89</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Q3 2026</t>
        </is>
      </c>
      <c r="I32" s="16" t="inlineStr">
        <is>
          <t>Q4 2026</t>
        </is>
      </c>
      <c r="J32" s="16" t="inlineStr">
        <is>
          <t>Mid-cycle anchor</t>
        </is>
      </c>
    </row>
    <row r="33">
      <c r="A33" s="6" t="inlineStr">
        <is>
          <t>Window begins</t>
        </is>
      </c>
      <c r="B33" s="47">
        <f>Assumptions!$B$80</f>
        <v/>
      </c>
      <c r="C33" s="47">
        <f>Assumptions!$C$80</f>
        <v/>
      </c>
      <c r="D33" s="47">
        <f>Assumptions!$D$80</f>
        <v/>
      </c>
      <c r="E33" s="47">
        <f>Assumptions!$E$80</f>
        <v/>
      </c>
      <c r="F33" s="47">
        <f>Assumptions!$F$80</f>
        <v/>
      </c>
      <c r="G33" s="47">
        <f>Assumptions!$G$80</f>
        <v/>
      </c>
      <c r="H33" s="47">
        <f>Assumptions!$H$80</f>
        <v/>
      </c>
      <c r="I33" s="47">
        <f>Assumptions!$I$80</f>
        <v/>
      </c>
      <c r="J33" s="36">
        <f>B33</f>
        <v/>
      </c>
    </row>
    <row r="34">
      <c r="A34" s="6" t="inlineStr">
        <is>
          <t>Window ends</t>
        </is>
      </c>
      <c r="B34" s="47">
        <f>Assumptions!$B$81</f>
        <v/>
      </c>
      <c r="C34" s="47">
        <f>Assumptions!$C$81</f>
        <v/>
      </c>
      <c r="D34" s="47">
        <f>Assumptions!$D$81</f>
        <v/>
      </c>
      <c r="E34" s="47">
        <f>Assumptions!$E$81</f>
        <v/>
      </c>
      <c r="F34" s="47">
        <f>Assumptions!$F$81</f>
        <v/>
      </c>
      <c r="G34" s="47">
        <f>Assumptions!$G$81</f>
        <v/>
      </c>
      <c r="H34" s="47">
        <f>Assumptions!$H$81</f>
        <v/>
      </c>
      <c r="I34" s="47">
        <f>Assumptions!$I$81</f>
        <v/>
      </c>
      <c r="J34" s="36">
        <f>B34</f>
        <v/>
      </c>
    </row>
    <row r="35">
      <c r="A35" s="6" t="inlineStr">
        <is>
          <t>Days in the window</t>
        </is>
      </c>
      <c r="B35" s="33">
        <f>B34-B33</f>
        <v/>
      </c>
      <c r="C35" s="33">
        <f>C34-C33</f>
        <v/>
      </c>
      <c r="D35" s="33">
        <f>D34-D33</f>
        <v/>
      </c>
      <c r="E35" s="33">
        <f>E34-E33</f>
        <v/>
      </c>
      <c r="F35" s="33">
        <f>F34-F33</f>
        <v/>
      </c>
      <c r="G35" s="33">
        <f>G34-G33</f>
        <v/>
      </c>
      <c r="H35" s="33">
        <f>H34-H33</f>
        <v/>
      </c>
      <c r="I35" s="33">
        <f>I34-I33</f>
        <v/>
      </c>
      <c r="J35" s="33">
        <f>J34-J33</f>
        <v/>
      </c>
    </row>
    <row r="37">
      <c r="A37" s="11" t="inlineStr">
        <is>
          <t>Published blended rate by class (USD per day)</t>
        </is>
      </c>
      <c r="B37" s="16" t="n"/>
      <c r="C37" s="16" t="n"/>
      <c r="D37" s="16" t="n"/>
      <c r="E37" s="16" t="n"/>
      <c r="F37" s="16" t="n"/>
      <c r="G37" s="16" t="n"/>
      <c r="H37" s="16" t="n"/>
      <c r="I37" s="16" t="n"/>
    </row>
    <row r="38">
      <c r="A38" s="6" t="inlineStr">
        <is>
          <t>Handysize</t>
        </is>
      </c>
      <c r="B38" s="20">
        <f>Assumptions!$B$45*Assumptions!$C$63</f>
        <v/>
      </c>
      <c r="C38" s="20">
        <f>Assumptions!$C$45*Assumptions!$C$63</f>
        <v/>
      </c>
      <c r="D38" s="20">
        <f>Assumptions!$D$45*Assumptions!$C$63</f>
        <v/>
      </c>
      <c r="E38" s="20">
        <f>Assumptions!$E$45*Assumptions!$C$63</f>
        <v/>
      </c>
      <c r="F38" s="20">
        <f>Assumptions!$B$51*Assumptions!$C$63</f>
        <v/>
      </c>
      <c r="G38" s="20">
        <f>Assumptions!$C$51*Assumptions!$C$63</f>
        <v/>
      </c>
      <c r="H38" s="20">
        <f>Assumptions!$D$51*Assumptions!$C$63</f>
        <v/>
      </c>
      <c r="I38" s="20">
        <f>Assumptions!$E$51*Assumptions!$C$63</f>
        <v/>
      </c>
      <c r="J38" s="20">
        <f>AVERAGE(Assumptions!$B$45:$E$45)*Assumptions!$C$63</f>
        <v/>
      </c>
    </row>
    <row r="39">
      <c r="A39" s="6" t="inlineStr">
        <is>
          <t>Medium range</t>
        </is>
      </c>
      <c r="B39" s="20">
        <f>Assumptions!$B$45</f>
        <v/>
      </c>
      <c r="C39" s="20">
        <f>Assumptions!$C$45</f>
        <v/>
      </c>
      <c r="D39" s="20">
        <f>Assumptions!$D$45</f>
        <v/>
      </c>
      <c r="E39" s="20">
        <f>Assumptions!$E$45</f>
        <v/>
      </c>
      <c r="F39" s="20">
        <f>Assumptions!$B$51</f>
        <v/>
      </c>
      <c r="G39" s="20">
        <f>Assumptions!$C$51</f>
        <v/>
      </c>
      <c r="H39" s="20">
        <f>Assumptions!$D$51</f>
        <v/>
      </c>
      <c r="I39" s="20">
        <f>Assumptions!$E$51</f>
        <v/>
      </c>
      <c r="J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Assumptions!$D$52</f>
        <v/>
      </c>
      <c r="I40" s="20">
        <f>Assumptions!$E$52</f>
        <v/>
      </c>
      <c r="J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Assumptions!$D$53</f>
        <v/>
      </c>
      <c r="I41" s="20">
        <f>Assumptions!$E$53</f>
        <v/>
      </c>
      <c r="J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Assumptions!$D$54</f>
        <v/>
      </c>
      <c r="I42" s="20">
        <f>Assumptions!$E$54</f>
        <v/>
      </c>
      <c r="J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3">
        <f>$B$26*B$35</f>
        <v/>
      </c>
      <c r="C45" s="33">
        <f>$B$26*C$35</f>
        <v/>
      </c>
      <c r="D45" s="33">
        <f>$B$26*D$35</f>
        <v/>
      </c>
      <c r="E45" s="33">
        <f>$B$26*E$35</f>
        <v/>
      </c>
      <c r="F45" s="33">
        <f>$B$28*F$35</f>
        <v/>
      </c>
      <c r="G45" s="33">
        <f>$B$28*G$35</f>
        <v/>
      </c>
      <c r="H45" s="33">
        <f>$B$28*H$35</f>
        <v/>
      </c>
      <c r="I45" s="33">
        <f>$B$28*I$35</f>
        <v/>
      </c>
      <c r="J45" s="33">
        <f>$B$26*J$35</f>
        <v/>
      </c>
    </row>
    <row r="46">
      <c r="A46" s="6" t="inlineStr">
        <is>
          <t>Medium range</t>
        </is>
      </c>
      <c r="B46" s="33">
        <f>$C$26*B$35</f>
        <v/>
      </c>
      <c r="C46" s="33">
        <f>$C$26*C$35</f>
        <v/>
      </c>
      <c r="D46" s="33">
        <f>$C$26*D$35</f>
        <v/>
      </c>
      <c r="E46" s="33">
        <f>$C$26*E$35</f>
        <v/>
      </c>
      <c r="F46" s="33">
        <f>$C$28*F$35</f>
        <v/>
      </c>
      <c r="G46" s="33">
        <f>$C$28*G$35</f>
        <v/>
      </c>
      <c r="H46" s="33">
        <f>$C$28*H$35</f>
        <v/>
      </c>
      <c r="I46" s="33">
        <f>$C$28*I$35</f>
        <v/>
      </c>
      <c r="J46" s="33">
        <f>$C$26*J$35</f>
        <v/>
      </c>
    </row>
    <row r="47">
      <c r="A47" s="6" t="inlineStr">
        <is>
          <t>Long range 1</t>
        </is>
      </c>
      <c r="B47" s="33">
        <f>$D$26*B$35</f>
        <v/>
      </c>
      <c r="C47" s="33">
        <f>$D$26*C$35</f>
        <v/>
      </c>
      <c r="D47" s="33">
        <f>$D$26*D$35</f>
        <v/>
      </c>
      <c r="E47" s="33">
        <f>$D$26*E$35</f>
        <v/>
      </c>
      <c r="F47" s="33">
        <f>$D$28*F$35</f>
        <v/>
      </c>
      <c r="G47" s="33">
        <f>$D$28*G$35</f>
        <v/>
      </c>
      <c r="H47" s="33">
        <f>$D$28*H$35</f>
        <v/>
      </c>
      <c r="I47" s="33">
        <f>$D$28*I$35</f>
        <v/>
      </c>
      <c r="J47" s="33">
        <f>$D$26*J$35</f>
        <v/>
      </c>
    </row>
    <row r="48">
      <c r="A48" s="6" t="inlineStr">
        <is>
          <t>Long range 2</t>
        </is>
      </c>
      <c r="B48" s="33">
        <f>$E$26*B$35</f>
        <v/>
      </c>
      <c r="C48" s="33">
        <f>$E$26*C$35</f>
        <v/>
      </c>
      <c r="D48" s="33">
        <f>$E$26*D$35</f>
        <v/>
      </c>
      <c r="E48" s="33">
        <f>$E$26*E$35</f>
        <v/>
      </c>
      <c r="F48" s="33">
        <f>$E$28*F$35</f>
        <v/>
      </c>
      <c r="G48" s="33">
        <f>$E$28*G$35</f>
        <v/>
      </c>
      <c r="H48" s="33">
        <f>$E$28*H$35</f>
        <v/>
      </c>
      <c r="I48" s="33">
        <f>$E$28*I$35</f>
        <v/>
      </c>
      <c r="J48" s="33">
        <f>$E$26*J$35</f>
        <v/>
      </c>
    </row>
    <row r="49">
      <c r="A49" s="6" t="inlineStr">
        <is>
          <t>Very large crude carrier</t>
        </is>
      </c>
      <c r="B49" s="33">
        <f>$F$26*B$35</f>
        <v/>
      </c>
      <c r="C49" s="33">
        <f>$F$26*C$35</f>
        <v/>
      </c>
      <c r="D49" s="33">
        <f>$F$26*D$35</f>
        <v/>
      </c>
      <c r="E49" s="33">
        <f>$F$26*E$35</f>
        <v/>
      </c>
      <c r="F49" s="33">
        <f>$F$28*F$35</f>
        <v/>
      </c>
      <c r="G49" s="33">
        <f>$F$28*G$35</f>
        <v/>
      </c>
      <c r="H49" s="33">
        <f>$F$28*H$35</f>
        <v/>
      </c>
      <c r="I49" s="33">
        <f>$F$28*I$35</f>
        <v/>
      </c>
      <c r="J49" s="33">
        <f>$F$26*J$35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3">
        <f>0</f>
        <v/>
      </c>
      <c r="C52" s="33">
        <f>0</f>
        <v/>
      </c>
      <c r="D52" s="33">
        <f>0</f>
        <v/>
      </c>
      <c r="E52" s="33">
        <f>0</f>
        <v/>
      </c>
      <c r="F52" s="33">
        <f>0</f>
        <v/>
      </c>
      <c r="G52" s="33">
        <f>0</f>
        <v/>
      </c>
      <c r="H52" s="33">
        <f>0</f>
        <v/>
      </c>
      <c r="I52" s="33">
        <f>0</f>
        <v/>
      </c>
      <c r="J52" s="33">
        <f>0</f>
        <v/>
      </c>
    </row>
    <row r="53">
      <c r="A53" s="6" t="inlineStr">
        <is>
          <t>Medium range</t>
        </is>
      </c>
      <c r="B53" s="33">
        <f>0</f>
        <v/>
      </c>
      <c r="C53" s="33">
        <f>0</f>
        <v/>
      </c>
      <c r="D53" s="33">
        <f>0</f>
        <v/>
      </c>
      <c r="E53" s="33">
        <f>0</f>
        <v/>
      </c>
      <c r="F53" s="33">
        <f>0</f>
        <v/>
      </c>
      <c r="G53" s="33">
        <f>0</f>
        <v/>
      </c>
      <c r="H53" s="33">
        <f>0</f>
        <v/>
      </c>
      <c r="I53" s="33">
        <f>0</f>
        <v/>
      </c>
      <c r="J53" s="33">
        <f>0</f>
        <v/>
      </c>
    </row>
    <row r="54">
      <c r="A54" s="6" t="inlineStr">
        <is>
          <t>Long range 1</t>
        </is>
      </c>
      <c r="B54" s="33">
        <f>MAX(MIN(Assumptions!$D$66,B$34)-MAX(Assumptions!$C$66,B$33),0)+MAX(MIN(Assumptions!$D$67,B$34)-MAX(Assumptions!$C$67,B$33),0)</f>
        <v/>
      </c>
      <c r="C54" s="33">
        <f>MAX(MIN(Assumptions!$D$66,C$34)-MAX(Assumptions!$C$66,C$33),0)+MAX(MIN(Assumptions!$D$67,C$34)-MAX(Assumptions!$C$67,C$33),0)</f>
        <v/>
      </c>
      <c r="D54" s="33">
        <f>MAX(MIN(Assumptions!$D$66,D$34)-MAX(Assumptions!$C$66,D$33),0)+MAX(MIN(Assumptions!$D$67,D$34)-MAX(Assumptions!$C$67,D$33),0)</f>
        <v/>
      </c>
      <c r="E54" s="33">
        <f>MAX(MIN(Assumptions!$D$66,E$34)-MAX(Assumptions!$C$66,E$33),0)+MAX(MIN(Assumptions!$D$67,E$34)-MAX(Assumptions!$C$67,E$33),0)</f>
        <v/>
      </c>
      <c r="F54" s="33">
        <f>MAX(MIN(Assumptions!$D$66,F$34)-MAX(Assumptions!$C$66,F$33),0)+MAX(MIN(Assumptions!$D$67,F$34)-MAX(Assumptions!$C$67,F$33),0)</f>
        <v/>
      </c>
      <c r="G54" s="33">
        <f>MAX(MIN(Assumptions!$D$66,G$34)-MAX(Assumptions!$C$66,G$33),0)+MAX(MIN(Assumptions!$D$67,G$34)-MAX(Assumptions!$C$67,G$33),0)</f>
        <v/>
      </c>
      <c r="H54" s="33">
        <f>MAX(MIN(Assumptions!$D$66,H$34)-MAX(Assumptions!$C$66,H$33),0)+MAX(MIN(Assumptions!$D$67,H$34)-MAX(Assumptions!$C$67,H$33),0)</f>
        <v/>
      </c>
      <c r="I54" s="33">
        <f>MAX(MIN(Assumptions!$D$66,I$34)-MAX(Assumptions!$C$66,I$33),0)+MAX(MIN(Assumptions!$D$67,I$34)-MAX(Assumptions!$C$67,I$33),0)</f>
        <v/>
      </c>
      <c r="J54" s="33">
        <f>MAX(MIN(Assumptions!$D$66,J$34)-MAX(Assumptions!$C$66,J$33),0)+MAX(MIN(Assumptions!$D$67,J$34)-MAX(Assumptions!$C$67,J$33),0)</f>
        <v/>
      </c>
    </row>
    <row r="55">
      <c r="A55" s="6" t="inlineStr">
        <is>
          <t>Long range 2</t>
        </is>
      </c>
      <c r="B55" s="33">
        <f>MAX(MIN(Assumptions!$D$68,B$34)-MAX(Assumptions!$C$68,B$33),0)+MAX(MIN(Assumptions!$D$69,B$34)-MAX(Assumptions!$C$69,B$33),0)+MAX(MIN(Assumptions!$D$70,B$34)-MAX(Assumptions!$C$70,B$33),0)+MAX(MIN(Assumptions!$D$71,B$34)-MAX(Assumptions!$C$71,B$33),0)+MAX(MIN(Assumptions!$D$72,B$34)-MAX(Assumptions!$C$72,B$33),0)+MAX(MIN(Assumptions!$D$73,B$34)-MAX(Assumptions!$C$73,B$33),0)</f>
        <v/>
      </c>
      <c r="C55" s="33">
        <f>MAX(MIN(Assumptions!$D$68,C$34)-MAX(Assumptions!$C$68,C$33),0)+MAX(MIN(Assumptions!$D$69,C$34)-MAX(Assumptions!$C$69,C$33),0)+MAX(MIN(Assumptions!$D$70,C$34)-MAX(Assumptions!$C$70,C$33),0)+MAX(MIN(Assumptions!$D$71,C$34)-MAX(Assumptions!$C$71,C$33),0)+MAX(MIN(Assumptions!$D$72,C$34)-MAX(Assumptions!$C$72,C$33),0)+MAX(MIN(Assumptions!$D$73,C$34)-MAX(Assumptions!$C$73,C$33),0)</f>
        <v/>
      </c>
      <c r="D55" s="33">
        <f>MAX(MIN(Assumptions!$D$68,D$34)-MAX(Assumptions!$C$68,D$33),0)+MAX(MIN(Assumptions!$D$69,D$34)-MAX(Assumptions!$C$69,D$33),0)+MAX(MIN(Assumptions!$D$70,D$34)-MAX(Assumptions!$C$70,D$33),0)+MAX(MIN(Assumptions!$D$71,D$34)-MAX(Assumptions!$C$71,D$33),0)+MAX(MIN(Assumptions!$D$72,D$34)-MAX(Assumptions!$C$72,D$33),0)+MAX(MIN(Assumptions!$D$73,D$34)-MAX(Assumptions!$C$73,D$33),0)</f>
        <v/>
      </c>
      <c r="E55" s="33">
        <f>MAX(MIN(Assumptions!$D$68,E$34)-MAX(Assumptions!$C$68,E$33),0)+MAX(MIN(Assumptions!$D$69,E$34)-MAX(Assumptions!$C$69,E$33),0)+MAX(MIN(Assumptions!$D$70,E$34)-MAX(Assumptions!$C$70,E$33),0)+MAX(MIN(Assumptions!$D$71,E$34)-MAX(Assumptions!$C$71,E$33),0)+MAX(MIN(Assumptions!$D$72,E$34)-MAX(Assumptions!$C$72,E$33),0)+MAX(MIN(Assumptions!$D$73,E$34)-MAX(Assumptions!$C$73,E$33),0)</f>
        <v/>
      </c>
      <c r="F55" s="33">
        <f>MAX(MIN(Assumptions!$D$68,F$34)-MAX(Assumptions!$C$68,F$33),0)+MAX(MIN(Assumptions!$D$69,F$34)-MAX(Assumptions!$C$69,F$33),0)+MAX(MIN(Assumptions!$D$70,F$34)-MAX(Assumptions!$C$70,F$33),0)+MAX(MIN(Assumptions!$D$71,F$34)-MAX(Assumptions!$C$71,F$33),0)+MAX(MIN(Assumptions!$D$72,F$34)-MAX(Assumptions!$C$72,F$33),0)+MAX(MIN(Assumptions!$D$73,F$34)-MAX(Assumptions!$C$73,F$33),0)</f>
        <v/>
      </c>
      <c r="G55" s="33">
        <f>MAX(MIN(Assumptions!$D$68,G$34)-MAX(Assumptions!$C$68,G$33),0)+MAX(MIN(Assumptions!$D$69,G$34)-MAX(Assumptions!$C$69,G$33),0)+MAX(MIN(Assumptions!$D$70,G$34)-MAX(Assumptions!$C$70,G$33),0)+MAX(MIN(Assumptions!$D$71,G$34)-MAX(Assumptions!$C$71,G$33),0)+MAX(MIN(Assumptions!$D$72,G$34)-MAX(Assumptions!$C$72,G$33),0)+MAX(MIN(Assumptions!$D$73,G$34)-MAX(Assumptions!$C$73,G$33),0)</f>
        <v/>
      </c>
      <c r="H55" s="33">
        <f>MAX(MIN(Assumptions!$D$68,H$34)-MAX(Assumptions!$C$68,H$33),0)+MAX(MIN(Assumptions!$D$69,H$34)-MAX(Assumptions!$C$69,H$33),0)+MAX(MIN(Assumptions!$D$70,H$34)-MAX(Assumptions!$C$70,H$33),0)+MAX(MIN(Assumptions!$D$71,H$34)-MAX(Assumptions!$C$71,H$33),0)+MAX(MIN(Assumptions!$D$72,H$34)-MAX(Assumptions!$C$72,H$33),0)+MAX(MIN(Assumptions!$D$73,H$34)-MAX(Assumptions!$C$73,H$33),0)</f>
        <v/>
      </c>
      <c r="I55" s="33">
        <f>MAX(MIN(Assumptions!$D$68,I$34)-MAX(Assumptions!$C$68,I$33),0)+MAX(MIN(Assumptions!$D$69,I$34)-MAX(Assumptions!$C$69,I$33),0)+MAX(MIN(Assumptions!$D$70,I$34)-MAX(Assumptions!$C$70,I$33),0)+MAX(MIN(Assumptions!$D$71,I$34)-MAX(Assumptions!$C$71,I$33),0)+MAX(MIN(Assumptions!$D$72,I$34)-MAX(Assumptions!$C$72,I$33),0)+MAX(MIN(Assumptions!$D$73,I$34)-MAX(Assumptions!$C$73,I$33),0)</f>
        <v/>
      </c>
      <c r="J55" s="33">
        <f>MAX(MIN(Assumptions!$D$68,J$34)-MAX(Assumptions!$C$68,J$33),0)+MAX(MIN(Assumptions!$D$69,J$34)-MAX(Assumptions!$C$69,J$33),0)+MAX(MIN(Assumptions!$D$70,J$34)-MAX(Assumptions!$C$70,J$33),0)+MAX(MIN(Assumptions!$D$71,J$34)-MAX(Assumptions!$C$71,J$33),0)+MAX(MIN(Assumptions!$D$72,J$34)-MAX(Assumptions!$C$72,J$33),0)+MAX(MIN(Assumptions!$D$73,J$34)-MAX(Assumptions!$C$73,J$33),0)</f>
        <v/>
      </c>
    </row>
    <row r="56">
      <c r="A56" s="6" t="inlineStr">
        <is>
          <t>Very large crude carrier</t>
        </is>
      </c>
      <c r="B56" s="33">
        <f>MAX(MIN(Assumptions!$D$74,B$34)-MAX(Assumptions!$C$74,B$33),0)+MAX(MIN(Assumptions!$D$75,B$34)-MAX(Assumptions!$C$75,B$33),0)+MAX(MIN(Assumptions!$D$76,B$34)-MAX(Assumptions!$C$76,B$33),0)+MAX(MIN(Assumptions!$D$77,B$34)-MAX(Assumptions!$C$77,B$33),0)</f>
        <v/>
      </c>
      <c r="C56" s="33">
        <f>MAX(MIN(Assumptions!$D$74,C$34)-MAX(Assumptions!$C$74,C$33),0)+MAX(MIN(Assumptions!$D$75,C$34)-MAX(Assumptions!$C$75,C$33),0)+MAX(MIN(Assumptions!$D$76,C$34)-MAX(Assumptions!$C$76,C$33),0)+MAX(MIN(Assumptions!$D$77,C$34)-MAX(Assumptions!$C$77,C$33),0)</f>
        <v/>
      </c>
      <c r="D56" s="33">
        <f>MAX(MIN(Assumptions!$D$74,D$34)-MAX(Assumptions!$C$74,D$33),0)+MAX(MIN(Assumptions!$D$75,D$34)-MAX(Assumptions!$C$75,D$33),0)+MAX(MIN(Assumptions!$D$76,D$34)-MAX(Assumptions!$C$76,D$33),0)+MAX(MIN(Assumptions!$D$77,D$34)-MAX(Assumptions!$C$77,D$33),0)</f>
        <v/>
      </c>
      <c r="E56" s="33">
        <f>MAX(MIN(Assumptions!$D$74,E$34)-MAX(Assumptions!$C$74,E$33),0)+MAX(MIN(Assumptions!$D$75,E$34)-MAX(Assumptions!$C$75,E$33),0)+MAX(MIN(Assumptions!$D$76,E$34)-MAX(Assumptions!$C$76,E$33),0)+MAX(MIN(Assumptions!$D$77,E$34)-MAX(Assumptions!$C$77,E$33),0)</f>
        <v/>
      </c>
      <c r="F56" s="33">
        <f>MAX(MIN(Assumptions!$D$74,F$34)-MAX(Assumptions!$C$74,F$33),0)+MAX(MIN(Assumptions!$D$75,F$34)-MAX(Assumptions!$C$75,F$33),0)+MAX(MIN(Assumptions!$D$76,F$34)-MAX(Assumptions!$C$76,F$33),0)+MAX(MIN(Assumptions!$D$77,F$34)-MAX(Assumptions!$C$77,F$33),0)</f>
        <v/>
      </c>
      <c r="G56" s="33">
        <f>MAX(MIN(Assumptions!$D$74,G$34)-MAX(Assumptions!$C$74,G$33),0)+MAX(MIN(Assumptions!$D$75,G$34)-MAX(Assumptions!$C$75,G$33),0)+MAX(MIN(Assumptions!$D$76,G$34)-MAX(Assumptions!$C$76,G$33),0)+MAX(MIN(Assumptions!$D$77,G$34)-MAX(Assumptions!$C$77,G$33),0)</f>
        <v/>
      </c>
      <c r="H56" s="33">
        <f>MAX(MIN(Assumptions!$D$74,H$34)-MAX(Assumptions!$C$74,H$33),0)+MAX(MIN(Assumptions!$D$75,H$34)-MAX(Assumptions!$C$75,H$33),0)+MAX(MIN(Assumptions!$D$76,H$34)-MAX(Assumptions!$C$76,H$33),0)+MAX(MIN(Assumptions!$D$77,H$34)-MAX(Assumptions!$C$77,H$33),0)</f>
        <v/>
      </c>
      <c r="I56" s="33">
        <f>MAX(MIN(Assumptions!$D$74,I$34)-MAX(Assumptions!$C$74,I$33),0)+MAX(MIN(Assumptions!$D$75,I$34)-MAX(Assumptions!$C$75,I$33),0)+MAX(MIN(Assumptions!$D$76,I$34)-MAX(Assumptions!$C$76,I$33),0)+MAX(MIN(Assumptions!$D$77,I$34)-MAX(Assumptions!$C$77,I$33),0)</f>
        <v/>
      </c>
      <c r="J56" s="33">
        <f>MAX(MIN(Assumptions!$D$74,J$34)-MAX(Assumptions!$C$74,J$33),0)+MAX(MIN(Assumptions!$D$75,J$34)-MAX(Assumptions!$C$75,J$33),0)+MAX(MIN(Assumptions!$D$76,J$34)-MAX(Assumptions!$C$76,J$33),0)+MAX(MIN(Assumptions!$D$77,J$34)-MAX(Assumptions!$C$77,J$33),0)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3">
        <f>0</f>
        <v/>
      </c>
      <c r="C59" s="33">
        <f>0</f>
        <v/>
      </c>
      <c r="D59" s="33">
        <f>0</f>
        <v/>
      </c>
      <c r="E59" s="33">
        <f>0</f>
        <v/>
      </c>
      <c r="F59" s="33">
        <f>0</f>
        <v/>
      </c>
      <c r="G59" s="33">
        <f>0</f>
        <v/>
      </c>
      <c r="H59" s="33">
        <f>0</f>
        <v/>
      </c>
      <c r="I59" s="33">
        <f>0</f>
        <v/>
      </c>
      <c r="J59" s="33">
        <f>0</f>
        <v/>
      </c>
    </row>
    <row r="60">
      <c r="A60" s="6" t="inlineStr">
        <is>
          <t>Medium range</t>
        </is>
      </c>
      <c r="B60" s="33">
        <f>0</f>
        <v/>
      </c>
      <c r="C60" s="33">
        <f>0</f>
        <v/>
      </c>
      <c r="D60" s="33">
        <f>0</f>
        <v/>
      </c>
      <c r="E60" s="33">
        <f>0</f>
        <v/>
      </c>
      <c r="F60" s="33">
        <f>0</f>
        <v/>
      </c>
      <c r="G60" s="33">
        <f>0</f>
        <v/>
      </c>
      <c r="H60" s="33">
        <f>0</f>
        <v/>
      </c>
      <c r="I60" s="33">
        <f>0</f>
        <v/>
      </c>
      <c r="J60" s="33">
        <f>0</f>
        <v/>
      </c>
    </row>
    <row r="61">
      <c r="A61" s="6" t="inlineStr">
        <is>
          <t>Long range 1</t>
        </is>
      </c>
      <c r="B61" s="33">
        <f>Assumptions!$B$66*MAX(MIN(Assumptions!$D$66,B$34)-MAX(Assumptions!$C$66,B$33),0)+Assumptions!$B$67*MAX(MIN(Assumptions!$D$67,B$34)-MAX(Assumptions!$C$67,B$33),0)</f>
        <v/>
      </c>
      <c r="C61" s="33">
        <f>Assumptions!$B$66*MAX(MIN(Assumptions!$D$66,C$34)-MAX(Assumptions!$C$66,C$33),0)+Assumptions!$B$67*MAX(MIN(Assumptions!$D$67,C$34)-MAX(Assumptions!$C$67,C$33),0)</f>
        <v/>
      </c>
      <c r="D61" s="33">
        <f>Assumptions!$B$66*MAX(MIN(Assumptions!$D$66,D$34)-MAX(Assumptions!$C$66,D$33),0)+Assumptions!$B$67*MAX(MIN(Assumptions!$D$67,D$34)-MAX(Assumptions!$C$67,D$33),0)</f>
        <v/>
      </c>
      <c r="E61" s="33">
        <f>Assumptions!$B$66*MAX(MIN(Assumptions!$D$66,E$34)-MAX(Assumptions!$C$66,E$33),0)+Assumptions!$B$67*MAX(MIN(Assumptions!$D$67,E$34)-MAX(Assumptions!$C$67,E$33),0)</f>
        <v/>
      </c>
      <c r="F61" s="33">
        <f>Assumptions!$B$66*MAX(MIN(Assumptions!$D$66,F$34)-MAX(Assumptions!$C$66,F$33),0)+Assumptions!$B$67*MAX(MIN(Assumptions!$D$67,F$34)-MAX(Assumptions!$C$67,F$33),0)</f>
        <v/>
      </c>
      <c r="G61" s="33">
        <f>Assumptions!$B$66*MAX(MIN(Assumptions!$D$66,G$34)-MAX(Assumptions!$C$66,G$33),0)+Assumptions!$B$67*MAX(MIN(Assumptions!$D$67,G$34)-MAX(Assumptions!$C$67,G$33),0)</f>
        <v/>
      </c>
      <c r="H61" s="33">
        <f>Assumptions!$B$66*MAX(MIN(Assumptions!$D$66,H$34)-MAX(Assumptions!$C$66,H$33),0)+Assumptions!$B$67*MAX(MIN(Assumptions!$D$67,H$34)-MAX(Assumptions!$C$67,H$33),0)</f>
        <v/>
      </c>
      <c r="I61" s="33">
        <f>Assumptions!$B$66*MAX(MIN(Assumptions!$D$66,I$34)-MAX(Assumptions!$C$66,I$33),0)+Assumptions!$B$67*MAX(MIN(Assumptions!$D$67,I$34)-MAX(Assumptions!$C$67,I$33),0)</f>
        <v/>
      </c>
      <c r="J61" s="33">
        <f>Assumptions!$B$66*MAX(MIN(Assumptions!$D$66,J$34)-MAX(Assumptions!$C$66,J$33),0)+Assumptions!$B$67*MAX(MIN(Assumptions!$D$67,J$34)-MAX(Assumptions!$C$67,J$33),0)</f>
        <v/>
      </c>
    </row>
    <row r="62">
      <c r="A62" s="6" t="inlineStr">
        <is>
          <t>Long range 2</t>
        </is>
      </c>
      <c r="B62" s="33">
        <f>Assumptions!$B$68*MAX(MIN(Assumptions!$D$68,B$34)-MAX(Assumptions!$C$68,B$33),0)+Assumptions!$B$69*MAX(MIN(Assumptions!$D$69,B$34)-MAX(Assumptions!$C$69,B$33),0)+Assumptions!$B$70*MAX(MIN(Assumptions!$D$70,B$34)-MAX(Assumptions!$C$70,B$33),0)+Assumptions!$B$71*MAX(MIN(Assumptions!$D$71,B$34)-MAX(Assumptions!$C$71,B$33),0)+Assumptions!$B$72*MAX(MIN(Assumptions!$D$72,B$34)-MAX(Assumptions!$C$72,B$33),0)+Assumptions!$B$73*MAX(MIN(Assumptions!$D$73,B$34)-MAX(Assumptions!$C$73,B$33),0)</f>
        <v/>
      </c>
      <c r="C62" s="33">
        <f>Assumptions!$B$68*MAX(MIN(Assumptions!$D$68,C$34)-MAX(Assumptions!$C$68,C$33),0)+Assumptions!$B$69*MAX(MIN(Assumptions!$D$69,C$34)-MAX(Assumptions!$C$69,C$33),0)+Assumptions!$B$70*MAX(MIN(Assumptions!$D$70,C$34)-MAX(Assumptions!$C$70,C$33),0)+Assumptions!$B$71*MAX(MIN(Assumptions!$D$71,C$34)-MAX(Assumptions!$C$71,C$33),0)+Assumptions!$B$72*MAX(MIN(Assumptions!$D$72,C$34)-MAX(Assumptions!$C$72,C$33),0)+Assumptions!$B$73*MAX(MIN(Assumptions!$D$73,C$34)-MAX(Assumptions!$C$73,C$33),0)</f>
        <v/>
      </c>
      <c r="D62" s="33">
        <f>Assumptions!$B$68*MAX(MIN(Assumptions!$D$68,D$34)-MAX(Assumptions!$C$68,D$33),0)+Assumptions!$B$69*MAX(MIN(Assumptions!$D$69,D$34)-MAX(Assumptions!$C$69,D$33),0)+Assumptions!$B$70*MAX(MIN(Assumptions!$D$70,D$34)-MAX(Assumptions!$C$70,D$33),0)+Assumptions!$B$71*MAX(MIN(Assumptions!$D$71,D$34)-MAX(Assumptions!$C$71,D$33),0)+Assumptions!$B$72*MAX(MIN(Assumptions!$D$72,D$34)-MAX(Assumptions!$C$72,D$33),0)+Assumptions!$B$73*MAX(MIN(Assumptions!$D$73,D$34)-MAX(Assumptions!$C$73,D$33),0)</f>
        <v/>
      </c>
      <c r="E62" s="33">
        <f>Assumptions!$B$68*MAX(MIN(Assumptions!$D$68,E$34)-MAX(Assumptions!$C$68,E$33),0)+Assumptions!$B$69*MAX(MIN(Assumptions!$D$69,E$34)-MAX(Assumptions!$C$69,E$33),0)+Assumptions!$B$70*MAX(MIN(Assumptions!$D$70,E$34)-MAX(Assumptions!$C$70,E$33),0)+Assumptions!$B$71*MAX(MIN(Assumptions!$D$71,E$34)-MAX(Assumptions!$C$71,E$33),0)+Assumptions!$B$72*MAX(MIN(Assumptions!$D$72,E$34)-MAX(Assumptions!$C$72,E$33),0)+Assumptions!$B$73*MAX(MIN(Assumptions!$D$73,E$34)-MAX(Assumptions!$C$73,E$33),0)</f>
        <v/>
      </c>
      <c r="F62" s="33">
        <f>Assumptions!$B$68*MAX(MIN(Assumptions!$D$68,F$34)-MAX(Assumptions!$C$68,F$33),0)+Assumptions!$B$69*MAX(MIN(Assumptions!$D$69,F$34)-MAX(Assumptions!$C$69,F$33),0)+Assumptions!$B$70*MAX(MIN(Assumptions!$D$70,F$34)-MAX(Assumptions!$C$70,F$33),0)+Assumptions!$B$71*MAX(MIN(Assumptions!$D$71,F$34)-MAX(Assumptions!$C$71,F$33),0)+Assumptions!$B$72*MAX(MIN(Assumptions!$D$72,F$34)-MAX(Assumptions!$C$72,F$33),0)+Assumptions!$B$73*MAX(MIN(Assumptions!$D$73,F$34)-MAX(Assumptions!$C$73,F$33),0)</f>
        <v/>
      </c>
      <c r="G62" s="33">
        <f>Assumptions!$B$68*MAX(MIN(Assumptions!$D$68,G$34)-MAX(Assumptions!$C$68,G$33),0)+Assumptions!$B$69*MAX(MIN(Assumptions!$D$69,G$34)-MAX(Assumptions!$C$69,G$33),0)+Assumptions!$B$70*MAX(MIN(Assumptions!$D$70,G$34)-MAX(Assumptions!$C$70,G$33),0)+Assumptions!$B$71*MAX(MIN(Assumptions!$D$71,G$34)-MAX(Assumptions!$C$71,G$33),0)+Assumptions!$B$72*MAX(MIN(Assumptions!$D$72,G$34)-MAX(Assumptions!$C$72,G$33),0)+Assumptions!$B$73*MAX(MIN(Assumptions!$D$73,G$34)-MAX(Assumptions!$C$73,G$33),0)</f>
        <v/>
      </c>
      <c r="H62" s="33">
        <f>Assumptions!$B$68*MAX(MIN(Assumptions!$D$68,H$34)-MAX(Assumptions!$C$68,H$33),0)+Assumptions!$B$69*MAX(MIN(Assumptions!$D$69,H$34)-MAX(Assumptions!$C$69,H$33),0)+Assumptions!$B$70*MAX(MIN(Assumptions!$D$70,H$34)-MAX(Assumptions!$C$70,H$33),0)+Assumptions!$B$71*MAX(MIN(Assumptions!$D$71,H$34)-MAX(Assumptions!$C$71,H$33),0)+Assumptions!$B$72*MAX(MIN(Assumptions!$D$72,H$34)-MAX(Assumptions!$C$72,H$33),0)+Assumptions!$B$73*MAX(MIN(Assumptions!$D$73,H$34)-MAX(Assumptions!$C$73,H$33),0)</f>
        <v/>
      </c>
      <c r="I62" s="33">
        <f>Assumptions!$B$68*MAX(MIN(Assumptions!$D$68,I$34)-MAX(Assumptions!$C$68,I$33),0)+Assumptions!$B$69*MAX(MIN(Assumptions!$D$69,I$34)-MAX(Assumptions!$C$69,I$33),0)+Assumptions!$B$70*MAX(MIN(Assumptions!$D$70,I$34)-MAX(Assumptions!$C$70,I$33),0)+Assumptions!$B$71*MAX(MIN(Assumptions!$D$71,I$34)-MAX(Assumptions!$C$71,I$33),0)+Assumptions!$B$72*MAX(MIN(Assumptions!$D$72,I$34)-MAX(Assumptions!$C$72,I$33),0)+Assumptions!$B$73*MAX(MIN(Assumptions!$D$73,I$34)-MAX(Assumptions!$C$73,I$33),0)</f>
        <v/>
      </c>
      <c r="J62" s="33">
        <f>Assumptions!$B$68*MAX(MIN(Assumptions!$D$68,J$34)-MAX(Assumptions!$C$68,J$33),0)+Assumptions!$B$69*MAX(MIN(Assumptions!$D$69,J$34)-MAX(Assumptions!$C$69,J$33),0)+Assumptions!$B$70*MAX(MIN(Assumptions!$D$70,J$34)-MAX(Assumptions!$C$70,J$33),0)+Assumptions!$B$71*MAX(MIN(Assumptions!$D$71,J$34)-MAX(Assumptions!$C$71,J$33),0)+Assumptions!$B$72*MAX(MIN(Assumptions!$D$72,J$34)-MAX(Assumptions!$C$72,J$33),0)+Assumptions!$B$73*MAX(MIN(Assumptions!$D$73,J$34)-MAX(Assumptions!$C$73,J$33),0)</f>
        <v/>
      </c>
    </row>
    <row r="63">
      <c r="A63" s="6" t="inlineStr">
        <is>
          <t>Very large crude carrier</t>
        </is>
      </c>
      <c r="B63" s="33">
        <f>Assumptions!$B$74*MAX(MIN(Assumptions!$D$74,B$34)-MAX(Assumptions!$C$74,B$33),0)+Assumptions!$B$75*MAX(MIN(Assumptions!$D$75,B$34)-MAX(Assumptions!$C$75,B$33),0)+Assumptions!$B$76*MAX(MIN(Assumptions!$D$76,B$34)-MAX(Assumptions!$C$76,B$33),0)+Assumptions!$B$77*MAX(MIN(Assumptions!$D$77,B$34)-MAX(Assumptions!$C$77,B$33),0)</f>
        <v/>
      </c>
      <c r="C63" s="33">
        <f>Assumptions!$B$74*MAX(MIN(Assumptions!$D$74,C$34)-MAX(Assumptions!$C$74,C$33),0)+Assumptions!$B$75*MAX(MIN(Assumptions!$D$75,C$34)-MAX(Assumptions!$C$75,C$33),0)+Assumptions!$B$76*MAX(MIN(Assumptions!$D$76,C$34)-MAX(Assumptions!$C$76,C$33),0)+Assumptions!$B$77*MAX(MIN(Assumptions!$D$77,C$34)-MAX(Assumptions!$C$77,C$33),0)</f>
        <v/>
      </c>
      <c r="D63" s="33">
        <f>Assumptions!$B$74*MAX(MIN(Assumptions!$D$74,D$34)-MAX(Assumptions!$C$74,D$33),0)+Assumptions!$B$75*MAX(MIN(Assumptions!$D$75,D$34)-MAX(Assumptions!$C$75,D$33),0)+Assumptions!$B$76*MAX(MIN(Assumptions!$D$76,D$34)-MAX(Assumptions!$C$76,D$33),0)+Assumptions!$B$77*MAX(MIN(Assumptions!$D$77,D$34)-MAX(Assumptions!$C$77,D$33),0)</f>
        <v/>
      </c>
      <c r="E63" s="33">
        <f>Assumptions!$B$74*MAX(MIN(Assumptions!$D$74,E$34)-MAX(Assumptions!$C$74,E$33),0)+Assumptions!$B$75*MAX(MIN(Assumptions!$D$75,E$34)-MAX(Assumptions!$C$75,E$33),0)+Assumptions!$B$76*MAX(MIN(Assumptions!$D$76,E$34)-MAX(Assumptions!$C$76,E$33),0)+Assumptions!$B$77*MAX(MIN(Assumptions!$D$77,E$34)-MAX(Assumptions!$C$77,E$33),0)</f>
        <v/>
      </c>
      <c r="F63" s="33">
        <f>Assumptions!$B$74*MAX(MIN(Assumptions!$D$74,F$34)-MAX(Assumptions!$C$74,F$33),0)+Assumptions!$B$75*MAX(MIN(Assumptions!$D$75,F$34)-MAX(Assumptions!$C$75,F$33),0)+Assumptions!$B$76*MAX(MIN(Assumptions!$D$76,F$34)-MAX(Assumptions!$C$76,F$33),0)+Assumptions!$B$77*MAX(MIN(Assumptions!$D$77,F$34)-MAX(Assumptions!$C$77,F$33),0)</f>
        <v/>
      </c>
      <c r="G63" s="33">
        <f>Assumptions!$B$74*MAX(MIN(Assumptions!$D$74,G$34)-MAX(Assumptions!$C$74,G$33),0)+Assumptions!$B$75*MAX(MIN(Assumptions!$D$75,G$34)-MAX(Assumptions!$C$75,G$33),0)+Assumptions!$B$76*MAX(MIN(Assumptions!$D$76,G$34)-MAX(Assumptions!$C$76,G$33),0)+Assumptions!$B$77*MAX(MIN(Assumptions!$D$77,G$34)-MAX(Assumptions!$C$77,G$33),0)</f>
        <v/>
      </c>
      <c r="H63" s="33">
        <f>Assumptions!$B$74*MAX(MIN(Assumptions!$D$74,H$34)-MAX(Assumptions!$C$74,H$33),0)+Assumptions!$B$75*MAX(MIN(Assumptions!$D$75,H$34)-MAX(Assumptions!$C$75,H$33),0)+Assumptions!$B$76*MAX(MIN(Assumptions!$D$76,H$34)-MAX(Assumptions!$C$76,H$33),0)+Assumptions!$B$77*MAX(MIN(Assumptions!$D$77,H$34)-MAX(Assumptions!$C$77,H$33),0)</f>
        <v/>
      </c>
      <c r="I63" s="33">
        <f>Assumptions!$B$74*MAX(MIN(Assumptions!$D$74,I$34)-MAX(Assumptions!$C$74,I$33),0)+Assumptions!$B$75*MAX(MIN(Assumptions!$D$75,I$34)-MAX(Assumptions!$C$75,I$33),0)+Assumptions!$B$76*MAX(MIN(Assumptions!$D$76,I$34)-MAX(Assumptions!$C$76,I$33),0)+Assumptions!$B$77*MAX(MIN(Assumptions!$D$77,I$34)-MAX(Assumptions!$C$77,I$33),0)</f>
        <v/>
      </c>
      <c r="J63" s="33">
        <f>Assumptions!$B$74*MAX(MIN(Assumptions!$D$74,J$34)-MAX(Assumptions!$C$74,J$33),0)+Assumptions!$B$75*MAX(MIN(Assumptions!$D$75,J$34)-MAX(Assumptions!$C$75,J$33),0)+Assumptions!$B$76*MAX(MIN(Assumptions!$D$76,J$34)-MAX(Assumptions!$C$76,J$33),0)+Assumptions!$B$77*MAX(MIN(Assumptions!$D$77,J$34)-MAX(Assumptions!$C$77,J$33),0)</f>
        <v/>
      </c>
    </row>
    <row r="65">
      <c r="A65" s="11" t="inlineStr">
        <is>
          <t>Spot vessel-days — class days less charter days</t>
        </is>
      </c>
      <c r="B65" s="16" t="n"/>
      <c r="C65" s="16" t="n"/>
      <c r="D65" s="16" t="n"/>
      <c r="E65" s="16" t="n"/>
      <c r="F65" s="16" t="n"/>
      <c r="G65" s="16" t="n"/>
      <c r="H65" s="16" t="n"/>
      <c r="I65" s="16" t="n"/>
    </row>
    <row r="66">
      <c r="A66" s="6" t="inlineStr">
        <is>
          <t>Handysize</t>
        </is>
      </c>
      <c r="B66" s="33">
        <f>B45-B52</f>
        <v/>
      </c>
      <c r="C66" s="33">
        <f>C45-C52</f>
        <v/>
      </c>
      <c r="D66" s="33">
        <f>D45-D52</f>
        <v/>
      </c>
      <c r="E66" s="33">
        <f>E45-E52</f>
        <v/>
      </c>
      <c r="F66" s="33">
        <f>F45-F52</f>
        <v/>
      </c>
      <c r="G66" s="33">
        <f>G45-G52</f>
        <v/>
      </c>
      <c r="H66" s="33">
        <f>H45-H52</f>
        <v/>
      </c>
      <c r="I66" s="33">
        <f>I45-I52</f>
        <v/>
      </c>
      <c r="J66" s="33">
        <f>J45-J52</f>
        <v/>
      </c>
    </row>
    <row r="67">
      <c r="A67" s="6" t="inlineStr">
        <is>
          <t>Medium range</t>
        </is>
      </c>
      <c r="B67" s="33">
        <f>B46-B53</f>
        <v/>
      </c>
      <c r="C67" s="33">
        <f>C46-C53</f>
        <v/>
      </c>
      <c r="D67" s="33">
        <f>D46-D53</f>
        <v/>
      </c>
      <c r="E67" s="33">
        <f>E46-E53</f>
        <v/>
      </c>
      <c r="F67" s="33">
        <f>F46-F53</f>
        <v/>
      </c>
      <c r="G67" s="33">
        <f>G46-G53</f>
        <v/>
      </c>
      <c r="H67" s="33">
        <f>H46-H53</f>
        <v/>
      </c>
      <c r="I67" s="33">
        <f>I46-I53</f>
        <v/>
      </c>
      <c r="J67" s="33">
        <f>J46-J53</f>
        <v/>
      </c>
    </row>
    <row r="68">
      <c r="A68" s="6" t="inlineStr">
        <is>
          <t>Long range 1</t>
        </is>
      </c>
      <c r="B68" s="33">
        <f>B47-B54</f>
        <v/>
      </c>
      <c r="C68" s="33">
        <f>C47-C54</f>
        <v/>
      </c>
      <c r="D68" s="33">
        <f>D47-D54</f>
        <v/>
      </c>
      <c r="E68" s="33">
        <f>E47-E54</f>
        <v/>
      </c>
      <c r="F68" s="33">
        <f>F47-F54</f>
        <v/>
      </c>
      <c r="G68" s="33">
        <f>G47-G54</f>
        <v/>
      </c>
      <c r="H68" s="33">
        <f>H47-H54</f>
        <v/>
      </c>
      <c r="I68" s="33">
        <f>I47-I54</f>
        <v/>
      </c>
      <c r="J68" s="33">
        <f>J47-J54</f>
        <v/>
      </c>
    </row>
    <row r="69">
      <c r="A69" s="6" t="inlineStr">
        <is>
          <t>Long range 2</t>
        </is>
      </c>
      <c r="B69" s="33">
        <f>B48-B55</f>
        <v/>
      </c>
      <c r="C69" s="33">
        <f>C48-C55</f>
        <v/>
      </c>
      <c r="D69" s="33">
        <f>D48-D55</f>
        <v/>
      </c>
      <c r="E69" s="33">
        <f>E48-E55</f>
        <v/>
      </c>
      <c r="F69" s="33">
        <f>F48-F55</f>
        <v/>
      </c>
      <c r="G69" s="33">
        <f>G48-G55</f>
        <v/>
      </c>
      <c r="H69" s="33">
        <f>H48-H55</f>
        <v/>
      </c>
      <c r="I69" s="33">
        <f>I48-I55</f>
        <v/>
      </c>
      <c r="J69" s="33">
        <f>J48-J55</f>
        <v/>
      </c>
    </row>
    <row r="70">
      <c r="A70" s="6" t="inlineStr">
        <is>
          <t>Very large crude carrier</t>
        </is>
      </c>
      <c r="B70" s="33">
        <f>B49-B56</f>
        <v/>
      </c>
      <c r="C70" s="33">
        <f>C49-C56</f>
        <v/>
      </c>
      <c r="D70" s="33">
        <f>D49-D56</f>
        <v/>
      </c>
      <c r="E70" s="33">
        <f>E49-E56</f>
        <v/>
      </c>
      <c r="F70" s="33">
        <f>F49-F56</f>
        <v/>
      </c>
      <c r="G70" s="33">
        <f>G49-G56</f>
        <v/>
      </c>
      <c r="H70" s="33">
        <f>H49-H56</f>
        <v/>
      </c>
      <c r="I70" s="33">
        <f>I49-I56</f>
        <v/>
      </c>
      <c r="J70" s="33">
        <f>J49-J56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8">
        <f>(B38*B45-B59)/B66</f>
        <v/>
      </c>
      <c r="C73" s="38">
        <f>(C38*C45-C59)/C66</f>
        <v/>
      </c>
      <c r="D73" s="38">
        <f>(D38*D45-D59)/D66</f>
        <v/>
      </c>
      <c r="E73" s="38">
        <f>(E38*E45-E59)/E66</f>
        <v/>
      </c>
      <c r="F73" s="38">
        <f>(F38*F45-F59)/F66</f>
        <v/>
      </c>
      <c r="G73" s="38">
        <f>(G38*G45-G59)/G66</f>
        <v/>
      </c>
      <c r="H73" s="38">
        <f>(H38*H45-H59)/H66</f>
        <v/>
      </c>
      <c r="I73" s="38">
        <f>(I38*I45-I59)/I66</f>
        <v/>
      </c>
      <c r="J73" s="38">
        <f>(J38*J45-J59)/J66</f>
        <v/>
      </c>
    </row>
    <row r="74">
      <c r="A74" s="6" t="inlineStr">
        <is>
          <t>Medium range</t>
        </is>
      </c>
      <c r="B74" s="38">
        <f>(B39*B46-B60)/B67</f>
        <v/>
      </c>
      <c r="C74" s="38">
        <f>(C39*C46-C60)/C67</f>
        <v/>
      </c>
      <c r="D74" s="38">
        <f>(D39*D46-D60)/D67</f>
        <v/>
      </c>
      <c r="E74" s="38">
        <f>(E39*E46-E60)/E67</f>
        <v/>
      </c>
      <c r="F74" s="38">
        <f>(F39*F46-F60)/F67</f>
        <v/>
      </c>
      <c r="G74" s="38">
        <f>(G39*G46-G60)/G67</f>
        <v/>
      </c>
      <c r="H74" s="38">
        <f>(H39*H46-H60)/H67</f>
        <v/>
      </c>
      <c r="I74" s="38">
        <f>(I39*I46-I60)/I67</f>
        <v/>
      </c>
      <c r="J74" s="38">
        <f>(J39*J46-J60)/J67</f>
        <v/>
      </c>
    </row>
    <row r="75">
      <c r="A75" s="6" t="inlineStr">
        <is>
          <t>Long range 1</t>
        </is>
      </c>
      <c r="B75" s="38">
        <f>(B40*B47-B61)/B68</f>
        <v/>
      </c>
      <c r="C75" s="38">
        <f>(C40*C47-C61)/C68</f>
        <v/>
      </c>
      <c r="D75" s="38">
        <f>(D40*D47-D61)/D68</f>
        <v/>
      </c>
      <c r="E75" s="38">
        <f>(E40*E47-E61)/E68</f>
        <v/>
      </c>
      <c r="F75" s="38">
        <f>(F40*F47-F61)/F68</f>
        <v/>
      </c>
      <c r="G75" s="38">
        <f>(G40*G47-G61)/G68</f>
        <v/>
      </c>
      <c r="H75" s="38">
        <f>(H40*H47-H61)/H68</f>
        <v/>
      </c>
      <c r="I75" s="38">
        <f>(I40*I47-I61)/I68</f>
        <v/>
      </c>
      <c r="J75" s="38">
        <f>(J40*J47-J61)/J68</f>
        <v/>
      </c>
    </row>
    <row r="76">
      <c r="A76" s="6" t="inlineStr">
        <is>
          <t>Long range 2</t>
        </is>
      </c>
      <c r="B76" s="38">
        <f>(B41*B48-B62)/B69</f>
        <v/>
      </c>
      <c r="C76" s="38">
        <f>(C41*C48-C62)/C69</f>
        <v/>
      </c>
      <c r="D76" s="38">
        <f>(D41*D48-D62)/D69</f>
        <v/>
      </c>
      <c r="E76" s="38">
        <f>(E41*E48-E62)/E69</f>
        <v/>
      </c>
      <c r="F76" s="38">
        <f>(F41*F48-F62)/F69</f>
        <v/>
      </c>
      <c r="G76" s="38">
        <f>(G41*G48-G62)/G69</f>
        <v/>
      </c>
      <c r="H76" s="38">
        <f>(H41*H48-H62)/H69</f>
        <v/>
      </c>
      <c r="I76" s="38">
        <f>(I41*I48-I62)/I69</f>
        <v/>
      </c>
      <c r="J76" s="38">
        <f>(J41*J48-J62)/J69</f>
        <v/>
      </c>
    </row>
    <row r="77">
      <c r="A77" s="6" t="inlineStr">
        <is>
          <t>Very large crude carrier</t>
        </is>
      </c>
      <c r="B77" s="38">
        <f>(B42*B49-B63)/B70</f>
        <v/>
      </c>
      <c r="C77" s="38">
        <f>(C42*C49-C63)/C70</f>
        <v/>
      </c>
      <c r="D77" s="38">
        <f>(D42*D49-D63)/D70</f>
        <v/>
      </c>
      <c r="E77" s="38">
        <f>(E42*E49-E63)/E70</f>
        <v/>
      </c>
      <c r="F77" s="38">
        <f>(F42*F49-F63)/F70</f>
        <v/>
      </c>
      <c r="G77" s="38">
        <f>(G42*G49-G63)/G70</f>
        <v/>
      </c>
      <c r="H77" s="38">
        <f>(H42*H49-H63)/H70</f>
        <v/>
      </c>
      <c r="I77" s="38">
        <f>(I42*I49-I63)/I70</f>
        <v/>
      </c>
      <c r="J77" s="38">
        <f>(J42*J49-J63)/J70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3">
        <f>AVERAGE(B73:E73)</f>
        <v/>
      </c>
      <c r="C80" s="33">
        <f>AVERAGE(B74:E74)</f>
        <v/>
      </c>
      <c r="D80" s="33">
        <f>AVERAGE(B75:E75)</f>
        <v/>
      </c>
      <c r="E80" s="33">
        <f>AVERAGE(B76:E76)</f>
        <v/>
      </c>
      <c r="F80" s="33">
        <f>AVERAGE(B77:E77)</f>
        <v/>
      </c>
    </row>
    <row r="81">
      <c r="A81" s="6" t="inlineStr">
        <is>
          <t>Mid-cycle implied spot anchor (USD per day)</t>
        </is>
      </c>
      <c r="B81" s="33">
        <f>J73</f>
        <v/>
      </c>
      <c r="C81" s="33">
        <f>J74</f>
        <v/>
      </c>
      <c r="D81" s="33">
        <f>J75</f>
        <v/>
      </c>
      <c r="E81" s="33">
        <f>J76</f>
        <v/>
      </c>
      <c r="F81" s="33">
        <f>J77</f>
        <v/>
      </c>
    </row>
    <row r="82">
      <c r="A82" s="6" t="inlineStr">
        <is>
          <t>First-quarter 2026 implied spot rate — REPORTED (USD per day)</t>
        </is>
      </c>
      <c r="B82" s="33">
        <f>F73</f>
        <v/>
      </c>
      <c r="C82" s="33">
        <f>F74</f>
        <v/>
      </c>
      <c r="D82" s="33">
        <f>F75</f>
        <v/>
      </c>
      <c r="E82" s="33">
        <f>F76</f>
        <v/>
      </c>
      <c r="F82" s="33">
        <f>F77</f>
        <v/>
      </c>
    </row>
    <row r="83">
      <c r="A83" s="6" t="inlineStr">
        <is>
          <t>Second-quarter 2026 implied spot rate — REPORTED (USD per day)</t>
        </is>
      </c>
      <c r="B83" s="33">
        <f>G73</f>
        <v/>
      </c>
      <c r="C83" s="33">
        <f>G74</f>
        <v/>
      </c>
      <c r="D83" s="33">
        <f>G75</f>
        <v/>
      </c>
      <c r="E83" s="33">
        <f>G76</f>
        <v/>
      </c>
      <c r="F83" s="33">
        <f>G77</f>
        <v/>
      </c>
    </row>
    <row r="84">
      <c r="A84" s="6" t="inlineStr">
        <is>
          <t>Second half of 2026 — the third quarter as disclosed and the fourth reverting halfway to mid-cycle, weighted by spot vessel-days (USD per day)</t>
        </is>
      </c>
      <c r="B84" s="33">
        <f>(184.0*H73+184.0*I73)/368.0</f>
        <v/>
      </c>
      <c r="C84" s="33">
        <f>(1472.0*H74+1472.0*I74)/2944.0</f>
        <v/>
      </c>
      <c r="D84" s="33">
        <f>(644.0*H75+644.0*I75)/1288.0</f>
        <v/>
      </c>
      <c r="E84" s="33">
        <f>(1139.0*H76+1307.0*I76)/2446.0</f>
        <v/>
      </c>
      <c r="F84" s="33">
        <f>(548.0*H77+920.0*I77)/1468.0</f>
        <v/>
      </c>
    </row>
    <row r="85">
      <c r="A85" s="6" t="inlineStr">
        <is>
          <t>FY2026 implied spot rate — the four quarters weighted by days (USD per day)</t>
        </is>
      </c>
      <c r="B85" s="33">
        <f>(B82*90+B83*91+H73*92+I73*92)/365</f>
        <v/>
      </c>
      <c r="C85" s="33">
        <f>(C82*90+C83*91+H74*92+I74*92)/365</f>
        <v/>
      </c>
      <c r="D85" s="33">
        <f>(D82*90+D83*91+H75*92+I75*92)/365</f>
        <v/>
      </c>
      <c r="E85" s="33">
        <f>(E82*90+E83*91+H76*92+I76*92)/365</f>
        <v/>
      </c>
      <c r="F85" s="33">
        <f>(F82*90+F83*91+H77*92+I77*92)/365</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3">
        <f>$B$84</f>
        <v/>
      </c>
      <c r="C88" s="33">
        <f>$B$85+($B$81-$B$85)*1/4</f>
        <v/>
      </c>
      <c r="D88" s="33">
        <f>$B$85+($B$81-$B$85)*2/4</f>
        <v/>
      </c>
      <c r="E88" s="33">
        <f>$B$85+($B$81-$B$85)*3/4</f>
        <v/>
      </c>
      <c r="F88" s="33">
        <f>$B$85+($B$81-$B$85)*4/4</f>
        <v/>
      </c>
    </row>
    <row r="89">
      <c r="A89" s="6" t="inlineStr">
        <is>
          <t>Medium range</t>
        </is>
      </c>
      <c r="B89" s="33">
        <f>$C$84</f>
        <v/>
      </c>
      <c r="C89" s="33">
        <f>$C$85+($C$81-$C$85)*1/4</f>
        <v/>
      </c>
      <c r="D89" s="33">
        <f>$C$85+($C$81-$C$85)*2/4</f>
        <v/>
      </c>
      <c r="E89" s="33">
        <f>$C$85+($C$81-$C$85)*3/4</f>
        <v/>
      </c>
      <c r="F89" s="33">
        <f>$C$85+($C$81-$C$85)*4/4</f>
        <v/>
      </c>
    </row>
    <row r="90">
      <c r="A90" s="6" t="inlineStr">
        <is>
          <t>Long range 1</t>
        </is>
      </c>
      <c r="B90" s="33">
        <f>$D$84</f>
        <v/>
      </c>
      <c r="C90" s="33">
        <f>$D$85+($D$81-$D$85)*1/4</f>
        <v/>
      </c>
      <c r="D90" s="33">
        <f>$D$85+($D$81-$D$85)*2/4</f>
        <v/>
      </c>
      <c r="E90" s="33">
        <f>$D$85+($D$81-$D$85)*3/4</f>
        <v/>
      </c>
      <c r="F90" s="33">
        <f>$D$85+($D$81-$D$85)*4/4</f>
        <v/>
      </c>
    </row>
    <row r="91">
      <c r="A91" s="6" t="inlineStr">
        <is>
          <t>Long range 2</t>
        </is>
      </c>
      <c r="B91" s="33">
        <f>$E$84</f>
        <v/>
      </c>
      <c r="C91" s="33">
        <f>$E$85+($E$81-$E$85)*1/4</f>
        <v/>
      </c>
      <c r="D91" s="33">
        <f>$E$85+($E$81-$E$85)*2/4</f>
        <v/>
      </c>
      <c r="E91" s="33">
        <f>$E$85+($E$81-$E$85)*3/4</f>
        <v/>
      </c>
      <c r="F91" s="33">
        <f>$E$85+($E$81-$E$85)*4/4</f>
        <v/>
      </c>
    </row>
    <row r="92">
      <c r="A92" s="6" t="inlineStr">
        <is>
          <t>Very large crude carrier</t>
        </is>
      </c>
      <c r="B92" s="33">
        <f>$F$84</f>
        <v/>
      </c>
      <c r="C92" s="33">
        <f>$F$85+($F$81-$F$85)*1/4</f>
        <v/>
      </c>
      <c r="D92" s="33">
        <f>$F$85+($F$81-$F$85)*2/4</f>
        <v/>
      </c>
      <c r="E92" s="33">
        <f>$F$85+($F$81-$F$85)*3/4</f>
        <v/>
      </c>
      <c r="F92" s="33">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7">
        <f>Assumptions!$B$84</f>
        <v/>
      </c>
      <c r="C95" s="47">
        <f>Assumptions!$C$84</f>
        <v/>
      </c>
      <c r="D95" s="47">
        <f>Assumptions!$D$84</f>
        <v/>
      </c>
      <c r="E95" s="47">
        <f>Assumptions!$E$84</f>
        <v/>
      </c>
      <c r="F95" s="47">
        <f>Assumptions!$F$84</f>
        <v/>
      </c>
    </row>
    <row r="96">
      <c r="A96" s="6" t="inlineStr">
        <is>
          <t>Year ends</t>
        </is>
      </c>
      <c r="B96" s="47">
        <f>Assumptions!$B$85</f>
        <v/>
      </c>
      <c r="C96" s="47">
        <f>Assumptions!$C$85</f>
        <v/>
      </c>
      <c r="D96" s="47">
        <f>Assumptions!$D$85</f>
        <v/>
      </c>
      <c r="E96" s="47">
        <f>Assumptions!$E$85</f>
        <v/>
      </c>
      <c r="F96" s="47">
        <f>Assumptions!$F$85</f>
        <v/>
      </c>
    </row>
    <row r="97">
      <c r="A97" s="6" t="inlineStr">
        <is>
          <t>Days in the year</t>
        </is>
      </c>
      <c r="B97" s="33">
        <f>B96-B95</f>
        <v/>
      </c>
      <c r="C97" s="33">
        <f>C96-C95</f>
        <v/>
      </c>
      <c r="D97" s="33">
        <f>D96-D95</f>
        <v/>
      </c>
      <c r="E97" s="33">
        <f>E96-E95</f>
        <v/>
      </c>
      <c r="F97" s="33">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3">
        <f>0</f>
        <v/>
      </c>
      <c r="C100" s="33">
        <f>0</f>
        <v/>
      </c>
      <c r="D100" s="33">
        <f>0</f>
        <v/>
      </c>
      <c r="E100" s="33">
        <f>0</f>
        <v/>
      </c>
      <c r="F100" s="33">
        <f>0</f>
        <v/>
      </c>
    </row>
    <row r="101">
      <c r="A101" s="6" t="inlineStr">
        <is>
          <t>Medium range</t>
        </is>
      </c>
      <c r="B101" s="33">
        <f>0</f>
        <v/>
      </c>
      <c r="C101" s="33">
        <f>0</f>
        <v/>
      </c>
      <c r="D101" s="33">
        <f>0</f>
        <v/>
      </c>
      <c r="E101" s="33">
        <f>0</f>
        <v/>
      </c>
      <c r="F101" s="33">
        <f>0</f>
        <v/>
      </c>
    </row>
    <row r="102">
      <c r="A102" s="6" t="inlineStr">
        <is>
          <t>Long range 1</t>
        </is>
      </c>
      <c r="B102" s="33">
        <f>MAX(MIN(Assumptions!$D$66,B$96)-MAX(Assumptions!$C$66,B$95),0)+MAX(MIN(Assumptions!$D$67,B$96)-MAX(Assumptions!$C$67,B$95),0)</f>
        <v/>
      </c>
      <c r="C102" s="33">
        <f>MAX(MIN(Assumptions!$D$66,C$96)-MAX(Assumptions!$C$66,C$95),0)+MAX(MIN(Assumptions!$D$67,C$96)-MAX(Assumptions!$C$67,C$95),0)</f>
        <v/>
      </c>
      <c r="D102" s="33">
        <f>MAX(MIN(Assumptions!$D$66,D$96)-MAX(Assumptions!$C$66,D$95),0)+MAX(MIN(Assumptions!$D$67,D$96)-MAX(Assumptions!$C$67,D$95),0)</f>
        <v/>
      </c>
      <c r="E102" s="33">
        <f>MAX(MIN(Assumptions!$D$66,E$96)-MAX(Assumptions!$C$66,E$95),0)+MAX(MIN(Assumptions!$D$67,E$96)-MAX(Assumptions!$C$67,E$95),0)</f>
        <v/>
      </c>
      <c r="F102" s="33">
        <f>MAX(MIN(Assumptions!$D$66,F$96)-MAX(Assumptions!$C$66,F$95),0)+MAX(MIN(Assumptions!$D$67,F$96)-MAX(Assumptions!$C$67,F$95),0)</f>
        <v/>
      </c>
    </row>
    <row r="103">
      <c r="A103" s="6" t="inlineStr">
        <is>
          <t>Long range 2</t>
        </is>
      </c>
      <c r="B103" s="33">
        <f>MAX(MIN(Assumptions!$D$68,B$96)-MAX(Assumptions!$C$68,B$95),0)+MAX(MIN(Assumptions!$D$69,B$96)-MAX(Assumptions!$C$69,B$95),0)+MAX(MIN(Assumptions!$D$70,B$96)-MAX(Assumptions!$C$70,B$95),0)+MAX(MIN(Assumptions!$D$71,B$96)-MAX(Assumptions!$C$71,B$95),0)+MAX(MIN(Assumptions!$D$72,B$96)-MAX(Assumptions!$C$72,B$95),0)+MAX(MIN(Assumptions!$D$73,B$96)-MAX(Assumptions!$C$73,B$95),0)</f>
        <v/>
      </c>
      <c r="C103" s="33">
        <f>MAX(MIN(Assumptions!$D$68,C$96)-MAX(Assumptions!$C$68,C$95),0)+MAX(MIN(Assumptions!$D$69,C$96)-MAX(Assumptions!$C$69,C$95),0)+MAX(MIN(Assumptions!$D$70,C$96)-MAX(Assumptions!$C$70,C$95),0)+MAX(MIN(Assumptions!$D$71,C$96)-MAX(Assumptions!$C$71,C$95),0)+MAX(MIN(Assumptions!$D$72,C$96)-MAX(Assumptions!$C$72,C$95),0)+MAX(MIN(Assumptions!$D$73,C$96)-MAX(Assumptions!$C$73,C$95),0)</f>
        <v/>
      </c>
      <c r="D103" s="33">
        <f>MAX(MIN(Assumptions!$D$68,D$96)-MAX(Assumptions!$C$68,D$95),0)+MAX(MIN(Assumptions!$D$69,D$96)-MAX(Assumptions!$C$69,D$95),0)+MAX(MIN(Assumptions!$D$70,D$96)-MAX(Assumptions!$C$70,D$95),0)+MAX(MIN(Assumptions!$D$71,D$96)-MAX(Assumptions!$C$71,D$95),0)+MAX(MIN(Assumptions!$D$72,D$96)-MAX(Assumptions!$C$72,D$95),0)+MAX(MIN(Assumptions!$D$73,D$96)-MAX(Assumptions!$C$73,D$95),0)</f>
        <v/>
      </c>
      <c r="E103" s="33">
        <f>MAX(MIN(Assumptions!$D$68,E$96)-MAX(Assumptions!$C$68,E$95),0)+MAX(MIN(Assumptions!$D$69,E$96)-MAX(Assumptions!$C$69,E$95),0)+MAX(MIN(Assumptions!$D$70,E$96)-MAX(Assumptions!$C$70,E$95),0)+MAX(MIN(Assumptions!$D$71,E$96)-MAX(Assumptions!$C$71,E$95),0)+MAX(MIN(Assumptions!$D$72,E$96)-MAX(Assumptions!$C$72,E$95),0)+MAX(MIN(Assumptions!$D$73,E$96)-MAX(Assumptions!$C$73,E$95),0)</f>
        <v/>
      </c>
      <c r="F103" s="33">
        <f>MAX(MIN(Assumptions!$D$68,F$96)-MAX(Assumptions!$C$68,F$95),0)+MAX(MIN(Assumptions!$D$69,F$96)-MAX(Assumptions!$C$69,F$95),0)+MAX(MIN(Assumptions!$D$70,F$96)-MAX(Assumptions!$C$70,F$95),0)+MAX(MIN(Assumptions!$D$71,F$96)-MAX(Assumptions!$C$71,F$95),0)+MAX(MIN(Assumptions!$D$72,F$96)-MAX(Assumptions!$C$72,F$95),0)+MAX(MIN(Assumptions!$D$73,F$96)-MAX(Assumptions!$C$73,F$95),0)</f>
        <v/>
      </c>
    </row>
    <row r="104">
      <c r="A104" s="6" t="inlineStr">
        <is>
          <t>Very large crude carrier</t>
        </is>
      </c>
      <c r="B104" s="33">
        <f>MAX(MIN(Assumptions!$D$74,B$96)-MAX(Assumptions!$C$74,B$95),0)+MAX(MIN(Assumptions!$D$75,B$96)-MAX(Assumptions!$C$75,B$95),0)+MAX(MIN(Assumptions!$D$76,B$96)-MAX(Assumptions!$C$76,B$95),0)+MAX(MIN(Assumptions!$D$77,B$96)-MAX(Assumptions!$C$77,B$95),0)</f>
        <v/>
      </c>
      <c r="C104" s="33">
        <f>MAX(MIN(Assumptions!$D$74,C$96)-MAX(Assumptions!$C$74,C$95),0)+MAX(MIN(Assumptions!$D$75,C$96)-MAX(Assumptions!$C$75,C$95),0)+MAX(MIN(Assumptions!$D$76,C$96)-MAX(Assumptions!$C$76,C$95),0)+MAX(MIN(Assumptions!$D$77,C$96)-MAX(Assumptions!$C$77,C$95),0)</f>
        <v/>
      </c>
      <c r="D104" s="33">
        <f>MAX(MIN(Assumptions!$D$74,D$96)-MAX(Assumptions!$C$74,D$95),0)+MAX(MIN(Assumptions!$D$75,D$96)-MAX(Assumptions!$C$75,D$95),0)+MAX(MIN(Assumptions!$D$76,D$96)-MAX(Assumptions!$C$76,D$95),0)+MAX(MIN(Assumptions!$D$77,D$96)-MAX(Assumptions!$C$77,D$95),0)</f>
        <v/>
      </c>
      <c r="E104" s="33">
        <f>MAX(MIN(Assumptions!$D$74,E$96)-MAX(Assumptions!$C$74,E$95),0)+MAX(MIN(Assumptions!$D$75,E$96)-MAX(Assumptions!$C$75,E$95),0)+MAX(MIN(Assumptions!$D$76,E$96)-MAX(Assumptions!$C$76,E$95),0)+MAX(MIN(Assumptions!$D$77,E$96)-MAX(Assumptions!$C$77,E$95),0)</f>
        <v/>
      </c>
      <c r="F104" s="33">
        <f>MAX(MIN(Assumptions!$D$74,F$96)-MAX(Assumptions!$C$74,F$95),0)+MAX(MIN(Assumptions!$D$75,F$96)-MAX(Assumptions!$C$75,F$95),0)+MAX(MIN(Assumptions!$D$76,F$96)-MAX(Assumptions!$C$76,F$95),0)+MAX(MIN(Assumptions!$D$77,F$96)-MAX(Assumptions!$C$77,F$95),0)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3">
        <f>0</f>
        <v/>
      </c>
      <c r="C107" s="33">
        <f>0</f>
        <v/>
      </c>
      <c r="D107" s="33">
        <f>0</f>
        <v/>
      </c>
      <c r="E107" s="33">
        <f>0</f>
        <v/>
      </c>
      <c r="F107" s="33">
        <f>0</f>
        <v/>
      </c>
    </row>
    <row r="108">
      <c r="A108" s="6" t="inlineStr">
        <is>
          <t>Medium range</t>
        </is>
      </c>
      <c r="B108" s="33">
        <f>0</f>
        <v/>
      </c>
      <c r="C108" s="33">
        <f>0</f>
        <v/>
      </c>
      <c r="D108" s="33">
        <f>0</f>
        <v/>
      </c>
      <c r="E108" s="33">
        <f>0</f>
        <v/>
      </c>
      <c r="F108" s="33">
        <f>0</f>
        <v/>
      </c>
    </row>
    <row r="109">
      <c r="A109" s="6" t="inlineStr">
        <is>
          <t>Long range 1</t>
        </is>
      </c>
      <c r="B109" s="33">
        <f>(Assumptions!$B$66*MAX(MIN(Assumptions!$D$66,B$96)-MAX(Assumptions!$C$66,B$95),0)+Assumptions!$B$67*MAX(MIN(Assumptions!$D$67,B$96)-MAX(Assumptions!$C$67,B$95),0))/1000</f>
        <v/>
      </c>
      <c r="C109" s="33">
        <f>(Assumptions!$B$66*MAX(MIN(Assumptions!$D$66,C$96)-MAX(Assumptions!$C$66,C$95),0)+Assumptions!$B$67*MAX(MIN(Assumptions!$D$67,C$96)-MAX(Assumptions!$C$67,C$95),0))/1000</f>
        <v/>
      </c>
      <c r="D109" s="33">
        <f>(Assumptions!$B$66*MAX(MIN(Assumptions!$D$66,D$96)-MAX(Assumptions!$C$66,D$95),0)+Assumptions!$B$67*MAX(MIN(Assumptions!$D$67,D$96)-MAX(Assumptions!$C$67,D$95),0))/1000</f>
        <v/>
      </c>
      <c r="E109" s="33">
        <f>(Assumptions!$B$66*MAX(MIN(Assumptions!$D$66,E$96)-MAX(Assumptions!$C$66,E$95),0)+Assumptions!$B$67*MAX(MIN(Assumptions!$D$67,E$96)-MAX(Assumptions!$C$67,E$95),0))/1000</f>
        <v/>
      </c>
      <c r="F109" s="33">
        <f>(Assumptions!$B$66*MAX(MIN(Assumptions!$D$66,F$96)-MAX(Assumptions!$C$66,F$95),0)+Assumptions!$B$67*MAX(MIN(Assumptions!$D$67,F$96)-MAX(Assumptions!$C$67,F$95),0))/1000</f>
        <v/>
      </c>
    </row>
    <row r="110">
      <c r="A110" s="6" t="inlineStr">
        <is>
          <t>Long range 2</t>
        </is>
      </c>
      <c r="B110" s="33">
        <f>(Assumptions!$B$68*MAX(MIN(Assumptions!$D$68,B$96)-MAX(Assumptions!$C$68,B$95),0)+Assumptions!$B$69*MAX(MIN(Assumptions!$D$69,B$96)-MAX(Assumptions!$C$69,B$95),0)+Assumptions!$B$70*MAX(MIN(Assumptions!$D$70,B$96)-MAX(Assumptions!$C$70,B$95),0)+Assumptions!$B$71*MAX(MIN(Assumptions!$D$71,B$96)-MAX(Assumptions!$C$71,B$95),0)+Assumptions!$B$72*MAX(MIN(Assumptions!$D$72,B$96)-MAX(Assumptions!$C$72,B$95),0)+Assumptions!$B$73*MAX(MIN(Assumptions!$D$73,B$96)-MAX(Assumptions!$C$73,B$95),0))/1000</f>
        <v/>
      </c>
      <c r="C110" s="33">
        <f>(Assumptions!$B$68*MAX(MIN(Assumptions!$D$68,C$96)-MAX(Assumptions!$C$68,C$95),0)+Assumptions!$B$69*MAX(MIN(Assumptions!$D$69,C$96)-MAX(Assumptions!$C$69,C$95),0)+Assumptions!$B$70*MAX(MIN(Assumptions!$D$70,C$96)-MAX(Assumptions!$C$70,C$95),0)+Assumptions!$B$71*MAX(MIN(Assumptions!$D$71,C$96)-MAX(Assumptions!$C$71,C$95),0)+Assumptions!$B$72*MAX(MIN(Assumptions!$D$72,C$96)-MAX(Assumptions!$C$72,C$95),0)+Assumptions!$B$73*MAX(MIN(Assumptions!$D$73,C$96)-MAX(Assumptions!$C$73,C$95),0))/1000</f>
        <v/>
      </c>
      <c r="D110" s="33">
        <f>(Assumptions!$B$68*MAX(MIN(Assumptions!$D$68,D$96)-MAX(Assumptions!$C$68,D$95),0)+Assumptions!$B$69*MAX(MIN(Assumptions!$D$69,D$96)-MAX(Assumptions!$C$69,D$95),0)+Assumptions!$B$70*MAX(MIN(Assumptions!$D$70,D$96)-MAX(Assumptions!$C$70,D$95),0)+Assumptions!$B$71*MAX(MIN(Assumptions!$D$71,D$96)-MAX(Assumptions!$C$71,D$95),0)+Assumptions!$B$72*MAX(MIN(Assumptions!$D$72,D$96)-MAX(Assumptions!$C$72,D$95),0)+Assumptions!$B$73*MAX(MIN(Assumptions!$D$73,D$96)-MAX(Assumptions!$C$73,D$95),0))/1000</f>
        <v/>
      </c>
      <c r="E110" s="33">
        <f>(Assumptions!$B$68*MAX(MIN(Assumptions!$D$68,E$96)-MAX(Assumptions!$C$68,E$95),0)+Assumptions!$B$69*MAX(MIN(Assumptions!$D$69,E$96)-MAX(Assumptions!$C$69,E$95),0)+Assumptions!$B$70*MAX(MIN(Assumptions!$D$70,E$96)-MAX(Assumptions!$C$70,E$95),0)+Assumptions!$B$71*MAX(MIN(Assumptions!$D$71,E$96)-MAX(Assumptions!$C$71,E$95),0)+Assumptions!$B$72*MAX(MIN(Assumptions!$D$72,E$96)-MAX(Assumptions!$C$72,E$95),0)+Assumptions!$B$73*MAX(MIN(Assumptions!$D$73,E$96)-MAX(Assumptions!$C$73,E$95),0))/1000</f>
        <v/>
      </c>
      <c r="F110" s="33">
        <f>(Assumptions!$B$68*MAX(MIN(Assumptions!$D$68,F$96)-MAX(Assumptions!$C$68,F$95),0)+Assumptions!$B$69*MAX(MIN(Assumptions!$D$69,F$96)-MAX(Assumptions!$C$69,F$95),0)+Assumptions!$B$70*MAX(MIN(Assumptions!$D$70,F$96)-MAX(Assumptions!$C$70,F$95),0)+Assumptions!$B$71*MAX(MIN(Assumptions!$D$71,F$96)-MAX(Assumptions!$C$71,F$95),0)+Assumptions!$B$72*MAX(MIN(Assumptions!$D$72,F$96)-MAX(Assumptions!$C$72,F$95),0)+Assumptions!$B$73*MAX(MIN(Assumptions!$D$73,F$96)-MAX(Assumptions!$C$73,F$95),0))/1000</f>
        <v/>
      </c>
    </row>
    <row r="111">
      <c r="A111" s="6" t="inlineStr">
        <is>
          <t>Very large crude carrier</t>
        </is>
      </c>
      <c r="B111" s="33">
        <f>(Assumptions!$B$74*MAX(MIN(Assumptions!$D$74,B$96)-MAX(Assumptions!$C$74,B$95),0)+Assumptions!$B$75*MAX(MIN(Assumptions!$D$75,B$96)-MAX(Assumptions!$C$75,B$95),0)+Assumptions!$B$76*MAX(MIN(Assumptions!$D$76,B$96)-MAX(Assumptions!$C$76,B$95),0)+Assumptions!$B$77*MAX(MIN(Assumptions!$D$77,B$96)-MAX(Assumptions!$C$77,B$95),0))/1000</f>
        <v/>
      </c>
      <c r="C111" s="33">
        <f>(Assumptions!$B$74*MAX(MIN(Assumptions!$D$74,C$96)-MAX(Assumptions!$C$74,C$95),0)+Assumptions!$B$75*MAX(MIN(Assumptions!$D$75,C$96)-MAX(Assumptions!$C$75,C$95),0)+Assumptions!$B$76*MAX(MIN(Assumptions!$D$76,C$96)-MAX(Assumptions!$C$76,C$95),0)+Assumptions!$B$77*MAX(MIN(Assumptions!$D$77,C$96)-MAX(Assumptions!$C$77,C$95),0))/1000</f>
        <v/>
      </c>
      <c r="D111" s="33">
        <f>(Assumptions!$B$74*MAX(MIN(Assumptions!$D$74,D$96)-MAX(Assumptions!$C$74,D$95),0)+Assumptions!$B$75*MAX(MIN(Assumptions!$D$75,D$96)-MAX(Assumptions!$C$75,D$95),0)+Assumptions!$B$76*MAX(MIN(Assumptions!$D$76,D$96)-MAX(Assumptions!$C$76,D$95),0)+Assumptions!$B$77*MAX(MIN(Assumptions!$D$77,D$96)-MAX(Assumptions!$C$77,D$95),0))/1000</f>
        <v/>
      </c>
      <c r="E111" s="33">
        <f>(Assumptions!$B$74*MAX(MIN(Assumptions!$D$74,E$96)-MAX(Assumptions!$C$74,E$95),0)+Assumptions!$B$75*MAX(MIN(Assumptions!$D$75,E$96)-MAX(Assumptions!$C$75,E$95),0)+Assumptions!$B$76*MAX(MIN(Assumptions!$D$76,E$96)-MAX(Assumptions!$C$76,E$95),0)+Assumptions!$B$77*MAX(MIN(Assumptions!$D$77,E$96)-MAX(Assumptions!$C$77,E$95),0))/1000</f>
        <v/>
      </c>
      <c r="F111" s="33">
        <f>(Assumptions!$B$74*MAX(MIN(Assumptions!$D$74,F$96)-MAX(Assumptions!$C$74,F$95),0)+Assumptions!$B$75*MAX(MIN(Assumptions!$D$75,F$96)-MAX(Assumptions!$C$75,F$95),0)+Assumptions!$B$76*MAX(MIN(Assumptions!$D$76,F$96)-MAX(Assumptions!$C$76,F$95),0)+Assumptions!$B$77*MAX(MIN(Assumptions!$D$77,F$96)-MAX(Assumptions!$C$77,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3">
        <f>$B$29*MAX(B$96-MAX(B$95,$B$30),0)</f>
        <v/>
      </c>
      <c r="C114" s="33">
        <f>$B$29*MAX(C$96-MAX(C$95,$B$30),0)</f>
        <v/>
      </c>
      <c r="D114" s="33">
        <f>$B$29*MAX(D$96-MAX(D$95,$B$30),0)</f>
        <v/>
      </c>
      <c r="E114" s="33">
        <f>$B$29*MAX(E$96-MAX(E$95,$B$30),0)</f>
        <v/>
      </c>
      <c r="F114" s="33">
        <f>$B$29*MAX(F$96-MAX(F$95,$B$30),0)</f>
        <v/>
      </c>
    </row>
    <row r="115">
      <c r="A115" s="6" t="inlineStr">
        <is>
          <t>Medium range</t>
        </is>
      </c>
      <c r="B115" s="33">
        <f>$C$29*MAX(B$96-MAX(B$95,$C$30),0)</f>
        <v/>
      </c>
      <c r="C115" s="33">
        <f>$C$29*MAX(C$96-MAX(C$95,$C$30),0)</f>
        <v/>
      </c>
      <c r="D115" s="33">
        <f>$C$29*MAX(D$96-MAX(D$95,$C$30),0)</f>
        <v/>
      </c>
      <c r="E115" s="33">
        <f>$C$29*MAX(E$96-MAX(E$95,$C$30),0)</f>
        <v/>
      </c>
      <c r="F115" s="33">
        <f>$C$29*MAX(F$96-MAX(F$95,$C$30),0)</f>
        <v/>
      </c>
    </row>
    <row r="116">
      <c r="A116" s="6" t="inlineStr">
        <is>
          <t>Long range 1</t>
        </is>
      </c>
      <c r="B116" s="33">
        <f>$D$29*MAX(B$96-MAX(B$95,$D$30),0)</f>
        <v/>
      </c>
      <c r="C116" s="33">
        <f>$D$29*MAX(C$96-MAX(C$95,$D$30),0)</f>
        <v/>
      </c>
      <c r="D116" s="33">
        <f>$D$29*MAX(D$96-MAX(D$95,$D$30),0)</f>
        <v/>
      </c>
      <c r="E116" s="33">
        <f>$D$29*MAX(E$96-MAX(E$95,$D$30),0)</f>
        <v/>
      </c>
      <c r="F116" s="33">
        <f>$D$29*MAX(F$96-MAX(F$95,$D$30),0)</f>
        <v/>
      </c>
    </row>
    <row r="117">
      <c r="A117" s="6" t="inlineStr">
        <is>
          <t>Long range 2</t>
        </is>
      </c>
      <c r="B117" s="33">
        <f>$E$29*MAX(B$96-MAX(B$95,$E$30),0)</f>
        <v/>
      </c>
      <c r="C117" s="33">
        <f>$E$29*MAX(C$96-MAX(C$95,$E$30),0)</f>
        <v/>
      </c>
      <c r="D117" s="33">
        <f>$E$29*MAX(D$96-MAX(D$95,$E$30),0)</f>
        <v/>
      </c>
      <c r="E117" s="33">
        <f>$E$29*MAX(E$96-MAX(E$95,$E$30),0)</f>
        <v/>
      </c>
      <c r="F117" s="33">
        <f>$E$29*MAX(F$96-MAX(F$95,$E$30),0)</f>
        <v/>
      </c>
    </row>
    <row r="118">
      <c r="A118" s="6" t="inlineStr">
        <is>
          <t>Very large crude carrier</t>
        </is>
      </c>
      <c r="B118" s="33">
        <f>$F$29*MAX(B$96-MAX(B$95,$F$30),0)</f>
        <v/>
      </c>
      <c r="C118" s="33">
        <f>$F$29*MAX(C$96-MAX(C$95,$F$30),0)</f>
        <v/>
      </c>
      <c r="D118" s="33">
        <f>$F$29*MAX(D$96-MAX(D$95,$F$30),0)</f>
        <v/>
      </c>
      <c r="E118" s="33">
        <f>$F$29*MAX(E$96-MAX(E$95,$F$30),0)</f>
        <v/>
      </c>
      <c r="F118" s="33">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3">
        <f>$B$28*B97-B100+B114</f>
        <v/>
      </c>
      <c r="C121" s="33">
        <f>$B$28*C97-C100+C114</f>
        <v/>
      </c>
      <c r="D121" s="33">
        <f>$B$28*D97-D100+D114</f>
        <v/>
      </c>
      <c r="E121" s="33">
        <f>$B$28*E97-E100+E114</f>
        <v/>
      </c>
      <c r="F121" s="33">
        <f>$B$28*F97-F100+F114</f>
        <v/>
      </c>
    </row>
    <row r="122">
      <c r="A122" s="6" t="inlineStr">
        <is>
          <t>Medium range</t>
        </is>
      </c>
      <c r="B122" s="33">
        <f>$C$28*B97-B101+B115</f>
        <v/>
      </c>
      <c r="C122" s="33">
        <f>$C$28*C97-C101+C115</f>
        <v/>
      </c>
      <c r="D122" s="33">
        <f>$C$28*D97-D101+D115</f>
        <v/>
      </c>
      <c r="E122" s="33">
        <f>$C$28*E97-E101+E115</f>
        <v/>
      </c>
      <c r="F122" s="33">
        <f>$C$28*F97-F101+F115</f>
        <v/>
      </c>
    </row>
    <row r="123">
      <c r="A123" s="6" t="inlineStr">
        <is>
          <t>Long range 1</t>
        </is>
      </c>
      <c r="B123" s="33">
        <f>$D$28*B97-B102+B116</f>
        <v/>
      </c>
      <c r="C123" s="33">
        <f>$D$28*C97-C102+C116</f>
        <v/>
      </c>
      <c r="D123" s="33">
        <f>$D$28*D97-D102+D116</f>
        <v/>
      </c>
      <c r="E123" s="33">
        <f>$D$28*E97-E102+E116</f>
        <v/>
      </c>
      <c r="F123" s="33">
        <f>$D$28*F97-F102+F116</f>
        <v/>
      </c>
    </row>
    <row r="124">
      <c r="A124" s="6" t="inlineStr">
        <is>
          <t>Long range 2</t>
        </is>
      </c>
      <c r="B124" s="33">
        <f>$E$28*B97-B103+B117</f>
        <v/>
      </c>
      <c r="C124" s="33">
        <f>$E$28*C97-C103+C117</f>
        <v/>
      </c>
      <c r="D124" s="33">
        <f>$E$28*D97-D103+D117</f>
        <v/>
      </c>
      <c r="E124" s="33">
        <f>$E$28*E97-E103+E117</f>
        <v/>
      </c>
      <c r="F124" s="33">
        <f>$E$28*F97-F103+F117</f>
        <v/>
      </c>
    </row>
    <row r="125">
      <c r="A125" s="6" t="inlineStr">
        <is>
          <t>Very large crude carrier</t>
        </is>
      </c>
      <c r="B125" s="33">
        <f>$F$28*B97-B104+B118</f>
        <v/>
      </c>
      <c r="C125" s="33">
        <f>$F$28*C97-C104+C118</f>
        <v/>
      </c>
      <c r="D125" s="33">
        <f>$F$28*D97-D104+D118</f>
        <v/>
      </c>
      <c r="E125" s="33">
        <f>$F$28*E97-E104+E118</f>
        <v/>
      </c>
      <c r="F125" s="33">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3">
        <f>B121*B88/1000</f>
        <v/>
      </c>
      <c r="C128" s="33">
        <f>C121*C88/1000</f>
        <v/>
      </c>
      <c r="D128" s="33">
        <f>D121*D88/1000</f>
        <v/>
      </c>
      <c r="E128" s="33">
        <f>E121*E88/1000</f>
        <v/>
      </c>
      <c r="F128" s="33">
        <f>F121*F88/1000</f>
        <v/>
      </c>
    </row>
    <row r="129">
      <c r="A129" s="6" t="inlineStr">
        <is>
          <t>Medium range</t>
        </is>
      </c>
      <c r="B129" s="33">
        <f>B122*B89/1000</f>
        <v/>
      </c>
      <c r="C129" s="33">
        <f>C122*C89/1000</f>
        <v/>
      </c>
      <c r="D129" s="33">
        <f>D122*D89/1000</f>
        <v/>
      </c>
      <c r="E129" s="33">
        <f>E122*E89/1000</f>
        <v/>
      </c>
      <c r="F129" s="33">
        <f>F122*F89/1000</f>
        <v/>
      </c>
    </row>
    <row r="130">
      <c r="A130" s="6" t="inlineStr">
        <is>
          <t>Long range 1</t>
        </is>
      </c>
      <c r="B130" s="33">
        <f>B123*B90/1000</f>
        <v/>
      </c>
      <c r="C130" s="33">
        <f>C123*C90/1000</f>
        <v/>
      </c>
      <c r="D130" s="33">
        <f>D123*D90/1000</f>
        <v/>
      </c>
      <c r="E130" s="33">
        <f>E123*E90/1000</f>
        <v/>
      </c>
      <c r="F130" s="33">
        <f>F123*F90/1000</f>
        <v/>
      </c>
    </row>
    <row r="131">
      <c r="A131" s="6" t="inlineStr">
        <is>
          <t>Long range 2</t>
        </is>
      </c>
      <c r="B131" s="33">
        <f>B124*B91/1000</f>
        <v/>
      </c>
      <c r="C131" s="33">
        <f>C124*C91/1000</f>
        <v/>
      </c>
      <c r="D131" s="33">
        <f>D124*D91/1000</f>
        <v/>
      </c>
      <c r="E131" s="33">
        <f>E124*E91/1000</f>
        <v/>
      </c>
      <c r="F131" s="33">
        <f>F124*F91/1000</f>
        <v/>
      </c>
    </row>
    <row r="132">
      <c r="A132" s="6" t="inlineStr">
        <is>
          <t>Very large crude carrier</t>
        </is>
      </c>
      <c r="B132" s="33">
        <f>B125*B92/1000</f>
        <v/>
      </c>
      <c r="C132" s="33">
        <f>C125*C92/1000</f>
        <v/>
      </c>
      <c r="D132" s="33">
        <f>D125*D92/1000</f>
        <v/>
      </c>
      <c r="E132" s="33">
        <f>E125*E92/1000</f>
        <v/>
      </c>
      <c r="F132" s="33">
        <f>F125*F92/1000</f>
        <v/>
      </c>
    </row>
    <row r="134">
      <c r="A134" s="6" t="inlineStr">
        <is>
          <t>Charter revenue — all classes</t>
        </is>
      </c>
      <c r="B134" s="33">
        <f>SUM(B107:B111)</f>
        <v/>
      </c>
      <c r="C134" s="33">
        <f>SUM(C107:C111)</f>
        <v/>
      </c>
      <c r="D134" s="33">
        <f>SUM(D107:D111)</f>
        <v/>
      </c>
      <c r="E134" s="33">
        <f>SUM(E107:E111)</f>
        <v/>
      </c>
      <c r="F134" s="33">
        <f>SUM(F107:F111)</f>
        <v/>
      </c>
    </row>
    <row r="135">
      <c r="A135" s="6" t="inlineStr">
        <is>
          <t>Spot revenue — all classes</t>
        </is>
      </c>
      <c r="B135" s="33">
        <f>SUM(B128:B132)</f>
        <v/>
      </c>
      <c r="C135" s="33">
        <f>SUM(C128:C132)</f>
        <v/>
      </c>
      <c r="D135" s="33">
        <f>SUM(D128:D132)</f>
        <v/>
      </c>
      <c r="E135" s="33">
        <f>SUM(E128:E132)</f>
        <v/>
      </c>
      <c r="F135" s="33">
        <f>SUM(F128:F132)</f>
        <v/>
      </c>
    </row>
    <row r="136">
      <c r="A136" s="37" t="inlineStr">
        <is>
          <t>Time-charter-equivalent revenue</t>
        </is>
      </c>
      <c r="B136" s="38">
        <f>B134+B135+$B$141</f>
        <v/>
      </c>
      <c r="C136" s="38">
        <f>C134+C135</f>
        <v/>
      </c>
      <c r="D136" s="38">
        <f>D134+D135</f>
        <v/>
      </c>
      <c r="E136" s="38">
        <f>E134+E135</f>
        <v/>
      </c>
      <c r="F136" s="38">
        <f>F134+F135</f>
        <v/>
      </c>
    </row>
    <row r="138">
      <c r="A138" s="11" t="inlineStr">
        <is>
          <t>THE COST STACK — SOLVED FROM TWO DISCLOSED PERIODS, NOT ONE</t>
        </is>
      </c>
      <c r="B138" s="16" t="n"/>
      <c r="C138" s="16" t="n"/>
      <c r="D138" s="16" t="n"/>
      <c r="E138" s="16" t="n"/>
      <c r="F138" s="16" t="n"/>
    </row>
    <row r="139">
      <c r="A139" s="6" t="inlineStr">
        <is>
          <t>2025 charter-equivalent revenue on the published blends (USD 000)</t>
        </is>
      </c>
      <c r="B139" s="33">
        <f>(B26*(B38*(B34-B33)+C38*(C34-C33)+D38*(D34-D33)+E38*(E34-E33))+C26*(B39*(B34-B33)+C39*(C34-C33)+D39*(D34-D33)+E39*(E34-E33))+D26*(B40*(B34-B33)+C40*(C34-C33)+D40*(D34-D33)+E40*(E34-E33))+E26*(B41*(B34-B33)+C41*(C34-C33)+D41*(D34-D33)+E41*(E34-E33))+F26*(B42*(B34-B33)+C42*(C34-C33)+D42*(D34-D33)+E42*(E34-E33)))/1000</f>
        <v/>
      </c>
    </row>
    <row r="140">
      <c r="A140" s="6" t="inlineStr">
        <is>
          <t>2025 Tankers EBITDA as disclosed (USD 000)</t>
        </is>
      </c>
      <c r="B140" s="20">
        <f>D18</f>
        <v/>
      </c>
    </row>
    <row r="141">
      <c r="A141" s="6" t="inlineStr">
        <is>
          <t>First-half 2026 charter-equivalent revenue on the reported blends (USD 000)</t>
        </is>
      </c>
      <c r="B141" s="33">
        <f>(B28*F38*(F34-F33)+B28*G38*(G34-G33)+C28*F39*(F34-F33)+C28*G39*(G34-G33)+D28*F40*(F34-F33)+D28*G40*(G34-G33)+E28*F41*(F34-F33)+E28*G41*(G34-G33)+F28*F42*(F34-F33)+F28*G42*(G34-G33))/1000</f>
        <v/>
      </c>
    </row>
    <row r="142">
      <c r="A142" s="6" t="inlineStr">
        <is>
          <t>First-half 2026 Tankers EBITDA as reported (USD 000)</t>
        </is>
      </c>
      <c r="B142" s="20">
        <f>Assumptions!$C$117</f>
        <v/>
      </c>
    </row>
    <row r="143">
      <c r="A143" s="37" t="inlineStr">
        <is>
          <t>Earnings leverage on charter-equivalent revenue — solved from the two periods together</t>
        </is>
      </c>
      <c r="B143" s="48">
        <f>(B142-181/365*B140)/(B141-181/365*B139)</f>
        <v/>
      </c>
    </row>
    <row r="144">
      <c r="A144" s="37" t="inlineStr">
        <is>
          <t>Fixed cost base a year — the same solve (USD 000)</t>
        </is>
      </c>
      <c r="B144" s="38">
        <f>B143*B139-B140</f>
        <v/>
      </c>
    </row>
    <row r="146">
      <c r="A146" s="49" t="inlineStr">
        <is>
          <t>Fixed cost, escalated — half a year in 2026, when the first half is already reported</t>
        </is>
      </c>
      <c r="B146" s="50">
        <f>Assumptions!$C$97*(1+Assumptions!$C$99)*184/365</f>
        <v/>
      </c>
      <c r="C146" s="50">
        <f>Assumptions!$C$97*(1+Assumptions!$C$99)*(1+Assumptions!$C$100)</f>
        <v/>
      </c>
      <c r="D146" s="50">
        <f>Assumptions!$C$97*(1+Assumptions!$C$99)*(1+Assumptions!$C$100)*(1+Assumptions!$C$101)</f>
        <v/>
      </c>
      <c r="E146" s="50">
        <f>Assumptions!$C$97*(1+Assumptions!$C$99)*(1+Assumptions!$C$100)*(1+Assumptions!$C$101)*(1+Assumptions!$C$102)</f>
        <v/>
      </c>
      <c r="F146" s="50">
        <f>Assumptions!$C$97*(1+Assumptions!$C$99)*(1+Assumptions!$C$100)*(1+Assumptions!$C$101)*(1+Assumptions!$C$102)*(1+Assumptions!$C$103)</f>
        <v/>
      </c>
    </row>
    <row r="147">
      <c r="A147" s="6" t="inlineStr">
        <is>
          <t>Variable cost — the rate per unit of charter-equivalent revenue x that revenue</t>
        </is>
      </c>
      <c r="B147" s="33">
        <f>Assumptions!$C$98*(B134+B135)</f>
        <v/>
      </c>
      <c r="C147" s="33">
        <f>Assumptions!$C$98*C136</f>
        <v/>
      </c>
      <c r="D147" s="33">
        <f>Assumptions!$C$98*D136</f>
        <v/>
      </c>
      <c r="E147" s="33">
        <f>Assumptions!$C$98*E136</f>
        <v/>
      </c>
      <c r="F147" s="33">
        <f>Assumptions!$C$98*F136</f>
        <v/>
      </c>
    </row>
    <row r="148">
      <c r="A148" s="6" t="inlineStr">
        <is>
          <t>Gross-up from time-charter-equivalent to reported revenue</t>
        </is>
      </c>
      <c r="B148" s="42">
        <f>Assumptions!$C$104</f>
        <v/>
      </c>
      <c r="C148" s="42">
        <f>Assumptions!$C$104</f>
        <v/>
      </c>
      <c r="D148" s="42">
        <f>Assumptions!$C$104</f>
        <v/>
      </c>
      <c r="E148" s="42">
        <f>Assumptions!$C$104</f>
        <v/>
      </c>
      <c r="F148" s="42">
        <f>Assumptions!$C$104</f>
        <v/>
      </c>
    </row>
    <row r="149">
      <c r="A149" s="37" t="inlineStr">
        <is>
          <t>Tankers revenue</t>
        </is>
      </c>
      <c r="B149" s="38">
        <f>Assumptions!$C$110+(B134+B135)*B148</f>
        <v/>
      </c>
      <c r="C149" s="38">
        <f>C136*C148</f>
        <v/>
      </c>
      <c r="D149" s="38">
        <f>D136*D148</f>
        <v/>
      </c>
      <c r="E149" s="38">
        <f>E136*E148</f>
        <v/>
      </c>
      <c r="F149" s="38">
        <f>F136*F148</f>
        <v/>
      </c>
    </row>
    <row r="150">
      <c r="A150" s="37" t="inlineStr">
        <is>
          <t>Tankers EBITDA</t>
        </is>
      </c>
      <c r="B150" s="38">
        <f>Assumptions!$C$117+(B134+B135)*B148-B146-B147</f>
        <v/>
      </c>
      <c r="C150" s="38">
        <f>C149-C146-C147</f>
        <v/>
      </c>
      <c r="D150" s="38">
        <f>D149-D146-D147</f>
        <v/>
      </c>
      <c r="E150" s="38">
        <f>E149-E146-E147</f>
        <v/>
      </c>
      <c r="F150" s="38">
        <f>F149-F146-F147</f>
        <v/>
      </c>
    </row>
    <row r="152">
      <c r="A152" s="11" t="inlineStr">
        <is>
          <t>GAS CARRIERS — CONTRACTED VESSEL-YEARS x IMPLIED DAY RATE</t>
        </is>
      </c>
      <c r="B152" s="16" t="n"/>
      <c r="C152" s="16" t="n"/>
      <c r="D152" s="16" t="n"/>
      <c r="E152" s="16" t="n"/>
      <c r="F152" s="16" t="n"/>
    </row>
    <row r="153">
      <c r="A153" s="6" t="inlineStr">
        <is>
          <t>Consolidated gas vessels in service through 2025 (vessel-years)</t>
        </is>
      </c>
      <c r="B153" s="19">
        <f>Assumptions!$C$123</f>
        <v/>
      </c>
    </row>
    <row r="154">
      <c r="A154" s="6" t="inlineStr">
        <is>
          <t>2025 Gas Carriers revenue as disclosed (USD 000)</t>
        </is>
      </c>
      <c r="B154" s="20">
        <f>D9</f>
        <v/>
      </c>
    </row>
    <row r="155">
      <c r="A155" s="37" t="inlineStr">
        <is>
          <t>Implied revenue per gas vessel-day — solved from the two above (USD)</t>
        </is>
      </c>
      <c r="B155" s="38">
        <f>B154*1000/(B153*365)</f>
        <v/>
      </c>
    </row>
    <row r="157">
      <c r="A157" s="11" t="inlineStr">
        <is>
          <t>Contracted vessel-years before the August 2026 purchase</t>
        </is>
      </c>
      <c r="B157" s="51">
        <f>Assumptions!$B$131</f>
        <v/>
      </c>
      <c r="C157" s="51">
        <f>Assumptions!$C$131</f>
        <v/>
      </c>
      <c r="D157" s="51">
        <f>Assumptions!$D$131</f>
        <v/>
      </c>
      <c r="E157" s="51">
        <f>Assumptions!$E$131</f>
        <v/>
      </c>
      <c r="F157" s="51">
        <f>Assumptions!$F$131</f>
        <v/>
      </c>
    </row>
    <row r="158">
      <c r="A158" s="6" t="inlineStr">
        <is>
          <t>Vessel-years the five gas carriers bought on 7 August 2026 add — each tranche from its own delivery date</t>
        </is>
      </c>
      <c r="B158" s="19">
        <f>Assumptions!$B$132</f>
        <v/>
      </c>
      <c r="C158" s="19">
        <f>Assumptions!$C$132</f>
        <v/>
      </c>
      <c r="D158" s="19">
        <f>Assumptions!$D$132</f>
        <v/>
      </c>
      <c r="E158" s="19">
        <f>Assumptions!$E$132</f>
        <v/>
      </c>
      <c r="F158" s="19">
        <f>Assumptions!$F$132</f>
        <v/>
      </c>
    </row>
    <row r="159">
      <c r="A159" s="37" t="inlineStr">
        <is>
          <t>Contracted vessel-years</t>
        </is>
      </c>
      <c r="B159" s="52">
        <f>Assumptions!$B$133</f>
        <v/>
      </c>
      <c r="C159" s="52">
        <f>Assumptions!$C$133</f>
        <v/>
      </c>
      <c r="D159" s="52">
        <f>Assumptions!$D$133</f>
        <v/>
      </c>
      <c r="E159" s="52">
        <f>Assumptions!$E$133</f>
        <v/>
      </c>
      <c r="F159" s="52">
        <f>Assumptions!$F$133</f>
        <v/>
      </c>
    </row>
    <row r="160">
      <c r="A160" s="6" t="inlineStr">
        <is>
          <t>Revenue per vessel-day, escalated (USD)</t>
        </is>
      </c>
      <c r="B160" s="33">
        <f>Assumptions!$C$125*(1+Assumptions!$C$99)</f>
        <v/>
      </c>
      <c r="C160" s="33">
        <f>Assumptions!$C$125*(1+Assumptions!$C$99)*(1+Assumptions!$C$100)</f>
        <v/>
      </c>
      <c r="D160" s="33">
        <f>Assumptions!$C$125*(1+Assumptions!$C$99)*(1+Assumptions!$C$100)*(1+Assumptions!$C$101)</f>
        <v/>
      </c>
      <c r="E160" s="33">
        <f>Assumptions!$C$125*(1+Assumptions!$C$99)*(1+Assumptions!$C$100)*(1+Assumptions!$C$101)*(1+Assumptions!$C$102)</f>
        <v/>
      </c>
      <c r="F160" s="33">
        <f>Assumptions!$C$125*(1+Assumptions!$C$99)*(1+Assumptions!$C$100)*(1+Assumptions!$C$101)*(1+Assumptions!$C$102)*(1+Assumptions!$C$103)</f>
        <v/>
      </c>
    </row>
    <row r="161">
      <c r="A161" s="6" t="inlineStr">
        <is>
          <t>Gas Carriers revenue</t>
        </is>
      </c>
      <c r="B161" s="33">
        <f>Assumptions!$C$111+(B159*2-Assumptions!$C$124)*184*B160/1000</f>
        <v/>
      </c>
      <c r="C161" s="33">
        <f>C159*365*C160/1000</f>
        <v/>
      </c>
      <c r="D161" s="33">
        <f>D159*365*D160/1000</f>
        <v/>
      </c>
      <c r="E161" s="33">
        <f>E159*365*E160/1000</f>
        <v/>
      </c>
      <c r="F161" s="33">
        <f>F159*365*F160/1000</f>
        <v/>
      </c>
    </row>
    <row r="162">
      <c r="A162" s="6" t="inlineStr">
        <is>
          <t>Gas Carriers earnings margin</t>
        </is>
      </c>
      <c r="B162" s="8">
        <f>Assumptions!$C$126</f>
        <v/>
      </c>
      <c r="C162" s="8">
        <f>Assumptions!$C$126</f>
        <v/>
      </c>
      <c r="D162" s="8">
        <f>Assumptions!$C$126</f>
        <v/>
      </c>
      <c r="E162" s="8">
        <f>Assumptions!$C$126</f>
        <v/>
      </c>
      <c r="F162" s="8">
        <f>Assumptions!$C$126</f>
        <v/>
      </c>
    </row>
    <row r="163">
      <c r="A163" s="6" t="inlineStr">
        <is>
          <t>Gas Carriers earnings before the joint-venture share</t>
        </is>
      </c>
      <c r="B163" s="33">
        <f>Assumptions!$C$118+(B161-Assumptions!$C$111)*B162</f>
        <v/>
      </c>
      <c r="C163" s="33">
        <f>C161*C162</f>
        <v/>
      </c>
      <c r="D163" s="33">
        <f>D161*D162</f>
        <v/>
      </c>
      <c r="E163" s="33">
        <f>E161*E162</f>
        <v/>
      </c>
      <c r="F163" s="33">
        <f>F161*F162</f>
        <v/>
      </c>
    </row>
    <row r="164">
      <c r="A164" s="6" t="inlineStr">
        <is>
          <t>Less the share of joint-venture profit carried inside the disclosed segment, escalated — the equity bridge already adds those ventures at carrying value</t>
        </is>
      </c>
      <c r="B164" s="33">
        <f>-Assumptions!$C$127*(1+Assumptions!$C$99)</f>
        <v/>
      </c>
      <c r="C164" s="33">
        <f>-Assumptions!$C$127*(1+Assumptions!$C$99)*(1+Assumptions!$C$100)</f>
        <v/>
      </c>
      <c r="D164" s="33">
        <f>-Assumptions!$C$127*(1+Assumptions!$C$99)*(1+Assumptions!$C$100)*(1+Assumptions!$C$101)</f>
        <v/>
      </c>
      <c r="E164" s="33">
        <f>-Assumptions!$C$127*(1+Assumptions!$C$99)*(1+Assumptions!$C$100)*(1+Assumptions!$C$101)*(1+Assumptions!$C$102)</f>
        <v/>
      </c>
      <c r="F164" s="33">
        <f>-Assumptions!$C$127*(1+Assumptions!$C$99)*(1+Assumptions!$C$100)*(1+Assumptions!$C$101)*(1+Assumptions!$C$102)*(1+Assumptions!$C$103)</f>
        <v/>
      </c>
    </row>
    <row r="165">
      <c r="A165" s="37" t="inlineStr">
        <is>
          <t>Gas Carriers EBITDA</t>
        </is>
      </c>
      <c r="B165" s="38">
        <f>B163+B164</f>
        <v/>
      </c>
      <c r="C165" s="38">
        <f>C163+C164</f>
        <v/>
      </c>
      <c r="D165" s="38">
        <f>D163+D164</f>
        <v/>
      </c>
      <c r="E165" s="38">
        <f>E163+E164</f>
        <v/>
      </c>
      <c r="F165" s="38">
        <f>F163+F164</f>
        <v/>
      </c>
    </row>
    <row r="167">
      <c r="A167" s="11" t="inlineStr">
        <is>
          <t>THE REMAINING FIVE UNITS — REVENUE DRIVER x MARGIN DRIVER</t>
        </is>
      </c>
      <c r="B167" s="16" t="inlineStr">
        <is>
          <t>FY2026</t>
        </is>
      </c>
      <c r="C167" s="16" t="inlineStr">
        <is>
          <t>FY2027</t>
        </is>
      </c>
      <c r="D167" s="16" t="inlineStr">
        <is>
          <t>FY2028</t>
        </is>
      </c>
      <c r="E167" s="16" t="inlineStr">
        <is>
          <t>FY2029</t>
        </is>
      </c>
      <c r="F167" s="16" t="inlineStr">
        <is>
          <t>FY2030</t>
        </is>
      </c>
    </row>
    <row r="168">
      <c r="A168" s="6" t="inlineStr">
        <is>
          <t>Offshore Contracting — revenue</t>
        </is>
      </c>
      <c r="B168" s="20">
        <f>Assumptions!$B$136</f>
        <v/>
      </c>
      <c r="C168" s="20">
        <f>Assumptions!$C$136</f>
        <v/>
      </c>
      <c r="D168" s="20">
        <f>Assumptions!$D$136</f>
        <v/>
      </c>
      <c r="E168" s="20">
        <f>Assumptions!$E$136</f>
        <v/>
      </c>
      <c r="F168" s="20">
        <f>Assumptions!$F$136</f>
        <v/>
      </c>
    </row>
    <row r="169">
      <c r="A169" s="6" t="inlineStr">
        <is>
          <t>Offshore Contracting — EBITDA</t>
        </is>
      </c>
      <c r="B169" s="33">
        <f>Assumptions!$C$114+(B168-Assumptions!$C$107)*Assumptions!$B$137</f>
        <v/>
      </c>
      <c r="C169" s="33">
        <f>C168*Assumptions!$C$137</f>
        <v/>
      </c>
      <c r="D169" s="33">
        <f>D168*Assumptions!$D$137</f>
        <v/>
      </c>
      <c r="E169" s="33">
        <f>E168*Assumptions!$E$137</f>
        <v/>
      </c>
      <c r="F169" s="33">
        <f>F168*Assumptions!$F$137</f>
        <v/>
      </c>
    </row>
    <row r="170">
      <c r="A170" s="6" t="inlineStr">
        <is>
          <t>Offshore Services — revenue</t>
        </is>
      </c>
      <c r="B170" s="20">
        <f>Assumptions!$B$138</f>
        <v/>
      </c>
      <c r="C170" s="20">
        <f>Assumptions!$C$138</f>
        <v/>
      </c>
      <c r="D170" s="20">
        <f>Assumptions!$D$138</f>
        <v/>
      </c>
      <c r="E170" s="20">
        <f>Assumptions!$E$138</f>
        <v/>
      </c>
      <c r="F170" s="20">
        <f>Assumptions!$F$138</f>
        <v/>
      </c>
    </row>
    <row r="171">
      <c r="A171" s="6" t="inlineStr">
        <is>
          <t>Offshore Services — EBITDA</t>
        </is>
      </c>
      <c r="B171" s="33">
        <f>Assumptions!$C$115+(B170-Assumptions!$C$108)*Assumptions!$B$139</f>
        <v/>
      </c>
      <c r="C171" s="33">
        <f>C170*Assumptions!$C$139</f>
        <v/>
      </c>
      <c r="D171" s="33">
        <f>D170*Assumptions!$D$139</f>
        <v/>
      </c>
      <c r="E171" s="33">
        <f>E170*Assumptions!$E$139</f>
        <v/>
      </c>
      <c r="F171" s="33">
        <f>F170*Assumptions!$F$139</f>
        <v/>
      </c>
    </row>
    <row r="172">
      <c r="A172" s="6" t="inlineStr">
        <is>
          <t>Offshore Projects — revenue</t>
        </is>
      </c>
      <c r="B172" s="20">
        <f>Assumptions!$B$140</f>
        <v/>
      </c>
      <c r="C172" s="20">
        <f>Assumptions!$C$140</f>
        <v/>
      </c>
      <c r="D172" s="20">
        <f>Assumptions!$D$140</f>
        <v/>
      </c>
      <c r="E172" s="20">
        <f>Assumptions!$E$140</f>
        <v/>
      </c>
      <c r="F172" s="20">
        <f>Assumptions!$F$140</f>
        <v/>
      </c>
    </row>
    <row r="173">
      <c r="A173" s="6" t="inlineStr">
        <is>
          <t>Offshore Projects — EBITDA</t>
        </is>
      </c>
      <c r="B173" s="33">
        <f>Assumptions!$C$116+(B172-Assumptions!$C$109)*Assumptions!$B$141</f>
        <v/>
      </c>
      <c r="C173" s="33">
        <f>C172*Assumptions!$C$141</f>
        <v/>
      </c>
      <c r="D173" s="33">
        <f>D172*Assumptions!$D$141</f>
        <v/>
      </c>
      <c r="E173" s="33">
        <f>E172*Assumptions!$E$141</f>
        <v/>
      </c>
      <c r="F173" s="33">
        <f>F172*Assumptions!$F$141</f>
        <v/>
      </c>
    </row>
    <row r="174">
      <c r="A174" s="6" t="inlineStr">
        <is>
          <t>Dry-Bulk and Containers — revenue</t>
        </is>
      </c>
      <c r="B174" s="20">
        <f>Assumptions!$B$142</f>
        <v/>
      </c>
      <c r="C174" s="20">
        <f>Assumptions!$C$142</f>
        <v/>
      </c>
      <c r="D174" s="20">
        <f>Assumptions!$D$142</f>
        <v/>
      </c>
      <c r="E174" s="20">
        <f>Assumptions!$E$142</f>
        <v/>
      </c>
      <c r="F174" s="20">
        <f>Assumptions!$F$142</f>
        <v/>
      </c>
    </row>
    <row r="175">
      <c r="A175" s="6" t="inlineStr">
        <is>
          <t>Dry-Bulk and Containers — EBITDA</t>
        </is>
      </c>
      <c r="B175" s="33">
        <f>Assumptions!$C$119+(B174-Assumptions!$C$112)*Assumptions!$B$143</f>
        <v/>
      </c>
      <c r="C175" s="33">
        <f>C174*Assumptions!$C$143</f>
        <v/>
      </c>
      <c r="D175" s="33">
        <f>D174*Assumptions!$D$143</f>
        <v/>
      </c>
      <c r="E175" s="33">
        <f>E174*Assumptions!$E$143</f>
        <v/>
      </c>
      <c r="F175" s="33">
        <f>F174*Assumptions!$F$143</f>
        <v/>
      </c>
    </row>
    <row r="176">
      <c r="A176" s="6" t="inlineStr">
        <is>
          <t>Services — revenue</t>
        </is>
      </c>
      <c r="B176" s="20">
        <f>Assumptions!$B$144</f>
        <v/>
      </c>
      <c r="C176" s="20">
        <f>Assumptions!$C$144</f>
        <v/>
      </c>
      <c r="D176" s="20">
        <f>Assumptions!$D$144</f>
        <v/>
      </c>
      <c r="E176" s="20">
        <f>Assumptions!$E$144</f>
        <v/>
      </c>
      <c r="F176" s="20">
        <f>Assumptions!$F$144</f>
        <v/>
      </c>
    </row>
    <row r="177">
      <c r="A177" s="6" t="inlineStr">
        <is>
          <t>Services — earnings before the joint-venture share</t>
        </is>
      </c>
      <c r="B177" s="33">
        <f>Assumptions!$C$120+(B176-Assumptions!$C$113)*Assumptions!$B$145</f>
        <v/>
      </c>
      <c r="C177" s="33">
        <f>C176*Assumptions!$C$145</f>
        <v/>
      </c>
      <c r="D177" s="33">
        <f>D176*Assumptions!$D$145</f>
        <v/>
      </c>
      <c r="E177" s="33">
        <f>E176*Assumptions!$E$145</f>
        <v/>
      </c>
      <c r="F177" s="33">
        <f>F176*Assumptions!$F$145</f>
        <v/>
      </c>
    </row>
    <row r="178">
      <c r="A178" s="6" t="inlineStr">
        <is>
          <t>Services — less the share of joint-venture profit carried inside the disclosed segment, escalated</t>
        </is>
      </c>
      <c r="B178" s="33">
        <f>-Assumptions!$C$128*(1+Assumptions!$C$99)</f>
        <v/>
      </c>
      <c r="C178" s="33">
        <f>-Assumptions!$C$128*(1+Assumptions!$C$99)*(1+Assumptions!$C$100)</f>
        <v/>
      </c>
      <c r="D178" s="33">
        <f>-Assumptions!$C$128*(1+Assumptions!$C$99)*(1+Assumptions!$C$100)*(1+Assumptions!$C$101)</f>
        <v/>
      </c>
      <c r="E178" s="33">
        <f>-Assumptions!$C$128*(1+Assumptions!$C$99)*(1+Assumptions!$C$100)*(1+Assumptions!$C$101)*(1+Assumptions!$C$102)</f>
        <v/>
      </c>
      <c r="F178" s="33">
        <f>-Assumptions!$C$128*(1+Assumptions!$C$99)*(1+Assumptions!$C$100)*(1+Assumptions!$C$101)*(1+Assumptions!$C$102)*(1+Assumptions!$C$103)</f>
        <v/>
      </c>
    </row>
    <row r="179">
      <c r="A179" s="6" t="inlineStr">
        <is>
          <t>Services — EBITDA</t>
        </is>
      </c>
      <c r="B179" s="33">
        <f>B177+B178</f>
        <v/>
      </c>
      <c r="C179" s="33">
        <f>C177+C178</f>
        <v/>
      </c>
      <c r="D179" s="33">
        <f>D177+D178</f>
        <v/>
      </c>
      <c r="E179" s="33">
        <f>E177+E178</f>
        <v/>
      </c>
      <c r="F179" s="33">
        <f>F177+F178</f>
        <v/>
      </c>
    </row>
    <row r="181">
      <c r="A181" s="11" t="inlineStr">
        <is>
          <t>FORECAST REVENUE BY SEGMENT</t>
        </is>
      </c>
      <c r="B181" s="16" t="inlineStr">
        <is>
          <t>FY2026E</t>
        </is>
      </c>
      <c r="C181" s="16" t="inlineStr">
        <is>
          <t>FY2027E</t>
        </is>
      </c>
      <c r="D181" s="16" t="inlineStr">
        <is>
          <t>FY2028E</t>
        </is>
      </c>
      <c r="E181" s="16" t="inlineStr">
        <is>
          <t>FY2029E</t>
        </is>
      </c>
      <c r="F181" s="16" t="inlineStr">
        <is>
          <t>FY2030E</t>
        </is>
      </c>
    </row>
    <row r="182">
      <c r="A182" s="6" t="inlineStr">
        <is>
          <t>Offshore Contracting</t>
        </is>
      </c>
      <c r="B182" s="33">
        <f>B168</f>
        <v/>
      </c>
      <c r="C182" s="33">
        <f>C168</f>
        <v/>
      </c>
      <c r="D182" s="33">
        <f>D168</f>
        <v/>
      </c>
      <c r="E182" s="33">
        <f>E168</f>
        <v/>
      </c>
      <c r="F182" s="33">
        <f>F168</f>
        <v/>
      </c>
    </row>
    <row r="183">
      <c r="A183" s="6" t="inlineStr">
        <is>
          <t>Offshore Services</t>
        </is>
      </c>
      <c r="B183" s="33">
        <f>B170</f>
        <v/>
      </c>
      <c r="C183" s="33">
        <f>C170</f>
        <v/>
      </c>
      <c r="D183" s="33">
        <f>D170</f>
        <v/>
      </c>
      <c r="E183" s="33">
        <f>E170</f>
        <v/>
      </c>
      <c r="F183" s="33">
        <f>F170</f>
        <v/>
      </c>
    </row>
    <row r="184">
      <c r="A184" s="6" t="inlineStr">
        <is>
          <t>Offshore Projects</t>
        </is>
      </c>
      <c r="B184" s="33">
        <f>B172</f>
        <v/>
      </c>
      <c r="C184" s="33">
        <f>C172</f>
        <v/>
      </c>
      <c r="D184" s="33">
        <f>D172</f>
        <v/>
      </c>
      <c r="E184" s="33">
        <f>E172</f>
        <v/>
      </c>
      <c r="F184" s="33">
        <f>F172</f>
        <v/>
      </c>
    </row>
    <row r="185">
      <c r="A185" s="6" t="inlineStr">
        <is>
          <t>Tankers</t>
        </is>
      </c>
      <c r="B185" s="33">
        <f>B149</f>
        <v/>
      </c>
      <c r="C185" s="33">
        <f>C149</f>
        <v/>
      </c>
      <c r="D185" s="33">
        <f>D149</f>
        <v/>
      </c>
      <c r="E185" s="33">
        <f>E149</f>
        <v/>
      </c>
      <c r="F185" s="33">
        <f>F149</f>
        <v/>
      </c>
    </row>
    <row r="186">
      <c r="A186" s="6" t="inlineStr">
        <is>
          <t>Gas Carriers</t>
        </is>
      </c>
      <c r="B186" s="33">
        <f>B161</f>
        <v/>
      </c>
      <c r="C186" s="33">
        <f>C161</f>
        <v/>
      </c>
      <c r="D186" s="33">
        <f>D161</f>
        <v/>
      </c>
      <c r="E186" s="33">
        <f>E161</f>
        <v/>
      </c>
      <c r="F186" s="33">
        <f>F161</f>
        <v/>
      </c>
    </row>
    <row r="187">
      <c r="A187" s="6" t="inlineStr">
        <is>
          <t>Dry-Bulk and Containers</t>
        </is>
      </c>
      <c r="B187" s="33">
        <f>B174</f>
        <v/>
      </c>
      <c r="C187" s="33">
        <f>C174</f>
        <v/>
      </c>
      <c r="D187" s="33">
        <f>D174</f>
        <v/>
      </c>
      <c r="E187" s="33">
        <f>E174</f>
        <v/>
      </c>
      <c r="F187" s="33">
        <f>F174</f>
        <v/>
      </c>
    </row>
    <row r="188">
      <c r="A188" s="6" t="inlineStr">
        <is>
          <t>Services</t>
        </is>
      </c>
      <c r="B188" s="33">
        <f>B176</f>
        <v/>
      </c>
      <c r="C188" s="33">
        <f>C176</f>
        <v/>
      </c>
      <c r="D188" s="33">
        <f>D176</f>
        <v/>
      </c>
      <c r="E188" s="33">
        <f>E176</f>
        <v/>
      </c>
      <c r="F188" s="33">
        <f>F176</f>
        <v/>
      </c>
    </row>
    <row r="189">
      <c r="A189" s="11" t="inlineStr">
        <is>
          <t>Total revenue</t>
        </is>
      </c>
      <c r="B189" s="45">
        <f>SUM(B182:B188)</f>
        <v/>
      </c>
      <c r="C189" s="45">
        <f>SUM(C182:C188)</f>
        <v/>
      </c>
      <c r="D189" s="45">
        <f>SUM(D182:D188)</f>
        <v/>
      </c>
      <c r="E189" s="45">
        <f>SUM(E182:E188)</f>
        <v/>
      </c>
      <c r="F189" s="45">
        <f>SUM(F182:F188)</f>
        <v/>
      </c>
    </row>
    <row r="191">
      <c r="A191" s="11" t="inlineStr">
        <is>
          <t>FORECAST EBITDA BY SEGMENT</t>
        </is>
      </c>
      <c r="B191" s="16" t="inlineStr">
        <is>
          <t>FY2026E</t>
        </is>
      </c>
      <c r="C191" s="16" t="inlineStr">
        <is>
          <t>FY2027E</t>
        </is>
      </c>
      <c r="D191" s="16" t="inlineStr">
        <is>
          <t>FY2028E</t>
        </is>
      </c>
      <c r="E191" s="16" t="inlineStr">
        <is>
          <t>FY2029E</t>
        </is>
      </c>
      <c r="F191" s="16" t="inlineStr">
        <is>
          <t>FY2030E</t>
        </is>
      </c>
    </row>
    <row r="192">
      <c r="A192" s="6" t="inlineStr">
        <is>
          <t>Offshore Contracting</t>
        </is>
      </c>
      <c r="B192" s="33">
        <f>B169</f>
        <v/>
      </c>
      <c r="C192" s="33">
        <f>C169</f>
        <v/>
      </c>
      <c r="D192" s="33">
        <f>D169</f>
        <v/>
      </c>
      <c r="E192" s="33">
        <f>E169</f>
        <v/>
      </c>
      <c r="F192" s="33">
        <f>F169</f>
        <v/>
      </c>
    </row>
    <row r="193">
      <c r="A193" s="6" t="inlineStr">
        <is>
          <t>Offshore Services</t>
        </is>
      </c>
      <c r="B193" s="33">
        <f>B171</f>
        <v/>
      </c>
      <c r="C193" s="33">
        <f>C171</f>
        <v/>
      </c>
      <c r="D193" s="33">
        <f>D171</f>
        <v/>
      </c>
      <c r="E193" s="33">
        <f>E171</f>
        <v/>
      </c>
      <c r="F193" s="33">
        <f>F171</f>
        <v/>
      </c>
    </row>
    <row r="194">
      <c r="A194" s="6" t="inlineStr">
        <is>
          <t>Offshore Projects</t>
        </is>
      </c>
      <c r="B194" s="33">
        <f>B173</f>
        <v/>
      </c>
      <c r="C194" s="33">
        <f>C173</f>
        <v/>
      </c>
      <c r="D194" s="33">
        <f>D173</f>
        <v/>
      </c>
      <c r="E194" s="33">
        <f>E173</f>
        <v/>
      </c>
      <c r="F194" s="33">
        <f>F173</f>
        <v/>
      </c>
    </row>
    <row r="195">
      <c r="A195" s="6" t="inlineStr">
        <is>
          <t>Tankers</t>
        </is>
      </c>
      <c r="B195" s="33">
        <f>B150</f>
        <v/>
      </c>
      <c r="C195" s="33">
        <f>C150</f>
        <v/>
      </c>
      <c r="D195" s="33">
        <f>D150</f>
        <v/>
      </c>
      <c r="E195" s="33">
        <f>E150</f>
        <v/>
      </c>
      <c r="F195" s="33">
        <f>F150</f>
        <v/>
      </c>
    </row>
    <row r="196">
      <c r="A196" s="6" t="inlineStr">
        <is>
          <t>Gas Carriers</t>
        </is>
      </c>
      <c r="B196" s="33">
        <f>B165</f>
        <v/>
      </c>
      <c r="C196" s="33">
        <f>C165</f>
        <v/>
      </c>
      <c r="D196" s="33">
        <f>D165</f>
        <v/>
      </c>
      <c r="E196" s="33">
        <f>E165</f>
        <v/>
      </c>
      <c r="F196" s="33">
        <f>F165</f>
        <v/>
      </c>
    </row>
    <row r="197">
      <c r="A197" s="6" t="inlineStr">
        <is>
          <t>Dry-Bulk and Containers</t>
        </is>
      </c>
      <c r="B197" s="33">
        <f>B175</f>
        <v/>
      </c>
      <c r="C197" s="33">
        <f>C175</f>
        <v/>
      </c>
      <c r="D197" s="33">
        <f>D175</f>
        <v/>
      </c>
      <c r="E197" s="33">
        <f>E175</f>
        <v/>
      </c>
      <c r="F197" s="33">
        <f>F175</f>
        <v/>
      </c>
    </row>
    <row r="198">
      <c r="A198" s="6" t="inlineStr">
        <is>
          <t>Services</t>
        </is>
      </c>
      <c r="B198" s="33">
        <f>B179</f>
        <v/>
      </c>
      <c r="C198" s="33">
        <f>C179</f>
        <v/>
      </c>
      <c r="D198" s="33">
        <f>D179</f>
        <v/>
      </c>
      <c r="E198" s="33">
        <f>E179</f>
        <v/>
      </c>
      <c r="F198" s="33">
        <f>F179</f>
        <v/>
      </c>
    </row>
    <row r="199">
      <c r="A199" s="11" t="inlineStr">
        <is>
          <t>Total EBITDA</t>
        </is>
      </c>
      <c r="B199" s="45">
        <f>SUM(B192:B198)</f>
        <v/>
      </c>
      <c r="C199" s="45">
        <f>SUM(C192:C198)</f>
        <v/>
      </c>
      <c r="D199" s="45">
        <f>SUM(D192:D198)</f>
        <v/>
      </c>
      <c r="E199" s="45">
        <f>SUM(E192:E198)</f>
        <v/>
      </c>
      <c r="F199" s="45">
        <f>SUM(F192:F198)</f>
        <v/>
      </c>
    </row>
    <row r="200">
      <c r="A200" s="6" t="inlineStr">
        <is>
          <t>Group EBITDA margin</t>
        </is>
      </c>
      <c r="B200" s="10">
        <f>B199/B189</f>
        <v/>
      </c>
      <c r="C200" s="10">
        <f>C199/C189</f>
        <v/>
      </c>
      <c r="D200" s="10">
        <f>D199/D189</f>
        <v/>
      </c>
      <c r="E200" s="10">
        <f>E199/E189</f>
        <v/>
      </c>
      <c r="F200" s="10">
        <f>F199/F189</f>
        <v/>
      </c>
    </row>
    <row r="202">
      <c r="A202" s="11" t="inlineStr">
        <is>
          <t>FORECAST BY BUSINESS UNIT</t>
        </is>
      </c>
      <c r="B202" s="16" t="inlineStr">
        <is>
          <t>FY2026E</t>
        </is>
      </c>
      <c r="C202" s="16" t="inlineStr">
        <is>
          <t>FY2027E</t>
        </is>
      </c>
      <c r="D202" s="16" t="inlineStr">
        <is>
          <t>FY2028E</t>
        </is>
      </c>
      <c r="E202" s="16" t="inlineStr">
        <is>
          <t>FY2029E</t>
        </is>
      </c>
      <c r="F202" s="16" t="inlineStr">
        <is>
          <t>FY2030E</t>
        </is>
      </c>
    </row>
    <row r="203">
      <c r="A203" s="6" t="inlineStr">
        <is>
          <t>Integrated Logistics — revenue</t>
        </is>
      </c>
      <c r="B203" s="33">
        <f>B182+B183+B184</f>
        <v/>
      </c>
      <c r="C203" s="33">
        <f>C182+C183+C184</f>
        <v/>
      </c>
      <c r="D203" s="33">
        <f>D182+D183+D184</f>
        <v/>
      </c>
      <c r="E203" s="33">
        <f>E182+E183+E184</f>
        <v/>
      </c>
      <c r="F203" s="33">
        <f>F182+F183+F184</f>
        <v/>
      </c>
    </row>
    <row r="204">
      <c r="A204" s="6" t="inlineStr">
        <is>
          <t>Shipping — revenue</t>
        </is>
      </c>
      <c r="B204" s="33">
        <f>B185+B186+B187</f>
        <v/>
      </c>
      <c r="C204" s="33">
        <f>C185+C186+C187</f>
        <v/>
      </c>
      <c r="D204" s="33">
        <f>D185+D186+D187</f>
        <v/>
      </c>
      <c r="E204" s="33">
        <f>E185+E186+E187</f>
        <v/>
      </c>
      <c r="F204" s="33">
        <f>F185+F186+F187</f>
        <v/>
      </c>
    </row>
    <row r="205">
      <c r="A205" s="6" t="inlineStr">
        <is>
          <t>Services — revenue</t>
        </is>
      </c>
      <c r="B205" s="33">
        <f>B188</f>
        <v/>
      </c>
      <c r="C205" s="33">
        <f>C188</f>
        <v/>
      </c>
      <c r="D205" s="33">
        <f>D188</f>
        <v/>
      </c>
      <c r="E205" s="33">
        <f>E188</f>
        <v/>
      </c>
      <c r="F205" s="33">
        <f>F188</f>
        <v/>
      </c>
    </row>
    <row r="206">
      <c r="A206" s="6" t="inlineStr">
        <is>
          <t>Integrated Logistics — EBITDA</t>
        </is>
      </c>
      <c r="B206" s="33">
        <f>B192+B193+B194</f>
        <v/>
      </c>
      <c r="C206" s="33">
        <f>C192+C193+C194</f>
        <v/>
      </c>
      <c r="D206" s="33">
        <f>D192+D193+D194</f>
        <v/>
      </c>
      <c r="E206" s="33">
        <f>E192+E193+E194</f>
        <v/>
      </c>
      <c r="F206" s="33">
        <f>F192+F193+F194</f>
        <v/>
      </c>
    </row>
    <row r="207">
      <c r="A207" s="6" t="inlineStr">
        <is>
          <t>Shipping — EBITDA</t>
        </is>
      </c>
      <c r="B207" s="33">
        <f>B195+B196+B197</f>
        <v/>
      </c>
      <c r="C207" s="33">
        <f>C195+C196+C197</f>
        <v/>
      </c>
      <c r="D207" s="33">
        <f>D195+D196+D197</f>
        <v/>
      </c>
      <c r="E207" s="33">
        <f>E195+E196+E197</f>
        <v/>
      </c>
      <c r="F207" s="33">
        <f>F195+F196+F197</f>
        <v/>
      </c>
    </row>
    <row r="208">
      <c r="A208" s="6" t="inlineStr">
        <is>
          <t>Services — EBITDA</t>
        </is>
      </c>
      <c r="B208" s="33">
        <f>B198</f>
        <v/>
      </c>
      <c r="C208" s="33">
        <f>C198</f>
        <v/>
      </c>
      <c r="D208" s="33">
        <f>D198</f>
        <v/>
      </c>
      <c r="E208" s="33">
        <f>E198</f>
        <v/>
      </c>
      <c r="F208" s="33">
        <f>F198</f>
        <v/>
      </c>
    </row>
    <row r="209">
      <c r="A209" s="6" t="inlineStr">
        <is>
          <t>Integrated Logistics — EBITDA margin</t>
        </is>
      </c>
      <c r="B209" s="10">
        <f>B206/B203</f>
        <v/>
      </c>
      <c r="C209" s="10">
        <f>C206/C203</f>
        <v/>
      </c>
      <c r="D209" s="10">
        <f>D206/D203</f>
        <v/>
      </c>
      <c r="E209" s="10">
        <f>E206/E203</f>
        <v/>
      </c>
      <c r="F209" s="10">
        <f>F206/F203</f>
        <v/>
      </c>
    </row>
    <row r="210">
      <c r="A210" s="6" t="inlineStr">
        <is>
          <t>Shipping — EBITDA margin</t>
        </is>
      </c>
      <c r="B210" s="10">
        <f>B207/B204</f>
        <v/>
      </c>
      <c r="C210" s="10">
        <f>C207/C204</f>
        <v/>
      </c>
      <c r="D210" s="10">
        <f>D207/D204</f>
        <v/>
      </c>
      <c r="E210" s="10">
        <f>E207/E204</f>
        <v/>
      </c>
      <c r="F210" s="10">
        <f>F207/F204</f>
        <v/>
      </c>
    </row>
    <row r="211">
      <c r="A211" s="6" t="inlineStr">
        <is>
          <t>Services — EBITDA margin</t>
        </is>
      </c>
      <c r="B211" s="10">
        <f>B208/B205</f>
        <v/>
      </c>
      <c r="C211" s="10">
        <f>C208/C205</f>
        <v/>
      </c>
      <c r="D211" s="10">
        <f>D208/D205</f>
        <v/>
      </c>
      <c r="E211" s="10">
        <f>E208/E205</f>
        <v/>
      </c>
      <c r="F211" s="10">
        <f>F208/F205</f>
        <v/>
      </c>
    </row>
    <row r="213">
      <c r="A213"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6">
        <f>'Peer &amp; Sector'!$C$13</f>
        <v/>
      </c>
    </row>
    <row r="7">
      <c r="A7" s="6" t="inlineStr">
        <is>
          <t>Implied enterprise value</t>
        </is>
      </c>
      <c r="C7" s="33">
        <f>C5*C6</f>
        <v/>
      </c>
    </row>
    <row r="8">
      <c r="A8" s="6" t="inlineStr">
        <is>
          <t>Plus joint ventures and associates at carrying value</t>
        </is>
      </c>
      <c r="C8" s="20">
        <f>Assumptions!$C$186</f>
        <v/>
      </c>
    </row>
    <row r="9">
      <c r="A9" s="6" t="inlineStr">
        <is>
          <t>Less net debt at 30 June 2026</t>
        </is>
      </c>
      <c r="C9" s="20">
        <f>-Assumptions!$C$178</f>
        <v/>
      </c>
    </row>
    <row r="10">
      <c r="A10" s="6" t="inlineStr">
        <is>
          <t>Less deferred consideration on acquisitions</t>
        </is>
      </c>
      <c r="C10" s="20">
        <f>-Assumptions!$C$180</f>
        <v/>
      </c>
    </row>
    <row r="11">
      <c r="A11" s="6" t="inlineStr">
        <is>
          <t>Less the eleven vessels bought on 7 August 2026, at the announced price</t>
        </is>
      </c>
      <c r="C11" s="20">
        <f>-Assumptions!$C$88</f>
        <v/>
      </c>
    </row>
    <row r="12">
      <c r="A12" s="6" t="inlineStr">
        <is>
          <t>Less perpetual capital securities at carrying value</t>
        </is>
      </c>
      <c r="C12" s="20">
        <f>-Assumptions!$C$181</f>
        <v/>
      </c>
    </row>
    <row r="13">
      <c r="A13" s="6" t="inlineStr">
        <is>
          <t>Less the interim dividend declared after the balance-sheet date</t>
        </is>
      </c>
      <c r="C13" s="20">
        <f>-Assumptions!$C$179</f>
        <v/>
      </c>
    </row>
    <row r="14">
      <c r="A14" s="6" t="inlineStr">
        <is>
          <t>Implied equity value before the minorities</t>
        </is>
      </c>
      <c r="C14" s="33">
        <f>C7+C8+C9+C10+C11+C12+C13</f>
        <v/>
      </c>
    </row>
    <row r="15">
      <c r="A15" s="6" t="inlineStr">
        <is>
          <t>Less non-controlling interests — the contracted slice at its contracted price, the rest at the greater of book and value</t>
        </is>
      </c>
      <c r="C15" s="33">
        <f>-(DCF!$C$57+MAX(DCF!$C$58,C14*DCF!$C$59))</f>
        <v/>
      </c>
    </row>
    <row r="16">
      <c r="A16" s="6" t="inlineStr">
        <is>
          <t>Implied equity attributable to ordinary shareholders</t>
        </is>
      </c>
      <c r="C16" s="33">
        <f>C14+C15</f>
        <v/>
      </c>
    </row>
    <row r="17">
      <c r="A17" s="6" t="inlineStr">
        <is>
          <t>Value per share on the enterprise multiple (AED)</t>
        </is>
      </c>
      <c r="C17" s="9">
        <f>C16/Assumptions!$C$6/1000*Assumptions!$C$7</f>
        <v/>
      </c>
    </row>
    <row r="18">
      <c r="A18" s="6" t="inlineStr">
        <is>
          <t>Blended FORWARD price/earnings — applied to forward earnings below, so the multiple and the earnings are on the same basis</t>
        </is>
      </c>
      <c r="C18" s="46">
        <f>'Peer &amp; Sector'!$C$16</f>
        <v/>
      </c>
    </row>
    <row r="19">
      <c r="A19" s="6" t="inlineStr">
        <is>
          <t>FY2026E earnings attributable to ordinary shareholders</t>
        </is>
      </c>
      <c r="C19" s="20">
        <f>'Income Statement'!E30</f>
        <v/>
      </c>
    </row>
    <row r="20">
      <c r="A20" s="6" t="inlineStr">
        <is>
          <t>Value per share on the earnings multiple (AED)</t>
        </is>
      </c>
      <c r="C20" s="9">
        <f>C19*C18/Assumptions!$C$6/1000*Assumptions!$C$7</f>
        <v/>
      </c>
    </row>
    <row r="21">
      <c r="A21" s="6" t="inlineStr">
        <is>
          <t>Weight on the enterprise multiple</t>
        </is>
      </c>
      <c r="C21" s="8">
        <f>Assumptions!$C$198</f>
        <v/>
      </c>
    </row>
    <row r="22">
      <c r="A22" s="11" t="inlineStr">
        <is>
          <t>RELATIVE LENS — value per share (AED)</t>
        </is>
      </c>
      <c r="B22" s="16" t="n"/>
      <c r="C22" s="12">
        <f>C21*C17+(1-C21)*C20</f>
        <v/>
      </c>
      <c r="D22" s="16" t="n"/>
      <c r="E22" s="16" t="n"/>
    </row>
    <row r="23">
      <c r="A23" s="6" t="inlineStr">
        <is>
          <t>Bear and bull — enterprise value on the spot-tanker multiple (C) / on the contracted multiple (D)</t>
        </is>
      </c>
      <c r="C23" s="33">
        <f>C5*'Peer &amp; Sector'!$C$11</f>
        <v/>
      </c>
      <c r="D23" s="33">
        <f>C5*'Peer &amp; Sector'!$C$10</f>
        <v/>
      </c>
    </row>
    <row r="24">
      <c r="A24" s="6" t="inlineStr">
        <is>
          <t>Equity value before the minorities, net of debt, the deferred consideration, the committed purchase, the perpetual and the declared dividend</t>
        </is>
      </c>
      <c r="C24" s="33">
        <f>C23+Assumptions!$C$186-Assumptions!$C$178-Assumptions!$C$180-Assumptions!$C$88-Assumptions!$C$181-Assumptions!$C$179</f>
        <v/>
      </c>
      <c r="D24" s="33">
        <f>D23+Assumptions!$C$186-Assumptions!$C$178-Assumptions!$C$180-Assumptions!$C$88-Assumptions!$C$181-Assumptions!$C$179</f>
        <v/>
      </c>
    </row>
    <row r="25">
      <c r="A25" s="6" t="inlineStr">
        <is>
          <t>Less non-controlling interests — the same two-part deduction</t>
        </is>
      </c>
      <c r="C25" s="33">
        <f>-(DCF!$C$57+MAX(DCF!$C$58,C24*DCF!$C$59))</f>
        <v/>
      </c>
      <c r="D25" s="33">
        <f>-(DCF!$C$57+MAX(DCF!$C$58,D24*DCF!$C$59))</f>
        <v/>
      </c>
    </row>
    <row r="26">
      <c r="A26" s="6" t="inlineStr">
        <is>
          <t>Equity attributable to ordinary shareholders</t>
        </is>
      </c>
      <c r="C26" s="33">
        <f>C24+C25</f>
        <v/>
      </c>
      <c r="D26" s="33">
        <f>D24+D25</f>
        <v/>
      </c>
    </row>
    <row r="27">
      <c r="A27" s="6" t="inlineStr">
        <is>
          <t>Bear on the spot multiple (C) / bull on the contracted multiple (D), same construction</t>
        </is>
      </c>
      <c r="C27" s="9">
        <f>C26/Assumptions!$C$6/1000*Assumptions!$C$7</f>
        <v/>
      </c>
      <c r="D27" s="9">
        <f>D26/Assumptions!$C$6/1000*Assumptions!$C$7</f>
        <v/>
      </c>
    </row>
    <row r="29">
      <c r="A29" s="11" t="inlineStr">
        <is>
          <t>THE COMPANY'S OWN MULTIPLES AT THE ANCHOR PRICE</t>
        </is>
      </c>
      <c r="B29" s="16" t="n"/>
      <c r="C29" s="16" t="n"/>
      <c r="D29" s="16" t="n"/>
      <c r="E29" s="16" t="n"/>
    </row>
    <row r="30">
      <c r="A30" s="6" t="inlineStr">
        <is>
          <t>Share price (USD)</t>
        </is>
      </c>
      <c r="C30" s="7">
        <f>Assumptions!$C$5/Assumptions!$C$7</f>
        <v/>
      </c>
    </row>
    <row r="31">
      <c r="A31" s="6" t="inlineStr">
        <is>
          <t>Market capitalisation (USD 000)</t>
        </is>
      </c>
      <c r="C31" s="33">
        <f>C30*Assumptions!$C$6*1000</f>
        <v/>
      </c>
    </row>
    <row r="32">
      <c r="A32" s="6" t="inlineStr">
        <is>
          <t>Net debt including the deferred consideration and the vessels bought on 7 August 2026 (USD 000)</t>
        </is>
      </c>
      <c r="C32" s="20">
        <f>Assumptions!$C$178+Assumptions!$C$180+Assumptions!$C$88</f>
        <v/>
      </c>
    </row>
    <row r="33">
      <c r="A33" s="6" t="inlineStr">
        <is>
          <t>Enterprise value (USD 000)</t>
        </is>
      </c>
      <c r="C33" s="33">
        <f>C31+C32</f>
        <v/>
      </c>
    </row>
    <row r="34">
      <c r="A34" s="6" t="inlineStr">
        <is>
          <t>Enterprise value / 2025 reported EBITDA</t>
        </is>
      </c>
      <c r="C34" s="46">
        <f>C33/'Income Statement'!D16</f>
        <v/>
      </c>
    </row>
    <row r="35">
      <c r="A35" s="6" t="inlineStr">
        <is>
          <t>Enterprise value / FY2026E EBITDA</t>
        </is>
      </c>
      <c r="C35" s="44">
        <f>C33/C5</f>
        <v/>
      </c>
    </row>
    <row r="36">
      <c r="A36" s="6" t="inlineStr">
        <is>
          <t>Price / 2025 earnings attributable to ordinary shareholders — the TRAILING basis</t>
        </is>
      </c>
      <c r="C36" s="46">
        <f>C31/'Income Statement'!D30</f>
        <v/>
      </c>
    </row>
    <row r="37">
      <c r="A37" s="6" t="inlineStr">
        <is>
          <t>Price / FY2026E earnings attributable to ordinary shareholders — the FORWARD basis, the one the peer multiples are quoted on</t>
        </is>
      </c>
      <c r="C37" s="44">
        <f>C31/C19</f>
        <v/>
      </c>
    </row>
    <row r="38">
      <c r="A38" s="6" t="inlineStr">
        <is>
          <t>Price / book at 31 March 2026</t>
        </is>
      </c>
      <c r="C38" s="44">
        <f>C31/(Assumptions!$C$187+Assumptions!$C$181)</f>
        <v/>
      </c>
    </row>
    <row r="39">
      <c r="A39" s="6" t="inlineStr">
        <is>
          <t>Dividend yield on the 2026 distribution</t>
        </is>
      </c>
      <c r="C39" s="8">
        <f>Assumptions!$C$191/C31</f>
        <v/>
      </c>
    </row>
    <row r="40">
      <c r="A40" s="6" t="inlineStr">
        <is>
          <t>Enterprise value on the equity bridge's own convention — adding the perpetual capital securities and the minorities (USD 000)</t>
        </is>
      </c>
      <c r="C40" s="33">
        <f>C33+Assumptions!$C$181+Assumptions!$C$183</f>
        <v/>
      </c>
    </row>
    <row r="41">
      <c r="A41" s="6" t="inlineStr">
        <is>
          <t>Enterprise value / 2025 reported EBITDA — bridge convention</t>
        </is>
      </c>
      <c r="C41" s="44">
        <f>C40/'Income Statement'!D16</f>
        <v/>
      </c>
    </row>
    <row r="42">
      <c r="A42" s="6" t="inlineStr">
        <is>
          <t>Enterprise value / FY2026E EBITDA — bridge convention</t>
        </is>
      </c>
      <c r="C42" s="44">
        <f>C40/C5</f>
        <v/>
      </c>
    </row>
    <row r="43">
      <c r="A43"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4">
      <c r="A44" s="5" t="inlineStr">
        <is>
          <t>Normalised earnings lens — the five-year average of the model's own forecast</t>
        </is>
      </c>
      <c r="B44" s="5" t="inlineStr"/>
      <c r="C44" s="5" t="inlineStr">
        <is>
          <t>Value</t>
        </is>
      </c>
    </row>
    <row r="45">
      <c r="A45" s="6" t="inlineStr">
        <is>
          <t>Mid-cycle EBITDA — five-year average</t>
        </is>
      </c>
      <c r="C45" s="20">
        <f>AVERAGE(DCF!B6:F6)</f>
        <v/>
      </c>
    </row>
    <row r="46">
      <c r="A46" s="6" t="inlineStr">
        <is>
          <t>Implied enterprise value</t>
        </is>
      </c>
      <c r="C46" s="33">
        <f>C45*C6</f>
        <v/>
      </c>
    </row>
    <row r="47">
      <c r="A47" s="6" t="inlineStr">
        <is>
          <t>Implied equity value before the minorities, net of debt, the deferred consideration, the committed purchase, the perpetual and the declared dividend</t>
        </is>
      </c>
      <c r="C47" s="33">
        <f>C46+Assumptions!$C$186-Assumptions!$C$178-Assumptions!$C$180-Assumptions!$C$88-Assumptions!$C$181-Assumptions!$C$179</f>
        <v/>
      </c>
    </row>
    <row r="48">
      <c r="A48" s="6" t="inlineStr">
        <is>
          <t>Less non-controlling interests — the same two-part deduction</t>
        </is>
      </c>
      <c r="C48" s="33">
        <f>-(DCF!$C$57+MAX(DCF!$C$58,C47*DCF!$C$59))</f>
        <v/>
      </c>
    </row>
    <row r="49">
      <c r="A49" s="6" t="inlineStr">
        <is>
          <t>Implied equity attributable to ordinary shareholders</t>
        </is>
      </c>
      <c r="C49" s="33">
        <f>C47+C48</f>
        <v/>
      </c>
    </row>
    <row r="50">
      <c r="A50" s="6" t="inlineStr">
        <is>
          <t>Value per share on the enterprise multiple (AED)</t>
        </is>
      </c>
      <c r="C50" s="9">
        <f>C49/Assumptions!$C$6/1000*Assumptions!$C$7</f>
        <v/>
      </c>
    </row>
    <row r="51">
      <c r="A51" s="6" t="inlineStr">
        <is>
          <t>Mid-cycle earnings attributable to ordinary shareholders — five-year average</t>
        </is>
      </c>
      <c r="C51" s="20">
        <f>AVERAGE('Income Statement'!E30:I30)</f>
        <v/>
      </c>
    </row>
    <row r="52">
      <c r="A52" s="6" t="inlineStr">
        <is>
          <t>Mid-cycle earnings per share (USD)</t>
        </is>
      </c>
      <c r="C52" s="53">
        <f>C51/Assumptions!$C$6/1000</f>
        <v/>
      </c>
    </row>
    <row r="53">
      <c r="A53" s="6" t="inlineStr">
        <is>
          <t>Value per share on the earnings multiple (AED)</t>
        </is>
      </c>
      <c r="C53" s="9">
        <f>C52*C18*Assumptions!$C$7</f>
        <v/>
      </c>
    </row>
    <row r="54">
      <c r="A54" s="11" t="inlineStr">
        <is>
          <t>NORMALISED LENS — value per share (AED)</t>
        </is>
      </c>
      <c r="B54" s="16" t="n"/>
      <c r="C54" s="12">
        <f>(C50+C53)/2</f>
        <v/>
      </c>
      <c r="D54" s="16" t="n"/>
      <c r="E54" s="16" t="n"/>
    </row>
    <row r="55">
      <c r="A55" s="6" t="inlineStr">
        <is>
          <t>Bear and bull — enterprise value on the spot-tanker multiple (C) / on the contracted multiple (D)</t>
        </is>
      </c>
      <c r="C55" s="33">
        <f>C45*'Peer &amp; Sector'!$C$11</f>
        <v/>
      </c>
      <c r="D55" s="33">
        <f>C45*'Peer &amp; Sector'!$C$10</f>
        <v/>
      </c>
    </row>
    <row r="56">
      <c r="A56" s="6" t="inlineStr">
        <is>
          <t>Equity value before the minorities, net of debt, the deferred consideration, the committed purchase, the perpetual and the declared dividend</t>
        </is>
      </c>
      <c r="C56" s="33">
        <f>C55+Assumptions!$C$186-Assumptions!$C$178-Assumptions!$C$180-Assumptions!$C$88-Assumptions!$C$181-Assumptions!$C$179</f>
        <v/>
      </c>
      <c r="D56" s="33">
        <f>D55+Assumptions!$C$186-Assumptions!$C$178-Assumptions!$C$180-Assumptions!$C$88-Assumptions!$C$181-Assumptions!$C$179</f>
        <v/>
      </c>
    </row>
    <row r="57">
      <c r="A57" s="6" t="inlineStr">
        <is>
          <t>Less non-controlling interests — the same two-part deduction</t>
        </is>
      </c>
      <c r="C57" s="33">
        <f>-(DCF!$C$57+MAX(DCF!$C$58,C56*DCF!$C$59))</f>
        <v/>
      </c>
      <c r="D57" s="33">
        <f>-(DCF!$C$57+MAX(DCF!$C$58,D56*DCF!$C$59))</f>
        <v/>
      </c>
    </row>
    <row r="58">
      <c r="A58" s="6" t="inlineStr">
        <is>
          <t>Equity attributable to ordinary shareholders</t>
        </is>
      </c>
      <c r="C58" s="33">
        <f>C56+C57</f>
        <v/>
      </c>
      <c r="D58" s="33">
        <f>D56+D57</f>
        <v/>
      </c>
    </row>
    <row r="59">
      <c r="A59" s="6" t="inlineStr">
        <is>
          <t>Bear on the spot multiple (C) / bull on the contracted multiple (D), same construction</t>
        </is>
      </c>
      <c r="C59" s="9">
        <f>C58/Assumptions!$C$6/1000*Assumptions!$C$7</f>
        <v/>
      </c>
      <c r="D59" s="9">
        <f>D58/Assumptions!$C$6/1000*Assumptions!$C$7</f>
        <v/>
      </c>
    </row>
    <row r="61">
      <c r="A61" s="5" t="inlineStr">
        <is>
          <t>Book value and sustainable return — a RESIDUAL INCOME build</t>
        </is>
      </c>
      <c r="B61" s="5" t="inlineStr"/>
      <c r="C61" s="5" t="inlineStr">
        <is>
          <t>Value</t>
        </is>
      </c>
    </row>
    <row r="62">
      <c r="A62" s="6" t="inlineStr">
        <is>
          <t>Equity attributable to shareholders at 31 March 2026 (USD 000)</t>
        </is>
      </c>
      <c r="C62" s="20">
        <f>Assumptions!$C$187</f>
        <v/>
      </c>
    </row>
    <row r="63">
      <c r="A63" s="6" t="inlineStr">
        <is>
          <t>Book value per share (USD)</t>
        </is>
      </c>
      <c r="C63" s="53">
        <f>C62/Assumptions!$C$6/1000</f>
        <v/>
      </c>
    </row>
    <row r="64">
      <c r="A64" s="6" t="inlineStr">
        <is>
          <t>Book value per share (AED)</t>
        </is>
      </c>
      <c r="C64" s="9">
        <f>C63*Assumptions!$C$7</f>
        <v/>
      </c>
    </row>
    <row r="65">
      <c r="A65" s="6" t="inlineStr">
        <is>
          <t>Sustainable return on equity — five-year forecast average</t>
        </is>
      </c>
      <c r="C65" s="8">
        <f>AVERAGE('Balance Sheet'!E28:I28)</f>
        <v/>
      </c>
    </row>
    <row r="66">
      <c r="A66" s="6" t="inlineStr">
        <is>
          <t>Cost of equity</t>
        </is>
      </c>
      <c r="C66" s="21">
        <f>DCF!$C$70</f>
        <v/>
      </c>
    </row>
    <row r="67">
      <c r="A67" s="6" t="inlineStr">
        <is>
          <t>Terminal growth</t>
        </is>
      </c>
      <c r="C67" s="8">
        <f>Assumptions!$C$193</f>
        <v/>
      </c>
    </row>
    <row r="68">
      <c r="A68" s="6" t="inlineStr">
        <is>
          <t>Rate at which the return above the cost of equity fades beyond the forecast</t>
        </is>
      </c>
      <c r="C68" s="8">
        <f>Assumptions!$C$197</f>
        <v/>
      </c>
    </row>
    <row r="69">
      <c r="A69" s="11" t="inlineStr">
        <is>
          <t>THE RESIDUAL-INCOME LADDER — BASE</t>
        </is>
      </c>
      <c r="B69" s="16" t="inlineStr">
        <is>
          <t>FY2026</t>
        </is>
      </c>
      <c r="C69" s="16" t="inlineStr">
        <is>
          <t>FY2027</t>
        </is>
      </c>
      <c r="D69" s="16" t="inlineStr">
        <is>
          <t>FY2028</t>
        </is>
      </c>
      <c r="E69" s="16" t="inlineStr">
        <is>
          <t>FY2029</t>
        </is>
      </c>
      <c r="F69" s="16" t="inlineStr">
        <is>
          <t>FY2030</t>
        </is>
      </c>
    </row>
    <row r="70">
      <c r="A70" s="6" t="inlineStr">
        <is>
          <t>Opening ordinary book value (USD mn) — the balance sheet's own roll-forward</t>
        </is>
      </c>
      <c r="B70" s="40">
        <f>C62/1000</f>
        <v/>
      </c>
      <c r="C70" s="19">
        <f>'Balance Sheet'!B69/1000</f>
        <v/>
      </c>
      <c r="D70" s="19">
        <f>'Balance Sheet'!C69/1000</f>
        <v/>
      </c>
      <c r="E70" s="19">
        <f>'Balance Sheet'!D69/1000</f>
        <v/>
      </c>
      <c r="F70" s="19">
        <f>'Balance Sheet'!E69/1000</f>
        <v/>
      </c>
    </row>
    <row r="71">
      <c r="A71" s="6" t="inlineStr">
        <is>
          <t>Return on ordinary equity — profit after the perpetual coupon, over closing ordinary book</t>
        </is>
      </c>
      <c r="B71" s="8">
        <f>'Income Statement'!E30/'Balance Sheet'!B69</f>
        <v/>
      </c>
      <c r="C71" s="8">
        <f>'Income Statement'!F30/'Balance Sheet'!C69</f>
        <v/>
      </c>
      <c r="D71" s="8">
        <f>'Income Statement'!G30/'Balance Sheet'!D69</f>
        <v/>
      </c>
      <c r="E71" s="8">
        <f>'Income Statement'!H30/'Balance Sheet'!E69</f>
        <v/>
      </c>
      <c r="F71" s="8">
        <f>'Income Statement'!I30/'Balance Sheet'!F69</f>
        <v/>
      </c>
    </row>
    <row r="72">
      <c r="A72" s="6" t="inlineStr">
        <is>
          <t>Residual income — (return less cost of equity) x opening book (USD mn)</t>
        </is>
      </c>
      <c r="B72" s="40">
        <f>(B71-C66)*B70</f>
        <v/>
      </c>
      <c r="C72" s="40">
        <f>(C71-C66)*C70</f>
        <v/>
      </c>
      <c r="D72" s="40">
        <f>(D71-C66)*D70</f>
        <v/>
      </c>
      <c r="E72" s="40">
        <f>(E71-C66)*E70</f>
        <v/>
      </c>
      <c r="F72" s="40">
        <f>(F71-C66)*F70</f>
        <v/>
      </c>
    </row>
    <row r="73">
      <c r="A73" s="6" t="inlineStr">
        <is>
          <t>Discount factor at the cost of equity</t>
        </is>
      </c>
      <c r="B73" s="54">
        <f>1/(1+C66)^1</f>
        <v/>
      </c>
      <c r="C73" s="54">
        <f>1/(1+C66)^2</f>
        <v/>
      </c>
      <c r="D73" s="54">
        <f>1/(1+C66)^3</f>
        <v/>
      </c>
      <c r="E73" s="54">
        <f>1/(1+C66)^4</f>
        <v/>
      </c>
      <c r="F73" s="54">
        <f>1/(1+C66)^5</f>
        <v/>
      </c>
    </row>
    <row r="74">
      <c r="A74" s="6" t="inlineStr">
        <is>
          <t>Present value of the residual income (USD mn)</t>
        </is>
      </c>
      <c r="B74" s="40">
        <f>B72*B73</f>
        <v/>
      </c>
      <c r="C74" s="40">
        <f>C72*C73</f>
        <v/>
      </c>
      <c r="D74" s="40">
        <f>D72*D73</f>
        <v/>
      </c>
      <c r="E74" s="40">
        <f>E72*E73</f>
        <v/>
      </c>
      <c r="F74" s="40">
        <f>F72*F73</f>
        <v/>
      </c>
    </row>
    <row r="75">
      <c r="A75" s="6" t="inlineStr">
        <is>
          <t>Present value of the five forecast years (USD mn)</t>
        </is>
      </c>
      <c r="C75" s="40">
        <f>SUM(B74:F74)</f>
        <v/>
      </c>
    </row>
    <row r="76">
      <c r="A76" s="6" t="inlineStr">
        <is>
          <t>Terminal residual income — the final year's excess return on the closing book (USD mn)</t>
        </is>
      </c>
      <c r="C76" s="40">
        <f>(F71-C66)*'Balance Sheet'!F69/1000</f>
        <v/>
      </c>
    </row>
    <row r="77">
      <c r="A77" s="6" t="inlineStr">
        <is>
          <t>Terminal value — that excess fading toward the cost of equity (USD mn)</t>
        </is>
      </c>
      <c r="C77" s="40">
        <f>C76/(C66+C68-C67)</f>
        <v/>
      </c>
    </row>
    <row r="78">
      <c r="A78" s="6" t="inlineStr">
        <is>
          <t>Present value of the terminal value (USD mn)</t>
        </is>
      </c>
      <c r="C78" s="40">
        <f>C77/(1+C66)^5</f>
        <v/>
      </c>
    </row>
    <row r="79">
      <c r="A79" s="37" t="inlineStr">
        <is>
          <t>Equity value — opening book plus the residual income it earns (USD mn)</t>
        </is>
      </c>
      <c r="C79" s="41">
        <f>C62/1000+C75+C78</f>
        <v/>
      </c>
    </row>
    <row r="80">
      <c r="A80" s="6" t="inlineStr">
        <is>
          <t>Implied price / book — the equity value over the book it starts from</t>
        </is>
      </c>
      <c r="C80" s="44">
        <f>C79/(C62/1000)</f>
        <v/>
      </c>
    </row>
    <row r="81">
      <c r="A81" s="11" t="inlineStr">
        <is>
          <t>BOOK LENS — value per share (AED)</t>
        </is>
      </c>
      <c r="B81" s="16" t="n"/>
      <c r="C81" s="12">
        <f>C79/Assumptions!$C$6*Assumptions!$C$7</f>
        <v/>
      </c>
      <c r="D81" s="16" t="n"/>
      <c r="E81" s="16" t="n"/>
    </row>
    <row r="83">
      <c r="A83" s="11" t="inlineStr">
        <is>
          <t>THE SAME LADDER — BEAR: the return 15% lower, discounted at the cost of equity built on the TOP of the beta's 90% confidence interval</t>
        </is>
      </c>
      <c r="B83" s="16" t="inlineStr">
        <is>
          <t>FY2026</t>
        </is>
      </c>
      <c r="C83" s="16" t="inlineStr">
        <is>
          <t>FY2027</t>
        </is>
      </c>
      <c r="D83" s="16" t="inlineStr">
        <is>
          <t>FY2028</t>
        </is>
      </c>
      <c r="E83" s="16" t="inlineStr">
        <is>
          <t>FY2029</t>
        </is>
      </c>
      <c r="F83" s="16" t="inlineStr">
        <is>
          <t>FY2030</t>
        </is>
      </c>
    </row>
    <row r="84">
      <c r="A84" s="6" t="inlineStr">
        <is>
          <t>Return on ordinary equity — profit after the perpetual coupon, over closing ordinary book (scaled 0.85x)</t>
        </is>
      </c>
      <c r="B84" s="8">
        <f>'Income Statement'!E30/'Balance Sheet'!B69*0.85</f>
        <v/>
      </c>
      <c r="C84" s="8">
        <f>'Income Statement'!F30/'Balance Sheet'!C69*0.85</f>
        <v/>
      </c>
      <c r="D84" s="8">
        <f>'Income Statement'!G30/'Balance Sheet'!D69*0.85</f>
        <v/>
      </c>
      <c r="E84" s="8">
        <f>'Income Statement'!H30/'Balance Sheet'!E69*0.85</f>
        <v/>
      </c>
      <c r="F84" s="8">
        <f>'Income Statement'!I30/'Balance Sheet'!F69*0.85</f>
        <v/>
      </c>
    </row>
    <row r="85">
      <c r="A85" s="6" t="inlineStr">
        <is>
          <t>Residual income — (return less cost of equity) x opening book (USD mn)</t>
        </is>
      </c>
      <c r="B85" s="40">
        <f>(B84-DCF!$C$125)*B70</f>
        <v/>
      </c>
      <c r="C85" s="40">
        <f>(C84-DCF!$C$125)*C70</f>
        <v/>
      </c>
      <c r="D85" s="40">
        <f>(D84-DCF!$C$125)*D70</f>
        <v/>
      </c>
      <c r="E85" s="40">
        <f>(E84-DCF!$C$125)*E70</f>
        <v/>
      </c>
      <c r="F85" s="40">
        <f>(F84-DCF!$C$125)*F70</f>
        <v/>
      </c>
    </row>
    <row r="86">
      <c r="A86" s="6" t="inlineStr">
        <is>
          <t>Discount factor at the cost of equity</t>
        </is>
      </c>
      <c r="B86" s="54">
        <f>1/(1+DCF!$C$125)^1</f>
        <v/>
      </c>
      <c r="C86" s="54">
        <f>1/(1+DCF!$C$125)^2</f>
        <v/>
      </c>
      <c r="D86" s="54">
        <f>1/(1+DCF!$C$125)^3</f>
        <v/>
      </c>
      <c r="E86" s="54">
        <f>1/(1+DCF!$C$125)^4</f>
        <v/>
      </c>
      <c r="F86" s="54">
        <f>1/(1+DCF!$C$125)^5</f>
        <v/>
      </c>
    </row>
    <row r="87">
      <c r="A87" s="6" t="inlineStr">
        <is>
          <t>Present value of the residual income (USD mn)</t>
        </is>
      </c>
      <c r="B87" s="40">
        <f>B85*B86</f>
        <v/>
      </c>
      <c r="C87" s="40">
        <f>C85*C86</f>
        <v/>
      </c>
      <c r="D87" s="40">
        <f>D85*D86</f>
        <v/>
      </c>
      <c r="E87" s="40">
        <f>E85*E86</f>
        <v/>
      </c>
      <c r="F87" s="40">
        <f>F85*F86</f>
        <v/>
      </c>
    </row>
    <row r="88">
      <c r="A88" s="6" t="inlineStr">
        <is>
          <t>Present value of the five forecast years (USD mn)</t>
        </is>
      </c>
      <c r="C88" s="40">
        <f>SUM(B87:F87)</f>
        <v/>
      </c>
    </row>
    <row r="89">
      <c r="A89" s="6" t="inlineStr">
        <is>
          <t>Terminal residual income — the final year's excess return on the closing book (USD mn)</t>
        </is>
      </c>
      <c r="C89" s="40">
        <f>(F84-DCF!$C$125)*'Balance Sheet'!F69/1000</f>
        <v/>
      </c>
    </row>
    <row r="90">
      <c r="A90" s="6" t="inlineStr">
        <is>
          <t>Terminal value — that excess fading toward the cost of equity (USD mn)</t>
        </is>
      </c>
      <c r="C90" s="40">
        <f>C89/(DCF!$C$125+C68-C67)</f>
        <v/>
      </c>
    </row>
    <row r="91">
      <c r="A91" s="6" t="inlineStr">
        <is>
          <t>Present value of the terminal value (USD mn)</t>
        </is>
      </c>
      <c r="C91" s="40">
        <f>C90/(1+DCF!$C$125)^5</f>
        <v/>
      </c>
    </row>
    <row r="92">
      <c r="A92" s="37" t="inlineStr">
        <is>
          <t>Equity value — opening book plus the residual income it earns (USD mn)</t>
        </is>
      </c>
      <c r="C92" s="41">
        <f>C62/1000+C88+C91</f>
        <v/>
      </c>
    </row>
    <row r="93">
      <c r="A93" s="11" t="inlineStr">
        <is>
          <t>THE SAME LADDER — BULL: the return 15% higher, discounted at the cost of equity built on the BOTTOM of the same interval</t>
        </is>
      </c>
      <c r="B93" s="16" t="inlineStr">
        <is>
          <t>FY2026</t>
        </is>
      </c>
      <c r="C93" s="16" t="inlineStr">
        <is>
          <t>FY2027</t>
        </is>
      </c>
      <c r="D93" s="16" t="inlineStr">
        <is>
          <t>FY2028</t>
        </is>
      </c>
      <c r="E93" s="16" t="inlineStr">
        <is>
          <t>FY2029</t>
        </is>
      </c>
      <c r="F93" s="16" t="inlineStr">
        <is>
          <t>FY2030</t>
        </is>
      </c>
    </row>
    <row r="94">
      <c r="A94" s="6" t="inlineStr">
        <is>
          <t>Return on ordinary equity — profit after the perpetual coupon, over closing ordinary book (scaled 1.15x)</t>
        </is>
      </c>
      <c r="B94" s="8">
        <f>'Income Statement'!E30/'Balance Sheet'!B69*1.15</f>
        <v/>
      </c>
      <c r="C94" s="8">
        <f>'Income Statement'!F30/'Balance Sheet'!C69*1.15</f>
        <v/>
      </c>
      <c r="D94" s="8">
        <f>'Income Statement'!G30/'Balance Sheet'!D69*1.15</f>
        <v/>
      </c>
      <c r="E94" s="8">
        <f>'Income Statement'!H30/'Balance Sheet'!E69*1.15</f>
        <v/>
      </c>
      <c r="F94" s="8">
        <f>'Income Statement'!I30/'Balance Sheet'!F69*1.15</f>
        <v/>
      </c>
    </row>
    <row r="95">
      <c r="A95" s="6" t="inlineStr">
        <is>
          <t>Residual income — (return less cost of equity) x opening book (USD mn)</t>
        </is>
      </c>
      <c r="B95" s="40">
        <f>(B94-DCF!$C$124)*B70</f>
        <v/>
      </c>
      <c r="C95" s="40">
        <f>(C94-DCF!$C$124)*C70</f>
        <v/>
      </c>
      <c r="D95" s="40">
        <f>(D94-DCF!$C$124)*D70</f>
        <v/>
      </c>
      <c r="E95" s="40">
        <f>(E94-DCF!$C$124)*E70</f>
        <v/>
      </c>
      <c r="F95" s="40">
        <f>(F94-DCF!$C$124)*F70</f>
        <v/>
      </c>
    </row>
    <row r="96">
      <c r="A96" s="6" t="inlineStr">
        <is>
          <t>Discount factor at the cost of equity</t>
        </is>
      </c>
      <c r="B96" s="54">
        <f>1/(1+DCF!$C$124)^1</f>
        <v/>
      </c>
      <c r="C96" s="54">
        <f>1/(1+DCF!$C$124)^2</f>
        <v/>
      </c>
      <c r="D96" s="54">
        <f>1/(1+DCF!$C$124)^3</f>
        <v/>
      </c>
      <c r="E96" s="54">
        <f>1/(1+DCF!$C$124)^4</f>
        <v/>
      </c>
      <c r="F96" s="54">
        <f>1/(1+DCF!$C$124)^5</f>
        <v/>
      </c>
    </row>
    <row r="97">
      <c r="A97" s="6" t="inlineStr">
        <is>
          <t>Present value of the residual income (USD mn)</t>
        </is>
      </c>
      <c r="B97" s="40">
        <f>B95*B96</f>
        <v/>
      </c>
      <c r="C97" s="40">
        <f>C95*C96</f>
        <v/>
      </c>
      <c r="D97" s="40">
        <f>D95*D96</f>
        <v/>
      </c>
      <c r="E97" s="40">
        <f>E95*E96</f>
        <v/>
      </c>
      <c r="F97" s="40">
        <f>F95*F96</f>
        <v/>
      </c>
    </row>
    <row r="98">
      <c r="A98" s="6" t="inlineStr">
        <is>
          <t>Present value of the five forecast years (USD mn)</t>
        </is>
      </c>
      <c r="C98" s="40">
        <f>SUM(B97:F97)</f>
        <v/>
      </c>
    </row>
    <row r="99">
      <c r="A99" s="6" t="inlineStr">
        <is>
          <t>Terminal residual income — the final year's excess return on the closing book (USD mn)</t>
        </is>
      </c>
      <c r="C99" s="40">
        <f>(F94-DCF!$C$124)*'Balance Sheet'!F69/1000</f>
        <v/>
      </c>
    </row>
    <row r="100">
      <c r="A100" s="6" t="inlineStr">
        <is>
          <t>Terminal value — that excess fading toward the cost of equity (USD mn)</t>
        </is>
      </c>
      <c r="C100" s="40">
        <f>C99/(DCF!$C$124+C68-C67)</f>
        <v/>
      </c>
    </row>
    <row r="101">
      <c r="A101" s="6" t="inlineStr">
        <is>
          <t>Present value of the terminal value (USD mn)</t>
        </is>
      </c>
      <c r="C101" s="40">
        <f>C100/(1+DCF!$C$124)^5</f>
        <v/>
      </c>
    </row>
    <row r="102">
      <c r="A102" s="37" t="inlineStr">
        <is>
          <t>Equity value — opening book plus the residual income it earns (USD mn)</t>
        </is>
      </c>
      <c r="C102" s="41">
        <f>C62/1000+C98+C101</f>
        <v/>
      </c>
    </row>
    <row r="103">
      <c r="A103" s="6" t="inlineStr">
        <is>
          <t>Bear — return 15% lower, discounted at the cost of equity built on the TOP of the beta's 90% confidence interval (C) / bull — return 15% higher, discounted at the cost of equity built on the BOTTOM of the same interval (D)</t>
        </is>
      </c>
      <c r="C103" s="9">
        <f>C92/Assumptions!$C$6*Assumptions!$C$7</f>
        <v/>
      </c>
      <c r="D103" s="9">
        <f>C102/Assumptions!$C$6*Assumptions!$C$7</f>
        <v/>
      </c>
    </row>
    <row r="105">
      <c r="A105" s="11" t="inlineStr">
        <is>
          <t>THE REALISED VESSEL SALE — DIRECT EVIDENCE ON CARRYING VALUES</t>
        </is>
      </c>
      <c r="B105" s="16" t="n"/>
      <c r="C105" s="16" t="n"/>
      <c r="D105" s="16" t="n"/>
      <c r="E105" s="16" t="n"/>
    </row>
    <row r="106">
      <c r="A106" s="6" t="inlineStr">
        <is>
          <t>Carrying value of the very large crude carrier sold (USD 000)</t>
        </is>
      </c>
      <c r="C106" s="29" t="n">
        <v>83000</v>
      </c>
    </row>
    <row r="107">
      <c r="A107" s="6" t="inlineStr">
        <is>
          <t>Realised sale price, January 2026 (USD 000)</t>
        </is>
      </c>
      <c r="C107" s="29" t="n">
        <v>111000</v>
      </c>
    </row>
    <row r="108">
      <c r="A108" s="37" t="inlineStr">
        <is>
          <t>Realised price over carrying value</t>
        </is>
      </c>
      <c r="C108" s="55">
        <f>C107/C106</f>
        <v/>
      </c>
    </row>
    <row r="109">
      <c r="A109" s="6" t="inlineStr">
        <is>
          <t>Capital gain recognised on the sale, as disclosed (USD 000)</t>
        </is>
      </c>
      <c r="C109" s="29" t="n">
        <v>27000</v>
      </c>
    </row>
    <row r="110">
      <c r="A11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Segments!B189</f>
        <v/>
      </c>
      <c r="C5" s="20">
        <f>Segments!C189</f>
        <v/>
      </c>
      <c r="D5" s="20">
        <f>Segments!D189</f>
        <v/>
      </c>
      <c r="E5" s="20">
        <f>Segments!E189</f>
        <v/>
      </c>
      <c r="F5" s="20">
        <f>Segments!F189</f>
        <v/>
      </c>
    </row>
    <row r="6">
      <c r="A6" s="6" t="inlineStr">
        <is>
          <t>EBITDA</t>
        </is>
      </c>
      <c r="B6" s="20">
        <f>Segments!B199</f>
        <v/>
      </c>
      <c r="C6" s="20">
        <f>Segments!C199</f>
        <v/>
      </c>
      <c r="D6" s="20">
        <f>Segments!D199</f>
        <v/>
      </c>
      <c r="E6" s="20">
        <f>Segments!E199</f>
        <v/>
      </c>
      <c r="F6" s="20">
        <f>Segments!F199</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3">
        <f>B6+B8</f>
        <v/>
      </c>
      <c r="C9" s="43">
        <f>C6+C8</f>
        <v/>
      </c>
      <c r="D9" s="43">
        <f>D6+D8</f>
        <v/>
      </c>
      <c r="E9" s="43">
        <f>E6+E8</f>
        <v/>
      </c>
      <c r="F9" s="43">
        <f>F6+F8</f>
        <v/>
      </c>
    </row>
    <row r="10">
      <c r="A10" s="6" t="inlineStr">
        <is>
          <t>Less tax on operating profit — the business-unit mix below</t>
        </is>
      </c>
      <c r="B10" s="33">
        <f>-B35</f>
        <v/>
      </c>
      <c r="C10" s="33">
        <f>-C35</f>
        <v/>
      </c>
      <c r="D10" s="33">
        <f>-D35</f>
        <v/>
      </c>
      <c r="E10" s="33">
        <f>-E35</f>
        <v/>
      </c>
      <c r="F10" s="33">
        <f>-F35</f>
        <v/>
      </c>
    </row>
    <row r="11">
      <c r="A11" s="16" t="inlineStr">
        <is>
          <t>NOPAT</t>
        </is>
      </c>
      <c r="B11" s="43">
        <f>B9+B10</f>
        <v/>
      </c>
      <c r="C11" s="43">
        <f>C9+C10</f>
        <v/>
      </c>
      <c r="D11" s="43">
        <f>D9+D10</f>
        <v/>
      </c>
      <c r="E11" s="43">
        <f>E9+E10</f>
        <v/>
      </c>
      <c r="F11" s="43">
        <f>F9+F10</f>
        <v/>
      </c>
    </row>
    <row r="12">
      <c r="A12" s="6" t="inlineStr">
        <is>
          <t>Add back depreciation and amortisation</t>
        </is>
      </c>
      <c r="B12" s="33">
        <f>-B8</f>
        <v/>
      </c>
      <c r="C12" s="33">
        <f>-C8</f>
        <v/>
      </c>
      <c r="D12" s="33">
        <f>-D8</f>
        <v/>
      </c>
      <c r="E12" s="33">
        <f>-E8</f>
        <v/>
      </c>
      <c r="F12" s="33">
        <f>-F8</f>
        <v/>
      </c>
    </row>
    <row r="13">
      <c r="A13" s="6" t="inlineStr">
        <is>
          <t>Less capital expenditure</t>
        </is>
      </c>
      <c r="B13" s="20">
        <f>-Assumptions!$B$148</f>
        <v/>
      </c>
      <c r="C13" s="20">
        <f>-Assumptions!$C$148</f>
        <v/>
      </c>
      <c r="D13" s="20">
        <f>-Assumptions!$D$148</f>
        <v/>
      </c>
      <c r="E13" s="20">
        <f>-Assumptions!$E$148</f>
        <v/>
      </c>
      <c r="F13" s="20">
        <f>-Assumptions!$F$148</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3">
        <f>B11+B12+B13+B14</f>
        <v/>
      </c>
      <c r="C15" s="43">
        <f>C11+C12+C13+C14</f>
        <v/>
      </c>
      <c r="D15" s="43">
        <f>D11+D12+D13+D14</f>
        <v/>
      </c>
      <c r="E15" s="43">
        <f>E11+E12+E13+E14</f>
        <v/>
      </c>
      <c r="F15" s="43">
        <f>F11+F12+F13+F14</f>
        <v/>
      </c>
    </row>
    <row r="16">
      <c r="A16" s="6" t="inlineStr">
        <is>
          <t>Less first-quarter 2026 free cash flow, already inside net debt at the valuation date</t>
        </is>
      </c>
      <c r="B16" s="20">
        <f>-Assumptions!$C$9</f>
        <v/>
      </c>
      <c r="C16" s="33">
        <f>0</f>
        <v/>
      </c>
      <c r="D16" s="33">
        <f>0</f>
        <v/>
      </c>
      <c r="E16" s="33">
        <f>0</f>
        <v/>
      </c>
      <c r="F16" s="33">
        <f>0</f>
        <v/>
      </c>
    </row>
    <row r="17">
      <c r="A17" s="16" t="inlineStr">
        <is>
          <t>Free cash flow discounted from 31 March 2026</t>
        </is>
      </c>
      <c r="B17" s="43">
        <f>B15+B16</f>
        <v/>
      </c>
      <c r="C17" s="43">
        <f>C15+C16</f>
        <v/>
      </c>
      <c r="D17" s="43">
        <f>D15+D16</f>
        <v/>
      </c>
      <c r="E17" s="43">
        <f>E15+E16</f>
        <v/>
      </c>
      <c r="F17" s="43">
        <f>F15+F16</f>
        <v/>
      </c>
    </row>
    <row r="18">
      <c r="A18" s="6" t="inlineStr">
        <is>
          <t>Forward cost of capital — the glide from current to terminal</t>
        </is>
      </c>
      <c r="B18" s="56">
        <f>$C$106+($C$112-$C$106)*1/5</f>
        <v/>
      </c>
      <c r="C18" s="56">
        <f>$C$106+($C$112-$C$106)*2/5</f>
        <v/>
      </c>
      <c r="D18" s="56">
        <f>$C$106+($C$112-$C$106)*3/5</f>
        <v/>
      </c>
      <c r="E18" s="56">
        <f>$C$106+($C$112-$C$106)*4/5</f>
        <v/>
      </c>
      <c r="F18" s="56">
        <f>$C$106+($C$112-$C$106)*5/5</f>
        <v/>
      </c>
    </row>
    <row r="19">
      <c r="A19" s="6" t="inlineStr">
        <is>
          <t>Discount factor — each year compounded onto the last</t>
        </is>
      </c>
      <c r="B19" s="54">
        <f>1/(1+B18)^Assumptions!$C$8</f>
        <v/>
      </c>
      <c r="C19" s="54">
        <f>B19/(1+C18)</f>
        <v/>
      </c>
      <c r="D19" s="54">
        <f>C19/(1+D18)</f>
        <v/>
      </c>
      <c r="E19" s="54">
        <f>D19/(1+E18)</f>
        <v/>
      </c>
      <c r="F19" s="54">
        <f>E19/(1+F18)</f>
        <v/>
      </c>
    </row>
    <row r="20">
      <c r="A20" s="16" t="inlineStr">
        <is>
          <t>Present value of free cash flow</t>
        </is>
      </c>
      <c r="B20" s="43">
        <f>B17*B19</f>
        <v/>
      </c>
      <c r="C20" s="43">
        <f>C17*C19</f>
        <v/>
      </c>
      <c r="D20" s="43">
        <f>D17*D19</f>
        <v/>
      </c>
      <c r="E20" s="43">
        <f>E17*E19</f>
        <v/>
      </c>
      <c r="F20" s="43">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Segments!B206</f>
        <v/>
      </c>
      <c r="C23" s="20">
        <f>Segments!C206</f>
        <v/>
      </c>
      <c r="D23" s="20">
        <f>Segments!D206</f>
        <v/>
      </c>
      <c r="E23" s="20">
        <f>Segments!E206</f>
        <v/>
      </c>
      <c r="F23" s="20">
        <f>Segments!F206</f>
        <v/>
      </c>
    </row>
    <row r="24">
      <c r="A24" s="6" t="inlineStr">
        <is>
          <t>Shipping — EBITDA</t>
        </is>
      </c>
      <c r="B24" s="20">
        <f>Segments!B207</f>
        <v/>
      </c>
      <c r="C24" s="20">
        <f>Segments!C207</f>
        <v/>
      </c>
      <c r="D24" s="20">
        <f>Segments!D207</f>
        <v/>
      </c>
      <c r="E24" s="20">
        <f>Segments!E207</f>
        <v/>
      </c>
      <c r="F24" s="20">
        <f>Segments!F207</f>
        <v/>
      </c>
    </row>
    <row r="25">
      <c r="A25" s="6" t="inlineStr">
        <is>
          <t>Services — EBITDA</t>
        </is>
      </c>
      <c r="B25" s="20">
        <f>Segments!B208</f>
        <v/>
      </c>
      <c r="C25" s="20">
        <f>Segments!C208</f>
        <v/>
      </c>
      <c r="D25" s="20">
        <f>Segments!D208</f>
        <v/>
      </c>
      <c r="E25" s="20">
        <f>Segments!E208</f>
        <v/>
      </c>
      <c r="F25" s="20">
        <f>Segments!F208</f>
        <v/>
      </c>
    </row>
    <row r="26">
      <c r="A26" s="6" t="inlineStr">
        <is>
          <t>Integrated Logistics — share of depreciation and amortisation</t>
        </is>
      </c>
      <c r="B26" s="33">
        <f>-B8*(Assumptions!$C$169+Assumptions!$C$170+Assumptions!$C$171)/(Assumptions!$C$169+Assumptions!$C$170+Assumptions!$C$171+Assumptions!$C$172+Assumptions!$C$173+Assumptions!$C$174+Assumptions!$C$175)</f>
        <v/>
      </c>
      <c r="C26" s="33">
        <f>-C8*(Assumptions!$C$169+Assumptions!$C$170+Assumptions!$C$171)/(Assumptions!$C$169+Assumptions!$C$170+Assumptions!$C$171+Assumptions!$C$172+Assumptions!$C$173+Assumptions!$C$174+Assumptions!$C$175)</f>
        <v/>
      </c>
      <c r="D26" s="33">
        <f>-D8*(Assumptions!$C$169+Assumptions!$C$170+Assumptions!$C$171)/(Assumptions!$C$169+Assumptions!$C$170+Assumptions!$C$171+Assumptions!$C$172+Assumptions!$C$173+Assumptions!$C$174+Assumptions!$C$175)</f>
        <v/>
      </c>
      <c r="E26" s="33">
        <f>-E8*(Assumptions!$C$169+Assumptions!$C$170+Assumptions!$C$171)/(Assumptions!$C$169+Assumptions!$C$170+Assumptions!$C$171+Assumptions!$C$172+Assumptions!$C$173+Assumptions!$C$174+Assumptions!$C$175)</f>
        <v/>
      </c>
      <c r="F26" s="33">
        <f>-F8*(Assumptions!$C$169+Assumptions!$C$170+Assumptions!$C$171)/(Assumptions!$C$169+Assumptions!$C$170+Assumptions!$C$171+Assumptions!$C$172+Assumptions!$C$173+Assumptions!$C$174+Assumptions!$C$175)</f>
        <v/>
      </c>
    </row>
    <row r="27">
      <c r="A27" s="6" t="inlineStr">
        <is>
          <t>Shipping — share of depreciation and amortisation</t>
        </is>
      </c>
      <c r="B27" s="33">
        <f>-B8*(Assumptions!$C$172+Assumptions!$C$173+Assumptions!$C$174)/(Assumptions!$C$169+Assumptions!$C$170+Assumptions!$C$171+Assumptions!$C$172+Assumptions!$C$173+Assumptions!$C$174+Assumptions!$C$175)</f>
        <v/>
      </c>
      <c r="C27" s="33">
        <f>-C8*(Assumptions!$C$172+Assumptions!$C$173+Assumptions!$C$174)/(Assumptions!$C$169+Assumptions!$C$170+Assumptions!$C$171+Assumptions!$C$172+Assumptions!$C$173+Assumptions!$C$174+Assumptions!$C$175)</f>
        <v/>
      </c>
      <c r="D27" s="33">
        <f>-D8*(Assumptions!$C$172+Assumptions!$C$173+Assumptions!$C$174)/(Assumptions!$C$169+Assumptions!$C$170+Assumptions!$C$171+Assumptions!$C$172+Assumptions!$C$173+Assumptions!$C$174+Assumptions!$C$175)</f>
        <v/>
      </c>
      <c r="E27" s="33">
        <f>-E8*(Assumptions!$C$172+Assumptions!$C$173+Assumptions!$C$174)/(Assumptions!$C$169+Assumptions!$C$170+Assumptions!$C$171+Assumptions!$C$172+Assumptions!$C$173+Assumptions!$C$174+Assumptions!$C$175)</f>
        <v/>
      </c>
      <c r="F27" s="33">
        <f>-F8*(Assumptions!$C$172+Assumptions!$C$173+Assumptions!$C$174)/(Assumptions!$C$169+Assumptions!$C$170+Assumptions!$C$171+Assumptions!$C$172+Assumptions!$C$173+Assumptions!$C$174+Assumptions!$C$175)</f>
        <v/>
      </c>
    </row>
    <row r="28">
      <c r="A28" s="6" t="inlineStr">
        <is>
          <t>Services — share of depreciation and amortisation</t>
        </is>
      </c>
      <c r="B28" s="33">
        <f>-B8*(Assumptions!$C$175)/(Assumptions!$C$169+Assumptions!$C$170+Assumptions!$C$171+Assumptions!$C$172+Assumptions!$C$173+Assumptions!$C$174+Assumptions!$C$175)</f>
        <v/>
      </c>
      <c r="C28" s="33">
        <f>-C8*(Assumptions!$C$175)/(Assumptions!$C$169+Assumptions!$C$170+Assumptions!$C$171+Assumptions!$C$172+Assumptions!$C$173+Assumptions!$C$174+Assumptions!$C$175)</f>
        <v/>
      </c>
      <c r="D28" s="33">
        <f>-D8*(Assumptions!$C$175)/(Assumptions!$C$169+Assumptions!$C$170+Assumptions!$C$171+Assumptions!$C$172+Assumptions!$C$173+Assumptions!$C$174+Assumptions!$C$175)</f>
        <v/>
      </c>
      <c r="E28" s="33">
        <f>-E8*(Assumptions!$C$175)/(Assumptions!$C$169+Assumptions!$C$170+Assumptions!$C$171+Assumptions!$C$172+Assumptions!$C$173+Assumptions!$C$174+Assumptions!$C$175)</f>
        <v/>
      </c>
      <c r="F28" s="33">
        <f>-F8*(Assumptions!$C$175)/(Assumptions!$C$169+Assumptions!$C$170+Assumptions!$C$171+Assumptions!$C$172+Assumptions!$C$173+Assumptions!$C$174+Assumptions!$C$175)</f>
        <v/>
      </c>
    </row>
    <row r="29">
      <c r="A29" s="6" t="inlineStr">
        <is>
          <t>Integrated Logistics — taxable profit</t>
        </is>
      </c>
      <c r="B29" s="33">
        <f>MAX(B23-B26,0)</f>
        <v/>
      </c>
      <c r="C29" s="33">
        <f>MAX(C23-C26,0)</f>
        <v/>
      </c>
      <c r="D29" s="33">
        <f>MAX(D23-D26,0)</f>
        <v/>
      </c>
      <c r="E29" s="33">
        <f>MAX(E23-E26,0)</f>
        <v/>
      </c>
      <c r="F29" s="33">
        <f>MAX(F23-F26,0)</f>
        <v/>
      </c>
    </row>
    <row r="30">
      <c r="A30" s="6" t="inlineStr">
        <is>
          <t>Shipping — taxable profit</t>
        </is>
      </c>
      <c r="B30" s="33">
        <f>MAX(B24-B27,0)</f>
        <v/>
      </c>
      <c r="C30" s="33">
        <f>MAX(C24-C27,0)</f>
        <v/>
      </c>
      <c r="D30" s="33">
        <f>MAX(D24-D27,0)</f>
        <v/>
      </c>
      <c r="E30" s="33">
        <f>MAX(E24-E27,0)</f>
        <v/>
      </c>
      <c r="F30" s="33">
        <f>MAX(F24-F27,0)</f>
        <v/>
      </c>
    </row>
    <row r="31">
      <c r="A31" s="6" t="inlineStr">
        <is>
          <t>Services — taxable profit</t>
        </is>
      </c>
      <c r="B31" s="33">
        <f>MAX(B25-B28,0)</f>
        <v/>
      </c>
      <c r="C31" s="33">
        <f>MAX(C25-C28,0)</f>
        <v/>
      </c>
      <c r="D31" s="33">
        <f>MAX(D25-D28,0)</f>
        <v/>
      </c>
      <c r="E31" s="33">
        <f>MAX(E25-E28,0)</f>
        <v/>
      </c>
      <c r="F31" s="33">
        <f>MAX(F25-F28,0)</f>
        <v/>
      </c>
    </row>
    <row r="32">
      <c r="A32" s="6" t="inlineStr">
        <is>
          <t>Integrated Logistics — tax charge at 9%</t>
        </is>
      </c>
      <c r="B32" s="33">
        <f>B29*Assumptions!$C$166</f>
        <v/>
      </c>
      <c r="C32" s="33">
        <f>C29*Assumptions!$C$166</f>
        <v/>
      </c>
      <c r="D32" s="33">
        <f>D29*Assumptions!$C$166</f>
        <v/>
      </c>
      <c r="E32" s="33">
        <f>E29*Assumptions!$C$166</f>
        <v/>
      </c>
      <c r="F32" s="33">
        <f>F29*Assumptions!$C$166</f>
        <v/>
      </c>
    </row>
    <row r="33">
      <c r="A33" s="6" t="inlineStr">
        <is>
          <t>Shipping — tax charge at 1%</t>
        </is>
      </c>
      <c r="B33" s="33">
        <f>B30*Assumptions!$C$167</f>
        <v/>
      </c>
      <c r="C33" s="33">
        <f>C30*Assumptions!$C$167</f>
        <v/>
      </c>
      <c r="D33" s="33">
        <f>D30*Assumptions!$C$167</f>
        <v/>
      </c>
      <c r="E33" s="33">
        <f>E30*Assumptions!$C$167</f>
        <v/>
      </c>
      <c r="F33" s="33">
        <f>F30*Assumptions!$C$167</f>
        <v/>
      </c>
    </row>
    <row r="34">
      <c r="A34" s="6" t="inlineStr">
        <is>
          <t>Services — tax charge at 4%</t>
        </is>
      </c>
      <c r="B34" s="33">
        <f>B31*Assumptions!$C$168</f>
        <v/>
      </c>
      <c r="C34" s="33">
        <f>C31*Assumptions!$C$168</f>
        <v/>
      </c>
      <c r="D34" s="33">
        <f>D31*Assumptions!$C$168</f>
        <v/>
      </c>
      <c r="E34" s="33">
        <f>E31*Assumptions!$C$168</f>
        <v/>
      </c>
      <c r="F34" s="33">
        <f>F31*Assumptions!$C$168</f>
        <v/>
      </c>
    </row>
    <row r="35">
      <c r="A35" s="16" t="inlineStr">
        <is>
          <t>Tax on operating profit</t>
        </is>
      </c>
      <c r="B35" s="43">
        <f>SUM(B32:B34)</f>
        <v/>
      </c>
      <c r="C35" s="43">
        <f>SUM(C32:C34)</f>
        <v/>
      </c>
      <c r="D35" s="43">
        <f>SUM(D32:D34)</f>
        <v/>
      </c>
      <c r="E35" s="43">
        <f>SUM(E32:E34)</f>
        <v/>
      </c>
      <c r="F35" s="43">
        <f>SUM(F32:F34)</f>
        <v/>
      </c>
    </row>
    <row r="36">
      <c r="A36" s="6" t="inlineStr">
        <is>
          <t>Effective tax rate on operating profit</t>
        </is>
      </c>
      <c r="B36" s="56">
        <f>B35/B9</f>
        <v/>
      </c>
      <c r="C36" s="56">
        <f>C35/C9</f>
        <v/>
      </c>
      <c r="D36" s="56">
        <f>D35/D9</f>
        <v/>
      </c>
      <c r="E36" s="56">
        <f>E35/E9</f>
        <v/>
      </c>
      <c r="F36" s="56">
        <f>F35/F9</f>
        <v/>
      </c>
    </row>
    <row r="38">
      <c r="A38" s="11" t="inlineStr">
        <is>
          <t>TERMINAL VALUE AND THE BRIDGE TO EQUITY</t>
        </is>
      </c>
      <c r="B38" s="16" t="n"/>
      <c r="C38" s="16" t="n"/>
      <c r="D38" s="16" t="n"/>
      <c r="E38" s="16" t="n"/>
      <c r="F38" s="16" t="n"/>
    </row>
    <row r="39">
      <c r="A39" s="6" t="inlineStr">
        <is>
          <t>Terminal growth</t>
        </is>
      </c>
      <c r="C39" s="8">
        <f>Assumptions!$C$193</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3">
        <f>F11*(1+C39)</f>
        <v/>
      </c>
    </row>
    <row r="44">
      <c r="A44" s="6" t="inlineStr">
        <is>
          <t>Terminal value — grown NOPAT net of reinvestment, capitalised at the terminal rate</t>
        </is>
      </c>
      <c r="C44" s="33">
        <f>C43*(1-C42)/(C112-C39)</f>
        <v/>
      </c>
    </row>
    <row r="45">
      <c r="A45" s="6" t="inlineStr">
        <is>
          <t>Present value of the five forecast years</t>
        </is>
      </c>
      <c r="C45" s="33">
        <f>SUM(B20:F20)</f>
        <v/>
      </c>
    </row>
    <row r="46">
      <c r="A46" s="6" t="inlineStr">
        <is>
          <t>Present value of the terminal value</t>
        </is>
      </c>
      <c r="C46" s="33">
        <f>C44*F19</f>
        <v/>
      </c>
    </row>
    <row r="47">
      <c r="A47" s="6" t="inlineStr">
        <is>
          <t>Enterprise value of operations</t>
        </is>
      </c>
      <c r="C47" s="33">
        <f>C45+C46</f>
        <v/>
      </c>
    </row>
    <row r="48">
      <c r="A48" s="6" t="inlineStr">
        <is>
          <t>Terminal value as a share of enterprise value</t>
        </is>
      </c>
      <c r="C48" s="10">
        <f>C46/C47</f>
        <v/>
      </c>
    </row>
    <row r="49">
      <c r="A49" s="6" t="inlineStr">
        <is>
          <t>Plus joint ventures and associates at carrying value</t>
        </is>
      </c>
      <c r="C49" s="20">
        <f>Assumptions!$C$186</f>
        <v/>
      </c>
    </row>
    <row r="50">
      <c r="A50" s="6" t="inlineStr">
        <is>
          <t>Enterprise value</t>
        </is>
      </c>
      <c r="C50" s="38">
        <f>C47+C49</f>
        <v/>
      </c>
    </row>
    <row r="51">
      <c r="A51" s="6" t="inlineStr">
        <is>
          <t>Less net debt at 30 June 2026</t>
        </is>
      </c>
      <c r="C51" s="20">
        <f>-Assumptions!$C$178</f>
        <v/>
      </c>
    </row>
    <row r="52">
      <c r="A52" s="6" t="inlineStr">
        <is>
          <t>Less deferred consideration on acquisitions</t>
        </is>
      </c>
      <c r="C52" s="20">
        <f>-Assumptions!$C$180</f>
        <v/>
      </c>
    </row>
    <row r="53">
      <c r="A53" s="6" t="inlineStr">
        <is>
          <t>Less the eleven vessels bought on 7 August 2026 — committed and funded, so their price is carried here and their earnings are in the forecast above</t>
        </is>
      </c>
      <c r="C53" s="20">
        <f>-Assumptions!$C$88</f>
        <v/>
      </c>
    </row>
    <row r="54">
      <c r="A54" s="6" t="inlineStr">
        <is>
          <t>Less perpetual capital securities at carrying value</t>
        </is>
      </c>
      <c r="C54" s="20">
        <f>-Assumptions!$C$181</f>
        <v/>
      </c>
    </row>
    <row r="55">
      <c r="A55" s="6" t="inlineStr">
        <is>
          <t>Less the interim dividend declared after the balance-sheet date, on a record date already past, so a buyer at today's price does not receive it</t>
        </is>
      </c>
      <c r="C55" s="20">
        <f>-Assumptions!$C$179</f>
        <v/>
      </c>
    </row>
    <row r="56">
      <c r="A56" s="6" t="inlineStr">
        <is>
          <t>Equity value before the minorities</t>
        </is>
      </c>
      <c r="C56" s="33">
        <f>C50+C51+C52+C53+C54+C55</f>
        <v/>
      </c>
    </row>
    <row r="57">
      <c r="A57" s="6" t="inlineStr">
        <is>
          <t>Minorities arising on the tanker combination — 20% CONTRACTED for purchase in mid-2027, whose price already sits in the bridge above as deferred consideration, so it is deducted at that contracted price, not at a share of value</t>
        </is>
      </c>
      <c r="C57" s="20">
        <f>Assumptions!$C$184</f>
        <v/>
      </c>
    </row>
    <row r="58">
      <c r="A58" s="6" t="inlineStr">
        <is>
          <t>The remaining minorities at carrying value</t>
        </is>
      </c>
      <c r="C58" s="33">
        <f>Assumptions!$C$183-C57</f>
        <v/>
      </c>
    </row>
    <row r="59">
      <c r="A59" s="6" t="inlineStr">
        <is>
          <t>Their share of profit — the profit share scaled to their share of the carried minority balance</t>
        </is>
      </c>
      <c r="C59" s="56">
        <f>Assumptions!$C$185*C58/Assumptions!$C$183</f>
        <v/>
      </c>
    </row>
    <row r="60">
      <c r="A60" s="6" t="inlineStr">
        <is>
          <t>Less non-controlling interests — the contracted slice at its contracted price, the rest at the greater of book and value</t>
        </is>
      </c>
      <c r="C60" s="33">
        <f>-(C57+MAX(C58,C56*C59))</f>
        <v/>
      </c>
    </row>
    <row r="61">
      <c r="A61" s="16" t="inlineStr">
        <is>
          <t>Equity attributable to ordinary shareholders</t>
        </is>
      </c>
      <c r="B61" s="16" t="n"/>
      <c r="C61" s="43">
        <f>C56+C60</f>
        <v/>
      </c>
      <c r="D61" s="16" t="n"/>
    </row>
    <row r="62">
      <c r="A62" s="6" t="inlineStr">
        <is>
          <t>Fair value per share (USD)</t>
        </is>
      </c>
      <c r="C62" s="9">
        <f>C61/Assumptions!$C$6/1000</f>
        <v/>
      </c>
    </row>
    <row r="63">
      <c r="A63" s="16" t="inlineStr">
        <is>
          <t>Fair value per share (AED)</t>
        </is>
      </c>
      <c r="B63" s="16" t="n"/>
      <c r="C63" s="17">
        <f>C62*Assumptions!$C$7</f>
        <v/>
      </c>
      <c r="D63" s="16" t="n"/>
    </row>
    <row r="64">
      <c r="A64" s="11" t="inlineStr">
        <is>
          <t>COST OF EQUITY — BUILT HERE, NOT ASSUMED</t>
        </is>
      </c>
      <c r="B64" s="16" t="n"/>
      <c r="C64" s="16" t="n"/>
      <c r="D64" s="16" t="n"/>
      <c r="E64" s="16" t="n"/>
      <c r="F64" s="16" t="n"/>
    </row>
    <row r="65">
      <c r="A65" s="6" t="inlineStr">
        <is>
          <t>Observed government bond yield (dirham tranche, January 2031)</t>
        </is>
      </c>
      <c r="C65" s="21">
        <f>Assumptions!$C$12</f>
        <v/>
      </c>
    </row>
    <row r="66">
      <c r="A66" s="6" t="inlineStr">
        <is>
          <t>Less sovereign default spread — country risk enters once, through the premium</t>
        </is>
      </c>
      <c r="C66" s="21">
        <f>Assumptions!$C$13</f>
        <v/>
      </c>
    </row>
    <row r="67">
      <c r="A67" s="6" t="inlineStr">
        <is>
          <t>Normalised risk-free rate</t>
        </is>
      </c>
      <c r="C67" s="56">
        <f>C65-C66</f>
        <v/>
      </c>
    </row>
    <row r="68">
      <c r="A68" s="6" t="inlineStr">
        <is>
          <t>Beta — own-stock weekly regression against its local index</t>
        </is>
      </c>
      <c r="C68" s="25">
        <f>Assumptions!$C$14</f>
        <v/>
      </c>
    </row>
    <row r="69">
      <c r="A69" s="6" t="inlineStr">
        <is>
          <t>Equity risk premium</t>
        </is>
      </c>
      <c r="C69" s="21">
        <f>Assumptions!$C$19</f>
        <v/>
      </c>
    </row>
    <row r="70">
      <c r="A70" s="16" t="inlineStr">
        <is>
          <t>Cost of equity</t>
        </is>
      </c>
      <c r="B70" s="16" t="n"/>
      <c r="C70" s="57">
        <f>C67+C68*C69</f>
        <v/>
      </c>
      <c r="D70" s="16" t="n"/>
    </row>
    <row r="72">
      <c r="A72" s="11" t="inlineStr">
        <is>
          <t>COST OF DEBT — THREE CONSTRUCTIONS, AVERAGED HERE</t>
        </is>
      </c>
      <c r="B72" s="16" t="n"/>
      <c r="C72" s="16" t="n"/>
      <c r="D72" s="16" t="n"/>
      <c r="E72" s="16" t="n"/>
      <c r="F72" s="16" t="n"/>
    </row>
    <row r="73">
      <c r="A73" s="6" t="inlineStr">
        <is>
          <t>Secured overnight financing rate</t>
        </is>
      </c>
      <c r="C73" s="21">
        <f>Assumptions!$C$24</f>
        <v/>
      </c>
    </row>
    <row r="74">
      <c r="A74" s="6" t="inlineStr">
        <is>
          <t>Parent revolving credit facility margin</t>
        </is>
      </c>
      <c r="C74" s="21">
        <f>Assumptions!$C$25</f>
        <v/>
      </c>
    </row>
    <row r="75">
      <c r="A75" s="6" t="inlineStr">
        <is>
          <t>METHOD 1 — parent revolving facility rate drawn January 2026</t>
        </is>
      </c>
      <c r="C75" s="56">
        <f>C73+C74</f>
        <v/>
      </c>
    </row>
    <row r="76">
      <c r="A76" s="6" t="inlineStr">
        <is>
          <t>Third-party bank loans — low end of the disclosed range</t>
        </is>
      </c>
      <c r="C76" s="21">
        <f>Assumptions!$C$26</f>
        <v/>
      </c>
    </row>
    <row r="77">
      <c r="A77" s="6" t="inlineStr">
        <is>
          <t>Third-party bank loans — high end of the disclosed range</t>
        </is>
      </c>
      <c r="C77" s="21">
        <f>Assumptions!$C$27</f>
        <v/>
      </c>
    </row>
    <row r="78">
      <c r="A78" s="6" t="inlineStr">
        <is>
          <t>Bank-loan midpoint</t>
        </is>
      </c>
      <c r="C78" s="56">
        <f>(C76+C77)/2</f>
        <v/>
      </c>
    </row>
    <row r="79">
      <c r="A79" s="6" t="inlineStr">
        <is>
          <t>Other third-party borrowings — low end of the disclosed range</t>
        </is>
      </c>
      <c r="C79" s="21">
        <f>Assumptions!$C$28</f>
        <v/>
      </c>
    </row>
    <row r="80">
      <c r="A80" s="6" t="inlineStr">
        <is>
          <t>Other third-party borrowings — high end of the disclosed range</t>
        </is>
      </c>
      <c r="C80" s="21">
        <f>Assumptions!$C$29</f>
        <v/>
      </c>
    </row>
    <row r="81">
      <c r="A81" s="6" t="inlineStr">
        <is>
          <t>Other-borrowings midpoint</t>
        </is>
      </c>
      <c r="C81" s="56">
        <f>(C79+C80)/2</f>
        <v/>
      </c>
    </row>
    <row r="82">
      <c r="A82" s="6" t="inlineStr">
        <is>
          <t>Third-party blended rate — the two midpoints averaged</t>
        </is>
      </c>
      <c r="C82" s="56">
        <f>(C78+C81)/2</f>
        <v/>
      </c>
    </row>
    <row r="83">
      <c r="A83" s="6" t="inlineStr">
        <is>
          <t>Lease interest charged in 2025 (USD 000)</t>
        </is>
      </c>
      <c r="C83" s="20">
        <f>Assumptions!$C$30</f>
        <v/>
      </c>
    </row>
    <row r="84">
      <c r="A84" s="6" t="inlineStr">
        <is>
          <t>Lease liabilities, opening balance (USD 000)</t>
        </is>
      </c>
      <c r="C84" s="20">
        <f>Assumptions!$C$31</f>
        <v/>
      </c>
    </row>
    <row r="85">
      <c r="A85" s="6" t="inlineStr">
        <is>
          <t>Lease liabilities, closing balance (USD 000)</t>
        </is>
      </c>
      <c r="C85" s="20">
        <f>Assumptions!$C$32</f>
        <v/>
      </c>
    </row>
    <row r="86">
      <c r="A86" s="6" t="inlineStr">
        <is>
          <t>Implied lease borrowing rate — interest over the average balance</t>
        </is>
      </c>
      <c r="C86" s="56">
        <f>C83/((C84+C85)/2)</f>
        <v/>
      </c>
    </row>
    <row r="87">
      <c r="A87" s="6" t="inlineStr">
        <is>
          <t>Shareholder loan at 31 March 2026 (USD 000)</t>
        </is>
      </c>
      <c r="C87" s="20">
        <f>Assumptions!$C$33</f>
        <v/>
      </c>
    </row>
    <row r="88">
      <c r="A88" s="6" t="inlineStr">
        <is>
          <t>Third-party borrowings at 31 March 2026 (USD 000)</t>
        </is>
      </c>
      <c r="C88" s="20">
        <f>Assumptions!$C$34</f>
        <v/>
      </c>
    </row>
    <row r="89">
      <c r="A89" s="6" t="inlineStr">
        <is>
          <t>Lease liabilities at 31 March 2026 (USD 000)</t>
        </is>
      </c>
      <c r="C89" s="20">
        <f>Assumptions!$C$35</f>
        <v/>
      </c>
    </row>
    <row r="90">
      <c r="A90" s="6" t="inlineStr">
        <is>
          <t>Borrowings at 31 March 2026 (USD 000)</t>
        </is>
      </c>
      <c r="C90" s="33">
        <f>C87+C88+C89</f>
        <v/>
      </c>
    </row>
    <row r="91">
      <c r="A91" s="6" t="inlineStr">
        <is>
          <t>METHOD 2 — the instruments actually outstanding, weighted by balance</t>
        </is>
      </c>
      <c r="C91" s="56">
        <f>(C87*C75+C88*C82+C89*C86)/C90</f>
        <v/>
      </c>
    </row>
    <row r="92">
      <c r="A92" s="6" t="inlineStr">
        <is>
          <t>METHOD 3 — the disclosed third-party bank-loan midpoint</t>
        </is>
      </c>
      <c r="C92" s="56">
        <f>C78</f>
        <v/>
      </c>
    </row>
    <row r="93">
      <c r="A93"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3" s="16" t="n"/>
      <c r="C93" s="57">
        <f>C91</f>
        <v/>
      </c>
      <c r="D93" s="16" t="n"/>
    </row>
    <row r="94">
      <c r="A94" s="6" t="inlineStr">
        <is>
          <t>MEMORANDUM — the retired average of the three constructions, which reproduces from no set of balances and rates and is shown so a reader can see what the previous construction said</t>
        </is>
      </c>
      <c r="C94" s="56">
        <f>AVERAGE(C75,C91,C92)</f>
        <v/>
      </c>
    </row>
    <row r="95">
      <c r="A95" s="6" t="inlineStr">
        <is>
          <t>Statutory corporate tax rate</t>
        </is>
      </c>
      <c r="C95" s="8">
        <f>Assumptions!$C$21</f>
        <v/>
      </c>
    </row>
    <row r="96">
      <c r="A96" s="6" t="inlineStr">
        <is>
          <t>Cost of debt after tax</t>
        </is>
      </c>
      <c r="C96" s="56">
        <f>C93*(1-C95)</f>
        <v/>
      </c>
    </row>
    <row r="97">
      <c r="A97" s="11" t="inlineStr">
        <is>
          <t>WEIGHTS AND THE COST OF CAPITAL — EQUITY, DEBT AND THE PERPETUAL SECURITIES</t>
        </is>
      </c>
      <c r="B97" s="16" t="n"/>
      <c r="C97" s="16" t="n"/>
      <c r="D97" s="16" t="n"/>
      <c r="E97" s="16" t="n"/>
      <c r="F97" s="16" t="n"/>
    </row>
    <row r="98">
      <c r="A98" s="6" t="inlineStr">
        <is>
          <t>Market capitalisation (USD 000)</t>
        </is>
      </c>
      <c r="C98" s="33">
        <f>Assumptions!$C$5/Assumptions!$C$7*Assumptions!$C$6*1000</f>
        <v/>
      </c>
    </row>
    <row r="99">
      <c r="A99" s="6" t="inlineStr">
        <is>
          <t>Borrowings at 31 March 2026 (USD 000)</t>
        </is>
      </c>
      <c r="C99" s="33">
        <f>C90</f>
        <v/>
      </c>
    </row>
    <row r="100">
      <c r="A100" s="6" t="inlineStr">
        <is>
          <t>Perpetual capital securities at carrying value (USD 000)</t>
        </is>
      </c>
      <c r="C100" s="20">
        <f>Assumptions!$C$181</f>
        <v/>
      </c>
    </row>
    <row r="101">
      <c r="A101" s="6" t="inlineStr">
        <is>
          <t>Total capital (USD 000)</t>
        </is>
      </c>
      <c r="C101" s="33">
        <f>C98+C99+C100</f>
        <v/>
      </c>
    </row>
    <row r="102">
      <c r="A102" s="6" t="inlineStr">
        <is>
          <t>Equity weight — market capitalisation over the total</t>
        </is>
      </c>
      <c r="C102" s="56">
        <f>C98/C101</f>
        <v/>
      </c>
    </row>
    <row r="103">
      <c r="A103" s="6" t="inlineStr">
        <is>
          <t>Debt weight</t>
        </is>
      </c>
      <c r="C103" s="56">
        <f>C99/C101</f>
        <v/>
      </c>
    </row>
    <row r="104">
      <c r="A104" s="6" t="inlineStr">
        <is>
          <t>Perpetual capital securities weight</t>
        </is>
      </c>
      <c r="C104" s="56">
        <f>C100/C101</f>
        <v/>
      </c>
    </row>
    <row r="105">
      <c r="A105" s="6" t="inlineStr">
        <is>
          <t>Cost of the perpetual capital securities — their own coupon. It is not tax-deductible, because it is an equity distribution, so it is not taxed down</t>
        </is>
      </c>
      <c r="C105" s="56">
        <f>C73+Assumptions!$C$182</f>
        <v/>
      </c>
    </row>
    <row r="106">
      <c r="A106" s="16" t="inlineStr">
        <is>
          <t>Cost of capital — explicit window</t>
        </is>
      </c>
      <c r="B106" s="16" t="n"/>
      <c r="C106" s="57">
        <f>C102*C70+C103*C96+C104*C105</f>
        <v/>
      </c>
      <c r="D106" s="16" t="n"/>
    </row>
    <row r="107">
      <c r="A107" s="6" t="inlineStr">
        <is>
          <t>Terminal risk-free rate</t>
        </is>
      </c>
      <c r="C107" s="21">
        <f>Assumptions!$C$20</f>
        <v/>
      </c>
    </row>
    <row r="108">
      <c r="A108" s="6" t="inlineStr">
        <is>
          <t>Terminal cost of equity</t>
        </is>
      </c>
      <c r="C108" s="56">
        <f>C107+C68*C69</f>
        <v/>
      </c>
    </row>
    <row r="109">
      <c r="A109" s="6" t="inlineStr">
        <is>
          <t>Terminal cost of debt — the same spread over the terminal rate</t>
        </is>
      </c>
      <c r="C109" s="56">
        <f>C107+(C93-C67)</f>
        <v/>
      </c>
    </row>
    <row r="110">
      <c r="A110" s="6" t="inlineStr">
        <is>
          <t>Terminal cost of debt after tax</t>
        </is>
      </c>
      <c r="C110" s="56">
        <f>C109*(1-C95)</f>
        <v/>
      </c>
    </row>
    <row r="111">
      <c r="A111" s="6" t="inlineStr">
        <is>
          <t>Terminal cost of the perpetual securities — the coupon floats, so it normalises with the risk-free rate</t>
        </is>
      </c>
      <c r="C111" s="56">
        <f>C107+Assumptions!$C$182</f>
        <v/>
      </c>
    </row>
    <row r="112">
      <c r="A112" s="16" t="inlineStr">
        <is>
          <t>Terminal cost of capital</t>
        </is>
      </c>
      <c r="B112" s="16" t="n"/>
      <c r="C112" s="57">
        <f>C102*C108+C103*C110+C104*C111</f>
        <v/>
      </c>
      <c r="D112" s="16" t="n"/>
    </row>
    <row r="113">
      <c r="A113"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4">
      <c r="A114" s="11" t="inlineStr">
        <is>
          <t>THE CONTESTED JUDGEMENT — THE SAME MODEL ON THE COMPOSITE-INDEX BETA</t>
        </is>
      </c>
      <c r="B114" s="16" t="n"/>
      <c r="C114" s="16" t="n"/>
      <c r="D114" s="16" t="n"/>
      <c r="E114" s="16" t="n"/>
      <c r="F114" s="16" t="n"/>
    </row>
    <row r="115">
      <c r="A115" s="6" t="inlineStr">
        <is>
          <t>Beta against an equal-weight composite of the exchange's names — the disclosed alternative construction</t>
        </is>
      </c>
      <c r="C115" s="25">
        <f>Assumptions!$C$15</f>
        <v/>
      </c>
    </row>
    <row r="116">
      <c r="A116" s="6" t="inlineStr">
        <is>
          <t>Cost of equity on the composite-index beta</t>
        </is>
      </c>
      <c r="C116" s="56">
        <f>C67+C115*C69</f>
        <v/>
      </c>
    </row>
    <row r="117">
      <c r="A117" s="6" t="inlineStr">
        <is>
          <t>Terminal cost of equity on the composite-index beta</t>
        </is>
      </c>
      <c r="C117" s="56">
        <f>C107+C115*C69</f>
        <v/>
      </c>
    </row>
    <row r="118">
      <c r="A118" s="6" t="inlineStr">
        <is>
          <t>Cost of capital — explicit window, composite-index beta. Only the cost of EQUITY changes: the same three tranches of capital are carried, because how the market is measured does not change what the company is financed with</t>
        </is>
      </c>
      <c r="C118" s="56">
        <f>C102*C116+C103*C96+C104*C105</f>
        <v/>
      </c>
    </row>
    <row r="119">
      <c r="A119" s="6" t="inlineStr">
        <is>
          <t>Terminal cost of capital, composite-index beta</t>
        </is>
      </c>
      <c r="C119" s="56">
        <f>C102*C117+C103*C110+C104*C111</f>
        <v/>
      </c>
    </row>
    <row r="121">
      <c r="A121" s="11" t="inlineStr">
        <is>
          <t>HOW PRECISE THE PRIMARY BETA IS — THE INTERVAL AROUND IT, PRICED</t>
        </is>
      </c>
      <c r="B121" s="16" t="n"/>
      <c r="C121" s="16" t="n"/>
      <c r="D121" s="16" t="n"/>
      <c r="E121" s="16" t="n"/>
      <c r="F121" s="16" t="n"/>
    </row>
    <row r="122">
      <c r="A122" s="6" t="inlineStr">
        <is>
          <t>Beta — lower bound of the 90% confidence interval on the primary regression</t>
        </is>
      </c>
      <c r="C122" s="25">
        <f>Assumptions!$C$16</f>
        <v/>
      </c>
    </row>
    <row r="123">
      <c r="A123" s="6" t="inlineStr">
        <is>
          <t>Beta — upper bound of the 90% confidence interval on the primary regression</t>
        </is>
      </c>
      <c r="C123" s="25">
        <f>Assumptions!$C$17</f>
        <v/>
      </c>
    </row>
    <row r="124">
      <c r="A124" s="6" t="inlineStr">
        <is>
          <t>Cost of equity at the lower confidence bound — the bull-case discount rate</t>
        </is>
      </c>
      <c r="C124" s="56">
        <f>C67+C122*C69</f>
        <v/>
      </c>
    </row>
    <row r="125">
      <c r="A125" s="6" t="inlineStr">
        <is>
          <t>Cost of equity at the upper confidence bound — the bear-case discount rate</t>
        </is>
      </c>
      <c r="C125" s="56">
        <f>C67+C123*C69</f>
        <v/>
      </c>
    </row>
    <row r="126">
      <c r="A126" s="6" t="inlineStr">
        <is>
          <t>Beta — the measured slope shrunk toward the market, two-thirds of it plus one-third of 1.0</t>
        </is>
      </c>
      <c r="C126" s="25">
        <f>Assumptions!$C$18</f>
        <v/>
      </c>
    </row>
    <row r="127">
      <c r="A127" s="6" t="inlineStr">
        <is>
          <t>Cost of equity on the slope shrunk toward the market</t>
        </is>
      </c>
      <c r="C127" s="56">
        <f>C67+C126*C69</f>
        <v/>
      </c>
    </row>
    <row r="129">
      <c r="A129" s="5" t="inlineStr">
        <is>
          <t>The same cash flows, discounted at the composite-index cost of capital</t>
        </is>
      </c>
      <c r="B129" s="5" t="inlineStr">
        <is>
          <t>FY2026E</t>
        </is>
      </c>
      <c r="C129" s="5" t="inlineStr">
        <is>
          <t>FY2027E</t>
        </is>
      </c>
      <c r="D129" s="5" t="inlineStr">
        <is>
          <t>FY2028E</t>
        </is>
      </c>
      <c r="E129" s="5" t="inlineStr">
        <is>
          <t>FY2029E</t>
        </is>
      </c>
      <c r="F129" s="5" t="inlineStr">
        <is>
          <t>FY2030E</t>
        </is>
      </c>
    </row>
    <row r="130">
      <c r="A130" s="6" t="inlineStr">
        <is>
          <t>Forward cost of capital — the glide</t>
        </is>
      </c>
      <c r="B130" s="56">
        <f>$C$118+($C$119-$C$118)*1/5</f>
        <v/>
      </c>
      <c r="C130" s="56">
        <f>$C$118+($C$119-$C$118)*2/5</f>
        <v/>
      </c>
      <c r="D130" s="56">
        <f>$C$118+($C$119-$C$118)*3/5</f>
        <v/>
      </c>
      <c r="E130" s="56">
        <f>$C$118+($C$119-$C$118)*4/5</f>
        <v/>
      </c>
      <c r="F130" s="56">
        <f>$C$118+($C$119-$C$118)*5/5</f>
        <v/>
      </c>
    </row>
    <row r="131">
      <c r="A131" s="6" t="inlineStr">
        <is>
          <t>Discount factor</t>
        </is>
      </c>
      <c r="B131" s="54">
        <f>1/(1+B130)^Assumptions!$C$8</f>
        <v/>
      </c>
      <c r="C131" s="54">
        <f>B131/(1+C130)</f>
        <v/>
      </c>
      <c r="D131" s="54">
        <f>C131/(1+D130)</f>
        <v/>
      </c>
      <c r="E131" s="54">
        <f>D131/(1+E130)</f>
        <v/>
      </c>
      <c r="F131" s="54">
        <f>E131/(1+F130)</f>
        <v/>
      </c>
    </row>
    <row r="132">
      <c r="A132" s="6" t="inlineStr">
        <is>
          <t>Present value of free cash flow</t>
        </is>
      </c>
      <c r="B132" s="33">
        <f>B17*B131</f>
        <v/>
      </c>
      <c r="C132" s="33">
        <f>C17*C131</f>
        <v/>
      </c>
      <c r="D132" s="33">
        <f>D17*D131</f>
        <v/>
      </c>
      <c r="E132" s="33">
        <f>E17*E131</f>
        <v/>
      </c>
      <c r="F132" s="33">
        <f>F17*F131</f>
        <v/>
      </c>
    </row>
    <row r="133">
      <c r="A133" s="6" t="inlineStr">
        <is>
          <t>Present value of the five forecast years</t>
        </is>
      </c>
      <c r="C133" s="33">
        <f>SUM(B132:F132)</f>
        <v/>
      </c>
    </row>
    <row r="134">
      <c r="A134" s="6" t="inlineStr">
        <is>
          <t>Terminal value</t>
        </is>
      </c>
      <c r="C134" s="33">
        <f>C43*(1-C42)/(C119-C39)</f>
        <v/>
      </c>
    </row>
    <row r="135">
      <c r="A135" s="6" t="inlineStr">
        <is>
          <t>Present value of the terminal value</t>
        </is>
      </c>
      <c r="C135" s="33">
        <f>C134*F131</f>
        <v/>
      </c>
    </row>
    <row r="136">
      <c r="A136" s="6" t="inlineStr">
        <is>
          <t>Enterprise value of operations</t>
        </is>
      </c>
      <c r="C136" s="33">
        <f>C133+C135</f>
        <v/>
      </c>
    </row>
    <row r="137">
      <c r="A137" s="6" t="inlineStr">
        <is>
          <t>Terminal value as a share of enterprise value</t>
        </is>
      </c>
      <c r="C137" s="10">
        <f>C135/C136</f>
        <v/>
      </c>
    </row>
    <row r="138">
      <c r="A138" s="6" t="inlineStr">
        <is>
          <t>Enterprise value</t>
        </is>
      </c>
      <c r="C138" s="33">
        <f>C136+C49</f>
        <v/>
      </c>
    </row>
    <row r="139">
      <c r="A139" s="6" t="inlineStr">
        <is>
          <t>Equity value before the minorities</t>
        </is>
      </c>
      <c r="C139" s="33">
        <f>C138+C51+C52+C53+C54+C55</f>
        <v/>
      </c>
    </row>
    <row r="140">
      <c r="A140" s="6" t="inlineStr">
        <is>
          <t>Less non-controlling interests — the same two-part deduction</t>
        </is>
      </c>
      <c r="C140" s="33">
        <f>-(C57+MAX(C58,C139*C59))</f>
        <v/>
      </c>
    </row>
    <row r="141">
      <c r="A141" s="6" t="inlineStr">
        <is>
          <t>Equity attributable to ordinary shareholders</t>
        </is>
      </c>
      <c r="C141" s="33">
        <f>C139+C140</f>
        <v/>
      </c>
    </row>
    <row r="142">
      <c r="A142" s="16" t="inlineStr">
        <is>
          <t>Fair value per share (AED) — composite-index beta</t>
        </is>
      </c>
      <c r="B142" s="16" t="n"/>
      <c r="C142" s="17">
        <f>C141/Assumptions!$C$6/1000*Assumptions!$C$7</f>
        <v/>
      </c>
      <c r="D142" s="16" t="n"/>
    </row>
    <row r="144">
      <c r="A144"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3">
        <f>Segments!B12</f>
        <v/>
      </c>
      <c r="C5" s="43">
        <f>Segments!C12</f>
        <v/>
      </c>
      <c r="D5" s="43">
        <f>Segments!D12</f>
        <v/>
      </c>
      <c r="E5" s="43">
        <f>DCF!B5</f>
        <v/>
      </c>
      <c r="F5" s="43">
        <f>DCF!C5</f>
        <v/>
      </c>
      <c r="G5" s="43">
        <f>DCF!D5</f>
        <v/>
      </c>
      <c r="H5" s="43">
        <f>DCF!E5</f>
        <v/>
      </c>
      <c r="I5" s="43">
        <f>DCF!F5</f>
        <v/>
      </c>
    </row>
    <row r="6">
      <c r="A6" s="6" t="inlineStr">
        <is>
          <t>Direct costs</t>
        </is>
      </c>
      <c r="B6" s="29" t="n">
        <v>-2003225</v>
      </c>
      <c r="C6" s="29" t="n">
        <v>-2608784</v>
      </c>
      <c r="D6" s="29" t="n">
        <v>-3908236</v>
      </c>
      <c r="E6" s="33" t="inlineStr">
        <is>
          <t>-</t>
        </is>
      </c>
      <c r="F6" s="33" t="inlineStr">
        <is>
          <t>-</t>
        </is>
      </c>
      <c r="G6" s="33" t="inlineStr">
        <is>
          <t>-</t>
        </is>
      </c>
      <c r="H6" s="33" t="inlineStr">
        <is>
          <t>-</t>
        </is>
      </c>
      <c r="I6" s="33" t="inlineStr">
        <is>
          <t>-</t>
        </is>
      </c>
    </row>
    <row r="7">
      <c r="A7" s="6" t="inlineStr">
        <is>
          <t>Gross profit</t>
        </is>
      </c>
      <c r="B7" s="33">
        <f>B5+B6</f>
        <v/>
      </c>
      <c r="C7" s="33">
        <f>C5+C6</f>
        <v/>
      </c>
      <c r="D7" s="33">
        <f>D5+D6</f>
        <v/>
      </c>
      <c r="E7" s="33" t="inlineStr">
        <is>
          <t>-</t>
        </is>
      </c>
      <c r="F7" s="33" t="inlineStr">
        <is>
          <t>-</t>
        </is>
      </c>
      <c r="G7" s="33" t="inlineStr">
        <is>
          <t>-</t>
        </is>
      </c>
      <c r="H7" s="33" t="inlineStr">
        <is>
          <t>-</t>
        </is>
      </c>
      <c r="I7" s="33" t="inlineStr">
        <is>
          <t>-</t>
        </is>
      </c>
    </row>
    <row r="8">
      <c r="A8" s="6" t="inlineStr">
        <is>
          <t>General and administrative expenses</t>
        </is>
      </c>
      <c r="B8" s="29" t="n">
        <v>-146436</v>
      </c>
      <c r="C8" s="29" t="n">
        <v>-141522</v>
      </c>
      <c r="D8" s="29" t="n">
        <v>-204983</v>
      </c>
      <c r="E8" s="33" t="inlineStr">
        <is>
          <t>-</t>
        </is>
      </c>
      <c r="F8" s="33" t="inlineStr">
        <is>
          <t>-</t>
        </is>
      </c>
      <c r="G8" s="33" t="inlineStr">
        <is>
          <t>-</t>
        </is>
      </c>
      <c r="H8" s="33" t="inlineStr">
        <is>
          <t>-</t>
        </is>
      </c>
      <c r="I8" s="33" t="inlineStr">
        <is>
          <t>-</t>
        </is>
      </c>
    </row>
    <row r="9">
      <c r="A9" s="6" t="inlineStr">
        <is>
          <t>Expected credit losses</t>
        </is>
      </c>
      <c r="B9" s="29" t="n">
        <v>-2672</v>
      </c>
      <c r="C9" s="29" t="n">
        <v>2649</v>
      </c>
      <c r="D9" s="29" t="n">
        <v>-9590</v>
      </c>
      <c r="E9" s="33" t="inlineStr">
        <is>
          <t>-</t>
        </is>
      </c>
      <c r="F9" s="33" t="inlineStr">
        <is>
          <t>-</t>
        </is>
      </c>
      <c r="G9" s="33" t="inlineStr">
        <is>
          <t>-</t>
        </is>
      </c>
      <c r="H9" s="33" t="inlineStr">
        <is>
          <t>-</t>
        </is>
      </c>
      <c r="I9" s="33" t="inlineStr">
        <is>
          <t>-</t>
        </is>
      </c>
    </row>
    <row r="10">
      <c r="A10" s="6" t="inlineStr">
        <is>
          <t>Other income</t>
        </is>
      </c>
      <c r="B10" s="29" t="n">
        <v>10865</v>
      </c>
      <c r="C10" s="29" t="n">
        <v>19896</v>
      </c>
      <c r="D10" s="29" t="n">
        <v>50459</v>
      </c>
      <c r="E10" s="33" t="inlineStr">
        <is>
          <t>-</t>
        </is>
      </c>
      <c r="F10" s="33" t="inlineStr">
        <is>
          <t>-</t>
        </is>
      </c>
      <c r="G10" s="33" t="inlineStr">
        <is>
          <t>-</t>
        </is>
      </c>
      <c r="H10" s="33" t="inlineStr">
        <is>
          <t>-</t>
        </is>
      </c>
      <c r="I10" s="33" t="inlineStr">
        <is>
          <t>-</t>
        </is>
      </c>
    </row>
    <row r="11">
      <c r="A11" s="6" t="inlineStr">
        <is>
          <t>Other expenses</t>
        </is>
      </c>
      <c r="B11" s="29" t="n">
        <v>0</v>
      </c>
      <c r="C11" s="29" t="n">
        <v>-4310</v>
      </c>
      <c r="D11" s="29" t="n">
        <v>0</v>
      </c>
      <c r="E11" s="33" t="inlineStr">
        <is>
          <t>-</t>
        </is>
      </c>
      <c r="F11" s="33" t="inlineStr">
        <is>
          <t>-</t>
        </is>
      </c>
      <c r="G11" s="33" t="inlineStr">
        <is>
          <t>-</t>
        </is>
      </c>
      <c r="H11" s="33" t="inlineStr">
        <is>
          <t>-</t>
        </is>
      </c>
      <c r="I11" s="33" t="inlineStr">
        <is>
          <t>-</t>
        </is>
      </c>
    </row>
    <row r="12">
      <c r="A12" s="16" t="inlineStr">
        <is>
          <t>Operating profit</t>
        </is>
      </c>
      <c r="B12" s="43">
        <f>B7+B8+B9+B10+B11</f>
        <v/>
      </c>
      <c r="C12" s="43">
        <f>C7+C8+C9+C10+C11</f>
        <v/>
      </c>
      <c r="D12" s="43">
        <f>D7+D8+D9+D10+D11</f>
        <v/>
      </c>
      <c r="E12" s="43">
        <f>E14-E13</f>
        <v/>
      </c>
      <c r="F12" s="43">
        <f>F14-F13</f>
        <v/>
      </c>
      <c r="G12" s="43">
        <f>G14-G13</f>
        <v/>
      </c>
      <c r="H12" s="43">
        <f>H14-H13</f>
        <v/>
      </c>
      <c r="I12" s="43">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3">
        <f>B12+B13</f>
        <v/>
      </c>
      <c r="C14" s="43">
        <f>C12+C13</f>
        <v/>
      </c>
      <c r="D14" s="43">
        <f>D12+D13</f>
        <v/>
      </c>
      <c r="E14" s="43">
        <f>DCF!B6</f>
        <v/>
      </c>
      <c r="F14" s="43">
        <f>DCF!C6</f>
        <v/>
      </c>
      <c r="G14" s="43">
        <f>DCF!D6</f>
        <v/>
      </c>
      <c r="H14" s="43">
        <f>DCF!E6</f>
        <v/>
      </c>
      <c r="I14" s="43">
        <f>DCF!F6</f>
        <v/>
      </c>
    </row>
    <row r="15">
      <c r="A15" s="6" t="inlineStr">
        <is>
          <t>Add share of joint ventures and one-off gains carried in reported EBITDA</t>
        </is>
      </c>
      <c r="B15" s="33">
        <f>B19+B20+B21</f>
        <v/>
      </c>
      <c r="C15" s="33">
        <f>C19+C20+C21</f>
        <v/>
      </c>
      <c r="D15" s="33">
        <f>D19+D20+D21</f>
        <v/>
      </c>
      <c r="E15" s="33" t="inlineStr">
        <is>
          <t>-</t>
        </is>
      </c>
      <c r="F15" s="33" t="inlineStr">
        <is>
          <t>-</t>
        </is>
      </c>
      <c r="G15" s="33" t="inlineStr">
        <is>
          <t>-</t>
        </is>
      </c>
      <c r="H15" s="33" t="inlineStr">
        <is>
          <t>-</t>
        </is>
      </c>
      <c r="I15" s="33" t="inlineStr">
        <is>
          <t>-</t>
        </is>
      </c>
    </row>
    <row r="16">
      <c r="A16" s="6" t="inlineStr">
        <is>
          <t>EBITDA as reported</t>
        </is>
      </c>
      <c r="B16" s="33">
        <f>B14+B15</f>
        <v/>
      </c>
      <c r="C16" s="33">
        <f>C14+C15</f>
        <v/>
      </c>
      <c r="D16" s="33">
        <f>D14+D15</f>
        <v/>
      </c>
      <c r="E16" s="33">
        <f>E14</f>
        <v/>
      </c>
      <c r="F16" s="33">
        <f>F14</f>
        <v/>
      </c>
      <c r="G16" s="33">
        <f>G14</f>
        <v/>
      </c>
      <c r="H16" s="33">
        <f>H14</f>
        <v/>
      </c>
      <c r="I16" s="33">
        <f>I14</f>
        <v/>
      </c>
    </row>
    <row r="17">
      <c r="A17" s="6" t="inlineStr">
        <is>
          <t>Total operating costs</t>
        </is>
      </c>
      <c r="B17" s="33">
        <f>B5-B14</f>
        <v/>
      </c>
      <c r="C17" s="33">
        <f>C5-C14</f>
        <v/>
      </c>
      <c r="D17" s="33">
        <f>D5-D14</f>
        <v/>
      </c>
      <c r="E17" s="33">
        <f>E5-E14</f>
        <v/>
      </c>
      <c r="F17" s="33">
        <f>F5-F14</f>
        <v/>
      </c>
      <c r="G17" s="33">
        <f>G5-G14</f>
        <v/>
      </c>
      <c r="H17" s="33">
        <f>H5-H14</f>
        <v/>
      </c>
      <c r="I17" s="33">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3" t="inlineStr">
        <is>
          <t>-</t>
        </is>
      </c>
      <c r="F19" s="33" t="inlineStr">
        <is>
          <t>-</t>
        </is>
      </c>
      <c r="G19" s="33" t="inlineStr">
        <is>
          <t>-</t>
        </is>
      </c>
      <c r="H19" s="33" t="inlineStr">
        <is>
          <t>-</t>
        </is>
      </c>
      <c r="I19" s="33" t="inlineStr">
        <is>
          <t>-</t>
        </is>
      </c>
    </row>
    <row r="20">
      <c r="A20" s="6" t="inlineStr">
        <is>
          <t>Gain on bargain purchase</t>
        </is>
      </c>
      <c r="B20" s="29" t="n">
        <v>0</v>
      </c>
      <c r="C20" s="29" t="n">
        <v>0</v>
      </c>
      <c r="D20" s="29" t="n">
        <v>12056</v>
      </c>
      <c r="E20" s="33" t="inlineStr">
        <is>
          <t>-</t>
        </is>
      </c>
      <c r="F20" s="33" t="inlineStr">
        <is>
          <t>-</t>
        </is>
      </c>
      <c r="G20" s="33" t="inlineStr">
        <is>
          <t>-</t>
        </is>
      </c>
      <c r="H20" s="33" t="inlineStr">
        <is>
          <t>-</t>
        </is>
      </c>
      <c r="I20" s="33" t="inlineStr">
        <is>
          <t>-</t>
        </is>
      </c>
    </row>
    <row r="21">
      <c r="A21" s="6" t="inlineStr">
        <is>
          <t>Loss on the previously held interest</t>
        </is>
      </c>
      <c r="B21" s="29" t="n">
        <v>0</v>
      </c>
      <c r="C21" s="29" t="n">
        <v>0</v>
      </c>
      <c r="D21" s="29" t="n">
        <v>-3398</v>
      </c>
      <c r="E21" s="33" t="inlineStr">
        <is>
          <t>-</t>
        </is>
      </c>
      <c r="F21" s="33" t="inlineStr">
        <is>
          <t>-</t>
        </is>
      </c>
      <c r="G21" s="33" t="inlineStr">
        <is>
          <t>-</t>
        </is>
      </c>
      <c r="H21" s="33" t="inlineStr">
        <is>
          <t>-</t>
        </is>
      </c>
      <c r="I21" s="33" t="inlineStr">
        <is>
          <t>-</t>
        </is>
      </c>
    </row>
    <row r="22">
      <c r="A22" s="6" t="inlineStr">
        <is>
          <t>Finance income</t>
        </is>
      </c>
      <c r="B22" s="29" t="n">
        <v>9785</v>
      </c>
      <c r="C22" s="29" t="n">
        <v>15594</v>
      </c>
      <c r="D22" s="29" t="n">
        <v>18959</v>
      </c>
      <c r="E22" s="20">
        <f>Assumptions!$C$24*Assumptions!$C$188</f>
        <v/>
      </c>
      <c r="F22" s="20">
        <f>Assumptions!$C$24*Assumptions!$C$188</f>
        <v/>
      </c>
      <c r="G22" s="20">
        <f>Assumptions!$C$24*Assumptions!$C$188</f>
        <v/>
      </c>
      <c r="H22" s="20">
        <f>Assumptions!$C$24*Assumptions!$C$188</f>
        <v/>
      </c>
      <c r="I22" s="20">
        <f>Assumptions!$C$24*Assumptions!$C$188</f>
        <v/>
      </c>
    </row>
    <row r="23">
      <c r="A23" s="6" t="inlineStr">
        <is>
          <t>Finance costs</t>
        </is>
      </c>
      <c r="B23" s="29" t="n">
        <v>-15098</v>
      </c>
      <c r="C23" s="29" t="n">
        <v>-18034</v>
      </c>
      <c r="D23" s="29" t="n">
        <v>-87143</v>
      </c>
      <c r="E23" s="20">
        <f>-DCF!$C$93*'Balance Sheet'!B54</f>
        <v/>
      </c>
      <c r="F23" s="20">
        <f>-DCF!$C$93*'Balance Sheet'!C54</f>
        <v/>
      </c>
      <c r="G23" s="20">
        <f>-DCF!$C$93*'Balance Sheet'!D54</f>
        <v/>
      </c>
      <c r="H23" s="20">
        <f>-DCF!$C$93*'Balance Sheet'!E54</f>
        <v/>
      </c>
      <c r="I23" s="20">
        <f>-DCF!$C$93*'Balance Sheet'!F54</f>
        <v/>
      </c>
    </row>
    <row r="24">
      <c r="A24" s="16" t="inlineStr">
        <is>
          <t>Profit before tax</t>
        </is>
      </c>
      <c r="B24" s="43">
        <f>B12+B19+B20+B21+B22+B23</f>
        <v/>
      </c>
      <c r="C24" s="43">
        <f>C12+C19+C20+C21+C22+C23</f>
        <v/>
      </c>
      <c r="D24" s="43">
        <f>D12+D19+D20+D21+D22+D23</f>
        <v/>
      </c>
      <c r="E24" s="43">
        <f>E12+E22+E23</f>
        <v/>
      </c>
      <c r="F24" s="43">
        <f>F12+F22+F23</f>
        <v/>
      </c>
      <c r="G24" s="43">
        <f>G12+G22+G23</f>
        <v/>
      </c>
      <c r="H24" s="43">
        <f>H12+H22+H23</f>
        <v/>
      </c>
      <c r="I24" s="43">
        <f>I12+I22+I23</f>
        <v/>
      </c>
    </row>
    <row r="25">
      <c r="A25" s="6" t="inlineStr">
        <is>
          <t>Income tax</t>
        </is>
      </c>
      <c r="B25" s="29" t="n">
        <v>-2283</v>
      </c>
      <c r="C25" s="29" t="n">
        <v>-72847</v>
      </c>
      <c r="D25" s="29" t="n">
        <v>-58781</v>
      </c>
      <c r="E25" s="33">
        <f>-E24*DCF!B36</f>
        <v/>
      </c>
      <c r="F25" s="33">
        <f>-F24*DCF!C36</f>
        <v/>
      </c>
      <c r="G25" s="33">
        <f>-G24*DCF!D36</f>
        <v/>
      </c>
      <c r="H25" s="33">
        <f>-H24*DCF!E36</f>
        <v/>
      </c>
      <c r="I25" s="33">
        <f>-I24*DCF!F36</f>
        <v/>
      </c>
    </row>
    <row r="26">
      <c r="A26" s="6" t="inlineStr">
        <is>
          <t>Profit for the year</t>
        </is>
      </c>
      <c r="B26" s="33">
        <f>B24+B25</f>
        <v/>
      </c>
      <c r="C26" s="33">
        <f>C24+C25</f>
        <v/>
      </c>
      <c r="D26" s="33">
        <f>D24+D25</f>
        <v/>
      </c>
      <c r="E26" s="33">
        <f>E24+E25</f>
        <v/>
      </c>
      <c r="F26" s="33">
        <f>F24+F25</f>
        <v/>
      </c>
      <c r="G26" s="33">
        <f>G24+G25</f>
        <v/>
      </c>
      <c r="H26" s="33">
        <f>H24+H25</f>
        <v/>
      </c>
      <c r="I26" s="33">
        <f>I24+I25</f>
        <v/>
      </c>
    </row>
    <row r="27">
      <c r="A27" s="6" t="inlineStr">
        <is>
          <t>Non-controlling interests</t>
        </is>
      </c>
      <c r="B27" s="29" t="n">
        <v>0</v>
      </c>
      <c r="C27" s="29" t="n">
        <v>0</v>
      </c>
      <c r="D27" s="29" t="n">
        <v>-24306</v>
      </c>
      <c r="E27" s="33">
        <f>-E26*Assumptions!$C$185</f>
        <v/>
      </c>
      <c r="F27" s="33">
        <f>-F26*Assumptions!$C$185</f>
        <v/>
      </c>
      <c r="G27" s="33">
        <f>-G26*Assumptions!$C$185</f>
        <v/>
      </c>
      <c r="H27" s="33">
        <f>-H26*Assumptions!$C$185</f>
        <v/>
      </c>
      <c r="I27" s="33">
        <f>-I26*Assumptions!$C$185</f>
        <v/>
      </c>
    </row>
    <row r="28">
      <c r="A28" s="16" t="inlineStr">
        <is>
          <t>Profit attributable to shareholders</t>
        </is>
      </c>
      <c r="B28" s="43">
        <f>B26+B27</f>
        <v/>
      </c>
      <c r="C28" s="43">
        <f>C26+C27</f>
        <v/>
      </c>
      <c r="D28" s="43">
        <f>D26+D27</f>
        <v/>
      </c>
      <c r="E28" s="43">
        <f>E26+E27</f>
        <v/>
      </c>
      <c r="F28" s="43">
        <f>F26+F27</f>
        <v/>
      </c>
      <c r="G28" s="43">
        <f>G26+G27</f>
        <v/>
      </c>
      <c r="H28" s="43">
        <f>H26+H27</f>
        <v/>
      </c>
      <c r="I28" s="43">
        <f>I26+I27</f>
        <v/>
      </c>
    </row>
    <row r="29">
      <c r="A29" s="6" t="inlineStr">
        <is>
          <t>Perpetual capital securities coupon</t>
        </is>
      </c>
      <c r="B29" s="29" t="n">
        <v>0</v>
      </c>
      <c r="C29" s="29" t="n">
        <v>0</v>
      </c>
      <c r="D29" s="29" t="n">
        <v>-61333</v>
      </c>
      <c r="E29" s="33">
        <f>-Assumptions!$C$181*(Assumptions!$C$24+Assumptions!$C$182)</f>
        <v/>
      </c>
      <c r="F29" s="33">
        <f>-Assumptions!$C$181*(Assumptions!$C$24+Assumptions!$C$182)</f>
        <v/>
      </c>
      <c r="G29" s="33">
        <f>-Assumptions!$C$181*(Assumptions!$C$24+Assumptions!$C$182)</f>
        <v/>
      </c>
      <c r="H29" s="33">
        <f>-Assumptions!$C$181*(Assumptions!$C$24+Assumptions!$C$182)</f>
        <v/>
      </c>
      <c r="I29" s="33">
        <f>-Assumptions!$C$181*(Assumptions!$C$24+Assumptions!$C$182)</f>
        <v/>
      </c>
    </row>
    <row r="30">
      <c r="A30" s="16" t="inlineStr">
        <is>
          <t>Earnings attributable to ordinary shareholders, AFTER the perpetual capital securities coupon</t>
        </is>
      </c>
      <c r="B30" s="43">
        <f>B28+B29</f>
        <v/>
      </c>
      <c r="C30" s="43">
        <f>C28+C29</f>
        <v/>
      </c>
      <c r="D30" s="43">
        <f>D28+D29</f>
        <v/>
      </c>
      <c r="E30" s="43">
        <f>E28+E29</f>
        <v/>
      </c>
      <c r="F30" s="43">
        <f>F28+F29</f>
        <v/>
      </c>
      <c r="G30" s="43">
        <f>G28+G29</f>
        <v/>
      </c>
      <c r="H30" s="43">
        <f>H28+H29</f>
        <v/>
      </c>
      <c r="I30" s="43">
        <f>I28+I29</f>
        <v/>
      </c>
    </row>
    <row r="31">
      <c r="A31" s="6" t="inlineStr">
        <is>
          <t>Earnings per ordinary share, AFTER the perpetual coupon (USD) — the coupon ranks ahead of the ordinary shares, so it comes out of the numerator</t>
        </is>
      </c>
      <c r="B31" s="53">
        <f>B30/Assumptions!$C$6/1000</f>
        <v/>
      </c>
      <c r="C31" s="53">
        <f>C30/Assumptions!$C$6/1000</f>
        <v/>
      </c>
      <c r="D31" s="53">
        <f>D30/Assumptions!$C$6/1000</f>
        <v/>
      </c>
      <c r="E31" s="53">
        <f>E30/Assumptions!$C$6/1000</f>
        <v/>
      </c>
      <c r="F31" s="53">
        <f>F30/Assumptions!$C$6/1000</f>
        <v/>
      </c>
      <c r="G31" s="53">
        <f>G30/Assumptions!$C$6/1000</f>
        <v/>
      </c>
      <c r="H31" s="53">
        <f>H30/Assumptions!$C$6/1000</f>
        <v/>
      </c>
      <c r="I31" s="53">
        <f>I30/Assumptions!$C$6/1000</f>
        <v/>
      </c>
    </row>
    <row r="32">
      <c r="A32" s="6" t="inlineStr">
        <is>
          <t>Earnings per ordinary share, AFTER the perpetual coupon (AED)</t>
        </is>
      </c>
      <c r="B32" s="53">
        <f>B31*Assumptions!$C$7</f>
        <v/>
      </c>
      <c r="C32" s="53">
        <f>C31*Assumptions!$C$7</f>
        <v/>
      </c>
      <c r="D32" s="53">
        <f>D31*Assumptions!$C$7</f>
        <v/>
      </c>
      <c r="E32" s="53">
        <f>E31*Assumptions!$C$7</f>
        <v/>
      </c>
      <c r="F32" s="53">
        <f>F31*Assumptions!$C$7</f>
        <v/>
      </c>
      <c r="G32" s="53">
        <f>G31*Assumptions!$C$7</f>
        <v/>
      </c>
      <c r="H32" s="53">
        <f>H31*Assumptions!$C$7</f>
        <v/>
      </c>
      <c r="I32" s="53">
        <f>I31*Assumptions!$C$7</f>
        <v/>
      </c>
    </row>
    <row r="33">
      <c r="A33" s="6" t="inlineStr">
        <is>
          <t>Memorandum — earnings per share BEFORE the perpetual coupon (USD), on attributable profit; shown so the two are never confused</t>
        </is>
      </c>
      <c r="B33" s="53">
        <f>B28/Assumptions!$C$6/1000</f>
        <v/>
      </c>
      <c r="C33" s="53">
        <f>C28/Assumptions!$C$6/1000</f>
        <v/>
      </c>
      <c r="D33" s="53">
        <f>D28/Assumptions!$C$6/1000</f>
        <v/>
      </c>
      <c r="E33" s="53">
        <f>E28/Assumptions!$C$6/1000</f>
        <v/>
      </c>
      <c r="F33" s="53">
        <f>F28/Assumptions!$C$6/1000</f>
        <v/>
      </c>
      <c r="G33" s="53">
        <f>G28/Assumptions!$C$6/1000</f>
        <v/>
      </c>
      <c r="H33" s="53">
        <f>H28/Assumptions!$C$6/1000</f>
        <v/>
      </c>
      <c r="I33" s="53">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3">
        <f>B37</f>
        <v/>
      </c>
      <c r="F5" s="33">
        <f>C37</f>
        <v/>
      </c>
      <c r="G5" s="33">
        <f>D37</f>
        <v/>
      </c>
      <c r="H5" s="33">
        <f>E37</f>
        <v/>
      </c>
      <c r="I5" s="33">
        <f>F37</f>
        <v/>
      </c>
    </row>
    <row r="6">
      <c r="A6" s="6" t="inlineStr">
        <is>
          <t>Right-of-use assets</t>
        </is>
      </c>
      <c r="B6" s="29" t="n">
        <v>148146</v>
      </c>
      <c r="C6" s="29" t="n">
        <v>161691</v>
      </c>
      <c r="D6" s="29" t="n">
        <v>225292</v>
      </c>
      <c r="E6" s="33" t="inlineStr">
        <is>
          <t>-</t>
        </is>
      </c>
      <c r="F6" s="33" t="inlineStr">
        <is>
          <t>-</t>
        </is>
      </c>
      <c r="G6" s="33" t="inlineStr">
        <is>
          <t>-</t>
        </is>
      </c>
      <c r="H6" s="33" t="inlineStr">
        <is>
          <t>-</t>
        </is>
      </c>
      <c r="I6" s="33" t="inlineStr">
        <is>
          <t>-</t>
        </is>
      </c>
    </row>
    <row r="7">
      <c r="A7" s="6" t="inlineStr">
        <is>
          <t>Intangible assets</t>
        </is>
      </c>
      <c r="B7" s="29" t="n">
        <v>11440</v>
      </c>
      <c r="C7" s="29" t="n">
        <v>11078</v>
      </c>
      <c r="D7" s="29" t="n">
        <v>19434</v>
      </c>
      <c r="E7" s="20">
        <f>Assumptions!$C$189</f>
        <v/>
      </c>
      <c r="F7" s="20">
        <f>Assumptions!$C$189</f>
        <v/>
      </c>
      <c r="G7" s="20">
        <f>Assumptions!$C$189</f>
        <v/>
      </c>
      <c r="H7" s="20">
        <f>Assumptions!$C$189</f>
        <v/>
      </c>
      <c r="I7" s="20">
        <f>Assumptions!$C$189</f>
        <v/>
      </c>
    </row>
    <row r="8">
      <c r="A8" s="6" t="inlineStr">
        <is>
          <t>Goodwill</t>
        </is>
      </c>
      <c r="B8" s="29" t="n">
        <v>51368</v>
      </c>
      <c r="C8" s="29" t="n">
        <v>51368</v>
      </c>
      <c r="D8" s="29" t="n">
        <v>51368</v>
      </c>
      <c r="E8" s="20">
        <f>Assumptions!$C$190</f>
        <v/>
      </c>
      <c r="F8" s="20">
        <f>Assumptions!$C$190</f>
        <v/>
      </c>
      <c r="G8" s="20">
        <f>Assumptions!$C$190</f>
        <v/>
      </c>
      <c r="H8" s="20">
        <f>Assumptions!$C$190</f>
        <v/>
      </c>
      <c r="I8" s="20">
        <f>Assumptions!$C$190</f>
        <v/>
      </c>
    </row>
    <row r="9">
      <c r="A9" s="6" t="inlineStr">
        <is>
          <t>Investment properties</t>
        </is>
      </c>
      <c r="B9" s="29" t="n">
        <v>95269</v>
      </c>
      <c r="C9" s="29" t="n">
        <v>92501</v>
      </c>
      <c r="D9" s="29" t="n">
        <v>89154</v>
      </c>
      <c r="E9" s="33" t="inlineStr">
        <is>
          <t>-</t>
        </is>
      </c>
      <c r="F9" s="33" t="inlineStr">
        <is>
          <t>-</t>
        </is>
      </c>
      <c r="G9" s="33" t="inlineStr">
        <is>
          <t>-</t>
        </is>
      </c>
      <c r="H9" s="33" t="inlineStr">
        <is>
          <t>-</t>
        </is>
      </c>
      <c r="I9" s="33" t="inlineStr">
        <is>
          <t>-</t>
        </is>
      </c>
    </row>
    <row r="10">
      <c r="A10" s="6" t="inlineStr">
        <is>
          <t>Investments in joint ventures and associates</t>
        </is>
      </c>
      <c r="B10" s="29" t="n">
        <v>76712</v>
      </c>
      <c r="C10" s="29" t="n">
        <v>267775</v>
      </c>
      <c r="D10" s="29" t="n">
        <v>577769</v>
      </c>
      <c r="E10" s="20">
        <f>Assumptions!$C$186</f>
        <v/>
      </c>
      <c r="F10" s="20">
        <f>Assumptions!$C$186</f>
        <v/>
      </c>
      <c r="G10" s="20">
        <f>Assumptions!$C$186</f>
        <v/>
      </c>
      <c r="H10" s="20">
        <f>Assumptions!$C$186</f>
        <v/>
      </c>
      <c r="I10" s="20">
        <f>Assumptions!$C$186</f>
        <v/>
      </c>
    </row>
    <row r="11">
      <c r="A11" s="6" t="inlineStr">
        <is>
          <t>Inventories</t>
        </is>
      </c>
      <c r="B11" s="29" t="n">
        <v>120720</v>
      </c>
      <c r="C11" s="29" t="n">
        <v>132687</v>
      </c>
      <c r="D11" s="29" t="n">
        <v>137108</v>
      </c>
      <c r="E11" s="33">
        <f>B47</f>
        <v/>
      </c>
      <c r="F11" s="33">
        <f>C47</f>
        <v/>
      </c>
      <c r="G11" s="33">
        <f>D47</f>
        <v/>
      </c>
      <c r="H11" s="33">
        <f>E47</f>
        <v/>
      </c>
      <c r="I11" s="33">
        <f>F47</f>
        <v/>
      </c>
    </row>
    <row r="12">
      <c r="A12" s="6" t="inlineStr">
        <is>
          <t>Trade and other receivables, including amounts due from related parties</t>
        </is>
      </c>
      <c r="B12" s="29" t="n">
        <v>1131167</v>
      </c>
      <c r="C12" s="29" t="n">
        <v>1284889</v>
      </c>
      <c r="D12" s="29" t="n">
        <v>1489668</v>
      </c>
      <c r="E12" s="33">
        <f>B46</f>
        <v/>
      </c>
      <c r="F12" s="33">
        <f>C46</f>
        <v/>
      </c>
      <c r="G12" s="33">
        <f>D46</f>
        <v/>
      </c>
      <c r="H12" s="33">
        <f>E46</f>
        <v/>
      </c>
      <c r="I12" s="33">
        <f>F46</f>
        <v/>
      </c>
    </row>
    <row r="13">
      <c r="A13" s="6" t="inlineStr">
        <is>
          <t>Cash and cash equivalents</t>
        </is>
      </c>
      <c r="B13" s="29" t="n">
        <v>215709</v>
      </c>
      <c r="C13" s="29" t="n">
        <v>198919</v>
      </c>
      <c r="D13" s="29" t="n">
        <v>337794</v>
      </c>
      <c r="E13" s="20">
        <f>Assumptions!$C$188</f>
        <v/>
      </c>
      <c r="F13" s="20">
        <f>Assumptions!$C$188</f>
        <v/>
      </c>
      <c r="G13" s="20">
        <f>Assumptions!$C$188</f>
        <v/>
      </c>
      <c r="H13" s="20">
        <f>Assumptions!$C$188</f>
        <v/>
      </c>
      <c r="I13" s="20">
        <f>Assumptions!$C$188</f>
        <v/>
      </c>
    </row>
    <row r="14">
      <c r="A14" s="16" t="inlineStr">
        <is>
          <t>Total assets</t>
        </is>
      </c>
      <c r="B14" s="43" t="n">
        <v>5745668</v>
      </c>
      <c r="C14" s="43" t="n">
        <v>7003326</v>
      </c>
      <c r="D14" s="43" t="n">
        <v>9965153</v>
      </c>
      <c r="E14" s="43" t="inlineStr">
        <is>
          <t>-</t>
        </is>
      </c>
      <c r="F14" s="43" t="inlineStr">
        <is>
          <t>-</t>
        </is>
      </c>
      <c r="G14" s="43" t="inlineStr">
        <is>
          <t>-</t>
        </is>
      </c>
      <c r="H14" s="43" t="inlineStr">
        <is>
          <t>-</t>
        </is>
      </c>
      <c r="I14" s="43" t="inlineStr">
        <is>
          <t>-</t>
        </is>
      </c>
    </row>
    <row r="15">
      <c r="A15" s="6" t="inlineStr">
        <is>
          <t>Trade and other payables, including amounts due to related parties</t>
        </is>
      </c>
      <c r="B15" s="29" t="n">
        <v>962048</v>
      </c>
      <c r="C15" s="29" t="n">
        <v>1227680</v>
      </c>
      <c r="D15" s="29" t="n">
        <v>1280361</v>
      </c>
      <c r="E15" s="33">
        <f>B48</f>
        <v/>
      </c>
      <c r="F15" s="33">
        <f>C48</f>
        <v/>
      </c>
      <c r="G15" s="33">
        <f>D48</f>
        <v/>
      </c>
      <c r="H15" s="33">
        <f>E48</f>
        <v/>
      </c>
      <c r="I15" s="33">
        <f>F48</f>
        <v/>
      </c>
    </row>
    <row r="16">
      <c r="A16" s="6" t="inlineStr">
        <is>
          <t>Net working capital</t>
        </is>
      </c>
      <c r="B16" s="33">
        <f>B12+B11-B15</f>
        <v/>
      </c>
      <c r="C16" s="33">
        <f>C12+C11-C15</f>
        <v/>
      </c>
      <c r="D16" s="33">
        <f>D12+D11-D15</f>
        <v/>
      </c>
      <c r="E16" s="33">
        <f>E12+E11-E15</f>
        <v/>
      </c>
      <c r="F16" s="33">
        <f>F12+F11-F15</f>
        <v/>
      </c>
      <c r="G16" s="33">
        <f>G12+G11-G15</f>
        <v/>
      </c>
      <c r="H16" s="33">
        <f>H12+H11-H15</f>
        <v/>
      </c>
      <c r="I16" s="33">
        <f>I12+I11-I15</f>
        <v/>
      </c>
    </row>
    <row r="17">
      <c r="A17" s="6" t="inlineStr">
        <is>
          <t>Gross borrowings</t>
        </is>
      </c>
      <c r="B17" s="29" t="n">
        <v>289554</v>
      </c>
      <c r="C17" s="29" t="n">
        <v>739301</v>
      </c>
      <c r="D17" s="29" t="n">
        <v>1031879</v>
      </c>
      <c r="E17" s="33">
        <f>B54</f>
        <v/>
      </c>
      <c r="F17" s="33">
        <f>C54</f>
        <v/>
      </c>
      <c r="G17" s="33">
        <f>D54</f>
        <v/>
      </c>
      <c r="H17" s="33">
        <f>E54</f>
        <v/>
      </c>
      <c r="I17" s="33">
        <f>F54</f>
        <v/>
      </c>
    </row>
    <row r="18">
      <c r="A18" s="16" t="inlineStr">
        <is>
          <t>Net debt</t>
        </is>
      </c>
      <c r="B18" s="43">
        <f>B17-B13</f>
        <v/>
      </c>
      <c r="C18" s="43">
        <f>C17-C13</f>
        <v/>
      </c>
      <c r="D18" s="43">
        <f>D17-D13</f>
        <v/>
      </c>
      <c r="E18" s="43">
        <f>B62</f>
        <v/>
      </c>
      <c r="F18" s="43">
        <f>C62</f>
        <v/>
      </c>
      <c r="G18" s="43">
        <f>D62</f>
        <v/>
      </c>
      <c r="H18" s="43">
        <f>E62</f>
        <v/>
      </c>
      <c r="I18" s="43">
        <f>F62</f>
        <v/>
      </c>
    </row>
    <row r="19">
      <c r="A19" s="6" t="inlineStr">
        <is>
          <t>Perpetual capital securities</t>
        </is>
      </c>
      <c r="B19" s="29" t="n">
        <v>0</v>
      </c>
      <c r="C19" s="29" t="n">
        <v>0</v>
      </c>
      <c r="D19" s="29" t="n">
        <v>1978619</v>
      </c>
      <c r="E19" s="20">
        <f>Assumptions!$C$181</f>
        <v/>
      </c>
      <c r="F19" s="20">
        <f>Assumptions!$C$181</f>
        <v/>
      </c>
      <c r="G19" s="20">
        <f>Assumptions!$C$181</f>
        <v/>
      </c>
      <c r="H19" s="20">
        <f>Assumptions!$C$181</f>
        <v/>
      </c>
      <c r="I19" s="20">
        <f>Assumptions!$C$181</f>
        <v/>
      </c>
    </row>
    <row r="20">
      <c r="A20" s="6" t="inlineStr">
        <is>
          <t>Non-controlling interests</t>
        </is>
      </c>
      <c r="B20" s="29" t="n">
        <v>0</v>
      </c>
      <c r="C20" s="29" t="n">
        <v>0</v>
      </c>
      <c r="D20" s="29" t="n">
        <v>264512</v>
      </c>
      <c r="E20" s="20">
        <f>Assumptions!$C$183</f>
        <v/>
      </c>
      <c r="F20" s="20">
        <f>Assumptions!$C$183</f>
        <v/>
      </c>
      <c r="G20" s="20">
        <f>Assumptions!$C$183</f>
        <v/>
      </c>
      <c r="H20" s="20">
        <f>Assumptions!$C$183</f>
        <v/>
      </c>
      <c r="I20" s="20">
        <f>Assumptions!$C$183</f>
        <v/>
      </c>
    </row>
    <row r="21">
      <c r="A21" s="16" t="inlineStr">
        <is>
          <t>Equity attributable to shareholders</t>
        </is>
      </c>
      <c r="B21" s="43" t="n">
        <v>4405982</v>
      </c>
      <c r="C21" s="43" t="n">
        <v>4894627</v>
      </c>
      <c r="D21" s="43" t="n">
        <v>4981987</v>
      </c>
      <c r="E21" s="43">
        <f>B69</f>
        <v/>
      </c>
      <c r="F21" s="43">
        <f>C69</f>
        <v/>
      </c>
      <c r="G21" s="43">
        <f>D69</f>
        <v/>
      </c>
      <c r="H21" s="43">
        <f>E69</f>
        <v/>
      </c>
      <c r="I21" s="43">
        <f>F69</f>
        <v/>
      </c>
    </row>
    <row r="22">
      <c r="A22" s="16" t="inlineStr">
        <is>
          <t>Total equity</t>
        </is>
      </c>
      <c r="B22" s="43">
        <f>B21+B19+B20</f>
        <v/>
      </c>
      <c r="C22" s="43">
        <f>C21+C19+C20</f>
        <v/>
      </c>
      <c r="D22" s="43">
        <f>D21+D19+D20</f>
        <v/>
      </c>
      <c r="E22" s="43">
        <f>E21+E19+E20</f>
        <v/>
      </c>
      <c r="F22" s="43">
        <f>F21+F19+F20</f>
        <v/>
      </c>
      <c r="G22" s="43">
        <f>G21+G19+G20</f>
        <v/>
      </c>
      <c r="H22" s="43">
        <f>H21+H19+H20</f>
        <v/>
      </c>
      <c r="I22" s="43">
        <f>I21+I19+I20</f>
        <v/>
      </c>
    </row>
    <row r="23">
      <c r="A23" s="6" t="inlineStr">
        <is>
          <t>Net debt / EBITDA</t>
        </is>
      </c>
      <c r="B23" s="44">
        <f>B18/'Income Statement'!B14</f>
        <v/>
      </c>
      <c r="C23" s="44">
        <f>C18/'Income Statement'!C14</f>
        <v/>
      </c>
      <c r="D23" s="44">
        <f>D18/'Income Statement'!D14</f>
        <v/>
      </c>
      <c r="E23" s="44">
        <f>E18/'Income Statement'!E14</f>
        <v/>
      </c>
      <c r="F23" s="44">
        <f>F18/'Income Statement'!F14</f>
        <v/>
      </c>
      <c r="G23" s="44">
        <f>G18/'Income Statement'!G14</f>
        <v/>
      </c>
      <c r="H23" s="44">
        <f>H18/'Income Statement'!H14</f>
        <v/>
      </c>
      <c r="I23" s="44">
        <f>I18/'Income Statement'!I14</f>
        <v/>
      </c>
    </row>
    <row r="24">
      <c r="A24" s="6" t="inlineStr">
        <is>
          <t>Book value per share (USD)</t>
        </is>
      </c>
      <c r="B24" s="53">
        <f>B21/Assumptions!$C$6/1000</f>
        <v/>
      </c>
      <c r="C24" s="53">
        <f>C21/Assumptions!$C$6/1000</f>
        <v/>
      </c>
      <c r="D24" s="53">
        <f>D21/Assumptions!$C$6/1000</f>
        <v/>
      </c>
      <c r="E24" s="53">
        <f>E21/Assumptions!$C$6/1000</f>
        <v/>
      </c>
      <c r="F24" s="53">
        <f>F21/Assumptions!$C$6/1000</f>
        <v/>
      </c>
      <c r="G24" s="53">
        <f>G21/Assumptions!$C$6/1000</f>
        <v/>
      </c>
      <c r="H24" s="53">
        <f>H21/Assumptions!$C$6/1000</f>
        <v/>
      </c>
      <c r="I24" s="53">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3">
        <f>B5+B16+B7+B8</f>
        <v/>
      </c>
      <c r="C26" s="33">
        <f>C5+C16+C7+C8</f>
        <v/>
      </c>
      <c r="D26" s="33">
        <f>D5+D16+D7+D8</f>
        <v/>
      </c>
      <c r="E26" s="33">
        <f>E5+E16+E7+E8</f>
        <v/>
      </c>
      <c r="F26" s="33">
        <f>F5+F16+F7+F8</f>
        <v/>
      </c>
      <c r="G26" s="33">
        <f>G5+G16+G7+G8</f>
        <v/>
      </c>
      <c r="H26" s="33">
        <f>H5+H16+H7+H8</f>
        <v/>
      </c>
      <c r="I26" s="33">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Statement'!E28/((Assumptions!$C$187+E21)/2)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3">
        <f>B37</f>
        <v/>
      </c>
      <c r="D31" s="33">
        <f>C37</f>
        <v/>
      </c>
      <c r="E31" s="33">
        <f>D37</f>
        <v/>
      </c>
      <c r="F31" s="33">
        <f>E37</f>
        <v/>
      </c>
    </row>
    <row r="32">
      <c r="A32" s="6" t="inlineStr">
        <is>
          <t>Capital expenditure</t>
        </is>
      </c>
      <c r="B32" s="20">
        <f>Assumptions!$B$148</f>
        <v/>
      </c>
      <c r="C32" s="20">
        <f>Assumptions!$C$148</f>
        <v/>
      </c>
      <c r="D32" s="20">
        <f>Assumptions!$D$148</f>
        <v/>
      </c>
      <c r="E32" s="20">
        <f>Assumptions!$E$148</f>
        <v/>
      </c>
      <c r="F32" s="20">
        <f>Assumptions!$F$148</f>
        <v/>
      </c>
    </row>
    <row r="33">
      <c r="A33" s="6" t="inlineStr">
        <is>
          <t>Vessels acquired in the purchase announced 7 August 2026 — the same price that is carried in net debt below</t>
        </is>
      </c>
      <c r="B33" s="20">
        <f>Assumptions!$C$88</f>
        <v/>
      </c>
      <c r="C33" s="33">
        <f>0</f>
        <v/>
      </c>
      <c r="D33" s="33">
        <f>0</f>
        <v/>
      </c>
      <c r="E33" s="33">
        <f>0</f>
        <v/>
      </c>
      <c r="F33" s="33">
        <f>0</f>
        <v/>
      </c>
    </row>
    <row r="34">
      <c r="A34" s="6" t="inlineStr">
        <is>
          <t>Depreciation rate on property, plant and equipment</t>
        </is>
      </c>
      <c r="B34" s="21">
        <f>Assumptions!$C$149</f>
        <v/>
      </c>
      <c r="C34" s="21">
        <f>Assumptions!$C$149</f>
        <v/>
      </c>
      <c r="D34" s="21">
        <f>Assumptions!$C$149</f>
        <v/>
      </c>
      <c r="E34" s="21">
        <f>Assumptions!$C$149</f>
        <v/>
      </c>
      <c r="F34" s="21">
        <f>Assumptions!$C$149</f>
        <v/>
      </c>
    </row>
    <row r="35">
      <c r="A35" s="6" t="inlineStr">
        <is>
          <t>First-pass depreciation, on the opening balance plus the full additions</t>
        </is>
      </c>
      <c r="B35" s="33">
        <f>B34*(B31+(B31+B32+B33))/2</f>
        <v/>
      </c>
      <c r="C35" s="33">
        <f>C34*(C31+(C31+C32+C33))/2</f>
        <v/>
      </c>
      <c r="D35" s="33">
        <f>D34*(D31+(D31+D32+D33))/2</f>
        <v/>
      </c>
      <c r="E35" s="33">
        <f>E34*(E31+(E31+E32+E33))/2</f>
        <v/>
      </c>
      <c r="F35" s="33">
        <f>F34*(F31+(F31+F32+F33))/2</f>
        <v/>
      </c>
    </row>
    <row r="36">
      <c r="A36" s="6" t="inlineStr">
        <is>
          <t>Depreciation on property, plant and equipment — on the average of opening and closing</t>
        </is>
      </c>
      <c r="B36" s="33">
        <f>B34*(B31+(B31+B32+B33-B35))/2</f>
        <v/>
      </c>
      <c r="C36" s="33">
        <f>C34*(C31+(C31+C32+C33-C35))/2</f>
        <v/>
      </c>
      <c r="D36" s="33">
        <f>D34*(D31+(D31+D32+D33-D35))/2</f>
        <v/>
      </c>
      <c r="E36" s="33">
        <f>E34*(E31+(E31+E32+E33-E35))/2</f>
        <v/>
      </c>
      <c r="F36" s="33">
        <f>F34*(F31+(F31+F32+F33-F35))/2</f>
        <v/>
      </c>
    </row>
    <row r="37">
      <c r="A37" s="37" t="inlineStr">
        <is>
          <t>Closing property, plant and equipment</t>
        </is>
      </c>
      <c r="B37" s="38">
        <f>B31+B32+B33-B36</f>
        <v/>
      </c>
      <c r="C37" s="38">
        <f>C31+C32+C33-C36</f>
        <v/>
      </c>
      <c r="D37" s="38">
        <f>D31+D32+D33-D36</f>
        <v/>
      </c>
      <c r="E37" s="38">
        <f>E31+E32+E33-E36</f>
        <v/>
      </c>
      <c r="F37" s="38">
        <f>F31+F32+F33-F36</f>
        <v/>
      </c>
    </row>
    <row r="38">
      <c r="A38" s="6" t="inlineStr">
        <is>
          <t>Other depreciation and amortisation, escalated</t>
        </is>
      </c>
      <c r="B38" s="33">
        <f>Assumptions!$C$150*(1+Assumptions!$C$99)</f>
        <v/>
      </c>
      <c r="C38" s="33">
        <f>Assumptions!$C$150*(1+Assumptions!$C$99)*(1+Assumptions!$C$100)</f>
        <v/>
      </c>
      <c r="D38" s="33">
        <f>Assumptions!$C$150*(1+Assumptions!$C$99)*(1+Assumptions!$C$100)*(1+Assumptions!$C$101)</f>
        <v/>
      </c>
      <c r="E38" s="33">
        <f>Assumptions!$C$150*(1+Assumptions!$C$99)*(1+Assumptions!$C$100)*(1+Assumptions!$C$101)*(1+Assumptions!$C$102)</f>
        <v/>
      </c>
      <c r="F38" s="33">
        <f>Assumptions!$C$150*(1+Assumptions!$C$99)*(1+Assumptions!$C$100)*(1+Assumptions!$C$101)*(1+Assumptions!$C$102)*(1+Assumptions!$C$103)</f>
        <v/>
      </c>
    </row>
    <row r="39">
      <c r="A39" s="16" t="inlineStr">
        <is>
          <t>Total depreciation and amortisation</t>
        </is>
      </c>
      <c r="B39" s="43">
        <f>B36+B38</f>
        <v/>
      </c>
      <c r="C39" s="43">
        <f>C36+C38</f>
        <v/>
      </c>
      <c r="D39" s="43">
        <f>D36+D38</f>
        <v/>
      </c>
      <c r="E39" s="43">
        <f>E36+E38</f>
        <v/>
      </c>
      <c r="F39" s="43">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3">
        <f>B41-DCF!B6</f>
        <v/>
      </c>
      <c r="C42" s="33">
        <f>C41-DCF!C6</f>
        <v/>
      </c>
      <c r="D42" s="33">
        <f>D41-DCF!D6</f>
        <v/>
      </c>
      <c r="E42" s="33">
        <f>E41-DCF!E6</f>
        <v/>
      </c>
      <c r="F42" s="33">
        <f>F41-DCF!F6</f>
        <v/>
      </c>
    </row>
    <row r="43">
      <c r="A43" s="6" t="inlineStr">
        <is>
          <t>Days sales outstanding</t>
        </is>
      </c>
      <c r="B43" s="19">
        <f>Assumptions!$C$154</f>
        <v/>
      </c>
      <c r="C43" s="19">
        <f>Assumptions!$C$154</f>
        <v/>
      </c>
      <c r="D43" s="19">
        <f>Assumptions!$C$154</f>
        <v/>
      </c>
      <c r="E43" s="19">
        <f>Assumptions!$C$154</f>
        <v/>
      </c>
      <c r="F43" s="19">
        <f>Assumptions!$C$154</f>
        <v/>
      </c>
    </row>
    <row r="44">
      <c r="A44" s="6" t="inlineStr">
        <is>
          <t>Days inventory outstanding</t>
        </is>
      </c>
      <c r="B44" s="19">
        <f>Assumptions!$C$155</f>
        <v/>
      </c>
      <c r="C44" s="19">
        <f>Assumptions!$C$155</f>
        <v/>
      </c>
      <c r="D44" s="19">
        <f>Assumptions!$C$155</f>
        <v/>
      </c>
      <c r="E44" s="19">
        <f>Assumptions!$C$155</f>
        <v/>
      </c>
      <c r="F44" s="19">
        <f>Assumptions!$C$155</f>
        <v/>
      </c>
    </row>
    <row r="45">
      <c r="A45" s="6" t="inlineStr">
        <is>
          <t>Days payable outstanding</t>
        </is>
      </c>
      <c r="B45" s="19">
        <f>Assumptions!$C$156</f>
        <v/>
      </c>
      <c r="C45" s="19">
        <f>Assumptions!$C$156</f>
        <v/>
      </c>
      <c r="D45" s="19">
        <f>Assumptions!$C$156</f>
        <v/>
      </c>
      <c r="E45" s="19">
        <f>Assumptions!$C$156</f>
        <v/>
      </c>
      <c r="F45" s="19">
        <f>Assumptions!$C$156</f>
        <v/>
      </c>
    </row>
    <row r="46">
      <c r="A46" s="6" t="inlineStr">
        <is>
          <t>Trade and other receivables — revenue x days / 365</t>
        </is>
      </c>
      <c r="B46" s="33">
        <f>B41*B43/365</f>
        <v/>
      </c>
      <c r="C46" s="33">
        <f>C41*C43/365</f>
        <v/>
      </c>
      <c r="D46" s="33">
        <f>D41*D43/365</f>
        <v/>
      </c>
      <c r="E46" s="33">
        <f>E41*E43/365</f>
        <v/>
      </c>
      <c r="F46" s="33">
        <f>F41*F43/365</f>
        <v/>
      </c>
    </row>
    <row r="47">
      <c r="A47" s="6" t="inlineStr">
        <is>
          <t>Inventories — operating cost x days / 365</t>
        </is>
      </c>
      <c r="B47" s="33">
        <f>B42*B44/365</f>
        <v/>
      </c>
      <c r="C47" s="33">
        <f>C42*C44/365</f>
        <v/>
      </c>
      <c r="D47" s="33">
        <f>D42*D44/365</f>
        <v/>
      </c>
      <c r="E47" s="33">
        <f>E42*E44/365</f>
        <v/>
      </c>
      <c r="F47" s="33">
        <f>F42*F44/365</f>
        <v/>
      </c>
    </row>
    <row r="48">
      <c r="A48" s="6" t="inlineStr">
        <is>
          <t>Trade and other payables — operating cost x days / 365</t>
        </is>
      </c>
      <c r="B48" s="33">
        <f>B42*B45/365</f>
        <v/>
      </c>
      <c r="C48" s="33">
        <f>C42*C45/365</f>
        <v/>
      </c>
      <c r="D48" s="33">
        <f>D42*D45/365</f>
        <v/>
      </c>
      <c r="E48" s="33">
        <f>E42*E45/365</f>
        <v/>
      </c>
      <c r="F48" s="33">
        <f>F42*F45/365</f>
        <v/>
      </c>
    </row>
    <row r="49">
      <c r="A49" s="16" t="inlineStr">
        <is>
          <t>Net working capital</t>
        </is>
      </c>
      <c r="B49" s="43">
        <f>B46+B47-B48</f>
        <v/>
      </c>
      <c r="C49" s="43">
        <f>C46+C47-C48</f>
        <v/>
      </c>
      <c r="D49" s="43">
        <f>D46+D47-D48</f>
        <v/>
      </c>
      <c r="E49" s="43">
        <f>E46+E47-E48</f>
        <v/>
      </c>
      <c r="F49" s="43">
        <f>F46+F47-F48</f>
        <v/>
      </c>
    </row>
    <row r="50">
      <c r="A50" s="37" t="inlineStr">
        <is>
          <t>Change in net working capital</t>
        </is>
      </c>
      <c r="B50" s="38">
        <f>B49-Assumptions!$C$157</f>
        <v/>
      </c>
      <c r="C50" s="38">
        <f>C49-B49</f>
        <v/>
      </c>
      <c r="D50" s="38">
        <f>D49-C49</f>
        <v/>
      </c>
      <c r="E50" s="38">
        <f>E49-D49</f>
        <v/>
      </c>
      <c r="F50" s="38">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Assumptions!$C$178+Assumptions!$C$180+Assumptions!$C$88</f>
        <v/>
      </c>
      <c r="C53" s="33">
        <f>B62</f>
        <v/>
      </c>
      <c r="D53" s="33">
        <f>C62</f>
        <v/>
      </c>
      <c r="E53" s="33">
        <f>D62</f>
        <v/>
      </c>
      <c r="F53" s="33">
        <f>E62</f>
        <v/>
      </c>
    </row>
    <row r="54">
      <c r="A54" s="6" t="inlineStr">
        <is>
          <t>Gross borrowings — opening net debt plus the cash held</t>
        </is>
      </c>
      <c r="B54" s="33">
        <f>B53+Assumptions!$C$188</f>
        <v/>
      </c>
      <c r="C54" s="33">
        <f>C53+Assumptions!$C$188</f>
        <v/>
      </c>
      <c r="D54" s="33">
        <f>D53+Assumptions!$C$188</f>
        <v/>
      </c>
      <c r="E54" s="33">
        <f>E53+Assumptions!$C$188</f>
        <v/>
      </c>
      <c r="F54" s="33">
        <f>F53+Assumptions!$C$188</f>
        <v/>
      </c>
    </row>
    <row r="55">
      <c r="A55" s="6" t="inlineStr">
        <is>
          <t>Interest charge on gross borrowings</t>
        </is>
      </c>
      <c r="B55" s="33">
        <f>DCF!$C$93*B54</f>
        <v/>
      </c>
      <c r="C55" s="33">
        <f>DCF!$C$93*C54</f>
        <v/>
      </c>
      <c r="D55" s="33">
        <f>DCF!$C$93*D54</f>
        <v/>
      </c>
      <c r="E55" s="33">
        <f>DCF!$C$93*E54</f>
        <v/>
      </c>
      <c r="F55" s="33">
        <f>DCF!$C$93*F54</f>
        <v/>
      </c>
    </row>
    <row r="56">
      <c r="A56" s="6" t="inlineStr">
        <is>
          <t>Free cash flow to the firm</t>
        </is>
      </c>
      <c r="B56" s="20">
        <f>DCF!B15</f>
        <v/>
      </c>
      <c r="C56" s="20">
        <f>DCF!C15</f>
        <v/>
      </c>
      <c r="D56" s="20">
        <f>DCF!D15</f>
        <v/>
      </c>
      <c r="E56" s="20">
        <f>DCF!E15</f>
        <v/>
      </c>
      <c r="F56" s="20">
        <f>DCF!F15</f>
        <v/>
      </c>
    </row>
    <row r="57">
      <c r="A57" s="6" t="inlineStr">
        <is>
          <t>Less interest after tax</t>
        </is>
      </c>
      <c r="B57" s="33">
        <f>-B55*(1-Assumptions!$C$21)</f>
        <v/>
      </c>
      <c r="C57" s="33">
        <f>-C55*(1-Assumptions!$C$21)</f>
        <v/>
      </c>
      <c r="D57" s="33">
        <f>-D55*(1-Assumptions!$C$21)</f>
        <v/>
      </c>
      <c r="E57" s="33">
        <f>-E55*(1-Assumptions!$C$21)</f>
        <v/>
      </c>
      <c r="F57" s="33">
        <f>-F55*(1-Assumptions!$C$21)</f>
        <v/>
      </c>
    </row>
    <row r="58">
      <c r="A58" s="6" t="inlineStr">
        <is>
          <t>Plus finance income after tax</t>
        </is>
      </c>
      <c r="B58" s="33">
        <f>Assumptions!$C$24*Assumptions!$C$188*(1-Assumptions!$C$21)</f>
        <v/>
      </c>
      <c r="C58" s="33">
        <f>Assumptions!$C$24*Assumptions!$C$188*(1-Assumptions!$C$21)</f>
        <v/>
      </c>
      <c r="D58" s="33">
        <f>Assumptions!$C$24*Assumptions!$C$188*(1-Assumptions!$C$21)</f>
        <v/>
      </c>
      <c r="E58" s="33">
        <f>Assumptions!$C$24*Assumptions!$C$188*(1-Assumptions!$C$21)</f>
        <v/>
      </c>
      <c r="F58" s="33">
        <f>Assumptions!$C$24*Assumptions!$C$188*(1-Assumptions!$C$21)</f>
        <v/>
      </c>
    </row>
    <row r="59">
      <c r="A59" s="6" t="inlineStr">
        <is>
          <t>Less perpetual capital securities coupon</t>
        </is>
      </c>
      <c r="B59" s="33">
        <f>-Assumptions!$C$181*(Assumptions!$C$24+Assumptions!$C$182)</f>
        <v/>
      </c>
      <c r="C59" s="33">
        <f>-Assumptions!$C$181*(Assumptions!$C$24+Assumptions!$C$182)</f>
        <v/>
      </c>
      <c r="D59" s="33">
        <f>-Assumptions!$C$181*(Assumptions!$C$24+Assumptions!$C$182)</f>
        <v/>
      </c>
      <c r="E59" s="33">
        <f>-Assumptions!$C$181*(Assumptions!$C$24+Assumptions!$C$182)</f>
        <v/>
      </c>
      <c r="F59" s="33">
        <f>-Assumptions!$C$181*(Assumptions!$C$24+Assumptions!$C$182)</f>
        <v/>
      </c>
    </row>
    <row r="60">
      <c r="A60" s="37" t="inlineStr">
        <is>
          <t>Free cash flow to equity</t>
        </is>
      </c>
      <c r="B60" s="38">
        <f>B56+B57+B58+B59</f>
        <v/>
      </c>
      <c r="C60" s="38">
        <f>C56+C57+C58+C59</f>
        <v/>
      </c>
      <c r="D60" s="38">
        <f>D56+D57+D58+D59</f>
        <v/>
      </c>
      <c r="E60" s="38">
        <f>E56+E57+E58+E59</f>
        <v/>
      </c>
      <c r="F60" s="38">
        <f>F56+F57+F58+F59</f>
        <v/>
      </c>
    </row>
    <row r="61">
      <c r="A61" s="6" t="inlineStr">
        <is>
          <t>Less ordinary dividends</t>
        </is>
      </c>
      <c r="B61" s="33">
        <f>-Assumptions!$C$191*(1+Assumptions!$C$192)^0</f>
        <v/>
      </c>
      <c r="C61" s="33">
        <f>-Assumptions!$C$191*(1+Assumptions!$C$192)^1</f>
        <v/>
      </c>
      <c r="D61" s="33">
        <f>-Assumptions!$C$191*(1+Assumptions!$C$192)^2</f>
        <v/>
      </c>
      <c r="E61" s="33">
        <f>-Assumptions!$C$191*(1+Assumptions!$C$192)^3</f>
        <v/>
      </c>
      <c r="F61" s="33">
        <f>-Assumptions!$C$191*(1+Assumptions!$C$192)^4</f>
        <v/>
      </c>
    </row>
    <row r="62">
      <c r="A62" s="16" t="inlineStr">
        <is>
          <t>Closing net debt</t>
        </is>
      </c>
      <c r="B62" s="43">
        <f>B53-B60-B61</f>
        <v/>
      </c>
      <c r="C62" s="43">
        <f>C53-C60-C61</f>
        <v/>
      </c>
      <c r="D62" s="43">
        <f>D53-D60-D61</f>
        <v/>
      </c>
      <c r="E62" s="43">
        <f>E53-E60-E61</f>
        <v/>
      </c>
      <c r="F62" s="43">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Assumptions!$C$187</f>
        <v/>
      </c>
      <c r="C65" s="33">
        <f>B69</f>
        <v/>
      </c>
      <c r="D65" s="33">
        <f>C69</f>
        <v/>
      </c>
      <c r="E65" s="33">
        <f>D69</f>
        <v/>
      </c>
      <c r="F65" s="33">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3">
        <f>B61</f>
        <v/>
      </c>
      <c r="C67" s="33">
        <f>C61</f>
        <v/>
      </c>
      <c r="D67" s="33">
        <f>D61</f>
        <v/>
      </c>
      <c r="E67" s="33">
        <f>E61</f>
        <v/>
      </c>
      <c r="F67" s="33">
        <f>F61</f>
        <v/>
      </c>
    </row>
    <row r="68">
      <c r="A68" s="6" t="inlineStr">
        <is>
          <t>Less perpetual capital securities coupon</t>
        </is>
      </c>
      <c r="B68" s="33">
        <f>B59</f>
        <v/>
      </c>
      <c r="C68" s="33">
        <f>C59</f>
        <v/>
      </c>
      <c r="D68" s="33">
        <f>D59</f>
        <v/>
      </c>
      <c r="E68" s="33">
        <f>E59</f>
        <v/>
      </c>
      <c r="F68" s="33">
        <f>F59</f>
        <v/>
      </c>
    </row>
    <row r="69">
      <c r="A69" s="16" t="inlineStr">
        <is>
          <t>Closing equity attributable to shareholders</t>
        </is>
      </c>
      <c r="B69" s="43">
        <f>B65+B66+B67+B68</f>
        <v/>
      </c>
      <c r="C69" s="43">
        <f>C65+C66+C67+C68</f>
        <v/>
      </c>
      <c r="D69" s="43">
        <f>D65+D66+D67+D68</f>
        <v/>
      </c>
      <c r="E69" s="43">
        <f>E65+E66+E67+E68</f>
        <v/>
      </c>
      <c r="F69" s="43">
        <f>F65+F66+F67+F68</f>
        <v/>
      </c>
    </row>
    <row r="70">
      <c r="A70" s="6" t="inlineStr">
        <is>
          <t>Ordinary dividend per share (USD)</t>
        </is>
      </c>
      <c r="B70" s="53">
        <f>-B67/Assumptions!$C$6/1000</f>
        <v/>
      </c>
      <c r="C70" s="53">
        <f>-C67/Assumptions!$C$6/1000</f>
        <v/>
      </c>
      <c r="D70" s="53">
        <f>-D67/Assumptions!$C$6/1000</f>
        <v/>
      </c>
      <c r="E70" s="53">
        <f>-E67/Assumptions!$C$6/1000</f>
        <v/>
      </c>
      <c r="F70" s="53">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3" t="inlineStr">
        <is>
          <t>-</t>
        </is>
      </c>
      <c r="F6" s="33" t="inlineStr">
        <is>
          <t>-</t>
        </is>
      </c>
      <c r="G6" s="33" t="inlineStr">
        <is>
          <t>-</t>
        </is>
      </c>
      <c r="H6" s="33" t="inlineStr">
        <is>
          <t>-</t>
        </is>
      </c>
      <c r="I6" s="33"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3">
        <f>B6+B7</f>
        <v/>
      </c>
      <c r="C8" s="43">
        <f>C6+C7</f>
        <v/>
      </c>
      <c r="D8" s="43">
        <f>D6+D7</f>
        <v/>
      </c>
      <c r="E8" s="43" t="inlineStr">
        <is>
          <t>-</t>
        </is>
      </c>
      <c r="F8" s="43" t="inlineStr">
        <is>
          <t>-</t>
        </is>
      </c>
      <c r="G8" s="43" t="inlineStr">
        <is>
          <t>-</t>
        </is>
      </c>
      <c r="H8" s="43" t="inlineStr">
        <is>
          <t>-</t>
        </is>
      </c>
      <c r="I8" s="43"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3" t="inlineStr">
        <is>
          <t>-</t>
        </is>
      </c>
      <c r="C11" s="33" t="inlineStr">
        <is>
          <t>-</t>
        </is>
      </c>
      <c r="D11" s="33" t="inlineStr">
        <is>
          <t>-</t>
        </is>
      </c>
      <c r="E11" s="20">
        <f>DCF!B11</f>
        <v/>
      </c>
      <c r="F11" s="20">
        <f>DCF!C11</f>
        <v/>
      </c>
      <c r="G11" s="20">
        <f>DCF!D11</f>
        <v/>
      </c>
      <c r="H11" s="20">
        <f>DCF!E11</f>
        <v/>
      </c>
      <c r="I11" s="20">
        <f>DCF!F11</f>
        <v/>
      </c>
    </row>
    <row r="12">
      <c r="A12" s="6" t="inlineStr">
        <is>
          <t>Add back depreciation and amortisation</t>
        </is>
      </c>
      <c r="B12" s="33" t="inlineStr">
        <is>
          <t>-</t>
        </is>
      </c>
      <c r="C12" s="33" t="inlineStr">
        <is>
          <t>-</t>
        </is>
      </c>
      <c r="D12" s="33" t="inlineStr">
        <is>
          <t>-</t>
        </is>
      </c>
      <c r="E12" s="20">
        <f>DCF!B12</f>
        <v/>
      </c>
      <c r="F12" s="20">
        <f>DCF!C12</f>
        <v/>
      </c>
      <c r="G12" s="20">
        <f>DCF!D12</f>
        <v/>
      </c>
      <c r="H12" s="20">
        <f>DCF!E12</f>
        <v/>
      </c>
      <c r="I12" s="20">
        <f>DCF!F12</f>
        <v/>
      </c>
    </row>
    <row r="13">
      <c r="A13" s="6" t="inlineStr">
        <is>
          <t>Less capital expenditure</t>
        </is>
      </c>
      <c r="B13" s="33" t="inlineStr">
        <is>
          <t>-</t>
        </is>
      </c>
      <c r="C13" s="33" t="inlineStr">
        <is>
          <t>-</t>
        </is>
      </c>
      <c r="D13" s="33" t="inlineStr">
        <is>
          <t>-</t>
        </is>
      </c>
      <c r="E13" s="20">
        <f>DCF!B13</f>
        <v/>
      </c>
      <c r="F13" s="20">
        <f>DCF!C13</f>
        <v/>
      </c>
      <c r="G13" s="20">
        <f>DCF!D13</f>
        <v/>
      </c>
      <c r="H13" s="20">
        <f>DCF!E13</f>
        <v/>
      </c>
      <c r="I13" s="20">
        <f>DCF!F13</f>
        <v/>
      </c>
    </row>
    <row r="14">
      <c r="A14" s="6" t="inlineStr">
        <is>
          <t>Less change in working capital</t>
        </is>
      </c>
      <c r="B14" s="33" t="inlineStr">
        <is>
          <t>-</t>
        </is>
      </c>
      <c r="C14" s="33" t="inlineStr">
        <is>
          <t>-</t>
        </is>
      </c>
      <c r="D14" s="33" t="inlineStr">
        <is>
          <t>-</t>
        </is>
      </c>
      <c r="E14" s="20">
        <f>DCF!B14</f>
        <v/>
      </c>
      <c r="F14" s="20">
        <f>DCF!C14</f>
        <v/>
      </c>
      <c r="G14" s="20">
        <f>DCF!D14</f>
        <v/>
      </c>
      <c r="H14" s="20">
        <f>DCF!E14</f>
        <v/>
      </c>
      <c r="I14" s="20">
        <f>DCF!F14</f>
        <v/>
      </c>
    </row>
    <row r="15">
      <c r="A15" s="16" t="inlineStr">
        <is>
          <t>Free cash flow to the firm</t>
        </is>
      </c>
      <c r="B15" s="43" t="inlineStr">
        <is>
          <t>-</t>
        </is>
      </c>
      <c r="C15" s="43" t="inlineStr">
        <is>
          <t>-</t>
        </is>
      </c>
      <c r="D15" s="43" t="inlineStr">
        <is>
          <t>-</t>
        </is>
      </c>
      <c r="E15" s="43">
        <f>E11+E12+E13+E14</f>
        <v/>
      </c>
      <c r="F15" s="43">
        <f>F11+F12+F13+F14</f>
        <v/>
      </c>
      <c r="G15" s="43">
        <f>G11+G12+G13+G14</f>
        <v/>
      </c>
      <c r="H15" s="43">
        <f>H11+H12+H13+H14</f>
        <v/>
      </c>
      <c r="I15" s="43">
        <f>I11+I12+I13+I14</f>
        <v/>
      </c>
    </row>
    <row r="16">
      <c r="A16" s="6" t="inlineStr">
        <is>
          <t>Less interest after tax</t>
        </is>
      </c>
      <c r="B16" s="33" t="inlineStr">
        <is>
          <t>-</t>
        </is>
      </c>
      <c r="C16" s="33" t="inlineStr">
        <is>
          <t>-</t>
        </is>
      </c>
      <c r="D16" s="33" t="inlineStr">
        <is>
          <t>-</t>
        </is>
      </c>
      <c r="E16" s="20">
        <f>'Balance Sheet'!B57</f>
        <v/>
      </c>
      <c r="F16" s="20">
        <f>'Balance Sheet'!C57</f>
        <v/>
      </c>
      <c r="G16" s="20">
        <f>'Balance Sheet'!D57</f>
        <v/>
      </c>
      <c r="H16" s="20">
        <f>'Balance Sheet'!E57</f>
        <v/>
      </c>
      <c r="I16" s="20">
        <f>'Balance Sheet'!F57</f>
        <v/>
      </c>
    </row>
    <row r="17">
      <c r="A17" s="6" t="inlineStr">
        <is>
          <t>Plus finance income after tax</t>
        </is>
      </c>
      <c r="B17" s="33" t="inlineStr">
        <is>
          <t>-</t>
        </is>
      </c>
      <c r="C17" s="33" t="inlineStr">
        <is>
          <t>-</t>
        </is>
      </c>
      <c r="D17" s="33"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3" t="inlineStr">
        <is>
          <t>-</t>
        </is>
      </c>
      <c r="C18" s="33" t="inlineStr">
        <is>
          <t>-</t>
        </is>
      </c>
      <c r="D18" s="33" t="inlineStr">
        <is>
          <t>-</t>
        </is>
      </c>
      <c r="E18" s="20">
        <f>'Balance Sheet'!B59</f>
        <v/>
      </c>
      <c r="F18" s="20">
        <f>'Balance Sheet'!C59</f>
        <v/>
      </c>
      <c r="G18" s="20">
        <f>'Balance Sheet'!D59</f>
        <v/>
      </c>
      <c r="H18" s="20">
        <f>'Balance Sheet'!E59</f>
        <v/>
      </c>
      <c r="I18" s="20">
        <f>'Balance Sheet'!F59</f>
        <v/>
      </c>
    </row>
    <row r="19">
      <c r="A19" s="16" t="inlineStr">
        <is>
          <t>Free cash flow to equity</t>
        </is>
      </c>
      <c r="B19" s="43" t="inlineStr">
        <is>
          <t>-</t>
        </is>
      </c>
      <c r="C19" s="43" t="inlineStr">
        <is>
          <t>-</t>
        </is>
      </c>
      <c r="D19" s="43" t="inlineStr">
        <is>
          <t>-</t>
        </is>
      </c>
      <c r="E19" s="43">
        <f>E15+E16+E17+E18</f>
        <v/>
      </c>
      <c r="F19" s="43">
        <f>F15+F16+F17+F18</f>
        <v/>
      </c>
      <c r="G19" s="43">
        <f>G15+G16+G17+G18</f>
        <v/>
      </c>
      <c r="H19" s="43">
        <f>H15+H16+H17+H18</f>
        <v/>
      </c>
      <c r="I19" s="43">
        <f>I15+I16+I17+I18</f>
        <v/>
      </c>
    </row>
    <row r="20">
      <c r="A20" s="6" t="inlineStr">
        <is>
          <t>Less ordinary dividends</t>
        </is>
      </c>
      <c r="B20" s="33" t="inlineStr">
        <is>
          <t>-</t>
        </is>
      </c>
      <c r="C20" s="33" t="inlineStr">
        <is>
          <t>-</t>
        </is>
      </c>
      <c r="D20" s="33"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3" t="inlineStr">
        <is>
          <t>-</t>
        </is>
      </c>
      <c r="C21" s="33" t="inlineStr">
        <is>
          <t>-</t>
        </is>
      </c>
      <c r="D21" s="33" t="inlineStr">
        <is>
          <t>-</t>
        </is>
      </c>
      <c r="E21" s="33">
        <f>-E19-E20</f>
        <v/>
      </c>
      <c r="F21" s="33">
        <f>-F19-F20</f>
        <v/>
      </c>
      <c r="G21" s="33">
        <f>-G19-G20</f>
        <v/>
      </c>
      <c r="H21" s="33">
        <f>-H19-H20</f>
        <v/>
      </c>
      <c r="I21" s="33">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8">
        <f>'Income Statement'!B32</f>
        <v/>
      </c>
      <c r="C13" s="58">
        <f>'Income Statement'!C32</f>
        <v/>
      </c>
      <c r="D13" s="58">
        <f>'Income Statement'!D32</f>
        <v/>
      </c>
      <c r="E13" s="58">
        <f>'Income Statement'!E32</f>
        <v/>
      </c>
      <c r="F13" s="58">
        <f>'Income Statement'!F32</f>
        <v/>
      </c>
      <c r="G13" s="58">
        <f>'Income Statement'!G32</f>
        <v/>
      </c>
      <c r="H13" s="58">
        <f>'Income Statement'!H32</f>
        <v/>
      </c>
      <c r="I13" s="58">
        <f>'Income Statement'!I32</f>
        <v/>
      </c>
    </row>
    <row r="14">
      <c r="A14" s="6" t="inlineStr">
        <is>
          <t>Free cash flow to the firm</t>
        </is>
      </c>
      <c r="B14" s="33" t="inlineStr">
        <is>
          <t>-</t>
        </is>
      </c>
      <c r="C14" s="33" t="inlineStr">
        <is>
          <t>-</t>
        </is>
      </c>
      <c r="D14" s="33"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6">
        <f>'Balance Sheet'!B23</f>
        <v/>
      </c>
      <c r="C20" s="46">
        <f>'Balance Sheet'!C23</f>
        <v/>
      </c>
      <c r="D20" s="46">
        <f>'Balance Sheet'!D23</f>
        <v/>
      </c>
      <c r="E20" s="46">
        <f>'Balance Sheet'!E23</f>
        <v/>
      </c>
      <c r="F20" s="46">
        <f>'Balance Sheet'!F23</f>
        <v/>
      </c>
      <c r="G20" s="46">
        <f>'Balance Sheet'!G23</f>
        <v/>
      </c>
      <c r="H20" s="46">
        <f>'Balance Sheet'!H23</f>
        <v/>
      </c>
      <c r="I20" s="46">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34" t="inlineStr">
        <is>
          <t>2026-08-07</t>
        </is>
      </c>
    </row>
    <row r="19">
      <c r="A19" s="6" t="inlineStr">
        <is>
          <t>Resolved three-month forecasts scored</t>
        </is>
      </c>
      <c r="C19" s="29" t="n">
        <v>8</v>
      </c>
    </row>
    <row r="20">
      <c r="A20" s="6" t="inlineStr">
        <is>
          <t>Price finished inside the 90% band</t>
        </is>
      </c>
      <c r="C20" s="32" t="n">
        <v>0.875</v>
      </c>
    </row>
    <row r="21">
      <c r="A21" s="4" t="inlineStr">
        <is>
          <t>The price map is a dispersion forecast from the price series alone. It is deliberately not reconciled to the valuation lenses: one is a statement about what a price could do over weeks, the other about what a business is worth.</t>
        </is>
      </c>
      <c r="C21" s="32" t="n">
        <v>0.375</v>
      </c>
    </row>
    <row r="22">
      <c r="A22" s="6" t="inlineStr">
        <is>
          <t>Band width against a naive carry-anchored band</t>
        </is>
      </c>
      <c r="C22" s="34" t="n">
        <v>1.181952275030422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6.728083378789989</v>
      </c>
      <c r="C6" s="23" t="n">
        <v>6.906809600441632</v>
      </c>
      <c r="D6" s="23" t="n">
        <v>7.116249427717197</v>
      </c>
      <c r="E6" s="23" t="n">
        <v>7.366274120519086</v>
      </c>
    </row>
    <row r="7">
      <c r="A7" s="6" t="inlineStr">
        <is>
          <t>0.900</t>
        </is>
      </c>
      <c r="B7" s="23" t="n">
        <v>5.906348792912149</v>
      </c>
      <c r="C7" s="23" t="n">
        <v>6.013177127638978</v>
      </c>
      <c r="D7" s="23" t="n">
        <v>6.134806347064103</v>
      </c>
      <c r="E7" s="23" t="n">
        <v>6.275343312247685</v>
      </c>
    </row>
    <row r="8">
      <c r="A8" s="6" t="inlineStr">
        <is>
          <t>1.103</t>
        </is>
      </c>
      <c r="B8" s="23" t="n">
        <v>5.259742527779303</v>
      </c>
      <c r="C8" s="23" t="n">
        <v>5.32125418366628</v>
      </c>
      <c r="D8" s="23" t="n">
        <v>5.389209857567612</v>
      </c>
      <c r="E8" s="23" t="n">
        <v>5.465188765743561</v>
      </c>
    </row>
    <row r="9">
      <c r="A9" s="6" t="inlineStr">
        <is>
          <t>1.350</t>
        </is>
      </c>
      <c r="B9" s="23" t="n">
        <v>4.617282331362698</v>
      </c>
      <c r="C9" s="23" t="n">
        <v>4.643177472038053</v>
      </c>
      <c r="D9" s="23" t="n">
        <v>4.670102265596956</v>
      </c>
      <c r="E9" s="23" t="n">
        <v>4.698277698445229</v>
      </c>
    </row>
    <row r="10">
      <c r="A10" s="6" t="inlineStr">
        <is>
          <t>1.621</t>
        </is>
      </c>
      <c r="B10" s="23" t="n">
        <v>4.04406102323366</v>
      </c>
      <c r="C10" s="23" t="n">
        <v>4.045749698560035</v>
      </c>
      <c r="D10" s="23" t="n">
        <v>4.045566909808216</v>
      </c>
      <c r="E10" s="23" t="n">
        <v>4.043159213101122</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5.39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3.960529174125023</v>
      </c>
      <c r="C14" s="23" t="n">
        <v>4.674869515846321</v>
      </c>
      <c r="D14" s="23" t="n">
        <v>5.389209857567612</v>
      </c>
      <c r="E14" s="23" t="n">
        <v>6.103550199288907</v>
      </c>
      <c r="F14" s="23" t="n">
        <v>6.817890541010201</v>
      </c>
    </row>
    <row r="15">
      <c r="A15" s="6" t="inlineStr">
        <is>
          <t>Swing across the grid</t>
        </is>
      </c>
      <c r="C15" s="9">
        <f>MAX(B14:F14)-MIN(B14:F14)</f>
        <v/>
      </c>
    </row>
    <row r="16">
      <c r="A16" s="4" t="inlineStr">
        <is>
          <t>This row and the one below it are re-runs of the whole model at the same 8.66% cost of capital the valuation uses, so the 1.00x cell reproduces the published AED 5.39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5.775643184894931</v>
      </c>
      <c r="C19" s="23" t="n">
        <v>5.389209857567612</v>
      </c>
      <c r="D19" s="23" t="n">
        <v>5.002776530240293</v>
      </c>
      <c r="E19" s="23" t="n">
        <v>4.616343202912974</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5.280150790035071</v>
      </c>
      <c r="C24" s="23" t="n">
        <v>4.883674482048688</v>
      </c>
      <c r="D24" s="23" t="n">
        <v>4.288960020069105</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4">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53">
        <f>'Income Statement'!B31</f>
        <v/>
      </c>
      <c r="C5" s="53">
        <f>'Income Statement'!C31</f>
        <v/>
      </c>
      <c r="D5" s="53">
        <f>'Income Statement'!D31</f>
        <v/>
      </c>
      <c r="E5" s="53">
        <f>'Income Statement'!E31</f>
        <v/>
      </c>
      <c r="F5" s="53">
        <f>'Income Statement'!F31</f>
        <v/>
      </c>
      <c r="G5" s="53">
        <f>'Income Statement'!G31</f>
        <v/>
      </c>
      <c r="H5" s="53">
        <f>'Income Statement'!H31</f>
        <v/>
      </c>
      <c r="I5" s="53">
        <f>'Income Statement'!I31</f>
        <v/>
      </c>
    </row>
    <row r="6">
      <c r="A6" s="6" t="inlineStr">
        <is>
          <t>Earnings per ordinary share (AED)</t>
        </is>
      </c>
      <c r="B6" s="53">
        <f>'Income Statement'!B32</f>
        <v/>
      </c>
      <c r="C6" s="53">
        <f>'Income Statement'!C32</f>
        <v/>
      </c>
      <c r="D6" s="53">
        <f>'Income Statement'!D32</f>
        <v/>
      </c>
      <c r="E6" s="53">
        <f>'Income Statement'!E32</f>
        <v/>
      </c>
      <c r="F6" s="53">
        <f>'Income Statement'!F32</f>
        <v/>
      </c>
      <c r="G6" s="53">
        <f>'Income Statement'!G32</f>
        <v/>
      </c>
      <c r="H6" s="53">
        <f>'Income Statement'!H32</f>
        <v/>
      </c>
      <c r="I6" s="53">
        <f>'Income Statement'!I32</f>
        <v/>
      </c>
    </row>
    <row r="7">
      <c r="A7" s="6" t="inlineStr">
        <is>
          <t>Attributable profit per share (AED, before the perpetual coupon)</t>
        </is>
      </c>
      <c r="B7" s="53">
        <f>'Income Statement'!B28/Assumptions!$C$6/1000*Assumptions!$C$7</f>
        <v/>
      </c>
      <c r="C7" s="53">
        <f>'Income Statement'!C28/Assumptions!$C$6/1000*Assumptions!$C$7</f>
        <v/>
      </c>
      <c r="D7" s="53">
        <f>'Income Statement'!D28/Assumptions!$C$6/1000*Assumptions!$C$7</f>
        <v/>
      </c>
      <c r="E7" s="53">
        <f>'Income Statement'!E28/Assumptions!$C$6/1000*Assumptions!$C$7</f>
        <v/>
      </c>
      <c r="F7" s="53">
        <f>'Income Statement'!F28/Assumptions!$C$6/1000*Assumptions!$C$7</f>
        <v/>
      </c>
      <c r="G7" s="53">
        <f>'Income Statement'!G28/Assumptions!$C$6/1000*Assumptions!$C$7</f>
        <v/>
      </c>
      <c r="H7" s="53">
        <f>'Income Statement'!H28/Assumptions!$C$6/1000*Assumptions!$C$7</f>
        <v/>
      </c>
      <c r="I7" s="53">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53" t="inlineStr">
        <is>
          <t>-</t>
        </is>
      </c>
      <c r="C9" s="53" t="inlineStr">
        <is>
          <t>-</t>
        </is>
      </c>
      <c r="D9" s="53" t="inlineStr">
        <is>
          <t>-</t>
        </is>
      </c>
      <c r="E9" s="53">
        <f>'Cash Flow'!E15/Assumptions!$C$6/1000*Assumptions!$C$7</f>
        <v/>
      </c>
      <c r="F9" s="53">
        <f>'Cash Flow'!F15/Assumptions!$C$6/1000*Assumptions!$C$7</f>
        <v/>
      </c>
      <c r="G9" s="53">
        <f>'Cash Flow'!G15/Assumptions!$C$6/1000*Assumptions!$C$7</f>
        <v/>
      </c>
      <c r="H9" s="53">
        <f>'Cash Flow'!H15/Assumptions!$C$6/1000*Assumptions!$C$7</f>
        <v/>
      </c>
      <c r="I9" s="53">
        <f>'Cash Flow'!I15/Assumptions!$C$6/1000*Assumptions!$C$7</f>
        <v/>
      </c>
    </row>
    <row r="10">
      <c r="A10" s="6" t="inlineStr">
        <is>
          <t>Ordinary dividend per share (AED)</t>
        </is>
      </c>
      <c r="B10" s="53" t="inlineStr">
        <is>
          <t>-</t>
        </is>
      </c>
      <c r="C10" s="53" t="inlineStr">
        <is>
          <t>-</t>
        </is>
      </c>
      <c r="D10" s="53" t="inlineStr">
        <is>
          <t>-</t>
        </is>
      </c>
      <c r="E10" s="53">
        <f>'Balance Sheet'!B70*Assumptions!$C$7</f>
        <v/>
      </c>
      <c r="F10" s="53">
        <f>'Balance Sheet'!C70*Assumptions!$C$7</f>
        <v/>
      </c>
      <c r="G10" s="53">
        <f>'Balance Sheet'!D70*Assumptions!$C$7</f>
        <v/>
      </c>
      <c r="H10" s="53">
        <f>'Balance Sheet'!E70*Assumptions!$C$7</f>
        <v/>
      </c>
      <c r="I10" s="53">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4">
        <f>'Balance Sheet'!B23</f>
        <v/>
      </c>
      <c r="C18" s="44">
        <f>'Balance Sheet'!C23</f>
        <v/>
      </c>
      <c r="D18" s="44">
        <f>'Balance Sheet'!D23</f>
        <v/>
      </c>
      <c r="E18" s="44">
        <f>'Balance Sheet'!E23</f>
        <v/>
      </c>
      <c r="F18" s="44">
        <f>'Balance Sheet'!F23</f>
        <v/>
      </c>
      <c r="G18" s="44">
        <f>'Balance Sheet'!G23</f>
        <v/>
      </c>
      <c r="H18" s="44">
        <f>'Balance Sheet'!H23</f>
        <v/>
      </c>
      <c r="I18" s="44">
        <f>'Balance Sheet'!I23</f>
        <v/>
      </c>
    </row>
    <row r="19">
      <c r="A19" s="6" t="inlineStr">
        <is>
          <t>Interest cover (EBIT over finance costs)</t>
        </is>
      </c>
      <c r="B19" s="44">
        <f>-'Income Statement'!B12/'Income Statement'!B23</f>
        <v/>
      </c>
      <c r="C19" s="44">
        <f>-'Income Statement'!C12/'Income Statement'!C23</f>
        <v/>
      </c>
      <c r="D19" s="44">
        <f>-'Income Statement'!D12/'Income Statement'!D23</f>
        <v/>
      </c>
      <c r="E19" s="44">
        <f>-'Income Statement'!E12/'Income Statement'!E23</f>
        <v/>
      </c>
      <c r="F19" s="44">
        <f>-'Income Statement'!F12/'Income Statement'!F23</f>
        <v/>
      </c>
      <c r="G19" s="44">
        <f>-'Income Statement'!G12/'Income Statement'!G23</f>
        <v/>
      </c>
      <c r="H19" s="44">
        <f>-'Income Statement'!H12/'Income Statement'!H23</f>
        <v/>
      </c>
      <c r="I19" s="44">
        <f>-'Income Statement'!I12/'Income Statement'!I23</f>
        <v/>
      </c>
    </row>
    <row r="20">
      <c r="A20" s="6" t="inlineStr">
        <is>
          <t>Days sales outstanding</t>
        </is>
      </c>
      <c r="B20" s="40">
        <f>'Balance Sheet'!B12/'Income Statement'!B5*365</f>
        <v/>
      </c>
      <c r="C20" s="40">
        <f>'Balance Sheet'!C12/'Income Statement'!C5*365</f>
        <v/>
      </c>
      <c r="D20" s="40">
        <f>'Balance Sheet'!D12/'Income Statement'!D5*365</f>
        <v/>
      </c>
      <c r="E20" s="40">
        <f>'Balance Sheet'!E12/'Income Statement'!E5*365</f>
        <v/>
      </c>
      <c r="F20" s="40">
        <f>'Balance Sheet'!F12/'Income Statement'!F5*365</f>
        <v/>
      </c>
      <c r="G20" s="40">
        <f>'Balance Sheet'!G12/'Income Statement'!G5*365</f>
        <v/>
      </c>
      <c r="H20" s="40">
        <f>'Balance Sheet'!H12/'Income Statement'!H5*365</f>
        <v/>
      </c>
      <c r="I20" s="40">
        <f>'Balance Sheet'!I12/'Income Statement'!I5*365</f>
        <v/>
      </c>
    </row>
    <row r="21">
      <c r="A21" s="6" t="inlineStr">
        <is>
          <t>Days inventory outstanding</t>
        </is>
      </c>
      <c r="B21" s="40">
        <f>'Balance Sheet'!B11/'Income Statement'!B17*365</f>
        <v/>
      </c>
      <c r="C21" s="40">
        <f>'Balance Sheet'!C11/'Income Statement'!C17*365</f>
        <v/>
      </c>
      <c r="D21" s="40">
        <f>'Balance Sheet'!D11/'Income Statement'!D17*365</f>
        <v/>
      </c>
      <c r="E21" s="40">
        <f>'Balance Sheet'!E11/'Income Statement'!E17*365</f>
        <v/>
      </c>
      <c r="F21" s="40">
        <f>'Balance Sheet'!F11/'Income Statement'!F17*365</f>
        <v/>
      </c>
      <c r="G21" s="40">
        <f>'Balance Sheet'!G11/'Income Statement'!G17*365</f>
        <v/>
      </c>
      <c r="H21" s="40">
        <f>'Balance Sheet'!H11/'Income Statement'!H17*365</f>
        <v/>
      </c>
      <c r="I21" s="40">
        <f>'Balance Sheet'!I11/'Income Statement'!I17*365</f>
        <v/>
      </c>
    </row>
    <row r="22">
      <c r="A22" s="6" t="inlineStr">
        <is>
          <t>Days payable outstanding</t>
        </is>
      </c>
      <c r="B22" s="40">
        <f>'Balance Sheet'!B15/'Income Statement'!B17*365</f>
        <v/>
      </c>
      <c r="C22" s="40">
        <f>'Balance Sheet'!C15/'Income Statement'!C17*365</f>
        <v/>
      </c>
      <c r="D22" s="40">
        <f>'Balance Sheet'!D15/'Income Statement'!D17*365</f>
        <v/>
      </c>
      <c r="E22" s="40">
        <f>'Balance Sheet'!E15/'Income Statement'!E17*365</f>
        <v/>
      </c>
      <c r="F22" s="40">
        <f>'Balance Sheet'!F15/'Income Statement'!F17*365</f>
        <v/>
      </c>
      <c r="G22" s="40">
        <f>'Balance Sheet'!G15/'Income Statement'!G17*365</f>
        <v/>
      </c>
      <c r="H22" s="40">
        <f>'Balance Sheet'!H15/'Income Statement'!H17*365</f>
        <v/>
      </c>
      <c r="I22" s="40">
        <f>'Balance Sheet'!I15/'Income Statement'!I17*365</f>
        <v/>
      </c>
    </row>
    <row r="23">
      <c r="A23" s="6" t="inlineStr">
        <is>
          <t>Cash conversion cycle (days)</t>
        </is>
      </c>
      <c r="B23" s="40">
        <f>B20+B21-B22</f>
        <v/>
      </c>
      <c r="C23" s="40">
        <f>C20+C21-C22</f>
        <v/>
      </c>
      <c r="D23" s="40">
        <f>D20+D21-D22</f>
        <v/>
      </c>
      <c r="E23" s="40">
        <f>E20+E21-E22</f>
        <v/>
      </c>
      <c r="F23" s="40">
        <f>F20+F21-F22</f>
        <v/>
      </c>
      <c r="G23" s="40">
        <f>G20+G21-G22</f>
        <v/>
      </c>
      <c r="H23" s="40">
        <f>H20+H21-H22</f>
        <v/>
      </c>
      <c r="I23" s="40">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Normalized'!$C$30</f>
        <v/>
      </c>
    </row>
    <row r="29">
      <c r="A29" s="6" t="inlineStr">
        <is>
          <t>Market capitalisation (USD 000)</t>
        </is>
      </c>
      <c r="C29" s="20">
        <f>'Relative &amp; Normalized'!$C$31</f>
        <v/>
      </c>
    </row>
    <row r="30">
      <c r="A30" s="6" t="inlineStr">
        <is>
          <t>Enterprise value (USD 000)</t>
        </is>
      </c>
      <c r="C30" s="20">
        <f>'Relative &amp; Normalized'!$C$33</f>
        <v/>
      </c>
    </row>
    <row r="31">
      <c r="A31" s="6" t="inlineStr">
        <is>
          <t>Enterprise value / 2025 reported EBITDA</t>
        </is>
      </c>
      <c r="C31" s="46">
        <f>'Relative &amp; Normalized'!$C$34</f>
        <v/>
      </c>
    </row>
    <row r="32">
      <c r="A32" s="6" t="inlineStr">
        <is>
          <t>Enterprise value / FY2026E EBITDA</t>
        </is>
      </c>
      <c r="C32" s="46">
        <f>'Relative &amp; Normalized'!$C$35</f>
        <v/>
      </c>
    </row>
    <row r="33">
      <c r="A33" s="6" t="inlineStr">
        <is>
          <t>Price / 2025 ordinary earnings</t>
        </is>
      </c>
      <c r="C33" s="46">
        <f>'Relative &amp; Normalized'!$C$36</f>
        <v/>
      </c>
    </row>
    <row r="34">
      <c r="A34" s="6" t="inlineStr">
        <is>
          <t>Price / book at 31 March 2026</t>
        </is>
      </c>
      <c r="C34" s="46">
        <f>'Relative &amp; Normalized'!$C$38</f>
        <v/>
      </c>
    </row>
    <row r="35">
      <c r="A35" s="6" t="inlineStr">
        <is>
          <t>Dividend yield on the 2026 distribution</t>
        </is>
      </c>
      <c r="C35" s="8">
        <f>'Relative &amp; Normalized'!$C$39</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9" t="n">
        <v>12.26</v>
      </c>
      <c r="E5" s="59" t="n">
        <v>13.97</v>
      </c>
      <c r="F5" s="59" t="n">
        <v>14.15</v>
      </c>
      <c r="G5" s="59"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9" t="n">
        <v>8.960000000000001</v>
      </c>
      <c r="E6" s="59" t="n">
        <v>6.44</v>
      </c>
      <c r="F6" s="59" t="n">
        <v>9.98</v>
      </c>
      <c r="G6" s="59"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9" t="n">
        <v>8.1</v>
      </c>
      <c r="E7" s="59" t="inlineStr">
        <is>
          <t>n/a</t>
        </is>
      </c>
      <c r="F7" s="59" t="inlineStr">
        <is>
          <t>n/a</t>
        </is>
      </c>
      <c r="G7" s="59"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4">
        <f>D5</f>
        <v/>
      </c>
    </row>
    <row r="11">
      <c r="A11" s="6" t="inlineStr">
        <is>
          <t>Spot-tanker multiple — the two spot owners averaged</t>
        </is>
      </c>
      <c r="C11" s="44">
        <f>(D6+D7)/2</f>
        <v/>
      </c>
    </row>
    <row r="12">
      <c r="A12" s="6" t="inlineStr">
        <is>
          <t>Share of 2026 earnings exposed to spot rates, as disclosed</t>
        </is>
      </c>
      <c r="C12" s="8">
        <f>Assumptions!$C$196</f>
        <v/>
      </c>
    </row>
    <row r="13">
      <c r="A13" s="6" t="inlineStr">
        <is>
          <t>Blended enterprise multiple</t>
        </is>
      </c>
      <c r="C13" s="44">
        <f>(1-C12)*C10+C12*C11</f>
        <v/>
      </c>
    </row>
    <row r="14">
      <c r="A14" s="6" t="inlineStr">
        <is>
          <t>Contracted-shipping forward price/earnings</t>
        </is>
      </c>
      <c r="C14" s="44">
        <f>E5</f>
        <v/>
      </c>
    </row>
    <row r="15">
      <c r="A15" s="6" t="inlineStr">
        <is>
          <t>Spot-tanker forward price/earnings</t>
        </is>
      </c>
      <c r="C15" s="44">
        <f>E6</f>
        <v/>
      </c>
    </row>
    <row r="16">
      <c r="A16" s="6" t="inlineStr">
        <is>
          <t>Blended forward price/earnings — the multiple the relative lens applies to forward earnings</t>
        </is>
      </c>
      <c r="C16" s="44">
        <f>(1-C12)*C14+C12*C15</f>
        <v/>
      </c>
    </row>
    <row r="17">
      <c r="A17" s="6" t="inlineStr">
        <is>
          <t>Contracted-shipping trailing price/earnings</t>
        </is>
      </c>
      <c r="C17" s="44">
        <f>F5</f>
        <v/>
      </c>
    </row>
    <row r="18">
      <c r="A18" s="6" t="inlineStr">
        <is>
          <t>Spot-tanker trailing price/earnings</t>
        </is>
      </c>
      <c r="C18" s="44">
        <f>F6</f>
        <v/>
      </c>
    </row>
    <row r="19">
      <c r="A19" s="6" t="inlineStr">
        <is>
          <t>Blended trailing price/earnings — the same blend on the trailing basis, so the company can be compared with the peers on either basis rather than one against the other</t>
        </is>
      </c>
      <c r="C19" s="44">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6">
        <f>'Relative &amp; Normalized'!$C$34</f>
        <v/>
      </c>
    </row>
    <row r="23">
      <c r="A23" s="6" t="inlineStr">
        <is>
          <t>Enterprise value / FY2026E EBITDA</t>
        </is>
      </c>
      <c r="C23" s="46">
        <f>'Relative &amp; Normalized'!$C$35</f>
        <v/>
      </c>
    </row>
    <row r="24">
      <c r="A24" s="6" t="inlineStr">
        <is>
          <t>Price / 2025 ordinary earnings — trailing, against the blended trailing multiple above</t>
        </is>
      </c>
      <c r="C24" s="46">
        <f>'Relative &amp; Normalized'!$C$36</f>
        <v/>
      </c>
    </row>
    <row r="25">
      <c r="A25" s="6" t="inlineStr">
        <is>
          <t>Price / FY2026E ordinary earnings — forward, against the blended forward multiple above</t>
        </is>
      </c>
      <c r="C25" s="46">
        <f>'Relative &amp; Normalized'!$C$37</f>
        <v/>
      </c>
    </row>
    <row r="26">
      <c r="A26" s="6" t="inlineStr">
        <is>
          <t>Price / book at 31 March 2026</t>
        </is>
      </c>
      <c r="C26" s="46">
        <f>'Relative &amp; Normalized'!$C$38</f>
        <v/>
      </c>
    </row>
    <row r="27">
      <c r="A27" s="6" t="inlineStr">
        <is>
          <t>Dividend yield on the 2026 distribution</t>
        </is>
      </c>
      <c r="C27" s="8">
        <f>'Relative &amp; Normalized'!$C$39</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2026-09-10T15:00:07Z</dcterms:created>
  <dcterms:modified xmlns:dcterms="http://purl.org/dc/terms/" xmlns:xsi="http://www.w3.org/2001/XMLSchema-instance" xsi:type="dcterms:W3CDTF">2026-09-10T15:00:07Z</dcterms:modified>
</cp:coreProperties>
</file>