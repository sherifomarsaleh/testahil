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0.705.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Assumptions!$C$170</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Assumptions!$C$171</f>
        <v/>
      </c>
      <c r="F6" s="9">
        <f>C6*E6</f>
        <v/>
      </c>
      <c r="G6" s="10">
        <f>C6/$C$16-1</f>
        <v/>
      </c>
    </row>
    <row r="7">
      <c r="A7" s="6" t="inlineStr">
        <is>
          <t>Normalised earnings power</t>
        </is>
      </c>
      <c r="B7" s="7">
        <f>'Relative &amp; Normalized'!$C$58</f>
        <v/>
      </c>
      <c r="C7" s="7">
        <f>'Relative &amp; Normalized'!$C$53</f>
        <v/>
      </c>
      <c r="D7" s="7">
        <f>'Relative &amp; Normalized'!$D$58</f>
        <v/>
      </c>
      <c r="E7" s="8">
        <f>Assumptions!$C$172</f>
        <v/>
      </c>
      <c r="F7" s="9">
        <f>C7*E7</f>
        <v/>
      </c>
      <c r="G7" s="10">
        <f>C7/$C$16-1</f>
        <v/>
      </c>
    </row>
    <row r="8">
      <c r="A8" s="6" t="inlineStr">
        <is>
          <t>Book value and sustainable return</t>
        </is>
      </c>
      <c r="B8" s="7">
        <f>'Relative &amp; Normalized'!$C$102</f>
        <v/>
      </c>
      <c r="C8" s="7">
        <f>'Relative &amp; Normalized'!$C$80</f>
        <v/>
      </c>
      <c r="D8" s="7">
        <f>'Relative &amp; Normalized'!$D$102</f>
        <v/>
      </c>
      <c r="E8" s="8">
        <f>Assumptions!$C$173</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DCF!$C$141</f>
        <v/>
      </c>
      <c r="D12" s="9">
        <f>D5</f>
        <v/>
      </c>
      <c r="E12" s="10">
        <f>E5</f>
        <v/>
      </c>
      <c r="F12" s="9">
        <f>C12*E12</f>
        <v/>
      </c>
      <c r="G12" s="10">
        <f>C12/$C$16-1</f>
        <v/>
      </c>
      <c r="H12" s="8">
        <f>DCF!$C$136</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f>Assumptions!$C$5</f>
        <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DCF!$C$97</f>
        <v/>
      </c>
    </row>
    <row r="21">
      <c r="A21" s="6" t="inlineStr">
        <is>
          <t>Enterprise value at the anchor price (USD 000)</t>
        </is>
      </c>
      <c r="C21" s="18">
        <f>'Relative &amp; Normalized'!$C$32</f>
        <v/>
      </c>
    </row>
    <row r="22">
      <c r="A22" s="6" t="inlineStr">
        <is>
          <t>Net debt at 31 March 2026, including the deferred consideration and the eleven vessels bought on 7 August 2026 (USD 000)</t>
        </is>
      </c>
      <c r="C22" s="18">
        <f>'Relative &amp; Normalized'!$C$31</f>
        <v/>
      </c>
    </row>
    <row r="23">
      <c r="A23" s="6" t="inlineStr">
        <is>
          <t>The eleven vessels bought on 7 August 2026, at the announced price (USD 000)</t>
        </is>
      </c>
      <c r="C23" s="18">
        <f>Assumptions!$C$82</f>
        <v/>
      </c>
    </row>
    <row r="24">
      <c r="A24" s="6" t="inlineStr">
        <is>
          <t>FY2025 revenue (USD 000)</t>
        </is>
      </c>
      <c r="C24" s="18">
        <f>'Income Statement'!D5</f>
        <v/>
      </c>
    </row>
    <row r="25">
      <c r="A25" s="6" t="inlineStr">
        <is>
          <t>FY2025 EBITDA as reported (USD 000)</t>
        </is>
      </c>
      <c r="C25" s="18">
        <f>'Income Statement'!D16</f>
        <v/>
      </c>
    </row>
    <row r="26">
      <c r="A26" s="6" t="inlineStr">
        <is>
          <t>FY2025 profit attributable to shareholders (USD 000)</t>
        </is>
      </c>
      <c r="C26" s="18">
        <f>'Income Statement'!D28</f>
        <v/>
      </c>
    </row>
    <row r="27">
      <c r="A27" s="6" t="inlineStr">
        <is>
          <t>Cost of equity — published-index beta (primary)</t>
        </is>
      </c>
      <c r="C27" s="19">
        <f>DCF!$C$69</f>
        <v/>
      </c>
    </row>
    <row r="28">
      <c r="A28" s="6" t="inlineStr">
        <is>
          <t>Cost of equity — composite-index beta (alternative)</t>
        </is>
      </c>
      <c r="C28" s="19">
        <f>DCF!$C$115</f>
        <v/>
      </c>
    </row>
    <row r="29">
      <c r="A29" s="6" t="inlineStr">
        <is>
          <t>Cost of equity at the lower 90% confidence bound on the primary beta</t>
        </is>
      </c>
      <c r="C29" s="19">
        <f>DCF!$C$123</f>
        <v/>
      </c>
    </row>
    <row r="30">
      <c r="A30" s="6" t="inlineStr">
        <is>
          <t>Cost of equity at the upper 90% confidence bound on the primary beta</t>
        </is>
      </c>
      <c r="C30" s="19">
        <f>DCF!$C$124</f>
        <v/>
      </c>
    </row>
    <row r="31">
      <c r="A31" s="6" t="inlineStr">
        <is>
          <t>Cost of debt — the three constructions averaged (a simple average, not a weighted figure)</t>
        </is>
      </c>
      <c r="C31" s="19">
        <f>DCF!$C$92</f>
        <v/>
      </c>
    </row>
    <row r="32">
      <c r="A32" s="6" t="inlineStr">
        <is>
          <t>Cost of debt — the balance-weighted construction alone, published beside the average rather than in place of it</t>
        </is>
      </c>
      <c r="C32" s="19">
        <f>DCF!$C$93</f>
        <v/>
      </c>
    </row>
    <row r="33">
      <c r="A33" s="6" t="inlineStr">
        <is>
          <t>Cost of capital — explicit window</t>
        </is>
      </c>
      <c r="C33" s="19">
        <f>DCF!$C$105</f>
        <v/>
      </c>
    </row>
    <row r="34">
      <c r="A34" s="6" t="inlineStr">
        <is>
          <t>Cost of capital — terminal</t>
        </is>
      </c>
      <c r="C34" s="19">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DCF!$C$62</f>
        <v/>
      </c>
    </row>
    <row r="6" ht="28" customHeight="1">
      <c r="A6" s="6" t="inlineStr">
        <is>
          <t xml:space="preserve">  bear</t>
        </is>
      </c>
      <c r="B6" s="20" t="inlineStr">
        <is>
          <t>beta 1.621 — the TOP of the regression's own 90% confidence interval, not a round number picked by hand — with the rate anchor at 0.85x and capital expenditure at 1.10x. A whole-model re-run</t>
        </is>
      </c>
      <c r="C6" s="21" t="n">
        <v>3.417404968021705</v>
      </c>
    </row>
    <row r="7" ht="28" customHeight="1">
      <c r="A7" s="6" t="inlineStr">
        <is>
          <t xml:space="preserve">  bull</t>
        </is>
      </c>
      <c r="B7" s="20" t="inlineStr">
        <is>
          <t>beta 0.586 — the BOTTOM of the same interval — with the rate anchor at 1.15x and capital expenditure at 0.95x. Taking both bounds from the interval means the published range is the range the estimate itself supports. A whole-model re-run</t>
        </is>
      </c>
      <c r="C7" s="21" t="n">
        <v>12.2389432347382</v>
      </c>
    </row>
    <row r="8" ht="28" customHeight="1">
      <c r="A8" s="6" t="inlineStr">
        <is>
          <t>Relative multiples</t>
        </is>
      </c>
      <c r="B8" s="20" t="inlineStr">
        <is>
          <t>blended enterprise and earnings multiples on 2026 earnings</t>
        </is>
      </c>
      <c r="C8" s="7">
        <f>'Relative &amp; Normalized'!$C$21</f>
        <v/>
      </c>
    </row>
    <row r="9" ht="28" customHeight="1">
      <c r="A9" s="6" t="inlineStr">
        <is>
          <t>Normalised earnings power</t>
        </is>
      </c>
      <c r="B9" s="20" t="inlineStr">
        <is>
          <t>the same multiples on the five-year average of the forecast</t>
        </is>
      </c>
      <c r="C9" s="7">
        <f>'Relative &amp; Normalized'!$C$53</f>
        <v/>
      </c>
    </row>
    <row r="10" ht="28" customHeight="1">
      <c r="A10" s="6" t="inlineStr">
        <is>
          <t>Book value and sustainable return</t>
        </is>
      </c>
      <c r="B10" s="20"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159 weekly observations, R-squared 18.1%, standard error 0.315, 90% confidence interval 0.586 to 1.621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DCF!$C$69</f>
        <v/>
      </c>
    </row>
    <row r="17" ht="26" customHeight="1">
      <c r="A17" s="6" t="inlineStr">
        <is>
          <t>Cost of capital on the published-index beta</t>
        </is>
      </c>
      <c r="B17" s="20" t="inlineStr">
        <is>
          <t>explicit window, market-value weights</t>
        </is>
      </c>
      <c r="C17" s="19">
        <f>DCF!$C$105</f>
        <v/>
      </c>
    </row>
    <row r="18" ht="26" customHeight="1">
      <c r="A18" s="6" t="inlineStr">
        <is>
          <t>Fair value per share — published-index beta (AED)</t>
        </is>
      </c>
      <c r="B18" s="20" t="inlineStr">
        <is>
          <t>the primary reading</t>
        </is>
      </c>
      <c r="C18" s="7">
        <f>DCF!$C$62</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DCF!$C$115</f>
        <v/>
      </c>
    </row>
    <row r="22" ht="26" customHeight="1">
      <c r="A22" s="6" t="inlineStr">
        <is>
          <t>Cost of capital on the composite-index beta</t>
        </is>
      </c>
      <c r="B22" s="20" t="inlineStr">
        <is>
          <t>explicit window, market-value weights</t>
        </is>
      </c>
      <c r="C22" s="19">
        <f>DCF!$C$117</f>
        <v/>
      </c>
    </row>
    <row r="23" ht="26" customHeight="1">
      <c r="A23" s="6" t="inlineStr">
        <is>
          <t>Fair value per share — composite-index beta (AED)</t>
        </is>
      </c>
      <c r="B23" s="20" t="inlineStr">
        <is>
          <t>the alternative reading</t>
        </is>
      </c>
      <c r="C23" s="7">
        <f>DCF!$C$141</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7.308901618653692</v>
      </c>
      <c r="D31" s="21" t="n">
        <v>5.481676213990269</v>
      </c>
      <c r="E31" s="21" t="n">
        <v>9.136127023317115</v>
      </c>
    </row>
    <row r="32">
      <c r="A32" s="6" t="inlineStr">
        <is>
          <t>Expert 2</t>
        </is>
      </c>
      <c r="B32" s="6" t="inlineStr">
        <is>
          <t>owner cash earnings</t>
        </is>
      </c>
      <c r="C32" s="21" t="n">
        <v>6.226950849542018</v>
      </c>
      <c r="D32" s="21" t="n">
        <v>4.183627650976118</v>
      </c>
      <c r="E32" s="21" t="n">
        <v>10.54299487474104</v>
      </c>
    </row>
    <row r="33">
      <c r="A33" s="6" t="inlineStr">
        <is>
          <t>Expert 3</t>
        </is>
      </c>
      <c r="B33" s="6" t="inlineStr">
        <is>
          <t>cash returns against the cost of capital</t>
        </is>
      </c>
      <c r="C33" s="21" t="n">
        <v>4.798904529252498</v>
      </c>
      <c r="D33" s="21" t="n">
        <v>3.432639967125382</v>
      </c>
      <c r="E33" s="21" t="n">
        <v>5.866633504326449</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5"/>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1.1032</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0.5855</v>
      </c>
    </row>
    <row r="17">
      <c r="A17" s="6" t="inlineStr">
        <is>
          <t>Beta — upper bound of the regression's 90% confidence interval (the bear-case beta)</t>
        </is>
      </c>
      <c r="C17" s="29" t="n">
        <v>1.621</v>
      </c>
    </row>
    <row r="18">
      <c r="A18" s="6" t="inlineStr">
        <is>
          <t>Beta — the measured slope shrunk toward the market: two-thirds of it plus one-third of 1.0</t>
        </is>
      </c>
      <c r="C18" s="29" t="n">
        <v>1.0688</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 at 31 December 2025</t>
        </is>
      </c>
      <c r="B38" s="27" t="n">
        <v>2</v>
      </c>
      <c r="C38" s="27" t="n">
        <v>16</v>
      </c>
      <c r="D38" s="27" t="n">
        <v>9</v>
      </c>
      <c r="E38" s="27" t="n">
        <v>17</v>
      </c>
      <c r="F38" s="27" t="n">
        <v>9</v>
      </c>
    </row>
    <row r="39">
      <c r="A39" s="6" t="inlineStr">
        <is>
          <t>Less vessels sold between the year end and the valuation date</t>
        </is>
      </c>
      <c r="B39" s="27" t="n">
        <v>0</v>
      </c>
      <c r="C39" s="27" t="n">
        <v>0</v>
      </c>
      <c r="D39" s="27" t="n">
        <v>0</v>
      </c>
      <c r="E39" s="27" t="n">
        <v>0</v>
      </c>
      <c r="F39" s="27" t="n">
        <v>1</v>
      </c>
    </row>
    <row r="41">
      <c r="A41" s="11" t="inlineStr">
        <is>
          <t>Tanker rates — the published blended rate by class and quarter (USD per day). It is a BLEND across the whole class, charters out included; the spot rate is solved out of it on the Segments sheet, never read off it</t>
        </is>
      </c>
      <c r="B41" s="14" t="inlineStr">
        <is>
          <t>First quarter</t>
        </is>
      </c>
      <c r="C41" s="14" t="inlineStr">
        <is>
          <t>Second quarter</t>
        </is>
      </c>
      <c r="D41" s="14" t="inlineStr">
        <is>
          <t>Third quarter</t>
        </is>
      </c>
      <c r="E41" s="14" t="inlineStr">
        <is>
          <t>Fourth quarter</t>
        </is>
      </c>
      <c r="F41" s="14" t="n"/>
      <c r="G41" s="14" t="n"/>
      <c r="H41" s="14" t="n"/>
    </row>
    <row r="42">
      <c r="A42" s="6" t="inlineStr">
        <is>
          <t>Long range 1 — 2024</t>
        </is>
      </c>
      <c r="B42" s="27" t="n">
        <v>51645</v>
      </c>
      <c r="C42" s="27" t="n">
        <v>49424</v>
      </c>
      <c r="D42" s="27" t="n">
        <v>31911</v>
      </c>
      <c r="E42" s="27" t="n">
        <v>27640</v>
      </c>
    </row>
    <row r="43">
      <c r="A43" s="6" t="inlineStr">
        <is>
          <t>Long range 2 — 2024</t>
        </is>
      </c>
      <c r="B43" s="27" t="n">
        <v>60038</v>
      </c>
      <c r="C43" s="27" t="n">
        <v>63734</v>
      </c>
      <c r="D43" s="27" t="n">
        <v>36237</v>
      </c>
      <c r="E43" s="27" t="n">
        <v>32034</v>
      </c>
    </row>
    <row r="44">
      <c r="A44" s="6" t="inlineStr">
        <is>
          <t>Very large crude carrier — 2024</t>
        </is>
      </c>
      <c r="B44" s="27" t="n">
        <v>54580</v>
      </c>
      <c r="C44" s="27" t="n">
        <v>46097</v>
      </c>
      <c r="D44" s="27" t="n">
        <v>39681</v>
      </c>
      <c r="E44" s="27" t="n">
        <v>33167</v>
      </c>
    </row>
    <row r="45">
      <c r="A45" s="6" t="inlineStr">
        <is>
          <t>Medium range — 2025</t>
        </is>
      </c>
      <c r="B45" s="27" t="n">
        <v>23459</v>
      </c>
      <c r="C45" s="27" t="n">
        <v>25161</v>
      </c>
      <c r="D45" s="27" t="n">
        <v>23391</v>
      </c>
      <c r="E45" s="27"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7" t="n">
        <v>21546</v>
      </c>
      <c r="C46" s="27" t="n">
        <v>24225</v>
      </c>
      <c r="D46" s="27" t="n">
        <v>24452</v>
      </c>
      <c r="E46" s="27" t="n">
        <v>26574</v>
      </c>
    </row>
    <row r="47">
      <c r="A47" s="6" t="inlineStr">
        <is>
          <t>Long range 2 — 2025</t>
        </is>
      </c>
      <c r="B47" s="27" t="n">
        <v>31033</v>
      </c>
      <c r="C47" s="27" t="n">
        <v>35533</v>
      </c>
      <c r="D47" s="27" t="n">
        <v>34410</v>
      </c>
      <c r="E47" s="27" t="n">
        <v>41973</v>
      </c>
    </row>
    <row r="48">
      <c r="A48" s="6" t="inlineStr">
        <is>
          <t>Very large crude carrier — 2025</t>
        </is>
      </c>
      <c r="B48" s="27" t="n">
        <v>39245</v>
      </c>
      <c r="C48" s="27" t="n">
        <v>44350</v>
      </c>
      <c r="D48" s="27" t="n">
        <v>40996</v>
      </c>
      <c r="E48" s="27" t="n">
        <v>85273</v>
      </c>
    </row>
    <row r="50">
      <c r="A50" s="11" t="inlineStr">
        <is>
          <t>Tanker rates — the published blended rate by class, the two disclosed quarters of 2026 (USD per day)</t>
        </is>
      </c>
      <c r="B50" s="14" t="inlineStr">
        <is>
          <t>First quarter 2026</t>
        </is>
      </c>
      <c r="C50" s="14" t="inlineStr">
        <is>
          <t>Second quarter 2026</t>
        </is>
      </c>
      <c r="D50" s="14" t="n"/>
      <c r="E50" s="14" t="n"/>
      <c r="F50" s="14" t="n"/>
      <c r="G50" s="14" t="n"/>
      <c r="H50" s="14" t="n"/>
    </row>
    <row r="51">
      <c r="A51" s="6" t="inlineStr">
        <is>
          <t>Medium range</t>
        </is>
      </c>
      <c r="B51" s="27" t="n">
        <v>30000</v>
      </c>
      <c r="C51" s="27" t="n">
        <v>44000</v>
      </c>
    </row>
    <row r="52">
      <c r="A52" s="6" t="inlineStr">
        <is>
          <t>Long range 1</t>
        </is>
      </c>
      <c r="B52" s="27" t="n">
        <v>36000</v>
      </c>
      <c r="C52" s="27" t="n">
        <v>55000</v>
      </c>
    </row>
    <row r="53">
      <c r="A53" s="6" t="inlineStr">
        <is>
          <t>Long range 2</t>
        </is>
      </c>
      <c r="B53" s="27" t="n">
        <v>58000</v>
      </c>
      <c r="C53" s="27" t="n">
        <v>95000</v>
      </c>
    </row>
    <row r="54">
      <c r="A54" s="6" t="inlineStr">
        <is>
          <t>Very large crude carrier</t>
        </is>
      </c>
      <c r="B54" s="27" t="n">
        <v>145000</v>
      </c>
      <c r="C54" s="27" t="n">
        <v>260000</v>
      </c>
    </row>
    <row r="56">
      <c r="A56" s="11" t="inlineStr">
        <is>
          <t>The smallest tankers, which the rate disclosure does not break out</t>
        </is>
      </c>
      <c r="B56" s="14" t="n"/>
      <c r="C56" s="14" t="n"/>
      <c r="D56" s="14" t="n"/>
      <c r="E56" s="14" t="n"/>
      <c r="F56" s="14" t="n"/>
      <c r="G56" s="14" t="n"/>
      <c r="H56" s="14"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6" t="n">
        <v>0.79</v>
      </c>
    </row>
    <row r="59">
      <c r="A59" s="11" t="inlineStr">
        <is>
          <t>Tanker charters out — the twelve fixtures as disclosed, each at its own rate for exactly the days its own contract runs</t>
        </is>
      </c>
      <c r="B59" s="14" t="inlineStr">
        <is>
          <t>Rate (USD per day)</t>
        </is>
      </c>
      <c r="C59" s="14" t="inlineStr">
        <is>
          <t>Contract begins</t>
        </is>
      </c>
      <c r="D59" s="14" t="inlineStr">
        <is>
          <t>Contract ends</t>
        </is>
      </c>
      <c r="E59" s="14" t="n"/>
      <c r="F59" s="14" t="n"/>
      <c r="G59" s="14" t="n"/>
      <c r="H59" s="14" t="n"/>
    </row>
    <row r="60">
      <c r="A60" s="6" t="inlineStr">
        <is>
          <t>Navig8 Macallister — long range 1, fixed for 20 months</t>
        </is>
      </c>
      <c r="B60" s="27" t="n">
        <v>19750</v>
      </c>
      <c r="C60" s="31" t="n">
        <v>45866</v>
      </c>
      <c r="D60" s="31" t="n">
        <v>46474</v>
      </c>
    </row>
    <row r="61">
      <c r="A61" s="6" t="inlineStr">
        <is>
          <t>Navig8 Martinez — long range 1, fixed for 32 months</t>
        </is>
      </c>
      <c r="B61" s="27" t="n">
        <v>19750</v>
      </c>
      <c r="C61" s="31" t="n">
        <v>45866</v>
      </c>
      <c r="D61" s="31" t="n">
        <v>46840</v>
      </c>
    </row>
    <row r="62">
      <c r="A62" s="6" t="inlineStr">
        <is>
          <t>Navig8 Prosperity — long range 2, fixed for 36 months</t>
        </is>
      </c>
      <c r="B62" s="27" t="n">
        <v>30561</v>
      </c>
      <c r="C62" s="31" t="n">
        <v>45050</v>
      </c>
      <c r="D62" s="31" t="n">
        <v>46146</v>
      </c>
    </row>
    <row r="63">
      <c r="A63" s="6" t="inlineStr">
        <is>
          <t>Navig8 Promise — long range 2, fixed for 12 months</t>
        </is>
      </c>
      <c r="B63" s="27" t="n">
        <v>32125</v>
      </c>
      <c r="C63" s="31" t="n">
        <v>45840</v>
      </c>
      <c r="D63" s="31" t="n">
        <v>46205</v>
      </c>
    </row>
    <row r="64">
      <c r="A64" s="6" t="inlineStr">
        <is>
          <t>Navig8 Pride — long range 2, fixed for 12 months</t>
        </is>
      </c>
      <c r="B64" s="27" t="n">
        <v>32125</v>
      </c>
      <c r="C64" s="31" t="n">
        <v>45847</v>
      </c>
      <c r="D64" s="31" t="n">
        <v>46212</v>
      </c>
    </row>
    <row r="65">
      <c r="A65" s="6" t="inlineStr">
        <is>
          <t>Navig8 Prestige — long range 2, fixed for 12 months</t>
        </is>
      </c>
      <c r="B65" s="27" t="n">
        <v>36850</v>
      </c>
      <c r="C65" s="31" t="n">
        <v>45938</v>
      </c>
      <c r="D65" s="31" t="n">
        <v>46303</v>
      </c>
    </row>
    <row r="66">
      <c r="A66" s="6" t="inlineStr">
        <is>
          <t>Navig8 Providence — long range 2, fixed for 12 months</t>
        </is>
      </c>
      <c r="B66" s="27" t="n">
        <v>42000</v>
      </c>
      <c r="C66" s="31" t="n">
        <v>46053</v>
      </c>
      <c r="D66" s="31" t="n">
        <v>46418</v>
      </c>
    </row>
    <row r="67">
      <c r="A67" s="6" t="inlineStr">
        <is>
          <t>Navig8 Passion — long range 2, fixed for 12 months</t>
        </is>
      </c>
      <c r="B67" s="27" t="n">
        <v>42000</v>
      </c>
      <c r="C67" s="31" t="n">
        <v>46059</v>
      </c>
      <c r="D67" s="31" t="n">
        <v>46424</v>
      </c>
    </row>
    <row r="68">
      <c r="A68" s="6" t="inlineStr">
        <is>
          <t>Zakum — very large crude carrier, fixed for 22 months</t>
        </is>
      </c>
      <c r="B68" s="27" t="n">
        <v>50633</v>
      </c>
      <c r="C68" s="31" t="n">
        <v>45963</v>
      </c>
      <c r="D68" s="31" t="n">
        <v>46632</v>
      </c>
    </row>
    <row r="69">
      <c r="A69" s="6" t="inlineStr">
        <is>
          <t>Hili — very large crude carrier, fixed for 22 months</t>
        </is>
      </c>
      <c r="B69" s="27" t="n">
        <v>50633</v>
      </c>
      <c r="C69" s="31" t="n">
        <v>45977</v>
      </c>
      <c r="D69" s="31" t="n">
        <v>46646</v>
      </c>
    </row>
    <row r="70">
      <c r="A70" s="6" t="inlineStr">
        <is>
          <t>Arzanah — very large crude carrier, fixed for 12 months</t>
        </is>
      </c>
      <c r="B70" s="27" t="n">
        <v>70000</v>
      </c>
      <c r="C70" s="31" t="n">
        <v>46054</v>
      </c>
      <c r="D70" s="31" t="n">
        <v>46419</v>
      </c>
    </row>
    <row r="71">
      <c r="A71" s="6" t="inlineStr">
        <is>
          <t>Habshan — very large crude carrier, fixed for 12 months</t>
        </is>
      </c>
      <c r="B71" s="27" t="n">
        <v>72500</v>
      </c>
      <c r="C71" s="31" t="n">
        <v>46074</v>
      </c>
      <c r="D71" s="31" t="n">
        <v>46439</v>
      </c>
    </row>
    <row r="73">
      <c r="A73" s="11" t="inlineStr">
        <is>
          <t>Rate windows and forecast years — the calendar the fleet build runs on (dates)</t>
        </is>
      </c>
      <c r="B73" s="14" t="inlineStr">
        <is>
          <t>Q1 2025</t>
        </is>
      </c>
      <c r="C73" s="14" t="inlineStr">
        <is>
          <t>Q2 2025</t>
        </is>
      </c>
      <c r="D73" s="14" t="inlineStr">
        <is>
          <t>Q3 2025</t>
        </is>
      </c>
      <c r="E73" s="14" t="inlineStr">
        <is>
          <t>Q4 2025</t>
        </is>
      </c>
      <c r="F73" s="14" t="inlineStr">
        <is>
          <t>Q1 2026</t>
        </is>
      </c>
      <c r="G73" s="14" t="inlineStr">
        <is>
          <t>Q2 2026</t>
        </is>
      </c>
      <c r="H73" s="14" t="n"/>
    </row>
    <row r="74">
      <c r="A74" s="6" t="inlineStr">
        <is>
          <t>Rate window begins</t>
        </is>
      </c>
      <c r="B74" s="31" t="n">
        <v>45658</v>
      </c>
      <c r="C74" s="31" t="n">
        <v>45748</v>
      </c>
      <c r="D74" s="31" t="n">
        <v>45839</v>
      </c>
      <c r="E74" s="31" t="n">
        <v>45931</v>
      </c>
      <c r="F74" s="31" t="n">
        <v>46023</v>
      </c>
      <c r="G74" s="31" t="n">
        <v>46113</v>
      </c>
    </row>
    <row r="75">
      <c r="A75" s="6" t="inlineStr">
        <is>
          <t>Rate window ends — each window closes where the next one opens; the last is the disclosed quarter end</t>
        </is>
      </c>
      <c r="B75" s="32">
        <f>C74</f>
        <v/>
      </c>
      <c r="C75" s="32">
        <f>D74</f>
        <v/>
      </c>
      <c r="D75" s="32">
        <f>E74</f>
        <v/>
      </c>
      <c r="E75" s="32">
        <f>F74</f>
        <v/>
      </c>
      <c r="F75" s="32">
        <f>G74</f>
        <v/>
      </c>
      <c r="G75" s="31" t="n">
        <v>46204</v>
      </c>
    </row>
    <row r="77">
      <c r="A77" s="11" t="inlineStr">
        <is>
          <t>Forecast years (dates)</t>
        </is>
      </c>
      <c r="B77" s="14" t="inlineStr">
        <is>
          <t>FY2026</t>
        </is>
      </c>
      <c r="C77" s="14" t="inlineStr">
        <is>
          <t>FY2027</t>
        </is>
      </c>
      <c r="D77" s="14" t="inlineStr">
        <is>
          <t>FY2028</t>
        </is>
      </c>
      <c r="E77" s="14" t="inlineStr">
        <is>
          <t>FY2029</t>
        </is>
      </c>
      <c r="F77" s="14" t="inlineStr">
        <is>
          <t>FY2030</t>
        </is>
      </c>
      <c r="G77" s="14" t="n"/>
      <c r="H77" s="14" t="n"/>
    </row>
    <row r="78">
      <c r="A78" s="6" t="inlineStr">
        <is>
          <t>Forecast year begins</t>
        </is>
      </c>
      <c r="B78" s="32">
        <f>F74</f>
        <v/>
      </c>
      <c r="C78" s="31" t="n">
        <v>46388</v>
      </c>
      <c r="D78" s="31" t="n">
        <v>46753</v>
      </c>
      <c r="E78" s="31" t="n">
        <v>47119</v>
      </c>
      <c r="F78" s="31" t="n">
        <v>47484</v>
      </c>
    </row>
    <row r="79">
      <c r="A79" s="6" t="inlineStr">
        <is>
          <t>Forecast year ends — each year closes where the next one opens</t>
        </is>
      </c>
      <c r="B79" s="32">
        <f>C78</f>
        <v/>
      </c>
      <c r="C79" s="32">
        <f>D78</f>
        <v/>
      </c>
      <c r="D79" s="32">
        <f>E78</f>
        <v/>
      </c>
      <c r="E79" s="32">
        <f>F78</f>
        <v/>
      </c>
      <c r="F79" s="31" t="n">
        <v>47849</v>
      </c>
    </row>
    <row r="81">
      <c r="A81" s="11" t="inlineStr">
        <is>
          <t>THE FLEET PURCHASE ANNOUNCED 7 AUGUST 2026 — eleven vessels for about USD 1.3 billion, announced on the anchor date of this study and therefore already inside the market price the valuation is compared against</t>
        </is>
      </c>
      <c r="B81" s="14" t="inlineStr">
        <is>
          <t>Vessels</t>
        </is>
      </c>
      <c r="C81" s="14" t="inlineStr">
        <is>
          <t>Delivery date</t>
        </is>
      </c>
      <c r="D81" s="14" t="n"/>
      <c r="E81" s="14" t="n"/>
      <c r="F81" s="14" t="n"/>
      <c r="G81" s="14" t="n"/>
      <c r="H81" s="14" t="n"/>
    </row>
    <row r="82">
      <c r="A82" s="6" t="inlineStr">
        <is>
          <t>Purchase price — added BOTH to net debt, because it is committed and funded, and to the opening asset base, so it depreciates and shields tax (USD 000)</t>
        </is>
      </c>
      <c r="C82" s="27" t="n">
        <v>1300000</v>
      </c>
    </row>
    <row r="83">
      <c r="A83" s="6" t="inlineStr">
        <is>
          <t>Very large crude carriers bought secondhand — they join the spot fleet on delivery and earn at the implied spot rate from that date</t>
        </is>
      </c>
      <c r="B83" s="27" t="n">
        <v>6</v>
      </c>
      <c r="C83" s="31" t="n">
        <v>46266</v>
      </c>
    </row>
    <row r="84">
      <c r="A84" s="6" t="inlineStr">
        <is>
          <t>Gas carriers acquired in total — they add contracted vessel-years to the gas fleet</t>
        </is>
      </c>
      <c r="B84" s="27" t="n">
        <v>5</v>
      </c>
    </row>
    <row r="85">
      <c r="A85" s="6" t="inlineStr">
        <is>
          <t>Of which bought secondhand, delivering in the third quarter</t>
        </is>
      </c>
      <c r="B85" s="27" t="n">
        <v>3</v>
      </c>
      <c r="C85" s="31" t="n">
        <v>46266</v>
      </c>
    </row>
    <row r="86">
      <c r="A86" s="6" t="inlineStr">
        <is>
          <t>Of which newbuildings resold from the yard, delivering in the fourth quarter</t>
        </is>
      </c>
      <c r="B86" s="33">
        <f>B84-B85</f>
        <v/>
      </c>
      <c r="C86" s="31" t="n">
        <v>46341</v>
      </c>
    </row>
    <row r="87">
      <c r="A87" s="34" t="inlineStr">
        <is>
          <t>Vessels acquired in total</t>
        </is>
      </c>
      <c r="B87" s="35">
        <f>B83+B84</f>
        <v/>
      </c>
    </row>
    <row r="89">
      <c r="A89" s="11" t="inlineStr">
        <is>
          <t>Tanker fleet — rate path and running cost</t>
        </is>
      </c>
      <c r="B89" s="14" t="n"/>
      <c r="C89" s="14" t="n"/>
      <c r="D89" s="14" t="n"/>
      <c r="E89" s="14" t="n"/>
      <c r="F89" s="14" t="n"/>
      <c r="G89" s="14" t="n"/>
      <c r="H89" s="14" t="n"/>
    </row>
    <row r="90">
      <c r="A90" s="6" t="inlineStr">
        <is>
          <t>Weight on the 2025 implied spot rate in setting the second half of 2026</t>
        </is>
      </c>
      <c r="C90" s="30" t="n">
        <v>0.5</v>
      </c>
    </row>
    <row r="91">
      <c r="A91" s="6" t="inlineStr">
        <is>
          <t>All-in running cost per vessel per day (USD)</t>
        </is>
      </c>
      <c r="C91" s="17">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Running-cost escalation (services and wages)</t>
        </is>
      </c>
      <c r="C92" s="30" t="n">
        <v>0.02</v>
      </c>
    </row>
    <row r="93">
      <c r="A93" s="6" t="inlineStr">
        <is>
          <t>Gross-up from time-charter-equivalent revenue to reported revenue</t>
        </is>
      </c>
      <c r="C93" s="26" t="n">
        <v>1.6</v>
      </c>
    </row>
    <row r="95">
      <c r="A95" s="11" t="inlineStr">
        <is>
          <t>Gas carriers</t>
        </is>
      </c>
      <c r="B95" s="14" t="n"/>
      <c r="C95" s="14" t="n"/>
      <c r="D95" s="14" t="n"/>
      <c r="E95" s="14" t="n"/>
      <c r="F95" s="14" t="n"/>
      <c r="G95" s="14" t="n"/>
      <c r="H95" s="14" t="n"/>
    </row>
    <row r="96">
      <c r="A96" s="6" t="inlineStr">
        <is>
          <t>Consolidated gas vessels in service through 2025 (vessel-years)</t>
        </is>
      </c>
      <c r="C96" s="24" t="n">
        <v>8</v>
      </c>
    </row>
    <row r="97">
      <c r="A97" s="6" t="inlineStr">
        <is>
          <t>Gas carriers — implied revenue per vessel-day (USD)</t>
        </is>
      </c>
      <c r="C97" s="18">
        <f>Segments!B153</f>
        <v/>
      </c>
    </row>
    <row r="98">
      <c r="A98" s="6" t="inlineStr">
        <is>
          <t>Gas carriers — earnings margin</t>
        </is>
      </c>
      <c r="C98" s="30" t="n">
        <v>0.7</v>
      </c>
    </row>
    <row r="99">
      <c r="A99" s="6" t="inlineStr">
        <is>
          <t>Share of joint-venture profit carried in the disclosed 2025 Gas Carriers earnings (USD 000)</t>
        </is>
      </c>
      <c r="C99" s="27" t="n">
        <v>21313</v>
      </c>
    </row>
    <row r="100">
      <c r="A100" s="6" t="inlineStr">
        <is>
          <t>Share of joint-venture profit carried in the disclosed 2025 Services earnings (USD 000)</t>
        </is>
      </c>
      <c r="C100" s="27" t="n">
        <v>16079</v>
      </c>
    </row>
    <row r="102">
      <c r="A102" s="11" t="inlineStr">
        <is>
          <t>Gas-carrier contract table — the vessel-years the fleet is contracted for, before and after the August 2026 purchase</t>
        </is>
      </c>
      <c r="B102" s="14" t="inlineStr">
        <is>
          <t>FY2026</t>
        </is>
      </c>
      <c r="C102" s="14" t="inlineStr">
        <is>
          <t>FY2027</t>
        </is>
      </c>
      <c r="D102" s="14" t="inlineStr">
        <is>
          <t>FY2028</t>
        </is>
      </c>
      <c r="E102" s="14" t="inlineStr">
        <is>
          <t>FY2029</t>
        </is>
      </c>
      <c r="F102" s="14" t="inlineStr">
        <is>
          <t>FY2030</t>
        </is>
      </c>
      <c r="G102" s="14" t="n"/>
      <c r="H102" s="14" t="n"/>
    </row>
    <row r="103">
      <c r="A103" s="6" t="inlineStr">
        <is>
          <t>Contracted vessel-years before that purchase — the disclosed contract table</t>
        </is>
      </c>
      <c r="B103" s="24" t="n">
        <v>10.73972602739726</v>
      </c>
      <c r="C103" s="24" t="n">
        <v>13</v>
      </c>
      <c r="D103" s="24" t="n">
        <v>21.25</v>
      </c>
      <c r="E103" s="24" t="n">
        <v>25</v>
      </c>
      <c r="F103" s="24" t="n">
        <v>25</v>
      </c>
    </row>
    <row r="104">
      <c r="A104" s="6" t="inlineStr">
        <is>
          <t>Vessel-years the gas carriers bought in August 2026 add — each tranche from its own delivery date</t>
        </is>
      </c>
      <c r="B104" s="36">
        <f>(Assumptions!$B$85*MAX(Assumptions!$B$79-MAX(Assumptions!$B$78,Assumptions!$C$85),0)+Assumptions!$B$86*MAX(Assumptions!$B$79-MAX(Assumptions!$B$78,Assumptions!$C$86),0))/(Assumptions!$B$79-Assumptions!$B$78)</f>
        <v/>
      </c>
      <c r="C104" s="36">
        <f>(Assumptions!$B$85*MAX(Assumptions!$C$79-MAX(Assumptions!$C$78,Assumptions!$C$85),0)+Assumptions!$B$86*MAX(Assumptions!$C$79-MAX(Assumptions!$C$78,Assumptions!$C$86),0))/(Assumptions!$C$79-Assumptions!$C$78)</f>
        <v/>
      </c>
      <c r="D104" s="36">
        <f>(Assumptions!$B$85*MAX(Assumptions!$D$79-MAX(Assumptions!$D$78,Assumptions!$C$85),0)+Assumptions!$B$86*MAX(Assumptions!$D$79-MAX(Assumptions!$D$78,Assumptions!$C$86),0))/(Assumptions!$D$79-Assumptions!$D$78)</f>
        <v/>
      </c>
      <c r="E104" s="36">
        <f>(Assumptions!$B$85*MAX(Assumptions!$E$79-MAX(Assumptions!$E$78,Assumptions!$C$85),0)+Assumptions!$B$86*MAX(Assumptions!$E$79-MAX(Assumptions!$E$78,Assumptions!$C$86),0))/(Assumptions!$E$79-Assumptions!$E$78)</f>
        <v/>
      </c>
      <c r="F104" s="36">
        <f>(Assumptions!$B$85*MAX(Assumptions!$F$79-MAX(Assumptions!$F$78,Assumptions!$C$85),0)+Assumptions!$B$86*MAX(Assumptions!$F$79-MAX(Assumptions!$F$78,Assumptions!$C$86),0))/(Assumptions!$F$79-Assumptions!$F$78)</f>
        <v/>
      </c>
    </row>
    <row r="105">
      <c r="A105" s="6" t="inlineStr">
        <is>
          <t>Gas carriers — contracted vessel-years</t>
        </is>
      </c>
      <c r="B105" s="37">
        <f>B103+B104</f>
        <v/>
      </c>
      <c r="C105" s="37">
        <f>C103+C104</f>
        <v/>
      </c>
      <c r="D105" s="37">
        <f>D103+D104</f>
        <v/>
      </c>
      <c r="E105" s="37">
        <f>E103+E104</f>
        <v/>
      </c>
      <c r="F105" s="37">
        <f>F103+F104</f>
        <v/>
      </c>
    </row>
    <row r="107">
      <c r="A107" s="11" t="inlineStr">
        <is>
          <t>The remaining five units — revenue and margin drivers</t>
        </is>
      </c>
      <c r="B107" s="14" t="inlineStr">
        <is>
          <t>FY2026</t>
        </is>
      </c>
      <c r="C107" s="14" t="inlineStr">
        <is>
          <t>FY2027</t>
        </is>
      </c>
      <c r="D107" s="14" t="inlineStr">
        <is>
          <t>FY2028</t>
        </is>
      </c>
      <c r="E107" s="14" t="inlineStr">
        <is>
          <t>FY2029</t>
        </is>
      </c>
      <c r="F107" s="14" t="inlineStr">
        <is>
          <t>FY2030</t>
        </is>
      </c>
      <c r="G107" s="14" t="n"/>
      <c r="H107" s="14" t="n"/>
    </row>
    <row r="108">
      <c r="A108" s="6" t="inlineStr">
        <is>
          <t>Offshore Contracting — revenue (USD 000)</t>
        </is>
      </c>
      <c r="B108" s="27" t="n">
        <v>1248192</v>
      </c>
      <c r="C108" s="27" t="n">
        <v>1298120</v>
      </c>
      <c r="D108" s="27" t="n">
        <v>1350044</v>
      </c>
      <c r="E108" s="27" t="n">
        <v>1404046</v>
      </c>
      <c r="F108" s="27" t="n">
        <v>1460208</v>
      </c>
    </row>
    <row r="109">
      <c r="A109" s="6" t="inlineStr">
        <is>
          <t>Offshore Contracting — earnings margin</t>
        </is>
      </c>
      <c r="B109" s="30" t="n">
        <v>0.385</v>
      </c>
      <c r="C109" s="30" t="n">
        <v>0.415</v>
      </c>
      <c r="D109" s="30" t="n">
        <v>0.43</v>
      </c>
      <c r="E109" s="30" t="n">
        <v>0.43</v>
      </c>
      <c r="F109" s="30" t="n">
        <v>0.43</v>
      </c>
    </row>
    <row r="110">
      <c r="A110" s="6" t="inlineStr">
        <is>
          <t>Offshore Services — revenue (USD 000)</t>
        </is>
      </c>
      <c r="B110" s="27" t="n">
        <v>662856</v>
      </c>
      <c r="C110" s="27" t="n">
        <v>696000</v>
      </c>
      <c r="D110" s="27" t="n">
        <v>730800</v>
      </c>
      <c r="E110" s="27" t="n">
        <v>767340</v>
      </c>
      <c r="F110" s="27" t="n">
        <v>805707</v>
      </c>
    </row>
    <row r="111">
      <c r="A111" s="6" t="inlineStr">
        <is>
          <t>Offshore Services — earnings margin</t>
        </is>
      </c>
      <c r="B111" s="30" t="n">
        <v>0.287</v>
      </c>
      <c r="C111" s="30" t="n">
        <v>0.29</v>
      </c>
      <c r="D111" s="30" t="n">
        <v>0.29</v>
      </c>
      <c r="E111" s="30" t="n">
        <v>0.29</v>
      </c>
      <c r="F111" s="30" t="n">
        <v>0.29</v>
      </c>
    </row>
    <row r="112">
      <c r="A112" s="6" t="inlineStr">
        <is>
          <t>Offshore Projects — revenue (USD 000)</t>
        </is>
      </c>
      <c r="B112" s="27" t="n">
        <v>125000</v>
      </c>
      <c r="C112" s="27" t="n">
        <v>200000</v>
      </c>
      <c r="D112" s="27" t="n">
        <v>250000</v>
      </c>
      <c r="E112" s="27" t="n">
        <v>275000</v>
      </c>
      <c r="F112" s="27" t="n">
        <v>300000</v>
      </c>
    </row>
    <row r="113">
      <c r="A113" s="6" t="inlineStr">
        <is>
          <t>Offshore Projects — earnings margin</t>
        </is>
      </c>
      <c r="B113" s="30" t="n">
        <v>-0.02</v>
      </c>
      <c r="C113" s="30" t="n">
        <v>0.06</v>
      </c>
      <c r="D113" s="30" t="n">
        <v>0.065</v>
      </c>
      <c r="E113" s="30" t="n">
        <v>0.065</v>
      </c>
      <c r="F113" s="30" t="n">
        <v>0.065</v>
      </c>
    </row>
    <row r="114">
      <c r="A114" s="6" t="inlineStr">
        <is>
          <t>Dry-Bulk and Containers — revenue (USD 000)</t>
        </is>
      </c>
      <c r="B114" s="27" t="n">
        <v>197164</v>
      </c>
      <c r="C114" s="27" t="n">
        <v>201107</v>
      </c>
      <c r="D114" s="27" t="n">
        <v>205129</v>
      </c>
      <c r="E114" s="27" t="n">
        <v>209232</v>
      </c>
      <c r="F114" s="27" t="n">
        <v>213417</v>
      </c>
    </row>
    <row r="115">
      <c r="A115" s="6" t="inlineStr">
        <is>
          <t>Dry-Bulk and Containers — earnings margin</t>
        </is>
      </c>
      <c r="B115" s="30" t="n">
        <v>0.184</v>
      </c>
      <c r="C115" s="30" t="n">
        <v>0.184</v>
      </c>
      <c r="D115" s="30" t="n">
        <v>0.184</v>
      </c>
      <c r="E115" s="30" t="n">
        <v>0.184</v>
      </c>
      <c r="F115" s="30" t="n">
        <v>0.184</v>
      </c>
    </row>
    <row r="116">
      <c r="A116" s="6" t="inlineStr">
        <is>
          <t>Services — revenue (USD 000)</t>
        </is>
      </c>
      <c r="B116" s="27" t="n">
        <v>355372</v>
      </c>
      <c r="C116" s="27" t="n">
        <v>369587</v>
      </c>
      <c r="D116" s="27" t="n">
        <v>384370</v>
      </c>
      <c r="E116" s="27" t="n">
        <v>399745</v>
      </c>
      <c r="F116" s="27" t="n">
        <v>415735</v>
      </c>
    </row>
    <row r="117">
      <c r="A117" s="6" t="inlineStr">
        <is>
          <t>Services — earnings margin</t>
        </is>
      </c>
      <c r="B117" s="30" t="n">
        <v>0.2</v>
      </c>
      <c r="C117" s="30" t="n">
        <v>0.2</v>
      </c>
      <c r="D117" s="30" t="n">
        <v>0.2</v>
      </c>
      <c r="E117" s="30" t="n">
        <v>0.2</v>
      </c>
      <c r="F117" s="30" t="n">
        <v>0.2</v>
      </c>
    </row>
    <row r="119">
      <c r="A119" s="11" t="inlineStr">
        <is>
          <t>Capital expenditure, depreciation and working capital</t>
        </is>
      </c>
      <c r="B119" s="14" t="inlineStr">
        <is>
          <t>FY2026</t>
        </is>
      </c>
      <c r="C119" s="14" t="inlineStr">
        <is>
          <t>FY2027</t>
        </is>
      </c>
      <c r="D119" s="14" t="inlineStr">
        <is>
          <t>FY2028</t>
        </is>
      </c>
      <c r="E119" s="14" t="inlineStr">
        <is>
          <t>FY2029</t>
        </is>
      </c>
      <c r="F119" s="14" t="inlineStr">
        <is>
          <t>FY2030</t>
        </is>
      </c>
      <c r="G119" s="14" t="n"/>
      <c r="H119" s="14" t="n"/>
    </row>
    <row r="120">
      <c r="A120" s="6" t="inlineStr">
        <is>
          <t>Capital expenditure (USD 000)</t>
        </is>
      </c>
      <c r="B120" s="27" t="n">
        <v>1375000</v>
      </c>
      <c r="C120" s="27" t="n">
        <v>1245000</v>
      </c>
      <c r="D120" s="27" t="n">
        <v>1245000</v>
      </c>
      <c r="E120" s="27" t="n">
        <v>700000</v>
      </c>
      <c r="F120" s="27" t="n">
        <v>650000</v>
      </c>
    </row>
    <row r="121">
      <c r="A121" s="6" t="inlineStr">
        <is>
          <t>Depreciation rate on property, plant and equipment</t>
        </is>
      </c>
      <c r="C121" s="28" t="n">
        <v>0.058</v>
      </c>
    </row>
    <row r="122">
      <c r="A122" s="6" t="inlineStr">
        <is>
          <t>Other depreciation and amortisation, 2026 run rate (USD 000)</t>
        </is>
      </c>
      <c r="C122" s="27" t="n">
        <v>109836</v>
      </c>
    </row>
    <row r="123">
      <c r="A123" s="6" t="inlineStr">
        <is>
          <t>Days sales outstanding measured on REPORTED 2025 revenue</t>
        </is>
      </c>
      <c r="C123" s="17">
        <f>'Balance Sheet'!D12/'Income Statement'!D5*365</f>
        <v/>
      </c>
    </row>
    <row r="124">
      <c r="A124" s="6" t="inlineStr">
        <is>
          <t>Gross-up inside 2025 reported revenue — reported tanker revenue over the same fleet's charter-equivalent revenue</t>
        </is>
      </c>
      <c r="C124" s="38">
        <f>Segments!D8/Segments!B140</f>
        <v/>
      </c>
    </row>
    <row r="125">
      <c r="A125" s="6" t="inlineStr">
        <is>
          <t>Gross-up the forecast is built at, from 2026 onward</t>
        </is>
      </c>
      <c r="C125" s="38">
        <f>Assumptions!$C$93</f>
        <v/>
      </c>
    </row>
    <row r="126">
      <c r="A126" s="6" t="inlineStr">
        <is>
          <t>Days sales outstanding — the reported ratio RE-BASED onto the revenue basis the forecast actually uses</t>
        </is>
      </c>
      <c r="C126" s="17">
        <f>C123*'Income Statement'!D5/('Income Statement'!D5-Segments!D8+Segments!D8/C124*C125)</f>
        <v/>
      </c>
    </row>
    <row r="127">
      <c r="A127" s="6" t="inlineStr">
        <is>
          <t>Days inventory outstanding</t>
        </is>
      </c>
      <c r="C127" s="17">
        <f>'Balance Sheet'!D11/'Income Statement'!D17*365</f>
        <v/>
      </c>
    </row>
    <row r="128">
      <c r="A128" s="6" t="inlineStr">
        <is>
          <t>Days payable outstanding</t>
        </is>
      </c>
      <c r="C128" s="17">
        <f>'Balance Sheet'!D15/'Income Statement'!D17*365</f>
        <v/>
      </c>
    </row>
    <row r="129">
      <c r="A129" s="6" t="inlineStr">
        <is>
          <t>Net working capital at 31 December 2025 (USD 000)</t>
        </is>
      </c>
      <c r="C129" s="18">
        <f>'Balance Sheet'!D16</f>
        <v/>
      </c>
    </row>
    <row r="131">
      <c r="A131" s="11" t="inlineStr">
        <is>
          <t>DEPRECIATION — THE RATE USED, THE RATE REALISED IN 2025 AND THE DISCLOSED USEFUL LIVES, SO THE CHOICE CAN BE JUDGED. These three are memoranda: the rate the model runs on is the blue driver above, and it is sensitised</t>
        </is>
      </c>
      <c r="B131" s="14" t="inlineStr">
        <is>
          <t>Memorandum</t>
        </is>
      </c>
      <c r="C131" s="14" t="n"/>
      <c r="D131" s="14" t="n"/>
      <c r="E131" s="14" t="n"/>
      <c r="F131" s="14" t="n"/>
      <c r="G131" s="14" t="n"/>
      <c r="H131" s="14" t="n"/>
    </row>
    <row r="132">
      <c r="A132" s="6" t="inlineStr">
        <is>
          <t>The rate used — first-quarter 2026 depreciation annualised over that quarter's average balance (the driver above)</t>
        </is>
      </c>
      <c r="B132" s="19">
        <f>C121</f>
        <v/>
      </c>
    </row>
    <row r="133">
      <c r="A133" s="6" t="inlineStr">
        <is>
          <t>The rate realised in 2025 — depreciation charged on property, plant and equipment over the average balance for that year</t>
        </is>
      </c>
      <c r="B133" s="28" t="n">
        <v>0.0675</v>
      </c>
    </row>
    <row r="134">
      <c r="A134"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4" s="27" t="n">
        <v>25</v>
      </c>
    </row>
    <row r="135">
      <c r="A135" s="6" t="inlineStr">
        <is>
          <t>Average life implied by the rate used (years)</t>
        </is>
      </c>
      <c r="B135" s="36">
        <f>1/C121</f>
        <v/>
      </c>
    </row>
    <row r="137">
      <c r="A137" s="11" t="inlineStr">
        <is>
          <t>Tax by business unit and the 2025 depreciation allocation basis</t>
        </is>
      </c>
      <c r="B137" s="14" t="n"/>
      <c r="C137" s="14" t="n"/>
      <c r="D137" s="14" t="n"/>
      <c r="E137" s="14" t="n"/>
      <c r="F137" s="14" t="n"/>
      <c r="G137" s="14" t="n"/>
      <c r="H137" s="14" t="n"/>
    </row>
    <row r="138">
      <c r="A138" s="6" t="inlineStr">
        <is>
          <t>Integrated Logistics — income tax rate</t>
        </is>
      </c>
      <c r="C138" s="30" t="n">
        <v>0.09</v>
      </c>
    </row>
    <row r="139">
      <c r="A139" s="6" t="inlineStr">
        <is>
          <t>Shipping — income tax rate</t>
        </is>
      </c>
      <c r="C139" s="30" t="n">
        <v>0.01</v>
      </c>
    </row>
    <row r="140">
      <c r="A140" s="6" t="inlineStr">
        <is>
          <t>Services — income tax rate</t>
        </is>
      </c>
      <c r="C140" s="30" t="n">
        <v>0.04</v>
      </c>
    </row>
    <row r="141">
      <c r="A141" s="6" t="inlineStr">
        <is>
          <t>Offshore Contracting — 2025 depreciation and amortisation (USD 000)</t>
        </is>
      </c>
      <c r="C141" s="27" t="n">
        <v>151367</v>
      </c>
    </row>
    <row r="142">
      <c r="A142" s="6" t="inlineStr">
        <is>
          <t>Offshore Services — 2025 depreciation and amortisation (USD 000)</t>
        </is>
      </c>
      <c r="C142" s="27" t="n">
        <v>62963</v>
      </c>
    </row>
    <row r="143">
      <c r="A143" s="6" t="inlineStr">
        <is>
          <t>Offshore Projects — 2025 depreciation and amortisation (USD 000)</t>
        </is>
      </c>
      <c r="C143" s="27" t="n">
        <v>8860</v>
      </c>
    </row>
    <row r="144">
      <c r="A144" s="6" t="inlineStr">
        <is>
          <t>Tankers — 2025 depreciation and amortisation (USD 000)</t>
        </is>
      </c>
      <c r="C144" s="27" t="n">
        <v>195374</v>
      </c>
    </row>
    <row r="145">
      <c r="A145" s="6" t="inlineStr">
        <is>
          <t>Gas Carriers — 2025 depreciation and amortisation (USD 000)</t>
        </is>
      </c>
      <c r="C145" s="27" t="n">
        <v>50526</v>
      </c>
    </row>
    <row r="146">
      <c r="A146" s="6" t="inlineStr">
        <is>
          <t>Dry-Bulk and Containers — 2025 depreciation and amortisation (USD 000)</t>
        </is>
      </c>
      <c r="C146" s="27" t="n">
        <v>25225</v>
      </c>
    </row>
    <row r="147">
      <c r="A147" s="6" t="inlineStr">
        <is>
          <t>Services — 2025 depreciation and amortisation (USD 000)</t>
        </is>
      </c>
      <c r="C147" s="27" t="n">
        <v>30297</v>
      </c>
    </row>
    <row r="149">
      <c r="A149" s="11" t="inlineStr">
        <is>
          <t>Funding, distributions and the bridge</t>
        </is>
      </c>
      <c r="B149" s="14" t="n"/>
      <c r="C149" s="14" t="n"/>
      <c r="D149" s="14" t="n"/>
      <c r="E149" s="14" t="n"/>
      <c r="F149" s="14" t="n"/>
      <c r="G149" s="14" t="n"/>
      <c r="H149" s="14" t="n"/>
    </row>
    <row r="150">
      <c r="A150" s="6" t="inlineStr">
        <is>
          <t>Net debt at 31 March 2026, company basis (USD 000)</t>
        </is>
      </c>
      <c r="C150" s="27" t="n">
        <v>419867</v>
      </c>
    </row>
    <row r="151">
      <c r="A151" s="6" t="inlineStr">
        <is>
          <t>Deferred consideration on acquisitions (USD 000)</t>
        </is>
      </c>
      <c r="C151" s="27" t="n">
        <v>301462</v>
      </c>
    </row>
    <row r="152">
      <c r="A152" s="6" t="inlineStr">
        <is>
          <t>Perpetual capital securities at carrying value (USD 000)</t>
        </is>
      </c>
      <c r="C152" s="27" t="n">
        <v>1978619</v>
      </c>
    </row>
    <row r="153">
      <c r="A153" s="6" t="inlineStr">
        <is>
          <t>Perpetual capital securities margin over the overnight rate</t>
        </is>
      </c>
      <c r="C153" s="28" t="n">
        <v>0.0125</v>
      </c>
    </row>
    <row r="154">
      <c r="A154" s="6" t="inlineStr">
        <is>
          <t>Non-controlling interests at carrying value (USD 000)</t>
        </is>
      </c>
      <c r="C154" s="27" t="n">
        <v>272134</v>
      </c>
    </row>
    <row r="155">
      <c r="A155" s="6" t="inlineStr">
        <is>
          <t>Of which arose on the tanker combination — the 20% contracted for purchase in mid-2027 (USD 000)</t>
        </is>
      </c>
      <c r="C155" s="27" t="n">
        <v>251985</v>
      </c>
    </row>
    <row r="156">
      <c r="A156" s="6" t="inlineStr">
        <is>
          <t>Non-controlling interests' share of profit</t>
        </is>
      </c>
      <c r="C156" s="30" t="n">
        <v>0.08799999999999999</v>
      </c>
    </row>
    <row r="157">
      <c r="A157" s="6" t="inlineStr">
        <is>
          <t>Joint ventures and associates at carrying value (USD 000)</t>
        </is>
      </c>
      <c r="C157" s="27" t="n">
        <v>493120</v>
      </c>
    </row>
    <row r="158">
      <c r="A158" s="6" t="inlineStr">
        <is>
          <t>Equity attributable to shareholders at 31 March 2026 (USD 000)</t>
        </is>
      </c>
      <c r="C158" s="27" t="n">
        <v>5073902</v>
      </c>
    </row>
    <row r="159">
      <c r="A159" s="6" t="inlineStr">
        <is>
          <t>Cash and cash equivalents held (USD 000)</t>
        </is>
      </c>
      <c r="C159" s="27" t="n">
        <v>695345</v>
      </c>
    </row>
    <row r="160">
      <c r="A160" s="6" t="inlineStr">
        <is>
          <t>Intangible assets (USD 000)</t>
        </is>
      </c>
      <c r="C160" s="18">
        <f>'Balance Sheet'!D7</f>
        <v/>
      </c>
    </row>
    <row r="161">
      <c r="A161" s="6" t="inlineStr">
        <is>
          <t>Goodwill (USD 000)</t>
        </is>
      </c>
      <c r="C161" s="18">
        <f>'Balance Sheet'!D8</f>
        <v/>
      </c>
    </row>
    <row r="162">
      <c r="A162" s="6" t="inlineStr">
        <is>
          <t>Ordinary dividend declared for 2026 (USD 000)</t>
        </is>
      </c>
      <c r="C162" s="27" t="n">
        <v>341000</v>
      </c>
    </row>
    <row r="163">
      <c r="A163" s="6" t="inlineStr">
        <is>
          <t>Ordinary dividend growth</t>
        </is>
      </c>
      <c r="C163" s="30" t="n">
        <v>0.05</v>
      </c>
    </row>
    <row r="164">
      <c r="A164" s="6" t="inlineStr">
        <is>
          <t>Terminal growth</t>
        </is>
      </c>
      <c r="C164" s="30" t="n">
        <v>0.02</v>
      </c>
    </row>
    <row r="166">
      <c r="A166" s="11" t="inlineStr">
        <is>
          <t>Lens weights and the multiple blend</t>
        </is>
      </c>
      <c r="B166" s="14" t="n"/>
      <c r="C166" s="14" t="n"/>
      <c r="D166" s="14" t="n"/>
      <c r="E166" s="14" t="n"/>
      <c r="F166" s="14" t="n"/>
      <c r="G166" s="14" t="n"/>
      <c r="H166" s="14" t="n"/>
    </row>
    <row r="167">
      <c r="A167" s="6" t="inlineStr">
        <is>
          <t>Share of 2026 earnings exposed to spot rates</t>
        </is>
      </c>
      <c r="C167" s="30" t="n">
        <v>0.31</v>
      </c>
    </row>
    <row r="168">
      <c r="A168" s="6" t="inlineStr">
        <is>
          <t>Rate at which the return above the cost of equity fades beyond the forecast (the book lens)</t>
        </is>
      </c>
      <c r="C168" s="30" t="n">
        <v>0.1</v>
      </c>
    </row>
    <row r="169">
      <c r="A169" s="6" t="inlineStr">
        <is>
          <t>Weight on the enterprise multiple within the relative lens</t>
        </is>
      </c>
      <c r="C169" s="30" t="n">
        <v>0.7</v>
      </c>
    </row>
    <row r="170">
      <c r="A170" s="6" t="inlineStr">
        <is>
          <t>Weight — discounted cash flow</t>
        </is>
      </c>
      <c r="C170" s="30" t="n">
        <v>0.4</v>
      </c>
    </row>
    <row r="171">
      <c r="A171" s="6" t="inlineStr">
        <is>
          <t>Weight — relative multiples</t>
        </is>
      </c>
      <c r="C171" s="30" t="n">
        <v>0.25</v>
      </c>
    </row>
    <row r="172">
      <c r="A172" s="6" t="inlineStr">
        <is>
          <t>Weight — normalised earnings power</t>
        </is>
      </c>
      <c r="C172" s="30" t="n">
        <v>0.2</v>
      </c>
    </row>
    <row r="173">
      <c r="A173" s="6" t="inlineStr">
        <is>
          <t>Weight — book value and sustainable return</t>
        </is>
      </c>
      <c r="C173" s="30" t="n">
        <v>0.15</v>
      </c>
    </row>
    <row r="175">
      <c r="A175"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9">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Assumptions!$C$157</f>
        <v/>
      </c>
      <c r="D9" s="9">
        <f>C9/Assumptions!$C$6/1000*Assumptions!$C$7</f>
        <v/>
      </c>
    </row>
    <row r="10">
      <c r="A10" s="14" t="inlineStr">
        <is>
          <t>Enterprise value</t>
        </is>
      </c>
      <c r="B10" s="14" t="n"/>
      <c r="C10" s="39">
        <f>C7+C9</f>
        <v/>
      </c>
      <c r="D10" s="15">
        <f>C10/Assumptions!$C$6/1000*Assumptions!$C$7</f>
        <v/>
      </c>
    </row>
    <row r="11">
      <c r="A11" s="6" t="inlineStr">
        <is>
          <t>Less net debt at 31 March 2026</t>
        </is>
      </c>
      <c r="C11" s="18">
        <f>-Assumptions!$C$150</f>
        <v/>
      </c>
      <c r="D11" s="9">
        <f>C11/Assumptions!$C$6/1000*Assumptions!$C$7</f>
        <v/>
      </c>
    </row>
    <row r="12">
      <c r="A12" s="6" t="inlineStr">
        <is>
          <t>Less deferred consideration on acquisitions</t>
        </is>
      </c>
      <c r="C12" s="18">
        <f>-Assumptions!$C$151</f>
        <v/>
      </c>
      <c r="D12" s="9">
        <f>C12/Assumptions!$C$6/1000*Assumptions!$C$7</f>
        <v/>
      </c>
    </row>
    <row r="13">
      <c r="A13" s="6" t="inlineStr">
        <is>
          <t>Less the eleven vessels bought on 7 August 2026, at the announced price</t>
        </is>
      </c>
      <c r="C13" s="18">
        <f>-Assumptions!$C$82</f>
        <v/>
      </c>
      <c r="D13" s="9">
        <f>C13/Assumptions!$C$6/1000*Assumptions!$C$7</f>
        <v/>
      </c>
    </row>
    <row r="14">
      <c r="A14" s="6" t="inlineStr">
        <is>
          <t>Less perpetual capital securities at carrying value</t>
        </is>
      </c>
      <c r="C14" s="18">
        <f>-Assumptions!$C$152</f>
        <v/>
      </c>
      <c r="D14" s="9">
        <f>C14/Assumptions!$C$6/1000*Assumptions!$C$7</f>
        <v/>
      </c>
    </row>
    <row r="15">
      <c r="A15" s="6" t="inlineStr">
        <is>
          <t>Equity value before the minorities</t>
        </is>
      </c>
      <c r="C15" s="33">
        <f>C10+C11+C12+C13+C14</f>
        <v/>
      </c>
      <c r="D15" s="9">
        <f>C15/Assumptions!$C$6/1000*Assumptions!$C$7</f>
        <v/>
      </c>
    </row>
    <row r="16">
      <c r="A16" s="6" t="inlineStr">
        <is>
          <t>Less non-controlling interests — the contracted slice at its contracted price, the rest at the greater of book and value</t>
        </is>
      </c>
      <c r="C16" s="18">
        <f>DCF!$C$59</f>
        <v/>
      </c>
      <c r="D16" s="9">
        <f>C16/Assumptions!$C$6/1000*Assumptions!$C$7</f>
        <v/>
      </c>
    </row>
    <row r="17">
      <c r="A17" s="14" t="inlineStr">
        <is>
          <t>Equity attributable to ordinary shareholders</t>
        </is>
      </c>
      <c r="B17" s="14" t="n"/>
      <c r="C17" s="39">
        <f>C15+C16</f>
        <v/>
      </c>
      <c r="D17" s="15">
        <f>C17/Assumptions!$C$6/1000*Assumptions!$C$7</f>
        <v/>
      </c>
    </row>
    <row r="18">
      <c r="A18" s="6" t="inlineStr">
        <is>
          <t>Fair value per share (USD)</t>
        </is>
      </c>
      <c r="C18" s="9">
        <f>C17/Assumptions!$C$6/1000</f>
        <v/>
      </c>
    </row>
    <row r="19">
      <c r="A19" s="14" t="inlineStr">
        <is>
          <t>Fair value per share (AED)</t>
        </is>
      </c>
      <c r="B19" s="14" t="n"/>
      <c r="C19" s="15">
        <f>C18*Assumptions!$C$7</f>
        <v/>
      </c>
      <c r="D19" s="14"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18">
        <f>Segments!B204</f>
        <v/>
      </c>
      <c r="C22" s="40">
        <f>C28</f>
        <v/>
      </c>
      <c r="D22" s="33">
        <f>B22*C22</f>
        <v/>
      </c>
      <c r="E22" s="20" t="inlineStr">
        <is>
          <t>a contracted-fleet multiple, because this leg earns under long-term contracts</t>
        </is>
      </c>
    </row>
    <row r="23" ht="28" customHeight="1">
      <c r="A23" s="6" t="inlineStr">
        <is>
          <t>Shipping</t>
        </is>
      </c>
      <c r="B23" s="18">
        <f>Segments!B205</f>
        <v/>
      </c>
      <c r="C23" s="40">
        <f>C31</f>
        <v/>
      </c>
      <c r="D23" s="33">
        <f>B23*C23</f>
        <v/>
      </c>
      <c r="E23" s="20" t="inlineStr">
        <is>
          <t>a blend of the contracted and spot multiples, weighted by the company's own disclosed share of earnings exposed to spot rates</t>
        </is>
      </c>
    </row>
    <row r="24" ht="28" customHeight="1">
      <c r="A24" s="6" t="inlineStr">
        <is>
          <t>Services</t>
        </is>
      </c>
      <c r="B24" s="18">
        <f>Segments!B206</f>
        <v/>
      </c>
      <c r="C24" s="40">
        <f>C28</f>
        <v/>
      </c>
      <c r="D24" s="33">
        <f>B24*C24</f>
        <v/>
      </c>
      <c r="E24" s="20" t="inlineStr">
        <is>
          <t>a contracted-fleet multiple, because this leg earns under long-term contracts</t>
        </is>
      </c>
    </row>
    <row r="25">
      <c r="A25" s="11" t="inlineStr">
        <is>
          <t>Enterprise value of the operating legs</t>
        </is>
      </c>
      <c r="B25" s="14" t="n"/>
      <c r="C25" s="14" t="n"/>
      <c r="D25" s="41">
        <f>SUM(D22:D24)</f>
        <v/>
      </c>
      <c r="E25" s="14" t="n"/>
      <c r="F25" s="14" t="n"/>
    </row>
    <row r="27">
      <c r="A27" s="11" t="inlineStr">
        <is>
          <t>THE SHIPPING MULTIPLE, BUILT — NOT PASTED</t>
        </is>
      </c>
      <c r="B27" s="14" t="n"/>
      <c r="C27" s="14" t="n"/>
      <c r="D27" s="14" t="n"/>
      <c r="E27" s="14" t="n"/>
      <c r="F27" s="14" t="n"/>
    </row>
    <row r="28">
      <c r="A28" s="6" t="inlineStr">
        <is>
          <t>Contracted-fleet multiple (long-term contracted gas shipping peer)</t>
        </is>
      </c>
      <c r="C28" s="42">
        <f>'Peer &amp; Sector'!$C$10</f>
        <v/>
      </c>
    </row>
    <row r="29">
      <c r="A29" s="6" t="inlineStr">
        <is>
          <t>Spot-tanker multiple (average of the two spot-tanker peers)</t>
        </is>
      </c>
      <c r="C29" s="42">
        <f>'Peer &amp; Sector'!$C$11</f>
        <v/>
      </c>
    </row>
    <row r="30">
      <c r="A30" s="6" t="inlineStr">
        <is>
          <t>Share of 2026 earnings exposed to spot rates, as disclosed</t>
        </is>
      </c>
      <c r="C30" s="8">
        <f>Assumptions!$C$167</f>
        <v/>
      </c>
    </row>
    <row r="31">
      <c r="A31" s="6" t="inlineStr">
        <is>
          <t>Shipping multiple — the two weighted by that share</t>
        </is>
      </c>
      <c r="C31" s="40">
        <f>(1-C30)*C28+C30*C29</f>
        <v/>
      </c>
    </row>
    <row r="33">
      <c r="A33" s="11" t="inlineStr">
        <is>
          <t>THE SUM-OF-THE-PARTS BRIDGE TO EQUITY</t>
        </is>
      </c>
      <c r="B33" s="14" t="n"/>
      <c r="C33" s="14" t="n"/>
      <c r="D33" s="14" t="n"/>
      <c r="E33" s="14" t="n"/>
      <c r="F33" s="14" t="n"/>
    </row>
    <row r="34">
      <c r="A34" s="6" t="inlineStr">
        <is>
          <t>Enterprise value of the operating legs</t>
        </is>
      </c>
      <c r="C34" s="33">
        <f>D25</f>
        <v/>
      </c>
    </row>
    <row r="35">
      <c r="A35" s="6" t="inlineStr">
        <is>
          <t>Plus joint ventures and associates at carrying value</t>
        </is>
      </c>
      <c r="C35" s="18">
        <f>Assumptions!$C$157</f>
        <v/>
      </c>
    </row>
    <row r="36">
      <c r="A36" s="6" t="inlineStr">
        <is>
          <t>Enterprise value</t>
        </is>
      </c>
      <c r="C36" s="35">
        <f>C34+C35</f>
        <v/>
      </c>
    </row>
    <row r="37">
      <c r="A37" s="6" t="inlineStr">
        <is>
          <t>Less net debt at 31 March 2026</t>
        </is>
      </c>
      <c r="C37" s="18">
        <f>-Assumptions!$C$150</f>
        <v/>
      </c>
    </row>
    <row r="38">
      <c r="A38" s="6" t="inlineStr">
        <is>
          <t>Less deferred consideration on acquisitions</t>
        </is>
      </c>
      <c r="C38" s="18">
        <f>-Assumptions!$C$151</f>
        <v/>
      </c>
    </row>
    <row r="39">
      <c r="A39" s="6" t="inlineStr">
        <is>
          <t>Less the eleven vessels bought on 7 August 2026, at the announced price</t>
        </is>
      </c>
      <c r="C39" s="18">
        <f>-Assumptions!$C$82</f>
        <v/>
      </c>
    </row>
    <row r="40">
      <c r="A40" s="6" t="inlineStr">
        <is>
          <t>Less perpetual capital securities at carrying value</t>
        </is>
      </c>
      <c r="C40" s="18">
        <f>-Assumptions!$C$152</f>
        <v/>
      </c>
    </row>
    <row r="41">
      <c r="A41" s="6" t="inlineStr">
        <is>
          <t>Less non-controlling interests at carrying value</t>
        </is>
      </c>
      <c r="C41" s="18">
        <f>-Assumptions!$C$154</f>
        <v/>
      </c>
    </row>
    <row r="42">
      <c r="A42" s="14" t="inlineStr">
        <is>
          <t>Equity attributable to ordinary shareholders</t>
        </is>
      </c>
      <c r="B42" s="14" t="n"/>
      <c r="C42" s="39">
        <f>C36+C37+C38+C39+C40+C41</f>
        <v/>
      </c>
      <c r="D42" s="14" t="n"/>
      <c r="E42" s="14" t="n"/>
      <c r="F42" s="14" t="n"/>
    </row>
    <row r="43">
      <c r="A43" s="14" t="inlineStr">
        <is>
          <t>Sum-of-the-parts fair value per share (AED)</t>
        </is>
      </c>
      <c r="B43" s="14" t="n"/>
      <c r="C43" s="15">
        <f>C42/Assumptions!$C$6/1000*Assumptions!$C$7</f>
        <v/>
      </c>
      <c r="D43" s="14" t="n"/>
      <c r="E43" s="14" t="n"/>
      <c r="F43" s="14"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41">
        <f>SUM(B5:B11)</f>
        <v/>
      </c>
      <c r="C12" s="41">
        <f>SUM(C5:C11)</f>
        <v/>
      </c>
      <c r="D12" s="41">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41">
        <f>SUM(B15:B21)</f>
        <v/>
      </c>
      <c r="C22" s="41">
        <f>SUM(C15:C21)</f>
        <v/>
      </c>
      <c r="D22" s="41">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 at 31 December 2025</t>
        </is>
      </c>
      <c r="B26" s="18">
        <f>Assumptions!$B$38</f>
        <v/>
      </c>
      <c r="C26" s="18">
        <f>Assumptions!$C$38</f>
        <v/>
      </c>
      <c r="D26" s="18">
        <f>Assumptions!$D$38</f>
        <v/>
      </c>
      <c r="E26" s="18">
        <f>Assumptions!$E$38</f>
        <v/>
      </c>
      <c r="F26" s="18">
        <f>Assumptions!$F$38</f>
        <v/>
      </c>
    </row>
    <row r="27">
      <c r="A27" s="6" t="inlineStr">
        <is>
          <t>Less vessels sold between the year end and the valuation date</t>
        </is>
      </c>
      <c r="B27" s="18">
        <f>Assumptions!$B$39</f>
        <v/>
      </c>
      <c r="C27" s="18">
        <f>Assumptions!$C$39</f>
        <v/>
      </c>
      <c r="D27" s="18">
        <f>Assumptions!$D$39</f>
        <v/>
      </c>
      <c r="E27" s="18">
        <f>Assumptions!$E$39</f>
        <v/>
      </c>
      <c r="F27" s="18">
        <f>Assumptions!$F$39</f>
        <v/>
      </c>
    </row>
    <row r="28">
      <c r="A28" s="34" t="inlineStr">
        <is>
          <t>Vessels owned at the 31 March 2026 valuation date</t>
        </is>
      </c>
      <c r="B28" s="35">
        <f>B26-B27</f>
        <v/>
      </c>
      <c r="C28" s="35">
        <f>C26-C27</f>
        <v/>
      </c>
      <c r="D28" s="35">
        <f>D26-D27</f>
        <v/>
      </c>
      <c r="E28" s="35">
        <f>E26-E27</f>
        <v/>
      </c>
      <c r="F28" s="35">
        <f>F26-F27</f>
        <v/>
      </c>
    </row>
    <row r="29">
      <c r="A29" s="6" t="inlineStr">
        <is>
          <t>Vessels bought in the purchase announced 7 August 2026</t>
        </is>
      </c>
      <c r="B29" s="33">
        <f>0</f>
        <v/>
      </c>
      <c r="C29" s="33">
        <f>0</f>
        <v/>
      </c>
      <c r="D29" s="33">
        <f>0</f>
        <v/>
      </c>
      <c r="E29" s="33">
        <f>0</f>
        <v/>
      </c>
      <c r="F29" s="18">
        <f>Assumptions!$B$83</f>
        <v/>
      </c>
    </row>
    <row r="30">
      <c r="A30" s="6" t="inlineStr">
        <is>
          <t>Their delivery date — they earn nothing before it and at the implied spot rate after it</t>
        </is>
      </c>
      <c r="B30" s="33">
        <f>0</f>
        <v/>
      </c>
      <c r="C30" s="33">
        <f>0</f>
        <v/>
      </c>
      <c r="D30" s="33">
        <f>0</f>
        <v/>
      </c>
      <c r="E30" s="33">
        <f>0</f>
        <v/>
      </c>
      <c r="F30" s="43">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4" t="inlineStr">
        <is>
          <t>Q1 2025</t>
        </is>
      </c>
      <c r="C32" s="14" t="inlineStr">
        <is>
          <t>Q2 2025</t>
        </is>
      </c>
      <c r="D32" s="14" t="inlineStr">
        <is>
          <t>Q3 2025</t>
        </is>
      </c>
      <c r="E32" s="14" t="inlineStr">
        <is>
          <t>Q4 2025</t>
        </is>
      </c>
      <c r="F32" s="14" t="inlineStr">
        <is>
          <t>Q1 2026</t>
        </is>
      </c>
      <c r="G32" s="14" t="inlineStr">
        <is>
          <t>Q2 2026</t>
        </is>
      </c>
      <c r="H32" s="14" t="inlineStr">
        <is>
          <t>Mid-cycle anchor</t>
        </is>
      </c>
      <c r="I32" s="14" t="n"/>
    </row>
    <row r="33">
      <c r="A33" s="6" t="inlineStr">
        <is>
          <t>Window begins</t>
        </is>
      </c>
      <c r="B33" s="43">
        <f>Assumptions!$B$74</f>
        <v/>
      </c>
      <c r="C33" s="43">
        <f>Assumptions!$C$74</f>
        <v/>
      </c>
      <c r="D33" s="43">
        <f>Assumptions!$D$74</f>
        <v/>
      </c>
      <c r="E33" s="43">
        <f>Assumptions!$E$74</f>
        <v/>
      </c>
      <c r="F33" s="43">
        <f>Assumptions!$F$74</f>
        <v/>
      </c>
      <c r="G33" s="43">
        <f>Assumptions!$G$74</f>
        <v/>
      </c>
      <c r="H33" s="32">
        <f>B33</f>
        <v/>
      </c>
    </row>
    <row r="34">
      <c r="A34" s="6" t="inlineStr">
        <is>
          <t>Window ends</t>
        </is>
      </c>
      <c r="B34" s="43">
        <f>Assumptions!$B$75</f>
        <v/>
      </c>
      <c r="C34" s="43">
        <f>Assumptions!$C$75</f>
        <v/>
      </c>
      <c r="D34" s="43">
        <f>Assumptions!$D$75</f>
        <v/>
      </c>
      <c r="E34" s="43">
        <f>Assumptions!$E$75</f>
        <v/>
      </c>
      <c r="F34" s="43">
        <f>Assumptions!$F$75</f>
        <v/>
      </c>
      <c r="G34" s="43">
        <f>Assumptions!$G$75</f>
        <v/>
      </c>
      <c r="H34" s="32">
        <f>B34</f>
        <v/>
      </c>
    </row>
    <row r="35">
      <c r="A35" s="6" t="inlineStr">
        <is>
          <t>Days in the window</t>
        </is>
      </c>
      <c r="B35" s="33">
        <f>B34-B33</f>
        <v/>
      </c>
      <c r="C35" s="33">
        <f>C34-C33</f>
        <v/>
      </c>
      <c r="D35" s="33">
        <f>D34-D33</f>
        <v/>
      </c>
      <c r="E35" s="33">
        <f>E34-E33</f>
        <v/>
      </c>
      <c r="F35" s="33">
        <f>F34-F33</f>
        <v/>
      </c>
      <c r="G35" s="33">
        <f>G34-G33</f>
        <v/>
      </c>
      <c r="H35" s="33">
        <f>H34-H33</f>
        <v/>
      </c>
    </row>
    <row r="37">
      <c r="A37" s="11" t="inlineStr">
        <is>
          <t>Published blended rate by class (USD per day)</t>
        </is>
      </c>
      <c r="B37" s="14" t="n"/>
      <c r="C37" s="14" t="n"/>
      <c r="D37" s="14" t="n"/>
      <c r="E37" s="14" t="n"/>
      <c r="F37" s="14" t="n"/>
      <c r="G37" s="14" t="n"/>
      <c r="H37" s="14" t="n"/>
      <c r="I37" s="14" t="n"/>
    </row>
    <row r="38">
      <c r="A38" s="6" t="inlineStr">
        <is>
          <t>Handysize</t>
        </is>
      </c>
      <c r="B38" s="18">
        <f>AVERAGE(Assumptions!$B$45:$E$45)*Assumptions!$C$57</f>
        <v/>
      </c>
      <c r="C38" s="18">
        <f>AVERAGE(Assumptions!$B$45:$E$45)*Assumptions!$C$57</f>
        <v/>
      </c>
      <c r="D38" s="18">
        <f>AVERAGE(Assumptions!$B$45:$E$45)*Assumptions!$C$57</f>
        <v/>
      </c>
      <c r="E38" s="18">
        <f>AVERAGE(Assumptions!$B$45:$E$45)*Assumptions!$C$57</f>
        <v/>
      </c>
      <c r="F38" s="18">
        <f>Assumptions!$B$51*Assumptions!$C$57</f>
        <v/>
      </c>
      <c r="G38" s="18">
        <f>Assumptions!$C$51*Assumptions!$C$57</f>
        <v/>
      </c>
      <c r="H38" s="18">
        <f>AVERAGE(Assumptions!$B$45:$E$45)*Assumptions!$C$57</f>
        <v/>
      </c>
    </row>
    <row r="39">
      <c r="A39" s="6" t="inlineStr">
        <is>
          <t>Medium range</t>
        </is>
      </c>
      <c r="B39" s="18">
        <f>Assumptions!$B$45</f>
        <v/>
      </c>
      <c r="C39" s="18">
        <f>Assumptions!$C$45</f>
        <v/>
      </c>
      <c r="D39" s="18">
        <f>Assumptions!$D$45</f>
        <v/>
      </c>
      <c r="E39" s="18">
        <f>Assumptions!$E$45</f>
        <v/>
      </c>
      <c r="F39" s="18">
        <f>Assumptions!$B$51</f>
        <v/>
      </c>
      <c r="G39" s="18">
        <f>Assumptions!$C$51</f>
        <v/>
      </c>
      <c r="H39" s="18">
        <f>AVERAGE(Assumptions!$B$45:$E$45)</f>
        <v/>
      </c>
    </row>
    <row r="40">
      <c r="A40" s="6" t="inlineStr">
        <is>
          <t>Long range 1</t>
        </is>
      </c>
      <c r="B40" s="18">
        <f>Assumptions!$B$46</f>
        <v/>
      </c>
      <c r="C40" s="18">
        <f>Assumptions!$C$46</f>
        <v/>
      </c>
      <c r="D40" s="18">
        <f>Assumptions!$D$46</f>
        <v/>
      </c>
      <c r="E40" s="18">
        <f>Assumptions!$E$46</f>
        <v/>
      </c>
      <c r="F40" s="18">
        <f>Assumptions!$B$52</f>
        <v/>
      </c>
      <c r="G40" s="18">
        <f>Assumptions!$C$52</f>
        <v/>
      </c>
      <c r="H40" s="18">
        <f>(AVERAGE(Assumptions!$B$42:$E$42)+AVERAGE(Assumptions!$B$46:$E$46))/2</f>
        <v/>
      </c>
    </row>
    <row r="41">
      <c r="A41" s="6" t="inlineStr">
        <is>
          <t>Long range 2</t>
        </is>
      </c>
      <c r="B41" s="18">
        <f>Assumptions!$B$47</f>
        <v/>
      </c>
      <c r="C41" s="18">
        <f>Assumptions!$C$47</f>
        <v/>
      </c>
      <c r="D41" s="18">
        <f>Assumptions!$D$47</f>
        <v/>
      </c>
      <c r="E41" s="18">
        <f>Assumptions!$E$47</f>
        <v/>
      </c>
      <c r="F41" s="18">
        <f>Assumptions!$B$53</f>
        <v/>
      </c>
      <c r="G41" s="18">
        <f>Assumptions!$C$53</f>
        <v/>
      </c>
      <c r="H41" s="18">
        <f>(AVERAGE(Assumptions!$B$43:$E$43)+AVERAGE(Assumptions!$B$47:$E$47))/2</f>
        <v/>
      </c>
    </row>
    <row r="42">
      <c r="A42" s="6" t="inlineStr">
        <is>
          <t>Very large crude carrier</t>
        </is>
      </c>
      <c r="B42" s="18">
        <f>Assumptions!$B$48</f>
        <v/>
      </c>
      <c r="C42" s="18">
        <f>Assumptions!$C$48</f>
        <v/>
      </c>
      <c r="D42" s="18">
        <f>Assumptions!$D$48</f>
        <v/>
      </c>
      <c r="E42" s="18">
        <f>Assumptions!$E$48</f>
        <v/>
      </c>
      <c r="F42" s="18">
        <f>Assumptions!$B$54</f>
        <v/>
      </c>
      <c r="G42" s="18">
        <f>Assumptions!$C$54</f>
        <v/>
      </c>
      <c r="H42" s="18">
        <f>(AVERAGE(Assumptions!$B$44:$E$44)+AVERAGE(Assumptions!$B$48:$E$48))/2</f>
        <v/>
      </c>
    </row>
    <row r="44">
      <c r="A44" s="11" t="inlineStr">
        <is>
          <t>Class vessel-days in the window — vessels owned x days</t>
        </is>
      </c>
      <c r="B44" s="14" t="n"/>
      <c r="C44" s="14" t="n"/>
      <c r="D44" s="14" t="n"/>
      <c r="E44" s="14" t="n"/>
      <c r="F44" s="14" t="n"/>
      <c r="G44" s="14" t="n"/>
      <c r="H44" s="14" t="n"/>
      <c r="I44" s="14" t="n"/>
    </row>
    <row r="45">
      <c r="A45" s="6" t="inlineStr">
        <is>
          <t>Handysize</t>
        </is>
      </c>
      <c r="B45" s="33">
        <f>$B$26*B$35</f>
        <v/>
      </c>
      <c r="C45" s="33">
        <f>$B$26*C$35</f>
        <v/>
      </c>
      <c r="D45" s="33">
        <f>$B$26*D$35</f>
        <v/>
      </c>
      <c r="E45" s="33">
        <f>$B$26*E$35</f>
        <v/>
      </c>
      <c r="F45" s="33">
        <f>$B$28*F$35</f>
        <v/>
      </c>
      <c r="G45" s="33">
        <f>$B$28*G$35</f>
        <v/>
      </c>
      <c r="H45" s="33">
        <f>$B$26*H$35</f>
        <v/>
      </c>
    </row>
    <row r="46">
      <c r="A46" s="6" t="inlineStr">
        <is>
          <t>Medium range</t>
        </is>
      </c>
      <c r="B46" s="33">
        <f>$C$26*B$35</f>
        <v/>
      </c>
      <c r="C46" s="33">
        <f>$C$26*C$35</f>
        <v/>
      </c>
      <c r="D46" s="33">
        <f>$C$26*D$35</f>
        <v/>
      </c>
      <c r="E46" s="33">
        <f>$C$26*E$35</f>
        <v/>
      </c>
      <c r="F46" s="33">
        <f>$C$28*F$35</f>
        <v/>
      </c>
      <c r="G46" s="33">
        <f>$C$28*G$35</f>
        <v/>
      </c>
      <c r="H46" s="33">
        <f>$C$26*H$35</f>
        <v/>
      </c>
    </row>
    <row r="47">
      <c r="A47" s="6" t="inlineStr">
        <is>
          <t>Long range 1</t>
        </is>
      </c>
      <c r="B47" s="33">
        <f>$D$26*B$35</f>
        <v/>
      </c>
      <c r="C47" s="33">
        <f>$D$26*C$35</f>
        <v/>
      </c>
      <c r="D47" s="33">
        <f>$D$26*D$35</f>
        <v/>
      </c>
      <c r="E47" s="33">
        <f>$D$26*E$35</f>
        <v/>
      </c>
      <c r="F47" s="33">
        <f>$D$28*F$35</f>
        <v/>
      </c>
      <c r="G47" s="33">
        <f>$D$28*G$35</f>
        <v/>
      </c>
      <c r="H47" s="33">
        <f>$D$26*H$35</f>
        <v/>
      </c>
    </row>
    <row r="48">
      <c r="A48" s="6" t="inlineStr">
        <is>
          <t>Long range 2</t>
        </is>
      </c>
      <c r="B48" s="33">
        <f>$E$26*B$35</f>
        <v/>
      </c>
      <c r="C48" s="33">
        <f>$E$26*C$35</f>
        <v/>
      </c>
      <c r="D48" s="33">
        <f>$E$26*D$35</f>
        <v/>
      </c>
      <c r="E48" s="33">
        <f>$E$26*E$35</f>
        <v/>
      </c>
      <c r="F48" s="33">
        <f>$E$28*F$35</f>
        <v/>
      </c>
      <c r="G48" s="33">
        <f>$E$28*G$35</f>
        <v/>
      </c>
      <c r="H48" s="33">
        <f>$E$26*H$35</f>
        <v/>
      </c>
    </row>
    <row r="49">
      <c r="A49" s="6" t="inlineStr">
        <is>
          <t>Very large crude carrier</t>
        </is>
      </c>
      <c r="B49" s="33">
        <f>$F$26*B$35</f>
        <v/>
      </c>
      <c r="C49" s="33">
        <f>$F$26*C$35</f>
        <v/>
      </c>
      <c r="D49" s="33">
        <f>$F$26*D$35</f>
        <v/>
      </c>
      <c r="E49" s="33">
        <f>$F$26*E$35</f>
        <v/>
      </c>
      <c r="F49" s="33">
        <f>$F$28*F$35</f>
        <v/>
      </c>
      <c r="G49" s="33">
        <f>$F$28*G$35</f>
        <v/>
      </c>
      <c r="H49" s="33">
        <f>$F$26*H$35</f>
        <v/>
      </c>
    </row>
    <row r="51">
      <c r="A51" s="11" t="inlineStr">
        <is>
          <t>Charter vessel-days in the window — each fixture for exactly the days its own contract runs</t>
        </is>
      </c>
      <c r="B51" s="14" t="n"/>
      <c r="C51" s="14" t="n"/>
      <c r="D51" s="14" t="n"/>
      <c r="E51" s="14" t="n"/>
      <c r="F51" s="14" t="n"/>
      <c r="G51" s="14" t="n"/>
      <c r="H51" s="14" t="n"/>
      <c r="I51" s="14" t="n"/>
    </row>
    <row r="52">
      <c r="A52" s="6" t="inlineStr">
        <is>
          <t>Handysize</t>
        </is>
      </c>
      <c r="B52" s="33">
        <f>0</f>
        <v/>
      </c>
      <c r="C52" s="33">
        <f>0</f>
        <v/>
      </c>
      <c r="D52" s="33">
        <f>0</f>
        <v/>
      </c>
      <c r="E52" s="33">
        <f>0</f>
        <v/>
      </c>
      <c r="F52" s="33">
        <f>0</f>
        <v/>
      </c>
      <c r="G52" s="33">
        <f>0</f>
        <v/>
      </c>
      <c r="H52" s="33">
        <f>0</f>
        <v/>
      </c>
    </row>
    <row r="53">
      <c r="A53" s="6" t="inlineStr">
        <is>
          <t>Medium range</t>
        </is>
      </c>
      <c r="B53" s="33">
        <f>0</f>
        <v/>
      </c>
      <c r="C53" s="33">
        <f>0</f>
        <v/>
      </c>
      <c r="D53" s="33">
        <f>0</f>
        <v/>
      </c>
      <c r="E53" s="33">
        <f>0</f>
        <v/>
      </c>
      <c r="F53" s="33">
        <f>0</f>
        <v/>
      </c>
      <c r="G53" s="33">
        <f>0</f>
        <v/>
      </c>
      <c r="H53" s="33">
        <f>0</f>
        <v/>
      </c>
    </row>
    <row r="54">
      <c r="A54" s="6" t="inlineStr">
        <is>
          <t>Long range 1</t>
        </is>
      </c>
      <c r="B54" s="33">
        <f>MAX(MIN(Assumptions!$D$60,B$34)-MAX(Assumptions!$C$60,B$33),0)+MAX(MIN(Assumptions!$D$61,B$34)-MAX(Assumptions!$C$61,B$33),0)</f>
        <v/>
      </c>
      <c r="C54" s="33">
        <f>MAX(MIN(Assumptions!$D$60,C$34)-MAX(Assumptions!$C$60,C$33),0)+MAX(MIN(Assumptions!$D$61,C$34)-MAX(Assumptions!$C$61,C$33),0)</f>
        <v/>
      </c>
      <c r="D54" s="33">
        <f>MAX(MIN(Assumptions!$D$60,D$34)-MAX(Assumptions!$C$60,D$33),0)+MAX(MIN(Assumptions!$D$61,D$34)-MAX(Assumptions!$C$61,D$33),0)</f>
        <v/>
      </c>
      <c r="E54" s="33">
        <f>MAX(MIN(Assumptions!$D$60,E$34)-MAX(Assumptions!$C$60,E$33),0)+MAX(MIN(Assumptions!$D$61,E$34)-MAX(Assumptions!$C$61,E$33),0)</f>
        <v/>
      </c>
      <c r="F54" s="33">
        <f>MAX(MIN(Assumptions!$D$60,F$34)-MAX(Assumptions!$C$60,F$33),0)+MAX(MIN(Assumptions!$D$61,F$34)-MAX(Assumptions!$C$61,F$33),0)</f>
        <v/>
      </c>
      <c r="G54" s="33">
        <f>MAX(MIN(Assumptions!$D$60,G$34)-MAX(Assumptions!$C$60,G$33),0)+MAX(MIN(Assumptions!$D$61,G$34)-MAX(Assumptions!$C$61,G$33),0)</f>
        <v/>
      </c>
      <c r="H54" s="33">
        <f>MAX(MIN(Assumptions!$D$60,H$34)-MAX(Assumptions!$C$60,H$33),0)+MAX(MIN(Assumptions!$D$61,H$34)-MAX(Assumptions!$C$61,H$33),0)</f>
        <v/>
      </c>
    </row>
    <row r="55">
      <c r="A55" s="6" t="inlineStr">
        <is>
          <t>Long range 2</t>
        </is>
      </c>
      <c r="B55" s="33">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3">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3">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3">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3">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3">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3">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3">
        <f>MAX(MIN(Assumptions!$D$68,B$34)-MAX(Assumptions!$C$68,B$33),0)+MAX(MIN(Assumptions!$D$69,B$34)-MAX(Assumptions!$C$69,B$33),0)+MAX(MIN(Assumptions!$D$70,B$34)-MAX(Assumptions!$C$70,B$33),0)+MAX(MIN(Assumptions!$D$71,B$34)-MAX(Assumptions!$C$71,B$33),0)</f>
        <v/>
      </c>
      <c r="C56" s="33">
        <f>MAX(MIN(Assumptions!$D$68,C$34)-MAX(Assumptions!$C$68,C$33),0)+MAX(MIN(Assumptions!$D$69,C$34)-MAX(Assumptions!$C$69,C$33),0)+MAX(MIN(Assumptions!$D$70,C$34)-MAX(Assumptions!$C$70,C$33),0)+MAX(MIN(Assumptions!$D$71,C$34)-MAX(Assumptions!$C$71,C$33),0)</f>
        <v/>
      </c>
      <c r="D56" s="33">
        <f>MAX(MIN(Assumptions!$D$68,D$34)-MAX(Assumptions!$C$68,D$33),0)+MAX(MIN(Assumptions!$D$69,D$34)-MAX(Assumptions!$C$69,D$33),0)+MAX(MIN(Assumptions!$D$70,D$34)-MAX(Assumptions!$C$70,D$33),0)+MAX(MIN(Assumptions!$D$71,D$34)-MAX(Assumptions!$C$71,D$33),0)</f>
        <v/>
      </c>
      <c r="E56" s="33">
        <f>MAX(MIN(Assumptions!$D$68,E$34)-MAX(Assumptions!$C$68,E$33),0)+MAX(MIN(Assumptions!$D$69,E$34)-MAX(Assumptions!$C$69,E$33),0)+MAX(MIN(Assumptions!$D$70,E$34)-MAX(Assumptions!$C$70,E$33),0)+MAX(MIN(Assumptions!$D$71,E$34)-MAX(Assumptions!$C$71,E$33),0)</f>
        <v/>
      </c>
      <c r="F56" s="33">
        <f>MAX(MIN(Assumptions!$D$68,F$34)-MAX(Assumptions!$C$68,F$33),0)+MAX(MIN(Assumptions!$D$69,F$34)-MAX(Assumptions!$C$69,F$33),0)+MAX(MIN(Assumptions!$D$70,F$34)-MAX(Assumptions!$C$70,F$33),0)+MAX(MIN(Assumptions!$D$71,F$34)-MAX(Assumptions!$C$71,F$33),0)</f>
        <v/>
      </c>
      <c r="G56" s="33">
        <f>MAX(MIN(Assumptions!$D$68,G$34)-MAX(Assumptions!$C$68,G$33),0)+MAX(MIN(Assumptions!$D$69,G$34)-MAX(Assumptions!$C$69,G$33),0)+MAX(MIN(Assumptions!$D$70,G$34)-MAX(Assumptions!$C$70,G$33),0)+MAX(MIN(Assumptions!$D$71,G$34)-MAX(Assumptions!$C$71,G$33),0)</f>
        <v/>
      </c>
      <c r="H56" s="33">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4" t="n"/>
      <c r="C58" s="14" t="n"/>
      <c r="D58" s="14" t="n"/>
      <c r="E58" s="14" t="n"/>
      <c r="F58" s="14" t="n"/>
      <c r="G58" s="14" t="n"/>
      <c r="H58" s="14" t="n"/>
      <c r="I58" s="14" t="n"/>
    </row>
    <row r="59">
      <c r="A59" s="6" t="inlineStr">
        <is>
          <t>Handysize</t>
        </is>
      </c>
      <c r="B59" s="33">
        <f>0</f>
        <v/>
      </c>
      <c r="C59" s="33">
        <f>0</f>
        <v/>
      </c>
      <c r="D59" s="33">
        <f>0</f>
        <v/>
      </c>
      <c r="E59" s="33">
        <f>0</f>
        <v/>
      </c>
      <c r="F59" s="33">
        <f>0</f>
        <v/>
      </c>
      <c r="G59" s="33">
        <f>0</f>
        <v/>
      </c>
      <c r="H59" s="33">
        <f>0</f>
        <v/>
      </c>
    </row>
    <row r="60">
      <c r="A60" s="6" t="inlineStr">
        <is>
          <t>Medium range</t>
        </is>
      </c>
      <c r="B60" s="33">
        <f>0</f>
        <v/>
      </c>
      <c r="C60" s="33">
        <f>0</f>
        <v/>
      </c>
      <c r="D60" s="33">
        <f>0</f>
        <v/>
      </c>
      <c r="E60" s="33">
        <f>0</f>
        <v/>
      </c>
      <c r="F60" s="33">
        <f>0</f>
        <v/>
      </c>
      <c r="G60" s="33">
        <f>0</f>
        <v/>
      </c>
      <c r="H60" s="33">
        <f>0</f>
        <v/>
      </c>
    </row>
    <row r="61">
      <c r="A61" s="6" t="inlineStr">
        <is>
          <t>Long range 1</t>
        </is>
      </c>
      <c r="B61" s="33">
        <f>Assumptions!$B$60*MAX(MIN(Assumptions!$D$60,B$34)-MAX(Assumptions!$C$60,B$33),0)+Assumptions!$B$61*MAX(MIN(Assumptions!$D$61,B$34)-MAX(Assumptions!$C$61,B$33),0)</f>
        <v/>
      </c>
      <c r="C61" s="33">
        <f>Assumptions!$B$60*MAX(MIN(Assumptions!$D$60,C$34)-MAX(Assumptions!$C$60,C$33),0)+Assumptions!$B$61*MAX(MIN(Assumptions!$D$61,C$34)-MAX(Assumptions!$C$61,C$33),0)</f>
        <v/>
      </c>
      <c r="D61" s="33">
        <f>Assumptions!$B$60*MAX(MIN(Assumptions!$D$60,D$34)-MAX(Assumptions!$C$60,D$33),0)+Assumptions!$B$61*MAX(MIN(Assumptions!$D$61,D$34)-MAX(Assumptions!$C$61,D$33),0)</f>
        <v/>
      </c>
      <c r="E61" s="33">
        <f>Assumptions!$B$60*MAX(MIN(Assumptions!$D$60,E$34)-MAX(Assumptions!$C$60,E$33),0)+Assumptions!$B$61*MAX(MIN(Assumptions!$D$61,E$34)-MAX(Assumptions!$C$61,E$33),0)</f>
        <v/>
      </c>
      <c r="F61" s="33">
        <f>Assumptions!$B$60*MAX(MIN(Assumptions!$D$60,F$34)-MAX(Assumptions!$C$60,F$33),0)+Assumptions!$B$61*MAX(MIN(Assumptions!$D$61,F$34)-MAX(Assumptions!$C$61,F$33),0)</f>
        <v/>
      </c>
      <c r="G61" s="33">
        <f>Assumptions!$B$60*MAX(MIN(Assumptions!$D$60,G$34)-MAX(Assumptions!$C$60,G$33),0)+Assumptions!$B$61*MAX(MIN(Assumptions!$D$61,G$34)-MAX(Assumptions!$C$61,G$33),0)</f>
        <v/>
      </c>
      <c r="H61" s="33">
        <f>Assumptions!$B$60*MAX(MIN(Assumptions!$D$60,H$34)-MAX(Assumptions!$C$60,H$33),0)+Assumptions!$B$61*MAX(MIN(Assumptions!$D$61,H$34)-MAX(Assumptions!$C$61,H$33),0)</f>
        <v/>
      </c>
    </row>
    <row r="62">
      <c r="A62" s="6" t="inlineStr">
        <is>
          <t>Long range 2</t>
        </is>
      </c>
      <c r="B62" s="33">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3">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3">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3">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3">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3">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3">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3">
        <f>Assumptions!$B$68*MAX(MIN(Assumptions!$D$68,B$34)-MAX(Assumptions!$C$68,B$33),0)+Assumptions!$B$69*MAX(MIN(Assumptions!$D$69,B$34)-MAX(Assumptions!$C$69,B$33),0)+Assumptions!$B$70*MAX(MIN(Assumptions!$D$70,B$34)-MAX(Assumptions!$C$70,B$33),0)+Assumptions!$B$71*MAX(MIN(Assumptions!$D$71,B$34)-MAX(Assumptions!$C$71,B$33),0)</f>
        <v/>
      </c>
      <c r="C63" s="33">
        <f>Assumptions!$B$68*MAX(MIN(Assumptions!$D$68,C$34)-MAX(Assumptions!$C$68,C$33),0)+Assumptions!$B$69*MAX(MIN(Assumptions!$D$69,C$34)-MAX(Assumptions!$C$69,C$33),0)+Assumptions!$B$70*MAX(MIN(Assumptions!$D$70,C$34)-MAX(Assumptions!$C$70,C$33),0)+Assumptions!$B$71*MAX(MIN(Assumptions!$D$71,C$34)-MAX(Assumptions!$C$71,C$33),0)</f>
        <v/>
      </c>
      <c r="D63" s="33">
        <f>Assumptions!$B$68*MAX(MIN(Assumptions!$D$68,D$34)-MAX(Assumptions!$C$68,D$33),0)+Assumptions!$B$69*MAX(MIN(Assumptions!$D$69,D$34)-MAX(Assumptions!$C$69,D$33),0)+Assumptions!$B$70*MAX(MIN(Assumptions!$D$70,D$34)-MAX(Assumptions!$C$70,D$33),0)+Assumptions!$B$71*MAX(MIN(Assumptions!$D$71,D$34)-MAX(Assumptions!$C$71,D$33),0)</f>
        <v/>
      </c>
      <c r="E63" s="33">
        <f>Assumptions!$B$68*MAX(MIN(Assumptions!$D$68,E$34)-MAX(Assumptions!$C$68,E$33),0)+Assumptions!$B$69*MAX(MIN(Assumptions!$D$69,E$34)-MAX(Assumptions!$C$69,E$33),0)+Assumptions!$B$70*MAX(MIN(Assumptions!$D$70,E$34)-MAX(Assumptions!$C$70,E$33),0)+Assumptions!$B$71*MAX(MIN(Assumptions!$D$71,E$34)-MAX(Assumptions!$C$71,E$33),0)</f>
        <v/>
      </c>
      <c r="F63" s="33">
        <f>Assumptions!$B$68*MAX(MIN(Assumptions!$D$68,F$34)-MAX(Assumptions!$C$68,F$33),0)+Assumptions!$B$69*MAX(MIN(Assumptions!$D$69,F$34)-MAX(Assumptions!$C$69,F$33),0)+Assumptions!$B$70*MAX(MIN(Assumptions!$D$70,F$34)-MAX(Assumptions!$C$70,F$33),0)+Assumptions!$B$71*MAX(MIN(Assumptions!$D$71,F$34)-MAX(Assumptions!$C$71,F$33),0)</f>
        <v/>
      </c>
      <c r="G63" s="33">
        <f>Assumptions!$B$68*MAX(MIN(Assumptions!$D$68,G$34)-MAX(Assumptions!$C$68,G$33),0)+Assumptions!$B$69*MAX(MIN(Assumptions!$D$69,G$34)-MAX(Assumptions!$C$69,G$33),0)+Assumptions!$B$70*MAX(MIN(Assumptions!$D$70,G$34)-MAX(Assumptions!$C$70,G$33),0)+Assumptions!$B$71*MAX(MIN(Assumptions!$D$71,G$34)-MAX(Assumptions!$C$71,G$33),0)</f>
        <v/>
      </c>
      <c r="H63" s="33">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4" t="n"/>
      <c r="C65" s="14" t="n"/>
      <c r="D65" s="14" t="n"/>
      <c r="E65" s="14" t="n"/>
      <c r="F65" s="14" t="n"/>
      <c r="G65" s="14" t="n"/>
      <c r="H65" s="14" t="n"/>
      <c r="I65" s="14" t="n"/>
    </row>
    <row r="66">
      <c r="A66" s="6" t="inlineStr">
        <is>
          <t>Handysize</t>
        </is>
      </c>
      <c r="B66" s="33">
        <f>B45-B52</f>
        <v/>
      </c>
      <c r="C66" s="33">
        <f>C45-C52</f>
        <v/>
      </c>
      <c r="D66" s="33">
        <f>D45-D52</f>
        <v/>
      </c>
      <c r="E66" s="33">
        <f>E45-E52</f>
        <v/>
      </c>
      <c r="F66" s="33">
        <f>F45-F52</f>
        <v/>
      </c>
      <c r="G66" s="33">
        <f>G45-G52</f>
        <v/>
      </c>
      <c r="H66" s="33">
        <f>H45-H52</f>
        <v/>
      </c>
    </row>
    <row r="67">
      <c r="A67" s="6" t="inlineStr">
        <is>
          <t>Medium range</t>
        </is>
      </c>
      <c r="B67" s="33">
        <f>B46-B53</f>
        <v/>
      </c>
      <c r="C67" s="33">
        <f>C46-C53</f>
        <v/>
      </c>
      <c r="D67" s="33">
        <f>D46-D53</f>
        <v/>
      </c>
      <c r="E67" s="33">
        <f>E46-E53</f>
        <v/>
      </c>
      <c r="F67" s="33">
        <f>F46-F53</f>
        <v/>
      </c>
      <c r="G67" s="33">
        <f>G46-G53</f>
        <v/>
      </c>
      <c r="H67" s="33">
        <f>H46-H53</f>
        <v/>
      </c>
    </row>
    <row r="68">
      <c r="A68" s="6" t="inlineStr">
        <is>
          <t>Long range 1</t>
        </is>
      </c>
      <c r="B68" s="33">
        <f>B47-B54</f>
        <v/>
      </c>
      <c r="C68" s="33">
        <f>C47-C54</f>
        <v/>
      </c>
      <c r="D68" s="33">
        <f>D47-D54</f>
        <v/>
      </c>
      <c r="E68" s="33">
        <f>E47-E54</f>
        <v/>
      </c>
      <c r="F68" s="33">
        <f>F47-F54</f>
        <v/>
      </c>
      <c r="G68" s="33">
        <f>G47-G54</f>
        <v/>
      </c>
      <c r="H68" s="33">
        <f>H47-H54</f>
        <v/>
      </c>
    </row>
    <row r="69">
      <c r="A69" s="6" t="inlineStr">
        <is>
          <t>Long range 2</t>
        </is>
      </c>
      <c r="B69" s="33">
        <f>B48-B55</f>
        <v/>
      </c>
      <c r="C69" s="33">
        <f>C48-C55</f>
        <v/>
      </c>
      <c r="D69" s="33">
        <f>D48-D55</f>
        <v/>
      </c>
      <c r="E69" s="33">
        <f>E48-E55</f>
        <v/>
      </c>
      <c r="F69" s="33">
        <f>F48-F55</f>
        <v/>
      </c>
      <c r="G69" s="33">
        <f>G48-G55</f>
        <v/>
      </c>
      <c r="H69" s="33">
        <f>H48-H55</f>
        <v/>
      </c>
    </row>
    <row r="70">
      <c r="A70" s="6" t="inlineStr">
        <is>
          <t>Very large crude carrier</t>
        </is>
      </c>
      <c r="B70" s="33">
        <f>B49-B56</f>
        <v/>
      </c>
      <c r="C70" s="33">
        <f>C49-C56</f>
        <v/>
      </c>
      <c r="D70" s="33">
        <f>D49-D56</f>
        <v/>
      </c>
      <c r="E70" s="33">
        <f>E49-E56</f>
        <v/>
      </c>
      <c r="F70" s="33">
        <f>F49-F56</f>
        <v/>
      </c>
      <c r="G70" s="33">
        <f>G49-G56</f>
        <v/>
      </c>
      <c r="H70" s="33">
        <f>H49-H56</f>
        <v/>
      </c>
    </row>
    <row r="72">
      <c r="A72" s="11" t="inlineStr">
        <is>
          <t>IMPLIED SPOT RATE — the blend with the chartered vessels removed (USD per day)</t>
        </is>
      </c>
      <c r="B72" s="14" t="n"/>
      <c r="C72" s="14" t="n"/>
      <c r="D72" s="14" t="n"/>
      <c r="E72" s="14" t="n"/>
      <c r="F72" s="14" t="n"/>
      <c r="G72" s="14" t="n"/>
      <c r="H72" s="14" t="n"/>
      <c r="I72" s="14" t="n"/>
    </row>
    <row r="73">
      <c r="A73" s="6" t="inlineStr">
        <is>
          <t>Handysize</t>
        </is>
      </c>
      <c r="B73" s="35">
        <f>(B38*B45-B59)/B66</f>
        <v/>
      </c>
      <c r="C73" s="35">
        <f>(C38*C45-C59)/C66</f>
        <v/>
      </c>
      <c r="D73" s="35">
        <f>(D38*D45-D59)/D66</f>
        <v/>
      </c>
      <c r="E73" s="35">
        <f>(E38*E45-E59)/E66</f>
        <v/>
      </c>
      <c r="F73" s="35">
        <f>(F38*F45-F59)/F66</f>
        <v/>
      </c>
      <c r="G73" s="35">
        <f>(G38*G45-G59)/G66</f>
        <v/>
      </c>
      <c r="H73" s="35">
        <f>(H38*H45-H59)/H66</f>
        <v/>
      </c>
    </row>
    <row r="74">
      <c r="A74" s="6" t="inlineStr">
        <is>
          <t>Medium range</t>
        </is>
      </c>
      <c r="B74" s="35">
        <f>(B39*B46-B60)/B67</f>
        <v/>
      </c>
      <c r="C74" s="35">
        <f>(C39*C46-C60)/C67</f>
        <v/>
      </c>
      <c r="D74" s="35">
        <f>(D39*D46-D60)/D67</f>
        <v/>
      </c>
      <c r="E74" s="35">
        <f>(E39*E46-E60)/E67</f>
        <v/>
      </c>
      <c r="F74" s="35">
        <f>(F39*F46-F60)/F67</f>
        <v/>
      </c>
      <c r="G74" s="35">
        <f>(G39*G46-G60)/G67</f>
        <v/>
      </c>
      <c r="H74" s="35">
        <f>(H39*H46-H60)/H67</f>
        <v/>
      </c>
    </row>
    <row r="75">
      <c r="A75" s="6" t="inlineStr">
        <is>
          <t>Long range 1</t>
        </is>
      </c>
      <c r="B75" s="35">
        <f>(B40*B47-B61)/B68</f>
        <v/>
      </c>
      <c r="C75" s="35">
        <f>(C40*C47-C61)/C68</f>
        <v/>
      </c>
      <c r="D75" s="35">
        <f>(D40*D47-D61)/D68</f>
        <v/>
      </c>
      <c r="E75" s="35">
        <f>(E40*E47-E61)/E68</f>
        <v/>
      </c>
      <c r="F75" s="35">
        <f>(F40*F47-F61)/F68</f>
        <v/>
      </c>
      <c r="G75" s="35">
        <f>(G40*G47-G61)/G68</f>
        <v/>
      </c>
      <c r="H75" s="35">
        <f>(H40*H47-H61)/H68</f>
        <v/>
      </c>
    </row>
    <row r="76">
      <c r="A76" s="6" t="inlineStr">
        <is>
          <t>Long range 2</t>
        </is>
      </c>
      <c r="B76" s="35">
        <f>(B41*B48-B62)/B69</f>
        <v/>
      </c>
      <c r="C76" s="35">
        <f>(C41*C48-C62)/C69</f>
        <v/>
      </c>
      <c r="D76" s="35">
        <f>(D41*D48-D62)/D69</f>
        <v/>
      </c>
      <c r="E76" s="35">
        <f>(E41*E48-E62)/E69</f>
        <v/>
      </c>
      <c r="F76" s="35">
        <f>(F41*F48-F62)/F69</f>
        <v/>
      </c>
      <c r="G76" s="35">
        <f>(G41*G48-G62)/G69</f>
        <v/>
      </c>
      <c r="H76" s="35">
        <f>(H41*H48-H62)/H69</f>
        <v/>
      </c>
    </row>
    <row r="77">
      <c r="A77" s="6" t="inlineStr">
        <is>
          <t>Very large crude carrier</t>
        </is>
      </c>
      <c r="B77" s="35">
        <f>(B42*B49-B63)/B70</f>
        <v/>
      </c>
      <c r="C77" s="35">
        <f>(C42*C49-C63)/C70</f>
        <v/>
      </c>
      <c r="D77" s="35">
        <f>(D42*D49-D63)/D70</f>
        <v/>
      </c>
      <c r="E77" s="35">
        <f>(E42*E49-E63)/E70</f>
        <v/>
      </c>
      <c r="F77" s="35">
        <f>(F42*F49-F63)/F70</f>
        <v/>
      </c>
      <c r="G77" s="35">
        <f>(G42*G49-G63)/G70</f>
        <v/>
      </c>
      <c r="H77" s="35">
        <f>(H42*H49-H63)/H70</f>
        <v/>
      </c>
    </row>
    <row r="79">
      <c r="A79" s="11" t="inlineStr">
        <is>
          <t>THE IMPLIED SPOT RATE PATH — NEVER THE PUBLISHED BLEND</t>
        </is>
      </c>
      <c r="B79" s="14" t="inlineStr">
        <is>
          <t>Handysize</t>
        </is>
      </c>
      <c r="C79" s="14" t="inlineStr">
        <is>
          <t>Medium range</t>
        </is>
      </c>
      <c r="D79" s="14" t="inlineStr">
        <is>
          <t>Long range 1</t>
        </is>
      </c>
      <c r="E79" s="14" t="inlineStr">
        <is>
          <t>Long range 2</t>
        </is>
      </c>
      <c r="F79" s="14"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H73</f>
        <v/>
      </c>
      <c r="C81" s="33">
        <f>H74</f>
        <v/>
      </c>
      <c r="D81" s="33">
        <f>H75</f>
        <v/>
      </c>
      <c r="E81" s="33">
        <f>H76</f>
        <v/>
      </c>
      <c r="F81" s="33">
        <f>H77</f>
        <v/>
      </c>
    </row>
    <row r="82">
      <c r="A82" s="6" t="inlineStr">
        <is>
          <t>First-quarter 2026 implied spot rate (USD per day)</t>
        </is>
      </c>
      <c r="B82" s="33">
        <f>F73</f>
        <v/>
      </c>
      <c r="C82" s="33">
        <f>F74</f>
        <v/>
      </c>
      <c r="D82" s="33">
        <f>F75</f>
        <v/>
      </c>
      <c r="E82" s="33">
        <f>F76</f>
        <v/>
      </c>
      <c r="F82" s="33">
        <f>F77</f>
        <v/>
      </c>
    </row>
    <row r="83">
      <c r="A83" s="6" t="inlineStr">
        <is>
          <t>Second-quarter 2026 implied spot rate (USD per day)</t>
        </is>
      </c>
      <c r="B83" s="33">
        <f>G73</f>
        <v/>
      </c>
      <c r="C83" s="33">
        <f>G74</f>
        <v/>
      </c>
      <c r="D83" s="33">
        <f>G75</f>
        <v/>
      </c>
      <c r="E83" s="33">
        <f>G76</f>
        <v/>
      </c>
      <c r="F83" s="33">
        <f>G77</f>
        <v/>
      </c>
    </row>
    <row r="84">
      <c r="A84" s="6" t="inlineStr">
        <is>
          <t>Second half of 2026 — the first quarter stepped back toward the 2025 implied spot rate (USD per day)</t>
        </is>
      </c>
      <c r="B84" s="33">
        <f>B82*(1-Assumptions!$C$90)+B80*Assumptions!$C$90</f>
        <v/>
      </c>
      <c r="C84" s="33">
        <f>C82*(1-Assumptions!$C$90)+C80*Assumptions!$C$90</f>
        <v/>
      </c>
      <c r="D84" s="33">
        <f>D82*(1-Assumptions!$C$90)+D80*Assumptions!$C$90</f>
        <v/>
      </c>
      <c r="E84" s="33">
        <f>E82*(1-Assumptions!$C$90)+E80*Assumptions!$C$90</f>
        <v/>
      </c>
      <c r="F84" s="33">
        <f>F82*(1-Assumptions!$C$90)+F80*Assumptions!$C$90</f>
        <v/>
      </c>
    </row>
    <row r="85">
      <c r="A85" s="6" t="inlineStr">
        <is>
          <t>FY2026 implied spot rate — the four quarters averaged (USD per day)</t>
        </is>
      </c>
      <c r="B85" s="33">
        <f>(B82+B83+2*B84)/4</f>
        <v/>
      </c>
      <c r="C85" s="33">
        <f>(C82+C83+2*C84)/4</f>
        <v/>
      </c>
      <c r="D85" s="33">
        <f>(D82+D83+2*D84)/4</f>
        <v/>
      </c>
      <c r="E85" s="33">
        <f>(E82+E83+2*E84)/4</f>
        <v/>
      </c>
      <c r="F85" s="33">
        <f>(F82+F83+2*F84)/4</f>
        <v/>
      </c>
    </row>
    <row r="87">
      <c r="A87" s="11" t="inlineStr">
        <is>
          <t>Implied spot rate by class, gliding to the mid-cycle anchor (USD per day)</t>
        </is>
      </c>
      <c r="B87" s="14" t="inlineStr">
        <is>
          <t>FY2026</t>
        </is>
      </c>
      <c r="C87" s="14" t="inlineStr">
        <is>
          <t>FY2027</t>
        </is>
      </c>
      <c r="D87" s="14" t="inlineStr">
        <is>
          <t>FY2028</t>
        </is>
      </c>
      <c r="E87" s="14" t="inlineStr">
        <is>
          <t>FY2029</t>
        </is>
      </c>
      <c r="F87" s="14" t="inlineStr">
        <is>
          <t>FY2030</t>
        </is>
      </c>
    </row>
    <row r="88">
      <c r="A88" s="6" t="inlineStr">
        <is>
          <t>Handysize</t>
        </is>
      </c>
      <c r="B88" s="33">
        <f>$B$85</f>
        <v/>
      </c>
      <c r="C88" s="33">
        <f>$B$85+($B$81-$B$85)*1/4</f>
        <v/>
      </c>
      <c r="D88" s="33">
        <f>$B$85+($B$81-$B$85)*2/4</f>
        <v/>
      </c>
      <c r="E88" s="33">
        <f>$B$85+($B$81-$B$85)*3/4</f>
        <v/>
      </c>
      <c r="F88" s="33">
        <f>$B$85+($B$81-$B$85)*4/4</f>
        <v/>
      </c>
    </row>
    <row r="89">
      <c r="A89" s="6" t="inlineStr">
        <is>
          <t>Medium range</t>
        </is>
      </c>
      <c r="B89" s="33">
        <f>$C$85</f>
        <v/>
      </c>
      <c r="C89" s="33">
        <f>$C$85+($C$81-$C$85)*1/4</f>
        <v/>
      </c>
      <c r="D89" s="33">
        <f>$C$85+($C$81-$C$85)*2/4</f>
        <v/>
      </c>
      <c r="E89" s="33">
        <f>$C$85+($C$81-$C$85)*3/4</f>
        <v/>
      </c>
      <c r="F89" s="33">
        <f>$C$85+($C$81-$C$85)*4/4</f>
        <v/>
      </c>
    </row>
    <row r="90">
      <c r="A90" s="6" t="inlineStr">
        <is>
          <t>Long range 1</t>
        </is>
      </c>
      <c r="B90" s="33">
        <f>$D$85</f>
        <v/>
      </c>
      <c r="C90" s="33">
        <f>$D$85+($D$81-$D$85)*1/4</f>
        <v/>
      </c>
      <c r="D90" s="33">
        <f>$D$85+($D$81-$D$85)*2/4</f>
        <v/>
      </c>
      <c r="E90" s="33">
        <f>$D$85+($D$81-$D$85)*3/4</f>
        <v/>
      </c>
      <c r="F90" s="33">
        <f>$D$85+($D$81-$D$85)*4/4</f>
        <v/>
      </c>
    </row>
    <row r="91">
      <c r="A91" s="6" t="inlineStr">
        <is>
          <t>Long range 2</t>
        </is>
      </c>
      <c r="B91" s="33">
        <f>$E$85</f>
        <v/>
      </c>
      <c r="C91" s="33">
        <f>$E$85+($E$81-$E$85)*1/4</f>
        <v/>
      </c>
      <c r="D91" s="33">
        <f>$E$85+($E$81-$E$85)*2/4</f>
        <v/>
      </c>
      <c r="E91" s="33">
        <f>$E$85+($E$81-$E$85)*3/4</f>
        <v/>
      </c>
      <c r="F91" s="33">
        <f>$E$85+($E$81-$E$85)*4/4</f>
        <v/>
      </c>
    </row>
    <row r="92">
      <c r="A92" s="6" t="inlineStr">
        <is>
          <t>Very large crude carrier</t>
        </is>
      </c>
      <c r="B92" s="33">
        <f>$F$85</f>
        <v/>
      </c>
      <c r="C92" s="33">
        <f>$F$85+($F$81-$F$85)*1/4</f>
        <v/>
      </c>
      <c r="D92" s="33">
        <f>$F$85+($F$81-$F$85)*2/4</f>
        <v/>
      </c>
      <c r="E92" s="33">
        <f>$F$85+($F$81-$F$85)*3/4</f>
        <v/>
      </c>
      <c r="F92" s="33">
        <f>$F$85+($F$81-$F$85)*4/4</f>
        <v/>
      </c>
    </row>
    <row r="94">
      <c r="A94" s="11" t="inlineStr">
        <is>
          <t>THE FORECAST YEARS — EVERY VESSEL PRICED ON ITS OWN TERMS</t>
        </is>
      </c>
      <c r="B94" s="14" t="inlineStr">
        <is>
          <t>FY2026</t>
        </is>
      </c>
      <c r="C94" s="14" t="inlineStr">
        <is>
          <t>FY2027</t>
        </is>
      </c>
      <c r="D94" s="14" t="inlineStr">
        <is>
          <t>FY2028</t>
        </is>
      </c>
      <c r="E94" s="14" t="inlineStr">
        <is>
          <t>FY2029</t>
        </is>
      </c>
      <c r="F94" s="14" t="inlineStr">
        <is>
          <t>FY2030</t>
        </is>
      </c>
    </row>
    <row r="95">
      <c r="A95" s="6" t="inlineStr">
        <is>
          <t>Year begins</t>
        </is>
      </c>
      <c r="B95" s="43">
        <f>Assumptions!$B$78</f>
        <v/>
      </c>
      <c r="C95" s="43">
        <f>Assumptions!$C$78</f>
        <v/>
      </c>
      <c r="D95" s="43">
        <f>Assumptions!$D$78</f>
        <v/>
      </c>
      <c r="E95" s="43">
        <f>Assumptions!$E$78</f>
        <v/>
      </c>
      <c r="F95" s="43">
        <f>Assumptions!$F$78</f>
        <v/>
      </c>
    </row>
    <row r="96">
      <c r="A96" s="6" t="inlineStr">
        <is>
          <t>Year ends</t>
        </is>
      </c>
      <c r="B96" s="43">
        <f>Assumptions!$B$79</f>
        <v/>
      </c>
      <c r="C96" s="43">
        <f>Assumptions!$C$79</f>
        <v/>
      </c>
      <c r="D96" s="43">
        <f>Assumptions!$D$79</f>
        <v/>
      </c>
      <c r="E96" s="43">
        <f>Assumptions!$E$79</f>
        <v/>
      </c>
      <c r="F96" s="43">
        <f>Assumptions!$F$79</f>
        <v/>
      </c>
    </row>
    <row r="97">
      <c r="A97" s="6" t="inlineStr">
        <is>
          <t>Days in the year</t>
        </is>
      </c>
      <c r="B97" s="33">
        <f>B96-B95</f>
        <v/>
      </c>
      <c r="C97" s="33">
        <f>C96-C95</f>
        <v/>
      </c>
      <c r="D97" s="33">
        <f>D96-D95</f>
        <v/>
      </c>
      <c r="E97" s="33">
        <f>E96-E95</f>
        <v/>
      </c>
      <c r="F97" s="33">
        <f>F96-F95</f>
        <v/>
      </c>
    </row>
    <row r="99">
      <c r="A99" s="11" t="inlineStr">
        <is>
          <t>Charter vessel-days by class</t>
        </is>
      </c>
      <c r="B99" s="14" t="inlineStr">
        <is>
          <t>FY2026</t>
        </is>
      </c>
      <c r="C99" s="14" t="inlineStr">
        <is>
          <t>FY2027</t>
        </is>
      </c>
      <c r="D99" s="14" t="inlineStr">
        <is>
          <t>FY2028</t>
        </is>
      </c>
      <c r="E99" s="14" t="inlineStr">
        <is>
          <t>FY2029</t>
        </is>
      </c>
      <c r="F99" s="14"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MAX(MIN(Assumptions!$D$60,B$96)-MAX(Assumptions!$C$60,B$95),0)+MAX(MIN(Assumptions!$D$61,B$96)-MAX(Assumptions!$C$61,B$95),0)</f>
        <v/>
      </c>
      <c r="C102" s="33">
        <f>MAX(MIN(Assumptions!$D$60,C$96)-MAX(Assumptions!$C$60,C$95),0)+MAX(MIN(Assumptions!$D$61,C$96)-MAX(Assumptions!$C$61,C$95),0)</f>
        <v/>
      </c>
      <c r="D102" s="33">
        <f>MAX(MIN(Assumptions!$D$60,D$96)-MAX(Assumptions!$C$60,D$95),0)+MAX(MIN(Assumptions!$D$61,D$96)-MAX(Assumptions!$C$61,D$95),0)</f>
        <v/>
      </c>
      <c r="E102" s="33">
        <f>MAX(MIN(Assumptions!$D$60,E$96)-MAX(Assumptions!$C$60,E$95),0)+MAX(MIN(Assumptions!$D$61,E$96)-MAX(Assumptions!$C$61,E$95),0)</f>
        <v/>
      </c>
      <c r="F102" s="33">
        <f>MAX(MIN(Assumptions!$D$60,F$96)-MAX(Assumptions!$C$60,F$95),0)+MAX(MIN(Assumptions!$D$61,F$96)-MAX(Assumptions!$C$61,F$95),0)</f>
        <v/>
      </c>
    </row>
    <row r="103">
      <c r="A103" s="6" t="inlineStr">
        <is>
          <t>Long range 2</t>
        </is>
      </c>
      <c r="B103" s="33">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3">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3">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3">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3">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3">
        <f>MAX(MIN(Assumptions!$D$68,B$96)-MAX(Assumptions!$C$68,B$95),0)+MAX(MIN(Assumptions!$D$69,B$96)-MAX(Assumptions!$C$69,B$95),0)+MAX(MIN(Assumptions!$D$70,B$96)-MAX(Assumptions!$C$70,B$95),0)+MAX(MIN(Assumptions!$D$71,B$96)-MAX(Assumptions!$C$71,B$95),0)</f>
        <v/>
      </c>
      <c r="C104" s="33">
        <f>MAX(MIN(Assumptions!$D$68,C$96)-MAX(Assumptions!$C$68,C$95),0)+MAX(MIN(Assumptions!$D$69,C$96)-MAX(Assumptions!$C$69,C$95),0)+MAX(MIN(Assumptions!$D$70,C$96)-MAX(Assumptions!$C$70,C$95),0)+MAX(MIN(Assumptions!$D$71,C$96)-MAX(Assumptions!$C$71,C$95),0)</f>
        <v/>
      </c>
      <c r="D104" s="33">
        <f>MAX(MIN(Assumptions!$D$68,D$96)-MAX(Assumptions!$C$68,D$95),0)+MAX(MIN(Assumptions!$D$69,D$96)-MAX(Assumptions!$C$69,D$95),0)+MAX(MIN(Assumptions!$D$70,D$96)-MAX(Assumptions!$C$70,D$95),0)+MAX(MIN(Assumptions!$D$71,D$96)-MAX(Assumptions!$C$71,D$95),0)</f>
        <v/>
      </c>
      <c r="E104" s="33">
        <f>MAX(MIN(Assumptions!$D$68,E$96)-MAX(Assumptions!$C$68,E$95),0)+MAX(MIN(Assumptions!$D$69,E$96)-MAX(Assumptions!$C$69,E$95),0)+MAX(MIN(Assumptions!$D$70,E$96)-MAX(Assumptions!$C$70,E$95),0)+MAX(MIN(Assumptions!$D$71,E$96)-MAX(Assumptions!$C$71,E$95),0)</f>
        <v/>
      </c>
      <c r="F104" s="33">
        <f>MAX(MIN(Assumptions!$D$68,F$96)-MAX(Assumptions!$C$68,F$95),0)+MAX(MIN(Assumptions!$D$69,F$96)-MAX(Assumptions!$C$69,F$95),0)+MAX(MIN(Assumptions!$D$70,F$96)-MAX(Assumptions!$C$70,F$95),0)+MAX(MIN(Assumptions!$D$71,F$96)-MAX(Assumptions!$C$71,F$95),0)</f>
        <v/>
      </c>
    </row>
    <row r="106">
      <c r="A106" s="11" t="inlineStr">
        <is>
          <t>Charter revenue by class (USD 000)</t>
        </is>
      </c>
      <c r="B106" s="14" t="inlineStr">
        <is>
          <t>FY2026</t>
        </is>
      </c>
      <c r="C106" s="14" t="inlineStr">
        <is>
          <t>FY2027</t>
        </is>
      </c>
      <c r="D106" s="14" t="inlineStr">
        <is>
          <t>FY2028</t>
        </is>
      </c>
      <c r="E106" s="14" t="inlineStr">
        <is>
          <t>FY2029</t>
        </is>
      </c>
      <c r="F106" s="14"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(Assumptions!$B$60*MAX(MIN(Assumptions!$D$60,B$96)-MAX(Assumptions!$C$60,B$95),0)+Assumptions!$B$61*MAX(MIN(Assumptions!$D$61,B$96)-MAX(Assumptions!$C$61,B$95),0))/1000</f>
        <v/>
      </c>
      <c r="C109" s="33">
        <f>(Assumptions!$B$60*MAX(MIN(Assumptions!$D$60,C$96)-MAX(Assumptions!$C$60,C$95),0)+Assumptions!$B$61*MAX(MIN(Assumptions!$D$61,C$96)-MAX(Assumptions!$C$61,C$95),0))/1000</f>
        <v/>
      </c>
      <c r="D109" s="33">
        <f>(Assumptions!$B$60*MAX(MIN(Assumptions!$D$60,D$96)-MAX(Assumptions!$C$60,D$95),0)+Assumptions!$B$61*MAX(MIN(Assumptions!$D$61,D$96)-MAX(Assumptions!$C$61,D$95),0))/1000</f>
        <v/>
      </c>
      <c r="E109" s="33">
        <f>(Assumptions!$B$60*MAX(MIN(Assumptions!$D$60,E$96)-MAX(Assumptions!$C$60,E$95),0)+Assumptions!$B$61*MAX(MIN(Assumptions!$D$61,E$96)-MAX(Assumptions!$C$61,E$95),0))/1000</f>
        <v/>
      </c>
      <c r="F109" s="33">
        <f>(Assumptions!$B$60*MAX(MIN(Assumptions!$D$60,F$96)-MAX(Assumptions!$C$60,F$95),0)+Assumptions!$B$61*MAX(MIN(Assumptions!$D$61,F$96)-MAX(Assumptions!$C$61,F$95),0))/1000</f>
        <v/>
      </c>
    </row>
    <row r="110">
      <c r="A110" s="6" t="inlineStr">
        <is>
          <t>Long range 2</t>
        </is>
      </c>
      <c r="B110" s="33">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3">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3">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3">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3">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3">
        <f>(Assumptions!$B$68*MAX(MIN(Assumptions!$D$68,B$96)-MAX(Assumptions!$C$68,B$95),0)+Assumptions!$B$69*MAX(MIN(Assumptions!$D$69,B$96)-MAX(Assumptions!$C$69,B$95),0)+Assumptions!$B$70*MAX(MIN(Assumptions!$D$70,B$96)-MAX(Assumptions!$C$70,B$95),0)+Assumptions!$B$71*MAX(MIN(Assumptions!$D$71,B$96)-MAX(Assumptions!$C$71,B$95),0))/1000</f>
        <v/>
      </c>
      <c r="C111" s="33">
        <f>(Assumptions!$B$68*MAX(MIN(Assumptions!$D$68,C$96)-MAX(Assumptions!$C$68,C$95),0)+Assumptions!$B$69*MAX(MIN(Assumptions!$D$69,C$96)-MAX(Assumptions!$C$69,C$95),0)+Assumptions!$B$70*MAX(MIN(Assumptions!$D$70,C$96)-MAX(Assumptions!$C$70,C$95),0)+Assumptions!$B$71*MAX(MIN(Assumptions!$D$71,C$96)-MAX(Assumptions!$C$71,C$95),0))/1000</f>
        <v/>
      </c>
      <c r="D111" s="33">
        <f>(Assumptions!$B$68*MAX(MIN(Assumptions!$D$68,D$96)-MAX(Assumptions!$C$68,D$95),0)+Assumptions!$B$69*MAX(MIN(Assumptions!$D$69,D$96)-MAX(Assumptions!$C$69,D$95),0)+Assumptions!$B$70*MAX(MIN(Assumptions!$D$70,D$96)-MAX(Assumptions!$C$70,D$95),0)+Assumptions!$B$71*MAX(MIN(Assumptions!$D$71,D$96)-MAX(Assumptions!$C$71,D$95),0))/1000</f>
        <v/>
      </c>
      <c r="E111" s="33">
        <f>(Assumptions!$B$68*MAX(MIN(Assumptions!$D$68,E$96)-MAX(Assumptions!$C$68,E$95),0)+Assumptions!$B$69*MAX(MIN(Assumptions!$D$69,E$96)-MAX(Assumptions!$C$69,E$95),0)+Assumptions!$B$70*MAX(MIN(Assumptions!$D$70,E$96)-MAX(Assumptions!$C$70,E$95),0)+Assumptions!$B$71*MAX(MIN(Assumptions!$D$71,E$96)-MAX(Assumptions!$C$71,E$95),0))/1000</f>
        <v/>
      </c>
      <c r="F111" s="33">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4" t="inlineStr">
        <is>
          <t>FY2026</t>
        </is>
      </c>
      <c r="C113" s="14" t="inlineStr">
        <is>
          <t>FY2027</t>
        </is>
      </c>
      <c r="D113" s="14" t="inlineStr">
        <is>
          <t>FY2028</t>
        </is>
      </c>
      <c r="E113" s="14" t="inlineStr">
        <is>
          <t>FY2029</t>
        </is>
      </c>
      <c r="F113" s="14"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4" t="inlineStr">
        <is>
          <t>FY2026</t>
        </is>
      </c>
      <c r="C120" s="14" t="inlineStr">
        <is>
          <t>FY2027</t>
        </is>
      </c>
      <c r="D120" s="14" t="inlineStr">
        <is>
          <t>FY2028</t>
        </is>
      </c>
      <c r="E120" s="14" t="inlineStr">
        <is>
          <t>FY2029</t>
        </is>
      </c>
      <c r="F120" s="14"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4" t="inlineStr">
        <is>
          <t>FY2026</t>
        </is>
      </c>
      <c r="C127" s="14" t="inlineStr">
        <is>
          <t>FY2027</t>
        </is>
      </c>
      <c r="D127" s="14" t="inlineStr">
        <is>
          <t>FY2028</t>
        </is>
      </c>
      <c r="E127" s="14" t="inlineStr">
        <is>
          <t>FY2029</t>
        </is>
      </c>
      <c r="F127" s="14"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4" t="inlineStr">
        <is>
          <t>Time-charter-equivalent revenue</t>
        </is>
      </c>
      <c r="B136" s="35">
        <f>B134+B135</f>
        <v/>
      </c>
      <c r="C136" s="35">
        <f>C134+C135</f>
        <v/>
      </c>
      <c r="D136" s="35">
        <f>D134+D135</f>
        <v/>
      </c>
      <c r="E136" s="35">
        <f>E134+E135</f>
        <v/>
      </c>
      <c r="F136" s="35">
        <f>F134+F135</f>
        <v/>
      </c>
    </row>
    <row r="138">
      <c r="A138" s="11" t="inlineStr">
        <is>
          <t>THE RUNNING COST — SOLVED FROM THE 2025 OUTCOME, NOT ASSUMED</t>
        </is>
      </c>
      <c r="B138" s="14" t="n"/>
      <c r="C138" s="14" t="n"/>
      <c r="D138" s="14" t="n"/>
      <c r="E138" s="14" t="n"/>
      <c r="F138" s="14" t="n"/>
    </row>
    <row r="139">
      <c r="A139" s="6" t="inlineStr">
        <is>
          <t>Vessel-days in 2025 (fleet at 31 December 2025 x 365)</t>
        </is>
      </c>
      <c r="B139" s="33">
        <f>SUM(B26:F26)*365</f>
        <v/>
      </c>
    </row>
    <row r="140">
      <c r="A140" s="6" t="inlineStr">
        <is>
          <t>2025 charter-equivalent revenue on the published blends (USD 000)</t>
        </is>
      </c>
      <c r="B140" s="33">
        <f>(B26*AVERAGE(B38:E38)+C26*AVERAGE(B39:E39)+D26*AVERAGE(B40:E40)+E26*AVERAGE(B41:E41)+F26*AVERAGE(B42:E42))*365/1000</f>
        <v/>
      </c>
    </row>
    <row r="141">
      <c r="A141" s="6" t="inlineStr">
        <is>
          <t>2025 Tankers EBITDA as disclosed (USD 000)</t>
        </is>
      </c>
      <c r="B141" s="18">
        <f>D18</f>
        <v/>
      </c>
    </row>
    <row r="142">
      <c r="A142" s="34" t="inlineStr">
        <is>
          <t>Implied all-in running cost per vessel-day — the gap between the two, over the vessel-days that earned it (USD)</t>
        </is>
      </c>
      <c r="B142" s="37">
        <f>(B140-B141)*1000/B139</f>
        <v/>
      </c>
    </row>
    <row r="144">
      <c r="A144" s="11" t="inlineStr">
        <is>
          <t>Running cost per vessel-day, escalated (USD)</t>
        </is>
      </c>
      <c r="B144" s="44">
        <f>Assumptions!$C$91*(1+Assumptions!$C$92)^1</f>
        <v/>
      </c>
      <c r="C144" s="44">
        <f>Assumptions!$C$91*(1+Assumptions!$C$92)^2</f>
        <v/>
      </c>
      <c r="D144" s="44">
        <f>Assumptions!$C$91*(1+Assumptions!$C$92)^3</f>
        <v/>
      </c>
      <c r="E144" s="44">
        <f>Assumptions!$C$91*(1+Assumptions!$C$92)^4</f>
        <v/>
      </c>
      <c r="F144" s="44">
        <f>Assumptions!$C$91*(1+Assumptions!$C$92)^5</f>
        <v/>
      </c>
    </row>
    <row r="145">
      <c r="A145" s="6" t="inlineStr">
        <is>
          <t>Total running cost — cost per day x vessel-days</t>
        </is>
      </c>
      <c r="B145" s="33">
        <f>$B$139*B144/1000</f>
        <v/>
      </c>
      <c r="C145" s="33">
        <f>$B$139*C144/1000</f>
        <v/>
      </c>
      <c r="D145" s="33">
        <f>$B$139*D144/1000</f>
        <v/>
      </c>
      <c r="E145" s="33">
        <f>$B$139*E144/1000</f>
        <v/>
      </c>
      <c r="F145" s="33">
        <f>$B$139*F144/1000</f>
        <v/>
      </c>
    </row>
    <row r="146">
      <c r="A146" s="34" t="inlineStr">
        <is>
          <t>Tankers EBITDA</t>
        </is>
      </c>
      <c r="B146" s="35">
        <f>B136-B145</f>
        <v/>
      </c>
      <c r="C146" s="35">
        <f>C136-C145</f>
        <v/>
      </c>
      <c r="D146" s="35">
        <f>D136-D145</f>
        <v/>
      </c>
      <c r="E146" s="35">
        <f>E136-E145</f>
        <v/>
      </c>
      <c r="F146" s="35">
        <f>F136-F145</f>
        <v/>
      </c>
    </row>
    <row r="147">
      <c r="A147" s="6" t="inlineStr">
        <is>
          <t>Gross-up from time-charter-equivalent to reported revenue</t>
        </is>
      </c>
      <c r="B147" s="38">
        <f>Assumptions!$C$93</f>
        <v/>
      </c>
      <c r="C147" s="38">
        <f>Assumptions!$C$93</f>
        <v/>
      </c>
      <c r="D147" s="38">
        <f>Assumptions!$C$93</f>
        <v/>
      </c>
      <c r="E147" s="38">
        <f>Assumptions!$C$93</f>
        <v/>
      </c>
      <c r="F147" s="38">
        <f>Assumptions!$C$93</f>
        <v/>
      </c>
    </row>
    <row r="148">
      <c r="A148" s="34" t="inlineStr">
        <is>
          <t>Tankers revenue</t>
        </is>
      </c>
      <c r="B148" s="35">
        <f>B136*B147</f>
        <v/>
      </c>
      <c r="C148" s="35">
        <f>C136*C147</f>
        <v/>
      </c>
      <c r="D148" s="35">
        <f>D136*D147</f>
        <v/>
      </c>
      <c r="E148" s="35">
        <f>E136*E147</f>
        <v/>
      </c>
      <c r="F148" s="35">
        <f>F136*F147</f>
        <v/>
      </c>
    </row>
    <row r="150">
      <c r="A150" s="11" t="inlineStr">
        <is>
          <t>GAS CARRIERS — CONTRACTED VESSEL-YEARS x IMPLIED DAY RATE</t>
        </is>
      </c>
      <c r="B150" s="14" t="n"/>
      <c r="C150" s="14" t="n"/>
      <c r="D150" s="14" t="n"/>
      <c r="E150" s="14" t="n"/>
      <c r="F150" s="14" t="n"/>
    </row>
    <row r="151">
      <c r="A151" s="6" t="inlineStr">
        <is>
          <t>Consolidated gas vessels in service through 2025 (vessel-years)</t>
        </is>
      </c>
      <c r="B151" s="17">
        <f>Assumptions!$C$96</f>
        <v/>
      </c>
    </row>
    <row r="152">
      <c r="A152" s="6" t="inlineStr">
        <is>
          <t>2025 Gas Carriers revenue as disclosed (USD 000)</t>
        </is>
      </c>
      <c r="B152" s="18">
        <f>D9</f>
        <v/>
      </c>
    </row>
    <row r="153">
      <c r="A153" s="34" t="inlineStr">
        <is>
          <t>Implied revenue per gas vessel-day — solved from the two above (USD)</t>
        </is>
      </c>
      <c r="B153" s="35">
        <f>B152*1000/(B151*365)</f>
        <v/>
      </c>
    </row>
    <row r="155">
      <c r="A155" s="11" t="inlineStr">
        <is>
          <t>Contracted vessel-years before the August 2026 purchase</t>
        </is>
      </c>
      <c r="B155" s="45">
        <f>Assumptions!$B$103</f>
        <v/>
      </c>
      <c r="C155" s="45">
        <f>Assumptions!$C$103</f>
        <v/>
      </c>
      <c r="D155" s="45">
        <f>Assumptions!$D$103</f>
        <v/>
      </c>
      <c r="E155" s="45">
        <f>Assumptions!$E$103</f>
        <v/>
      </c>
      <c r="F155" s="45">
        <f>Assumptions!$F$103</f>
        <v/>
      </c>
    </row>
    <row r="156">
      <c r="A156" s="6" t="inlineStr">
        <is>
          <t>Vessel-years the five gas carriers bought on 7 August 2026 add — each tranche from its own delivery date</t>
        </is>
      </c>
      <c r="B156" s="17">
        <f>Assumptions!$B$104</f>
        <v/>
      </c>
      <c r="C156" s="17">
        <f>Assumptions!$C$104</f>
        <v/>
      </c>
      <c r="D156" s="17">
        <f>Assumptions!$D$104</f>
        <v/>
      </c>
      <c r="E156" s="17">
        <f>Assumptions!$E$104</f>
        <v/>
      </c>
      <c r="F156" s="17">
        <f>Assumptions!$F$104</f>
        <v/>
      </c>
    </row>
    <row r="157">
      <c r="A157" s="34" t="inlineStr">
        <is>
          <t>Contracted vessel-years</t>
        </is>
      </c>
      <c r="B157" s="46">
        <f>Assumptions!$B$105</f>
        <v/>
      </c>
      <c r="C157" s="46">
        <f>Assumptions!$C$105</f>
        <v/>
      </c>
      <c r="D157" s="46">
        <f>Assumptions!$D$105</f>
        <v/>
      </c>
      <c r="E157" s="46">
        <f>Assumptions!$E$105</f>
        <v/>
      </c>
      <c r="F157" s="46">
        <f>Assumptions!$F$105</f>
        <v/>
      </c>
    </row>
    <row r="158">
      <c r="A158" s="6" t="inlineStr">
        <is>
          <t>Revenue per vessel-day, escalated (USD)</t>
        </is>
      </c>
      <c r="B158" s="33">
        <f>Assumptions!$C$97*(1+Assumptions!$C$92)^1</f>
        <v/>
      </c>
      <c r="C158" s="33">
        <f>Assumptions!$C$97*(1+Assumptions!$C$92)^2</f>
        <v/>
      </c>
      <c r="D158" s="33">
        <f>Assumptions!$C$97*(1+Assumptions!$C$92)^3</f>
        <v/>
      </c>
      <c r="E158" s="33">
        <f>Assumptions!$C$97*(1+Assumptions!$C$92)^4</f>
        <v/>
      </c>
      <c r="F158" s="33">
        <f>Assumptions!$C$97*(1+Assumptions!$C$92)^5</f>
        <v/>
      </c>
    </row>
    <row r="159">
      <c r="A159" s="6" t="inlineStr">
        <is>
          <t>Gas Carriers revenue</t>
        </is>
      </c>
      <c r="B159" s="33">
        <f>B157*365*B158/1000</f>
        <v/>
      </c>
      <c r="C159" s="33">
        <f>C157*365*C158/1000</f>
        <v/>
      </c>
      <c r="D159" s="33">
        <f>D157*365*D158/1000</f>
        <v/>
      </c>
      <c r="E159" s="33">
        <f>E157*365*E158/1000</f>
        <v/>
      </c>
      <c r="F159" s="33">
        <f>F157*365*F158/1000</f>
        <v/>
      </c>
    </row>
    <row r="160">
      <c r="A160" s="6" t="inlineStr">
        <is>
          <t>Gas Carriers earnings margin</t>
        </is>
      </c>
      <c r="B160" s="8">
        <f>Assumptions!$C$98</f>
        <v/>
      </c>
      <c r="C160" s="8">
        <f>Assumptions!$C$98</f>
        <v/>
      </c>
      <c r="D160" s="8">
        <f>Assumptions!$C$98</f>
        <v/>
      </c>
      <c r="E160" s="8">
        <f>Assumptions!$C$98</f>
        <v/>
      </c>
      <c r="F160" s="8">
        <f>Assumptions!$C$98</f>
        <v/>
      </c>
    </row>
    <row r="161">
      <c r="A161" s="6" t="inlineStr">
        <is>
          <t>Gas Carriers earnings before the joint-venture share</t>
        </is>
      </c>
      <c r="B161" s="33">
        <f>B159*B160</f>
        <v/>
      </c>
      <c r="C161" s="33">
        <f>C159*C160</f>
        <v/>
      </c>
      <c r="D161" s="33">
        <f>D159*D160</f>
        <v/>
      </c>
      <c r="E161" s="33">
        <f>E159*E160</f>
        <v/>
      </c>
      <c r="F161" s="33">
        <f>F159*F160</f>
        <v/>
      </c>
    </row>
    <row r="162">
      <c r="A162" s="6" t="inlineStr">
        <is>
          <t>Less the share of joint-venture profit carried inside the disclosed segment, escalated — the equity bridge already adds those ventures at carrying value</t>
        </is>
      </c>
      <c r="B162" s="33">
        <f>-Assumptions!$C$99*(1+Assumptions!$C$92)^1</f>
        <v/>
      </c>
      <c r="C162" s="33">
        <f>-Assumptions!$C$99*(1+Assumptions!$C$92)^2</f>
        <v/>
      </c>
      <c r="D162" s="33">
        <f>-Assumptions!$C$99*(1+Assumptions!$C$92)^3</f>
        <v/>
      </c>
      <c r="E162" s="33">
        <f>-Assumptions!$C$99*(1+Assumptions!$C$92)^4</f>
        <v/>
      </c>
      <c r="F162" s="33">
        <f>-Assumptions!$C$99*(1+Assumptions!$C$92)^5</f>
        <v/>
      </c>
    </row>
    <row r="163">
      <c r="A163" s="34" t="inlineStr">
        <is>
          <t>Gas Carriers EBITDA</t>
        </is>
      </c>
      <c r="B163" s="35">
        <f>B161+B162</f>
        <v/>
      </c>
      <c r="C163" s="35">
        <f>C161+C162</f>
        <v/>
      </c>
      <c r="D163" s="35">
        <f>D161+D162</f>
        <v/>
      </c>
      <c r="E163" s="35">
        <f>E161+E162</f>
        <v/>
      </c>
      <c r="F163" s="35">
        <f>F161+F162</f>
        <v/>
      </c>
    </row>
    <row r="165">
      <c r="A165" s="11" t="inlineStr">
        <is>
          <t>THE REMAINING FIVE UNITS — REVENUE DRIVER x MARGIN DRIVER</t>
        </is>
      </c>
      <c r="B165" s="14" t="inlineStr">
        <is>
          <t>FY2026</t>
        </is>
      </c>
      <c r="C165" s="14" t="inlineStr">
        <is>
          <t>FY2027</t>
        </is>
      </c>
      <c r="D165" s="14" t="inlineStr">
        <is>
          <t>FY2028</t>
        </is>
      </c>
      <c r="E165" s="14" t="inlineStr">
        <is>
          <t>FY2029</t>
        </is>
      </c>
      <c r="F165" s="14" t="inlineStr">
        <is>
          <t>FY2030</t>
        </is>
      </c>
    </row>
    <row r="166">
      <c r="A166" s="6" t="inlineStr">
        <is>
          <t>Offshore Contracting — revenue</t>
        </is>
      </c>
      <c r="B166" s="18">
        <f>Assumptions!$B$108</f>
        <v/>
      </c>
      <c r="C166" s="18">
        <f>Assumptions!$C$108</f>
        <v/>
      </c>
      <c r="D166" s="18">
        <f>Assumptions!$D$108</f>
        <v/>
      </c>
      <c r="E166" s="18">
        <f>Assumptions!$E$108</f>
        <v/>
      </c>
      <c r="F166" s="18">
        <f>Assumptions!$F$108</f>
        <v/>
      </c>
    </row>
    <row r="167">
      <c r="A167" s="6" t="inlineStr">
        <is>
          <t>Offshore Contracting — EBITDA</t>
        </is>
      </c>
      <c r="B167" s="33">
        <f>B166*Assumptions!$B$109</f>
        <v/>
      </c>
      <c r="C167" s="33">
        <f>C166*Assumptions!$C$109</f>
        <v/>
      </c>
      <c r="D167" s="33">
        <f>D166*Assumptions!$D$109</f>
        <v/>
      </c>
      <c r="E167" s="33">
        <f>E166*Assumptions!$E$109</f>
        <v/>
      </c>
      <c r="F167" s="33">
        <f>F166*Assumptions!$F$109</f>
        <v/>
      </c>
    </row>
    <row r="168">
      <c r="A168" s="6" t="inlineStr">
        <is>
          <t>Offshore Services — revenue</t>
        </is>
      </c>
      <c r="B168" s="18">
        <f>Assumptions!$B$110</f>
        <v/>
      </c>
      <c r="C168" s="18">
        <f>Assumptions!$C$110</f>
        <v/>
      </c>
      <c r="D168" s="18">
        <f>Assumptions!$D$110</f>
        <v/>
      </c>
      <c r="E168" s="18">
        <f>Assumptions!$E$110</f>
        <v/>
      </c>
      <c r="F168" s="18">
        <f>Assumptions!$F$110</f>
        <v/>
      </c>
    </row>
    <row r="169">
      <c r="A169" s="6" t="inlineStr">
        <is>
          <t>Offshore Services — EBITDA</t>
        </is>
      </c>
      <c r="B169" s="33">
        <f>B168*Assumptions!$B$111</f>
        <v/>
      </c>
      <c r="C169" s="33">
        <f>C168*Assumptions!$C$111</f>
        <v/>
      </c>
      <c r="D169" s="33">
        <f>D168*Assumptions!$D$111</f>
        <v/>
      </c>
      <c r="E169" s="33">
        <f>E168*Assumptions!$E$111</f>
        <v/>
      </c>
      <c r="F169" s="33">
        <f>F168*Assumptions!$F$111</f>
        <v/>
      </c>
    </row>
    <row r="170">
      <c r="A170" s="6" t="inlineStr">
        <is>
          <t>Offshore Projects — revenue</t>
        </is>
      </c>
      <c r="B170" s="18">
        <f>Assumptions!$B$112</f>
        <v/>
      </c>
      <c r="C170" s="18">
        <f>Assumptions!$C$112</f>
        <v/>
      </c>
      <c r="D170" s="18">
        <f>Assumptions!$D$112</f>
        <v/>
      </c>
      <c r="E170" s="18">
        <f>Assumptions!$E$112</f>
        <v/>
      </c>
      <c r="F170" s="18">
        <f>Assumptions!$F$112</f>
        <v/>
      </c>
    </row>
    <row r="171">
      <c r="A171" s="6" t="inlineStr">
        <is>
          <t>Offshore Projects — EBITDA</t>
        </is>
      </c>
      <c r="B171" s="33">
        <f>B170*Assumptions!$B$113</f>
        <v/>
      </c>
      <c r="C171" s="33">
        <f>C170*Assumptions!$C$113</f>
        <v/>
      </c>
      <c r="D171" s="33">
        <f>D170*Assumptions!$D$113</f>
        <v/>
      </c>
      <c r="E171" s="33">
        <f>E170*Assumptions!$E$113</f>
        <v/>
      </c>
      <c r="F171" s="33">
        <f>F170*Assumptions!$F$113</f>
        <v/>
      </c>
    </row>
    <row r="172">
      <c r="A172" s="6" t="inlineStr">
        <is>
          <t>Dry-Bulk and Containers — revenue</t>
        </is>
      </c>
      <c r="B172" s="18">
        <f>Assumptions!$B$114</f>
        <v/>
      </c>
      <c r="C172" s="18">
        <f>Assumptions!$C$114</f>
        <v/>
      </c>
      <c r="D172" s="18">
        <f>Assumptions!$D$114</f>
        <v/>
      </c>
      <c r="E172" s="18">
        <f>Assumptions!$E$114</f>
        <v/>
      </c>
      <c r="F172" s="18">
        <f>Assumptions!$F$114</f>
        <v/>
      </c>
    </row>
    <row r="173">
      <c r="A173" s="6" t="inlineStr">
        <is>
          <t>Dry-Bulk and Containers — EBITDA</t>
        </is>
      </c>
      <c r="B173" s="33">
        <f>B172*Assumptions!$B$115</f>
        <v/>
      </c>
      <c r="C173" s="33">
        <f>C172*Assumptions!$C$115</f>
        <v/>
      </c>
      <c r="D173" s="33">
        <f>D172*Assumptions!$D$115</f>
        <v/>
      </c>
      <c r="E173" s="33">
        <f>E172*Assumptions!$E$115</f>
        <v/>
      </c>
      <c r="F173" s="33">
        <f>F172*Assumptions!$F$115</f>
        <v/>
      </c>
    </row>
    <row r="174">
      <c r="A174" s="6" t="inlineStr">
        <is>
          <t>Services — revenue</t>
        </is>
      </c>
      <c r="B174" s="18">
        <f>Assumptions!$B$116</f>
        <v/>
      </c>
      <c r="C174" s="18">
        <f>Assumptions!$C$116</f>
        <v/>
      </c>
      <c r="D174" s="18">
        <f>Assumptions!$D$116</f>
        <v/>
      </c>
      <c r="E174" s="18">
        <f>Assumptions!$E$116</f>
        <v/>
      </c>
      <c r="F174" s="18">
        <f>Assumptions!$F$116</f>
        <v/>
      </c>
    </row>
    <row r="175">
      <c r="A175" s="6" t="inlineStr">
        <is>
          <t>Services — earnings before the joint-venture share</t>
        </is>
      </c>
      <c r="B175" s="33">
        <f>B174*Assumptions!$B$117</f>
        <v/>
      </c>
      <c r="C175" s="33">
        <f>C174*Assumptions!$C$117</f>
        <v/>
      </c>
      <c r="D175" s="33">
        <f>D174*Assumptions!$D$117</f>
        <v/>
      </c>
      <c r="E175" s="33">
        <f>E174*Assumptions!$E$117</f>
        <v/>
      </c>
      <c r="F175" s="33">
        <f>F174*Assumptions!$F$117</f>
        <v/>
      </c>
    </row>
    <row r="176">
      <c r="A176" s="6" t="inlineStr">
        <is>
          <t>Services — less the share of joint-venture profit carried inside the disclosed segment, escalated</t>
        </is>
      </c>
      <c r="B176" s="33">
        <f>-Assumptions!$C$100*(1+Assumptions!$C$92)^1</f>
        <v/>
      </c>
      <c r="C176" s="33">
        <f>-Assumptions!$C$100*(1+Assumptions!$C$92)^2</f>
        <v/>
      </c>
      <c r="D176" s="33">
        <f>-Assumptions!$C$100*(1+Assumptions!$C$92)^3</f>
        <v/>
      </c>
      <c r="E176" s="33">
        <f>-Assumptions!$C$100*(1+Assumptions!$C$92)^4</f>
        <v/>
      </c>
      <c r="F176" s="33">
        <f>-Assumptions!$C$100*(1+Assumptions!$C$92)^5</f>
        <v/>
      </c>
    </row>
    <row r="177">
      <c r="A177" s="6" t="inlineStr">
        <is>
          <t>Services — EBITDA</t>
        </is>
      </c>
      <c r="B177" s="33">
        <f>B175+B176</f>
        <v/>
      </c>
      <c r="C177" s="33">
        <f>C175+C176</f>
        <v/>
      </c>
      <c r="D177" s="33">
        <f>D175+D176</f>
        <v/>
      </c>
      <c r="E177" s="33">
        <f>E175+E176</f>
        <v/>
      </c>
      <c r="F177" s="33">
        <f>F175+F176</f>
        <v/>
      </c>
    </row>
    <row r="179">
      <c r="A179" s="11" t="inlineStr">
        <is>
          <t>FORECAST REVENUE BY SEGMENT</t>
        </is>
      </c>
      <c r="B179" s="14" t="inlineStr">
        <is>
          <t>FY2026E</t>
        </is>
      </c>
      <c r="C179" s="14" t="inlineStr">
        <is>
          <t>FY2027E</t>
        </is>
      </c>
      <c r="D179" s="14" t="inlineStr">
        <is>
          <t>FY2028E</t>
        </is>
      </c>
      <c r="E179" s="14" t="inlineStr">
        <is>
          <t>FY2029E</t>
        </is>
      </c>
      <c r="F179" s="14" t="inlineStr">
        <is>
          <t>FY2030E</t>
        </is>
      </c>
    </row>
    <row r="180">
      <c r="A180" s="6" t="inlineStr">
        <is>
          <t>Offshore Contracting</t>
        </is>
      </c>
      <c r="B180" s="33">
        <f>B166</f>
        <v/>
      </c>
      <c r="C180" s="33">
        <f>C166</f>
        <v/>
      </c>
      <c r="D180" s="33">
        <f>D166</f>
        <v/>
      </c>
      <c r="E180" s="33">
        <f>E166</f>
        <v/>
      </c>
      <c r="F180" s="33">
        <f>F166</f>
        <v/>
      </c>
    </row>
    <row r="181">
      <c r="A181" s="6" t="inlineStr">
        <is>
          <t>Offshore Services</t>
        </is>
      </c>
      <c r="B181" s="33">
        <f>B168</f>
        <v/>
      </c>
      <c r="C181" s="33">
        <f>C168</f>
        <v/>
      </c>
      <c r="D181" s="33">
        <f>D168</f>
        <v/>
      </c>
      <c r="E181" s="33">
        <f>E168</f>
        <v/>
      </c>
      <c r="F181" s="33">
        <f>F168</f>
        <v/>
      </c>
    </row>
    <row r="182">
      <c r="A182" s="6" t="inlineStr">
        <is>
          <t>Offshore Projects</t>
        </is>
      </c>
      <c r="B182" s="33">
        <f>B170</f>
        <v/>
      </c>
      <c r="C182" s="33">
        <f>C170</f>
        <v/>
      </c>
      <c r="D182" s="33">
        <f>D170</f>
        <v/>
      </c>
      <c r="E182" s="33">
        <f>E170</f>
        <v/>
      </c>
      <c r="F182" s="33">
        <f>F170</f>
        <v/>
      </c>
    </row>
    <row r="183">
      <c r="A183" s="6" t="inlineStr">
        <is>
          <t>Tankers</t>
        </is>
      </c>
      <c r="B183" s="33">
        <f>B148</f>
        <v/>
      </c>
      <c r="C183" s="33">
        <f>C148</f>
        <v/>
      </c>
      <c r="D183" s="33">
        <f>D148</f>
        <v/>
      </c>
      <c r="E183" s="33">
        <f>E148</f>
        <v/>
      </c>
      <c r="F183" s="33">
        <f>F148</f>
        <v/>
      </c>
    </row>
    <row r="184">
      <c r="A184" s="6" t="inlineStr">
        <is>
          <t>Gas Carriers</t>
        </is>
      </c>
      <c r="B184" s="33">
        <f>B159</f>
        <v/>
      </c>
      <c r="C184" s="33">
        <f>C159</f>
        <v/>
      </c>
      <c r="D184" s="33">
        <f>D159</f>
        <v/>
      </c>
      <c r="E184" s="33">
        <f>E159</f>
        <v/>
      </c>
      <c r="F184" s="33">
        <f>F159</f>
        <v/>
      </c>
    </row>
    <row r="185">
      <c r="A185" s="6" t="inlineStr">
        <is>
          <t>Dry-Bulk and Containers</t>
        </is>
      </c>
      <c r="B185" s="33">
        <f>B172</f>
        <v/>
      </c>
      <c r="C185" s="33">
        <f>C172</f>
        <v/>
      </c>
      <c r="D185" s="33">
        <f>D172</f>
        <v/>
      </c>
      <c r="E185" s="33">
        <f>E172</f>
        <v/>
      </c>
      <c r="F185" s="33">
        <f>F172</f>
        <v/>
      </c>
    </row>
    <row r="186">
      <c r="A186" s="6" t="inlineStr">
        <is>
          <t>Services</t>
        </is>
      </c>
      <c r="B186" s="33">
        <f>B174</f>
        <v/>
      </c>
      <c r="C186" s="33">
        <f>C174</f>
        <v/>
      </c>
      <c r="D186" s="33">
        <f>D174</f>
        <v/>
      </c>
      <c r="E186" s="33">
        <f>E174</f>
        <v/>
      </c>
      <c r="F186" s="33">
        <f>F174</f>
        <v/>
      </c>
    </row>
    <row r="187">
      <c r="A187" s="11" t="inlineStr">
        <is>
          <t>Total revenue</t>
        </is>
      </c>
      <c r="B187" s="41">
        <f>SUM(B180:B186)</f>
        <v/>
      </c>
      <c r="C187" s="41">
        <f>SUM(C180:C186)</f>
        <v/>
      </c>
      <c r="D187" s="41">
        <f>SUM(D180:D186)</f>
        <v/>
      </c>
      <c r="E187" s="41">
        <f>SUM(E180:E186)</f>
        <v/>
      </c>
      <c r="F187" s="41">
        <f>SUM(F180:F186)</f>
        <v/>
      </c>
    </row>
    <row r="189">
      <c r="A189" s="11" t="inlineStr">
        <is>
          <t>FORECAST EBITDA BY SEGMENT</t>
        </is>
      </c>
      <c r="B189" s="14" t="inlineStr">
        <is>
          <t>FY2026E</t>
        </is>
      </c>
      <c r="C189" s="14" t="inlineStr">
        <is>
          <t>FY2027E</t>
        </is>
      </c>
      <c r="D189" s="14" t="inlineStr">
        <is>
          <t>FY2028E</t>
        </is>
      </c>
      <c r="E189" s="14" t="inlineStr">
        <is>
          <t>FY2029E</t>
        </is>
      </c>
      <c r="F189" s="14" t="inlineStr">
        <is>
          <t>FY2030E</t>
        </is>
      </c>
    </row>
    <row r="190">
      <c r="A190" s="6" t="inlineStr">
        <is>
          <t>Offshore Contracting</t>
        </is>
      </c>
      <c r="B190" s="33">
        <f>B167</f>
        <v/>
      </c>
      <c r="C190" s="33">
        <f>C167</f>
        <v/>
      </c>
      <c r="D190" s="33">
        <f>D167</f>
        <v/>
      </c>
      <c r="E190" s="33">
        <f>E167</f>
        <v/>
      </c>
      <c r="F190" s="33">
        <f>F167</f>
        <v/>
      </c>
    </row>
    <row r="191">
      <c r="A191" s="6" t="inlineStr">
        <is>
          <t>Offshore Services</t>
        </is>
      </c>
      <c r="B191" s="33">
        <f>B169</f>
        <v/>
      </c>
      <c r="C191" s="33">
        <f>C169</f>
        <v/>
      </c>
      <c r="D191" s="33">
        <f>D169</f>
        <v/>
      </c>
      <c r="E191" s="33">
        <f>E169</f>
        <v/>
      </c>
      <c r="F191" s="33">
        <f>F169</f>
        <v/>
      </c>
    </row>
    <row r="192">
      <c r="A192" s="6" t="inlineStr">
        <is>
          <t>Offshore Projects</t>
        </is>
      </c>
      <c r="B192" s="33">
        <f>B171</f>
        <v/>
      </c>
      <c r="C192" s="33">
        <f>C171</f>
        <v/>
      </c>
      <c r="D192" s="33">
        <f>D171</f>
        <v/>
      </c>
      <c r="E192" s="33">
        <f>E171</f>
        <v/>
      </c>
      <c r="F192" s="33">
        <f>F171</f>
        <v/>
      </c>
    </row>
    <row r="193">
      <c r="A193" s="6" t="inlineStr">
        <is>
          <t>Tankers</t>
        </is>
      </c>
      <c r="B193" s="33">
        <f>B146</f>
        <v/>
      </c>
      <c r="C193" s="33">
        <f>C146</f>
        <v/>
      </c>
      <c r="D193" s="33">
        <f>D146</f>
        <v/>
      </c>
      <c r="E193" s="33">
        <f>E146</f>
        <v/>
      </c>
      <c r="F193" s="33">
        <f>F146</f>
        <v/>
      </c>
    </row>
    <row r="194">
      <c r="A194" s="6" t="inlineStr">
        <is>
          <t>Gas Carriers</t>
        </is>
      </c>
      <c r="B194" s="33">
        <f>B163</f>
        <v/>
      </c>
      <c r="C194" s="33">
        <f>C163</f>
        <v/>
      </c>
      <c r="D194" s="33">
        <f>D163</f>
        <v/>
      </c>
      <c r="E194" s="33">
        <f>E163</f>
        <v/>
      </c>
      <c r="F194" s="33">
        <f>F163</f>
        <v/>
      </c>
    </row>
    <row r="195">
      <c r="A195" s="6" t="inlineStr">
        <is>
          <t>Dry-Bulk and Containers</t>
        </is>
      </c>
      <c r="B195" s="33">
        <f>B173</f>
        <v/>
      </c>
      <c r="C195" s="33">
        <f>C173</f>
        <v/>
      </c>
      <c r="D195" s="33">
        <f>D173</f>
        <v/>
      </c>
      <c r="E195" s="33">
        <f>E173</f>
        <v/>
      </c>
      <c r="F195" s="33">
        <f>F173</f>
        <v/>
      </c>
    </row>
    <row r="196">
      <c r="A196" s="6" t="inlineStr">
        <is>
          <t>Services</t>
        </is>
      </c>
      <c r="B196" s="33">
        <f>B177</f>
        <v/>
      </c>
      <c r="C196" s="33">
        <f>C177</f>
        <v/>
      </c>
      <c r="D196" s="33">
        <f>D177</f>
        <v/>
      </c>
      <c r="E196" s="33">
        <f>E177</f>
        <v/>
      </c>
      <c r="F196" s="33">
        <f>F177</f>
        <v/>
      </c>
    </row>
    <row r="197">
      <c r="A197" s="11" t="inlineStr">
        <is>
          <t>Total EBITDA</t>
        </is>
      </c>
      <c r="B197" s="41">
        <f>SUM(B190:B196)</f>
        <v/>
      </c>
      <c r="C197" s="41">
        <f>SUM(C190:C196)</f>
        <v/>
      </c>
      <c r="D197" s="41">
        <f>SUM(D190:D196)</f>
        <v/>
      </c>
      <c r="E197" s="41">
        <f>SUM(E190:E196)</f>
        <v/>
      </c>
      <c r="F197" s="41">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4" t="inlineStr">
        <is>
          <t>FY2026E</t>
        </is>
      </c>
      <c r="C200" s="14" t="inlineStr">
        <is>
          <t>FY2027E</t>
        </is>
      </c>
      <c r="D200" s="14" t="inlineStr">
        <is>
          <t>FY2028E</t>
        </is>
      </c>
      <c r="E200" s="14" t="inlineStr">
        <is>
          <t>FY2029E</t>
        </is>
      </c>
      <c r="F200" s="14" t="inlineStr">
        <is>
          <t>FY2030E</t>
        </is>
      </c>
    </row>
    <row r="201">
      <c r="A201" s="6" t="inlineStr">
        <is>
          <t>Integrated Logistics — revenue</t>
        </is>
      </c>
      <c r="B201" s="33">
        <f>B180+B181+B182</f>
        <v/>
      </c>
      <c r="C201" s="33">
        <f>C180+C181+C182</f>
        <v/>
      </c>
      <c r="D201" s="33">
        <f>D180+D181+D182</f>
        <v/>
      </c>
      <c r="E201" s="33">
        <f>E180+E181+E182</f>
        <v/>
      </c>
      <c r="F201" s="33">
        <f>F180+F181+F182</f>
        <v/>
      </c>
    </row>
    <row r="202">
      <c r="A202" s="6" t="inlineStr">
        <is>
          <t>Shipping — revenue</t>
        </is>
      </c>
      <c r="B202" s="33">
        <f>B183+B184+B185</f>
        <v/>
      </c>
      <c r="C202" s="33">
        <f>C183+C184+C185</f>
        <v/>
      </c>
      <c r="D202" s="33">
        <f>D183+D184+D185</f>
        <v/>
      </c>
      <c r="E202" s="33">
        <f>E183+E184+E185</f>
        <v/>
      </c>
      <c r="F202" s="33">
        <f>F183+F184+F185</f>
        <v/>
      </c>
    </row>
    <row r="203">
      <c r="A203" s="6" t="inlineStr">
        <is>
          <t>Services — revenue</t>
        </is>
      </c>
      <c r="B203" s="33">
        <f>B186</f>
        <v/>
      </c>
      <c r="C203" s="33">
        <f>C186</f>
        <v/>
      </c>
      <c r="D203" s="33">
        <f>D186</f>
        <v/>
      </c>
      <c r="E203" s="33">
        <f>E186</f>
        <v/>
      </c>
      <c r="F203" s="33">
        <f>F186</f>
        <v/>
      </c>
    </row>
    <row r="204">
      <c r="A204" s="6" t="inlineStr">
        <is>
          <t>Integrated Logistics — EBITDA</t>
        </is>
      </c>
      <c r="B204" s="33">
        <f>B190+B191+B192</f>
        <v/>
      </c>
      <c r="C204" s="33">
        <f>C190+C191+C192</f>
        <v/>
      </c>
      <c r="D204" s="33">
        <f>D190+D191+D192</f>
        <v/>
      </c>
      <c r="E204" s="33">
        <f>E190+E191+E192</f>
        <v/>
      </c>
      <c r="F204" s="33">
        <f>F190+F191+F192</f>
        <v/>
      </c>
    </row>
    <row r="205">
      <c r="A205" s="6" t="inlineStr">
        <is>
          <t>Shipping — EBITDA</t>
        </is>
      </c>
      <c r="B205" s="33">
        <f>B193+B194+B195</f>
        <v/>
      </c>
      <c r="C205" s="33">
        <f>C193+C194+C195</f>
        <v/>
      </c>
      <c r="D205" s="33">
        <f>D193+D194+D195</f>
        <v/>
      </c>
      <c r="E205" s="33">
        <f>E193+E194+E195</f>
        <v/>
      </c>
      <c r="F205" s="33">
        <f>F193+F194+F195</f>
        <v/>
      </c>
    </row>
    <row r="206">
      <c r="A206" s="6" t="inlineStr">
        <is>
          <t>Services — EBITDA</t>
        </is>
      </c>
      <c r="B206" s="33">
        <f>B196</f>
        <v/>
      </c>
      <c r="C206" s="33">
        <f>C196</f>
        <v/>
      </c>
      <c r="D206" s="33">
        <f>D196</f>
        <v/>
      </c>
      <c r="E206" s="33">
        <f>E196</f>
        <v/>
      </c>
      <c r="F206" s="33">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42">
        <f>'Peer &amp; Sector'!$C$13</f>
        <v/>
      </c>
    </row>
    <row r="7">
      <c r="A7" s="6" t="inlineStr">
        <is>
          <t>Implied enterprise value</t>
        </is>
      </c>
      <c r="C7" s="33">
        <f>C5*C6</f>
        <v/>
      </c>
    </row>
    <row r="8">
      <c r="A8" s="6" t="inlineStr">
        <is>
          <t>Plus joint ventures and associates at carrying value</t>
        </is>
      </c>
      <c r="C8" s="18">
        <f>Assumptions!$C$157</f>
        <v/>
      </c>
    </row>
    <row r="9">
      <c r="A9" s="6" t="inlineStr">
        <is>
          <t>Less net debt at 31 March 2026</t>
        </is>
      </c>
      <c r="C9" s="18">
        <f>-Assumptions!$C$150</f>
        <v/>
      </c>
    </row>
    <row r="10">
      <c r="A10" s="6" t="inlineStr">
        <is>
          <t>Less deferred consideration on acquisitions</t>
        </is>
      </c>
      <c r="C10" s="18">
        <f>-Assumptions!$C$151</f>
        <v/>
      </c>
    </row>
    <row r="11">
      <c r="A11" s="6" t="inlineStr">
        <is>
          <t>Less the eleven vessels bought on 7 August 2026, at the announced price</t>
        </is>
      </c>
      <c r="C11" s="18">
        <f>-Assumptions!$C$82</f>
        <v/>
      </c>
    </row>
    <row r="12">
      <c r="A12" s="6" t="inlineStr">
        <is>
          <t>Less perpetual capital securities at carrying value</t>
        </is>
      </c>
      <c r="C12" s="18">
        <f>-Assumptions!$C$152</f>
        <v/>
      </c>
    </row>
    <row r="13">
      <c r="A13" s="6" t="inlineStr">
        <is>
          <t>Implied equity value before the minorities</t>
        </is>
      </c>
      <c r="C13" s="33">
        <f>C7+C8+C9+C10+C11+C12</f>
        <v/>
      </c>
    </row>
    <row r="14">
      <c r="A14" s="6" t="inlineStr">
        <is>
          <t>Less non-controlling interests — the contracted slice at its contracted price, the rest at the greater of book and value</t>
        </is>
      </c>
      <c r="C14" s="33">
        <f>-(DCF!$C$56+MAX(DCF!$C$57,C13*DCF!$C$58))</f>
        <v/>
      </c>
    </row>
    <row r="15">
      <c r="A15" s="6" t="inlineStr">
        <is>
          <t>Implied equity attributable to ordinary shareholders</t>
        </is>
      </c>
      <c r="C15" s="33">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2">
        <f>'Peer &amp; Sector'!$C$16</f>
        <v/>
      </c>
    </row>
    <row r="18">
      <c r="A18" s="6" t="inlineStr">
        <is>
          <t>FY2026E earnings attributable to ordinary shareholders</t>
        </is>
      </c>
      <c r="C18" s="18">
        <f>'Income Statement'!E30</f>
        <v/>
      </c>
    </row>
    <row r="19">
      <c r="A19" s="6" t="inlineStr">
        <is>
          <t>Value per share on the earnings multiple (AED)</t>
        </is>
      </c>
      <c r="C19" s="9">
        <f>C18*C17/Assumptions!$C$6/1000*Assumptions!$C$7</f>
        <v/>
      </c>
    </row>
    <row r="20">
      <c r="A20" s="6" t="inlineStr">
        <is>
          <t>Weight on the enterprise multiple</t>
        </is>
      </c>
      <c r="C20" s="8">
        <f>Assumptions!$C$169</f>
        <v/>
      </c>
    </row>
    <row r="21">
      <c r="A21" s="11" t="inlineStr">
        <is>
          <t>RELATIVE LENS — value per share (AED)</t>
        </is>
      </c>
      <c r="B21" s="14" t="n"/>
      <c r="C21" s="12">
        <f>C20*C16+(1-C20)*C19</f>
        <v/>
      </c>
      <c r="D21" s="14" t="n"/>
      <c r="E21" s="14" t="n"/>
    </row>
    <row r="22">
      <c r="A22" s="6" t="inlineStr">
        <is>
          <t>Bear and bull — enterprise value on the spot-tanker multiple (C) / on the contracted multiple (D)</t>
        </is>
      </c>
      <c r="C22" s="33">
        <f>C5*'Peer &amp; Sector'!$C$11</f>
        <v/>
      </c>
      <c r="D22" s="33">
        <f>C5*'Peer &amp; Sector'!$C$10</f>
        <v/>
      </c>
    </row>
    <row r="23">
      <c r="A23" s="6" t="inlineStr">
        <is>
          <t>Equity value before the minorities</t>
        </is>
      </c>
      <c r="C23" s="33">
        <f>C22+Assumptions!$C$157-Assumptions!$C$150-Assumptions!$C$151-Assumptions!$C$82-Assumptions!$C$152</f>
        <v/>
      </c>
      <c r="D23" s="33">
        <f>D22+Assumptions!$C$157-Assumptions!$C$150-Assumptions!$C$151-Assumptions!$C$82-Assumptions!$C$152</f>
        <v/>
      </c>
    </row>
    <row r="24">
      <c r="A24" s="6" t="inlineStr">
        <is>
          <t>Less non-controlling interests — the same two-part deduction</t>
        </is>
      </c>
      <c r="C24" s="33">
        <f>-(DCF!$C$56+MAX(DCF!$C$57,C23*DCF!$C$58))</f>
        <v/>
      </c>
      <c r="D24" s="33">
        <f>-(DCF!$C$56+MAX(DCF!$C$57,D23*DCF!$C$58))</f>
        <v/>
      </c>
    </row>
    <row r="25">
      <c r="A25" s="6" t="inlineStr">
        <is>
          <t>Equity attributable to ordinary shareholders</t>
        </is>
      </c>
      <c r="C25" s="33">
        <f>C23+C24</f>
        <v/>
      </c>
      <c r="D25" s="33">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4" t="n"/>
      <c r="C28" s="14" t="n"/>
      <c r="D28" s="14" t="n"/>
      <c r="E28" s="14" t="n"/>
    </row>
    <row r="29">
      <c r="A29" s="6" t="inlineStr">
        <is>
          <t>Share price (USD)</t>
        </is>
      </c>
      <c r="C29" s="7">
        <f>Assumptions!$C$5/Assumptions!$C$7</f>
        <v/>
      </c>
    </row>
    <row r="30">
      <c r="A30" s="6" t="inlineStr">
        <is>
          <t>Market capitalisation (USD 000)</t>
        </is>
      </c>
      <c r="C30" s="33">
        <f>C29*Assumptions!$C$6*1000</f>
        <v/>
      </c>
    </row>
    <row r="31">
      <c r="A31" s="6" t="inlineStr">
        <is>
          <t>Net debt including the deferred consideration and the vessels bought on 7 August 2026 (USD 000)</t>
        </is>
      </c>
      <c r="C31" s="18">
        <f>Assumptions!$C$150+Assumptions!$C$151+Assumptions!$C$82</f>
        <v/>
      </c>
    </row>
    <row r="32">
      <c r="A32" s="6" t="inlineStr">
        <is>
          <t>Enterprise value (USD 000)</t>
        </is>
      </c>
      <c r="C32" s="33">
        <f>C30+C31</f>
        <v/>
      </c>
    </row>
    <row r="33">
      <c r="A33" s="6" t="inlineStr">
        <is>
          <t>Enterprise value / 2025 reported EBITDA</t>
        </is>
      </c>
      <c r="C33" s="42">
        <f>C32/'Income Statement'!D16</f>
        <v/>
      </c>
    </row>
    <row r="34">
      <c r="A34" s="6" t="inlineStr">
        <is>
          <t>Enterprise value / FY2026E EBITDA</t>
        </is>
      </c>
      <c r="C34" s="40">
        <f>C32/C5</f>
        <v/>
      </c>
    </row>
    <row r="35">
      <c r="A35" s="6" t="inlineStr">
        <is>
          <t>Price / 2025 earnings attributable to ordinary shareholders — the TRAILING basis</t>
        </is>
      </c>
      <c r="C35" s="42">
        <f>C30/'Income Statement'!D30</f>
        <v/>
      </c>
    </row>
    <row r="36">
      <c r="A36" s="6" t="inlineStr">
        <is>
          <t>Price / FY2026E earnings attributable to ordinary shareholders — the FORWARD basis, the one the peer multiples are quoted on</t>
        </is>
      </c>
      <c r="C36" s="40">
        <f>C30/C18</f>
        <v/>
      </c>
    </row>
    <row r="37">
      <c r="A37" s="6" t="inlineStr">
        <is>
          <t>Price / book at 31 March 2026</t>
        </is>
      </c>
      <c r="C37" s="40">
        <f>C30/(Assumptions!$C$158+Assumptions!$C$152)</f>
        <v/>
      </c>
    </row>
    <row r="38">
      <c r="A38" s="6" t="inlineStr">
        <is>
          <t>Dividend yield on the 2026 distribution</t>
        </is>
      </c>
      <c r="C38" s="8">
        <f>Assumptions!$C$162/C30</f>
        <v/>
      </c>
    </row>
    <row r="39">
      <c r="A39" s="6" t="inlineStr">
        <is>
          <t>Enterprise value on the equity bridge's own convention — adding the perpetual capital securities and the minorities (USD 000)</t>
        </is>
      </c>
      <c r="C39" s="33">
        <f>C32+Assumptions!$C$152+Assumptions!$C$154</f>
        <v/>
      </c>
    </row>
    <row r="40">
      <c r="A40" s="6" t="inlineStr">
        <is>
          <t>Enterprise value / 2025 reported EBITDA — bridge convention</t>
        </is>
      </c>
      <c r="C40" s="40">
        <f>C39/'Income Statement'!D16</f>
        <v/>
      </c>
    </row>
    <row r="41">
      <c r="A41" s="6" t="inlineStr">
        <is>
          <t>Enterprise value / FY2026E EBITDA — bridge convention</t>
        </is>
      </c>
      <c r="C41" s="40">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18">
        <f>AVERAGE(DCF!B6:F6)</f>
        <v/>
      </c>
    </row>
    <row r="45">
      <c r="A45" s="6" t="inlineStr">
        <is>
          <t>Implied enterprise value</t>
        </is>
      </c>
      <c r="C45" s="33">
        <f>C44*C6</f>
        <v/>
      </c>
    </row>
    <row r="46">
      <c r="A46" s="6" t="inlineStr">
        <is>
          <t>Implied equity value before the minorities</t>
        </is>
      </c>
      <c r="C46" s="33">
        <f>C45+Assumptions!$C$157-Assumptions!$C$150-Assumptions!$C$151-Assumptions!$C$82-Assumptions!$C$152</f>
        <v/>
      </c>
    </row>
    <row r="47">
      <c r="A47" s="6" t="inlineStr">
        <is>
          <t>Less non-controlling interests — the same two-part deduction</t>
        </is>
      </c>
      <c r="C47" s="33">
        <f>-(DCF!$C$56+MAX(DCF!$C$57,C46*DCF!$C$58))</f>
        <v/>
      </c>
    </row>
    <row r="48">
      <c r="A48" s="6" t="inlineStr">
        <is>
          <t>Implied equity attributable to ordinary shareholders</t>
        </is>
      </c>
      <c r="C48" s="33">
        <f>C46+C47</f>
        <v/>
      </c>
    </row>
    <row r="49">
      <c r="A49" s="6" t="inlineStr">
        <is>
          <t>Value per share on the enterprise multiple (AED)</t>
        </is>
      </c>
      <c r="C49" s="9">
        <f>C48/Assumptions!$C$6/1000*Assumptions!$C$7</f>
        <v/>
      </c>
    </row>
    <row r="50">
      <c r="A50" s="6" t="inlineStr">
        <is>
          <t>Mid-cycle earnings attributable to ordinary shareholders — five-year average</t>
        </is>
      </c>
      <c r="C50" s="18">
        <f>AVERAGE('Income Statement'!E30:I30)</f>
        <v/>
      </c>
    </row>
    <row r="51">
      <c r="A51" s="6" t="inlineStr">
        <is>
          <t>Mid-cycle earnings per share (USD)</t>
        </is>
      </c>
      <c r="C51" s="47">
        <f>C50/Assumptions!$C$6/1000</f>
        <v/>
      </c>
    </row>
    <row r="52">
      <c r="A52" s="6" t="inlineStr">
        <is>
          <t>Value per share on the earnings multiple (AED)</t>
        </is>
      </c>
      <c r="C52" s="9">
        <f>C51*C17*Assumptions!$C$7</f>
        <v/>
      </c>
    </row>
    <row r="53">
      <c r="A53" s="11" t="inlineStr">
        <is>
          <t>NORMALISED LENS — value per share (AED)</t>
        </is>
      </c>
      <c r="B53" s="14" t="n"/>
      <c r="C53" s="12">
        <f>(C49+C52)/2</f>
        <v/>
      </c>
      <c r="D53" s="14" t="n"/>
      <c r="E53" s="14" t="n"/>
    </row>
    <row r="54">
      <c r="A54" s="6" t="inlineStr">
        <is>
          <t>Bear and bull — enterprise value on the spot-tanker multiple (C) / on the contracted multiple (D)</t>
        </is>
      </c>
      <c r="C54" s="33">
        <f>C44*'Peer &amp; Sector'!$C$11</f>
        <v/>
      </c>
      <c r="D54" s="33">
        <f>C44*'Peer &amp; Sector'!$C$10</f>
        <v/>
      </c>
    </row>
    <row r="55">
      <c r="A55" s="6" t="inlineStr">
        <is>
          <t>Equity value before the minorities</t>
        </is>
      </c>
      <c r="C55" s="33">
        <f>C54+Assumptions!$C$157-Assumptions!$C$150-Assumptions!$C$151-Assumptions!$C$82-Assumptions!$C$152</f>
        <v/>
      </c>
      <c r="D55" s="33">
        <f>D54+Assumptions!$C$157-Assumptions!$C$150-Assumptions!$C$151-Assumptions!$C$82-Assumptions!$C$152</f>
        <v/>
      </c>
    </row>
    <row r="56">
      <c r="A56" s="6" t="inlineStr">
        <is>
          <t>Less non-controlling interests — the same two-part deduction</t>
        </is>
      </c>
      <c r="C56" s="33">
        <f>-(DCF!$C$56+MAX(DCF!$C$57,C55*DCF!$C$58))</f>
        <v/>
      </c>
      <c r="D56" s="33">
        <f>-(DCF!$C$56+MAX(DCF!$C$57,D55*DCF!$C$58))</f>
        <v/>
      </c>
    </row>
    <row r="57">
      <c r="A57" s="6" t="inlineStr">
        <is>
          <t>Equity attributable to ordinary shareholders</t>
        </is>
      </c>
      <c r="C57" s="33">
        <f>C55+C56</f>
        <v/>
      </c>
      <c r="D57" s="33">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18">
        <f>Assumptions!$C$158</f>
        <v/>
      </c>
    </row>
    <row r="62">
      <c r="A62" s="6" t="inlineStr">
        <is>
          <t>Book value per share (USD)</t>
        </is>
      </c>
      <c r="C62" s="47">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19">
        <f>DCF!$C$69</f>
        <v/>
      </c>
    </row>
    <row r="66">
      <c r="A66" s="6" t="inlineStr">
        <is>
          <t>Terminal growth</t>
        </is>
      </c>
      <c r="C66" s="8">
        <f>Assumptions!$C$164</f>
        <v/>
      </c>
    </row>
    <row r="67">
      <c r="A67" s="6" t="inlineStr">
        <is>
          <t>Rate at which the return above the cost of equity fades beyond the forecast</t>
        </is>
      </c>
      <c r="C67" s="8">
        <f>Assumptions!$C$168</f>
        <v/>
      </c>
    </row>
    <row r="68">
      <c r="A68" s="11" t="inlineStr">
        <is>
          <t>THE RESIDUAL-INCOME LADDER — BASE</t>
        </is>
      </c>
      <c r="B68" s="14" t="inlineStr">
        <is>
          <t>FY2026</t>
        </is>
      </c>
      <c r="C68" s="14" t="inlineStr">
        <is>
          <t>FY2027</t>
        </is>
      </c>
      <c r="D68" s="14" t="inlineStr">
        <is>
          <t>FY2028</t>
        </is>
      </c>
      <c r="E68" s="14" t="inlineStr">
        <is>
          <t>FY2029</t>
        </is>
      </c>
      <c r="F68" s="14" t="inlineStr">
        <is>
          <t>FY2030</t>
        </is>
      </c>
    </row>
    <row r="69">
      <c r="A69" s="6" t="inlineStr">
        <is>
          <t>Opening ordinary book value (USD mn) — the balance sheet's own roll-forward</t>
        </is>
      </c>
      <c r="B69" s="36">
        <f>C61/1000</f>
        <v/>
      </c>
      <c r="C69" s="17">
        <f>'Balance Sheet'!B69/1000</f>
        <v/>
      </c>
      <c r="D69" s="17">
        <f>'Balance Sheet'!C69/1000</f>
        <v/>
      </c>
      <c r="E69" s="17">
        <f>'Balance Sheet'!D69/1000</f>
        <v/>
      </c>
      <c r="F69" s="17">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6">
        <f>(B70-C65)*B69</f>
        <v/>
      </c>
      <c r="C71" s="36">
        <f>(C70-C65)*C69</f>
        <v/>
      </c>
      <c r="D71" s="36">
        <f>(D70-C65)*D69</f>
        <v/>
      </c>
      <c r="E71" s="36">
        <f>(E70-C65)*E69</f>
        <v/>
      </c>
      <c r="F71" s="36">
        <f>(F70-C65)*F69</f>
        <v/>
      </c>
    </row>
    <row r="72">
      <c r="A72" s="6" t="inlineStr">
        <is>
          <t>Discount factor at the cost of equity</t>
        </is>
      </c>
      <c r="B72" s="48">
        <f>1/(1+C65)^1</f>
        <v/>
      </c>
      <c r="C72" s="48">
        <f>1/(1+C65)^2</f>
        <v/>
      </c>
      <c r="D72" s="48">
        <f>1/(1+C65)^3</f>
        <v/>
      </c>
      <c r="E72" s="48">
        <f>1/(1+C65)^4</f>
        <v/>
      </c>
      <c r="F72" s="48">
        <f>1/(1+C65)^5</f>
        <v/>
      </c>
    </row>
    <row r="73">
      <c r="A73" s="6" t="inlineStr">
        <is>
          <t>Present value of the residual income (USD mn)</t>
        </is>
      </c>
      <c r="B73" s="36">
        <f>B71*B72</f>
        <v/>
      </c>
      <c r="C73" s="36">
        <f>C71*C72</f>
        <v/>
      </c>
      <c r="D73" s="36">
        <f>D71*D72</f>
        <v/>
      </c>
      <c r="E73" s="36">
        <f>E71*E72</f>
        <v/>
      </c>
      <c r="F73" s="36">
        <f>F71*F72</f>
        <v/>
      </c>
    </row>
    <row r="74">
      <c r="A74" s="6" t="inlineStr">
        <is>
          <t>Present value of the five forecast years (USD mn)</t>
        </is>
      </c>
      <c r="C74" s="36">
        <f>SUM(B73:F73)</f>
        <v/>
      </c>
    </row>
    <row r="75">
      <c r="A75" s="6" t="inlineStr">
        <is>
          <t>Terminal residual income — the final year's excess return on the closing book (USD mn)</t>
        </is>
      </c>
      <c r="C75" s="36">
        <f>(F70-C65)*'Balance Sheet'!F69/1000</f>
        <v/>
      </c>
    </row>
    <row r="76">
      <c r="A76" s="6" t="inlineStr">
        <is>
          <t>Terminal value — that excess fading toward the cost of equity (USD mn)</t>
        </is>
      </c>
      <c r="C76" s="36">
        <f>C75/(C65+C67-C66)</f>
        <v/>
      </c>
    </row>
    <row r="77">
      <c r="A77" s="6" t="inlineStr">
        <is>
          <t>Present value of the terminal value (USD mn)</t>
        </is>
      </c>
      <c r="C77" s="36">
        <f>C76/(1+C65)^5</f>
        <v/>
      </c>
    </row>
    <row r="78">
      <c r="A78" s="34" t="inlineStr">
        <is>
          <t>Equity value — opening book plus the residual income it earns (USD mn)</t>
        </is>
      </c>
      <c r="C78" s="37">
        <f>C61/1000+C74+C77</f>
        <v/>
      </c>
    </row>
    <row r="79">
      <c r="A79" s="6" t="inlineStr">
        <is>
          <t>Implied price / book — the equity value over the book it starts from</t>
        </is>
      </c>
      <c r="C79" s="40">
        <f>C78/(C61/1000)</f>
        <v/>
      </c>
    </row>
    <row r="80">
      <c r="A80" s="11" t="inlineStr">
        <is>
          <t>BOOK LENS — value per share (AED)</t>
        </is>
      </c>
      <c r="B80" s="14" t="n"/>
      <c r="C80" s="12">
        <f>C78/Assumptions!$C$6*Assumptions!$C$7</f>
        <v/>
      </c>
      <c r="D80" s="14" t="n"/>
      <c r="E80" s="14" t="n"/>
    </row>
    <row r="82">
      <c r="A82" s="11" t="inlineStr">
        <is>
          <t>THE SAME LADDER — BEAR: the return 15% lower, discounted at the cost of equity built on the TOP of the beta's 90% confidence interval</t>
        </is>
      </c>
      <c r="B82" s="14" t="inlineStr">
        <is>
          <t>FY2026</t>
        </is>
      </c>
      <c r="C82" s="14" t="inlineStr">
        <is>
          <t>FY2027</t>
        </is>
      </c>
      <c r="D82" s="14" t="inlineStr">
        <is>
          <t>FY2028</t>
        </is>
      </c>
      <c r="E82" s="14" t="inlineStr">
        <is>
          <t>FY2029</t>
        </is>
      </c>
      <c r="F82" s="14"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6">
        <f>(B83-DCF!$C$124)*B69</f>
        <v/>
      </c>
      <c r="C84" s="36">
        <f>(C83-DCF!$C$124)*C69</f>
        <v/>
      </c>
      <c r="D84" s="36">
        <f>(D83-DCF!$C$124)*D69</f>
        <v/>
      </c>
      <c r="E84" s="36">
        <f>(E83-DCF!$C$124)*E69</f>
        <v/>
      </c>
      <c r="F84" s="36">
        <f>(F83-DCF!$C$124)*F69</f>
        <v/>
      </c>
    </row>
    <row r="85">
      <c r="A85" s="6" t="inlineStr">
        <is>
          <t>Discount factor at the cost of equity</t>
        </is>
      </c>
      <c r="B85" s="48">
        <f>1/(1+DCF!$C$124)^1</f>
        <v/>
      </c>
      <c r="C85" s="48">
        <f>1/(1+DCF!$C$124)^2</f>
        <v/>
      </c>
      <c r="D85" s="48">
        <f>1/(1+DCF!$C$124)^3</f>
        <v/>
      </c>
      <c r="E85" s="48">
        <f>1/(1+DCF!$C$124)^4</f>
        <v/>
      </c>
      <c r="F85" s="48">
        <f>1/(1+DCF!$C$124)^5</f>
        <v/>
      </c>
    </row>
    <row r="86">
      <c r="A86" s="6" t="inlineStr">
        <is>
          <t>Present value of the residual income (USD mn)</t>
        </is>
      </c>
      <c r="B86" s="36">
        <f>B84*B85</f>
        <v/>
      </c>
      <c r="C86" s="36">
        <f>C84*C85</f>
        <v/>
      </c>
      <c r="D86" s="36">
        <f>D84*D85</f>
        <v/>
      </c>
      <c r="E86" s="36">
        <f>E84*E85</f>
        <v/>
      </c>
      <c r="F86" s="36">
        <f>F84*F85</f>
        <v/>
      </c>
    </row>
    <row r="87">
      <c r="A87" s="6" t="inlineStr">
        <is>
          <t>Present value of the five forecast years (USD mn)</t>
        </is>
      </c>
      <c r="C87" s="36">
        <f>SUM(B86:F86)</f>
        <v/>
      </c>
    </row>
    <row r="88">
      <c r="A88" s="6" t="inlineStr">
        <is>
          <t>Terminal residual income — the final year's excess return on the closing book (USD mn)</t>
        </is>
      </c>
      <c r="C88" s="36">
        <f>(F83-DCF!$C$124)*'Balance Sheet'!F69/1000</f>
        <v/>
      </c>
    </row>
    <row r="89">
      <c r="A89" s="6" t="inlineStr">
        <is>
          <t>Terminal value — that excess fading toward the cost of equity (USD mn)</t>
        </is>
      </c>
      <c r="C89" s="36">
        <f>C88/(DCF!$C$124+C67-C66)</f>
        <v/>
      </c>
    </row>
    <row r="90">
      <c r="A90" s="6" t="inlineStr">
        <is>
          <t>Present value of the terminal value (USD mn)</t>
        </is>
      </c>
      <c r="C90" s="36">
        <f>C89/(1+DCF!$C$124)^5</f>
        <v/>
      </c>
    </row>
    <row r="91">
      <c r="A91" s="34" t="inlineStr">
        <is>
          <t>Equity value — opening book plus the residual income it earns (USD mn)</t>
        </is>
      </c>
      <c r="C91" s="37">
        <f>C61/1000+C87+C90</f>
        <v/>
      </c>
    </row>
    <row r="92">
      <c r="A92" s="11" t="inlineStr">
        <is>
          <t>THE SAME LADDER — BULL: the return 15% higher, discounted at the cost of equity built on the BOTTOM of the same interval</t>
        </is>
      </c>
      <c r="B92" s="14" t="inlineStr">
        <is>
          <t>FY2026</t>
        </is>
      </c>
      <c r="C92" s="14" t="inlineStr">
        <is>
          <t>FY2027</t>
        </is>
      </c>
      <c r="D92" s="14" t="inlineStr">
        <is>
          <t>FY2028</t>
        </is>
      </c>
      <c r="E92" s="14" t="inlineStr">
        <is>
          <t>FY2029</t>
        </is>
      </c>
      <c r="F92" s="14"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6">
        <f>(B93-DCF!$C$123)*B69</f>
        <v/>
      </c>
      <c r="C94" s="36">
        <f>(C93-DCF!$C$123)*C69</f>
        <v/>
      </c>
      <c r="D94" s="36">
        <f>(D93-DCF!$C$123)*D69</f>
        <v/>
      </c>
      <c r="E94" s="36">
        <f>(E93-DCF!$C$123)*E69</f>
        <v/>
      </c>
      <c r="F94" s="36">
        <f>(F93-DCF!$C$123)*F69</f>
        <v/>
      </c>
    </row>
    <row r="95">
      <c r="A95" s="6" t="inlineStr">
        <is>
          <t>Discount factor at the cost of equity</t>
        </is>
      </c>
      <c r="B95" s="48">
        <f>1/(1+DCF!$C$123)^1</f>
        <v/>
      </c>
      <c r="C95" s="48">
        <f>1/(1+DCF!$C$123)^2</f>
        <v/>
      </c>
      <c r="D95" s="48">
        <f>1/(1+DCF!$C$123)^3</f>
        <v/>
      </c>
      <c r="E95" s="48">
        <f>1/(1+DCF!$C$123)^4</f>
        <v/>
      </c>
      <c r="F95" s="48">
        <f>1/(1+DCF!$C$123)^5</f>
        <v/>
      </c>
    </row>
    <row r="96">
      <c r="A96" s="6" t="inlineStr">
        <is>
          <t>Present value of the residual income (USD mn)</t>
        </is>
      </c>
      <c r="B96" s="36">
        <f>B94*B95</f>
        <v/>
      </c>
      <c r="C96" s="36">
        <f>C94*C95</f>
        <v/>
      </c>
      <c r="D96" s="36">
        <f>D94*D95</f>
        <v/>
      </c>
      <c r="E96" s="36">
        <f>E94*E95</f>
        <v/>
      </c>
      <c r="F96" s="36">
        <f>F94*F95</f>
        <v/>
      </c>
    </row>
    <row r="97">
      <c r="A97" s="6" t="inlineStr">
        <is>
          <t>Present value of the five forecast years (USD mn)</t>
        </is>
      </c>
      <c r="C97" s="36">
        <f>SUM(B96:F96)</f>
        <v/>
      </c>
    </row>
    <row r="98">
      <c r="A98" s="6" t="inlineStr">
        <is>
          <t>Terminal residual income — the final year's excess return on the closing book (USD mn)</t>
        </is>
      </c>
      <c r="C98" s="36">
        <f>(F93-DCF!$C$123)*'Balance Sheet'!F69/1000</f>
        <v/>
      </c>
    </row>
    <row r="99">
      <c r="A99" s="6" t="inlineStr">
        <is>
          <t>Terminal value — that excess fading toward the cost of equity (USD mn)</t>
        </is>
      </c>
      <c r="C99" s="36">
        <f>C98/(DCF!$C$123+C67-C66)</f>
        <v/>
      </c>
    </row>
    <row r="100">
      <c r="A100" s="6" t="inlineStr">
        <is>
          <t>Present value of the terminal value (USD mn)</t>
        </is>
      </c>
      <c r="C100" s="36">
        <f>C99/(1+DCF!$C$123)^5</f>
        <v/>
      </c>
    </row>
    <row r="101">
      <c r="A101" s="34" t="inlineStr">
        <is>
          <t>Equity value — opening book plus the residual income it earns (USD mn)</t>
        </is>
      </c>
      <c r="C101" s="37">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4" t="n"/>
      <c r="C104" s="14" t="n"/>
      <c r="D104" s="14" t="n"/>
      <c r="E104" s="14" t="n"/>
    </row>
    <row r="105">
      <c r="A105" s="6" t="inlineStr">
        <is>
          <t>Carrying value of the very large crude carrier sold (USD 000)</t>
        </is>
      </c>
      <c r="C105" s="27" t="n">
        <v>83000</v>
      </c>
    </row>
    <row r="106">
      <c r="A106" s="6" t="inlineStr">
        <is>
          <t>Realised sale price, January 2026 (USD 000)</t>
        </is>
      </c>
      <c r="C106" s="27" t="n">
        <v>111000</v>
      </c>
    </row>
    <row r="107">
      <c r="A107" s="34" t="inlineStr">
        <is>
          <t>Realised price over carrying value</t>
        </is>
      </c>
      <c r="C107" s="49">
        <f>C106/C105</f>
        <v/>
      </c>
    </row>
    <row r="108">
      <c r="A108" s="6" t="inlineStr">
        <is>
          <t>Capital gain recognised on the sale, as disclosed (USD 000)</t>
        </is>
      </c>
      <c r="C108" s="27"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Segments!B187</f>
        <v/>
      </c>
      <c r="C5" s="18">
        <f>Segments!C187</f>
        <v/>
      </c>
      <c r="D5" s="18">
        <f>Segments!D187</f>
        <v/>
      </c>
      <c r="E5" s="18">
        <f>Segments!E187</f>
        <v/>
      </c>
      <c r="F5" s="18">
        <f>Segments!F187</f>
        <v/>
      </c>
    </row>
    <row r="6">
      <c r="A6" s="6" t="inlineStr">
        <is>
          <t>EBITDA</t>
        </is>
      </c>
      <c r="B6" s="18">
        <f>Segments!B197</f>
        <v/>
      </c>
      <c r="C6" s="18">
        <f>Segments!C197</f>
        <v/>
      </c>
      <c r="D6" s="18">
        <f>Segments!D197</f>
        <v/>
      </c>
      <c r="E6" s="18">
        <f>Segments!E197</f>
        <v/>
      </c>
      <c r="F6" s="18">
        <f>Segments!F197</f>
        <v/>
      </c>
    </row>
    <row r="7">
      <c r="A7" s="6" t="inlineStr">
        <is>
          <t>EBITDA margin</t>
        </is>
      </c>
      <c r="B7" s="10">
        <f>B6/B5</f>
        <v/>
      </c>
      <c r="C7" s="10">
        <f>C6/C5</f>
        <v/>
      </c>
      <c r="D7" s="10">
        <f>D6/D5</f>
        <v/>
      </c>
      <c r="E7" s="10">
        <f>E6/E5</f>
        <v/>
      </c>
      <c r="F7" s="10">
        <f>F6/F5</f>
        <v/>
      </c>
    </row>
    <row r="8">
      <c r="A8" s="6" t="inlineStr">
        <is>
          <t>Less depreciation and amortisation</t>
        </is>
      </c>
      <c r="B8" s="18">
        <f>-'Balance Sheet'!B39</f>
        <v/>
      </c>
      <c r="C8" s="18">
        <f>-'Balance Sheet'!C39</f>
        <v/>
      </c>
      <c r="D8" s="18">
        <f>-'Balance Sheet'!D39</f>
        <v/>
      </c>
      <c r="E8" s="18">
        <f>-'Balance Sheet'!E39</f>
        <v/>
      </c>
      <c r="F8" s="18">
        <f>-'Balance Sheet'!F39</f>
        <v/>
      </c>
    </row>
    <row r="9">
      <c r="A9" s="14" t="inlineStr">
        <is>
          <t>EBIT</t>
        </is>
      </c>
      <c r="B9" s="39">
        <f>B6+B8</f>
        <v/>
      </c>
      <c r="C9" s="39">
        <f>C6+C8</f>
        <v/>
      </c>
      <c r="D9" s="39">
        <f>D6+D8</f>
        <v/>
      </c>
      <c r="E9" s="39">
        <f>E6+E8</f>
        <v/>
      </c>
      <c r="F9" s="39">
        <f>F6+F8</f>
        <v/>
      </c>
    </row>
    <row r="10">
      <c r="A10" s="6" t="inlineStr">
        <is>
          <t>Less tax on operating profit — the business-unit mix below</t>
        </is>
      </c>
      <c r="B10" s="33">
        <f>-B35</f>
        <v/>
      </c>
      <c r="C10" s="33">
        <f>-C35</f>
        <v/>
      </c>
      <c r="D10" s="33">
        <f>-D35</f>
        <v/>
      </c>
      <c r="E10" s="33">
        <f>-E35</f>
        <v/>
      </c>
      <c r="F10" s="33">
        <f>-F35</f>
        <v/>
      </c>
    </row>
    <row r="11">
      <c r="A11" s="14" t="inlineStr">
        <is>
          <t>NOPAT</t>
        </is>
      </c>
      <c r="B11" s="39">
        <f>B9+B10</f>
        <v/>
      </c>
      <c r="C11" s="39">
        <f>C9+C10</f>
        <v/>
      </c>
      <c r="D11" s="39">
        <f>D9+D10</f>
        <v/>
      </c>
      <c r="E11" s="39">
        <f>E9+E10</f>
        <v/>
      </c>
      <c r="F11" s="39">
        <f>F9+F10</f>
        <v/>
      </c>
    </row>
    <row r="12">
      <c r="A12" s="6" t="inlineStr">
        <is>
          <t>Add back depreciation and amortisation</t>
        </is>
      </c>
      <c r="B12" s="33">
        <f>-B8</f>
        <v/>
      </c>
      <c r="C12" s="33">
        <f>-C8</f>
        <v/>
      </c>
      <c r="D12" s="33">
        <f>-D8</f>
        <v/>
      </c>
      <c r="E12" s="33">
        <f>-E8</f>
        <v/>
      </c>
      <c r="F12" s="33">
        <f>-F8</f>
        <v/>
      </c>
    </row>
    <row r="13">
      <c r="A13" s="6" t="inlineStr">
        <is>
          <t>Less capital expenditure</t>
        </is>
      </c>
      <c r="B13" s="18">
        <f>-Assumptions!$B$120</f>
        <v/>
      </c>
      <c r="C13" s="18">
        <f>-Assumptions!$C$120</f>
        <v/>
      </c>
      <c r="D13" s="18">
        <f>-Assumptions!$D$120</f>
        <v/>
      </c>
      <c r="E13" s="18">
        <f>-Assumptions!$E$120</f>
        <v/>
      </c>
      <c r="F13" s="18">
        <f>-Assumptions!$F$120</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9">
        <f>B11+B12+B13+B14</f>
        <v/>
      </c>
      <c r="C15" s="39">
        <f>C11+C12+C13+C14</f>
        <v/>
      </c>
      <c r="D15" s="39">
        <f>D11+D12+D13+D14</f>
        <v/>
      </c>
      <c r="E15" s="39">
        <f>E11+E12+E13+E14</f>
        <v/>
      </c>
      <c r="F15" s="39">
        <f>F11+F12+F13+F14</f>
        <v/>
      </c>
    </row>
    <row r="16">
      <c r="A16" s="6" t="inlineStr">
        <is>
          <t>Less first-quarter 2026 free cash flow, already inside net debt at the valuation date</t>
        </is>
      </c>
      <c r="B16" s="18">
        <f>-Assumptions!$C$9</f>
        <v/>
      </c>
      <c r="C16" s="33">
        <f>0</f>
        <v/>
      </c>
      <c r="D16" s="33">
        <f>0</f>
        <v/>
      </c>
      <c r="E16" s="33">
        <f>0</f>
        <v/>
      </c>
      <c r="F16" s="33">
        <f>0</f>
        <v/>
      </c>
    </row>
    <row r="17">
      <c r="A17" s="14" t="inlineStr">
        <is>
          <t>Free cash flow discounted from 31 March 2026</t>
        </is>
      </c>
      <c r="B17" s="39">
        <f>B15+B16</f>
        <v/>
      </c>
      <c r="C17" s="39">
        <f>C15+C16</f>
        <v/>
      </c>
      <c r="D17" s="39">
        <f>D15+D16</f>
        <v/>
      </c>
      <c r="E17" s="39">
        <f>E15+E16</f>
        <v/>
      </c>
      <c r="F17" s="39">
        <f>F15+F16</f>
        <v/>
      </c>
    </row>
    <row r="18">
      <c r="A18" s="6" t="inlineStr">
        <is>
          <t>Forward cost of capital — the glide from current to terminal</t>
        </is>
      </c>
      <c r="B18" s="50">
        <f>$C$105+($C$111-$C$105)*1/5</f>
        <v/>
      </c>
      <c r="C18" s="50">
        <f>$C$105+($C$111-$C$105)*2/5</f>
        <v/>
      </c>
      <c r="D18" s="50">
        <f>$C$105+($C$111-$C$105)*3/5</f>
        <v/>
      </c>
      <c r="E18" s="50">
        <f>$C$105+($C$111-$C$105)*4/5</f>
        <v/>
      </c>
      <c r="F18" s="50">
        <f>$C$105+($C$111-$C$105)*5/5</f>
        <v/>
      </c>
    </row>
    <row r="19">
      <c r="A19" s="6" t="inlineStr">
        <is>
          <t>Discount factor — each year compounded onto the last</t>
        </is>
      </c>
      <c r="B19" s="48">
        <f>1/(1+B18)^Assumptions!$C$8</f>
        <v/>
      </c>
      <c r="C19" s="48">
        <f>B19/(1+C18)</f>
        <v/>
      </c>
      <c r="D19" s="48">
        <f>C19/(1+D18)</f>
        <v/>
      </c>
      <c r="E19" s="48">
        <f>D19/(1+E18)</f>
        <v/>
      </c>
      <c r="F19" s="48">
        <f>E19/(1+F18)</f>
        <v/>
      </c>
    </row>
    <row r="20">
      <c r="A20" s="14" t="inlineStr">
        <is>
          <t>Present value of free cash flow</t>
        </is>
      </c>
      <c r="B20" s="39">
        <f>B17*B19</f>
        <v/>
      </c>
      <c r="C20" s="39">
        <f>C17*C19</f>
        <v/>
      </c>
      <c r="D20" s="39">
        <f>D17*D19</f>
        <v/>
      </c>
      <c r="E20" s="39">
        <f>E17*E19</f>
        <v/>
      </c>
      <c r="F20" s="39">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Segments!B204</f>
        <v/>
      </c>
      <c r="C23" s="18">
        <f>Segments!C204</f>
        <v/>
      </c>
      <c r="D23" s="18">
        <f>Segments!D204</f>
        <v/>
      </c>
      <c r="E23" s="18">
        <f>Segments!E204</f>
        <v/>
      </c>
      <c r="F23" s="18">
        <f>Segments!F204</f>
        <v/>
      </c>
    </row>
    <row r="24">
      <c r="A24" s="6" t="inlineStr">
        <is>
          <t>Shipping — EBITDA</t>
        </is>
      </c>
      <c r="B24" s="18">
        <f>Segments!B205</f>
        <v/>
      </c>
      <c r="C24" s="18">
        <f>Segments!C205</f>
        <v/>
      </c>
      <c r="D24" s="18">
        <f>Segments!D205</f>
        <v/>
      </c>
      <c r="E24" s="18">
        <f>Segments!E205</f>
        <v/>
      </c>
      <c r="F24" s="18">
        <f>Segments!F205</f>
        <v/>
      </c>
    </row>
    <row r="25">
      <c r="A25" s="6" t="inlineStr">
        <is>
          <t>Services — EBITDA</t>
        </is>
      </c>
      <c r="B25" s="18">
        <f>Segments!B206</f>
        <v/>
      </c>
      <c r="C25" s="18">
        <f>Segments!C206</f>
        <v/>
      </c>
      <c r="D25" s="18">
        <f>Segments!D206</f>
        <v/>
      </c>
      <c r="E25" s="18">
        <f>Segments!E206</f>
        <v/>
      </c>
      <c r="F25" s="18">
        <f>Segments!F206</f>
        <v/>
      </c>
    </row>
    <row r="26">
      <c r="A26" s="6" t="inlineStr">
        <is>
          <t>Integrated Logistics — share of depreciation and amortisation</t>
        </is>
      </c>
      <c r="B26" s="33">
        <f>-B8*(Assumptions!$C$141+Assumptions!$C$142+Assumptions!$C$143)/(Assumptions!$C$141+Assumptions!$C$142+Assumptions!$C$143+Assumptions!$C$144+Assumptions!$C$145+Assumptions!$C$146+Assumptions!$C$147)</f>
        <v/>
      </c>
      <c r="C26" s="33">
        <f>-C8*(Assumptions!$C$141+Assumptions!$C$142+Assumptions!$C$143)/(Assumptions!$C$141+Assumptions!$C$142+Assumptions!$C$143+Assumptions!$C$144+Assumptions!$C$145+Assumptions!$C$146+Assumptions!$C$147)</f>
        <v/>
      </c>
      <c r="D26" s="33">
        <f>-D8*(Assumptions!$C$141+Assumptions!$C$142+Assumptions!$C$143)/(Assumptions!$C$141+Assumptions!$C$142+Assumptions!$C$143+Assumptions!$C$144+Assumptions!$C$145+Assumptions!$C$146+Assumptions!$C$147)</f>
        <v/>
      </c>
      <c r="E26" s="33">
        <f>-E8*(Assumptions!$C$141+Assumptions!$C$142+Assumptions!$C$143)/(Assumptions!$C$141+Assumptions!$C$142+Assumptions!$C$143+Assumptions!$C$144+Assumptions!$C$145+Assumptions!$C$146+Assumptions!$C$147)</f>
        <v/>
      </c>
      <c r="F26" s="33">
        <f>-F8*(Assumptions!$C$141+Assumptions!$C$142+Assumptions!$C$143)/(Assumptions!$C$141+Assumptions!$C$142+Assumptions!$C$143+Assumptions!$C$144+Assumptions!$C$145+Assumptions!$C$146+Assumptions!$C$147)</f>
        <v/>
      </c>
    </row>
    <row r="27">
      <c r="A27" s="6" t="inlineStr">
        <is>
          <t>Shipping — share of depreciation and amortisation</t>
        </is>
      </c>
      <c r="B27" s="33">
        <f>-B8*(Assumptions!$C$144+Assumptions!$C$145+Assumptions!$C$146)/(Assumptions!$C$141+Assumptions!$C$142+Assumptions!$C$143+Assumptions!$C$144+Assumptions!$C$145+Assumptions!$C$146+Assumptions!$C$147)</f>
        <v/>
      </c>
      <c r="C27" s="33">
        <f>-C8*(Assumptions!$C$144+Assumptions!$C$145+Assumptions!$C$146)/(Assumptions!$C$141+Assumptions!$C$142+Assumptions!$C$143+Assumptions!$C$144+Assumptions!$C$145+Assumptions!$C$146+Assumptions!$C$147)</f>
        <v/>
      </c>
      <c r="D27" s="33">
        <f>-D8*(Assumptions!$C$144+Assumptions!$C$145+Assumptions!$C$146)/(Assumptions!$C$141+Assumptions!$C$142+Assumptions!$C$143+Assumptions!$C$144+Assumptions!$C$145+Assumptions!$C$146+Assumptions!$C$147)</f>
        <v/>
      </c>
      <c r="E27" s="33">
        <f>-E8*(Assumptions!$C$144+Assumptions!$C$145+Assumptions!$C$146)/(Assumptions!$C$141+Assumptions!$C$142+Assumptions!$C$143+Assumptions!$C$144+Assumptions!$C$145+Assumptions!$C$146+Assumptions!$C$147)</f>
        <v/>
      </c>
      <c r="F27" s="33">
        <f>-F8*(Assumptions!$C$144+Assumptions!$C$145+Assumptions!$C$146)/(Assumptions!$C$141+Assumptions!$C$142+Assumptions!$C$143+Assumptions!$C$144+Assumptions!$C$145+Assumptions!$C$146+Assumptions!$C$147)</f>
        <v/>
      </c>
    </row>
    <row r="28">
      <c r="A28" s="6" t="inlineStr">
        <is>
          <t>Services — share of depreciation and amortisation</t>
        </is>
      </c>
      <c r="B28" s="33">
        <f>-B8*(Assumptions!$C$147)/(Assumptions!$C$141+Assumptions!$C$142+Assumptions!$C$143+Assumptions!$C$144+Assumptions!$C$145+Assumptions!$C$146+Assumptions!$C$147)</f>
        <v/>
      </c>
      <c r="C28" s="33">
        <f>-C8*(Assumptions!$C$147)/(Assumptions!$C$141+Assumptions!$C$142+Assumptions!$C$143+Assumptions!$C$144+Assumptions!$C$145+Assumptions!$C$146+Assumptions!$C$147)</f>
        <v/>
      </c>
      <c r="D28" s="33">
        <f>-D8*(Assumptions!$C$147)/(Assumptions!$C$141+Assumptions!$C$142+Assumptions!$C$143+Assumptions!$C$144+Assumptions!$C$145+Assumptions!$C$146+Assumptions!$C$147)</f>
        <v/>
      </c>
      <c r="E28" s="33">
        <f>-E8*(Assumptions!$C$147)/(Assumptions!$C$141+Assumptions!$C$142+Assumptions!$C$143+Assumptions!$C$144+Assumptions!$C$145+Assumptions!$C$146+Assumptions!$C$147)</f>
        <v/>
      </c>
      <c r="F28" s="33">
        <f>-F8*(Assumptions!$C$147)/(Assumptions!$C$141+Assumptions!$C$142+Assumptions!$C$143+Assumptions!$C$144+Assumptions!$C$145+Assumptions!$C$146+Assumptions!$C$147)</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B29*Assumptions!$C$138</f>
        <v/>
      </c>
      <c r="C32" s="33">
        <f>C29*Assumptions!$C$138</f>
        <v/>
      </c>
      <c r="D32" s="33">
        <f>D29*Assumptions!$C$138</f>
        <v/>
      </c>
      <c r="E32" s="33">
        <f>E29*Assumptions!$C$138</f>
        <v/>
      </c>
      <c r="F32" s="33">
        <f>F29*Assumptions!$C$138</f>
        <v/>
      </c>
    </row>
    <row r="33">
      <c r="A33" s="6" t="inlineStr">
        <is>
          <t>Shipping — tax charge at 1%</t>
        </is>
      </c>
      <c r="B33" s="33">
        <f>B30*Assumptions!$C$139</f>
        <v/>
      </c>
      <c r="C33" s="33">
        <f>C30*Assumptions!$C$139</f>
        <v/>
      </c>
      <c r="D33" s="33">
        <f>D30*Assumptions!$C$139</f>
        <v/>
      </c>
      <c r="E33" s="33">
        <f>E30*Assumptions!$C$139</f>
        <v/>
      </c>
      <c r="F33" s="33">
        <f>F30*Assumptions!$C$139</f>
        <v/>
      </c>
    </row>
    <row r="34">
      <c r="A34" s="6" t="inlineStr">
        <is>
          <t>Services — tax charge at 4%</t>
        </is>
      </c>
      <c r="B34" s="33">
        <f>B31*Assumptions!$C$140</f>
        <v/>
      </c>
      <c r="C34" s="33">
        <f>C31*Assumptions!$C$140</f>
        <v/>
      </c>
      <c r="D34" s="33">
        <f>D31*Assumptions!$C$140</f>
        <v/>
      </c>
      <c r="E34" s="33">
        <f>E31*Assumptions!$C$140</f>
        <v/>
      </c>
      <c r="F34" s="33">
        <f>F31*Assumptions!$C$140</f>
        <v/>
      </c>
    </row>
    <row r="35">
      <c r="A35" s="14" t="inlineStr">
        <is>
          <t>Tax on operating profit</t>
        </is>
      </c>
      <c r="B35" s="39">
        <f>SUM(B32:B34)</f>
        <v/>
      </c>
      <c r="C35" s="39">
        <f>SUM(C32:C34)</f>
        <v/>
      </c>
      <c r="D35" s="39">
        <f>SUM(D32:D34)</f>
        <v/>
      </c>
      <c r="E35" s="39">
        <f>SUM(E32:E34)</f>
        <v/>
      </c>
      <c r="F35" s="39">
        <f>SUM(F32:F34)</f>
        <v/>
      </c>
    </row>
    <row r="36">
      <c r="A36" s="6" t="inlineStr">
        <is>
          <t>Effective tax rate on operating profit</t>
        </is>
      </c>
      <c r="B36" s="50">
        <f>B35/B9</f>
        <v/>
      </c>
      <c r="C36" s="50">
        <f>C35/C9</f>
        <v/>
      </c>
      <c r="D36" s="50">
        <f>D35/D9</f>
        <v/>
      </c>
      <c r="E36" s="50">
        <f>E35/E9</f>
        <v/>
      </c>
      <c r="F36" s="50">
        <f>F35/F9</f>
        <v/>
      </c>
    </row>
    <row r="38">
      <c r="A38" s="11" t="inlineStr">
        <is>
          <t>TERMINAL VALUE AND THE BRIDGE TO EQUITY</t>
        </is>
      </c>
      <c r="B38" s="14" t="n"/>
      <c r="C38" s="14" t="n"/>
      <c r="D38" s="14" t="n"/>
      <c r="E38" s="14" t="n"/>
      <c r="F38" s="14" t="n"/>
    </row>
    <row r="39">
      <c r="A39" s="6" t="inlineStr">
        <is>
          <t>Terminal growth</t>
        </is>
      </c>
      <c r="C39" s="8">
        <f>Assumptions!$C$164</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C43*(1-C42)/(C111-C39)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18">
        <f>Assumptions!$C$157</f>
        <v/>
      </c>
    </row>
    <row r="50">
      <c r="A50" s="6" t="inlineStr">
        <is>
          <t>Enterprise value</t>
        </is>
      </c>
      <c r="C50" s="35">
        <f>C47+C49</f>
        <v/>
      </c>
    </row>
    <row r="51">
      <c r="A51" s="6" t="inlineStr">
        <is>
          <t>Less net debt at 31 March 2026</t>
        </is>
      </c>
      <c r="C51" s="18">
        <f>-Assumptions!$C$150</f>
        <v/>
      </c>
    </row>
    <row r="52">
      <c r="A52" s="6" t="inlineStr">
        <is>
          <t>Less deferred consideration on acquisitions</t>
        </is>
      </c>
      <c r="C52" s="18">
        <f>-Assumptions!$C$151</f>
        <v/>
      </c>
    </row>
    <row r="53">
      <c r="A53" s="6" t="inlineStr">
        <is>
          <t>Less the eleven vessels bought on 7 August 2026 — committed and funded, so their price is carried here and their earnings are in the forecast above</t>
        </is>
      </c>
      <c r="C53" s="18">
        <f>-Assumptions!$C$82</f>
        <v/>
      </c>
    </row>
    <row r="54">
      <c r="A54" s="6" t="inlineStr">
        <is>
          <t>Less perpetual capital securities at carrying value</t>
        </is>
      </c>
      <c r="C54" s="18">
        <f>-Assumptions!$C$152</f>
        <v/>
      </c>
    </row>
    <row r="55">
      <c r="A55" s="6" t="inlineStr">
        <is>
          <t>Equity value before the minorities</t>
        </is>
      </c>
      <c r="C55" s="33">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18">
        <f>Assumptions!$C$155</f>
        <v/>
      </c>
    </row>
    <row r="57">
      <c r="A57" s="6" t="inlineStr">
        <is>
          <t>The remaining minorities at carrying value</t>
        </is>
      </c>
      <c r="C57" s="33">
        <f>Assumptions!$C$154-C56</f>
        <v/>
      </c>
    </row>
    <row r="58">
      <c r="A58" s="6" t="inlineStr">
        <is>
          <t>Their share of profit — the profit share scaled to their share of the carried minority balance</t>
        </is>
      </c>
      <c r="C58" s="50">
        <f>Assumptions!$C$156*C57/Assumptions!$C$154</f>
        <v/>
      </c>
    </row>
    <row r="59">
      <c r="A59" s="6" t="inlineStr">
        <is>
          <t>Less non-controlling interests — the contracted slice at its contracted price, the rest at the greater of book and value</t>
        </is>
      </c>
      <c r="C59" s="33">
        <f>-(C56+MAX(C57,C55*C58))</f>
        <v/>
      </c>
    </row>
    <row r="60">
      <c r="A60" s="14" t="inlineStr">
        <is>
          <t>Equity attributable to ordinary shareholders</t>
        </is>
      </c>
      <c r="B60" s="14" t="n"/>
      <c r="C60" s="39">
        <f>C55+C59</f>
        <v/>
      </c>
      <c r="D60" s="14" t="n"/>
    </row>
    <row r="61">
      <c r="A61" s="6" t="inlineStr">
        <is>
          <t>Fair value per share (USD)</t>
        </is>
      </c>
      <c r="C61" s="9">
        <f>C60/Assumptions!$C$6/1000</f>
        <v/>
      </c>
    </row>
    <row r="62">
      <c r="A62" s="14" t="inlineStr">
        <is>
          <t>Fair value per share (AED)</t>
        </is>
      </c>
      <c r="B62" s="14" t="n"/>
      <c r="C62" s="15">
        <f>C61*Assumptions!$C$7</f>
        <v/>
      </c>
      <c r="D62" s="14" t="n"/>
    </row>
    <row r="63">
      <c r="A63" s="11" t="inlineStr">
        <is>
          <t>COST OF EQUITY — BUILT HERE, NOT ASSUMED</t>
        </is>
      </c>
      <c r="B63" s="14" t="n"/>
      <c r="C63" s="14" t="n"/>
      <c r="D63" s="14" t="n"/>
      <c r="E63" s="14" t="n"/>
      <c r="F63" s="14" t="n"/>
    </row>
    <row r="64">
      <c r="A64" s="6" t="inlineStr">
        <is>
          <t>Observed government bond yield (dirham tranche, January 2031)</t>
        </is>
      </c>
      <c r="C64" s="19">
        <f>Assumptions!$C$12</f>
        <v/>
      </c>
    </row>
    <row r="65">
      <c r="A65" s="6" t="inlineStr">
        <is>
          <t>Less sovereign default spread — country risk enters once, through the premium</t>
        </is>
      </c>
      <c r="C65" s="19">
        <f>Assumptions!$C$13</f>
        <v/>
      </c>
    </row>
    <row r="66">
      <c r="A66" s="6" t="inlineStr">
        <is>
          <t>Normalised risk-free rate</t>
        </is>
      </c>
      <c r="C66" s="50">
        <f>C64-C65</f>
        <v/>
      </c>
    </row>
    <row r="67">
      <c r="A67" s="6" t="inlineStr">
        <is>
          <t>Beta — own-stock weekly regression against its local index</t>
        </is>
      </c>
      <c r="C67" s="23">
        <f>Assumptions!$C$14</f>
        <v/>
      </c>
    </row>
    <row r="68">
      <c r="A68" s="6" t="inlineStr">
        <is>
          <t>Equity risk premium</t>
        </is>
      </c>
      <c r="C68" s="19">
        <f>Assumptions!$C$19</f>
        <v/>
      </c>
    </row>
    <row r="69">
      <c r="A69" s="14" t="inlineStr">
        <is>
          <t>Cost of equity</t>
        </is>
      </c>
      <c r="B69" s="14" t="n"/>
      <c r="C69" s="51">
        <f>C66+C67*C68</f>
        <v/>
      </c>
      <c r="D69" s="14" t="n"/>
    </row>
    <row r="71">
      <c r="A71" s="11" t="inlineStr">
        <is>
          <t>COST OF DEBT — THREE CONSTRUCTIONS, AVERAGED HERE</t>
        </is>
      </c>
      <c r="B71" s="14" t="n"/>
      <c r="C71" s="14" t="n"/>
      <c r="D71" s="14" t="n"/>
      <c r="E71" s="14" t="n"/>
      <c r="F71" s="14" t="n"/>
    </row>
    <row r="72">
      <c r="A72" s="6" t="inlineStr">
        <is>
          <t>Secured overnight financing rate</t>
        </is>
      </c>
      <c r="C72" s="19">
        <f>Assumptions!$C$24</f>
        <v/>
      </c>
    </row>
    <row r="73">
      <c r="A73" s="6" t="inlineStr">
        <is>
          <t>Parent revolving credit facility margin</t>
        </is>
      </c>
      <c r="C73" s="19">
        <f>Assumptions!$C$25</f>
        <v/>
      </c>
    </row>
    <row r="74">
      <c r="A74" s="6" t="inlineStr">
        <is>
          <t>METHOD 1 — parent revolving facility rate drawn January 2026</t>
        </is>
      </c>
      <c r="C74" s="50">
        <f>C72+C73</f>
        <v/>
      </c>
    </row>
    <row r="75">
      <c r="A75" s="6" t="inlineStr">
        <is>
          <t>Third-party bank loans — low end of the disclosed range</t>
        </is>
      </c>
      <c r="C75" s="19">
        <f>Assumptions!$C$26</f>
        <v/>
      </c>
    </row>
    <row r="76">
      <c r="A76" s="6" t="inlineStr">
        <is>
          <t>Third-party bank loans — high end of the disclosed range</t>
        </is>
      </c>
      <c r="C76" s="19">
        <f>Assumptions!$C$27</f>
        <v/>
      </c>
    </row>
    <row r="77">
      <c r="A77" s="6" t="inlineStr">
        <is>
          <t>Bank-loan midpoint</t>
        </is>
      </c>
      <c r="C77" s="50">
        <f>(C75+C76)/2</f>
        <v/>
      </c>
    </row>
    <row r="78">
      <c r="A78" s="6" t="inlineStr">
        <is>
          <t>Other third-party borrowings — low end of the disclosed range</t>
        </is>
      </c>
      <c r="C78" s="19">
        <f>Assumptions!$C$28</f>
        <v/>
      </c>
    </row>
    <row r="79">
      <c r="A79" s="6" t="inlineStr">
        <is>
          <t>Other third-party borrowings — high end of the disclosed range</t>
        </is>
      </c>
      <c r="C79" s="19">
        <f>Assumptions!$C$29</f>
        <v/>
      </c>
    </row>
    <row r="80">
      <c r="A80" s="6" t="inlineStr">
        <is>
          <t>Other-borrowings midpoint</t>
        </is>
      </c>
      <c r="C80" s="50">
        <f>(C78+C79)/2</f>
        <v/>
      </c>
    </row>
    <row r="81">
      <c r="A81" s="6" t="inlineStr">
        <is>
          <t>Third-party blended rate — the two midpoints averaged</t>
        </is>
      </c>
      <c r="C81" s="50">
        <f>(C77+C80)/2</f>
        <v/>
      </c>
    </row>
    <row r="82">
      <c r="A82" s="6" t="inlineStr">
        <is>
          <t>Lease interest charged in 2025 (USD 000)</t>
        </is>
      </c>
      <c r="C82" s="18">
        <f>Assumptions!$C$30</f>
        <v/>
      </c>
    </row>
    <row r="83">
      <c r="A83" s="6" t="inlineStr">
        <is>
          <t>Lease liabilities, opening balance (USD 000)</t>
        </is>
      </c>
      <c r="C83" s="18">
        <f>Assumptions!$C$31</f>
        <v/>
      </c>
    </row>
    <row r="84">
      <c r="A84" s="6" t="inlineStr">
        <is>
          <t>Lease liabilities, closing balance (USD 000)</t>
        </is>
      </c>
      <c r="C84" s="18">
        <f>Assumptions!$C$32</f>
        <v/>
      </c>
    </row>
    <row r="85">
      <c r="A85" s="6" t="inlineStr">
        <is>
          <t>Implied lease borrowing rate — interest over the average balance</t>
        </is>
      </c>
      <c r="C85" s="50">
        <f>C82/((C83+C84)/2)</f>
        <v/>
      </c>
    </row>
    <row r="86">
      <c r="A86" s="6" t="inlineStr">
        <is>
          <t>Shareholder loan at 31 March 2026 (USD 000)</t>
        </is>
      </c>
      <c r="C86" s="18">
        <f>Assumptions!$C$33</f>
        <v/>
      </c>
    </row>
    <row r="87">
      <c r="A87" s="6" t="inlineStr">
        <is>
          <t>Third-party borrowings at 31 March 2026 (USD 000)</t>
        </is>
      </c>
      <c r="C87" s="18">
        <f>Assumptions!$C$34</f>
        <v/>
      </c>
    </row>
    <row r="88">
      <c r="A88" s="6" t="inlineStr">
        <is>
          <t>Lease liabilities at 31 March 2026 (USD 000)</t>
        </is>
      </c>
      <c r="C88" s="18">
        <f>Assumptions!$C$35</f>
        <v/>
      </c>
    </row>
    <row r="89">
      <c r="A89" s="6" t="inlineStr">
        <is>
          <t>Borrowings at 31 March 2026 (USD 000)</t>
        </is>
      </c>
      <c r="C89" s="33">
        <f>C86+C87+C88</f>
        <v/>
      </c>
    </row>
    <row r="90">
      <c r="A90" s="6" t="inlineStr">
        <is>
          <t>METHOD 2 — the instruments actually outstanding, weighted by balance</t>
        </is>
      </c>
      <c r="C90" s="50">
        <f>(C86*C74+C87*C81+C88*C85)/C89</f>
        <v/>
      </c>
    </row>
    <row r="91">
      <c r="A91" s="6" t="inlineStr">
        <is>
          <t>METHOD 3 — the disclosed third-party bank-loan midpoint</t>
        </is>
      </c>
      <c r="C91" s="50">
        <f>C77</f>
        <v/>
      </c>
    </row>
    <row r="92">
      <c r="A92" s="14" t="inlineStr">
        <is>
          <t>Cost of debt — the three constructions averaged. This is a simple average of three independent readings, NOT a figure weighted by what is drawn; the weighted one is the line below</t>
        </is>
      </c>
      <c r="B92" s="14" t="n"/>
      <c r="C92" s="51">
        <f>AVERAGE(C74,C90,C91)</f>
        <v/>
      </c>
      <c r="D92" s="14" t="n"/>
    </row>
    <row r="93">
      <c r="A93" s="6" t="inlineStr">
        <is>
          <t>Memorandum — cost of debt on the balance-weighted construction alone (method 2), the only one of the three that is weighted by the instruments actually outstanding</t>
        </is>
      </c>
      <c r="C93" s="50">
        <f>C90</f>
        <v/>
      </c>
    </row>
    <row r="94">
      <c r="A94" s="6" t="inlineStr">
        <is>
          <t>Statutory corporate tax rate</t>
        </is>
      </c>
      <c r="C94" s="8">
        <f>Assumptions!$C$21</f>
        <v/>
      </c>
    </row>
    <row r="95">
      <c r="A95" s="6" t="inlineStr">
        <is>
          <t>Cost of debt after tax</t>
        </is>
      </c>
      <c r="C95" s="50">
        <f>C92*(1-C94)</f>
        <v/>
      </c>
    </row>
    <row r="96">
      <c r="A96" s="11" t="inlineStr">
        <is>
          <t>WEIGHTS AND THE COST OF CAPITAL — EQUITY, DEBT AND THE PERPETUAL SECURITIES</t>
        </is>
      </c>
      <c r="B96" s="14" t="n"/>
      <c r="C96" s="14" t="n"/>
      <c r="D96" s="14" t="n"/>
      <c r="E96" s="14" t="n"/>
      <c r="F96" s="14" t="n"/>
    </row>
    <row r="97">
      <c r="A97" s="6" t="inlineStr">
        <is>
          <t>Market capitalisation (USD 000)</t>
        </is>
      </c>
      <c r="C97" s="33">
        <f>Assumptions!$C$5/Assumptions!$C$7*Assumptions!$C$6*1000</f>
        <v/>
      </c>
    </row>
    <row r="98">
      <c r="A98" s="6" t="inlineStr">
        <is>
          <t>Borrowings at 31 March 2026 (USD 000)</t>
        </is>
      </c>
      <c r="C98" s="33">
        <f>C89</f>
        <v/>
      </c>
    </row>
    <row r="99">
      <c r="A99" s="6" t="inlineStr">
        <is>
          <t>Perpetual capital securities at carrying value (USD 000)</t>
        </is>
      </c>
      <c r="C99" s="18">
        <f>Assumptions!$C$152</f>
        <v/>
      </c>
    </row>
    <row r="100">
      <c r="A100" s="6" t="inlineStr">
        <is>
          <t>Total capital (USD 000)</t>
        </is>
      </c>
      <c r="C100" s="33">
        <f>C97+C98+C99</f>
        <v/>
      </c>
    </row>
    <row r="101">
      <c r="A101" s="6" t="inlineStr">
        <is>
          <t>Equity weight — market capitalisation over the total</t>
        </is>
      </c>
      <c r="C101" s="50">
        <f>C97/C100</f>
        <v/>
      </c>
    </row>
    <row r="102">
      <c r="A102" s="6" t="inlineStr">
        <is>
          <t>Debt weight</t>
        </is>
      </c>
      <c r="C102" s="50">
        <f>C98/C100</f>
        <v/>
      </c>
    </row>
    <row r="103">
      <c r="A103" s="6" t="inlineStr">
        <is>
          <t>Perpetual capital securities weight</t>
        </is>
      </c>
      <c r="C103" s="50">
        <f>C99/C100</f>
        <v/>
      </c>
    </row>
    <row r="104">
      <c r="A104" s="6" t="inlineStr">
        <is>
          <t>Cost of the perpetual capital securities — their own coupon. It is not tax-deductible, because it is an equity distribution, so it is not taxed down</t>
        </is>
      </c>
      <c r="C104" s="50">
        <f>C72+Assumptions!$C$153</f>
        <v/>
      </c>
    </row>
    <row r="105">
      <c r="A105" s="14" t="inlineStr">
        <is>
          <t>Cost of capital — explicit window</t>
        </is>
      </c>
      <c r="B105" s="14" t="n"/>
      <c r="C105" s="51">
        <f>C101*C69+C102*C95+C103*C104</f>
        <v/>
      </c>
      <c r="D105" s="14" t="n"/>
    </row>
    <row r="106">
      <c r="A106" s="6" t="inlineStr">
        <is>
          <t>Terminal risk-free rate</t>
        </is>
      </c>
      <c r="C106" s="19">
        <f>Assumptions!$C$20</f>
        <v/>
      </c>
    </row>
    <row r="107">
      <c r="A107" s="6" t="inlineStr">
        <is>
          <t>Terminal cost of equity</t>
        </is>
      </c>
      <c r="C107" s="50">
        <f>C106+C67*C68</f>
        <v/>
      </c>
    </row>
    <row r="108">
      <c r="A108" s="6" t="inlineStr">
        <is>
          <t>Terminal cost of debt — the same spread over the terminal rate</t>
        </is>
      </c>
      <c r="C108" s="50">
        <f>C106+(C92-C66)</f>
        <v/>
      </c>
    </row>
    <row r="109">
      <c r="A109" s="6" t="inlineStr">
        <is>
          <t>Terminal cost of debt after tax</t>
        </is>
      </c>
      <c r="C109" s="50">
        <f>C108*(1-C94)</f>
        <v/>
      </c>
    </row>
    <row r="110">
      <c r="A110" s="6" t="inlineStr">
        <is>
          <t>Terminal cost of the perpetual securities — the coupon floats, so it normalises with the risk-free rate</t>
        </is>
      </c>
      <c r="C110" s="50">
        <f>C106+Assumptions!$C$153</f>
        <v/>
      </c>
    </row>
    <row r="111">
      <c r="A111" s="14" t="inlineStr">
        <is>
          <t>Terminal cost of capital</t>
        </is>
      </c>
      <c r="B111" s="14" t="n"/>
      <c r="C111" s="51">
        <f>C101*C107+C102*C109+C103*C110</f>
        <v/>
      </c>
      <c r="D111" s="14"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4" t="n"/>
      <c r="C113" s="14" t="n"/>
      <c r="D113" s="14" t="n"/>
      <c r="E113" s="14" t="n"/>
      <c r="F113" s="14" t="n"/>
    </row>
    <row r="114">
      <c r="A114" s="6" t="inlineStr">
        <is>
          <t>Beta against an equal-weight composite of the exchange's names — the disclosed alternative construction</t>
        </is>
      </c>
      <c r="C114" s="23">
        <f>Assumptions!$C$15</f>
        <v/>
      </c>
    </row>
    <row r="115">
      <c r="A115" s="6" t="inlineStr">
        <is>
          <t>Cost of equity on the composite-index beta</t>
        </is>
      </c>
      <c r="C115" s="50">
        <f>C66+C114*C68</f>
        <v/>
      </c>
    </row>
    <row r="116">
      <c r="A116" s="6" t="inlineStr">
        <is>
          <t>Terminal cost of equity on the composite-index beta</t>
        </is>
      </c>
      <c r="C116" s="50">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0">
        <f>C101*C115+C102*C95+C103*C104</f>
        <v/>
      </c>
    </row>
    <row r="118">
      <c r="A118" s="6" t="inlineStr">
        <is>
          <t>Terminal cost of capital, composite-index beta</t>
        </is>
      </c>
      <c r="C118" s="50">
        <f>C101*C116+C102*C109+C103*C110</f>
        <v/>
      </c>
    </row>
    <row r="120">
      <c r="A120" s="11" t="inlineStr">
        <is>
          <t>HOW PRECISE THE PRIMARY BETA IS — THE INTERVAL AROUND IT, PRICED</t>
        </is>
      </c>
      <c r="B120" s="14" t="n"/>
      <c r="C120" s="14" t="n"/>
      <c r="D120" s="14" t="n"/>
      <c r="E120" s="14" t="n"/>
      <c r="F120" s="14" t="n"/>
    </row>
    <row r="121">
      <c r="A121" s="6" t="inlineStr">
        <is>
          <t>Beta — lower bound of the 90% confidence interval on the primary regression</t>
        </is>
      </c>
      <c r="C121" s="23">
        <f>Assumptions!$C$16</f>
        <v/>
      </c>
    </row>
    <row r="122">
      <c r="A122" s="6" t="inlineStr">
        <is>
          <t>Beta — upper bound of the 90% confidence interval on the primary regression</t>
        </is>
      </c>
      <c r="C122" s="23">
        <f>Assumptions!$C$17</f>
        <v/>
      </c>
    </row>
    <row r="123">
      <c r="A123" s="6" t="inlineStr">
        <is>
          <t>Cost of equity at the lower confidence bound — the bull-case discount rate</t>
        </is>
      </c>
      <c r="C123" s="50">
        <f>C66+C121*C68</f>
        <v/>
      </c>
    </row>
    <row r="124">
      <c r="A124" s="6" t="inlineStr">
        <is>
          <t>Cost of equity at the upper confidence bound — the bear-case discount rate</t>
        </is>
      </c>
      <c r="C124" s="50">
        <f>C66+C122*C68</f>
        <v/>
      </c>
    </row>
    <row r="125">
      <c r="A125" s="6" t="inlineStr">
        <is>
          <t>Beta — the measured slope shrunk toward the market, two-thirds of it plus one-third of 1.0</t>
        </is>
      </c>
      <c r="C125" s="23">
        <f>Assumptions!$C$18</f>
        <v/>
      </c>
    </row>
    <row r="126">
      <c r="A126" s="6" t="inlineStr">
        <is>
          <t>Cost of equity on the slope shrunk toward the market</t>
        </is>
      </c>
      <c r="C126" s="50">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0">
        <f>$C$117+($C$118-$C$117)*1/5</f>
        <v/>
      </c>
      <c r="C129" s="50">
        <f>$C$117+($C$118-$C$117)*2/5</f>
        <v/>
      </c>
      <c r="D129" s="50">
        <f>$C$117+($C$118-$C$117)*3/5</f>
        <v/>
      </c>
      <c r="E129" s="50">
        <f>$C$117+($C$118-$C$117)*4/5</f>
        <v/>
      </c>
      <c r="F129" s="50">
        <f>$C$117+($C$118-$C$117)*5/5</f>
        <v/>
      </c>
    </row>
    <row r="130">
      <c r="A130" s="6" t="inlineStr">
        <is>
          <t>Discount factor</t>
        </is>
      </c>
      <c r="B130" s="48">
        <f>1/(1+B129)^Assumptions!$C$8</f>
        <v/>
      </c>
      <c r="C130" s="48">
        <f>B130/(1+C129)</f>
        <v/>
      </c>
      <c r="D130" s="48">
        <f>C130/(1+D129)</f>
        <v/>
      </c>
      <c r="E130" s="48">
        <f>D130/(1+E129)</f>
        <v/>
      </c>
      <c r="F130" s="48">
        <f>E130/(1+F129)</f>
        <v/>
      </c>
    </row>
    <row r="131">
      <c r="A131" s="6" t="inlineStr">
        <is>
          <t>Present value of free cash flow</t>
        </is>
      </c>
      <c r="B131" s="33">
        <f>B17*B130</f>
        <v/>
      </c>
      <c r="C131" s="33">
        <f>C17*C130</f>
        <v/>
      </c>
      <c r="D131" s="33">
        <f>D17*D130</f>
        <v/>
      </c>
      <c r="E131" s="33">
        <f>E17*E130</f>
        <v/>
      </c>
      <c r="F131" s="33">
        <f>F17*F130</f>
        <v/>
      </c>
    </row>
    <row r="132">
      <c r="A132" s="6" t="inlineStr">
        <is>
          <t>Present value of the five forecast years</t>
        </is>
      </c>
      <c r="C132" s="33">
        <f>SUM(B131:F131)</f>
        <v/>
      </c>
    </row>
    <row r="133">
      <c r="A133" s="6" t="inlineStr">
        <is>
          <t>Terminal value</t>
        </is>
      </c>
      <c r="C133" s="33">
        <f>C43*(1-C42)/(C118-C39)</f>
        <v/>
      </c>
    </row>
    <row r="134">
      <c r="A134" s="6" t="inlineStr">
        <is>
          <t>Present value of the terminal value</t>
        </is>
      </c>
      <c r="C134" s="33">
        <f>C133*F130</f>
        <v/>
      </c>
    </row>
    <row r="135">
      <c r="A135" s="6" t="inlineStr">
        <is>
          <t>Enterprise value of operations</t>
        </is>
      </c>
      <c r="C135" s="33">
        <f>C132+C134</f>
        <v/>
      </c>
    </row>
    <row r="136">
      <c r="A136" s="6" t="inlineStr">
        <is>
          <t>Terminal value as a share of enterprise value</t>
        </is>
      </c>
      <c r="C136" s="10">
        <f>C134/C135</f>
        <v/>
      </c>
    </row>
    <row r="137">
      <c r="A137" s="6" t="inlineStr">
        <is>
          <t>Enterprise value</t>
        </is>
      </c>
      <c r="C137" s="33">
        <f>C135+C49</f>
        <v/>
      </c>
    </row>
    <row r="138">
      <c r="A138" s="6" t="inlineStr">
        <is>
          <t>Equity value before the minorities</t>
        </is>
      </c>
      <c r="C138" s="33">
        <f>C137+C51+C52+C53+C54</f>
        <v/>
      </c>
    </row>
    <row r="139">
      <c r="A139" s="6" t="inlineStr">
        <is>
          <t>Less non-controlling interests — the same two-part deduction</t>
        </is>
      </c>
      <c r="C139" s="33">
        <f>-(C56+MAX(C57,C138*C58))</f>
        <v/>
      </c>
    </row>
    <row r="140">
      <c r="A140" s="6" t="inlineStr">
        <is>
          <t>Equity attributable to ordinary shareholders</t>
        </is>
      </c>
      <c r="C140" s="33">
        <f>C138+C139</f>
        <v/>
      </c>
    </row>
    <row r="141">
      <c r="A141" s="14" t="inlineStr">
        <is>
          <t>Fair value per share (AED) — composite-index beta</t>
        </is>
      </c>
      <c r="B141" s="14" t="n"/>
      <c r="C141" s="15">
        <f>C140/Assumptions!$C$6/1000*Assumptions!$C$7</f>
        <v/>
      </c>
      <c r="D141" s="14"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9">
        <f>Segments!B12</f>
        <v/>
      </c>
      <c r="C5" s="39">
        <f>Segments!C12</f>
        <v/>
      </c>
      <c r="D5" s="39">
        <f>Segments!D12</f>
        <v/>
      </c>
      <c r="E5" s="39">
        <f>DCF!B5</f>
        <v/>
      </c>
      <c r="F5" s="39">
        <f>DCF!C5</f>
        <v/>
      </c>
      <c r="G5" s="39">
        <f>DCF!D5</f>
        <v/>
      </c>
      <c r="H5" s="39">
        <f>DCF!E5</f>
        <v/>
      </c>
      <c r="I5" s="39">
        <f>DCF!F5</f>
        <v/>
      </c>
    </row>
    <row r="6">
      <c r="A6" s="6" t="inlineStr">
        <is>
          <t>Direct costs</t>
        </is>
      </c>
      <c r="B6" s="27" t="n">
        <v>-2003225</v>
      </c>
      <c r="C6" s="27" t="n">
        <v>-2608784</v>
      </c>
      <c r="D6" s="27"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7" t="n">
        <v>-146436</v>
      </c>
      <c r="C8" s="27" t="n">
        <v>-141522</v>
      </c>
      <c r="D8" s="27" t="n">
        <v>-204983</v>
      </c>
      <c r="E8" s="33" t="inlineStr">
        <is>
          <t>-</t>
        </is>
      </c>
      <c r="F8" s="33" t="inlineStr">
        <is>
          <t>-</t>
        </is>
      </c>
      <c r="G8" s="33" t="inlineStr">
        <is>
          <t>-</t>
        </is>
      </c>
      <c r="H8" s="33" t="inlineStr">
        <is>
          <t>-</t>
        </is>
      </c>
      <c r="I8" s="33" t="inlineStr">
        <is>
          <t>-</t>
        </is>
      </c>
    </row>
    <row r="9">
      <c r="A9" s="6" t="inlineStr">
        <is>
          <t>Expected credit losses</t>
        </is>
      </c>
      <c r="B9" s="27" t="n">
        <v>-2672</v>
      </c>
      <c r="C9" s="27" t="n">
        <v>2649</v>
      </c>
      <c r="D9" s="27" t="n">
        <v>-9590</v>
      </c>
      <c r="E9" s="33" t="inlineStr">
        <is>
          <t>-</t>
        </is>
      </c>
      <c r="F9" s="33" t="inlineStr">
        <is>
          <t>-</t>
        </is>
      </c>
      <c r="G9" s="33" t="inlineStr">
        <is>
          <t>-</t>
        </is>
      </c>
      <c r="H9" s="33" t="inlineStr">
        <is>
          <t>-</t>
        </is>
      </c>
      <c r="I9" s="33" t="inlineStr">
        <is>
          <t>-</t>
        </is>
      </c>
    </row>
    <row r="10">
      <c r="A10" s="6" t="inlineStr">
        <is>
          <t>Other income</t>
        </is>
      </c>
      <c r="B10" s="27" t="n">
        <v>10865</v>
      </c>
      <c r="C10" s="27" t="n">
        <v>19896</v>
      </c>
      <c r="D10" s="27" t="n">
        <v>50459</v>
      </c>
      <c r="E10" s="33" t="inlineStr">
        <is>
          <t>-</t>
        </is>
      </c>
      <c r="F10" s="33" t="inlineStr">
        <is>
          <t>-</t>
        </is>
      </c>
      <c r="G10" s="33" t="inlineStr">
        <is>
          <t>-</t>
        </is>
      </c>
      <c r="H10" s="33" t="inlineStr">
        <is>
          <t>-</t>
        </is>
      </c>
      <c r="I10" s="33" t="inlineStr">
        <is>
          <t>-</t>
        </is>
      </c>
    </row>
    <row r="11">
      <c r="A11" s="6" t="inlineStr">
        <is>
          <t>Other expenses</t>
        </is>
      </c>
      <c r="B11" s="27" t="n">
        <v>0</v>
      </c>
      <c r="C11" s="27" t="n">
        <v>-4310</v>
      </c>
      <c r="D11" s="27" t="n">
        <v>0</v>
      </c>
      <c r="E11" s="33" t="inlineStr">
        <is>
          <t>-</t>
        </is>
      </c>
      <c r="F11" s="33" t="inlineStr">
        <is>
          <t>-</t>
        </is>
      </c>
      <c r="G11" s="33" t="inlineStr">
        <is>
          <t>-</t>
        </is>
      </c>
      <c r="H11" s="33" t="inlineStr">
        <is>
          <t>-</t>
        </is>
      </c>
      <c r="I11" s="33" t="inlineStr">
        <is>
          <t>-</t>
        </is>
      </c>
    </row>
    <row r="12">
      <c r="A12" s="14" t="inlineStr">
        <is>
          <t>Operating profit</t>
        </is>
      </c>
      <c r="B12" s="39">
        <f>B7+B8+B9+B10+B11</f>
        <v/>
      </c>
      <c r="C12" s="39">
        <f>C7+C8+C9+C10+C11</f>
        <v/>
      </c>
      <c r="D12" s="39">
        <f>D7+D8+D9+D10+D11</f>
        <v/>
      </c>
      <c r="E12" s="39">
        <f>E14-E13</f>
        <v/>
      </c>
      <c r="F12" s="39">
        <f>F14-F13</f>
        <v/>
      </c>
      <c r="G12" s="39">
        <f>G14-G13</f>
        <v/>
      </c>
      <c r="H12" s="39">
        <f>H14-H13</f>
        <v/>
      </c>
      <c r="I12" s="39">
        <f>I14-I13</f>
        <v/>
      </c>
    </row>
    <row r="13">
      <c r="A13" s="6" t="inlineStr">
        <is>
          <t>Depreciation and amortisation</t>
        </is>
      </c>
      <c r="B13" s="27" t="n">
        <v>248526</v>
      </c>
      <c r="C13" s="27" t="n">
        <v>317339</v>
      </c>
      <c r="D13" s="27" t="n">
        <v>524809</v>
      </c>
      <c r="E13" s="18">
        <f>'Balance Sheet'!B39</f>
        <v/>
      </c>
      <c r="F13" s="18">
        <f>'Balance Sheet'!C39</f>
        <v/>
      </c>
      <c r="G13" s="18">
        <f>'Balance Sheet'!D39</f>
        <v/>
      </c>
      <c r="H13" s="18">
        <f>'Balance Sheet'!E39</f>
        <v/>
      </c>
      <c r="I13" s="18">
        <f>'Balance Sheet'!F39</f>
        <v/>
      </c>
    </row>
    <row r="14">
      <c r="A14" s="14" t="inlineStr">
        <is>
          <t>EBITDA (operating)</t>
        </is>
      </c>
      <c r="B14" s="39">
        <f>B12+B13</f>
        <v/>
      </c>
      <c r="C14" s="39">
        <f>C12+C13</f>
        <v/>
      </c>
      <c r="D14" s="39">
        <f>D12+D13</f>
        <v/>
      </c>
      <c r="E14" s="39">
        <f>DCF!B6</f>
        <v/>
      </c>
      <c r="F14" s="39">
        <f>DCF!C6</f>
        <v/>
      </c>
      <c r="G14" s="39">
        <f>DCF!D6</f>
        <v/>
      </c>
      <c r="H14" s="39">
        <f>DCF!E6</f>
        <v/>
      </c>
      <c r="I14" s="39">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3" t="inlineStr">
        <is>
          <t>-</t>
        </is>
      </c>
      <c r="F19" s="33" t="inlineStr">
        <is>
          <t>-</t>
        </is>
      </c>
      <c r="G19" s="33" t="inlineStr">
        <is>
          <t>-</t>
        </is>
      </c>
      <c r="H19" s="33" t="inlineStr">
        <is>
          <t>-</t>
        </is>
      </c>
      <c r="I19" s="33" t="inlineStr">
        <is>
          <t>-</t>
        </is>
      </c>
    </row>
    <row r="20">
      <c r="A20" s="6" t="inlineStr">
        <is>
          <t>Gain on bargain purchase</t>
        </is>
      </c>
      <c r="B20" s="27" t="n">
        <v>0</v>
      </c>
      <c r="C20" s="27" t="n">
        <v>0</v>
      </c>
      <c r="D20" s="27" t="n">
        <v>12056</v>
      </c>
      <c r="E20" s="33" t="inlineStr">
        <is>
          <t>-</t>
        </is>
      </c>
      <c r="F20" s="33" t="inlineStr">
        <is>
          <t>-</t>
        </is>
      </c>
      <c r="G20" s="33" t="inlineStr">
        <is>
          <t>-</t>
        </is>
      </c>
      <c r="H20" s="33" t="inlineStr">
        <is>
          <t>-</t>
        </is>
      </c>
      <c r="I20" s="33" t="inlineStr">
        <is>
          <t>-</t>
        </is>
      </c>
    </row>
    <row r="21">
      <c r="A21" s="6" t="inlineStr">
        <is>
          <t>Loss on the previously held interest</t>
        </is>
      </c>
      <c r="B21" s="27" t="n">
        <v>0</v>
      </c>
      <c r="C21" s="27" t="n">
        <v>0</v>
      </c>
      <c r="D21" s="27" t="n">
        <v>-3398</v>
      </c>
      <c r="E21" s="33" t="inlineStr">
        <is>
          <t>-</t>
        </is>
      </c>
      <c r="F21" s="33" t="inlineStr">
        <is>
          <t>-</t>
        </is>
      </c>
      <c r="G21" s="33" t="inlineStr">
        <is>
          <t>-</t>
        </is>
      </c>
      <c r="H21" s="33" t="inlineStr">
        <is>
          <t>-</t>
        </is>
      </c>
      <c r="I21" s="33" t="inlineStr">
        <is>
          <t>-</t>
        </is>
      </c>
    </row>
    <row r="22">
      <c r="A22" s="6" t="inlineStr">
        <is>
          <t>Finance income</t>
        </is>
      </c>
      <c r="B22" s="27" t="n">
        <v>9785</v>
      </c>
      <c r="C22" s="27" t="n">
        <v>15594</v>
      </c>
      <c r="D22" s="27" t="n">
        <v>18959</v>
      </c>
      <c r="E22" s="18">
        <f>Assumptions!$C$24*Assumptions!$C$159</f>
        <v/>
      </c>
      <c r="F22" s="18">
        <f>Assumptions!$C$24*Assumptions!$C$159</f>
        <v/>
      </c>
      <c r="G22" s="18">
        <f>Assumptions!$C$24*Assumptions!$C$159</f>
        <v/>
      </c>
      <c r="H22" s="18">
        <f>Assumptions!$C$24*Assumptions!$C$159</f>
        <v/>
      </c>
      <c r="I22" s="18">
        <f>Assumptions!$C$24*Assumptions!$C$159</f>
        <v/>
      </c>
    </row>
    <row r="23">
      <c r="A23" s="6" t="inlineStr">
        <is>
          <t>Finance costs</t>
        </is>
      </c>
      <c r="B23" s="27" t="n">
        <v>-15098</v>
      </c>
      <c r="C23" s="27" t="n">
        <v>-18034</v>
      </c>
      <c r="D23" s="27" t="n">
        <v>-87143</v>
      </c>
      <c r="E23" s="18">
        <f>-DCF!$C$92*'Balance Sheet'!B54</f>
        <v/>
      </c>
      <c r="F23" s="18">
        <f>-DCF!$C$92*'Balance Sheet'!C54</f>
        <v/>
      </c>
      <c r="G23" s="18">
        <f>-DCF!$C$92*'Balance Sheet'!D54</f>
        <v/>
      </c>
      <c r="H23" s="18">
        <f>-DCF!$C$92*'Balance Sheet'!E54</f>
        <v/>
      </c>
      <c r="I23" s="18">
        <f>-DCF!$C$92*'Balance Sheet'!F54</f>
        <v/>
      </c>
    </row>
    <row r="24">
      <c r="A24" s="14" t="inlineStr">
        <is>
          <t>Profit before tax</t>
        </is>
      </c>
      <c r="B24" s="39">
        <f>B12+B19+B20+B21+B22+B23</f>
        <v/>
      </c>
      <c r="C24" s="39">
        <f>C12+C19+C20+C21+C22+C23</f>
        <v/>
      </c>
      <c r="D24" s="39">
        <f>D12+D19+D20+D21+D22+D23</f>
        <v/>
      </c>
      <c r="E24" s="39">
        <f>E12+E22+E23</f>
        <v/>
      </c>
      <c r="F24" s="39">
        <f>F12+F22+F23</f>
        <v/>
      </c>
      <c r="G24" s="39">
        <f>G12+G22+G23</f>
        <v/>
      </c>
      <c r="H24" s="39">
        <f>H12+H22+H23</f>
        <v/>
      </c>
      <c r="I24" s="39">
        <f>I12+I22+I23</f>
        <v/>
      </c>
    </row>
    <row r="25">
      <c r="A25" s="6" t="inlineStr">
        <is>
          <t>Income tax</t>
        </is>
      </c>
      <c r="B25" s="27" t="n">
        <v>-2283</v>
      </c>
      <c r="C25" s="27" t="n">
        <v>-72847</v>
      </c>
      <c r="D25" s="27"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7" t="n">
        <v>0</v>
      </c>
      <c r="C27" s="27" t="n">
        <v>0</v>
      </c>
      <c r="D27" s="27" t="n">
        <v>-24306</v>
      </c>
      <c r="E27" s="33">
        <f>-E26*Assumptions!$C$156</f>
        <v/>
      </c>
      <c r="F27" s="33">
        <f>-F26*Assumptions!$C$156</f>
        <v/>
      </c>
      <c r="G27" s="33">
        <f>-G26*Assumptions!$C$156</f>
        <v/>
      </c>
      <c r="H27" s="33">
        <f>-H26*Assumptions!$C$156</f>
        <v/>
      </c>
      <c r="I27" s="33">
        <f>-I26*Assumptions!$C$156</f>
        <v/>
      </c>
    </row>
    <row r="28">
      <c r="A28" s="14" t="inlineStr">
        <is>
          <t>Profit attributable to shareholders</t>
        </is>
      </c>
      <c r="B28" s="39">
        <f>B26+B27</f>
        <v/>
      </c>
      <c r="C28" s="39">
        <f>C26+C27</f>
        <v/>
      </c>
      <c r="D28" s="39">
        <f>D26+D27</f>
        <v/>
      </c>
      <c r="E28" s="39">
        <f>E26+E27</f>
        <v/>
      </c>
      <c r="F28" s="39">
        <f>F26+F27</f>
        <v/>
      </c>
      <c r="G28" s="39">
        <f>G26+G27</f>
        <v/>
      </c>
      <c r="H28" s="39">
        <f>H26+H27</f>
        <v/>
      </c>
      <c r="I28" s="39">
        <f>I26+I27</f>
        <v/>
      </c>
    </row>
    <row r="29">
      <c r="A29" s="6" t="inlineStr">
        <is>
          <t>Perpetual capital securities coupon</t>
        </is>
      </c>
      <c r="B29" s="27" t="n">
        <v>0</v>
      </c>
      <c r="C29" s="27" t="n">
        <v>0</v>
      </c>
      <c r="D29" s="27" t="n">
        <v>-61333</v>
      </c>
      <c r="E29" s="33">
        <f>-Assumptions!$C$152*(Assumptions!$C$24+Assumptions!$C$153)</f>
        <v/>
      </c>
      <c r="F29" s="33">
        <f>-Assumptions!$C$152*(Assumptions!$C$24+Assumptions!$C$153)</f>
        <v/>
      </c>
      <c r="G29" s="33">
        <f>-Assumptions!$C$152*(Assumptions!$C$24+Assumptions!$C$153)</f>
        <v/>
      </c>
      <c r="H29" s="33">
        <f>-Assumptions!$C$152*(Assumptions!$C$24+Assumptions!$C$153)</f>
        <v/>
      </c>
      <c r="I29" s="33">
        <f>-Assumptions!$C$152*(Assumptions!$C$24+Assumptions!$C$153)</f>
        <v/>
      </c>
    </row>
    <row r="30">
      <c r="A30" s="14" t="inlineStr">
        <is>
          <t>Earnings attributable to ordinary shareholders, AFTER the perpetual capital securities coupon</t>
        </is>
      </c>
      <c r="B30" s="39">
        <f>B28+B29</f>
        <v/>
      </c>
      <c r="C30" s="39">
        <f>C28+C29</f>
        <v/>
      </c>
      <c r="D30" s="39">
        <f>D28+D29</f>
        <v/>
      </c>
      <c r="E30" s="39">
        <f>E28+E29</f>
        <v/>
      </c>
      <c r="F30" s="39">
        <f>F28+F29</f>
        <v/>
      </c>
      <c r="G30" s="39">
        <f>G28+G29</f>
        <v/>
      </c>
      <c r="H30" s="39">
        <f>H28+H29</f>
        <v/>
      </c>
      <c r="I30" s="39">
        <f>I28+I29</f>
        <v/>
      </c>
    </row>
    <row r="31">
      <c r="A31" s="6" t="inlineStr">
        <is>
          <t>Earnings per ordinary share, AFTER the perpetual coupon (USD) — the coupon ranks ahead of the ordinary shares, so it comes out of the numerator</t>
        </is>
      </c>
      <c r="B31" s="47">
        <f>B30/Assumptions!$C$6/1000</f>
        <v/>
      </c>
      <c r="C31" s="47">
        <f>C30/Assumptions!$C$6/1000</f>
        <v/>
      </c>
      <c r="D31" s="47">
        <f>D30/Assumptions!$C$6/1000</f>
        <v/>
      </c>
      <c r="E31" s="47">
        <f>E30/Assumptions!$C$6/1000</f>
        <v/>
      </c>
      <c r="F31" s="47">
        <f>F30/Assumptions!$C$6/1000</f>
        <v/>
      </c>
      <c r="G31" s="47">
        <f>G30/Assumptions!$C$6/1000</f>
        <v/>
      </c>
      <c r="H31" s="47">
        <f>H30/Assumptions!$C$6/1000</f>
        <v/>
      </c>
      <c r="I31" s="47">
        <f>I30/Assumptions!$C$6/1000</f>
        <v/>
      </c>
    </row>
    <row r="32">
      <c r="A32" s="6" t="inlineStr">
        <is>
          <t>Earnings per ordinary share, AFTER the perpetual coupon (AED)</t>
        </is>
      </c>
      <c r="B32" s="47">
        <f>B31*Assumptions!$C$7</f>
        <v/>
      </c>
      <c r="C32" s="47">
        <f>C31*Assumptions!$C$7</f>
        <v/>
      </c>
      <c r="D32" s="47">
        <f>D31*Assumptions!$C$7</f>
        <v/>
      </c>
      <c r="E32" s="47">
        <f>E31*Assumptions!$C$7</f>
        <v/>
      </c>
      <c r="F32" s="47">
        <f>F31*Assumptions!$C$7</f>
        <v/>
      </c>
      <c r="G32" s="47">
        <f>G31*Assumptions!$C$7</f>
        <v/>
      </c>
      <c r="H32" s="47">
        <f>H31*Assumptions!$C$7</f>
        <v/>
      </c>
      <c r="I32" s="47">
        <f>I31*Assumptions!$C$7</f>
        <v/>
      </c>
    </row>
    <row r="33">
      <c r="A33" s="6" t="inlineStr">
        <is>
          <t>Memorandum — earnings per share BEFORE the perpetual coupon (USD), on attributable profit; shown so the two are never confused</t>
        </is>
      </c>
      <c r="B33" s="47">
        <f>B28/Assumptions!$C$6/1000</f>
        <v/>
      </c>
      <c r="C33" s="47">
        <f>C28/Assumptions!$C$6/1000</f>
        <v/>
      </c>
      <c r="D33" s="47">
        <f>D28/Assumptions!$C$6/1000</f>
        <v/>
      </c>
      <c r="E33" s="47">
        <f>E28/Assumptions!$C$6/1000</f>
        <v/>
      </c>
      <c r="F33" s="47">
        <f>F28/Assumptions!$C$6/1000</f>
        <v/>
      </c>
      <c r="G33" s="47">
        <f>G28/Assumptions!$C$6/1000</f>
        <v/>
      </c>
      <c r="H33" s="47">
        <f>H28/Assumptions!$C$6/1000</f>
        <v/>
      </c>
      <c r="I33" s="47">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3">
        <f>B37</f>
        <v/>
      </c>
      <c r="F5" s="33">
        <f>C37</f>
        <v/>
      </c>
      <c r="G5" s="33">
        <f>D37</f>
        <v/>
      </c>
      <c r="H5" s="33">
        <f>E37</f>
        <v/>
      </c>
      <c r="I5" s="33">
        <f>F37</f>
        <v/>
      </c>
    </row>
    <row r="6">
      <c r="A6" s="6" t="inlineStr">
        <is>
          <t>Right-of-use assets</t>
        </is>
      </c>
      <c r="B6" s="27" t="n">
        <v>148146</v>
      </c>
      <c r="C6" s="27" t="n">
        <v>161691</v>
      </c>
      <c r="D6" s="27" t="n">
        <v>225292</v>
      </c>
      <c r="E6" s="33" t="inlineStr">
        <is>
          <t>-</t>
        </is>
      </c>
      <c r="F6" s="33" t="inlineStr">
        <is>
          <t>-</t>
        </is>
      </c>
      <c r="G6" s="33" t="inlineStr">
        <is>
          <t>-</t>
        </is>
      </c>
      <c r="H6" s="33" t="inlineStr">
        <is>
          <t>-</t>
        </is>
      </c>
      <c r="I6" s="33" t="inlineStr">
        <is>
          <t>-</t>
        </is>
      </c>
    </row>
    <row r="7">
      <c r="A7" s="6" t="inlineStr">
        <is>
          <t>Intangible assets</t>
        </is>
      </c>
      <c r="B7" s="27" t="n">
        <v>11440</v>
      </c>
      <c r="C7" s="27" t="n">
        <v>11078</v>
      </c>
      <c r="D7" s="27" t="n">
        <v>19434</v>
      </c>
      <c r="E7" s="18">
        <f>Assumptions!$C$160</f>
        <v/>
      </c>
      <c r="F7" s="18">
        <f>Assumptions!$C$160</f>
        <v/>
      </c>
      <c r="G7" s="18">
        <f>Assumptions!$C$160</f>
        <v/>
      </c>
      <c r="H7" s="18">
        <f>Assumptions!$C$160</f>
        <v/>
      </c>
      <c r="I7" s="18">
        <f>Assumptions!$C$160</f>
        <v/>
      </c>
    </row>
    <row r="8">
      <c r="A8" s="6" t="inlineStr">
        <is>
          <t>Goodwill</t>
        </is>
      </c>
      <c r="B8" s="27" t="n">
        <v>51368</v>
      </c>
      <c r="C8" s="27" t="n">
        <v>51368</v>
      </c>
      <c r="D8" s="27" t="n">
        <v>51368</v>
      </c>
      <c r="E8" s="18">
        <f>Assumptions!$C$161</f>
        <v/>
      </c>
      <c r="F8" s="18">
        <f>Assumptions!$C$161</f>
        <v/>
      </c>
      <c r="G8" s="18">
        <f>Assumptions!$C$161</f>
        <v/>
      </c>
      <c r="H8" s="18">
        <f>Assumptions!$C$161</f>
        <v/>
      </c>
      <c r="I8" s="18">
        <f>Assumptions!$C$161</f>
        <v/>
      </c>
    </row>
    <row r="9">
      <c r="A9" s="6" t="inlineStr">
        <is>
          <t>Investment properties</t>
        </is>
      </c>
      <c r="B9" s="27" t="n">
        <v>95269</v>
      </c>
      <c r="C9" s="27" t="n">
        <v>92501</v>
      </c>
      <c r="D9" s="27" t="n">
        <v>89154</v>
      </c>
      <c r="E9" s="33" t="inlineStr">
        <is>
          <t>-</t>
        </is>
      </c>
      <c r="F9" s="33" t="inlineStr">
        <is>
          <t>-</t>
        </is>
      </c>
      <c r="G9" s="33" t="inlineStr">
        <is>
          <t>-</t>
        </is>
      </c>
      <c r="H9" s="33" t="inlineStr">
        <is>
          <t>-</t>
        </is>
      </c>
      <c r="I9" s="33" t="inlineStr">
        <is>
          <t>-</t>
        </is>
      </c>
    </row>
    <row r="10">
      <c r="A10" s="6" t="inlineStr">
        <is>
          <t>Investments in joint ventures and associates</t>
        </is>
      </c>
      <c r="B10" s="27" t="n">
        <v>76712</v>
      </c>
      <c r="C10" s="27" t="n">
        <v>267775</v>
      </c>
      <c r="D10" s="27" t="n">
        <v>577769</v>
      </c>
      <c r="E10" s="18">
        <f>Assumptions!$C$157</f>
        <v/>
      </c>
      <c r="F10" s="18">
        <f>Assumptions!$C$157</f>
        <v/>
      </c>
      <c r="G10" s="18">
        <f>Assumptions!$C$157</f>
        <v/>
      </c>
      <c r="H10" s="18">
        <f>Assumptions!$C$157</f>
        <v/>
      </c>
      <c r="I10" s="18">
        <f>Assumptions!$C$157</f>
        <v/>
      </c>
    </row>
    <row r="11">
      <c r="A11" s="6" t="inlineStr">
        <is>
          <t>Inventories</t>
        </is>
      </c>
      <c r="B11" s="27" t="n">
        <v>120720</v>
      </c>
      <c r="C11" s="27" t="n">
        <v>132687</v>
      </c>
      <c r="D11" s="27" t="n">
        <v>137108</v>
      </c>
      <c r="E11" s="33">
        <f>B47</f>
        <v/>
      </c>
      <c r="F11" s="33">
        <f>C47</f>
        <v/>
      </c>
      <c r="G11" s="33">
        <f>D47</f>
        <v/>
      </c>
      <c r="H11" s="33">
        <f>E47</f>
        <v/>
      </c>
      <c r="I11" s="33">
        <f>F47</f>
        <v/>
      </c>
    </row>
    <row r="12">
      <c r="A12" s="6" t="inlineStr">
        <is>
          <t>Trade and other receivables, including amounts due from related parties</t>
        </is>
      </c>
      <c r="B12" s="27" t="n">
        <v>1131167</v>
      </c>
      <c r="C12" s="27" t="n">
        <v>1284889</v>
      </c>
      <c r="D12" s="27" t="n">
        <v>1489668</v>
      </c>
      <c r="E12" s="33">
        <f>B46</f>
        <v/>
      </c>
      <c r="F12" s="33">
        <f>C46</f>
        <v/>
      </c>
      <c r="G12" s="33">
        <f>D46</f>
        <v/>
      </c>
      <c r="H12" s="33">
        <f>E46</f>
        <v/>
      </c>
      <c r="I12" s="33">
        <f>F46</f>
        <v/>
      </c>
    </row>
    <row r="13">
      <c r="A13" s="6" t="inlineStr">
        <is>
          <t>Cash and cash equivalents</t>
        </is>
      </c>
      <c r="B13" s="27" t="n">
        <v>215709</v>
      </c>
      <c r="C13" s="27" t="n">
        <v>198919</v>
      </c>
      <c r="D13" s="27" t="n">
        <v>337794</v>
      </c>
      <c r="E13" s="18">
        <f>Assumptions!$C$159</f>
        <v/>
      </c>
      <c r="F13" s="18">
        <f>Assumptions!$C$159</f>
        <v/>
      </c>
      <c r="G13" s="18">
        <f>Assumptions!$C$159</f>
        <v/>
      </c>
      <c r="H13" s="18">
        <f>Assumptions!$C$159</f>
        <v/>
      </c>
      <c r="I13" s="18">
        <f>Assumptions!$C$159</f>
        <v/>
      </c>
    </row>
    <row r="14">
      <c r="A14" s="14" t="inlineStr">
        <is>
          <t>Total assets</t>
        </is>
      </c>
      <c r="B14" s="39" t="n">
        <v>5745668</v>
      </c>
      <c r="C14" s="39" t="n">
        <v>7003326</v>
      </c>
      <c r="D14" s="39" t="n">
        <v>9965153</v>
      </c>
      <c r="E14" s="39" t="inlineStr">
        <is>
          <t>-</t>
        </is>
      </c>
      <c r="F14" s="39" t="inlineStr">
        <is>
          <t>-</t>
        </is>
      </c>
      <c r="G14" s="39" t="inlineStr">
        <is>
          <t>-</t>
        </is>
      </c>
      <c r="H14" s="39" t="inlineStr">
        <is>
          <t>-</t>
        </is>
      </c>
      <c r="I14" s="39" t="inlineStr">
        <is>
          <t>-</t>
        </is>
      </c>
    </row>
    <row r="15">
      <c r="A15" s="6" t="inlineStr">
        <is>
          <t>Trade and other payables, including amounts due to related parties</t>
        </is>
      </c>
      <c r="B15" s="27" t="n">
        <v>962048</v>
      </c>
      <c r="C15" s="27" t="n">
        <v>1227680</v>
      </c>
      <c r="D15" s="27"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7" t="n">
        <v>289554</v>
      </c>
      <c r="C17" s="27" t="n">
        <v>739301</v>
      </c>
      <c r="D17" s="27" t="n">
        <v>1031879</v>
      </c>
      <c r="E17" s="33">
        <f>B54</f>
        <v/>
      </c>
      <c r="F17" s="33">
        <f>C54</f>
        <v/>
      </c>
      <c r="G17" s="33">
        <f>D54</f>
        <v/>
      </c>
      <c r="H17" s="33">
        <f>E54</f>
        <v/>
      </c>
      <c r="I17" s="33">
        <f>F54</f>
        <v/>
      </c>
    </row>
    <row r="18">
      <c r="A18" s="14" t="inlineStr">
        <is>
          <t>Net debt</t>
        </is>
      </c>
      <c r="B18" s="39">
        <f>B17-B13</f>
        <v/>
      </c>
      <c r="C18" s="39">
        <f>C17-C13</f>
        <v/>
      </c>
      <c r="D18" s="39">
        <f>D17-D13</f>
        <v/>
      </c>
      <c r="E18" s="39">
        <f>B62</f>
        <v/>
      </c>
      <c r="F18" s="39">
        <f>C62</f>
        <v/>
      </c>
      <c r="G18" s="39">
        <f>D62</f>
        <v/>
      </c>
      <c r="H18" s="39">
        <f>E62</f>
        <v/>
      </c>
      <c r="I18" s="39">
        <f>F62</f>
        <v/>
      </c>
    </row>
    <row r="19">
      <c r="A19" s="6" t="inlineStr">
        <is>
          <t>Perpetual capital securities</t>
        </is>
      </c>
      <c r="B19" s="27" t="n">
        <v>0</v>
      </c>
      <c r="C19" s="27" t="n">
        <v>0</v>
      </c>
      <c r="D19" s="27" t="n">
        <v>1978619</v>
      </c>
      <c r="E19" s="18">
        <f>Assumptions!$C$152</f>
        <v/>
      </c>
      <c r="F19" s="18">
        <f>Assumptions!$C$152</f>
        <v/>
      </c>
      <c r="G19" s="18">
        <f>Assumptions!$C$152</f>
        <v/>
      </c>
      <c r="H19" s="18">
        <f>Assumptions!$C$152</f>
        <v/>
      </c>
      <c r="I19" s="18">
        <f>Assumptions!$C$152</f>
        <v/>
      </c>
    </row>
    <row r="20">
      <c r="A20" s="6" t="inlineStr">
        <is>
          <t>Non-controlling interests</t>
        </is>
      </c>
      <c r="B20" s="27" t="n">
        <v>0</v>
      </c>
      <c r="C20" s="27" t="n">
        <v>0</v>
      </c>
      <c r="D20" s="27" t="n">
        <v>264512</v>
      </c>
      <c r="E20" s="18">
        <f>Assumptions!$C$154</f>
        <v/>
      </c>
      <c r="F20" s="18">
        <f>Assumptions!$C$154</f>
        <v/>
      </c>
      <c r="G20" s="18">
        <f>Assumptions!$C$154</f>
        <v/>
      </c>
      <c r="H20" s="18">
        <f>Assumptions!$C$154</f>
        <v/>
      </c>
      <c r="I20" s="18">
        <f>Assumptions!$C$154</f>
        <v/>
      </c>
    </row>
    <row r="21">
      <c r="A21" s="14" t="inlineStr">
        <is>
          <t>Equity attributable to shareholders</t>
        </is>
      </c>
      <c r="B21" s="39" t="n">
        <v>4405982</v>
      </c>
      <c r="C21" s="39" t="n">
        <v>4894627</v>
      </c>
      <c r="D21" s="39" t="n">
        <v>4981987</v>
      </c>
      <c r="E21" s="39">
        <f>B69</f>
        <v/>
      </c>
      <c r="F21" s="39">
        <f>C69</f>
        <v/>
      </c>
      <c r="G21" s="39">
        <f>D69</f>
        <v/>
      </c>
      <c r="H21" s="39">
        <f>E69</f>
        <v/>
      </c>
      <c r="I21" s="39">
        <f>F69</f>
        <v/>
      </c>
    </row>
    <row r="22">
      <c r="A22" s="14" t="inlineStr">
        <is>
          <t>Total equity</t>
        </is>
      </c>
      <c r="B22" s="39">
        <f>B21+B19+B20</f>
        <v/>
      </c>
      <c r="C22" s="39">
        <f>C21+C19+C20</f>
        <v/>
      </c>
      <c r="D22" s="39">
        <f>D21+D19+D20</f>
        <v/>
      </c>
      <c r="E22" s="39">
        <f>E21+E19+E20</f>
        <v/>
      </c>
      <c r="F22" s="39">
        <f>F21+F19+F20</f>
        <v/>
      </c>
      <c r="G22" s="39">
        <f>G21+G19+G20</f>
        <v/>
      </c>
      <c r="H22" s="39">
        <f>H21+H19+H20</f>
        <v/>
      </c>
      <c r="I22" s="39">
        <f>I21+I19+I20</f>
        <v/>
      </c>
    </row>
    <row r="23">
      <c r="A23" s="6" t="inlineStr">
        <is>
          <t>Net debt / EBITDA</t>
        </is>
      </c>
      <c r="B23" s="40">
        <f>B18/'Income Statement'!B14</f>
        <v/>
      </c>
      <c r="C23" s="40">
        <f>C18/'Income Statement'!C14</f>
        <v/>
      </c>
      <c r="D23" s="40">
        <f>D18/'Income Statement'!D14</f>
        <v/>
      </c>
      <c r="E23" s="40">
        <f>E18/'Income Statement'!E14</f>
        <v/>
      </c>
      <c r="F23" s="40">
        <f>F18/'Income Statement'!F14</f>
        <v/>
      </c>
      <c r="G23" s="40">
        <f>G18/'Income Statement'!G14</f>
        <v/>
      </c>
      <c r="H23" s="40">
        <f>H18/'Income Statement'!H14</f>
        <v/>
      </c>
      <c r="I23" s="40">
        <f>I18/'Income Statement'!I14</f>
        <v/>
      </c>
    </row>
    <row r="24">
      <c r="A24" s="6" t="inlineStr">
        <is>
          <t>Book value per share (USD)</t>
        </is>
      </c>
      <c r="B24" s="47">
        <f>B21/Assumptions!$C$6/1000</f>
        <v/>
      </c>
      <c r="C24" s="47">
        <f>C21/Assumptions!$C$6/1000</f>
        <v/>
      </c>
      <c r="D24" s="47">
        <f>D21/Assumptions!$C$6/1000</f>
        <v/>
      </c>
      <c r="E24" s="47">
        <f>E21/Assumptions!$C$6/1000</f>
        <v/>
      </c>
      <c r="F24" s="47">
        <f>F21/Assumptions!$C$6/1000</f>
        <v/>
      </c>
      <c r="G24" s="47">
        <f>G21/Assumptions!$C$6/1000</f>
        <v/>
      </c>
      <c r="H24" s="47">
        <f>H21/Assumptions!$C$6/1000</f>
        <v/>
      </c>
      <c r="I24" s="47">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Statement'!E28/((Assumptions!$C$158+E21)/2)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3">
        <f>B37</f>
        <v/>
      </c>
      <c r="D31" s="33">
        <f>C37</f>
        <v/>
      </c>
      <c r="E31" s="33">
        <f>D37</f>
        <v/>
      </c>
      <c r="F31" s="33">
        <f>E37</f>
        <v/>
      </c>
    </row>
    <row r="32">
      <c r="A32" s="6" t="inlineStr">
        <is>
          <t>Capital expenditure</t>
        </is>
      </c>
      <c r="B32" s="18">
        <f>Assumptions!$B$120</f>
        <v/>
      </c>
      <c r="C32" s="18">
        <f>Assumptions!$C$120</f>
        <v/>
      </c>
      <c r="D32" s="18">
        <f>Assumptions!$D$120</f>
        <v/>
      </c>
      <c r="E32" s="18">
        <f>Assumptions!$E$120</f>
        <v/>
      </c>
      <c r="F32" s="18">
        <f>Assumptions!$F$120</f>
        <v/>
      </c>
    </row>
    <row r="33">
      <c r="A33" s="6" t="inlineStr">
        <is>
          <t>Vessels acquired in the purchase announced 7 August 2026 — the same price that is carried in net debt below</t>
        </is>
      </c>
      <c r="B33" s="18">
        <f>Assumptions!$C$82</f>
        <v/>
      </c>
      <c r="C33" s="33">
        <f>0</f>
        <v/>
      </c>
      <c r="D33" s="33">
        <f>0</f>
        <v/>
      </c>
      <c r="E33" s="33">
        <f>0</f>
        <v/>
      </c>
      <c r="F33" s="33">
        <f>0</f>
        <v/>
      </c>
    </row>
    <row r="34">
      <c r="A34" s="6" t="inlineStr">
        <is>
          <t>Depreciation rate on property, plant and equipment</t>
        </is>
      </c>
      <c r="B34" s="19">
        <f>Assumptions!$C$121</f>
        <v/>
      </c>
      <c r="C34" s="19">
        <f>Assumptions!$C$121</f>
        <v/>
      </c>
      <c r="D34" s="19">
        <f>Assumptions!$C$121</f>
        <v/>
      </c>
      <c r="E34" s="19">
        <f>Assumptions!$C$121</f>
        <v/>
      </c>
      <c r="F34" s="19">
        <f>Assumptions!$C$121</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4" t="inlineStr">
        <is>
          <t>Closing property, plant and equipment</t>
        </is>
      </c>
      <c r="B37" s="35">
        <f>B31+B32+B33-B36</f>
        <v/>
      </c>
      <c r="C37" s="35">
        <f>C31+C32+C33-C36</f>
        <v/>
      </c>
      <c r="D37" s="35">
        <f>D31+D32+D33-D36</f>
        <v/>
      </c>
      <c r="E37" s="35">
        <f>E31+E32+E33-E36</f>
        <v/>
      </c>
      <c r="F37" s="35">
        <f>F31+F32+F33-F36</f>
        <v/>
      </c>
    </row>
    <row r="38">
      <c r="A38" s="6" t="inlineStr">
        <is>
          <t>Other depreciation and amortisation, escalated</t>
        </is>
      </c>
      <c r="B38" s="33">
        <f>Assumptions!$C$122*(1+Assumptions!$C$92)^1</f>
        <v/>
      </c>
      <c r="C38" s="33">
        <f>Assumptions!$C$122*(1+Assumptions!$C$92)^2</f>
        <v/>
      </c>
      <c r="D38" s="33">
        <f>Assumptions!$C$122*(1+Assumptions!$C$92)^3</f>
        <v/>
      </c>
      <c r="E38" s="33">
        <f>Assumptions!$C$122*(1+Assumptions!$C$92)^4</f>
        <v/>
      </c>
      <c r="F38" s="33">
        <f>Assumptions!$C$122*(1+Assumptions!$C$92)^5</f>
        <v/>
      </c>
    </row>
    <row r="39">
      <c r="A39" s="14" t="inlineStr">
        <is>
          <t>Total depreciation and amortisation</t>
        </is>
      </c>
      <c r="B39" s="39">
        <f>B36+B38</f>
        <v/>
      </c>
      <c r="C39" s="39">
        <f>C36+C38</f>
        <v/>
      </c>
      <c r="D39" s="39">
        <f>D36+D38</f>
        <v/>
      </c>
      <c r="E39" s="39">
        <f>E36+E38</f>
        <v/>
      </c>
      <c r="F39" s="39">
        <f>F36+F38</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7">
        <f>Assumptions!$C$126</f>
        <v/>
      </c>
      <c r="C43" s="17">
        <f>Assumptions!$C$126</f>
        <v/>
      </c>
      <c r="D43" s="17">
        <f>Assumptions!$C$126</f>
        <v/>
      </c>
      <c r="E43" s="17">
        <f>Assumptions!$C$126</f>
        <v/>
      </c>
      <c r="F43" s="17">
        <f>Assumptions!$C$126</f>
        <v/>
      </c>
    </row>
    <row r="44">
      <c r="A44" s="6" t="inlineStr">
        <is>
          <t>Days inventory outstanding</t>
        </is>
      </c>
      <c r="B44" s="17">
        <f>Assumptions!$C$127</f>
        <v/>
      </c>
      <c r="C44" s="17">
        <f>Assumptions!$C$127</f>
        <v/>
      </c>
      <c r="D44" s="17">
        <f>Assumptions!$C$127</f>
        <v/>
      </c>
      <c r="E44" s="17">
        <f>Assumptions!$C$127</f>
        <v/>
      </c>
      <c r="F44" s="17">
        <f>Assumptions!$C$127</f>
        <v/>
      </c>
    </row>
    <row r="45">
      <c r="A45" s="6" t="inlineStr">
        <is>
          <t>Days payable outstanding</t>
        </is>
      </c>
      <c r="B45" s="17">
        <f>Assumptions!$C$128</f>
        <v/>
      </c>
      <c r="C45" s="17">
        <f>Assumptions!$C$128</f>
        <v/>
      </c>
      <c r="D45" s="17">
        <f>Assumptions!$C$128</f>
        <v/>
      </c>
      <c r="E45" s="17">
        <f>Assumptions!$C$128</f>
        <v/>
      </c>
      <c r="F45" s="17">
        <f>Assumptions!$C$128</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4" t="inlineStr">
        <is>
          <t>Net working capital</t>
        </is>
      </c>
      <c r="B49" s="39">
        <f>B46+B47-B48</f>
        <v/>
      </c>
      <c r="C49" s="39">
        <f>C46+C47-C48</f>
        <v/>
      </c>
      <c r="D49" s="39">
        <f>D46+D47-D48</f>
        <v/>
      </c>
      <c r="E49" s="39">
        <f>E46+E47-E48</f>
        <v/>
      </c>
      <c r="F49" s="39">
        <f>F46+F47-F48</f>
        <v/>
      </c>
    </row>
    <row r="50">
      <c r="A50" s="34" t="inlineStr">
        <is>
          <t>Change in net working capital</t>
        </is>
      </c>
      <c r="B50" s="35">
        <f>B49-Assumptions!$C$129</f>
        <v/>
      </c>
      <c r="C50" s="35">
        <f>C49-B49</f>
        <v/>
      </c>
      <c r="D50" s="35">
        <f>D49-C49</f>
        <v/>
      </c>
      <c r="E50" s="35">
        <f>E49-D49</f>
        <v/>
      </c>
      <c r="F50" s="35">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 — including the deferred consideration and the price of the vessels bought on 7 August 2026</t>
        </is>
      </c>
      <c r="B53" s="18">
        <f>Assumptions!$C$150+Assumptions!$C$151+Assumptions!$C$82</f>
        <v/>
      </c>
      <c r="C53" s="33">
        <f>B62</f>
        <v/>
      </c>
      <c r="D53" s="33">
        <f>C62</f>
        <v/>
      </c>
      <c r="E53" s="33">
        <f>D62</f>
        <v/>
      </c>
      <c r="F53" s="33">
        <f>E62</f>
        <v/>
      </c>
    </row>
    <row r="54">
      <c r="A54" s="6" t="inlineStr">
        <is>
          <t>Gross borrowings — opening net debt plus the cash held</t>
        </is>
      </c>
      <c r="B54" s="33">
        <f>B53+Assumptions!$C$159</f>
        <v/>
      </c>
      <c r="C54" s="33">
        <f>C53+Assumptions!$C$159</f>
        <v/>
      </c>
      <c r="D54" s="33">
        <f>D53+Assumptions!$C$159</f>
        <v/>
      </c>
      <c r="E54" s="33">
        <f>E53+Assumptions!$C$159</f>
        <v/>
      </c>
      <c r="F54" s="33">
        <f>F53+Assumptions!$C$159</f>
        <v/>
      </c>
    </row>
    <row r="55">
      <c r="A55" s="6" t="inlineStr">
        <is>
          <t>Interest charge on gross borrowings</t>
        </is>
      </c>
      <c r="B55" s="33">
        <f>DCF!$C$92*B54</f>
        <v/>
      </c>
      <c r="C55" s="33">
        <f>DCF!$C$92*C54</f>
        <v/>
      </c>
      <c r="D55" s="33">
        <f>DCF!$C$92*D54</f>
        <v/>
      </c>
      <c r="E55" s="33">
        <f>DCF!$C$92*E54</f>
        <v/>
      </c>
      <c r="F55" s="33">
        <f>DCF!$C$92*F54</f>
        <v/>
      </c>
    </row>
    <row r="56">
      <c r="A56" s="6" t="inlineStr">
        <is>
          <t>Free cash flow to the firm</t>
        </is>
      </c>
      <c r="B56" s="18">
        <f>DCF!B15</f>
        <v/>
      </c>
      <c r="C56" s="18">
        <f>DCF!C15</f>
        <v/>
      </c>
      <c r="D56" s="18">
        <f>DCF!D15</f>
        <v/>
      </c>
      <c r="E56" s="18">
        <f>DCF!E15</f>
        <v/>
      </c>
      <c r="F56" s="18">
        <f>DCF!F15</f>
        <v/>
      </c>
    </row>
    <row r="57">
      <c r="A57" s="6" t="inlineStr">
        <is>
          <t>Less interest after tax</t>
        </is>
      </c>
      <c r="B57" s="33">
        <f>-B55*(1-Assumptions!$C$21)</f>
        <v/>
      </c>
      <c r="C57" s="33">
        <f>-C55*(1-Assumptions!$C$21)</f>
        <v/>
      </c>
      <c r="D57" s="33">
        <f>-D55*(1-Assumptions!$C$21)</f>
        <v/>
      </c>
      <c r="E57" s="33">
        <f>-E55*(1-Assumptions!$C$21)</f>
        <v/>
      </c>
      <c r="F57" s="33">
        <f>-F55*(1-Assumptions!$C$21)</f>
        <v/>
      </c>
    </row>
    <row r="58">
      <c r="A58" s="6" t="inlineStr">
        <is>
          <t>Plus finance income after tax</t>
        </is>
      </c>
      <c r="B58" s="33">
        <f>Assumptions!$C$24*Assumptions!$C$159*(1-Assumptions!$C$21)</f>
        <v/>
      </c>
      <c r="C58" s="33">
        <f>Assumptions!$C$24*Assumptions!$C$159*(1-Assumptions!$C$21)</f>
        <v/>
      </c>
      <c r="D58" s="33">
        <f>Assumptions!$C$24*Assumptions!$C$159*(1-Assumptions!$C$21)</f>
        <v/>
      </c>
      <c r="E58" s="33">
        <f>Assumptions!$C$24*Assumptions!$C$159*(1-Assumptions!$C$21)</f>
        <v/>
      </c>
      <c r="F58" s="33">
        <f>Assumptions!$C$24*Assumptions!$C$159*(1-Assumptions!$C$21)</f>
        <v/>
      </c>
    </row>
    <row r="59">
      <c r="A59" s="6" t="inlineStr">
        <is>
          <t>Less perpetual capital securities coupon</t>
        </is>
      </c>
      <c r="B59" s="33">
        <f>-Assumptions!$C$152*(Assumptions!$C$24+Assumptions!$C$153)</f>
        <v/>
      </c>
      <c r="C59" s="33">
        <f>-Assumptions!$C$152*(Assumptions!$C$24+Assumptions!$C$153)</f>
        <v/>
      </c>
      <c r="D59" s="33">
        <f>-Assumptions!$C$152*(Assumptions!$C$24+Assumptions!$C$153)</f>
        <v/>
      </c>
      <c r="E59" s="33">
        <f>-Assumptions!$C$152*(Assumptions!$C$24+Assumptions!$C$153)</f>
        <v/>
      </c>
      <c r="F59" s="33">
        <f>-Assumptions!$C$152*(Assumptions!$C$24+Assumptions!$C$153)</f>
        <v/>
      </c>
    </row>
    <row r="60">
      <c r="A60" s="34" t="inlineStr">
        <is>
          <t>Free cash flow to equity</t>
        </is>
      </c>
      <c r="B60" s="35">
        <f>B56+B57+B58+B59</f>
        <v/>
      </c>
      <c r="C60" s="35">
        <f>C56+C57+C58+C59</f>
        <v/>
      </c>
      <c r="D60" s="35">
        <f>D56+D57+D58+D59</f>
        <v/>
      </c>
      <c r="E60" s="35">
        <f>E56+E57+E58+E59</f>
        <v/>
      </c>
      <c r="F60" s="35">
        <f>F56+F57+F58+F59</f>
        <v/>
      </c>
    </row>
    <row r="61">
      <c r="A61" s="6" t="inlineStr">
        <is>
          <t>Less ordinary dividends</t>
        </is>
      </c>
      <c r="B61" s="33">
        <f>-Assumptions!$C$162*(1+Assumptions!$C$163)^0</f>
        <v/>
      </c>
      <c r="C61" s="33">
        <f>-Assumptions!$C$162*(1+Assumptions!$C$163)^1</f>
        <v/>
      </c>
      <c r="D61" s="33">
        <f>-Assumptions!$C$162*(1+Assumptions!$C$163)^2</f>
        <v/>
      </c>
      <c r="E61" s="33">
        <f>-Assumptions!$C$162*(1+Assumptions!$C$163)^3</f>
        <v/>
      </c>
      <c r="F61" s="33">
        <f>-Assumptions!$C$162*(1+Assumptions!$C$163)^4</f>
        <v/>
      </c>
    </row>
    <row r="62">
      <c r="A62" s="14" t="inlineStr">
        <is>
          <t>Closing net debt</t>
        </is>
      </c>
      <c r="B62" s="39">
        <f>B53-B60-B61</f>
        <v/>
      </c>
      <c r="C62" s="39">
        <f>C53-C60-C61</f>
        <v/>
      </c>
      <c r="D62" s="39">
        <f>D53-D60-D61</f>
        <v/>
      </c>
      <c r="E62" s="39">
        <f>E53-E60-E61</f>
        <v/>
      </c>
      <c r="F62" s="39">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Assumptions!$C$158</f>
        <v/>
      </c>
      <c r="C65" s="33">
        <f>B69</f>
        <v/>
      </c>
      <c r="D65" s="33">
        <f>C69</f>
        <v/>
      </c>
      <c r="E65" s="33">
        <f>D69</f>
        <v/>
      </c>
      <c r="F65" s="33">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4" t="inlineStr">
        <is>
          <t>Closing equity attributable to shareholders</t>
        </is>
      </c>
      <c r="B69" s="39">
        <f>B65+B66+B67+B68</f>
        <v/>
      </c>
      <c r="C69" s="39">
        <f>C65+C66+C67+C68</f>
        <v/>
      </c>
      <c r="D69" s="39">
        <f>D65+D66+D67+D68</f>
        <v/>
      </c>
      <c r="E69" s="39">
        <f>E65+E66+E67+E68</f>
        <v/>
      </c>
      <c r="F69" s="39">
        <f>F65+F66+F67+F68</f>
        <v/>
      </c>
    </row>
    <row r="70">
      <c r="A70" s="6" t="inlineStr">
        <is>
          <t>Ordinary dividend per share (USD)</t>
        </is>
      </c>
      <c r="B70" s="47">
        <f>-B67/Assumptions!$C$6/1000</f>
        <v/>
      </c>
      <c r="C70" s="47">
        <f>-C67/Assumptions!$C$6/1000</f>
        <v/>
      </c>
      <c r="D70" s="47">
        <f>-D67/Assumptions!$C$6/1000</f>
        <v/>
      </c>
      <c r="E70" s="47">
        <f>-E67/Assumptions!$C$6/1000</f>
        <v/>
      </c>
      <c r="F70" s="47">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3" t="inlineStr">
        <is>
          <t>-</t>
        </is>
      </c>
      <c r="F6" s="33" t="inlineStr">
        <is>
          <t>-</t>
        </is>
      </c>
      <c r="G6" s="33" t="inlineStr">
        <is>
          <t>-</t>
        </is>
      </c>
      <c r="H6" s="33" t="inlineStr">
        <is>
          <t>-</t>
        </is>
      </c>
      <c r="I6" s="33"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9">
        <f>B6+B7</f>
        <v/>
      </c>
      <c r="C8" s="39">
        <f>C6+C7</f>
        <v/>
      </c>
      <c r="D8" s="39">
        <f>D6+D7</f>
        <v/>
      </c>
      <c r="E8" s="39" t="inlineStr">
        <is>
          <t>-</t>
        </is>
      </c>
      <c r="F8" s="39" t="inlineStr">
        <is>
          <t>-</t>
        </is>
      </c>
      <c r="G8" s="39" t="inlineStr">
        <is>
          <t>-</t>
        </is>
      </c>
      <c r="H8" s="39" t="inlineStr">
        <is>
          <t>-</t>
        </is>
      </c>
      <c r="I8" s="39"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3" t="inlineStr">
        <is>
          <t>-</t>
        </is>
      </c>
      <c r="C11" s="33" t="inlineStr">
        <is>
          <t>-</t>
        </is>
      </c>
      <c r="D11" s="33" t="inlineStr">
        <is>
          <t>-</t>
        </is>
      </c>
      <c r="E11" s="18">
        <f>DCF!B11</f>
        <v/>
      </c>
      <c r="F11" s="18">
        <f>DCF!C11</f>
        <v/>
      </c>
      <c r="G11" s="18">
        <f>DCF!D11</f>
        <v/>
      </c>
      <c r="H11" s="18">
        <f>DCF!E11</f>
        <v/>
      </c>
      <c r="I11" s="18">
        <f>DCF!F11</f>
        <v/>
      </c>
    </row>
    <row r="12">
      <c r="A12" s="6" t="inlineStr">
        <is>
          <t>Add back depreciation and amortisation</t>
        </is>
      </c>
      <c r="B12" s="33" t="inlineStr">
        <is>
          <t>-</t>
        </is>
      </c>
      <c r="C12" s="33" t="inlineStr">
        <is>
          <t>-</t>
        </is>
      </c>
      <c r="D12" s="33" t="inlineStr">
        <is>
          <t>-</t>
        </is>
      </c>
      <c r="E12" s="18">
        <f>DCF!B12</f>
        <v/>
      </c>
      <c r="F12" s="18">
        <f>DCF!C12</f>
        <v/>
      </c>
      <c r="G12" s="18">
        <f>DCF!D12</f>
        <v/>
      </c>
      <c r="H12" s="18">
        <f>DCF!E12</f>
        <v/>
      </c>
      <c r="I12" s="18">
        <f>DCF!F12</f>
        <v/>
      </c>
    </row>
    <row r="13">
      <c r="A13" s="6" t="inlineStr">
        <is>
          <t>Less capital expenditure</t>
        </is>
      </c>
      <c r="B13" s="33" t="inlineStr">
        <is>
          <t>-</t>
        </is>
      </c>
      <c r="C13" s="33" t="inlineStr">
        <is>
          <t>-</t>
        </is>
      </c>
      <c r="D13" s="33" t="inlineStr">
        <is>
          <t>-</t>
        </is>
      </c>
      <c r="E13" s="18">
        <f>DCF!B13</f>
        <v/>
      </c>
      <c r="F13" s="18">
        <f>DCF!C13</f>
        <v/>
      </c>
      <c r="G13" s="18">
        <f>DCF!D13</f>
        <v/>
      </c>
      <c r="H13" s="18">
        <f>DCF!E13</f>
        <v/>
      </c>
      <c r="I13" s="18">
        <f>DCF!F13</f>
        <v/>
      </c>
    </row>
    <row r="14">
      <c r="A14" s="6" t="inlineStr">
        <is>
          <t>Less change in working capital</t>
        </is>
      </c>
      <c r="B14" s="33" t="inlineStr">
        <is>
          <t>-</t>
        </is>
      </c>
      <c r="C14" s="33" t="inlineStr">
        <is>
          <t>-</t>
        </is>
      </c>
      <c r="D14" s="33" t="inlineStr">
        <is>
          <t>-</t>
        </is>
      </c>
      <c r="E14" s="18">
        <f>DCF!B14</f>
        <v/>
      </c>
      <c r="F14" s="18">
        <f>DCF!C14</f>
        <v/>
      </c>
      <c r="G14" s="18">
        <f>DCF!D14</f>
        <v/>
      </c>
      <c r="H14" s="18">
        <f>DCF!E14</f>
        <v/>
      </c>
      <c r="I14" s="18">
        <f>DCF!F14</f>
        <v/>
      </c>
    </row>
    <row r="15">
      <c r="A15" s="14" t="inlineStr">
        <is>
          <t>Free cash flow to the firm</t>
        </is>
      </c>
      <c r="B15" s="39" t="inlineStr">
        <is>
          <t>-</t>
        </is>
      </c>
      <c r="C15" s="39" t="inlineStr">
        <is>
          <t>-</t>
        </is>
      </c>
      <c r="D15" s="39" t="inlineStr">
        <is>
          <t>-</t>
        </is>
      </c>
      <c r="E15" s="39">
        <f>E11+E12+E13+E14</f>
        <v/>
      </c>
      <c r="F15" s="39">
        <f>F11+F12+F13+F14</f>
        <v/>
      </c>
      <c r="G15" s="39">
        <f>G11+G12+G13+G14</f>
        <v/>
      </c>
      <c r="H15" s="39">
        <f>H11+H12+H13+H14</f>
        <v/>
      </c>
      <c r="I15" s="39">
        <f>I11+I12+I13+I14</f>
        <v/>
      </c>
    </row>
    <row r="16">
      <c r="A16" s="6" t="inlineStr">
        <is>
          <t>Less interest after tax</t>
        </is>
      </c>
      <c r="B16" s="33" t="inlineStr">
        <is>
          <t>-</t>
        </is>
      </c>
      <c r="C16" s="33" t="inlineStr">
        <is>
          <t>-</t>
        </is>
      </c>
      <c r="D16" s="33" t="inlineStr">
        <is>
          <t>-</t>
        </is>
      </c>
      <c r="E16" s="18">
        <f>'Balance Sheet'!B57</f>
        <v/>
      </c>
      <c r="F16" s="18">
        <f>'Balance Sheet'!C57</f>
        <v/>
      </c>
      <c r="G16" s="18">
        <f>'Balance Sheet'!D57</f>
        <v/>
      </c>
      <c r="H16" s="18">
        <f>'Balance Sheet'!E57</f>
        <v/>
      </c>
      <c r="I16" s="18">
        <f>'Balance Sheet'!F57</f>
        <v/>
      </c>
    </row>
    <row r="17">
      <c r="A17" s="6" t="inlineStr">
        <is>
          <t>Plus finance income after tax</t>
        </is>
      </c>
      <c r="B17" s="33" t="inlineStr">
        <is>
          <t>-</t>
        </is>
      </c>
      <c r="C17" s="33" t="inlineStr">
        <is>
          <t>-</t>
        </is>
      </c>
      <c r="D17" s="33"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3" t="inlineStr">
        <is>
          <t>-</t>
        </is>
      </c>
      <c r="C18" s="33" t="inlineStr">
        <is>
          <t>-</t>
        </is>
      </c>
      <c r="D18" s="33" t="inlineStr">
        <is>
          <t>-</t>
        </is>
      </c>
      <c r="E18" s="18">
        <f>'Balance Sheet'!B59</f>
        <v/>
      </c>
      <c r="F18" s="18">
        <f>'Balance Sheet'!C59</f>
        <v/>
      </c>
      <c r="G18" s="18">
        <f>'Balance Sheet'!D59</f>
        <v/>
      </c>
      <c r="H18" s="18">
        <f>'Balance Sheet'!E59</f>
        <v/>
      </c>
      <c r="I18" s="18">
        <f>'Balance Sheet'!F59</f>
        <v/>
      </c>
    </row>
    <row r="19">
      <c r="A19" s="14" t="inlineStr">
        <is>
          <t>Free cash flow to equity</t>
        </is>
      </c>
      <c r="B19" s="39" t="inlineStr">
        <is>
          <t>-</t>
        </is>
      </c>
      <c r="C19" s="39" t="inlineStr">
        <is>
          <t>-</t>
        </is>
      </c>
      <c r="D19" s="39" t="inlineStr">
        <is>
          <t>-</t>
        </is>
      </c>
      <c r="E19" s="39">
        <f>E15+E16+E17+E18</f>
        <v/>
      </c>
      <c r="F19" s="39">
        <f>F15+F16+F17+F18</f>
        <v/>
      </c>
      <c r="G19" s="39">
        <f>G15+G16+G17+G18</f>
        <v/>
      </c>
      <c r="H19" s="39">
        <f>H15+H16+H17+H18</f>
        <v/>
      </c>
      <c r="I19" s="39">
        <f>I15+I16+I17+I18</f>
        <v/>
      </c>
    </row>
    <row r="20">
      <c r="A20" s="6" t="inlineStr">
        <is>
          <t>Less ordinary dividends</t>
        </is>
      </c>
      <c r="B20" s="33" t="inlineStr">
        <is>
          <t>-</t>
        </is>
      </c>
      <c r="C20" s="33" t="inlineStr">
        <is>
          <t>-</t>
        </is>
      </c>
      <c r="D20" s="33"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52">
        <f>'Income Statement'!B32</f>
        <v/>
      </c>
      <c r="C13" s="52">
        <f>'Income Statement'!C32</f>
        <v/>
      </c>
      <c r="D13" s="52">
        <f>'Income Statement'!D32</f>
        <v/>
      </c>
      <c r="E13" s="52">
        <f>'Income Statement'!E32</f>
        <v/>
      </c>
      <c r="F13" s="52">
        <f>'Income Statement'!F32</f>
        <v/>
      </c>
      <c r="G13" s="52">
        <f>'Income Statement'!G32</f>
        <v/>
      </c>
      <c r="H13" s="52">
        <f>'Income Statement'!H32</f>
        <v/>
      </c>
      <c r="I13" s="52">
        <f>'Income Statement'!I32</f>
        <v/>
      </c>
    </row>
    <row r="14">
      <c r="A14" s="6" t="inlineStr">
        <is>
          <t>Free cash flow to the firm</t>
        </is>
      </c>
      <c r="B14" s="33" t="inlineStr">
        <is>
          <t>-</t>
        </is>
      </c>
      <c r="C14" s="33" t="inlineStr">
        <is>
          <t>-</t>
        </is>
      </c>
      <c r="D14" s="33"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42">
        <f>'Balance Sheet'!B23</f>
        <v/>
      </c>
      <c r="C20" s="42">
        <f>'Balance Sheet'!C23</f>
        <v/>
      </c>
      <c r="D20" s="42">
        <f>'Balance Sheet'!D23</f>
        <v/>
      </c>
      <c r="E20" s="42">
        <f>'Balance Sheet'!E23</f>
        <v/>
      </c>
      <c r="F20" s="42">
        <f>'Balance Sheet'!F23</f>
        <v/>
      </c>
      <c r="G20" s="42">
        <f>'Balance Sheet'!G23</f>
        <v/>
      </c>
      <c r="H20" s="42">
        <f>'Balance Sheet'!H23</f>
        <v/>
      </c>
      <c r="I20" s="42">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53" t="inlineStr">
        <is>
          <t>2026-08-07</t>
        </is>
      </c>
    </row>
    <row r="19">
      <c r="A19" s="6" t="inlineStr">
        <is>
          <t>Calibration verdict on the five-year walk-forward</t>
        </is>
      </c>
      <c r="C19" s="53"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8.374944338037677</v>
      </c>
      <c r="C6" s="21" t="n">
        <v>8.822531851772526</v>
      </c>
      <c r="D6" s="21" t="n">
        <v>9.370468800365373</v>
      </c>
      <c r="E6" s="21" t="n">
        <v>10.05887125454404</v>
      </c>
    </row>
    <row r="7">
      <c r="A7" s="6" t="inlineStr">
        <is>
          <t>0.900</t>
        </is>
      </c>
      <c r="B7" s="21" t="n">
        <v>7.070580934793161</v>
      </c>
      <c r="C7" s="21" t="n">
        <v>7.354128948659886</v>
      </c>
      <c r="D7" s="21" t="n">
        <v>7.690219368556742</v>
      </c>
      <c r="E7" s="21" t="n">
        <v>8.096318366520435</v>
      </c>
    </row>
    <row r="8">
      <c r="A8" s="6" t="inlineStr">
        <is>
          <t>1.103</t>
        </is>
      </c>
      <c r="B8" s="21" t="n">
        <v>6.020153084134909</v>
      </c>
      <c r="C8" s="21" t="n">
        <v>6.198777837752638</v>
      </c>
      <c r="D8" s="21" t="n">
        <v>6.404817896532908</v>
      </c>
      <c r="E8" s="21" t="n">
        <v>6.646025779733348</v>
      </c>
    </row>
    <row r="9">
      <c r="A9" s="6" t="inlineStr">
        <is>
          <t>1.350</t>
        </is>
      </c>
      <c r="B9" s="21" t="n">
        <v>5.031072269544037</v>
      </c>
      <c r="C9" s="21" t="n">
        <v>5.132117653317763</v>
      </c>
      <c r="D9" s="21" t="n">
        <v>5.245334010186813</v>
      </c>
      <c r="E9" s="21" t="n">
        <v>5.373634668456338</v>
      </c>
    </row>
    <row r="10">
      <c r="A10" s="6" t="inlineStr">
        <is>
          <t>1.621</t>
        </is>
      </c>
      <c r="B10" s="21" t="n">
        <v>4.192019140583034</v>
      </c>
      <c r="C10" s="21" t="n">
        <v>4.242712935566582</v>
      </c>
      <c r="D10" s="21" t="n">
        <v>4.297604675716044</v>
      </c>
      <c r="E10" s="21" t="n">
        <v>4.357554251269803</v>
      </c>
    </row>
    <row r="11">
      <c r="A11" s="4" t="inlineStr">
        <is>
          <t>The beta rows are not evenly spaced round numbers. They span the two index constructions and the interval around the adopted one: 0.705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6.40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5.380506785289913</v>
      </c>
      <c r="C14" s="21" t="n">
        <v>5.892662340911411</v>
      </c>
      <c r="D14" s="21" t="n">
        <v>6.404817896532908</v>
      </c>
      <c r="E14" s="21" t="n">
        <v>6.916973452154407</v>
      </c>
      <c r="F14" s="21" t="n">
        <v>7.429129007775901</v>
      </c>
    </row>
    <row r="15">
      <c r="A15" s="6" t="inlineStr">
        <is>
          <t>Swing across the grid</t>
        </is>
      </c>
      <c r="C15" s="9">
        <f>MAX(B14:F14)-MIN(B14:F14)</f>
        <v/>
      </c>
    </row>
    <row r="16">
      <c r="A16" s="4" t="inlineStr">
        <is>
          <t>This row and the one below it are re-runs of the whole model at the same 8.56% cost of capital the valuation uses, so the 1.00x cell reproduces the published AED 6.40 exactly and the swing across the row is a clean read of what that single driver is worth.</t>
        </is>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6.81087218594573</v>
      </c>
      <c r="C19" s="21" t="n">
        <v>6.404817896532908</v>
      </c>
      <c r="D19" s="21" t="n">
        <v>5.998763607120084</v>
      </c>
      <c r="E19" s="21" t="n">
        <v>5.592709317707262</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6.315163657148892</v>
      </c>
      <c r="C24" s="21" t="n">
        <v>5.868212089093989</v>
      </c>
      <c r="D24" s="21" t="n">
        <v>5.197784737011633</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Segments!B92</f>
        <v/>
      </c>
      <c r="C31" s="18">
        <f>Segments!C92</f>
        <v/>
      </c>
      <c r="D31" s="18">
        <f>Segments!D92</f>
        <v/>
      </c>
      <c r="E31" s="18">
        <f>Segments!E92</f>
        <v/>
      </c>
      <c r="F31" s="18">
        <f>Segments!F92</f>
        <v/>
      </c>
    </row>
    <row r="32">
      <c r="A32" s="6" t="inlineStr">
        <is>
          <t>The study's 2027 path over the one-year time charter</t>
        </is>
      </c>
      <c r="C32" s="40">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7">
        <f>'Income Statement'!B31</f>
        <v/>
      </c>
      <c r="C5" s="47">
        <f>'Income Statement'!C31</f>
        <v/>
      </c>
      <c r="D5" s="47">
        <f>'Income Statement'!D31</f>
        <v/>
      </c>
      <c r="E5" s="47">
        <f>'Income Statement'!E31</f>
        <v/>
      </c>
      <c r="F5" s="47">
        <f>'Income Statement'!F31</f>
        <v/>
      </c>
      <c r="G5" s="47">
        <f>'Income Statement'!G31</f>
        <v/>
      </c>
      <c r="H5" s="47">
        <f>'Income Statement'!H31</f>
        <v/>
      </c>
      <c r="I5" s="47">
        <f>'Income Statement'!I31</f>
        <v/>
      </c>
    </row>
    <row r="6">
      <c r="A6" s="6" t="inlineStr">
        <is>
          <t>Earnings per ordinary share (AED)</t>
        </is>
      </c>
      <c r="B6" s="47">
        <f>'Income Statement'!B32</f>
        <v/>
      </c>
      <c r="C6" s="47">
        <f>'Income Statement'!C32</f>
        <v/>
      </c>
      <c r="D6" s="47">
        <f>'Income Statement'!D32</f>
        <v/>
      </c>
      <c r="E6" s="47">
        <f>'Income Statement'!E32</f>
        <v/>
      </c>
      <c r="F6" s="47">
        <f>'Income Statement'!F32</f>
        <v/>
      </c>
      <c r="G6" s="47">
        <f>'Income Statement'!G32</f>
        <v/>
      </c>
      <c r="H6" s="47">
        <f>'Income Statement'!H32</f>
        <v/>
      </c>
      <c r="I6" s="47">
        <f>'Income Statement'!I32</f>
        <v/>
      </c>
    </row>
    <row r="7">
      <c r="A7" s="6" t="inlineStr">
        <is>
          <t>Attributable profit per share (AED, before the perpetual coupon)</t>
        </is>
      </c>
      <c r="B7" s="47">
        <f>'Income Statement'!B28/Assumptions!$C$6/1000*Assumptions!$C$7</f>
        <v/>
      </c>
      <c r="C7" s="47">
        <f>'Income Statement'!C28/Assumptions!$C$6/1000*Assumptions!$C$7</f>
        <v/>
      </c>
      <c r="D7" s="47">
        <f>'Income Statement'!D28/Assumptions!$C$6/1000*Assumptions!$C$7</f>
        <v/>
      </c>
      <c r="E7" s="47">
        <f>'Income Statement'!E28/Assumptions!$C$6/1000*Assumptions!$C$7</f>
        <v/>
      </c>
      <c r="F7" s="47">
        <f>'Income Statement'!F28/Assumptions!$C$6/1000*Assumptions!$C$7</f>
        <v/>
      </c>
      <c r="G7" s="47">
        <f>'Income Statement'!G28/Assumptions!$C$6/1000*Assumptions!$C$7</f>
        <v/>
      </c>
      <c r="H7" s="47">
        <f>'Income Statement'!H28/Assumptions!$C$6/1000*Assumptions!$C$7</f>
        <v/>
      </c>
      <c r="I7" s="47">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7" t="inlineStr">
        <is>
          <t>-</t>
        </is>
      </c>
      <c r="C9" s="47" t="inlineStr">
        <is>
          <t>-</t>
        </is>
      </c>
      <c r="D9" s="47" t="inlineStr">
        <is>
          <t>-</t>
        </is>
      </c>
      <c r="E9" s="47">
        <f>'Cash Flow'!E15/Assumptions!$C$6/1000*Assumptions!$C$7</f>
        <v/>
      </c>
      <c r="F9" s="47">
        <f>'Cash Flow'!F15/Assumptions!$C$6/1000*Assumptions!$C$7</f>
        <v/>
      </c>
      <c r="G9" s="47">
        <f>'Cash Flow'!G15/Assumptions!$C$6/1000*Assumptions!$C$7</f>
        <v/>
      </c>
      <c r="H9" s="47">
        <f>'Cash Flow'!H15/Assumptions!$C$6/1000*Assumptions!$C$7</f>
        <v/>
      </c>
      <c r="I9" s="47">
        <f>'Cash Flow'!I15/Assumptions!$C$6/1000*Assumptions!$C$7</f>
        <v/>
      </c>
    </row>
    <row r="10">
      <c r="A10" s="6" t="inlineStr">
        <is>
          <t>Ordinary dividend per share (AED)</t>
        </is>
      </c>
      <c r="B10" s="47" t="inlineStr">
        <is>
          <t>-</t>
        </is>
      </c>
      <c r="C10" s="47" t="inlineStr">
        <is>
          <t>-</t>
        </is>
      </c>
      <c r="D10" s="47" t="inlineStr">
        <is>
          <t>-</t>
        </is>
      </c>
      <c r="E10" s="47">
        <f>'Balance Sheet'!B70*Assumptions!$C$7</f>
        <v/>
      </c>
      <c r="F10" s="47">
        <f>'Balance Sheet'!C70*Assumptions!$C$7</f>
        <v/>
      </c>
      <c r="G10" s="47">
        <f>'Balance Sheet'!D70*Assumptions!$C$7</f>
        <v/>
      </c>
      <c r="H10" s="47">
        <f>'Balance Sheet'!E70*Assumptions!$C$7</f>
        <v/>
      </c>
      <c r="I10" s="47">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0">
        <f>'Balance Sheet'!B23</f>
        <v/>
      </c>
      <c r="C18" s="40">
        <f>'Balance Sheet'!C23</f>
        <v/>
      </c>
      <c r="D18" s="40">
        <f>'Balance Sheet'!D23</f>
        <v/>
      </c>
      <c r="E18" s="40">
        <f>'Balance Sheet'!E23</f>
        <v/>
      </c>
      <c r="F18" s="40">
        <f>'Balance Sheet'!F23</f>
        <v/>
      </c>
      <c r="G18" s="40">
        <f>'Balance Sheet'!G23</f>
        <v/>
      </c>
      <c r="H18" s="40">
        <f>'Balance Sheet'!H23</f>
        <v/>
      </c>
      <c r="I18" s="40">
        <f>'Balance Sheet'!I23</f>
        <v/>
      </c>
    </row>
    <row r="19">
      <c r="A19" s="6" t="inlineStr">
        <is>
          <t>Interest cover (EBIT over finance costs)</t>
        </is>
      </c>
      <c r="B19" s="40">
        <f>-'Income Statement'!B12/'Income Statement'!B23</f>
        <v/>
      </c>
      <c r="C19" s="40">
        <f>-'Income Statement'!C12/'Income Statement'!C23</f>
        <v/>
      </c>
      <c r="D19" s="40">
        <f>-'Income Statement'!D12/'Income Statement'!D23</f>
        <v/>
      </c>
      <c r="E19" s="40">
        <f>-'Income Statement'!E12/'Income Statement'!E23</f>
        <v/>
      </c>
      <c r="F19" s="40">
        <f>-'Income Statement'!F12/'Income Statement'!F23</f>
        <v/>
      </c>
      <c r="G19" s="40">
        <f>-'Income Statement'!G12/'Income Statement'!G23</f>
        <v/>
      </c>
      <c r="H19" s="40">
        <f>-'Income Statement'!H12/'Income Statement'!H23</f>
        <v/>
      </c>
      <c r="I19" s="40">
        <f>-'Income Statement'!I12/'Income Statement'!I23</f>
        <v/>
      </c>
    </row>
    <row r="20">
      <c r="A20" s="6" t="inlineStr">
        <is>
          <t>Days sales outstanding</t>
        </is>
      </c>
      <c r="B20" s="36">
        <f>'Balance Sheet'!B12/'Income Statement'!B5*365</f>
        <v/>
      </c>
      <c r="C20" s="36">
        <f>'Balance Sheet'!C12/'Income Statement'!C5*365</f>
        <v/>
      </c>
      <c r="D20" s="36">
        <f>'Balance Sheet'!D12/'Income Statement'!D5*365</f>
        <v/>
      </c>
      <c r="E20" s="36">
        <f>'Balance Sheet'!E12/'Income Statement'!E5*365</f>
        <v/>
      </c>
      <c r="F20" s="36">
        <f>'Balance Sheet'!F12/'Income Statement'!F5*365</f>
        <v/>
      </c>
      <c r="G20" s="36">
        <f>'Balance Sheet'!G12/'Income Statement'!G5*365</f>
        <v/>
      </c>
      <c r="H20" s="36">
        <f>'Balance Sheet'!H12/'Income Statement'!H5*365</f>
        <v/>
      </c>
      <c r="I20" s="36">
        <f>'Balance Sheet'!I12/'Income Statement'!I5*365</f>
        <v/>
      </c>
    </row>
    <row r="21">
      <c r="A21" s="6" t="inlineStr">
        <is>
          <t>Days inventory outstanding</t>
        </is>
      </c>
      <c r="B21" s="36">
        <f>'Balance Sheet'!B11/'Income Statement'!B17*365</f>
        <v/>
      </c>
      <c r="C21" s="36">
        <f>'Balance Sheet'!C11/'Income Statement'!C17*365</f>
        <v/>
      </c>
      <c r="D21" s="36">
        <f>'Balance Sheet'!D11/'Income Statement'!D17*365</f>
        <v/>
      </c>
      <c r="E21" s="36">
        <f>'Balance Sheet'!E11/'Income Statement'!E17*365</f>
        <v/>
      </c>
      <c r="F21" s="36">
        <f>'Balance Sheet'!F11/'Income Statement'!F17*365</f>
        <v/>
      </c>
      <c r="G21" s="36">
        <f>'Balance Sheet'!G11/'Income Statement'!G17*365</f>
        <v/>
      </c>
      <c r="H21" s="36">
        <f>'Balance Sheet'!H11/'Income Statement'!H17*365</f>
        <v/>
      </c>
      <c r="I21" s="36">
        <f>'Balance Sheet'!I11/'Income Statement'!I17*365</f>
        <v/>
      </c>
    </row>
    <row r="22">
      <c r="A22" s="6" t="inlineStr">
        <is>
          <t>Days payable outstanding</t>
        </is>
      </c>
      <c r="B22" s="36">
        <f>'Balance Sheet'!B15/'Income Statement'!B17*365</f>
        <v/>
      </c>
      <c r="C22" s="36">
        <f>'Balance Sheet'!C15/'Income Statement'!C17*365</f>
        <v/>
      </c>
      <c r="D22" s="36">
        <f>'Balance Sheet'!D15/'Income Statement'!D17*365</f>
        <v/>
      </c>
      <c r="E22" s="36">
        <f>'Balance Sheet'!E15/'Income Statement'!E17*365</f>
        <v/>
      </c>
      <c r="F22" s="36">
        <f>'Balance Sheet'!F15/'Income Statement'!F17*365</f>
        <v/>
      </c>
      <c r="G22" s="36">
        <f>'Balance Sheet'!G15/'Income Statement'!G17*365</f>
        <v/>
      </c>
      <c r="H22" s="36">
        <f>'Balance Sheet'!H15/'Income Statement'!H17*365</f>
        <v/>
      </c>
      <c r="I22" s="36">
        <f>'Balance Sheet'!I15/'Income Statement'!I17*365</f>
        <v/>
      </c>
    </row>
    <row r="23">
      <c r="A23" s="6" t="inlineStr">
        <is>
          <t>Cash conversion cycle (days)</t>
        </is>
      </c>
      <c r="B23" s="36">
        <f>B20+B21-B22</f>
        <v/>
      </c>
      <c r="C23" s="36">
        <f>C20+C21-C22</f>
        <v/>
      </c>
      <c r="D23" s="36">
        <f>D20+D21-D22</f>
        <v/>
      </c>
      <c r="E23" s="36">
        <f>E20+E21-E22</f>
        <v/>
      </c>
      <c r="F23" s="36">
        <f>F20+F21-F22</f>
        <v/>
      </c>
      <c r="G23" s="36">
        <f>G20+G21-G22</f>
        <v/>
      </c>
      <c r="H23" s="36">
        <f>H20+H21-H22</f>
        <v/>
      </c>
      <c r="I23" s="36">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Normalized'!$C$29</f>
        <v/>
      </c>
    </row>
    <row r="29">
      <c r="A29" s="6" t="inlineStr">
        <is>
          <t>Market capitalisation (USD 000)</t>
        </is>
      </c>
      <c r="C29" s="18">
        <f>'Relative &amp; Normalized'!$C$30</f>
        <v/>
      </c>
    </row>
    <row r="30">
      <c r="A30" s="6" t="inlineStr">
        <is>
          <t>Enterprise value (USD 000)</t>
        </is>
      </c>
      <c r="C30" s="18">
        <f>'Relative &amp; Normalized'!$C$32</f>
        <v/>
      </c>
    </row>
    <row r="31">
      <c r="A31" s="6" t="inlineStr">
        <is>
          <t>Enterprise value / 2025 reported EBITDA</t>
        </is>
      </c>
      <c r="C31" s="42">
        <f>'Relative &amp; Normalized'!$C$33</f>
        <v/>
      </c>
    </row>
    <row r="32">
      <c r="A32" s="6" t="inlineStr">
        <is>
          <t>Enterprise value / FY2026E EBITDA</t>
        </is>
      </c>
      <c r="C32" s="42">
        <f>'Relative &amp; Normalized'!$C$34</f>
        <v/>
      </c>
    </row>
    <row r="33">
      <c r="A33" s="6" t="inlineStr">
        <is>
          <t>Price / 2025 ordinary earnings</t>
        </is>
      </c>
      <c r="C33" s="42">
        <f>'Relative &amp; Normalized'!$C$35</f>
        <v/>
      </c>
    </row>
    <row r="34">
      <c r="A34" s="6" t="inlineStr">
        <is>
          <t>Price / book at 31 March 2026</t>
        </is>
      </c>
      <c r="C34" s="42">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54" t="n">
        <v>12.26</v>
      </c>
      <c r="E5" s="54" t="n">
        <v>13.97</v>
      </c>
      <c r="F5" s="54" t="n">
        <v>14.15</v>
      </c>
      <c r="G5" s="54"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54" t="n">
        <v>8.960000000000001</v>
      </c>
      <c r="E6" s="54" t="n">
        <v>6.44</v>
      </c>
      <c r="F6" s="54" t="n">
        <v>9.98</v>
      </c>
      <c r="G6" s="54"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54" t="n">
        <v>8.1</v>
      </c>
      <c r="E7" s="54" t="inlineStr">
        <is>
          <t>n/a</t>
        </is>
      </c>
      <c r="F7" s="54" t="inlineStr">
        <is>
          <t>n/a</t>
        </is>
      </c>
      <c r="G7" s="54"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40">
        <f>D5</f>
        <v/>
      </c>
    </row>
    <row r="11">
      <c r="A11" s="6" t="inlineStr">
        <is>
          <t>Spot-tanker multiple — the two spot owners averaged</t>
        </is>
      </c>
      <c r="C11" s="40">
        <f>(D6+D7)/2</f>
        <v/>
      </c>
    </row>
    <row r="12">
      <c r="A12" s="6" t="inlineStr">
        <is>
          <t>Share of 2026 earnings exposed to spot rates, as disclosed</t>
        </is>
      </c>
      <c r="C12" s="8">
        <f>Assumptions!$C$167</f>
        <v/>
      </c>
    </row>
    <row r="13">
      <c r="A13" s="6" t="inlineStr">
        <is>
          <t>Blended enterprise multiple</t>
        </is>
      </c>
      <c r="C13" s="40">
        <f>(1-C12)*C10+C12*C11</f>
        <v/>
      </c>
    </row>
    <row r="14">
      <c r="A14" s="6" t="inlineStr">
        <is>
          <t>Contracted-shipping forward price/earnings</t>
        </is>
      </c>
      <c r="C14" s="40">
        <f>E5</f>
        <v/>
      </c>
    </row>
    <row r="15">
      <c r="A15" s="6" t="inlineStr">
        <is>
          <t>Spot-tanker forward price/earnings</t>
        </is>
      </c>
      <c r="C15" s="40">
        <f>E6</f>
        <v/>
      </c>
    </row>
    <row r="16">
      <c r="A16" s="6" t="inlineStr">
        <is>
          <t>Blended forward price/earnings — the multiple the relative lens applies to forward earnings</t>
        </is>
      </c>
      <c r="C16" s="40">
        <f>(1-C12)*C14+C12*C15</f>
        <v/>
      </c>
    </row>
    <row r="17">
      <c r="A17" s="6" t="inlineStr">
        <is>
          <t>Contracted-shipping trailing price/earnings</t>
        </is>
      </c>
      <c r="C17" s="40">
        <f>F5</f>
        <v/>
      </c>
    </row>
    <row r="18">
      <c r="A18" s="6" t="inlineStr">
        <is>
          <t>Spot-tanker trailing price/earnings</t>
        </is>
      </c>
      <c r="C18" s="40">
        <f>F6</f>
        <v/>
      </c>
    </row>
    <row r="19">
      <c r="A19" s="6" t="inlineStr">
        <is>
          <t>Blended trailing price/earnings — the same blend on the trailing basis, so the company can be compared with the peers on either basis rather than one against the other</t>
        </is>
      </c>
      <c r="C19" s="40">
        <f>(1-C12)*C17+C12*C18</f>
        <v/>
      </c>
    </row>
    <row r="21">
      <c r="A21" s="11" t="inlineStr">
        <is>
          <t>THE COMPANY'S OWN MULTIPLES AT THE ANCHOR PRICE</t>
        </is>
      </c>
      <c r="B21" s="14" t="n"/>
      <c r="C21" s="14" t="n"/>
      <c r="D21" s="14" t="n"/>
      <c r="E21" s="14" t="n"/>
      <c r="F21" s="14" t="n"/>
      <c r="G21" s="14" t="n"/>
      <c r="H21" s="14" t="n"/>
      <c r="I21" s="14" t="n"/>
      <c r="J21" s="14" t="n"/>
    </row>
    <row r="22">
      <c r="A22" s="6" t="inlineStr">
        <is>
          <t>Enterprise value / 2025 reported EBITDA</t>
        </is>
      </c>
      <c r="C22" s="42">
        <f>'Relative &amp; Normalized'!$C$33</f>
        <v/>
      </c>
    </row>
    <row r="23">
      <c r="A23" s="6" t="inlineStr">
        <is>
          <t>Enterprise value / FY2026E EBITDA</t>
        </is>
      </c>
      <c r="C23" s="42">
        <f>'Relative &amp; Normalized'!$C$34</f>
        <v/>
      </c>
    </row>
    <row r="24">
      <c r="A24" s="6" t="inlineStr">
        <is>
          <t>Price / 2025 ordinary earnings — trailing, against the blended trailing multiple above</t>
        </is>
      </c>
      <c r="C24" s="42">
        <f>'Relative &amp; Normalized'!$C$35</f>
        <v/>
      </c>
    </row>
    <row r="25">
      <c r="A25" s="6" t="inlineStr">
        <is>
          <t>Price / FY2026E ordinary earnings — forward, against the blended forward multiple above</t>
        </is>
      </c>
      <c r="C25" s="42">
        <f>'Relative &amp; Normalized'!$C$36</f>
        <v/>
      </c>
    </row>
    <row r="26">
      <c r="A26" s="6" t="inlineStr">
        <is>
          <t>Price / book at 31 March 2026</t>
        </is>
      </c>
      <c r="C26" s="42">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2026-08-17T23:03:31Z</dcterms:created>
  <dcterms:modified xmlns:dcterms="http://purl.org/dc/terms/" xmlns:xsi="http://www.w3.org/2001/XMLSchema-instance" xsi:type="dcterms:W3CDTF">2026-08-17T23:03:31Z</dcterms:modified>
</cp:coreProperties>
</file>