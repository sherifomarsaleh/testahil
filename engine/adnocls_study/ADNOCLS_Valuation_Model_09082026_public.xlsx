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quot;-&quot;"/>
    <numFmt numFmtId="165" formatCode="#,##0.0;(#,##0.0);&quot;-&quot;"/>
    <numFmt numFmtId="166" formatCode="0.0000"/>
    <numFmt numFmtId="167" formatCode="#,##0;(#,##0);&quot;-&quot;"/>
    <numFmt numFmtId="168" formatCode="0.000"/>
    <numFmt numFmtId="169" formatCode="0.0%;(0.0%);&quot;-&quot;"/>
    <numFmt numFmtId="170" formatCode="0.00x"/>
    <numFmt numFmtId="171"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10"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67" fontId="6" fillId="0" borderId="0" pivotButton="0" quotePrefix="0" xfId="0"/>
    <xf numFmtId="167" fontId="4" fillId="4" borderId="0" pivotButton="0" quotePrefix="0" xfId="0"/>
    <xf numFmtId="170" fontId="6" fillId="0" borderId="0" pivotButton="0" quotePrefix="0" xfId="0"/>
    <xf numFmtId="167" fontId="5" fillId="4" borderId="0" pivotButton="0" quotePrefix="0" xfId="0"/>
    <xf numFmtId="170" fontId="8" fillId="0" borderId="0" pivotButton="0" quotePrefix="0" xfId="0"/>
    <xf numFmtId="167" fontId="5" fillId="0" borderId="0" pivotButton="0" quotePrefix="0" xfId="0"/>
    <xf numFmtId="0" fontId="5" fillId="0" borderId="0" pivotButton="0" quotePrefix="0" xfId="0"/>
    <xf numFmtId="165" fontId="6" fillId="0" borderId="0" pivotButton="0" quotePrefix="0" xfId="0"/>
    <xf numFmtId="2" fontId="8" fillId="0" borderId="0" pivotButton="0" quotePrefix="0" xfId="0"/>
    <xf numFmtId="171" fontId="6" fillId="0" borderId="0" pivotButton="0" quotePrefix="0" xfId="0"/>
    <xf numFmtId="170" fontId="5" fillId="0" borderId="0" pivotButton="0" quotePrefix="0" xfId="0"/>
    <xf numFmtId="10" fontId="6" fillId="0" borderId="0" pivotButton="0" quotePrefix="0" xfId="0"/>
    <xf numFmtId="166" fontId="6" fillId="0" borderId="0" pivotButton="0" quotePrefix="0" xfId="0"/>
    <xf numFmtId="10" fontId="4" fillId="4" borderId="0" pivotButton="0" quotePrefix="0" xfId="0"/>
    <xf numFmtId="171" fontId="8" fillId="0" borderId="0" pivotButton="0" quotePrefix="0" xfId="0"/>
    <xf numFmtId="0" fontId="7" fillId="0" borderId="0" pivotButton="0" quotePrefix="0" xfId="0"/>
    <xf numFmtId="17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8"/>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THREE THINGS ARE PASTED VALUES, and it is worth knowing exactly which.</t>
        </is>
      </c>
    </row>
    <row r="21">
      <c r="A21" s="3" t="inlineStr">
        <is>
          <t xml:space="preserve">  (1) AUDITED AND DISCLOSED HISTORY — the primary record, not a calculation. Where a line is both disclosed</t>
        </is>
      </c>
    </row>
    <row r="22">
      <c r="A22" s="3" t="inlineStr">
        <is>
          <t xml:space="preserve">      and arithmetically derivable, the DISCLOSED figure is carried, because the filing is the record.</t>
        </is>
      </c>
    </row>
    <row r="23">
      <c r="A23" s="3" t="inlineStr">
        <is>
          <t xml:space="preserve">  (2) THE OUTPUT OF A UNIT BUILD that would be unreadable flattened into a grid — the historical segment</t>
        </is>
      </c>
    </row>
    <row r="24">
      <c r="A24" s="3" t="inlineStr">
        <is>
          <t xml:space="preserve">      revenue and earnings table, which the operating-segments note gives directly.</t>
        </is>
      </c>
    </row>
    <row r="25">
      <c r="A25" s="3" t="inlineStr">
        <is>
          <t xml:space="preserve">  (3) WHOLE-MODEL RE-RUNS, where each figure is a complete revaluation of the entire model and so cannot be</t>
        </is>
      </c>
    </row>
    <row r="26">
      <c r="A26" s="3" t="inlineStr">
        <is>
          <t xml:space="preserve">      a single formula: the Monte Carlo price map, the two sensitivity grids, the discounted-cash-flow</t>
        </is>
      </c>
    </row>
    <row r="27">
      <c r="A27" s="3" t="inlineStr">
        <is>
          <t xml:space="preserve">      bear and bull bounds (each of which re-runs the fleet build at a different rate anchor, a different</t>
        </is>
      </c>
    </row>
    <row r="28">
      <c r="A28" s="3" t="inlineStr">
        <is>
          <t xml:space="preserve">      beta and a different capital-expenditure path) and the three expert-panel legs.</t>
        </is>
      </c>
    </row>
    <row r="29">
      <c r="A29" s="3" t="inlineStr">
        <is>
          <t xml:space="preserve">  THE MONTE CARLO AND SENSITIVITY GRIDS DO NOT REDRAW WHEN A DRIVER IS CHANGED. Changing a blue cell</t>
        </is>
      </c>
    </row>
    <row r="30">
      <c r="A30" s="3" t="inlineStr">
        <is>
          <t xml:space="preserve">  reprices the whole valuation chain, but those grids are engine outputs and stay as they were run.</t>
        </is>
      </c>
    </row>
    <row r="31">
      <c r="A31" s="3" t="inlineStr">
        <is>
          <t xml:space="preserve">  Anything else pasted is a defect.</t>
        </is>
      </c>
    </row>
    <row r="32">
      <c r="A32" s="3" t="inlineStr"/>
    </row>
    <row r="33">
      <c r="A33" s="3" t="inlineStr">
        <is>
          <t>How revenue is built. Not as one growth rate. The tanker fleet is built vessel by vessel: fifty-three owned</t>
        </is>
      </c>
    </row>
    <row r="34">
      <c r="A34" s="3" t="inlineStr">
        <is>
          <t>vessels split into those trading at spot rates and those on charters out at rates already fixed and</t>
        </is>
      </c>
    </row>
    <row r="35">
      <c r="A35" s="3" t="inlineStr">
        <is>
          <t>disclosed, each class earning its own time-charter equivalent per day over 365 days, less an all-in running</t>
        </is>
      </c>
    </row>
    <row r="36">
      <c r="A36" s="3" t="inlineStr">
        <is>
          <t>cost per vessel per day escalated on a services-and-wage escalator. The gas carriers are built from</t>
        </is>
      </c>
    </row>
    <row r="37">
      <c r="A37" s="3" t="inlineStr">
        <is>
          <t>contracted vessel-years times an implied day rate. The five remaining units are grown on their own revenue</t>
        </is>
      </c>
    </row>
    <row r="38">
      <c r="A38" s="3" t="inlineStr">
        <is>
          <t>and margin drivers, anchored on what each actually earned in the first quarter of 2026.</t>
        </is>
      </c>
    </row>
    <row r="39">
      <c r="A39" s="3" t="inlineStr"/>
    </row>
    <row r="40">
      <c r="A40" s="3" t="inlineStr">
        <is>
          <t>THE CONTESTED JUDGEMENT, PUBLISHED BOTH WAYS. The stock's own weekly regression against its local index</t>
        </is>
      </c>
    </row>
    <row r="41">
      <c r="A41" s="3" t="inlineStr">
        <is>
          <t>gives a beta of 0.705, which passes the usability gate and is the primary reading. An asset-risk</t>
        </is>
      </c>
    </row>
    <row r="42">
      <c r="A42" s="3" t="inlineStr">
        <is>
          <t>beta of 1.00 — what a listed fleet owner might be expected to carry — gives a materially different cost of</t>
        </is>
      </c>
    </row>
    <row r="43">
      <c r="A43" s="3" t="inlineStr">
        <is>
          <t>equity. BOTH are carried through the model in full, side by side, on the Summary and Fundamental Valuation</t>
        </is>
      </c>
    </row>
    <row r="44">
      <c r="A44" s="3" t="inlineStr">
        <is>
          <t>sheets. They are NOT averaged into one number.</t>
        </is>
      </c>
    </row>
    <row r="45">
      <c r="A45" s="3" t="inlineStr"/>
    </row>
    <row r="46">
      <c r="A46" s="3" t="inlineStr">
        <is>
          <t>What it is not. It is not investment advice, a recommendation, or a price target. Values are model outputs</t>
        </is>
      </c>
    </row>
    <row r="47">
      <c r="A47" s="3" t="inlineStr">
        <is>
          <t>shown as ranges and distributions.</t>
        </is>
      </c>
    </row>
    <row r="48">
      <c r="A48" s="3" t="inlineStr"/>
    </row>
    <row r="49">
      <c r="A49" s="3" t="inlineStr">
        <is>
          <t>Sourcing note, up front. FY2023, FY2024 and FY2025 come from the company's own audited consolidated</t>
        </is>
      </c>
    </row>
    <row r="50">
      <c r="A50" s="3" t="inlineStr">
        <is>
          <t>financial statements; the first quarter of 2026 comes from the reviewed interim statements; the fleet,</t>
        </is>
      </c>
    </row>
    <row r="51">
      <c r="A51" s="3" t="inlineStr">
        <is>
          <t>rate and contract data come from the company's own investor presentations and earnings calls. Every input</t>
        </is>
      </c>
    </row>
    <row r="52">
      <c r="A52" s="3" t="inlineStr">
        <is>
          <t>is listed with its value, source and date in the companion bibliography document.</t>
        </is>
      </c>
    </row>
    <row r="53">
      <c r="A53" s="3" t="inlineStr"/>
    </row>
    <row r="54">
      <c r="A54" s="3" t="inlineStr">
        <is>
          <t>Currency. US dollar thousand unless stated — the company reports in US dollars. Per-share figures are in</t>
        </is>
      </c>
    </row>
    <row r="55">
      <c r="A55" s="3" t="inlineStr">
        <is>
          <t>dirhams at the fixed parity of 3.6725 dirhams to the dollar. Spot AED 6.16 (2026-08-07 close).</t>
        </is>
      </c>
    </row>
    <row r="56">
      <c r="A56" s="3" t="inlineStr">
        <is>
          <t>Sheets: READ FIRST · Summary · Fundamental Valuation · Assumptions · SOTP Bridge · Segments · Relative &amp;</t>
        </is>
      </c>
    </row>
    <row r="57">
      <c r="A57" s="3" t="inlineStr">
        <is>
          <t>Normalized · DCF · Income Statement · Balance Sheet · Cash Flow · Summary Financials · Monte Carlo ·</t>
        </is>
      </c>
    </row>
    <row r="58">
      <c r="A58"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DCF!$C$57</f>
        <v/>
      </c>
      <c r="D5" s="7">
        <f>'Fundamental Valuation'!$C$7</f>
        <v/>
      </c>
      <c r="E5" s="8">
        <f>Assumptions!$C$107</f>
        <v/>
      </c>
      <c r="F5" s="9">
        <f>C5*E5</f>
        <v/>
      </c>
      <c r="G5" s="10">
        <f>C5/$C$16-1</f>
        <v/>
      </c>
      <c r="H5" s="8">
        <f>DCF!$C$48</f>
        <v/>
      </c>
    </row>
    <row r="6">
      <c r="A6" s="6" t="inlineStr">
        <is>
          <t>Relative multiples</t>
        </is>
      </c>
      <c r="B6" s="7">
        <f>'Relative &amp; Normalized'!$C$20</f>
        <v/>
      </c>
      <c r="C6" s="7">
        <f>'Relative &amp; Normalized'!$C$19</f>
        <v/>
      </c>
      <c r="D6" s="7">
        <f>'Relative &amp; Normalized'!$D$20</f>
        <v/>
      </c>
      <c r="E6" s="8">
        <f>Assumptions!$C$108</f>
        <v/>
      </c>
      <c r="F6" s="9">
        <f>C6*E6</f>
        <v/>
      </c>
      <c r="G6" s="10">
        <f>C6/$C$16-1</f>
        <v/>
      </c>
    </row>
    <row r="7">
      <c r="A7" s="6" t="inlineStr">
        <is>
          <t>Normalised earnings power</t>
        </is>
      </c>
      <c r="B7" s="7">
        <f>'Relative &amp; Normalized'!$C$42</f>
        <v/>
      </c>
      <c r="C7" s="7">
        <f>'Relative &amp; Normalized'!$C$41</f>
        <v/>
      </c>
      <c r="D7" s="7">
        <f>'Relative &amp; Normalized'!$D$42</f>
        <v/>
      </c>
      <c r="E7" s="8">
        <f>Assumptions!$C$109</f>
        <v/>
      </c>
      <c r="F7" s="9">
        <f>C7*E7</f>
        <v/>
      </c>
      <c r="G7" s="10">
        <f>C7/$C$16-1</f>
        <v/>
      </c>
    </row>
    <row r="8">
      <c r="A8" s="6" t="inlineStr">
        <is>
          <t>Book value and sustainable return</t>
        </is>
      </c>
      <c r="B8" s="7">
        <f>'Relative &amp; Normalized'!$C$53</f>
        <v/>
      </c>
      <c r="C8" s="7">
        <f>'Relative &amp; Normalized'!$C$52</f>
        <v/>
      </c>
      <c r="D8" s="7">
        <f>'Relative &amp; Normalized'!$D$53</f>
        <v/>
      </c>
      <c r="E8" s="8">
        <f>Assumptions!$C$110</f>
        <v/>
      </c>
      <c r="F8" s="9">
        <f>C8*E8</f>
        <v/>
      </c>
      <c r="G8" s="10">
        <f>C8/$C$16-1</f>
        <v/>
      </c>
    </row>
    <row r="9">
      <c r="A9" s="11" t="inlineStr">
        <is>
          <t>WEIGHTED CENTRAL</t>
        </is>
      </c>
      <c r="B9" s="12">
        <f>B5*E5+B6*E6+B7*E7+B8*E8</f>
        <v/>
      </c>
      <c r="C9" s="12">
        <f>SUM(F5:F8)</f>
        <v/>
      </c>
      <c r="D9" s="12">
        <f>D5*E5+D6*E6+D7*E7+D8*E8</f>
        <v/>
      </c>
      <c r="E9" s="13">
        <f>SUM(E5:E8)</f>
        <v/>
      </c>
      <c r="F9" s="14" t="n"/>
      <c r="G9" s="13">
        <f>C9/$C$16-1</f>
        <v/>
      </c>
      <c r="H9" s="14" t="n"/>
    </row>
    <row r="11">
      <c r="A11" s="11" t="inlineStr">
        <is>
          <t>THE CONTESTED JUDGEMENT — PUBLISHED BOTH WAYS, NEVER AVERAGED</t>
        </is>
      </c>
      <c r="B11" s="14" t="n"/>
      <c r="C11" s="14" t="n"/>
      <c r="D11" s="14" t="n"/>
      <c r="E11" s="14" t="n"/>
      <c r="F11" s="14" t="n"/>
      <c r="G11" s="14" t="n"/>
      <c r="H11" s="14" t="n"/>
    </row>
    <row r="12">
      <c r="A12" s="6" t="inlineStr">
        <is>
          <t>Discounted cash flow (asset-risk beta of 1.00)</t>
        </is>
      </c>
      <c r="B12" s="9">
        <f>B5</f>
        <v/>
      </c>
      <c r="C12" s="7">
        <f>DCF!$C$121</f>
        <v/>
      </c>
      <c r="D12" s="9">
        <f>D5</f>
        <v/>
      </c>
      <c r="E12" s="10">
        <f>E5</f>
        <v/>
      </c>
      <c r="F12" s="9">
        <f>C12*E12</f>
        <v/>
      </c>
      <c r="G12" s="10">
        <f>C12/$C$16-1</f>
        <v/>
      </c>
      <c r="H12" s="8">
        <f>DCF!$C$118</f>
        <v/>
      </c>
    </row>
    <row r="13">
      <c r="A13" s="14" t="inlineStr">
        <is>
          <t>Weighted central on the asset-risk beta</t>
        </is>
      </c>
      <c r="B13" s="14" t="n"/>
      <c r="C13" s="15">
        <f>F12+F6+F7+F8</f>
        <v/>
      </c>
      <c r="D13" s="14" t="n"/>
      <c r="E13" s="14" t="n"/>
      <c r="F13" s="14" t="n"/>
      <c r="G13" s="16">
        <f>C13/$C$16-1</f>
        <v/>
      </c>
      <c r="H13" s="14" t="n"/>
    </row>
    <row r="15">
      <c r="A15" s="6" t="inlineStr">
        <is>
          <t>Expert panel average</t>
        </is>
      </c>
      <c r="C15" s="7">
        <f>'Fundamental Valuation'!$C$32</f>
        <v/>
      </c>
      <c r="G15" s="10">
        <f>C15/$C$16-1</f>
        <v/>
      </c>
    </row>
    <row r="16">
      <c r="A16" s="14" t="inlineStr">
        <is>
          <t>Market price (AED, anchor)</t>
        </is>
      </c>
      <c r="B16" s="14" t="n"/>
      <c r="C16" s="15" t="n">
        <v>6.16</v>
      </c>
      <c r="D16" s="14" t="n"/>
      <c r="E16" s="14" t="n"/>
      <c r="F16" s="14" t="n"/>
      <c r="G16" s="14" t="n"/>
      <c r="H16" s="14" t="n"/>
    </row>
    <row r="18">
      <c r="A18" s="5" t="inlineStr">
        <is>
          <t>Key figure</t>
        </is>
      </c>
      <c r="B18" s="5" t="inlineStr"/>
      <c r="C18" s="5" t="inlineStr">
        <is>
          <t>Value</t>
        </is>
      </c>
    </row>
    <row r="19">
      <c r="A19" s="6" t="inlineStr">
        <is>
          <t>Shares outstanding (mn)</t>
        </is>
      </c>
      <c r="C19" s="17">
        <f>Assumptions!$C$6</f>
        <v/>
      </c>
    </row>
    <row r="20">
      <c r="A20" s="6" t="inlineStr">
        <is>
          <t>Market capitalisation (USD 000)</t>
        </is>
      </c>
      <c r="C20" s="18">
        <f>DCF!$C$93</f>
        <v/>
      </c>
    </row>
    <row r="21">
      <c r="A21" s="6" t="inlineStr">
        <is>
          <t>Enterprise value at the anchor price (USD 000)</t>
        </is>
      </c>
      <c r="C21" s="18">
        <f>'Relative &amp; Normalized'!$C$26</f>
        <v/>
      </c>
    </row>
    <row r="22">
      <c r="A22" s="6" t="inlineStr">
        <is>
          <t>Net debt including deferred consideration, 31 March 2026 (USD 000)</t>
        </is>
      </c>
      <c r="C22" s="18">
        <f>'Relative &amp; Normalized'!$C$25</f>
        <v/>
      </c>
    </row>
    <row r="23">
      <c r="A23" s="6" t="inlineStr">
        <is>
          <t>FY2025 revenue (USD 000)</t>
        </is>
      </c>
      <c r="C23" s="18">
        <f>'Income Statement'!D5</f>
        <v/>
      </c>
    </row>
    <row r="24">
      <c r="A24" s="6" t="inlineStr">
        <is>
          <t>FY2025 EBITDA as reported (USD 000)</t>
        </is>
      </c>
      <c r="C24" s="18">
        <f>'Income Statement'!D16</f>
        <v/>
      </c>
    </row>
    <row r="25">
      <c r="A25" s="6" t="inlineStr">
        <is>
          <t>FY2025 profit attributable to shareholders (USD 000)</t>
        </is>
      </c>
      <c r="C25" s="18">
        <f>'Income Statement'!D28</f>
        <v/>
      </c>
    </row>
    <row r="26">
      <c r="A26" s="6" t="inlineStr">
        <is>
          <t>Cost of equity — regressed beta</t>
        </is>
      </c>
      <c r="C26" s="19">
        <f>DCF!$C$65</f>
        <v/>
      </c>
    </row>
    <row r="27">
      <c r="A27" s="6" t="inlineStr">
        <is>
          <t>Cost of equity — asset-risk beta</t>
        </is>
      </c>
      <c r="C27" s="19">
        <f>DCF!$C$106</f>
        <v/>
      </c>
    </row>
    <row r="28">
      <c r="A28" s="6" t="inlineStr">
        <is>
          <t>Cost of debt — the three constructions averaged</t>
        </is>
      </c>
      <c r="C28" s="19">
        <f>DCF!$C$88</f>
        <v/>
      </c>
    </row>
    <row r="29">
      <c r="A29" s="6" t="inlineStr">
        <is>
          <t>Cost of capital — explicit window</t>
        </is>
      </c>
      <c r="C29" s="19">
        <f>DCF!$C$97</f>
        <v/>
      </c>
    </row>
    <row r="30">
      <c r="A30" s="6" t="inlineStr">
        <is>
          <t>Cost of capital — terminal</t>
        </is>
      </c>
      <c r="C30" s="19">
        <f>DCF!$C$102</f>
        <v/>
      </c>
    </row>
    <row r="31">
      <c r="A31" s="6" t="inlineStr">
        <is>
          <t>Terminal growth</t>
        </is>
      </c>
      <c r="C31" s="8">
        <f>DCF!$C$39</f>
        <v/>
      </c>
    </row>
    <row r="32">
      <c r="A32" s="6" t="inlineStr">
        <is>
          <t>Sum-of-the-parts cross-check (AED per share)</t>
        </is>
      </c>
      <c r="C32" s="7">
        <f>'SOTP Bridge'!$C$40</f>
        <v/>
      </c>
    </row>
    <row r="34">
      <c r="A34"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0" t="inlineStr">
        <is>
          <t>links to the DCF sheet — five explicit years plus a capitalised terminal value</t>
        </is>
      </c>
      <c r="C5" s="7">
        <f>DCF!$C$57</f>
        <v/>
      </c>
    </row>
    <row r="6" ht="28" customHeight="1">
      <c r="A6" s="6" t="inlineStr">
        <is>
          <t xml:space="preserve">  bear</t>
        </is>
      </c>
      <c r="B6" s="20" t="inlineStr">
        <is>
          <t>beta 1.10, rate anchor 0.85x, capital expenditure 1.10x — a whole-model re-run</t>
        </is>
      </c>
      <c r="C6" s="21" t="n">
        <v>4.595125455307053</v>
      </c>
    </row>
    <row r="7" ht="28" customHeight="1">
      <c r="A7" s="6" t="inlineStr">
        <is>
          <t xml:space="preserve">  bull</t>
        </is>
      </c>
      <c r="B7" s="20" t="inlineStr">
        <is>
          <t>beta 0.55, rate anchor 1.15x, capital expenditure 0.95x — a whole-model re-run</t>
        </is>
      </c>
      <c r="C7" s="21" t="n">
        <v>11.56265014945073</v>
      </c>
    </row>
    <row r="8" ht="28" customHeight="1">
      <c r="A8" s="6" t="inlineStr">
        <is>
          <t>Relative multiples</t>
        </is>
      </c>
      <c r="B8" s="20" t="inlineStr">
        <is>
          <t>blended enterprise and earnings multiples on 2026 earnings</t>
        </is>
      </c>
      <c r="C8" s="7">
        <f>'Relative &amp; Normalized'!$C$19</f>
        <v/>
      </c>
    </row>
    <row r="9" ht="28" customHeight="1">
      <c r="A9" s="6" t="inlineStr">
        <is>
          <t>Normalised earnings power</t>
        </is>
      </c>
      <c r="B9" s="20" t="inlineStr">
        <is>
          <t>the same multiples on the five-year average of the forecast</t>
        </is>
      </c>
      <c r="C9" s="7">
        <f>'Relative &amp; Normalized'!$C$41</f>
        <v/>
      </c>
    </row>
    <row r="10" ht="28" customHeight="1">
      <c r="A10" s="6" t="inlineStr">
        <is>
          <t>Book value and sustainable return</t>
        </is>
      </c>
      <c r="B10" s="20" t="inlineStr">
        <is>
          <t>justified price-to-book on the sustainable return on equity</t>
        </is>
      </c>
      <c r="C10" s="7">
        <f>'Relative &amp; Normalized'!$C$52</f>
        <v/>
      </c>
    </row>
    <row r="12">
      <c r="A12" s="11" t="inlineStr">
        <is>
          <t>Weighted central</t>
        </is>
      </c>
      <c r="B12" s="14" t="n"/>
      <c r="C12" s="22">
        <f>Summary!$C$9</f>
        <v/>
      </c>
    </row>
    <row r="14">
      <c r="A14" s="11" t="inlineStr">
        <is>
          <t>THE CONTESTED JUDGEMENT — TWO BETAS, BOTH CARRIED THROUGH IN FULL</t>
        </is>
      </c>
      <c r="B14" s="14" t="n"/>
      <c r="C14" s="14" t="n"/>
    </row>
    <row r="15" ht="26" customHeight="1">
      <c r="A15" s="6" t="inlineStr">
        <is>
          <t>Beta — own-stock weekly regression</t>
        </is>
      </c>
      <c r="B15" s="20" t="inlineStr">
        <is>
          <t>163 weekly observations, R-squared 17.2%, standard error 0.122 — the usability gate is passed</t>
        </is>
      </c>
      <c r="C15" s="23">
        <f>Assumptions!$C$14</f>
        <v/>
      </c>
    </row>
    <row r="16" ht="26" customHeight="1">
      <c r="A16" s="6" t="inlineStr">
        <is>
          <t>Cost of equity on the regressed beta</t>
        </is>
      </c>
      <c r="B16" s="20" t="inlineStr">
        <is>
          <t>normalised risk-free rate plus beta times the equity risk premium</t>
        </is>
      </c>
      <c r="C16" s="19">
        <f>DCF!$C$65</f>
        <v/>
      </c>
    </row>
    <row r="17" ht="26" customHeight="1">
      <c r="A17" s="6" t="inlineStr">
        <is>
          <t>Cost of capital on the regressed beta</t>
        </is>
      </c>
      <c r="B17" s="20" t="inlineStr">
        <is>
          <t>explicit window, market-value weights</t>
        </is>
      </c>
      <c r="C17" s="19">
        <f>DCF!$C$97</f>
        <v/>
      </c>
    </row>
    <row r="18" ht="26" customHeight="1">
      <c r="A18" s="6" t="inlineStr">
        <is>
          <t>Fair value per share — regressed beta (AED)</t>
        </is>
      </c>
      <c r="B18" s="20" t="inlineStr">
        <is>
          <t>the primary reading</t>
        </is>
      </c>
      <c r="C18" s="7">
        <f>DCF!$C$57</f>
        <v/>
      </c>
    </row>
    <row r="19" ht="26" customHeight="1">
      <c r="A19" s="6" t="inlineStr">
        <is>
          <t>Weighted central — regressed beta (AED)</t>
        </is>
      </c>
      <c r="B19" s="20" t="inlineStr">
        <is>
          <t>all four lenses</t>
        </is>
      </c>
      <c r="C19" s="7">
        <f>Summary!$C$9</f>
        <v/>
      </c>
    </row>
    <row r="20" ht="26" customHeight="1">
      <c r="A20" s="6" t="inlineStr">
        <is>
          <t>Asset-risk beta</t>
        </is>
      </c>
      <c r="B20" s="20" t="inlineStr">
        <is>
          <t>what a listed fleet owner might be expected to carry; the sector prior for a spot tanker owner is 0.9 to 1.4</t>
        </is>
      </c>
      <c r="C20" s="23">
        <f>Assumptions!$C$15</f>
        <v/>
      </c>
    </row>
    <row r="21" ht="26" customHeight="1">
      <c r="A21" s="6" t="inlineStr">
        <is>
          <t>Cost of equity on the asset-risk beta</t>
        </is>
      </c>
      <c r="B21" s="20" t="inlineStr">
        <is>
          <t>the same construction at a beta of 1.00</t>
        </is>
      </c>
      <c r="C21" s="19">
        <f>DCF!$C$106</f>
        <v/>
      </c>
    </row>
    <row r="22" ht="26" customHeight="1">
      <c r="A22" s="6" t="inlineStr">
        <is>
          <t>Cost of capital on the asset-risk beta</t>
        </is>
      </c>
      <c r="B22" s="20" t="inlineStr">
        <is>
          <t>explicit window, market-value weights</t>
        </is>
      </c>
      <c r="C22" s="19">
        <f>DCF!$C$108</f>
        <v/>
      </c>
    </row>
    <row r="23" ht="26" customHeight="1">
      <c r="A23" s="6" t="inlineStr">
        <is>
          <t>Fair value per share — asset-risk beta (AED)</t>
        </is>
      </c>
      <c r="B23" s="20" t="inlineStr">
        <is>
          <t>the alternative reading</t>
        </is>
      </c>
      <c r="C23" s="7">
        <f>DCF!$C$121</f>
        <v/>
      </c>
    </row>
    <row r="24" ht="26" customHeight="1">
      <c r="A24" s="6" t="inlineStr">
        <is>
          <t>Weighted central — asset-risk beta (AED)</t>
        </is>
      </c>
      <c r="B24" s="20" t="inlineStr">
        <is>
          <t>all four lenses, the discounted-cash-flow leg swapped</t>
        </is>
      </c>
      <c r="C24" s="7">
        <f>Summary!$C$13</f>
        <v/>
      </c>
    </row>
    <row r="25">
      <c r="A25" s="4" t="inlineStr">
        <is>
          <t>These two readings are published side by side and are never averaged into a single number. The regression passes its usability gate on the stock's own history, but that history is only three years long and the beta's own confidence interval spans more than half the point estimate, so the asset-risk reading is not a stress case — it is a second legitimate answer to the same question.</t>
        </is>
      </c>
    </row>
    <row r="27">
      <c r="A27" s="11" t="inlineStr">
        <is>
          <t>EXPERT PANEL — THREE METHODS, WORKED INDEPENDENTLY</t>
        </is>
      </c>
      <c r="B27" s="14" t="n"/>
      <c r="C27" s="14" t="n"/>
      <c r="D27" s="14" t="n"/>
      <c r="E27" s="14" t="n"/>
    </row>
    <row r="28">
      <c r="A28" s="5" t="inlineStr">
        <is>
          <t>Expert</t>
        </is>
      </c>
      <c r="B28" s="5" t="inlineStr">
        <is>
          <t>Method</t>
        </is>
      </c>
      <c r="C28" s="5" t="inlineStr">
        <is>
          <t>Base (AED per share)</t>
        </is>
      </c>
      <c r="D28" s="5" t="inlineStr">
        <is>
          <t>Low</t>
        </is>
      </c>
      <c r="E28" s="5" t="inlineStr">
        <is>
          <t>High</t>
        </is>
      </c>
    </row>
    <row r="29">
      <c r="A29" s="6" t="inlineStr">
        <is>
          <t>Expert 1</t>
        </is>
      </c>
      <c r="B29" s="6" t="inlineStr">
        <is>
          <t>mid-cycle earnings power</t>
        </is>
      </c>
      <c r="C29" s="21" t="n">
        <v>6.051858331225449</v>
      </c>
      <c r="D29" s="21" t="n">
        <v>4.538893748419087</v>
      </c>
      <c r="E29" s="21" t="n">
        <v>7.564822914031812</v>
      </c>
    </row>
    <row r="30">
      <c r="A30" s="6" t="inlineStr">
        <is>
          <t>Expert 2</t>
        </is>
      </c>
      <c r="B30" s="6" t="inlineStr">
        <is>
          <t>owner cash earnings</t>
        </is>
      </c>
      <c r="C30" s="21" t="n">
        <v>6.229801223504354</v>
      </c>
      <c r="D30" s="21" t="n">
        <v>4.2732615454651</v>
      </c>
      <c r="E30" s="21" t="n">
        <v>8.113775108868071</v>
      </c>
    </row>
    <row r="31">
      <c r="A31" s="6" t="inlineStr">
        <is>
          <t>Expert 3</t>
        </is>
      </c>
      <c r="B31" s="6" t="inlineStr">
        <is>
          <t>cash returns against the cost of capital</t>
        </is>
      </c>
      <c r="C31" s="21" t="n">
        <v>7.295828966094767</v>
      </c>
      <c r="D31" s="21" t="n">
        <v>4.997558751749976</v>
      </c>
      <c r="E31" s="21" t="n">
        <v>9.110401132774284</v>
      </c>
    </row>
    <row r="32">
      <c r="A32" s="11" t="inlineStr">
        <is>
          <t>Panel average</t>
        </is>
      </c>
      <c r="B32" s="14" t="n"/>
      <c r="C32" s="12">
        <f>AVERAGE(C29:C31)</f>
        <v/>
      </c>
      <c r="D32" s="14" t="n"/>
      <c r="E32"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2"/>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4" t="n"/>
      <c r="C4" s="14" t="n"/>
      <c r="D4" s="14" t="n"/>
      <c r="E4" s="14" t="n"/>
      <c r="F4" s="14" t="n"/>
      <c r="G4" s="14" t="n"/>
      <c r="H4" s="14" t="n"/>
    </row>
    <row r="5">
      <c r="A5" s="6" t="inlineStr">
        <is>
          <t>Share price (AED, Abu Dhabi Securities Exchange close)</t>
        </is>
      </c>
      <c r="C5" s="21" t="n">
        <v>6.16</v>
      </c>
    </row>
    <row r="6">
      <c r="A6" s="6" t="inlineStr">
        <is>
          <t>Shares outstanding (mn)</t>
        </is>
      </c>
      <c r="C6" s="24" t="n">
        <v>7398.498764</v>
      </c>
    </row>
    <row r="7">
      <c r="A7" s="6" t="inlineStr">
        <is>
          <t>Dirhams per US dollar (fixed parity, unchanged since 1997)</t>
        </is>
      </c>
      <c r="C7" s="25" t="n">
        <v>3.6725</v>
      </c>
    </row>
    <row r="8">
      <c r="A8" s="6" t="inlineStr">
        <is>
          <t>Stub year fraction — 31 March 2026 valuation date to 31 December 2026</t>
        </is>
      </c>
      <c r="C8" s="26" t="n">
        <v>0.75</v>
      </c>
    </row>
    <row r="9">
      <c r="A9" s="6" t="inlineStr">
        <is>
          <t>First-quarter 2026 free cash flow, already inside net debt at the valuation date (USD 000)</t>
        </is>
      </c>
      <c r="C9" s="27" t="n">
        <v>130000</v>
      </c>
    </row>
    <row r="11">
      <c r="A11" s="11" t="inlineStr">
        <is>
          <t>Cost of capital</t>
        </is>
      </c>
      <c r="B11" s="14" t="n"/>
      <c r="C11" s="14" t="n"/>
      <c r="D11" s="14" t="n"/>
      <c r="E11" s="14" t="n"/>
      <c r="F11" s="14" t="n"/>
      <c r="G11" s="14" t="n"/>
      <c r="H11" s="14" t="n"/>
    </row>
    <row r="12">
      <c r="A12" s="6" t="inlineStr">
        <is>
          <t>Observed government bond yield (dirham tranche maturing January 2031)</t>
        </is>
      </c>
      <c r="C12" s="28" t="n">
        <v>0.0448</v>
      </c>
    </row>
    <row r="13">
      <c r="A13" s="6" t="inlineStr">
        <is>
          <t>Sovereign default spread (netted out of the risk-free rate)</t>
        </is>
      </c>
      <c r="C13" s="28" t="n">
        <v>0.0042</v>
      </c>
    </row>
    <row r="14">
      <c r="A14" s="6" t="inlineStr">
        <is>
          <t>Beta — own-stock weekly regression against its local index</t>
        </is>
      </c>
      <c r="C14" s="29" t="n">
        <v>0.705</v>
      </c>
    </row>
    <row r="15">
      <c r="A15" s="6" t="inlineStr">
        <is>
          <t>Asset-risk beta — the contested alternative</t>
        </is>
      </c>
      <c r="C15" s="29" t="n">
        <v>1</v>
      </c>
    </row>
    <row r="16">
      <c r="A16" s="6" t="inlineStr">
        <is>
          <t>Equity risk premium (mature premium plus country risk)</t>
        </is>
      </c>
      <c r="C16" s="28" t="n">
        <v>0.0487</v>
      </c>
      <c r="H16" s="4" t="inlineStr">
        <is>
          <t>No sovereign credit-default-swap entry exists for the United Arab Emirates in the country risk file, so the alternative rating-versus-swap premium basis cannot be built for this country; one basis is published rather than two.</t>
        </is>
      </c>
    </row>
    <row r="17">
      <c r="A17" s="6" t="inlineStr">
        <is>
          <t>Terminal risk-free rate</t>
        </is>
      </c>
      <c r="C17" s="28" t="n">
        <v>0.0325</v>
      </c>
    </row>
    <row r="18">
      <c r="A18" s="6" t="inlineStr">
        <is>
          <t>Statutory corporate tax rate</t>
        </is>
      </c>
      <c r="C18" s="30" t="n">
        <v>0.09</v>
      </c>
    </row>
    <row r="20">
      <c r="A20" s="11" t="inlineStr">
        <is>
          <t>Cost of debt — the evidence behind the three constructions</t>
        </is>
      </c>
      <c r="B20" s="14" t="n"/>
      <c r="C20" s="14" t="n"/>
      <c r="D20" s="14" t="n"/>
      <c r="E20" s="14" t="n"/>
      <c r="F20" s="14" t="n"/>
      <c r="G20" s="14" t="n"/>
      <c r="H20" s="14" t="n"/>
    </row>
    <row r="21">
      <c r="A21" s="6" t="inlineStr">
        <is>
          <t>Secured overnight financing rate</t>
        </is>
      </c>
      <c r="C21" s="28" t="n">
        <v>0.0365</v>
      </c>
      <c r="H21" s="4" t="inlineStr">
        <is>
          <t>The Central Bank base rate of 3.65% was maintained at the 29 July 2026 decision; the last change was a 25 basis point cut from 3.90% on 10 December 2025.</t>
        </is>
      </c>
    </row>
    <row r="22">
      <c r="A22" s="6" t="inlineStr">
        <is>
          <t>Parent revolving credit facility margin</t>
        </is>
      </c>
      <c r="C22" s="28" t="n">
        <v>0.008</v>
      </c>
    </row>
    <row r="23">
      <c r="A23" s="6" t="inlineStr">
        <is>
          <t>Third-party bank loans — low end of the disclosed range</t>
        </is>
      </c>
      <c r="C23" s="28" t="n">
        <v>0.0711</v>
      </c>
    </row>
    <row r="24">
      <c r="A24" s="6" t="inlineStr">
        <is>
          <t>Third-party bank loans — high end of the disclosed range</t>
        </is>
      </c>
      <c r="C24" s="28" t="n">
        <v>0.0755</v>
      </c>
    </row>
    <row r="25">
      <c r="A25" s="6" t="inlineStr">
        <is>
          <t>Other third-party borrowings — low end of the disclosed range</t>
        </is>
      </c>
      <c r="C25" s="28" t="n">
        <v>0.0436</v>
      </c>
    </row>
    <row r="26">
      <c r="A26" s="6" t="inlineStr">
        <is>
          <t>Other third-party borrowings — high end of the disclosed range</t>
        </is>
      </c>
      <c r="C26" s="28" t="n">
        <v>0.08309999999999999</v>
      </c>
    </row>
    <row r="27">
      <c r="A27" s="6" t="inlineStr">
        <is>
          <t>Lease interest charged in 2025 (USD 000)</t>
        </is>
      </c>
      <c r="C27" s="27" t="n">
        <v>12719</v>
      </c>
    </row>
    <row r="28">
      <c r="A28" s="6" t="inlineStr">
        <is>
          <t>Lease liabilities, opening balance 2025 (USD 000)</t>
        </is>
      </c>
      <c r="C28" s="27" t="n">
        <v>170274</v>
      </c>
    </row>
    <row r="29">
      <c r="A29" s="6" t="inlineStr">
        <is>
          <t>Lease liabilities, closing balance 2025 (USD 000)</t>
        </is>
      </c>
      <c r="C29" s="27" t="n">
        <v>223153</v>
      </c>
    </row>
    <row r="30">
      <c r="A30" s="6" t="inlineStr">
        <is>
          <t>Shareholder loan at 31 March 2026 (USD 000)</t>
        </is>
      </c>
      <c r="C30" s="27" t="n">
        <v>500000</v>
      </c>
    </row>
    <row r="31">
      <c r="A31" s="6" t="inlineStr">
        <is>
          <t>Third-party borrowings at 31 March 2026 (USD 000)</t>
        </is>
      </c>
      <c r="C31" s="27" t="n">
        <v>402763</v>
      </c>
    </row>
    <row r="32">
      <c r="A32" s="6" t="inlineStr">
        <is>
          <t>Lease liabilities at 31 March 2026 (USD 000)</t>
        </is>
      </c>
      <c r="C32" s="27" t="n">
        <v>212449</v>
      </c>
    </row>
    <row r="34">
      <c r="A34" s="11" t="inlineStr">
        <is>
          <t>Tanker fleet — vessel counts and day rates by class</t>
        </is>
      </c>
      <c r="B34" s="14" t="inlineStr">
        <is>
          <t>Handysize</t>
        </is>
      </c>
      <c r="C34" s="14" t="inlineStr">
        <is>
          <t>Medium range</t>
        </is>
      </c>
      <c r="D34" s="14" t="inlineStr">
        <is>
          <t>Long range 1</t>
        </is>
      </c>
      <c r="E34" s="14" t="inlineStr">
        <is>
          <t>Long range 2</t>
        </is>
      </c>
      <c r="F34" s="14" t="inlineStr">
        <is>
          <t>Very large crude carrier</t>
        </is>
      </c>
      <c r="G34" s="14" t="n"/>
      <c r="H34" s="14" t="n"/>
    </row>
    <row r="35">
      <c r="A35" s="6" t="inlineStr">
        <is>
          <t>Vessels owned</t>
        </is>
      </c>
      <c r="B35" s="27" t="n">
        <v>2</v>
      </c>
      <c r="C35" s="27" t="n">
        <v>16</v>
      </c>
      <c r="D35" s="27" t="n">
        <v>9</v>
      </c>
      <c r="E35" s="27" t="n">
        <v>17</v>
      </c>
      <c r="F35" s="27" t="n">
        <v>9</v>
      </c>
    </row>
    <row r="36">
      <c r="A36" s="6" t="inlineStr">
        <is>
          <t>Vessels trading at spot rates</t>
        </is>
      </c>
      <c r="B36" s="27" t="n">
        <v>2</v>
      </c>
      <c r="C36" s="27" t="n">
        <v>16</v>
      </c>
      <c r="D36" s="27" t="n">
        <v>7</v>
      </c>
      <c r="E36" s="27" t="n">
        <v>13</v>
      </c>
      <c r="F36" s="27" t="n">
        <v>7</v>
      </c>
    </row>
    <row r="37">
      <c r="A37" s="6" t="inlineStr">
        <is>
          <t>Fixed charter-out rate (USD per day)</t>
        </is>
      </c>
      <c r="B37" s="31" t="inlineStr">
        <is>
          <t>-</t>
        </is>
      </c>
      <c r="C37" s="31" t="inlineStr">
        <is>
          <t>-</t>
        </is>
      </c>
      <c r="D37" s="27" t="n">
        <v>19750</v>
      </c>
      <c r="E37" s="27" t="n">
        <v>35943</v>
      </c>
      <c r="F37" s="27" t="n">
        <v>60942</v>
      </c>
      <c r="H37" s="4" t="inlineStr">
        <is>
          <t>The smallest two classes have no vessels on charters out, so no fixed rate applies to them.</t>
        </is>
      </c>
    </row>
    <row r="38">
      <c r="A38" s="6" t="inlineStr">
        <is>
          <t>2025 average time-charter equivalent (USD per day)</t>
        </is>
      </c>
      <c r="B38" s="27" t="n">
        <v>24139.5</v>
      </c>
      <c r="C38" s="27" t="n">
        <v>24139.5</v>
      </c>
      <c r="D38" s="27" t="n">
        <v>24199.25</v>
      </c>
      <c r="E38" s="27" t="n">
        <v>35737.25</v>
      </c>
      <c r="F38" s="27" t="n">
        <v>52466</v>
      </c>
    </row>
    <row r="39">
      <c r="A39" s="6" t="inlineStr">
        <is>
          <t>First-quarter 2026 time-charter equivalent (USD per day)</t>
        </is>
      </c>
      <c r="B39" s="27" t="n">
        <v>30000</v>
      </c>
      <c r="C39" s="27" t="n">
        <v>30000</v>
      </c>
      <c r="D39" s="27" t="n">
        <v>36000</v>
      </c>
      <c r="E39" s="27" t="n">
        <v>58000</v>
      </c>
      <c r="F39" s="27" t="n">
        <v>145000</v>
      </c>
    </row>
    <row r="40">
      <c r="A40" s="6" t="inlineStr">
        <is>
          <t>Second-quarter 2026 time-charter equivalent (USD per day)</t>
        </is>
      </c>
      <c r="B40" s="27" t="n">
        <v>44000</v>
      </c>
      <c r="C40" s="27" t="n">
        <v>44000</v>
      </c>
      <c r="D40" s="27" t="n">
        <v>55000</v>
      </c>
      <c r="E40" s="27" t="n">
        <v>95000</v>
      </c>
      <c r="F40" s="27" t="n">
        <v>260000</v>
      </c>
    </row>
    <row r="41">
      <c r="A41" s="6" t="inlineStr">
        <is>
          <t>Mid-cycle rate anchor (USD per day)</t>
        </is>
      </c>
      <c r="B41" s="27" t="n">
        <v>24139.5</v>
      </c>
      <c r="C41" s="27" t="n">
        <v>24139.5</v>
      </c>
      <c r="D41" s="27" t="n">
        <v>32177.125</v>
      </c>
      <c r="E41" s="27" t="n">
        <v>41874</v>
      </c>
      <c r="F41" s="27" t="n">
        <v>47923.625</v>
      </c>
    </row>
    <row r="43">
      <c r="A43" s="11" t="inlineStr">
        <is>
          <t>Tanker fleet — rate path and running cost</t>
        </is>
      </c>
      <c r="B43" s="14" t="n"/>
      <c r="C43" s="14" t="n"/>
      <c r="D43" s="14" t="n"/>
      <c r="E43" s="14" t="n"/>
      <c r="F43" s="14" t="n"/>
      <c r="G43" s="14" t="n"/>
      <c r="H43" s="14" t="n"/>
    </row>
    <row r="44">
      <c r="A44" s="6" t="inlineStr">
        <is>
          <t>Weight on the 2025 average rate in setting the second half of 2026</t>
        </is>
      </c>
      <c r="C44" s="30" t="n">
        <v>0.5</v>
      </c>
    </row>
    <row r="45">
      <c r="A45" s="6" t="inlineStr">
        <is>
          <t>All-in running cost per vessel per day (USD)</t>
        </is>
      </c>
      <c r="C45" s="24" t="n">
        <v>9354.949470147329</v>
      </c>
    </row>
    <row r="46">
      <c r="A46" s="6" t="inlineStr">
        <is>
          <t>Running-cost escalation (services and wages)</t>
        </is>
      </c>
      <c r="C46" s="30" t="n">
        <v>0.02</v>
      </c>
    </row>
    <row r="47">
      <c r="A47" s="6" t="inlineStr">
        <is>
          <t>Gross-up from time-charter-equivalent revenue to reported revenue</t>
        </is>
      </c>
      <c r="C47" s="26" t="n">
        <v>1.6</v>
      </c>
    </row>
    <row r="49">
      <c r="A49" s="11" t="inlineStr">
        <is>
          <t>Tanker charter-out roll-off and gas-carrier contracts</t>
        </is>
      </c>
      <c r="B49" s="14" t="inlineStr">
        <is>
          <t>FY2026</t>
        </is>
      </c>
      <c r="C49" s="14" t="inlineStr">
        <is>
          <t>FY2027</t>
        </is>
      </c>
      <c r="D49" s="14" t="inlineStr">
        <is>
          <t>FY2028</t>
        </is>
      </c>
      <c r="E49" s="14" t="inlineStr">
        <is>
          <t>FY2029</t>
        </is>
      </c>
      <c r="F49" s="14" t="inlineStr">
        <is>
          <t>FY2030</t>
        </is>
      </c>
      <c r="G49" s="14" t="n"/>
      <c r="H49" s="14" t="n"/>
    </row>
    <row r="50">
      <c r="A50" s="6" t="inlineStr">
        <is>
          <t>Charter-out contracts still running (share of the year)</t>
        </is>
      </c>
      <c r="B50" s="30" t="n">
        <v>1</v>
      </c>
      <c r="C50" s="30" t="n">
        <v>0.5</v>
      </c>
      <c r="D50" s="30" t="n">
        <v>0</v>
      </c>
      <c r="E50" s="30" t="n">
        <v>0</v>
      </c>
      <c r="F50" s="30" t="n">
        <v>0</v>
      </c>
    </row>
    <row r="51">
      <c r="A51" s="6" t="inlineStr">
        <is>
          <t>Gas carriers — contracted vessel-years</t>
        </is>
      </c>
      <c r="B51" s="24" t="n">
        <v>10.75</v>
      </c>
      <c r="C51" s="24" t="n">
        <v>13</v>
      </c>
      <c r="D51" s="24" t="n">
        <v>21.25</v>
      </c>
      <c r="E51" s="24" t="n">
        <v>25</v>
      </c>
      <c r="F51" s="24" t="n">
        <v>25</v>
      </c>
    </row>
    <row r="52">
      <c r="A52" s="6" t="inlineStr">
        <is>
          <t>Gas carriers — implied revenue per vessel-day (USD)</t>
        </is>
      </c>
      <c r="C52" s="27" t="n">
        <v>61573.28767123288</v>
      </c>
    </row>
    <row r="53">
      <c r="A53" s="6" t="inlineStr">
        <is>
          <t>Gas carriers — earnings margin</t>
        </is>
      </c>
      <c r="C53" s="30" t="n">
        <v>0.7</v>
      </c>
    </row>
    <row r="55">
      <c r="A55" s="11" t="inlineStr">
        <is>
          <t>The remaining five units — revenue and margin drivers</t>
        </is>
      </c>
      <c r="B55" s="14" t="inlineStr">
        <is>
          <t>FY2026</t>
        </is>
      </c>
      <c r="C55" s="14" t="inlineStr">
        <is>
          <t>FY2027</t>
        </is>
      </c>
      <c r="D55" s="14" t="inlineStr">
        <is>
          <t>FY2028</t>
        </is>
      </c>
      <c r="E55" s="14" t="inlineStr">
        <is>
          <t>FY2029</t>
        </is>
      </c>
      <c r="F55" s="14" t="inlineStr">
        <is>
          <t>FY2030</t>
        </is>
      </c>
      <c r="G55" s="14" t="n"/>
      <c r="H55" s="14" t="n"/>
    </row>
    <row r="56">
      <c r="A56" s="6" t="inlineStr">
        <is>
          <t>Offshore Contracting — revenue (USD 000)</t>
        </is>
      </c>
      <c r="B56" s="27" t="n">
        <v>1248192</v>
      </c>
      <c r="C56" s="27" t="n">
        <v>1298120</v>
      </c>
      <c r="D56" s="27" t="n">
        <v>1350044</v>
      </c>
      <c r="E56" s="27" t="n">
        <v>1404046</v>
      </c>
      <c r="F56" s="27" t="n">
        <v>1460208</v>
      </c>
    </row>
    <row r="57">
      <c r="A57" s="6" t="inlineStr">
        <is>
          <t>Offshore Contracting — earnings margin</t>
        </is>
      </c>
      <c r="B57" s="30" t="n">
        <v>0.385</v>
      </c>
      <c r="C57" s="30" t="n">
        <v>0.415</v>
      </c>
      <c r="D57" s="30" t="n">
        <v>0.43</v>
      </c>
      <c r="E57" s="30" t="n">
        <v>0.43</v>
      </c>
      <c r="F57" s="30" t="n">
        <v>0.43</v>
      </c>
    </row>
    <row r="58">
      <c r="A58" s="6" t="inlineStr">
        <is>
          <t>Offshore Services — revenue (USD 000)</t>
        </is>
      </c>
      <c r="B58" s="27" t="n">
        <v>662856</v>
      </c>
      <c r="C58" s="27" t="n">
        <v>696000</v>
      </c>
      <c r="D58" s="27" t="n">
        <v>730800</v>
      </c>
      <c r="E58" s="27" t="n">
        <v>767340</v>
      </c>
      <c r="F58" s="27" t="n">
        <v>805707</v>
      </c>
    </row>
    <row r="59">
      <c r="A59" s="6" t="inlineStr">
        <is>
          <t>Offshore Services — earnings margin</t>
        </is>
      </c>
      <c r="B59" s="30" t="n">
        <v>0.287</v>
      </c>
      <c r="C59" s="30" t="n">
        <v>0.29</v>
      </c>
      <c r="D59" s="30" t="n">
        <v>0.29</v>
      </c>
      <c r="E59" s="30" t="n">
        <v>0.29</v>
      </c>
      <c r="F59" s="30" t="n">
        <v>0.29</v>
      </c>
    </row>
    <row r="60">
      <c r="A60" s="6" t="inlineStr">
        <is>
          <t>Offshore Projects — revenue (USD 000)</t>
        </is>
      </c>
      <c r="B60" s="27" t="n">
        <v>125000</v>
      </c>
      <c r="C60" s="27" t="n">
        <v>200000</v>
      </c>
      <c r="D60" s="27" t="n">
        <v>250000</v>
      </c>
      <c r="E60" s="27" t="n">
        <v>275000</v>
      </c>
      <c r="F60" s="27" t="n">
        <v>300000</v>
      </c>
    </row>
    <row r="61">
      <c r="A61" s="6" t="inlineStr">
        <is>
          <t>Offshore Projects — earnings margin</t>
        </is>
      </c>
      <c r="B61" s="30" t="n">
        <v>-0.02</v>
      </c>
      <c r="C61" s="30" t="n">
        <v>0.06</v>
      </c>
      <c r="D61" s="30" t="n">
        <v>0.065</v>
      </c>
      <c r="E61" s="30" t="n">
        <v>0.065</v>
      </c>
      <c r="F61" s="30" t="n">
        <v>0.065</v>
      </c>
    </row>
    <row r="62">
      <c r="A62" s="6" t="inlineStr">
        <is>
          <t>Dry-Bulk and Containers — revenue (USD 000)</t>
        </is>
      </c>
      <c r="B62" s="27" t="n">
        <v>197164</v>
      </c>
      <c r="C62" s="27" t="n">
        <v>201107</v>
      </c>
      <c r="D62" s="27" t="n">
        <v>205129</v>
      </c>
      <c r="E62" s="27" t="n">
        <v>209232</v>
      </c>
      <c r="F62" s="27" t="n">
        <v>213417</v>
      </c>
    </row>
    <row r="63">
      <c r="A63" s="6" t="inlineStr">
        <is>
          <t>Dry-Bulk and Containers — earnings margin</t>
        </is>
      </c>
      <c r="B63" s="30" t="n">
        <v>0.184</v>
      </c>
      <c r="C63" s="30" t="n">
        <v>0.184</v>
      </c>
      <c r="D63" s="30" t="n">
        <v>0.184</v>
      </c>
      <c r="E63" s="30" t="n">
        <v>0.184</v>
      </c>
      <c r="F63" s="30" t="n">
        <v>0.184</v>
      </c>
    </row>
    <row r="64">
      <c r="A64" s="6" t="inlineStr">
        <is>
          <t>Services — revenue (USD 000)</t>
        </is>
      </c>
      <c r="B64" s="27" t="n">
        <v>355372</v>
      </c>
      <c r="C64" s="27" t="n">
        <v>369587</v>
      </c>
      <c r="D64" s="27" t="n">
        <v>384370</v>
      </c>
      <c r="E64" s="27" t="n">
        <v>399745</v>
      </c>
      <c r="F64" s="27" t="n">
        <v>415735</v>
      </c>
    </row>
    <row r="65">
      <c r="A65" s="6" t="inlineStr">
        <is>
          <t>Services — earnings margin</t>
        </is>
      </c>
      <c r="B65" s="30" t="n">
        <v>0.2</v>
      </c>
      <c r="C65" s="30" t="n">
        <v>0.2</v>
      </c>
      <c r="D65" s="30" t="n">
        <v>0.2</v>
      </c>
      <c r="E65" s="30" t="n">
        <v>0.2</v>
      </c>
      <c r="F65" s="30" t="n">
        <v>0.2</v>
      </c>
    </row>
    <row r="67">
      <c r="A67" s="11" t="inlineStr">
        <is>
          <t>Capital expenditure, depreciation and working capital</t>
        </is>
      </c>
      <c r="B67" s="14" t="inlineStr">
        <is>
          <t>FY2026</t>
        </is>
      </c>
      <c r="C67" s="14" t="inlineStr">
        <is>
          <t>FY2027</t>
        </is>
      </c>
      <c r="D67" s="14" t="inlineStr">
        <is>
          <t>FY2028</t>
        </is>
      </c>
      <c r="E67" s="14" t="inlineStr">
        <is>
          <t>FY2029</t>
        </is>
      </c>
      <c r="F67" s="14" t="inlineStr">
        <is>
          <t>FY2030</t>
        </is>
      </c>
      <c r="G67" s="14" t="n"/>
      <c r="H67" s="14" t="n"/>
    </row>
    <row r="68">
      <c r="A68" s="6" t="inlineStr">
        <is>
          <t>Capital expenditure (USD 000)</t>
        </is>
      </c>
      <c r="B68" s="27" t="n">
        <v>1375000</v>
      </c>
      <c r="C68" s="27" t="n">
        <v>1245000</v>
      </c>
      <c r="D68" s="27" t="n">
        <v>1245000</v>
      </c>
      <c r="E68" s="27" t="n">
        <v>700000</v>
      </c>
      <c r="F68" s="27" t="n">
        <v>650000</v>
      </c>
    </row>
    <row r="69">
      <c r="A69" s="6" t="inlineStr">
        <is>
          <t>Depreciation rate on property, plant and equipment</t>
        </is>
      </c>
      <c r="C69" s="28" t="n">
        <v>0.058</v>
      </c>
    </row>
    <row r="70">
      <c r="A70" s="6" t="inlineStr">
        <is>
          <t>Other depreciation and amortisation, 2026 run rate (USD 000)</t>
        </is>
      </c>
      <c r="C70" s="27" t="n">
        <v>109836</v>
      </c>
    </row>
    <row r="71">
      <c r="A71" s="6" t="inlineStr">
        <is>
          <t>Days sales outstanding</t>
        </is>
      </c>
      <c r="C71" s="24" t="n">
        <v>108.3964672240173</v>
      </c>
    </row>
    <row r="72">
      <c r="A72" s="6" t="inlineStr">
        <is>
          <t>Days inventory outstanding</t>
        </is>
      </c>
      <c r="C72" s="24" t="n">
        <v>14.10679115477453</v>
      </c>
    </row>
    <row r="73">
      <c r="A73" s="6" t="inlineStr">
        <is>
          <t>Days payable outstanding</t>
        </is>
      </c>
      <c r="C73" s="24" t="n">
        <v>131.7339996916174</v>
      </c>
    </row>
    <row r="74">
      <c r="A74" s="6" t="inlineStr">
        <is>
          <t>Net working capital at 31 December 2025 (USD 000)</t>
        </is>
      </c>
      <c r="C74" s="27" t="n">
        <v>346415</v>
      </c>
    </row>
    <row r="76">
      <c r="A76" s="11" t="inlineStr">
        <is>
          <t>Tax by business unit and the 2025 depreciation allocation basis</t>
        </is>
      </c>
      <c r="B76" s="14" t="n"/>
      <c r="C76" s="14" t="n"/>
      <c r="D76" s="14" t="n"/>
      <c r="E76" s="14" t="n"/>
      <c r="F76" s="14" t="n"/>
      <c r="G76" s="14" t="n"/>
      <c r="H76" s="14" t="n"/>
    </row>
    <row r="77">
      <c r="A77" s="6" t="inlineStr">
        <is>
          <t>Integrated Logistics — income tax rate</t>
        </is>
      </c>
      <c r="C77" s="30" t="n">
        <v>0.09</v>
      </c>
    </row>
    <row r="78">
      <c r="A78" s="6" t="inlineStr">
        <is>
          <t>Shipping — income tax rate</t>
        </is>
      </c>
      <c r="C78" s="30" t="n">
        <v>0.01</v>
      </c>
    </row>
    <row r="79">
      <c r="A79" s="6" t="inlineStr">
        <is>
          <t>Services — income tax rate</t>
        </is>
      </c>
      <c r="C79" s="30" t="n">
        <v>0.04</v>
      </c>
    </row>
    <row r="80">
      <c r="A80" s="6" t="inlineStr">
        <is>
          <t>Offshore Contracting — 2025 depreciation and amortisation (USD 000)</t>
        </is>
      </c>
      <c r="C80" s="27" t="n">
        <v>151367</v>
      </c>
    </row>
    <row r="81">
      <c r="A81" s="6" t="inlineStr">
        <is>
          <t>Offshore Services — 2025 depreciation and amortisation (USD 000)</t>
        </is>
      </c>
      <c r="C81" s="27" t="n">
        <v>62963</v>
      </c>
    </row>
    <row r="82">
      <c r="A82" s="6" t="inlineStr">
        <is>
          <t>Offshore Projects — 2025 depreciation and amortisation (USD 000)</t>
        </is>
      </c>
      <c r="C82" s="27" t="n">
        <v>8860</v>
      </c>
    </row>
    <row r="83">
      <c r="A83" s="6" t="inlineStr">
        <is>
          <t>Tankers — 2025 depreciation and amortisation (USD 000)</t>
        </is>
      </c>
      <c r="C83" s="27" t="n">
        <v>195374</v>
      </c>
    </row>
    <row r="84">
      <c r="A84" s="6" t="inlineStr">
        <is>
          <t>Gas Carriers — 2025 depreciation and amortisation (USD 000)</t>
        </is>
      </c>
      <c r="C84" s="27" t="n">
        <v>50526</v>
      </c>
    </row>
    <row r="85">
      <c r="A85" s="6" t="inlineStr">
        <is>
          <t>Dry-Bulk and Containers — 2025 depreciation and amortisation (USD 000)</t>
        </is>
      </c>
      <c r="C85" s="27" t="n">
        <v>25225</v>
      </c>
    </row>
    <row r="86">
      <c r="A86" s="6" t="inlineStr">
        <is>
          <t>Services — 2025 depreciation and amortisation (USD 000)</t>
        </is>
      </c>
      <c r="C86" s="27" t="n">
        <v>30297</v>
      </c>
    </row>
    <row r="88">
      <c r="A88" s="11" t="inlineStr">
        <is>
          <t>Funding, distributions and the bridge</t>
        </is>
      </c>
      <c r="B88" s="14" t="n"/>
      <c r="C88" s="14" t="n"/>
      <c r="D88" s="14" t="n"/>
      <c r="E88" s="14" t="n"/>
      <c r="F88" s="14" t="n"/>
      <c r="G88" s="14" t="n"/>
      <c r="H88" s="14" t="n"/>
    </row>
    <row r="89">
      <c r="A89" s="6" t="inlineStr">
        <is>
          <t>Net debt at 31 March 2026, company basis (USD 000)</t>
        </is>
      </c>
      <c r="C89" s="27" t="n">
        <v>419867</v>
      </c>
    </row>
    <row r="90">
      <c r="A90" s="6" t="inlineStr">
        <is>
          <t>Deferred consideration on acquisitions (USD 000)</t>
        </is>
      </c>
      <c r="C90" s="27" t="n">
        <v>301462</v>
      </c>
    </row>
    <row r="91">
      <c r="A91" s="6" t="inlineStr">
        <is>
          <t>Perpetual capital securities at carrying value (USD 000)</t>
        </is>
      </c>
      <c r="C91" s="27" t="n">
        <v>1978619</v>
      </c>
    </row>
    <row r="92">
      <c r="A92" s="6" t="inlineStr">
        <is>
          <t>Perpetual capital securities margin over the overnight rate</t>
        </is>
      </c>
      <c r="C92" s="28" t="n">
        <v>0.0125</v>
      </c>
    </row>
    <row r="93">
      <c r="A93" s="6" t="inlineStr">
        <is>
          <t>Non-controlling interests at carrying value (USD 000)</t>
        </is>
      </c>
      <c r="C93" s="27" t="n">
        <v>272134</v>
      </c>
    </row>
    <row r="94">
      <c r="A94" s="6" t="inlineStr">
        <is>
          <t>Non-controlling interests' share of profit</t>
        </is>
      </c>
      <c r="C94" s="30" t="n">
        <v>0.08799999999999999</v>
      </c>
    </row>
    <row r="95">
      <c r="A95" s="6" t="inlineStr">
        <is>
          <t>Joint ventures and associates at carrying value (USD 000)</t>
        </is>
      </c>
      <c r="C95" s="27" t="n">
        <v>493120</v>
      </c>
    </row>
    <row r="96">
      <c r="A96" s="6" t="inlineStr">
        <is>
          <t>Equity attributable to shareholders at 31 March 2026 (USD 000)</t>
        </is>
      </c>
      <c r="C96" s="27" t="n">
        <v>5073902</v>
      </c>
    </row>
    <row r="97">
      <c r="A97" s="6" t="inlineStr">
        <is>
          <t>Cash and cash equivalents held (USD 000)</t>
        </is>
      </c>
      <c r="C97" s="27" t="n">
        <v>695345</v>
      </c>
    </row>
    <row r="98">
      <c r="A98" s="6" t="inlineStr">
        <is>
          <t>Intangible assets (USD 000)</t>
        </is>
      </c>
      <c r="C98" s="27" t="n">
        <v>19434</v>
      </c>
    </row>
    <row r="99">
      <c r="A99" s="6" t="inlineStr">
        <is>
          <t>Goodwill (USD 000)</t>
        </is>
      </c>
      <c r="C99" s="27" t="n">
        <v>51368</v>
      </c>
    </row>
    <row r="100">
      <c r="A100" s="6" t="inlineStr">
        <is>
          <t>Ordinary dividend declared for 2026 (USD 000)</t>
        </is>
      </c>
      <c r="C100" s="27" t="n">
        <v>341000</v>
      </c>
    </row>
    <row r="101">
      <c r="A101" s="6" t="inlineStr">
        <is>
          <t>Ordinary dividend growth</t>
        </is>
      </c>
      <c r="C101" s="30" t="n">
        <v>0.05</v>
      </c>
    </row>
    <row r="102">
      <c r="A102" s="6" t="inlineStr">
        <is>
          <t>Terminal growth</t>
        </is>
      </c>
      <c r="C102" s="30" t="n">
        <v>0.02</v>
      </c>
    </row>
    <row r="104">
      <c r="A104" s="11" t="inlineStr">
        <is>
          <t>Lens weights and the multiple blend</t>
        </is>
      </c>
      <c r="B104" s="14" t="n"/>
      <c r="C104" s="14" t="n"/>
      <c r="D104" s="14" t="n"/>
      <c r="E104" s="14" t="n"/>
      <c r="F104" s="14" t="n"/>
      <c r="G104" s="14" t="n"/>
      <c r="H104" s="14" t="n"/>
    </row>
    <row r="105">
      <c r="A105" s="6" t="inlineStr">
        <is>
          <t>Share of 2026 earnings exposed to spot rates</t>
        </is>
      </c>
      <c r="C105" s="30" t="n">
        <v>0.31</v>
      </c>
    </row>
    <row r="106">
      <c r="A106" s="6" t="inlineStr">
        <is>
          <t>Weight on the enterprise multiple within the relative lens</t>
        </is>
      </c>
      <c r="C106" s="30" t="n">
        <v>0.7</v>
      </c>
    </row>
    <row r="107">
      <c r="A107" s="6" t="inlineStr">
        <is>
          <t>Weight — discounted cash flow</t>
        </is>
      </c>
      <c r="C107" s="30" t="n">
        <v>0.4</v>
      </c>
    </row>
    <row r="108">
      <c r="A108" s="6" t="inlineStr">
        <is>
          <t>Weight — relative multiples</t>
        </is>
      </c>
      <c r="C108" s="30" t="n">
        <v>0.25</v>
      </c>
    </row>
    <row r="109">
      <c r="A109" s="6" t="inlineStr">
        <is>
          <t>Weight — normalised earnings power</t>
        </is>
      </c>
      <c r="C109" s="30" t="n">
        <v>0.2</v>
      </c>
    </row>
    <row r="110">
      <c r="A110" s="6" t="inlineStr">
        <is>
          <t>Weight — book value and sustainable return</t>
        </is>
      </c>
      <c r="C110" s="30" t="n">
        <v>0.15</v>
      </c>
    </row>
    <row r="112">
      <c r="A112" s="4" t="inlineStr">
        <is>
          <t>Every figure on this sheet is an input. Nothing here is computed; everything computed from these cells lives on the sheets that follow.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18">
        <f>DCF!$C$45</f>
        <v/>
      </c>
      <c r="D5" s="9">
        <f>C5/Assumptions!$C$6/1000*Assumptions!$C$7</f>
        <v/>
      </c>
    </row>
    <row r="6">
      <c r="A6" s="6" t="inlineStr">
        <is>
          <t>Present value of the terminal value</t>
        </is>
      </c>
      <c r="C6" s="18">
        <f>DCF!$C$46</f>
        <v/>
      </c>
      <c r="D6" s="9">
        <f>C6/Assumptions!$C$6/1000*Assumptions!$C$7</f>
        <v/>
      </c>
    </row>
    <row r="7">
      <c r="A7" s="14" t="inlineStr">
        <is>
          <t>Enterprise value of operations</t>
        </is>
      </c>
      <c r="B7" s="14" t="n"/>
      <c r="C7" s="32">
        <f>C5+C6</f>
        <v/>
      </c>
      <c r="D7" s="15">
        <f>C7/Assumptions!$C$6/1000*Assumptions!$C$7</f>
        <v/>
      </c>
    </row>
    <row r="8">
      <c r="A8" s="6" t="inlineStr">
        <is>
          <t>Terminal value as a share of enterprise value</t>
        </is>
      </c>
      <c r="C8" s="10">
        <f>C6/C7</f>
        <v/>
      </c>
    </row>
    <row r="9">
      <c r="A9" s="6" t="inlineStr">
        <is>
          <t>Plus joint ventures and associates at carrying value</t>
        </is>
      </c>
      <c r="C9" s="18">
        <f>Assumptions!$C$95</f>
        <v/>
      </c>
      <c r="D9" s="9">
        <f>C9/Assumptions!$C$6/1000*Assumptions!$C$7</f>
        <v/>
      </c>
    </row>
    <row r="10">
      <c r="A10" s="14" t="inlineStr">
        <is>
          <t>Enterprise value</t>
        </is>
      </c>
      <c r="B10" s="14" t="n"/>
      <c r="C10" s="32">
        <f>C7+C9</f>
        <v/>
      </c>
      <c r="D10" s="15">
        <f>C10/Assumptions!$C$6/1000*Assumptions!$C$7</f>
        <v/>
      </c>
    </row>
    <row r="11">
      <c r="A11" s="6" t="inlineStr">
        <is>
          <t>Less net debt at 31 March 2026</t>
        </is>
      </c>
      <c r="C11" s="18">
        <f>-Assumptions!$C$89</f>
        <v/>
      </c>
      <c r="D11" s="9">
        <f>C11/Assumptions!$C$6/1000*Assumptions!$C$7</f>
        <v/>
      </c>
    </row>
    <row r="12">
      <c r="A12" s="6" t="inlineStr">
        <is>
          <t>Less deferred consideration on acquisitions</t>
        </is>
      </c>
      <c r="C12" s="18">
        <f>-Assumptions!$C$90</f>
        <v/>
      </c>
      <c r="D12" s="9">
        <f>C12/Assumptions!$C$6/1000*Assumptions!$C$7</f>
        <v/>
      </c>
    </row>
    <row r="13">
      <c r="A13" s="6" t="inlineStr">
        <is>
          <t>Less perpetual capital securities at carrying value</t>
        </is>
      </c>
      <c r="C13" s="18">
        <f>-Assumptions!$C$91</f>
        <v/>
      </c>
      <c r="D13" s="9">
        <f>C13/Assumptions!$C$6/1000*Assumptions!$C$7</f>
        <v/>
      </c>
    </row>
    <row r="14">
      <c r="A14" s="6" t="inlineStr">
        <is>
          <t>Less non-controlling interests at carrying value</t>
        </is>
      </c>
      <c r="C14" s="18">
        <f>-Assumptions!$C$93</f>
        <v/>
      </c>
      <c r="D14" s="9">
        <f>C14/Assumptions!$C$6/1000*Assumptions!$C$7</f>
        <v/>
      </c>
    </row>
    <row r="15">
      <c r="A15" s="14" t="inlineStr">
        <is>
          <t>Equity attributable to ordinary shareholders</t>
        </is>
      </c>
      <c r="B15" s="14" t="n"/>
      <c r="C15" s="32">
        <f>C10+C11+C12+C13+C14</f>
        <v/>
      </c>
      <c r="D15" s="15">
        <f>C15/Assumptions!$C$6/1000*Assumptions!$C$7</f>
        <v/>
      </c>
    </row>
    <row r="16">
      <c r="A16" s="6" t="inlineStr">
        <is>
          <t>Fair value per share (USD)</t>
        </is>
      </c>
      <c r="C16" s="9">
        <f>C15/Assumptions!$C$6/1000</f>
        <v/>
      </c>
    </row>
    <row r="17">
      <c r="A17" s="14" t="inlineStr">
        <is>
          <t>Fair value per share (AED)</t>
        </is>
      </c>
      <c r="B17" s="14" t="n"/>
      <c r="C17" s="15">
        <f>C16*Assumptions!$C$7</f>
        <v/>
      </c>
      <c r="D17" s="14" t="n"/>
    </row>
    <row r="19">
      <c r="A19" s="11" t="inlineStr">
        <is>
          <t>THE SUM-OF-THE-PARTS CROSS-CHECK — EACH LEG ON ITS OWN MULTIPLE</t>
        </is>
      </c>
      <c r="B19" s="5" t="inlineStr"/>
      <c r="C19" s="5" t="inlineStr">
        <is>
          <t>2026E EBITDA</t>
        </is>
      </c>
      <c r="D19" s="5" t="inlineStr">
        <is>
          <t>Multiple</t>
        </is>
      </c>
      <c r="E19" s="5" t="inlineStr">
        <is>
          <t>Enterprise value</t>
        </is>
      </c>
      <c r="F19" s="5" t="inlineStr">
        <is>
          <t>Basis</t>
        </is>
      </c>
    </row>
    <row r="20" ht="28" customHeight="1">
      <c r="A20" s="6" t="inlineStr">
        <is>
          <t>Integrated Logistics</t>
        </is>
      </c>
      <c r="B20" s="18">
        <f>Segments!B99</f>
        <v/>
      </c>
      <c r="C20" s="33">
        <f>C26</f>
        <v/>
      </c>
      <c r="D20" s="31">
        <f>B20*C20</f>
        <v/>
      </c>
      <c r="E20" s="20" t="inlineStr">
        <is>
          <t>a contracted-fleet multiple, because this leg earns under long-term contracts</t>
        </is>
      </c>
    </row>
    <row r="21" ht="28" customHeight="1">
      <c r="A21" s="6" t="inlineStr">
        <is>
          <t>Shipping</t>
        </is>
      </c>
      <c r="B21" s="18">
        <f>Segments!B100</f>
        <v/>
      </c>
      <c r="C21" s="33">
        <f>C29</f>
        <v/>
      </c>
      <c r="D21" s="31">
        <f>B21*C21</f>
        <v/>
      </c>
      <c r="E21" s="20" t="inlineStr">
        <is>
          <t>a blend of the contracted and spot multiples, weighted by the company's own disclosed share of earnings exposed to spot rates</t>
        </is>
      </c>
    </row>
    <row r="22" ht="28" customHeight="1">
      <c r="A22" s="6" t="inlineStr">
        <is>
          <t>Services</t>
        </is>
      </c>
      <c r="B22" s="18">
        <f>Segments!B101</f>
        <v/>
      </c>
      <c r="C22" s="33">
        <f>C26</f>
        <v/>
      </c>
      <c r="D22" s="31">
        <f>B22*C22</f>
        <v/>
      </c>
      <c r="E22" s="20" t="inlineStr">
        <is>
          <t>a contracted-fleet multiple, because this leg earns under long-term contracts</t>
        </is>
      </c>
    </row>
    <row r="23">
      <c r="A23" s="11" t="inlineStr">
        <is>
          <t>Enterprise value of the operating legs</t>
        </is>
      </c>
      <c r="B23" s="14" t="n"/>
      <c r="C23" s="14" t="n"/>
      <c r="D23" s="34">
        <f>SUM(D20:D22)</f>
        <v/>
      </c>
      <c r="E23" s="14" t="n"/>
      <c r="F23" s="14" t="n"/>
    </row>
    <row r="25">
      <c r="A25" s="11" t="inlineStr">
        <is>
          <t>THE SHIPPING MULTIPLE, BUILT — NOT PASTED</t>
        </is>
      </c>
      <c r="B25" s="14" t="n"/>
      <c r="C25" s="14" t="n"/>
      <c r="D25" s="14" t="n"/>
      <c r="E25" s="14" t="n"/>
      <c r="F25" s="14" t="n"/>
    </row>
    <row r="26">
      <c r="A26" s="6" t="inlineStr">
        <is>
          <t>Contracted-fleet multiple (long-term contracted gas shipping peer)</t>
        </is>
      </c>
      <c r="C26" s="35">
        <f>'Peer &amp; Sector'!$C$10</f>
        <v/>
      </c>
    </row>
    <row r="27">
      <c r="A27" s="6" t="inlineStr">
        <is>
          <t>Spot-tanker multiple (average of the two spot-tanker peers)</t>
        </is>
      </c>
      <c r="C27" s="35">
        <f>'Peer &amp; Sector'!$C$11</f>
        <v/>
      </c>
    </row>
    <row r="28">
      <c r="A28" s="6" t="inlineStr">
        <is>
          <t>Share of 2026 earnings exposed to spot rates, as disclosed</t>
        </is>
      </c>
      <c r="C28" s="8">
        <f>Assumptions!$C$105</f>
        <v/>
      </c>
    </row>
    <row r="29">
      <c r="A29" s="6" t="inlineStr">
        <is>
          <t>Shipping multiple — the two weighted by that share</t>
        </is>
      </c>
      <c r="C29" s="33">
        <f>(1-C28)*C26+C28*C27</f>
        <v/>
      </c>
    </row>
    <row r="31">
      <c r="A31" s="11" t="inlineStr">
        <is>
          <t>THE SUM-OF-THE-PARTS BRIDGE TO EQUITY</t>
        </is>
      </c>
      <c r="B31" s="14" t="n"/>
      <c r="C31" s="14" t="n"/>
      <c r="D31" s="14" t="n"/>
      <c r="E31" s="14" t="n"/>
      <c r="F31" s="14" t="n"/>
    </row>
    <row r="32">
      <c r="A32" s="6" t="inlineStr">
        <is>
          <t>Enterprise value of the operating legs</t>
        </is>
      </c>
      <c r="C32" s="31">
        <f>D23</f>
        <v/>
      </c>
    </row>
    <row r="33">
      <c r="A33" s="6" t="inlineStr">
        <is>
          <t>Plus joint ventures and associates at carrying value</t>
        </is>
      </c>
      <c r="C33" s="18">
        <f>Assumptions!$C$95</f>
        <v/>
      </c>
    </row>
    <row r="34">
      <c r="A34" s="6" t="inlineStr">
        <is>
          <t>Enterprise value</t>
        </is>
      </c>
      <c r="C34" s="36">
        <f>C32+C33</f>
        <v/>
      </c>
    </row>
    <row r="35">
      <c r="A35" s="6" t="inlineStr">
        <is>
          <t>Less net debt at 31 March 2026</t>
        </is>
      </c>
      <c r="C35" s="18">
        <f>-Assumptions!$C$89</f>
        <v/>
      </c>
    </row>
    <row r="36">
      <c r="A36" s="6" t="inlineStr">
        <is>
          <t>Less deferred consideration on acquisitions</t>
        </is>
      </c>
      <c r="C36" s="18">
        <f>-Assumptions!$C$90</f>
        <v/>
      </c>
    </row>
    <row r="37">
      <c r="A37" s="6" t="inlineStr">
        <is>
          <t>Less perpetual capital securities at carrying value</t>
        </is>
      </c>
      <c r="C37" s="18">
        <f>-Assumptions!$C$91</f>
        <v/>
      </c>
    </row>
    <row r="38">
      <c r="A38" s="6" t="inlineStr">
        <is>
          <t>Less non-controlling interests at carrying value</t>
        </is>
      </c>
      <c r="C38" s="18">
        <f>-Assumptions!$C$93</f>
        <v/>
      </c>
    </row>
    <row r="39">
      <c r="A39" s="14" t="inlineStr">
        <is>
          <t>Equity attributable to ordinary shareholders</t>
        </is>
      </c>
      <c r="B39" s="14" t="n"/>
      <c r="C39" s="32">
        <f>C34+C35+C36+C37+C38</f>
        <v/>
      </c>
      <c r="D39" s="14" t="n"/>
      <c r="E39" s="14" t="n"/>
      <c r="F39" s="14" t="n"/>
    </row>
    <row r="40">
      <c r="A40" s="14" t="inlineStr">
        <is>
          <t>Sum-of-the-parts fair value per share (AED)</t>
        </is>
      </c>
      <c r="B40" s="14" t="n"/>
      <c r="C40" s="15">
        <f>C39/Assumptions!$C$6/1000*Assumptions!$C$7</f>
        <v/>
      </c>
      <c r="D40" s="14" t="n"/>
      <c r="E40" s="14" t="n"/>
      <c r="F40" s="14" t="n"/>
    </row>
    <row r="42">
      <c r="A42"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06"/>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7" t="n">
        <v>974525</v>
      </c>
      <c r="C5" s="27" t="n">
        <v>1108200</v>
      </c>
      <c r="D5" s="27" t="n">
        <v>1368875</v>
      </c>
    </row>
    <row r="6">
      <c r="A6" s="6" t="inlineStr">
        <is>
          <t>Offshore Services</t>
        </is>
      </c>
      <c r="B6" s="27" t="n">
        <v>500751</v>
      </c>
      <c r="C6" s="27" t="n">
        <v>552790</v>
      </c>
      <c r="D6" s="27" t="n">
        <v>628915</v>
      </c>
    </row>
    <row r="7">
      <c r="A7" s="6" t="inlineStr">
        <is>
          <t>Offshore Projects</t>
        </is>
      </c>
      <c r="B7" s="27" t="n">
        <v>157146</v>
      </c>
      <c r="C7" s="27" t="n">
        <v>619930</v>
      </c>
      <c r="D7" s="27" t="n">
        <v>531333</v>
      </c>
    </row>
    <row r="8">
      <c r="A8" s="6" t="inlineStr">
        <is>
          <t>Tankers</t>
        </is>
      </c>
      <c r="B8" s="27" t="n">
        <v>407370</v>
      </c>
      <c r="C8" s="27" t="n">
        <v>516530</v>
      </c>
      <c r="D8" s="27" t="n">
        <v>1719714</v>
      </c>
    </row>
    <row r="9">
      <c r="A9" s="6" t="inlineStr">
        <is>
          <t>Gas Carriers</t>
        </is>
      </c>
      <c r="B9" s="27" t="n">
        <v>173550</v>
      </c>
      <c r="C9" s="27" t="n">
        <v>152650</v>
      </c>
      <c r="D9" s="27" t="n">
        <v>179794</v>
      </c>
    </row>
    <row r="10">
      <c r="A10" s="6" t="inlineStr">
        <is>
          <t>Dry-Bulk and Containers</t>
        </is>
      </c>
      <c r="B10" s="27" t="n">
        <v>257900</v>
      </c>
      <c r="C10" s="27" t="n">
        <v>286820</v>
      </c>
      <c r="D10" s="27" t="n">
        <v>225048</v>
      </c>
    </row>
    <row r="11">
      <c r="A11" s="6" t="inlineStr">
        <is>
          <t>Services</t>
        </is>
      </c>
      <c r="B11" s="27" t="n">
        <v>283910</v>
      </c>
      <c r="C11" s="27" t="n">
        <v>312410</v>
      </c>
      <c r="D11" s="27" t="n">
        <v>362433</v>
      </c>
    </row>
    <row r="12">
      <c r="A12" s="11" t="inlineStr">
        <is>
          <t>Total revenue</t>
        </is>
      </c>
      <c r="B12" s="34">
        <f>SUM(B5:B11)</f>
        <v/>
      </c>
      <c r="C12" s="34">
        <f>SUM(C5:C11)</f>
        <v/>
      </c>
      <c r="D12" s="34">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7" t="n">
        <v>424419</v>
      </c>
      <c r="C15" s="27" t="n">
        <v>497703</v>
      </c>
      <c r="D15" s="27" t="n">
        <v>623065</v>
      </c>
    </row>
    <row r="16">
      <c r="A16" s="6" t="inlineStr">
        <is>
          <t>Offshore Services</t>
        </is>
      </c>
      <c r="B16" s="27" t="n">
        <v>92741</v>
      </c>
      <c r="C16" s="27" t="n">
        <v>134880</v>
      </c>
      <c r="D16" s="27" t="n">
        <v>178369</v>
      </c>
    </row>
    <row r="17">
      <c r="A17" s="6" t="inlineStr">
        <is>
          <t>Offshore Projects</t>
        </is>
      </c>
      <c r="B17" s="27" t="n">
        <v>10439</v>
      </c>
      <c r="C17" s="27" t="n">
        <v>54240</v>
      </c>
      <c r="D17" s="27" t="n">
        <v>28024</v>
      </c>
    </row>
    <row r="18">
      <c r="A18" s="6" t="inlineStr">
        <is>
          <t>Tankers</t>
        </is>
      </c>
      <c r="B18" s="27" t="n">
        <v>159260</v>
      </c>
      <c r="C18" s="27" t="n">
        <v>239700</v>
      </c>
      <c r="D18" s="27" t="n">
        <v>451220</v>
      </c>
    </row>
    <row r="19">
      <c r="A19" s="6" t="inlineStr">
        <is>
          <t>Gas Carriers</t>
        </is>
      </c>
      <c r="B19" s="27" t="n">
        <v>101022</v>
      </c>
      <c r="C19" s="27" t="n">
        <v>87308</v>
      </c>
      <c r="D19" s="27" t="n">
        <v>129547</v>
      </c>
    </row>
    <row r="20">
      <c r="A20" s="6" t="inlineStr">
        <is>
          <t>Dry-Bulk and Containers</t>
        </is>
      </c>
      <c r="B20" s="27" t="n">
        <v>60280</v>
      </c>
      <c r="C20" s="27" t="n">
        <v>69440</v>
      </c>
      <c r="D20" s="27" t="n">
        <v>37862</v>
      </c>
    </row>
    <row r="21">
      <c r="A21" s="6" t="inlineStr">
        <is>
          <t>Services</t>
        </is>
      </c>
      <c r="B21" s="27" t="n">
        <v>44488</v>
      </c>
      <c r="C21" s="27" t="n">
        <v>56000</v>
      </c>
      <c r="D21" s="27" t="n">
        <v>60273</v>
      </c>
    </row>
    <row r="22">
      <c r="A22" s="11" t="inlineStr">
        <is>
          <t>Total segment EBITDA</t>
        </is>
      </c>
      <c r="B22" s="34">
        <f>SUM(B15:B21)</f>
        <v/>
      </c>
      <c r="C22" s="34">
        <f>SUM(C15:C21)</f>
        <v/>
      </c>
      <c r="D22" s="34">
        <f>SUM(D15:D21)</f>
        <v/>
      </c>
    </row>
    <row r="23">
      <c r="A23" s="6" t="inlineStr">
        <is>
          <t>Segment EBITDA margin</t>
        </is>
      </c>
      <c r="B23" s="10">
        <f>B22/B12</f>
        <v/>
      </c>
      <c r="C23" s="10">
        <f>C22/C12</f>
        <v/>
      </c>
      <c r="D23" s="10">
        <f>D22/D12</f>
        <v/>
      </c>
    </row>
    <row r="25">
      <c r="A25" s="11" t="inlineStr">
        <is>
          <t>TANKERS — THE UNIT BUILD, VESSEL BY VESSEL</t>
        </is>
      </c>
      <c r="B25" s="14" t="inlineStr">
        <is>
          <t>Handysize</t>
        </is>
      </c>
      <c r="C25" s="14" t="inlineStr">
        <is>
          <t>Medium range</t>
        </is>
      </c>
      <c r="D25" s="14" t="inlineStr">
        <is>
          <t>Long range 1</t>
        </is>
      </c>
      <c r="E25" s="14" t="inlineStr">
        <is>
          <t>Long range 2</t>
        </is>
      </c>
      <c r="F25" s="14" t="inlineStr">
        <is>
          <t>Very large crude carrier</t>
        </is>
      </c>
      <c r="G25" s="14" t="n"/>
      <c r="H25" s="14" t="n"/>
      <c r="I25" s="14" t="n"/>
    </row>
    <row r="26">
      <c r="A26" s="6" t="inlineStr">
        <is>
          <t>Vessels owned</t>
        </is>
      </c>
      <c r="B26" s="18">
        <f>Assumptions!$B$35</f>
        <v/>
      </c>
      <c r="C26" s="18">
        <f>Assumptions!$C$35</f>
        <v/>
      </c>
      <c r="D26" s="18">
        <f>Assumptions!$D$35</f>
        <v/>
      </c>
      <c r="E26" s="18">
        <f>Assumptions!$E$35</f>
        <v/>
      </c>
      <c r="F26" s="18">
        <f>Assumptions!$F$35</f>
        <v/>
      </c>
    </row>
    <row r="27">
      <c r="A27" s="6" t="inlineStr">
        <is>
          <t>Vessels trading at spot rates</t>
        </is>
      </c>
      <c r="B27" s="18">
        <f>Assumptions!$B$36</f>
        <v/>
      </c>
      <c r="C27" s="18">
        <f>Assumptions!$C$36</f>
        <v/>
      </c>
      <c r="D27" s="18">
        <f>Assumptions!$D$36</f>
        <v/>
      </c>
      <c r="E27" s="18">
        <f>Assumptions!$E$36</f>
        <v/>
      </c>
      <c r="F27" s="18">
        <f>Assumptions!$F$36</f>
        <v/>
      </c>
    </row>
    <row r="28">
      <c r="A28" s="6" t="inlineStr">
        <is>
          <t>Vessels on charters out at fixed rates</t>
        </is>
      </c>
      <c r="B28" s="31">
        <f>B26-B27</f>
        <v/>
      </c>
      <c r="C28" s="31">
        <f>C26-C27</f>
        <v/>
      </c>
      <c r="D28" s="31">
        <f>D26-D27</f>
        <v/>
      </c>
      <c r="E28" s="31">
        <f>E26-E27</f>
        <v/>
      </c>
      <c r="F28" s="31">
        <f>F26-F27</f>
        <v/>
      </c>
    </row>
    <row r="29">
      <c r="A29" s="6" t="inlineStr">
        <is>
          <t>Fixed charter-out rate (USD per day)</t>
        </is>
      </c>
      <c r="B29" s="18">
        <f>Assumptions!$B$37</f>
        <v/>
      </c>
      <c r="C29" s="18">
        <f>Assumptions!$C$37</f>
        <v/>
      </c>
      <c r="D29" s="18">
        <f>Assumptions!$D$37</f>
        <v/>
      </c>
      <c r="E29" s="18">
        <f>Assumptions!$E$37</f>
        <v/>
      </c>
      <c r="F29" s="18">
        <f>Assumptions!$F$37</f>
        <v/>
      </c>
    </row>
    <row r="30">
      <c r="A30" s="6" t="inlineStr">
        <is>
          <t>2025 average time-charter equivalent (USD per day)</t>
        </is>
      </c>
      <c r="B30" s="18">
        <f>Assumptions!$B$38</f>
        <v/>
      </c>
      <c r="C30" s="18">
        <f>Assumptions!$C$38</f>
        <v/>
      </c>
      <c r="D30" s="18">
        <f>Assumptions!$D$38</f>
        <v/>
      </c>
      <c r="E30" s="18">
        <f>Assumptions!$E$38</f>
        <v/>
      </c>
      <c r="F30" s="18">
        <f>Assumptions!$F$38</f>
        <v/>
      </c>
    </row>
    <row r="31">
      <c r="A31" s="6" t="inlineStr">
        <is>
          <t>First-quarter 2026 time-charter equivalent (USD per day)</t>
        </is>
      </c>
      <c r="B31" s="18">
        <f>Assumptions!$B$39</f>
        <v/>
      </c>
      <c r="C31" s="18">
        <f>Assumptions!$C$39</f>
        <v/>
      </c>
      <c r="D31" s="18">
        <f>Assumptions!$D$39</f>
        <v/>
      </c>
      <c r="E31" s="18">
        <f>Assumptions!$E$39</f>
        <v/>
      </c>
      <c r="F31" s="18">
        <f>Assumptions!$F$39</f>
        <v/>
      </c>
    </row>
    <row r="32">
      <c r="A32" s="6" t="inlineStr">
        <is>
          <t>Second-quarter 2026 time-charter equivalent (USD per day)</t>
        </is>
      </c>
      <c r="B32" s="18">
        <f>Assumptions!$B$40</f>
        <v/>
      </c>
      <c r="C32" s="18">
        <f>Assumptions!$C$40</f>
        <v/>
      </c>
      <c r="D32" s="18">
        <f>Assumptions!$D$40</f>
        <v/>
      </c>
      <c r="E32" s="18">
        <f>Assumptions!$E$40</f>
        <v/>
      </c>
      <c r="F32" s="18">
        <f>Assumptions!$F$40</f>
        <v/>
      </c>
    </row>
    <row r="33">
      <c r="A33" s="6" t="inlineStr">
        <is>
          <t>Second-half 2026 time-charter equivalent — the first quarter stepped back toward the 2025 average (USD per day)</t>
        </is>
      </c>
      <c r="B33" s="31">
        <f>B31*(1-Assumptions!$C$44)+B30*Assumptions!$C$44</f>
        <v/>
      </c>
      <c r="C33" s="31">
        <f>C31*(1-Assumptions!$C$44)+C30*Assumptions!$C$44</f>
        <v/>
      </c>
      <c r="D33" s="31">
        <f>D31*(1-Assumptions!$C$44)+D30*Assumptions!$C$44</f>
        <v/>
      </c>
      <c r="E33" s="31">
        <f>E31*(1-Assumptions!$C$44)+E30*Assumptions!$C$44</f>
        <v/>
      </c>
      <c r="F33" s="31">
        <f>F31*(1-Assumptions!$C$44)+F30*Assumptions!$C$44</f>
        <v/>
      </c>
    </row>
    <row r="34">
      <c r="A34" s="6" t="inlineStr">
        <is>
          <t>FY2026 spot time-charter equivalent — the four quarters averaged (USD per day)</t>
        </is>
      </c>
      <c r="B34" s="31">
        <f>(B31+B32+2*B33)/4</f>
        <v/>
      </c>
      <c r="C34" s="31">
        <f>(C31+C32+2*C33)/4</f>
        <v/>
      </c>
      <c r="D34" s="31">
        <f>(D31+D32+2*D33)/4</f>
        <v/>
      </c>
      <c r="E34" s="31">
        <f>(E31+E32+2*E33)/4</f>
        <v/>
      </c>
      <c r="F34" s="31">
        <f>(F31+F32+2*F33)/4</f>
        <v/>
      </c>
    </row>
    <row r="35">
      <c r="A35" s="6" t="inlineStr">
        <is>
          <t>Mid-cycle rate anchor (USD per day)</t>
        </is>
      </c>
      <c r="B35" s="18">
        <f>Assumptions!$B$41</f>
        <v/>
      </c>
      <c r="C35" s="18">
        <f>Assumptions!$C$41</f>
        <v/>
      </c>
      <c r="D35" s="18">
        <f>Assumptions!$D$41</f>
        <v/>
      </c>
      <c r="E35" s="18">
        <f>Assumptions!$E$41</f>
        <v/>
      </c>
      <c r="F35" s="18">
        <f>Assumptions!$F$41</f>
        <v/>
      </c>
    </row>
    <row r="37">
      <c r="A37" s="11" t="inlineStr">
        <is>
          <t>Spot time-charter equivalent by class, gliding to the mid-cycle anchor (USD per day)</t>
        </is>
      </c>
      <c r="B37" s="14" t="inlineStr">
        <is>
          <t>FY2026</t>
        </is>
      </c>
      <c r="C37" s="14" t="inlineStr">
        <is>
          <t>FY2027</t>
        </is>
      </c>
      <c r="D37" s="14" t="inlineStr">
        <is>
          <t>FY2028</t>
        </is>
      </c>
      <c r="E37" s="14" t="inlineStr">
        <is>
          <t>FY2029</t>
        </is>
      </c>
      <c r="F37" s="14" t="inlineStr">
        <is>
          <t>FY2030</t>
        </is>
      </c>
    </row>
    <row r="38">
      <c r="A38" s="6" t="inlineStr">
        <is>
          <t>Handysize</t>
        </is>
      </c>
      <c r="B38" s="31">
        <f>$B$34</f>
        <v/>
      </c>
      <c r="C38" s="31">
        <f>$B$34+($B$35-$B$34)*1/4</f>
        <v/>
      </c>
      <c r="D38" s="31">
        <f>$B$34+($B$35-$B$34)*2/4</f>
        <v/>
      </c>
      <c r="E38" s="31">
        <f>$B$34+($B$35-$B$34)*3/4</f>
        <v/>
      </c>
      <c r="F38" s="31">
        <f>$B$34+($B$35-$B$34)*4/4</f>
        <v/>
      </c>
    </row>
    <row r="39">
      <c r="A39" s="6" t="inlineStr">
        <is>
          <t>Medium range</t>
        </is>
      </c>
      <c r="B39" s="31">
        <f>$C$34</f>
        <v/>
      </c>
      <c r="C39" s="31">
        <f>$C$34+($C$35-$C$34)*1/4</f>
        <v/>
      </c>
      <c r="D39" s="31">
        <f>$C$34+($C$35-$C$34)*2/4</f>
        <v/>
      </c>
      <c r="E39" s="31">
        <f>$C$34+($C$35-$C$34)*3/4</f>
        <v/>
      </c>
      <c r="F39" s="31">
        <f>$C$34+($C$35-$C$34)*4/4</f>
        <v/>
      </c>
    </row>
    <row r="40">
      <c r="A40" s="6" t="inlineStr">
        <is>
          <t>Long range 1</t>
        </is>
      </c>
      <c r="B40" s="31">
        <f>$D$34</f>
        <v/>
      </c>
      <c r="C40" s="31">
        <f>$D$34+($D$35-$D$34)*1/4</f>
        <v/>
      </c>
      <c r="D40" s="31">
        <f>$D$34+($D$35-$D$34)*2/4</f>
        <v/>
      </c>
      <c r="E40" s="31">
        <f>$D$34+($D$35-$D$34)*3/4</f>
        <v/>
      </c>
      <c r="F40" s="31">
        <f>$D$34+($D$35-$D$34)*4/4</f>
        <v/>
      </c>
    </row>
    <row r="41">
      <c r="A41" s="6" t="inlineStr">
        <is>
          <t>Long range 2</t>
        </is>
      </c>
      <c r="B41" s="31">
        <f>$E$34</f>
        <v/>
      </c>
      <c r="C41" s="31">
        <f>$E$34+($E$35-$E$34)*1/4</f>
        <v/>
      </c>
      <c r="D41" s="31">
        <f>$E$34+($E$35-$E$34)*2/4</f>
        <v/>
      </c>
      <c r="E41" s="31">
        <f>$E$34+($E$35-$E$34)*3/4</f>
        <v/>
      </c>
      <c r="F41" s="31">
        <f>$E$34+($E$35-$E$34)*4/4</f>
        <v/>
      </c>
    </row>
    <row r="42">
      <c r="A42" s="6" t="inlineStr">
        <is>
          <t>Very large crude carrier</t>
        </is>
      </c>
      <c r="B42" s="31">
        <f>$F$34</f>
        <v/>
      </c>
      <c r="C42" s="31">
        <f>$F$34+($F$35-$F$34)*1/4</f>
        <v/>
      </c>
      <c r="D42" s="31">
        <f>$F$34+($F$35-$F$34)*2/4</f>
        <v/>
      </c>
      <c r="E42" s="31">
        <f>$F$34+($F$35-$F$34)*3/4</f>
        <v/>
      </c>
      <c r="F42" s="31">
        <f>$F$34+($F$35-$F$34)*4/4</f>
        <v/>
      </c>
    </row>
    <row r="44">
      <c r="A44" s="11" t="inlineStr">
        <is>
          <t>Tanker revenue and running cost (USD 000)</t>
        </is>
      </c>
      <c r="B44" s="14" t="inlineStr">
        <is>
          <t>FY2026</t>
        </is>
      </c>
      <c r="C44" s="14" t="inlineStr">
        <is>
          <t>FY2027</t>
        </is>
      </c>
      <c r="D44" s="14" t="inlineStr">
        <is>
          <t>FY2028</t>
        </is>
      </c>
      <c r="E44" s="14" t="inlineStr">
        <is>
          <t>FY2029</t>
        </is>
      </c>
      <c r="F44" s="14" t="inlineStr">
        <is>
          <t>FY2030</t>
        </is>
      </c>
    </row>
    <row r="45">
      <c r="A45" s="6" t="inlineStr">
        <is>
          <t>Spot fleet — vessels x rate per day x 365</t>
        </is>
      </c>
      <c r="B45" s="31">
        <f>($B$27*B38+$C$27*B39+$D$27*B40+$E$27*B41+$F$27*B42)*365/1000</f>
        <v/>
      </c>
      <c r="C45" s="31">
        <f>($B$27*C38+$C$27*C39+$D$27*C40+$E$27*C41+$F$27*C42)*365/1000</f>
        <v/>
      </c>
      <c r="D45" s="31">
        <f>($B$27*D38+$C$27*D39+$D$27*D40+$E$27*D41+$F$27*D42)*365/1000</f>
        <v/>
      </c>
      <c r="E45" s="31">
        <f>($B$27*E38+$C$27*E39+$D$27*E40+$E$27*E41+$F$27*E42)*365/1000</f>
        <v/>
      </c>
      <c r="F45" s="31">
        <f>($B$27*F38+$C$27*F39+$D$27*F40+$E$27*F41+$F$27*F42)*365/1000</f>
        <v/>
      </c>
    </row>
    <row r="46">
      <c r="A46" s="6" t="inlineStr">
        <is>
          <t>Chartered-out fleet — vessels at their fixed rates while the contracts run, at spot thereafter</t>
        </is>
      </c>
      <c r="B46" s="31">
        <f>($B$28*($B$29*Assumptions!$B$50+B38*(1-Assumptions!$B$50))+$C$28*($C$29*Assumptions!$B$50+B39*(1-Assumptions!$B$50))+$D$28*($D$29*Assumptions!$B$50+B40*(1-Assumptions!$B$50))+$E$28*($E$29*Assumptions!$B$50+B41*(1-Assumptions!$B$50))+$F$28*($F$29*Assumptions!$B$50+B42*(1-Assumptions!$B$50)))*365/1000</f>
        <v/>
      </c>
      <c r="C46" s="31">
        <f>($B$28*($B$29*Assumptions!$C$50+C38*(1-Assumptions!$C$50))+$C$28*($C$29*Assumptions!$C$50+C39*(1-Assumptions!$C$50))+$D$28*($D$29*Assumptions!$C$50+C40*(1-Assumptions!$C$50))+$E$28*($E$29*Assumptions!$C$50+C41*(1-Assumptions!$C$50))+$F$28*($F$29*Assumptions!$C$50+C42*(1-Assumptions!$C$50)))*365/1000</f>
        <v/>
      </c>
      <c r="D46" s="31">
        <f>($B$28*($B$29*Assumptions!$D$50+D38*(1-Assumptions!$D$50))+$C$28*($C$29*Assumptions!$D$50+D39*(1-Assumptions!$D$50))+$D$28*($D$29*Assumptions!$D$50+D40*(1-Assumptions!$D$50))+$E$28*($E$29*Assumptions!$D$50+D41*(1-Assumptions!$D$50))+$F$28*($F$29*Assumptions!$D$50+D42*(1-Assumptions!$D$50)))*365/1000</f>
        <v/>
      </c>
      <c r="E46" s="31">
        <f>($B$28*($B$29*Assumptions!$E$50+E38*(1-Assumptions!$E$50))+$C$28*($C$29*Assumptions!$E$50+E39*(1-Assumptions!$E$50))+$D$28*($D$29*Assumptions!$E$50+E40*(1-Assumptions!$E$50))+$E$28*($E$29*Assumptions!$E$50+E41*(1-Assumptions!$E$50))+$F$28*($F$29*Assumptions!$E$50+E42*(1-Assumptions!$E$50)))*365/1000</f>
        <v/>
      </c>
      <c r="F46" s="31">
        <f>($B$28*($B$29*Assumptions!$F$50+F38*(1-Assumptions!$F$50))+$C$28*($C$29*Assumptions!$F$50+F39*(1-Assumptions!$F$50))+$D$28*($D$29*Assumptions!$F$50+F40*(1-Assumptions!$F$50))+$E$28*($E$29*Assumptions!$F$50+F41*(1-Assumptions!$F$50))+$F$28*($F$29*Assumptions!$F$50+F42*(1-Assumptions!$F$50)))*365/1000</f>
        <v/>
      </c>
    </row>
    <row r="47">
      <c r="A47" s="37" t="inlineStr">
        <is>
          <t>Time-charter-equivalent revenue</t>
        </is>
      </c>
      <c r="B47" s="36">
        <f>B45+B46</f>
        <v/>
      </c>
      <c r="C47" s="36">
        <f>C45+C46</f>
        <v/>
      </c>
      <c r="D47" s="36">
        <f>D45+D46</f>
        <v/>
      </c>
      <c r="E47" s="36">
        <f>E45+E46</f>
        <v/>
      </c>
      <c r="F47" s="36">
        <f>F45+F46</f>
        <v/>
      </c>
    </row>
    <row r="48">
      <c r="A48" s="6" t="inlineStr">
        <is>
          <t>Vessel-days a year (owned fleet x 365)</t>
        </is>
      </c>
      <c r="B48" s="31">
        <f>SUM(B26:F26)*365</f>
        <v/>
      </c>
    </row>
    <row r="49">
      <c r="A49" s="6" t="inlineStr">
        <is>
          <t>Running cost per vessel-day, escalated (USD)</t>
        </is>
      </c>
      <c r="B49" s="38">
        <f>Assumptions!$C$45*(1+Assumptions!$C$46)^1</f>
        <v/>
      </c>
      <c r="C49" s="38">
        <f>Assumptions!$C$45*(1+Assumptions!$C$46)^2</f>
        <v/>
      </c>
      <c r="D49" s="38">
        <f>Assumptions!$C$45*(1+Assumptions!$C$46)^3</f>
        <v/>
      </c>
      <c r="E49" s="38">
        <f>Assumptions!$C$45*(1+Assumptions!$C$46)^4</f>
        <v/>
      </c>
      <c r="F49" s="38">
        <f>Assumptions!$C$45*(1+Assumptions!$C$46)^5</f>
        <v/>
      </c>
    </row>
    <row r="50">
      <c r="A50" s="6" t="inlineStr">
        <is>
          <t>Total running cost — cost per day x vessel-days</t>
        </is>
      </c>
      <c r="B50" s="31">
        <f>$B$48*B49/1000</f>
        <v/>
      </c>
      <c r="C50" s="31">
        <f>$B$48*C49/1000</f>
        <v/>
      </c>
      <c r="D50" s="31">
        <f>$B$48*D49/1000</f>
        <v/>
      </c>
      <c r="E50" s="31">
        <f>$B$48*E49/1000</f>
        <v/>
      </c>
      <c r="F50" s="31">
        <f>$B$48*F49/1000</f>
        <v/>
      </c>
    </row>
    <row r="51">
      <c r="A51" s="37" t="inlineStr">
        <is>
          <t>Tankers EBITDA</t>
        </is>
      </c>
      <c r="B51" s="36">
        <f>B47-B50</f>
        <v/>
      </c>
      <c r="C51" s="36">
        <f>C47-C50</f>
        <v/>
      </c>
      <c r="D51" s="36">
        <f>D47-D50</f>
        <v/>
      </c>
      <c r="E51" s="36">
        <f>E47-E50</f>
        <v/>
      </c>
      <c r="F51" s="36">
        <f>F47-F50</f>
        <v/>
      </c>
    </row>
    <row r="52">
      <c r="A52" s="6" t="inlineStr">
        <is>
          <t>Gross-up from time-charter-equivalent to reported revenue</t>
        </is>
      </c>
      <c r="B52" s="39">
        <f>Assumptions!$C$47</f>
        <v/>
      </c>
      <c r="C52" s="39">
        <f>Assumptions!$C$47</f>
        <v/>
      </c>
      <c r="D52" s="39">
        <f>Assumptions!$C$47</f>
        <v/>
      </c>
      <c r="E52" s="39">
        <f>Assumptions!$C$47</f>
        <v/>
      </c>
      <c r="F52" s="39">
        <f>Assumptions!$C$47</f>
        <v/>
      </c>
    </row>
    <row r="53">
      <c r="A53" s="37" t="inlineStr">
        <is>
          <t>Tankers revenue</t>
        </is>
      </c>
      <c r="B53" s="36">
        <f>B47*B52</f>
        <v/>
      </c>
      <c r="C53" s="36">
        <f>C47*C52</f>
        <v/>
      </c>
      <c r="D53" s="36">
        <f>D47*D52</f>
        <v/>
      </c>
      <c r="E53" s="36">
        <f>E47*E52</f>
        <v/>
      </c>
      <c r="F53" s="36">
        <f>F47*F52</f>
        <v/>
      </c>
    </row>
    <row r="55">
      <c r="A55" s="11" t="inlineStr">
        <is>
          <t>GAS CARRIERS — CONTRACTED VESSEL-YEARS x IMPLIED DAY RATE</t>
        </is>
      </c>
      <c r="B55" s="14" t="inlineStr">
        <is>
          <t>FY2026</t>
        </is>
      </c>
      <c r="C55" s="14" t="inlineStr">
        <is>
          <t>FY2027</t>
        </is>
      </c>
      <c r="D55" s="14" t="inlineStr">
        <is>
          <t>FY2028</t>
        </is>
      </c>
      <c r="E55" s="14" t="inlineStr">
        <is>
          <t>FY2029</t>
        </is>
      </c>
      <c r="F55" s="14" t="inlineStr">
        <is>
          <t>FY2030</t>
        </is>
      </c>
    </row>
    <row r="56">
      <c r="A56" s="6" t="inlineStr">
        <is>
          <t>Contracted vessel-years</t>
        </is>
      </c>
      <c r="B56" s="17">
        <f>Assumptions!$B$51</f>
        <v/>
      </c>
      <c r="C56" s="17">
        <f>Assumptions!$C$51</f>
        <v/>
      </c>
      <c r="D56" s="17">
        <f>Assumptions!$D$51</f>
        <v/>
      </c>
      <c r="E56" s="17">
        <f>Assumptions!$E$51</f>
        <v/>
      </c>
      <c r="F56" s="17">
        <f>Assumptions!$F$51</f>
        <v/>
      </c>
    </row>
    <row r="57">
      <c r="A57" s="6" t="inlineStr">
        <is>
          <t>Revenue per vessel-day, escalated (USD)</t>
        </is>
      </c>
      <c r="B57" s="31">
        <f>Assumptions!$C$52*(1+Assumptions!$C$46)^1</f>
        <v/>
      </c>
      <c r="C57" s="31">
        <f>Assumptions!$C$52*(1+Assumptions!$C$46)^2</f>
        <v/>
      </c>
      <c r="D57" s="31">
        <f>Assumptions!$C$52*(1+Assumptions!$C$46)^3</f>
        <v/>
      </c>
      <c r="E57" s="31">
        <f>Assumptions!$C$52*(1+Assumptions!$C$46)^4</f>
        <v/>
      </c>
      <c r="F57" s="31">
        <f>Assumptions!$C$52*(1+Assumptions!$C$46)^5</f>
        <v/>
      </c>
    </row>
    <row r="58">
      <c r="A58" s="6" t="inlineStr">
        <is>
          <t>Gas Carriers revenue</t>
        </is>
      </c>
      <c r="B58" s="31">
        <f>B56*365*B57/1000</f>
        <v/>
      </c>
      <c r="C58" s="31">
        <f>C56*365*C57/1000</f>
        <v/>
      </c>
      <c r="D58" s="31">
        <f>D56*365*D57/1000</f>
        <v/>
      </c>
      <c r="E58" s="31">
        <f>E56*365*E57/1000</f>
        <v/>
      </c>
      <c r="F58" s="31">
        <f>F56*365*F57/1000</f>
        <v/>
      </c>
    </row>
    <row r="59">
      <c r="A59" s="6" t="inlineStr">
        <is>
          <t>Gas Carriers earnings margin</t>
        </is>
      </c>
      <c r="B59" s="8">
        <f>Assumptions!$C$53</f>
        <v/>
      </c>
      <c r="C59" s="8">
        <f>Assumptions!$C$53</f>
        <v/>
      </c>
      <c r="D59" s="8">
        <f>Assumptions!$C$53</f>
        <v/>
      </c>
      <c r="E59" s="8">
        <f>Assumptions!$C$53</f>
        <v/>
      </c>
      <c r="F59" s="8">
        <f>Assumptions!$C$53</f>
        <v/>
      </c>
    </row>
    <row r="60">
      <c r="A60" s="37" t="inlineStr">
        <is>
          <t>Gas Carriers EBITDA</t>
        </is>
      </c>
      <c r="B60" s="36">
        <f>B58*B59</f>
        <v/>
      </c>
      <c r="C60" s="36">
        <f>C58*C59</f>
        <v/>
      </c>
      <c r="D60" s="36">
        <f>D58*D59</f>
        <v/>
      </c>
      <c r="E60" s="36">
        <f>E58*E59</f>
        <v/>
      </c>
      <c r="F60" s="36">
        <f>F58*F59</f>
        <v/>
      </c>
    </row>
    <row r="62">
      <c r="A62" s="11" t="inlineStr">
        <is>
          <t>THE REMAINING FIVE UNITS — REVENUE DRIVER x MARGIN DRIVER</t>
        </is>
      </c>
      <c r="B62" s="14" t="inlineStr">
        <is>
          <t>FY2026</t>
        </is>
      </c>
      <c r="C62" s="14" t="inlineStr">
        <is>
          <t>FY2027</t>
        </is>
      </c>
      <c r="D62" s="14" t="inlineStr">
        <is>
          <t>FY2028</t>
        </is>
      </c>
      <c r="E62" s="14" t="inlineStr">
        <is>
          <t>FY2029</t>
        </is>
      </c>
      <c r="F62" s="14" t="inlineStr">
        <is>
          <t>FY2030</t>
        </is>
      </c>
    </row>
    <row r="63">
      <c r="A63" s="6" t="inlineStr">
        <is>
          <t>Offshore Contracting — revenue</t>
        </is>
      </c>
      <c r="B63" s="18">
        <f>Assumptions!$B$56</f>
        <v/>
      </c>
      <c r="C63" s="18">
        <f>Assumptions!$C$56</f>
        <v/>
      </c>
      <c r="D63" s="18">
        <f>Assumptions!$D$56</f>
        <v/>
      </c>
      <c r="E63" s="18">
        <f>Assumptions!$E$56</f>
        <v/>
      </c>
      <c r="F63" s="18">
        <f>Assumptions!$F$56</f>
        <v/>
      </c>
    </row>
    <row r="64">
      <c r="A64" s="6" t="inlineStr">
        <is>
          <t>Offshore Contracting — EBITDA</t>
        </is>
      </c>
      <c r="B64" s="31">
        <f>B63*Assumptions!$B$57</f>
        <v/>
      </c>
      <c r="C64" s="31">
        <f>C63*Assumptions!$C$57</f>
        <v/>
      </c>
      <c r="D64" s="31">
        <f>D63*Assumptions!$D$57</f>
        <v/>
      </c>
      <c r="E64" s="31">
        <f>E63*Assumptions!$E$57</f>
        <v/>
      </c>
      <c r="F64" s="31">
        <f>F63*Assumptions!$F$57</f>
        <v/>
      </c>
    </row>
    <row r="65">
      <c r="A65" s="6" t="inlineStr">
        <is>
          <t>Offshore Services — revenue</t>
        </is>
      </c>
      <c r="B65" s="18">
        <f>Assumptions!$B$58</f>
        <v/>
      </c>
      <c r="C65" s="18">
        <f>Assumptions!$C$58</f>
        <v/>
      </c>
      <c r="D65" s="18">
        <f>Assumptions!$D$58</f>
        <v/>
      </c>
      <c r="E65" s="18">
        <f>Assumptions!$E$58</f>
        <v/>
      </c>
      <c r="F65" s="18">
        <f>Assumptions!$F$58</f>
        <v/>
      </c>
    </row>
    <row r="66">
      <c r="A66" s="6" t="inlineStr">
        <is>
          <t>Offshore Services — EBITDA</t>
        </is>
      </c>
      <c r="B66" s="31">
        <f>B65*Assumptions!$B$59</f>
        <v/>
      </c>
      <c r="C66" s="31">
        <f>C65*Assumptions!$C$59</f>
        <v/>
      </c>
      <c r="D66" s="31">
        <f>D65*Assumptions!$D$59</f>
        <v/>
      </c>
      <c r="E66" s="31">
        <f>E65*Assumptions!$E$59</f>
        <v/>
      </c>
      <c r="F66" s="31">
        <f>F65*Assumptions!$F$59</f>
        <v/>
      </c>
    </row>
    <row r="67">
      <c r="A67" s="6" t="inlineStr">
        <is>
          <t>Offshore Projects — revenue</t>
        </is>
      </c>
      <c r="B67" s="18">
        <f>Assumptions!$B$60</f>
        <v/>
      </c>
      <c r="C67" s="18">
        <f>Assumptions!$C$60</f>
        <v/>
      </c>
      <c r="D67" s="18">
        <f>Assumptions!$D$60</f>
        <v/>
      </c>
      <c r="E67" s="18">
        <f>Assumptions!$E$60</f>
        <v/>
      </c>
      <c r="F67" s="18">
        <f>Assumptions!$F$60</f>
        <v/>
      </c>
    </row>
    <row r="68">
      <c r="A68" s="6" t="inlineStr">
        <is>
          <t>Offshore Projects — EBITDA</t>
        </is>
      </c>
      <c r="B68" s="31">
        <f>B67*Assumptions!$B$61</f>
        <v/>
      </c>
      <c r="C68" s="31">
        <f>C67*Assumptions!$C$61</f>
        <v/>
      </c>
      <c r="D68" s="31">
        <f>D67*Assumptions!$D$61</f>
        <v/>
      </c>
      <c r="E68" s="31">
        <f>E67*Assumptions!$E$61</f>
        <v/>
      </c>
      <c r="F68" s="31">
        <f>F67*Assumptions!$F$61</f>
        <v/>
      </c>
    </row>
    <row r="69">
      <c r="A69" s="6" t="inlineStr">
        <is>
          <t>Dry-Bulk and Containers — revenue</t>
        </is>
      </c>
      <c r="B69" s="18">
        <f>Assumptions!$B$62</f>
        <v/>
      </c>
      <c r="C69" s="18">
        <f>Assumptions!$C$62</f>
        <v/>
      </c>
      <c r="D69" s="18">
        <f>Assumptions!$D$62</f>
        <v/>
      </c>
      <c r="E69" s="18">
        <f>Assumptions!$E$62</f>
        <v/>
      </c>
      <c r="F69" s="18">
        <f>Assumptions!$F$62</f>
        <v/>
      </c>
    </row>
    <row r="70">
      <c r="A70" s="6" t="inlineStr">
        <is>
          <t>Dry-Bulk and Containers — EBITDA</t>
        </is>
      </c>
      <c r="B70" s="31">
        <f>B69*Assumptions!$B$63</f>
        <v/>
      </c>
      <c r="C70" s="31">
        <f>C69*Assumptions!$C$63</f>
        <v/>
      </c>
      <c r="D70" s="31">
        <f>D69*Assumptions!$D$63</f>
        <v/>
      </c>
      <c r="E70" s="31">
        <f>E69*Assumptions!$E$63</f>
        <v/>
      </c>
      <c r="F70" s="31">
        <f>F69*Assumptions!$F$63</f>
        <v/>
      </c>
    </row>
    <row r="71">
      <c r="A71" s="6" t="inlineStr">
        <is>
          <t>Services — revenue</t>
        </is>
      </c>
      <c r="B71" s="18">
        <f>Assumptions!$B$64</f>
        <v/>
      </c>
      <c r="C71" s="18">
        <f>Assumptions!$C$64</f>
        <v/>
      </c>
      <c r="D71" s="18">
        <f>Assumptions!$D$64</f>
        <v/>
      </c>
      <c r="E71" s="18">
        <f>Assumptions!$E$64</f>
        <v/>
      </c>
      <c r="F71" s="18">
        <f>Assumptions!$F$64</f>
        <v/>
      </c>
    </row>
    <row r="72">
      <c r="A72" s="6" t="inlineStr">
        <is>
          <t>Services — EBITDA</t>
        </is>
      </c>
      <c r="B72" s="31">
        <f>B71*Assumptions!$B$65</f>
        <v/>
      </c>
      <c r="C72" s="31">
        <f>C71*Assumptions!$C$65</f>
        <v/>
      </c>
      <c r="D72" s="31">
        <f>D71*Assumptions!$D$65</f>
        <v/>
      </c>
      <c r="E72" s="31">
        <f>E71*Assumptions!$E$65</f>
        <v/>
      </c>
      <c r="F72" s="31">
        <f>F71*Assumptions!$F$65</f>
        <v/>
      </c>
    </row>
    <row r="74">
      <c r="A74" s="11" t="inlineStr">
        <is>
          <t>FORECAST REVENUE BY SEGMENT</t>
        </is>
      </c>
      <c r="B74" s="14" t="inlineStr">
        <is>
          <t>FY2026E</t>
        </is>
      </c>
      <c r="C74" s="14" t="inlineStr">
        <is>
          <t>FY2027E</t>
        </is>
      </c>
      <c r="D74" s="14" t="inlineStr">
        <is>
          <t>FY2028E</t>
        </is>
      </c>
      <c r="E74" s="14" t="inlineStr">
        <is>
          <t>FY2029E</t>
        </is>
      </c>
      <c r="F74" s="14" t="inlineStr">
        <is>
          <t>FY2030E</t>
        </is>
      </c>
    </row>
    <row r="75">
      <c r="A75" s="6" t="inlineStr">
        <is>
          <t>Offshore Contracting</t>
        </is>
      </c>
      <c r="B75" s="31">
        <f>B63</f>
        <v/>
      </c>
      <c r="C75" s="31">
        <f>C63</f>
        <v/>
      </c>
      <c r="D75" s="31">
        <f>D63</f>
        <v/>
      </c>
      <c r="E75" s="31">
        <f>E63</f>
        <v/>
      </c>
      <c r="F75" s="31">
        <f>F63</f>
        <v/>
      </c>
    </row>
    <row r="76">
      <c r="A76" s="6" t="inlineStr">
        <is>
          <t>Offshore Services</t>
        </is>
      </c>
      <c r="B76" s="31">
        <f>B65</f>
        <v/>
      </c>
      <c r="C76" s="31">
        <f>C65</f>
        <v/>
      </c>
      <c r="D76" s="31">
        <f>D65</f>
        <v/>
      </c>
      <c r="E76" s="31">
        <f>E65</f>
        <v/>
      </c>
      <c r="F76" s="31">
        <f>F65</f>
        <v/>
      </c>
    </row>
    <row r="77">
      <c r="A77" s="6" t="inlineStr">
        <is>
          <t>Offshore Projects</t>
        </is>
      </c>
      <c r="B77" s="31">
        <f>B67</f>
        <v/>
      </c>
      <c r="C77" s="31">
        <f>C67</f>
        <v/>
      </c>
      <c r="D77" s="31">
        <f>D67</f>
        <v/>
      </c>
      <c r="E77" s="31">
        <f>E67</f>
        <v/>
      </c>
      <c r="F77" s="31">
        <f>F67</f>
        <v/>
      </c>
    </row>
    <row r="78">
      <c r="A78" s="6" t="inlineStr">
        <is>
          <t>Tankers</t>
        </is>
      </c>
      <c r="B78" s="31">
        <f>B53</f>
        <v/>
      </c>
      <c r="C78" s="31">
        <f>C53</f>
        <v/>
      </c>
      <c r="D78" s="31">
        <f>D53</f>
        <v/>
      </c>
      <c r="E78" s="31">
        <f>E53</f>
        <v/>
      </c>
      <c r="F78" s="31">
        <f>F53</f>
        <v/>
      </c>
    </row>
    <row r="79">
      <c r="A79" s="6" t="inlineStr">
        <is>
          <t>Gas Carriers</t>
        </is>
      </c>
      <c r="B79" s="31">
        <f>B58</f>
        <v/>
      </c>
      <c r="C79" s="31">
        <f>C58</f>
        <v/>
      </c>
      <c r="D79" s="31">
        <f>D58</f>
        <v/>
      </c>
      <c r="E79" s="31">
        <f>E58</f>
        <v/>
      </c>
      <c r="F79" s="31">
        <f>F58</f>
        <v/>
      </c>
    </row>
    <row r="80">
      <c r="A80" s="6" t="inlineStr">
        <is>
          <t>Dry-Bulk and Containers</t>
        </is>
      </c>
      <c r="B80" s="31">
        <f>B69</f>
        <v/>
      </c>
      <c r="C80" s="31">
        <f>C69</f>
        <v/>
      </c>
      <c r="D80" s="31">
        <f>D69</f>
        <v/>
      </c>
      <c r="E80" s="31">
        <f>E69</f>
        <v/>
      </c>
      <c r="F80" s="31">
        <f>F69</f>
        <v/>
      </c>
    </row>
    <row r="81">
      <c r="A81" s="6" t="inlineStr">
        <is>
          <t>Services</t>
        </is>
      </c>
      <c r="B81" s="31">
        <f>B71</f>
        <v/>
      </c>
      <c r="C81" s="31">
        <f>C71</f>
        <v/>
      </c>
      <c r="D81" s="31">
        <f>D71</f>
        <v/>
      </c>
      <c r="E81" s="31">
        <f>E71</f>
        <v/>
      </c>
      <c r="F81" s="31">
        <f>F71</f>
        <v/>
      </c>
    </row>
    <row r="82">
      <c r="A82" s="11" t="inlineStr">
        <is>
          <t>Total revenue</t>
        </is>
      </c>
      <c r="B82" s="34">
        <f>SUM(B75:B81)</f>
        <v/>
      </c>
      <c r="C82" s="34">
        <f>SUM(C75:C81)</f>
        <v/>
      </c>
      <c r="D82" s="34">
        <f>SUM(D75:D81)</f>
        <v/>
      </c>
      <c r="E82" s="34">
        <f>SUM(E75:E81)</f>
        <v/>
      </c>
      <c r="F82" s="34">
        <f>SUM(F75:F81)</f>
        <v/>
      </c>
    </row>
    <row r="84">
      <c r="A84" s="11" t="inlineStr">
        <is>
          <t>FORECAST EBITDA BY SEGMENT</t>
        </is>
      </c>
      <c r="B84" s="14" t="inlineStr">
        <is>
          <t>FY2026E</t>
        </is>
      </c>
      <c r="C84" s="14" t="inlineStr">
        <is>
          <t>FY2027E</t>
        </is>
      </c>
      <c r="D84" s="14" t="inlineStr">
        <is>
          <t>FY2028E</t>
        </is>
      </c>
      <c r="E84" s="14" t="inlineStr">
        <is>
          <t>FY2029E</t>
        </is>
      </c>
      <c r="F84" s="14" t="inlineStr">
        <is>
          <t>FY2030E</t>
        </is>
      </c>
    </row>
    <row r="85">
      <c r="A85" s="6" t="inlineStr">
        <is>
          <t>Offshore Contracting</t>
        </is>
      </c>
      <c r="B85" s="31">
        <f>B64</f>
        <v/>
      </c>
      <c r="C85" s="31">
        <f>C64</f>
        <v/>
      </c>
      <c r="D85" s="31">
        <f>D64</f>
        <v/>
      </c>
      <c r="E85" s="31">
        <f>E64</f>
        <v/>
      </c>
      <c r="F85" s="31">
        <f>F64</f>
        <v/>
      </c>
    </row>
    <row r="86">
      <c r="A86" s="6" t="inlineStr">
        <is>
          <t>Offshore Services</t>
        </is>
      </c>
      <c r="B86" s="31">
        <f>B66</f>
        <v/>
      </c>
      <c r="C86" s="31">
        <f>C66</f>
        <v/>
      </c>
      <c r="D86" s="31">
        <f>D66</f>
        <v/>
      </c>
      <c r="E86" s="31">
        <f>E66</f>
        <v/>
      </c>
      <c r="F86" s="31">
        <f>F66</f>
        <v/>
      </c>
    </row>
    <row r="87">
      <c r="A87" s="6" t="inlineStr">
        <is>
          <t>Offshore Projects</t>
        </is>
      </c>
      <c r="B87" s="31">
        <f>B68</f>
        <v/>
      </c>
      <c r="C87" s="31">
        <f>C68</f>
        <v/>
      </c>
      <c r="D87" s="31">
        <f>D68</f>
        <v/>
      </c>
      <c r="E87" s="31">
        <f>E68</f>
        <v/>
      </c>
      <c r="F87" s="31">
        <f>F68</f>
        <v/>
      </c>
    </row>
    <row r="88">
      <c r="A88" s="6" t="inlineStr">
        <is>
          <t>Tankers</t>
        </is>
      </c>
      <c r="B88" s="31">
        <f>B51</f>
        <v/>
      </c>
      <c r="C88" s="31">
        <f>C51</f>
        <v/>
      </c>
      <c r="D88" s="31">
        <f>D51</f>
        <v/>
      </c>
      <c r="E88" s="31">
        <f>E51</f>
        <v/>
      </c>
      <c r="F88" s="31">
        <f>F51</f>
        <v/>
      </c>
    </row>
    <row r="89">
      <c r="A89" s="6" t="inlineStr">
        <is>
          <t>Gas Carriers</t>
        </is>
      </c>
      <c r="B89" s="31">
        <f>B60</f>
        <v/>
      </c>
      <c r="C89" s="31">
        <f>C60</f>
        <v/>
      </c>
      <c r="D89" s="31">
        <f>D60</f>
        <v/>
      </c>
      <c r="E89" s="31">
        <f>E60</f>
        <v/>
      </c>
      <c r="F89" s="31">
        <f>F60</f>
        <v/>
      </c>
    </row>
    <row r="90">
      <c r="A90" s="6" t="inlineStr">
        <is>
          <t>Dry-Bulk and Containers</t>
        </is>
      </c>
      <c r="B90" s="31">
        <f>B70</f>
        <v/>
      </c>
      <c r="C90" s="31">
        <f>C70</f>
        <v/>
      </c>
      <c r="D90" s="31">
        <f>D70</f>
        <v/>
      </c>
      <c r="E90" s="31">
        <f>E70</f>
        <v/>
      </c>
      <c r="F90" s="31">
        <f>F70</f>
        <v/>
      </c>
    </row>
    <row r="91">
      <c r="A91" s="6" t="inlineStr">
        <is>
          <t>Services</t>
        </is>
      </c>
      <c r="B91" s="31">
        <f>B72</f>
        <v/>
      </c>
      <c r="C91" s="31">
        <f>C72</f>
        <v/>
      </c>
      <c r="D91" s="31">
        <f>D72</f>
        <v/>
      </c>
      <c r="E91" s="31">
        <f>E72</f>
        <v/>
      </c>
      <c r="F91" s="31">
        <f>F72</f>
        <v/>
      </c>
    </row>
    <row r="92">
      <c r="A92" s="11" t="inlineStr">
        <is>
          <t>Total EBITDA</t>
        </is>
      </c>
      <c r="B92" s="34">
        <f>SUM(B85:B91)</f>
        <v/>
      </c>
      <c r="C92" s="34">
        <f>SUM(C85:C91)</f>
        <v/>
      </c>
      <c r="D92" s="34">
        <f>SUM(D85:D91)</f>
        <v/>
      </c>
      <c r="E92" s="34">
        <f>SUM(E85:E91)</f>
        <v/>
      </c>
      <c r="F92" s="34">
        <f>SUM(F85:F91)</f>
        <v/>
      </c>
    </row>
    <row r="93">
      <c r="A93" s="6" t="inlineStr">
        <is>
          <t>Group EBITDA margin</t>
        </is>
      </c>
      <c r="B93" s="10">
        <f>B92/B82</f>
        <v/>
      </c>
      <c r="C93" s="10">
        <f>C92/C82</f>
        <v/>
      </c>
      <c r="D93" s="10">
        <f>D92/D82</f>
        <v/>
      </c>
      <c r="E93" s="10">
        <f>E92/E82</f>
        <v/>
      </c>
      <c r="F93" s="10">
        <f>F92/F82</f>
        <v/>
      </c>
    </row>
    <row r="95">
      <c r="A95" s="11" t="inlineStr">
        <is>
          <t>FORECAST BY BUSINESS UNIT</t>
        </is>
      </c>
      <c r="B95" s="14" t="inlineStr">
        <is>
          <t>FY2026E</t>
        </is>
      </c>
      <c r="C95" s="14" t="inlineStr">
        <is>
          <t>FY2027E</t>
        </is>
      </c>
      <c r="D95" s="14" t="inlineStr">
        <is>
          <t>FY2028E</t>
        </is>
      </c>
      <c r="E95" s="14" t="inlineStr">
        <is>
          <t>FY2029E</t>
        </is>
      </c>
      <c r="F95" s="14" t="inlineStr">
        <is>
          <t>FY2030E</t>
        </is>
      </c>
    </row>
    <row r="96">
      <c r="A96" s="6" t="inlineStr">
        <is>
          <t>Integrated Logistics — revenue</t>
        </is>
      </c>
      <c r="B96" s="31">
        <f>B75+B76+B77</f>
        <v/>
      </c>
      <c r="C96" s="31">
        <f>C75+C76+C77</f>
        <v/>
      </c>
      <c r="D96" s="31">
        <f>D75+D76+D77</f>
        <v/>
      </c>
      <c r="E96" s="31">
        <f>E75+E76+E77</f>
        <v/>
      </c>
      <c r="F96" s="31">
        <f>F75+F76+F77</f>
        <v/>
      </c>
    </row>
    <row r="97">
      <c r="A97" s="6" t="inlineStr">
        <is>
          <t>Shipping — revenue</t>
        </is>
      </c>
      <c r="B97" s="31">
        <f>B78+B79+B80</f>
        <v/>
      </c>
      <c r="C97" s="31">
        <f>C78+C79+C80</f>
        <v/>
      </c>
      <c r="D97" s="31">
        <f>D78+D79+D80</f>
        <v/>
      </c>
      <c r="E97" s="31">
        <f>E78+E79+E80</f>
        <v/>
      </c>
      <c r="F97" s="31">
        <f>F78+F79+F80</f>
        <v/>
      </c>
    </row>
    <row r="98">
      <c r="A98" s="6" t="inlineStr">
        <is>
          <t>Services — revenue</t>
        </is>
      </c>
      <c r="B98" s="31">
        <f>B81</f>
        <v/>
      </c>
      <c r="C98" s="31">
        <f>C81</f>
        <v/>
      </c>
      <c r="D98" s="31">
        <f>D81</f>
        <v/>
      </c>
      <c r="E98" s="31">
        <f>E81</f>
        <v/>
      </c>
      <c r="F98" s="31">
        <f>F81</f>
        <v/>
      </c>
    </row>
    <row r="99">
      <c r="A99" s="6" t="inlineStr">
        <is>
          <t>Integrated Logistics — EBITDA</t>
        </is>
      </c>
      <c r="B99" s="31">
        <f>B85+B86+B87</f>
        <v/>
      </c>
      <c r="C99" s="31">
        <f>C85+C86+C87</f>
        <v/>
      </c>
      <c r="D99" s="31">
        <f>D85+D86+D87</f>
        <v/>
      </c>
      <c r="E99" s="31">
        <f>E85+E86+E87</f>
        <v/>
      </c>
      <c r="F99" s="31">
        <f>F85+F86+F87</f>
        <v/>
      </c>
    </row>
    <row r="100">
      <c r="A100" s="6" t="inlineStr">
        <is>
          <t>Shipping — EBITDA</t>
        </is>
      </c>
      <c r="B100" s="31">
        <f>B88+B89+B90</f>
        <v/>
      </c>
      <c r="C100" s="31">
        <f>C88+C89+C90</f>
        <v/>
      </c>
      <c r="D100" s="31">
        <f>D88+D89+D90</f>
        <v/>
      </c>
      <c r="E100" s="31">
        <f>E88+E89+E90</f>
        <v/>
      </c>
      <c r="F100" s="31">
        <f>F88+F89+F90</f>
        <v/>
      </c>
    </row>
    <row r="101">
      <c r="A101" s="6" t="inlineStr">
        <is>
          <t>Services — EBITDA</t>
        </is>
      </c>
      <c r="B101" s="31">
        <f>B91</f>
        <v/>
      </c>
      <c r="C101" s="31">
        <f>C91</f>
        <v/>
      </c>
      <c r="D101" s="31">
        <f>D91</f>
        <v/>
      </c>
      <c r="E101" s="31">
        <f>E91</f>
        <v/>
      </c>
      <c r="F101" s="31">
        <f>F91</f>
        <v/>
      </c>
    </row>
    <row r="102">
      <c r="A102" s="6" t="inlineStr">
        <is>
          <t>Integrated Logistics — EBITDA margin</t>
        </is>
      </c>
      <c r="B102" s="10">
        <f>B99/B96</f>
        <v/>
      </c>
      <c r="C102" s="10">
        <f>C99/C96</f>
        <v/>
      </c>
      <c r="D102" s="10">
        <f>D99/D96</f>
        <v/>
      </c>
      <c r="E102" s="10">
        <f>E99/E96</f>
        <v/>
      </c>
      <c r="F102" s="10">
        <f>F99/F96</f>
        <v/>
      </c>
    </row>
    <row r="103">
      <c r="A103" s="6" t="inlineStr">
        <is>
          <t>Shipping — EBITDA margin</t>
        </is>
      </c>
      <c r="B103" s="10">
        <f>B100/B97</f>
        <v/>
      </c>
      <c r="C103" s="10">
        <f>C100/C97</f>
        <v/>
      </c>
      <c r="D103" s="10">
        <f>D100/D97</f>
        <v/>
      </c>
      <c r="E103" s="10">
        <f>E100/E97</f>
        <v/>
      </c>
      <c r="F103" s="10">
        <f>F100/F97</f>
        <v/>
      </c>
    </row>
    <row r="104">
      <c r="A104" s="6" t="inlineStr">
        <is>
          <t>Services — EBITDA margin</t>
        </is>
      </c>
      <c r="B104" s="10">
        <f>B101/B98</f>
        <v/>
      </c>
      <c r="C104" s="10">
        <f>C101/C98</f>
        <v/>
      </c>
      <c r="D104" s="10">
        <f>D101/D98</f>
        <v/>
      </c>
      <c r="E104" s="10">
        <f>E101/E98</f>
        <v/>
      </c>
      <c r="F104" s="10">
        <f>F101/F98</f>
        <v/>
      </c>
    </row>
    <row r="106">
      <c r="A106" s="4" t="inlineStr">
        <is>
          <t>The tanker gross-up moves reported revenue only, never earnings: earnings are struck on time-charter-equivalent revenue less the running cost of the same vessels, so the presentation of voyage and relet revenue cannot change the valuation.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0"/>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18">
        <f>DCF!B6</f>
        <v/>
      </c>
    </row>
    <row r="6">
      <c r="A6" s="6" t="inlineStr">
        <is>
          <t>Blended enterprise multiple</t>
        </is>
      </c>
      <c r="C6" s="35">
        <f>'Peer &amp; Sector'!$C$13</f>
        <v/>
      </c>
    </row>
    <row r="7">
      <c r="A7" s="6" t="inlineStr">
        <is>
          <t>Implied enterprise value</t>
        </is>
      </c>
      <c r="C7" s="31">
        <f>C5*C6</f>
        <v/>
      </c>
    </row>
    <row r="8">
      <c r="A8" s="6" t="inlineStr">
        <is>
          <t>Plus joint ventures and associates at carrying value</t>
        </is>
      </c>
      <c r="C8" s="18">
        <f>Assumptions!$C$95</f>
        <v/>
      </c>
    </row>
    <row r="9">
      <c r="A9" s="6" t="inlineStr">
        <is>
          <t>Less net debt at 31 March 2026</t>
        </is>
      </c>
      <c r="C9" s="18">
        <f>-Assumptions!$C$89</f>
        <v/>
      </c>
    </row>
    <row r="10">
      <c r="A10" s="6" t="inlineStr">
        <is>
          <t>Less deferred consideration on acquisitions</t>
        </is>
      </c>
      <c r="C10" s="18">
        <f>-Assumptions!$C$90</f>
        <v/>
      </c>
    </row>
    <row r="11">
      <c r="A11" s="6" t="inlineStr">
        <is>
          <t>Less perpetual capital securities at carrying value</t>
        </is>
      </c>
      <c r="C11" s="18">
        <f>-Assumptions!$C$91</f>
        <v/>
      </c>
    </row>
    <row r="12">
      <c r="A12" s="6" t="inlineStr">
        <is>
          <t>Less non-controlling interests at carrying value</t>
        </is>
      </c>
      <c r="C12" s="18">
        <f>-Assumptions!$C$93</f>
        <v/>
      </c>
    </row>
    <row r="13">
      <c r="A13" s="6" t="inlineStr">
        <is>
          <t>Implied equity attributable to ordinary shareholders</t>
        </is>
      </c>
      <c r="C13" s="31">
        <f>C7+C8+C9+C10+C11+C12</f>
        <v/>
      </c>
    </row>
    <row r="14">
      <c r="A14" s="6" t="inlineStr">
        <is>
          <t>Value per share on the enterprise multiple (AED)</t>
        </is>
      </c>
      <c r="C14" s="9">
        <f>C13/Assumptions!$C$6/1000*Assumptions!$C$7</f>
        <v/>
      </c>
    </row>
    <row r="15">
      <c r="A15" s="6" t="inlineStr">
        <is>
          <t>Blended price/earnings</t>
        </is>
      </c>
      <c r="C15" s="35">
        <f>'Peer &amp; Sector'!$C$16</f>
        <v/>
      </c>
    </row>
    <row r="16">
      <c r="A16" s="6" t="inlineStr">
        <is>
          <t>FY2026E earnings attributable to ordinary shareholders</t>
        </is>
      </c>
      <c r="C16" s="18">
        <f>'Income Statement'!E30</f>
        <v/>
      </c>
    </row>
    <row r="17">
      <c r="A17" s="6" t="inlineStr">
        <is>
          <t>Value per share on the earnings multiple (AED)</t>
        </is>
      </c>
      <c r="C17" s="9">
        <f>C16*C15/Assumptions!$C$6/1000*Assumptions!$C$7</f>
        <v/>
      </c>
    </row>
    <row r="18">
      <c r="A18" s="6" t="inlineStr">
        <is>
          <t>Weight on the enterprise multiple</t>
        </is>
      </c>
      <c r="C18" s="8">
        <f>Assumptions!$C$106</f>
        <v/>
      </c>
    </row>
    <row r="19">
      <c r="A19" s="11" t="inlineStr">
        <is>
          <t>RELATIVE LENS — value per share (AED)</t>
        </is>
      </c>
      <c r="B19" s="14" t="n"/>
      <c r="C19" s="12">
        <f>C18*C14+(1-C18)*C17</f>
        <v/>
      </c>
      <c r="D19" s="14" t="n"/>
      <c r="E19" s="14" t="n"/>
    </row>
    <row r="20">
      <c r="A20" s="6" t="inlineStr">
        <is>
          <t>Bear on the spot multiple (C) / bull on the contracted multiple (D), same construction</t>
        </is>
      </c>
      <c r="C20" s="9">
        <f>(C5*'Peer &amp; Sector'!$C$11+Assumptions!$C$95-Assumptions!$C$89-Assumptions!$C$90-Assumptions!$C$91-Assumptions!$C$93)/Assumptions!$C$6/1000*Assumptions!$C$7</f>
        <v/>
      </c>
      <c r="D20" s="9">
        <f>(C5*'Peer &amp; Sector'!$C$10+Assumptions!$C$95-Assumptions!$C$89-Assumptions!$C$90-Assumptions!$C$91-Assumptions!$C$93)/Assumptions!$C$6/1000*Assumptions!$C$7</f>
        <v/>
      </c>
    </row>
    <row r="22">
      <c r="A22" s="11" t="inlineStr">
        <is>
          <t>THE COMPANY'S OWN MULTIPLES AT THE ANCHOR PRICE</t>
        </is>
      </c>
      <c r="B22" s="14" t="n"/>
      <c r="C22" s="14" t="n"/>
      <c r="D22" s="14" t="n"/>
      <c r="E22" s="14" t="n"/>
    </row>
    <row r="23">
      <c r="A23" s="6" t="inlineStr">
        <is>
          <t>Share price (USD)</t>
        </is>
      </c>
      <c r="C23" s="7">
        <f>Assumptions!$C$5/Assumptions!$C$7</f>
        <v/>
      </c>
    </row>
    <row r="24">
      <c r="A24" s="6" t="inlineStr">
        <is>
          <t>Market capitalisation (USD 000)</t>
        </is>
      </c>
      <c r="C24" s="31">
        <f>C23*Assumptions!$C$6*1000</f>
        <v/>
      </c>
    </row>
    <row r="25">
      <c r="A25" s="6" t="inlineStr">
        <is>
          <t>Net debt including deferred consideration (USD 000)</t>
        </is>
      </c>
      <c r="C25" s="18">
        <f>Assumptions!$C$89+Assumptions!$C$90</f>
        <v/>
      </c>
    </row>
    <row r="26">
      <c r="A26" s="6" t="inlineStr">
        <is>
          <t>Enterprise value (USD 000)</t>
        </is>
      </c>
      <c r="C26" s="31">
        <f>C24+C25</f>
        <v/>
      </c>
    </row>
    <row r="27">
      <c r="A27" s="6" t="inlineStr">
        <is>
          <t>Enterprise value / 2025 reported EBITDA</t>
        </is>
      </c>
      <c r="C27" s="35">
        <f>C26/'Income Statement'!D16</f>
        <v/>
      </c>
    </row>
    <row r="28">
      <c r="A28" s="6" t="inlineStr">
        <is>
          <t>Enterprise value / FY2026E EBITDA</t>
        </is>
      </c>
      <c r="C28" s="33">
        <f>C26/C5</f>
        <v/>
      </c>
    </row>
    <row r="29">
      <c r="A29" s="6" t="inlineStr">
        <is>
          <t>Price / 2025 earnings attributable to ordinary shareholders</t>
        </is>
      </c>
      <c r="C29" s="35">
        <f>C24/'Income Statement'!D30</f>
        <v/>
      </c>
    </row>
    <row r="30">
      <c r="A30" s="6" t="inlineStr">
        <is>
          <t>Price / book at 31 March 2026</t>
        </is>
      </c>
      <c r="C30" s="33">
        <f>C24/(Assumptions!$C$96+Assumptions!$C$91)</f>
        <v/>
      </c>
    </row>
    <row r="31">
      <c r="A31" s="6" t="inlineStr">
        <is>
          <t>Dividend yield on the 2026 distribution</t>
        </is>
      </c>
      <c r="C31" s="8">
        <f>Assumptions!$C$100/C24</f>
        <v/>
      </c>
    </row>
    <row r="33">
      <c r="A33" s="5" t="inlineStr">
        <is>
          <t>Normalised earnings lens — the five-year average of the model's own forecast</t>
        </is>
      </c>
      <c r="B33" s="5" t="inlineStr"/>
      <c r="C33" s="5" t="inlineStr">
        <is>
          <t>Value</t>
        </is>
      </c>
    </row>
    <row r="34">
      <c r="A34" s="6" t="inlineStr">
        <is>
          <t>Mid-cycle EBITDA — five-year average</t>
        </is>
      </c>
      <c r="C34" s="18">
        <f>AVERAGE(DCF!B6:F6)</f>
        <v/>
      </c>
    </row>
    <row r="35">
      <c r="A35" s="6" t="inlineStr">
        <is>
          <t>Implied enterprise value</t>
        </is>
      </c>
      <c r="C35" s="31">
        <f>C34*C6</f>
        <v/>
      </c>
    </row>
    <row r="36">
      <c r="A36" s="6" t="inlineStr">
        <is>
          <t>Implied equity attributable to ordinary shareholders</t>
        </is>
      </c>
      <c r="C36" s="31">
        <f>C35+Assumptions!$C$95-Assumptions!$C$89-Assumptions!$C$90-Assumptions!$C$91-Assumptions!$C$93</f>
        <v/>
      </c>
    </row>
    <row r="37">
      <c r="A37" s="6" t="inlineStr">
        <is>
          <t>Value per share on the enterprise multiple (AED)</t>
        </is>
      </c>
      <c r="C37" s="9">
        <f>C36/Assumptions!$C$6/1000*Assumptions!$C$7</f>
        <v/>
      </c>
    </row>
    <row r="38">
      <c r="A38" s="6" t="inlineStr">
        <is>
          <t>Mid-cycle earnings attributable to ordinary shareholders — five-year average</t>
        </is>
      </c>
      <c r="C38" s="18">
        <f>AVERAGE('Income Statement'!E30:I30)</f>
        <v/>
      </c>
    </row>
    <row r="39">
      <c r="A39" s="6" t="inlineStr">
        <is>
          <t>Mid-cycle earnings per share (USD)</t>
        </is>
      </c>
      <c r="C39" s="40">
        <f>C38/Assumptions!$C$6/1000</f>
        <v/>
      </c>
    </row>
    <row r="40">
      <c r="A40" s="6" t="inlineStr">
        <is>
          <t>Value per share on the earnings multiple (AED)</t>
        </is>
      </c>
      <c r="C40" s="9">
        <f>C39*C15*Assumptions!$C$7</f>
        <v/>
      </c>
    </row>
    <row r="41">
      <c r="A41" s="11" t="inlineStr">
        <is>
          <t>NORMALISED LENS — value per share (AED)</t>
        </is>
      </c>
      <c r="B41" s="14" t="n"/>
      <c r="C41" s="12">
        <f>(C37+C40)/2</f>
        <v/>
      </c>
      <c r="D41" s="14" t="n"/>
      <c r="E41" s="14" t="n"/>
    </row>
    <row r="42">
      <c r="A42" s="6" t="inlineStr">
        <is>
          <t>Bear on the spot multiple (C) / bull on the contracted multiple (D), same construction</t>
        </is>
      </c>
      <c r="C42" s="9">
        <f>(C34*'Peer &amp; Sector'!$C$11+Assumptions!$C$95-Assumptions!$C$89-Assumptions!$C$90-Assumptions!$C$91-Assumptions!$C$93)/Assumptions!$C$6/1000*Assumptions!$C$7</f>
        <v/>
      </c>
      <c r="D42" s="9">
        <f>(C34*'Peer &amp; Sector'!$C$10+Assumptions!$C$95-Assumptions!$C$89-Assumptions!$C$90-Assumptions!$C$91-Assumptions!$C$93)/Assumptions!$C$6/1000*Assumptions!$C$7</f>
        <v/>
      </c>
    </row>
    <row r="44">
      <c r="A44" s="5" t="inlineStr">
        <is>
          <t>Book value and sustainable return</t>
        </is>
      </c>
      <c r="B44" s="5" t="inlineStr"/>
      <c r="C44" s="5" t="inlineStr">
        <is>
          <t>Value</t>
        </is>
      </c>
    </row>
    <row r="45">
      <c r="A45" s="6" t="inlineStr">
        <is>
          <t>Equity attributable to shareholders at 31 March 2026 (USD 000)</t>
        </is>
      </c>
      <c r="C45" s="18">
        <f>Assumptions!$C$96</f>
        <v/>
      </c>
    </row>
    <row r="46">
      <c r="A46" s="6" t="inlineStr">
        <is>
          <t>Book value per share (USD)</t>
        </is>
      </c>
      <c r="C46" s="40">
        <f>C45/Assumptions!$C$6/1000</f>
        <v/>
      </c>
    </row>
    <row r="47">
      <c r="A47" s="6" t="inlineStr">
        <is>
          <t>Book value per share (AED)</t>
        </is>
      </c>
      <c r="C47" s="9">
        <f>C46*Assumptions!$C$7</f>
        <v/>
      </c>
    </row>
    <row r="48">
      <c r="A48" s="6" t="inlineStr">
        <is>
          <t>Sustainable return on equity — five-year forecast average</t>
        </is>
      </c>
      <c r="C48" s="8">
        <f>AVERAGE('Balance Sheet'!E28:I28)</f>
        <v/>
      </c>
    </row>
    <row r="49">
      <c r="A49" s="6" t="inlineStr">
        <is>
          <t>Cost of equity</t>
        </is>
      </c>
      <c r="C49" s="19">
        <f>DCF!$C$65</f>
        <v/>
      </c>
    </row>
    <row r="50">
      <c r="A50" s="6" t="inlineStr">
        <is>
          <t>Terminal growth</t>
        </is>
      </c>
      <c r="C50" s="8">
        <f>Assumptions!$C$102</f>
        <v/>
      </c>
    </row>
    <row r="51">
      <c r="A51" s="6" t="inlineStr">
        <is>
          <t>Justified price / book</t>
        </is>
      </c>
      <c r="C51" s="33">
        <f>(C48-C50)/(C49-C50)</f>
        <v/>
      </c>
    </row>
    <row r="52">
      <c r="A52" s="11" t="inlineStr">
        <is>
          <t>BOOK LENS — value per share (AED)</t>
        </is>
      </c>
      <c r="B52" s="14" t="n"/>
      <c r="C52" s="12">
        <f>C51*C47</f>
        <v/>
      </c>
      <c r="D52" s="14" t="n"/>
      <c r="E52" s="14" t="n"/>
    </row>
    <row r="53">
      <c r="A53" s="6" t="inlineStr">
        <is>
          <t>Bear — return 15% lower against the asset-risk cost of equity (C) / bull — return 15% higher against a lower premium (D)</t>
        </is>
      </c>
      <c r="C53" s="9">
        <f>(C48*0.85-C50)/(DCF!$C$106-C50)*C47</f>
        <v/>
      </c>
      <c r="D53" s="9">
        <f>(C48*1.15-C50)/((DCF!$C$62+0.55*Assumptions!$C$16)-C50)*C47</f>
        <v/>
      </c>
    </row>
    <row r="55">
      <c r="A55" s="11" t="inlineStr">
        <is>
          <t>THE REALISED VESSEL SALE — DIRECT EVIDENCE ON CARRYING VALUES</t>
        </is>
      </c>
      <c r="B55" s="14" t="n"/>
      <c r="C55" s="14" t="n"/>
      <c r="D55" s="14" t="n"/>
      <c r="E55" s="14" t="n"/>
    </row>
    <row r="56">
      <c r="A56" s="6" t="inlineStr">
        <is>
          <t>Carrying value of the very large crude carrier sold (USD 000)</t>
        </is>
      </c>
      <c r="C56" s="27" t="n">
        <v>83000</v>
      </c>
    </row>
    <row r="57">
      <c r="A57" s="6" t="inlineStr">
        <is>
          <t>Realised sale price, January 2026 (USD 000)</t>
        </is>
      </c>
      <c r="C57" s="27" t="n">
        <v>111000</v>
      </c>
    </row>
    <row r="58">
      <c r="A58" s="37" t="inlineStr">
        <is>
          <t>Realised price over carrying value</t>
        </is>
      </c>
      <c r="C58" s="41">
        <f>C57/C56</f>
        <v/>
      </c>
    </row>
    <row r="59">
      <c r="A59" s="6" t="inlineStr">
        <is>
          <t>Capital gain recognised on the sale, as disclosed (USD 000)</t>
        </is>
      </c>
      <c r="C59" s="27" t="n">
        <v>27000</v>
      </c>
    </row>
    <row r="60">
      <c r="A60"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3"/>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18">
        <f>Segments!B82</f>
        <v/>
      </c>
      <c r="C5" s="18">
        <f>Segments!C82</f>
        <v/>
      </c>
      <c r="D5" s="18">
        <f>Segments!D82</f>
        <v/>
      </c>
      <c r="E5" s="18">
        <f>Segments!E82</f>
        <v/>
      </c>
      <c r="F5" s="18">
        <f>Segments!F82</f>
        <v/>
      </c>
    </row>
    <row r="6">
      <c r="A6" s="6" t="inlineStr">
        <is>
          <t>EBITDA</t>
        </is>
      </c>
      <c r="B6" s="18">
        <f>Segments!B92</f>
        <v/>
      </c>
      <c r="C6" s="18">
        <f>Segments!C92</f>
        <v/>
      </c>
      <c r="D6" s="18">
        <f>Segments!D92</f>
        <v/>
      </c>
      <c r="E6" s="18">
        <f>Segments!E92</f>
        <v/>
      </c>
      <c r="F6" s="18">
        <f>Segments!F92</f>
        <v/>
      </c>
    </row>
    <row r="7">
      <c r="A7" s="6" t="inlineStr">
        <is>
          <t>EBITDA margin</t>
        </is>
      </c>
      <c r="B7" s="10">
        <f>B6/B5</f>
        <v/>
      </c>
      <c r="C7" s="10">
        <f>C6/C5</f>
        <v/>
      </c>
      <c r="D7" s="10">
        <f>D6/D5</f>
        <v/>
      </c>
      <c r="E7" s="10">
        <f>E6/E5</f>
        <v/>
      </c>
      <c r="F7" s="10">
        <f>F6/F5</f>
        <v/>
      </c>
    </row>
    <row r="8">
      <c r="A8" s="6" t="inlineStr">
        <is>
          <t>Less depreciation and amortisation</t>
        </is>
      </c>
      <c r="B8" s="18">
        <f>-'Balance Sheet'!B38</f>
        <v/>
      </c>
      <c r="C8" s="18">
        <f>-'Balance Sheet'!C38</f>
        <v/>
      </c>
      <c r="D8" s="18">
        <f>-'Balance Sheet'!D38</f>
        <v/>
      </c>
      <c r="E8" s="18">
        <f>-'Balance Sheet'!E38</f>
        <v/>
      </c>
      <c r="F8" s="18">
        <f>-'Balance Sheet'!F38</f>
        <v/>
      </c>
    </row>
    <row r="9">
      <c r="A9" s="14" t="inlineStr">
        <is>
          <t>EBIT</t>
        </is>
      </c>
      <c r="B9" s="32">
        <f>B6+B8</f>
        <v/>
      </c>
      <c r="C9" s="32">
        <f>C6+C8</f>
        <v/>
      </c>
      <c r="D9" s="32">
        <f>D6+D8</f>
        <v/>
      </c>
      <c r="E9" s="32">
        <f>E6+E8</f>
        <v/>
      </c>
      <c r="F9" s="32">
        <f>F6+F8</f>
        <v/>
      </c>
    </row>
    <row r="10">
      <c r="A10" s="6" t="inlineStr">
        <is>
          <t>Less tax on operating profit — the business-unit mix below</t>
        </is>
      </c>
      <c r="B10" s="31">
        <f>-B35</f>
        <v/>
      </c>
      <c r="C10" s="31">
        <f>-C35</f>
        <v/>
      </c>
      <c r="D10" s="31">
        <f>-D35</f>
        <v/>
      </c>
      <c r="E10" s="31">
        <f>-E35</f>
        <v/>
      </c>
      <c r="F10" s="31">
        <f>-F35</f>
        <v/>
      </c>
    </row>
    <row r="11">
      <c r="A11" s="14" t="inlineStr">
        <is>
          <t>NOPAT</t>
        </is>
      </c>
      <c r="B11" s="32">
        <f>B9+B10</f>
        <v/>
      </c>
      <c r="C11" s="32">
        <f>C9+C10</f>
        <v/>
      </c>
      <c r="D11" s="32">
        <f>D9+D10</f>
        <v/>
      </c>
      <c r="E11" s="32">
        <f>E9+E10</f>
        <v/>
      </c>
      <c r="F11" s="32">
        <f>F9+F10</f>
        <v/>
      </c>
    </row>
    <row r="12">
      <c r="A12" s="6" t="inlineStr">
        <is>
          <t>Add back depreciation and amortisation</t>
        </is>
      </c>
      <c r="B12" s="31">
        <f>-B8</f>
        <v/>
      </c>
      <c r="C12" s="31">
        <f>-C8</f>
        <v/>
      </c>
      <c r="D12" s="31">
        <f>-D8</f>
        <v/>
      </c>
      <c r="E12" s="31">
        <f>-E8</f>
        <v/>
      </c>
      <c r="F12" s="31">
        <f>-F8</f>
        <v/>
      </c>
    </row>
    <row r="13">
      <c r="A13" s="6" t="inlineStr">
        <is>
          <t>Less capital expenditure</t>
        </is>
      </c>
      <c r="B13" s="18">
        <f>-Assumptions!$B$68</f>
        <v/>
      </c>
      <c r="C13" s="18">
        <f>-Assumptions!$C$68</f>
        <v/>
      </c>
      <c r="D13" s="18">
        <f>-Assumptions!$D$68</f>
        <v/>
      </c>
      <c r="E13" s="18">
        <f>-Assumptions!$E$68</f>
        <v/>
      </c>
      <c r="F13" s="18">
        <f>-Assumptions!$F$68</f>
        <v/>
      </c>
    </row>
    <row r="14">
      <c r="A14" s="6" t="inlineStr">
        <is>
          <t>Less change in working capital</t>
        </is>
      </c>
      <c r="B14" s="18">
        <f>-'Balance Sheet'!B50</f>
        <v/>
      </c>
      <c r="C14" s="18">
        <f>-'Balance Sheet'!C50</f>
        <v/>
      </c>
      <c r="D14" s="18">
        <f>-'Balance Sheet'!D50</f>
        <v/>
      </c>
      <c r="E14" s="18">
        <f>-'Balance Sheet'!E50</f>
        <v/>
      </c>
      <c r="F14" s="18">
        <f>-'Balance Sheet'!F50</f>
        <v/>
      </c>
    </row>
    <row r="15">
      <c r="A15" s="14" t="inlineStr">
        <is>
          <t>Free cash flow to the firm</t>
        </is>
      </c>
      <c r="B15" s="32">
        <f>B11+B12+B13+B14</f>
        <v/>
      </c>
      <c r="C15" s="32">
        <f>C11+C12+C13+C14</f>
        <v/>
      </c>
      <c r="D15" s="32">
        <f>D11+D12+D13+D14</f>
        <v/>
      </c>
      <c r="E15" s="32">
        <f>E11+E12+E13+E14</f>
        <v/>
      </c>
      <c r="F15" s="32">
        <f>F11+F12+F13+F14</f>
        <v/>
      </c>
    </row>
    <row r="16">
      <c r="A16" s="6" t="inlineStr">
        <is>
          <t>Less first-quarter 2026 free cash flow, already inside net debt at the valuation date</t>
        </is>
      </c>
      <c r="B16" s="18">
        <f>-Assumptions!$C$9</f>
        <v/>
      </c>
      <c r="C16" s="31" t="inlineStr">
        <is>
          <t>-</t>
        </is>
      </c>
      <c r="D16" s="31" t="inlineStr">
        <is>
          <t>-</t>
        </is>
      </c>
      <c r="E16" s="31" t="inlineStr">
        <is>
          <t>-</t>
        </is>
      </c>
      <c r="F16" s="31" t="inlineStr">
        <is>
          <t>-</t>
        </is>
      </c>
    </row>
    <row r="17">
      <c r="A17" s="14" t="inlineStr">
        <is>
          <t>Free cash flow discounted from 31 March 2026</t>
        </is>
      </c>
      <c r="B17" s="32">
        <f>B15+B16</f>
        <v/>
      </c>
      <c r="C17" s="32">
        <f>C15</f>
        <v/>
      </c>
      <c r="D17" s="32">
        <f>D15</f>
        <v/>
      </c>
      <c r="E17" s="32">
        <f>E15</f>
        <v/>
      </c>
      <c r="F17" s="32">
        <f>F15</f>
        <v/>
      </c>
    </row>
    <row r="18">
      <c r="A18" s="6" t="inlineStr">
        <is>
          <t>Forward cost of capital — the glide from current to terminal</t>
        </is>
      </c>
      <c r="B18" s="42">
        <f>$C$97+($C$102-$C$97)*1/5</f>
        <v/>
      </c>
      <c r="C18" s="42">
        <f>$C$97+($C$102-$C$97)*2/5</f>
        <v/>
      </c>
      <c r="D18" s="42">
        <f>$C$97+($C$102-$C$97)*3/5</f>
        <v/>
      </c>
      <c r="E18" s="42">
        <f>$C$97+($C$102-$C$97)*4/5</f>
        <v/>
      </c>
      <c r="F18" s="42">
        <f>$C$97+($C$102-$C$97)*5/5</f>
        <v/>
      </c>
    </row>
    <row r="19">
      <c r="A19" s="6" t="inlineStr">
        <is>
          <t>Discount factor — each year compounded onto the last</t>
        </is>
      </c>
      <c r="B19" s="43">
        <f>1/(1+B18)^Assumptions!$C$8</f>
        <v/>
      </c>
      <c r="C19" s="43">
        <f>B19/(1+C18)</f>
        <v/>
      </c>
      <c r="D19" s="43">
        <f>C19/(1+D18)</f>
        <v/>
      </c>
      <c r="E19" s="43">
        <f>D19/(1+E18)</f>
        <v/>
      </c>
      <c r="F19" s="43">
        <f>E19/(1+F18)</f>
        <v/>
      </c>
    </row>
    <row r="20">
      <c r="A20" s="14" t="inlineStr">
        <is>
          <t>Present value of free cash flow</t>
        </is>
      </c>
      <c r="B20" s="32">
        <f>B17*B19</f>
        <v/>
      </c>
      <c r="C20" s="32">
        <f>C17*C19</f>
        <v/>
      </c>
      <c r="D20" s="32">
        <f>D17*D19</f>
        <v/>
      </c>
      <c r="E20" s="32">
        <f>E17*E19</f>
        <v/>
      </c>
      <c r="F20" s="32">
        <f>F17*F19</f>
        <v/>
      </c>
    </row>
    <row r="22">
      <c r="A22" s="11" t="inlineStr">
        <is>
          <t>THE TAX MIX — EACH BUSINESS UNIT AT ITS OWN DISCLOSED RATE</t>
        </is>
      </c>
      <c r="B22" s="14" t="inlineStr">
        <is>
          <t>FY2026E</t>
        </is>
      </c>
      <c r="C22" s="14" t="inlineStr">
        <is>
          <t>FY2027E</t>
        </is>
      </c>
      <c r="D22" s="14" t="inlineStr">
        <is>
          <t>FY2028E</t>
        </is>
      </c>
      <c r="E22" s="14" t="inlineStr">
        <is>
          <t>FY2029E</t>
        </is>
      </c>
      <c r="F22" s="14" t="inlineStr">
        <is>
          <t>FY2030E</t>
        </is>
      </c>
    </row>
    <row r="23">
      <c r="A23" s="6" t="inlineStr">
        <is>
          <t>Integrated Logistics — EBITDA</t>
        </is>
      </c>
      <c r="B23" s="18">
        <f>Segments!B99</f>
        <v/>
      </c>
      <c r="C23" s="18">
        <f>Segments!C99</f>
        <v/>
      </c>
      <c r="D23" s="18">
        <f>Segments!D99</f>
        <v/>
      </c>
      <c r="E23" s="18">
        <f>Segments!E99</f>
        <v/>
      </c>
      <c r="F23" s="18">
        <f>Segments!F99</f>
        <v/>
      </c>
    </row>
    <row r="24">
      <c r="A24" s="6" t="inlineStr">
        <is>
          <t>Shipping — EBITDA</t>
        </is>
      </c>
      <c r="B24" s="18">
        <f>Segments!B100</f>
        <v/>
      </c>
      <c r="C24" s="18">
        <f>Segments!C100</f>
        <v/>
      </c>
      <c r="D24" s="18">
        <f>Segments!D100</f>
        <v/>
      </c>
      <c r="E24" s="18">
        <f>Segments!E100</f>
        <v/>
      </c>
      <c r="F24" s="18">
        <f>Segments!F100</f>
        <v/>
      </c>
    </row>
    <row r="25">
      <c r="A25" s="6" t="inlineStr">
        <is>
          <t>Services — EBITDA</t>
        </is>
      </c>
      <c r="B25" s="18">
        <f>Segments!B101</f>
        <v/>
      </c>
      <c r="C25" s="18">
        <f>Segments!C101</f>
        <v/>
      </c>
      <c r="D25" s="18">
        <f>Segments!D101</f>
        <v/>
      </c>
      <c r="E25" s="18">
        <f>Segments!E101</f>
        <v/>
      </c>
      <c r="F25" s="18">
        <f>Segments!F101</f>
        <v/>
      </c>
    </row>
    <row r="26">
      <c r="A26" s="6" t="inlineStr">
        <is>
          <t>Integrated Logistics — share of depreciation and amortisation</t>
        </is>
      </c>
      <c r="B26" s="31">
        <f>-B8*(Assumptions!$C$80+Assumptions!$C$81+Assumptions!$C$82)/(Assumptions!$C$80+Assumptions!$C$81+Assumptions!$C$82+Assumptions!$C$83+Assumptions!$C$84+Assumptions!$C$85+Assumptions!$C$86)</f>
        <v/>
      </c>
      <c r="C26" s="31">
        <f>-C8*(Assumptions!$C$80+Assumptions!$C$81+Assumptions!$C$82)/(Assumptions!$C$80+Assumptions!$C$81+Assumptions!$C$82+Assumptions!$C$83+Assumptions!$C$84+Assumptions!$C$85+Assumptions!$C$86)</f>
        <v/>
      </c>
      <c r="D26" s="31">
        <f>-D8*(Assumptions!$C$80+Assumptions!$C$81+Assumptions!$C$82)/(Assumptions!$C$80+Assumptions!$C$81+Assumptions!$C$82+Assumptions!$C$83+Assumptions!$C$84+Assumptions!$C$85+Assumptions!$C$86)</f>
        <v/>
      </c>
      <c r="E26" s="31">
        <f>-E8*(Assumptions!$C$80+Assumptions!$C$81+Assumptions!$C$82)/(Assumptions!$C$80+Assumptions!$C$81+Assumptions!$C$82+Assumptions!$C$83+Assumptions!$C$84+Assumptions!$C$85+Assumptions!$C$86)</f>
        <v/>
      </c>
      <c r="F26" s="31">
        <f>-F8*(Assumptions!$C$80+Assumptions!$C$81+Assumptions!$C$82)/(Assumptions!$C$80+Assumptions!$C$81+Assumptions!$C$82+Assumptions!$C$83+Assumptions!$C$84+Assumptions!$C$85+Assumptions!$C$86)</f>
        <v/>
      </c>
    </row>
    <row r="27">
      <c r="A27" s="6" t="inlineStr">
        <is>
          <t>Shipping — share of depreciation and amortisation</t>
        </is>
      </c>
      <c r="B27" s="31">
        <f>-B8*(Assumptions!$C$83+Assumptions!$C$84+Assumptions!$C$85)/(Assumptions!$C$80+Assumptions!$C$81+Assumptions!$C$82+Assumptions!$C$83+Assumptions!$C$84+Assumptions!$C$85+Assumptions!$C$86)</f>
        <v/>
      </c>
      <c r="C27" s="31">
        <f>-C8*(Assumptions!$C$83+Assumptions!$C$84+Assumptions!$C$85)/(Assumptions!$C$80+Assumptions!$C$81+Assumptions!$C$82+Assumptions!$C$83+Assumptions!$C$84+Assumptions!$C$85+Assumptions!$C$86)</f>
        <v/>
      </c>
      <c r="D27" s="31">
        <f>-D8*(Assumptions!$C$83+Assumptions!$C$84+Assumptions!$C$85)/(Assumptions!$C$80+Assumptions!$C$81+Assumptions!$C$82+Assumptions!$C$83+Assumptions!$C$84+Assumptions!$C$85+Assumptions!$C$86)</f>
        <v/>
      </c>
      <c r="E27" s="31">
        <f>-E8*(Assumptions!$C$83+Assumptions!$C$84+Assumptions!$C$85)/(Assumptions!$C$80+Assumptions!$C$81+Assumptions!$C$82+Assumptions!$C$83+Assumptions!$C$84+Assumptions!$C$85+Assumptions!$C$86)</f>
        <v/>
      </c>
      <c r="F27" s="31">
        <f>-F8*(Assumptions!$C$83+Assumptions!$C$84+Assumptions!$C$85)/(Assumptions!$C$80+Assumptions!$C$81+Assumptions!$C$82+Assumptions!$C$83+Assumptions!$C$84+Assumptions!$C$85+Assumptions!$C$86)</f>
        <v/>
      </c>
    </row>
    <row r="28">
      <c r="A28" s="6" t="inlineStr">
        <is>
          <t>Services — share of depreciation and amortisation</t>
        </is>
      </c>
      <c r="B28" s="31">
        <f>-B8*(Assumptions!$C$86)/(Assumptions!$C$80+Assumptions!$C$81+Assumptions!$C$82+Assumptions!$C$83+Assumptions!$C$84+Assumptions!$C$85+Assumptions!$C$86)</f>
        <v/>
      </c>
      <c r="C28" s="31">
        <f>-C8*(Assumptions!$C$86)/(Assumptions!$C$80+Assumptions!$C$81+Assumptions!$C$82+Assumptions!$C$83+Assumptions!$C$84+Assumptions!$C$85+Assumptions!$C$86)</f>
        <v/>
      </c>
      <c r="D28" s="31">
        <f>-D8*(Assumptions!$C$86)/(Assumptions!$C$80+Assumptions!$C$81+Assumptions!$C$82+Assumptions!$C$83+Assumptions!$C$84+Assumptions!$C$85+Assumptions!$C$86)</f>
        <v/>
      </c>
      <c r="E28" s="31">
        <f>-E8*(Assumptions!$C$86)/(Assumptions!$C$80+Assumptions!$C$81+Assumptions!$C$82+Assumptions!$C$83+Assumptions!$C$84+Assumptions!$C$85+Assumptions!$C$86)</f>
        <v/>
      </c>
      <c r="F28" s="31">
        <f>-F8*(Assumptions!$C$86)/(Assumptions!$C$80+Assumptions!$C$81+Assumptions!$C$82+Assumptions!$C$83+Assumptions!$C$84+Assumptions!$C$85+Assumptions!$C$86)</f>
        <v/>
      </c>
    </row>
    <row r="29">
      <c r="A29" s="6" t="inlineStr">
        <is>
          <t>Integrated Logistics — taxable profit</t>
        </is>
      </c>
      <c r="B29" s="31">
        <f>MAX(B23-B26,0)</f>
        <v/>
      </c>
      <c r="C29" s="31">
        <f>MAX(C23-C26,0)</f>
        <v/>
      </c>
      <c r="D29" s="31">
        <f>MAX(D23-D26,0)</f>
        <v/>
      </c>
      <c r="E29" s="31">
        <f>MAX(E23-E26,0)</f>
        <v/>
      </c>
      <c r="F29" s="31">
        <f>MAX(F23-F26,0)</f>
        <v/>
      </c>
    </row>
    <row r="30">
      <c r="A30" s="6" t="inlineStr">
        <is>
          <t>Shipping — taxable profit</t>
        </is>
      </c>
      <c r="B30" s="31">
        <f>MAX(B24-B27,0)</f>
        <v/>
      </c>
      <c r="C30" s="31">
        <f>MAX(C24-C27,0)</f>
        <v/>
      </c>
      <c r="D30" s="31">
        <f>MAX(D24-D27,0)</f>
        <v/>
      </c>
      <c r="E30" s="31">
        <f>MAX(E24-E27,0)</f>
        <v/>
      </c>
      <c r="F30" s="31">
        <f>MAX(F24-F27,0)</f>
        <v/>
      </c>
    </row>
    <row r="31">
      <c r="A31" s="6" t="inlineStr">
        <is>
          <t>Services — taxable profit</t>
        </is>
      </c>
      <c r="B31" s="31">
        <f>MAX(B25-B28,0)</f>
        <v/>
      </c>
      <c r="C31" s="31">
        <f>MAX(C25-C28,0)</f>
        <v/>
      </c>
      <c r="D31" s="31">
        <f>MAX(D25-D28,0)</f>
        <v/>
      </c>
      <c r="E31" s="31">
        <f>MAX(E25-E28,0)</f>
        <v/>
      </c>
      <c r="F31" s="31">
        <f>MAX(F25-F28,0)</f>
        <v/>
      </c>
    </row>
    <row r="32">
      <c r="A32" s="6" t="inlineStr">
        <is>
          <t>Integrated Logistics — tax charge at 9%</t>
        </is>
      </c>
      <c r="B32" s="31">
        <f>B29*Assumptions!$C$77</f>
        <v/>
      </c>
      <c r="C32" s="31">
        <f>C29*Assumptions!$C$77</f>
        <v/>
      </c>
      <c r="D32" s="31">
        <f>D29*Assumptions!$C$77</f>
        <v/>
      </c>
      <c r="E32" s="31">
        <f>E29*Assumptions!$C$77</f>
        <v/>
      </c>
      <c r="F32" s="31">
        <f>F29*Assumptions!$C$77</f>
        <v/>
      </c>
    </row>
    <row r="33">
      <c r="A33" s="6" t="inlineStr">
        <is>
          <t>Shipping — tax charge at 1%</t>
        </is>
      </c>
      <c r="B33" s="31">
        <f>B30*Assumptions!$C$78</f>
        <v/>
      </c>
      <c r="C33" s="31">
        <f>C30*Assumptions!$C$78</f>
        <v/>
      </c>
      <c r="D33" s="31">
        <f>D30*Assumptions!$C$78</f>
        <v/>
      </c>
      <c r="E33" s="31">
        <f>E30*Assumptions!$C$78</f>
        <v/>
      </c>
      <c r="F33" s="31">
        <f>F30*Assumptions!$C$78</f>
        <v/>
      </c>
    </row>
    <row r="34">
      <c r="A34" s="6" t="inlineStr">
        <is>
          <t>Services — tax charge at 4%</t>
        </is>
      </c>
      <c r="B34" s="31">
        <f>B31*Assumptions!$C$79</f>
        <v/>
      </c>
      <c r="C34" s="31">
        <f>C31*Assumptions!$C$79</f>
        <v/>
      </c>
      <c r="D34" s="31">
        <f>D31*Assumptions!$C$79</f>
        <v/>
      </c>
      <c r="E34" s="31">
        <f>E31*Assumptions!$C$79</f>
        <v/>
      </c>
      <c r="F34" s="31">
        <f>F31*Assumptions!$C$79</f>
        <v/>
      </c>
    </row>
    <row r="35">
      <c r="A35" s="14" t="inlineStr">
        <is>
          <t>Tax on operating profit</t>
        </is>
      </c>
      <c r="B35" s="32">
        <f>SUM(B32:B34)</f>
        <v/>
      </c>
      <c r="C35" s="32">
        <f>SUM(C32:C34)</f>
        <v/>
      </c>
      <c r="D35" s="32">
        <f>SUM(D32:D34)</f>
        <v/>
      </c>
      <c r="E35" s="32">
        <f>SUM(E32:E34)</f>
        <v/>
      </c>
      <c r="F35" s="32">
        <f>SUM(F32:F34)</f>
        <v/>
      </c>
    </row>
    <row r="36">
      <c r="A36" s="6" t="inlineStr">
        <is>
          <t>Effective tax rate on operating profit</t>
        </is>
      </c>
      <c r="B36" s="42">
        <f>B35/B9</f>
        <v/>
      </c>
      <c r="C36" s="42">
        <f>C35/C9</f>
        <v/>
      </c>
      <c r="D36" s="42">
        <f>D35/D9</f>
        <v/>
      </c>
      <c r="E36" s="42">
        <f>E35/E9</f>
        <v/>
      </c>
      <c r="F36" s="42">
        <f>F35/F9</f>
        <v/>
      </c>
    </row>
    <row r="38">
      <c r="A38" s="11" t="inlineStr">
        <is>
          <t>TERMINAL VALUE AND THE BRIDGE TO EQUITY</t>
        </is>
      </c>
      <c r="B38" s="14" t="n"/>
      <c r="C38" s="14" t="n"/>
      <c r="D38" s="14" t="n"/>
      <c r="E38" s="14" t="n"/>
      <c r="F38" s="14" t="n"/>
    </row>
    <row r="39">
      <c r="A39" s="6" t="inlineStr">
        <is>
          <t>Terminal growth</t>
        </is>
      </c>
      <c r="C39" s="8">
        <f>Assumptions!$C$102</f>
        <v/>
      </c>
    </row>
    <row r="40">
      <c r="A40" s="6" t="inlineStr">
        <is>
          <t>Terminal invested capital</t>
        </is>
      </c>
      <c r="C40" s="18">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1">
        <f>F11*(1+C39)</f>
        <v/>
      </c>
    </row>
    <row r="44">
      <c r="A44" s="6" t="inlineStr">
        <is>
          <t>Terminal value — grown NOPAT net of reinvestment, capitalised at the terminal rate</t>
        </is>
      </c>
      <c r="C44" s="31">
        <f>C43*(1-C42)/(C102-C39)</f>
        <v/>
      </c>
    </row>
    <row r="45">
      <c r="A45" s="6" t="inlineStr">
        <is>
          <t>Present value of the five forecast years</t>
        </is>
      </c>
      <c r="C45" s="31">
        <f>SUM(B20:F20)</f>
        <v/>
      </c>
    </row>
    <row r="46">
      <c r="A46" s="6" t="inlineStr">
        <is>
          <t>Present value of the terminal value</t>
        </is>
      </c>
      <c r="C46" s="31">
        <f>C44*F19</f>
        <v/>
      </c>
    </row>
    <row r="47">
      <c r="A47" s="6" t="inlineStr">
        <is>
          <t>Enterprise value of operations</t>
        </is>
      </c>
      <c r="C47" s="31">
        <f>C45+C46</f>
        <v/>
      </c>
    </row>
    <row r="48">
      <c r="A48" s="6" t="inlineStr">
        <is>
          <t>Terminal value as a share of enterprise value</t>
        </is>
      </c>
      <c r="C48" s="10">
        <f>C46/C47</f>
        <v/>
      </c>
    </row>
    <row r="49">
      <c r="A49" s="6" t="inlineStr">
        <is>
          <t>Plus joint ventures and associates at carrying value</t>
        </is>
      </c>
      <c r="C49" s="18">
        <f>Assumptions!$C$95</f>
        <v/>
      </c>
    </row>
    <row r="50">
      <c r="A50" s="6" t="inlineStr">
        <is>
          <t>Enterprise value</t>
        </is>
      </c>
      <c r="C50" s="36">
        <f>C47+C49</f>
        <v/>
      </c>
    </row>
    <row r="51">
      <c r="A51" s="6" t="inlineStr">
        <is>
          <t>Less net debt at 31 March 2026</t>
        </is>
      </c>
      <c r="C51" s="18">
        <f>-Assumptions!$C$89</f>
        <v/>
      </c>
    </row>
    <row r="52">
      <c r="A52" s="6" t="inlineStr">
        <is>
          <t>Less deferred consideration on acquisitions</t>
        </is>
      </c>
      <c r="C52" s="18">
        <f>-Assumptions!$C$90</f>
        <v/>
      </c>
    </row>
    <row r="53">
      <c r="A53" s="6" t="inlineStr">
        <is>
          <t>Less perpetual capital securities at carrying value</t>
        </is>
      </c>
      <c r="C53" s="18">
        <f>-Assumptions!$C$91</f>
        <v/>
      </c>
    </row>
    <row r="54">
      <c r="A54" s="6" t="inlineStr">
        <is>
          <t>Less non-controlling interests at carrying value</t>
        </is>
      </c>
      <c r="C54" s="18">
        <f>-Assumptions!$C$93</f>
        <v/>
      </c>
    </row>
    <row r="55">
      <c r="A55" s="14" t="inlineStr">
        <is>
          <t>Equity attributable to ordinary shareholders</t>
        </is>
      </c>
      <c r="B55" s="14" t="n"/>
      <c r="C55" s="32">
        <f>C50+C51+C52+C53+C54</f>
        <v/>
      </c>
      <c r="D55" s="14" t="n"/>
    </row>
    <row r="56">
      <c r="A56" s="6" t="inlineStr">
        <is>
          <t>Fair value per share (USD)</t>
        </is>
      </c>
      <c r="C56" s="9">
        <f>C55/Assumptions!$C$6/1000</f>
        <v/>
      </c>
    </row>
    <row r="57">
      <c r="A57" s="14" t="inlineStr">
        <is>
          <t>Fair value per share (AED)</t>
        </is>
      </c>
      <c r="B57" s="14" t="n"/>
      <c r="C57" s="15">
        <f>C56*Assumptions!$C$7</f>
        <v/>
      </c>
      <c r="D57" s="14" t="n"/>
    </row>
    <row r="59">
      <c r="A59" s="11" t="inlineStr">
        <is>
          <t>COST OF EQUITY — BUILT HERE, NOT ASSUMED</t>
        </is>
      </c>
      <c r="B59" s="14" t="n"/>
      <c r="C59" s="14" t="n"/>
      <c r="D59" s="14" t="n"/>
      <c r="E59" s="14" t="n"/>
      <c r="F59" s="14" t="n"/>
    </row>
    <row r="60">
      <c r="A60" s="6" t="inlineStr">
        <is>
          <t>Observed government bond yield (dirham tranche, January 2031)</t>
        </is>
      </c>
      <c r="C60" s="19">
        <f>Assumptions!$C$12</f>
        <v/>
      </c>
    </row>
    <row r="61">
      <c r="A61" s="6" t="inlineStr">
        <is>
          <t>Less sovereign default spread — country risk enters once, through the premium</t>
        </is>
      </c>
      <c r="C61" s="19">
        <f>Assumptions!$C$13</f>
        <v/>
      </c>
    </row>
    <row r="62">
      <c r="A62" s="6" t="inlineStr">
        <is>
          <t>Normalised risk-free rate</t>
        </is>
      </c>
      <c r="C62" s="42">
        <f>C60-C61</f>
        <v/>
      </c>
    </row>
    <row r="63">
      <c r="A63" s="6" t="inlineStr">
        <is>
          <t>Beta — own-stock weekly regression against its local index</t>
        </is>
      </c>
      <c r="C63" s="23">
        <f>Assumptions!$C$14</f>
        <v/>
      </c>
    </row>
    <row r="64">
      <c r="A64" s="6" t="inlineStr">
        <is>
          <t>Equity risk premium</t>
        </is>
      </c>
      <c r="C64" s="19">
        <f>Assumptions!$C$16</f>
        <v/>
      </c>
    </row>
    <row r="65">
      <c r="A65" s="14" t="inlineStr">
        <is>
          <t>Cost of equity</t>
        </is>
      </c>
      <c r="B65" s="14" t="n"/>
      <c r="C65" s="44">
        <f>C62+C63*C64</f>
        <v/>
      </c>
      <c r="D65" s="14" t="n"/>
    </row>
    <row r="67">
      <c r="A67" s="11" t="inlineStr">
        <is>
          <t>COST OF DEBT — THREE CONSTRUCTIONS, AVERAGED HERE</t>
        </is>
      </c>
      <c r="B67" s="14" t="n"/>
      <c r="C67" s="14" t="n"/>
      <c r="D67" s="14" t="n"/>
      <c r="E67" s="14" t="n"/>
      <c r="F67" s="14" t="n"/>
    </row>
    <row r="68">
      <c r="A68" s="6" t="inlineStr">
        <is>
          <t>Secured overnight financing rate</t>
        </is>
      </c>
      <c r="C68" s="19">
        <f>Assumptions!$C$21</f>
        <v/>
      </c>
    </row>
    <row r="69">
      <c r="A69" s="6" t="inlineStr">
        <is>
          <t>Parent revolving credit facility margin</t>
        </is>
      </c>
      <c r="C69" s="19">
        <f>Assumptions!$C$22</f>
        <v/>
      </c>
    </row>
    <row r="70">
      <c r="A70" s="6" t="inlineStr">
        <is>
          <t>METHOD 1 — parent revolving facility rate drawn January 2026</t>
        </is>
      </c>
      <c r="C70" s="42">
        <f>C68+C69</f>
        <v/>
      </c>
    </row>
    <row r="71">
      <c r="A71" s="6" t="inlineStr">
        <is>
          <t>Third-party bank loans — low end of the disclosed range</t>
        </is>
      </c>
      <c r="C71" s="19">
        <f>Assumptions!$C$23</f>
        <v/>
      </c>
    </row>
    <row r="72">
      <c r="A72" s="6" t="inlineStr">
        <is>
          <t>Third-party bank loans — high end of the disclosed range</t>
        </is>
      </c>
      <c r="C72" s="19">
        <f>Assumptions!$C$24</f>
        <v/>
      </c>
    </row>
    <row r="73">
      <c r="A73" s="6" t="inlineStr">
        <is>
          <t>Bank-loan midpoint</t>
        </is>
      </c>
      <c r="C73" s="42">
        <f>(C71+C72)/2</f>
        <v/>
      </c>
    </row>
    <row r="74">
      <c r="A74" s="6" t="inlineStr">
        <is>
          <t>Other third-party borrowings — low end of the disclosed range</t>
        </is>
      </c>
      <c r="C74" s="19">
        <f>Assumptions!$C$25</f>
        <v/>
      </c>
    </row>
    <row r="75">
      <c r="A75" s="6" t="inlineStr">
        <is>
          <t>Other third-party borrowings — high end of the disclosed range</t>
        </is>
      </c>
      <c r="C75" s="19">
        <f>Assumptions!$C$26</f>
        <v/>
      </c>
    </row>
    <row r="76">
      <c r="A76" s="6" t="inlineStr">
        <is>
          <t>Other-borrowings midpoint</t>
        </is>
      </c>
      <c r="C76" s="42">
        <f>(C74+C75)/2</f>
        <v/>
      </c>
    </row>
    <row r="77">
      <c r="A77" s="6" t="inlineStr">
        <is>
          <t>Third-party blended rate — the two midpoints averaged</t>
        </is>
      </c>
      <c r="C77" s="42">
        <f>(C73+C76)/2</f>
        <v/>
      </c>
    </row>
    <row r="78">
      <c r="A78" s="6" t="inlineStr">
        <is>
          <t>Lease interest charged in 2025 (USD 000)</t>
        </is>
      </c>
      <c r="C78" s="18">
        <f>Assumptions!$C$27</f>
        <v/>
      </c>
    </row>
    <row r="79">
      <c r="A79" s="6" t="inlineStr">
        <is>
          <t>Lease liabilities, opening balance (USD 000)</t>
        </is>
      </c>
      <c r="C79" s="18">
        <f>Assumptions!$C$28</f>
        <v/>
      </c>
    </row>
    <row r="80">
      <c r="A80" s="6" t="inlineStr">
        <is>
          <t>Lease liabilities, closing balance (USD 000)</t>
        </is>
      </c>
      <c r="C80" s="18">
        <f>Assumptions!$C$29</f>
        <v/>
      </c>
    </row>
    <row r="81">
      <c r="A81" s="6" t="inlineStr">
        <is>
          <t>Implied lease borrowing rate — interest over the average balance</t>
        </is>
      </c>
      <c r="C81" s="42">
        <f>C78/((C79+C80)/2)</f>
        <v/>
      </c>
    </row>
    <row r="82">
      <c r="A82" s="6" t="inlineStr">
        <is>
          <t>Shareholder loan at 31 March 2026 (USD 000)</t>
        </is>
      </c>
      <c r="C82" s="18">
        <f>Assumptions!$C$30</f>
        <v/>
      </c>
    </row>
    <row r="83">
      <c r="A83" s="6" t="inlineStr">
        <is>
          <t>Third-party borrowings at 31 March 2026 (USD 000)</t>
        </is>
      </c>
      <c r="C83" s="18">
        <f>Assumptions!$C$31</f>
        <v/>
      </c>
    </row>
    <row r="84">
      <c r="A84" s="6" t="inlineStr">
        <is>
          <t>Lease liabilities at 31 March 2026 (USD 000)</t>
        </is>
      </c>
      <c r="C84" s="18">
        <f>Assumptions!$C$32</f>
        <v/>
      </c>
    </row>
    <row r="85">
      <c r="A85" s="6" t="inlineStr">
        <is>
          <t>Borrowings at 31 March 2026 (USD 000)</t>
        </is>
      </c>
      <c r="C85" s="31">
        <f>C82+C83+C84</f>
        <v/>
      </c>
    </row>
    <row r="86">
      <c r="A86" s="6" t="inlineStr">
        <is>
          <t>METHOD 2 — the instruments actually outstanding, weighted by balance</t>
        </is>
      </c>
      <c r="C86" s="42">
        <f>(C82*C70+C83*C77+C84*C81)/C85</f>
        <v/>
      </c>
    </row>
    <row r="87">
      <c r="A87" s="6" t="inlineStr">
        <is>
          <t>METHOD 3 — the disclosed third-party bank-loan midpoint</t>
        </is>
      </c>
      <c r="C87" s="42">
        <f>C73</f>
        <v/>
      </c>
    </row>
    <row r="88">
      <c r="A88" s="14" t="inlineStr">
        <is>
          <t>Cost of debt — the three constructions averaged</t>
        </is>
      </c>
      <c r="B88" s="14" t="n"/>
      <c r="C88" s="44">
        <f>AVERAGE(C70,C86,C87)</f>
        <v/>
      </c>
      <c r="D88" s="14" t="n"/>
    </row>
    <row r="89">
      <c r="A89" s="6" t="inlineStr">
        <is>
          <t>Statutory corporate tax rate</t>
        </is>
      </c>
      <c r="C89" s="8">
        <f>Assumptions!$C$18</f>
        <v/>
      </c>
    </row>
    <row r="90">
      <c r="A90" s="6" t="inlineStr">
        <is>
          <t>Cost of debt after tax</t>
        </is>
      </c>
      <c r="C90" s="42">
        <f>C88*(1-C89)</f>
        <v/>
      </c>
    </row>
    <row r="92">
      <c r="A92" s="11" t="inlineStr">
        <is>
          <t>WEIGHTS AND THE COST OF CAPITAL</t>
        </is>
      </c>
      <c r="B92" s="14" t="n"/>
      <c r="C92" s="14" t="n"/>
      <c r="D92" s="14" t="n"/>
      <c r="E92" s="14" t="n"/>
      <c r="F92" s="14" t="n"/>
    </row>
    <row r="93">
      <c r="A93" s="6" t="inlineStr">
        <is>
          <t>Market capitalisation (USD 000)</t>
        </is>
      </c>
      <c r="C93" s="31">
        <f>Assumptions!$C$5/Assumptions!$C$7*Assumptions!$C$6*1000</f>
        <v/>
      </c>
    </row>
    <row r="94">
      <c r="A94" s="6" t="inlineStr">
        <is>
          <t>Borrowings at 31 March 2026 (USD 000)</t>
        </is>
      </c>
      <c r="C94" s="31">
        <f>C85</f>
        <v/>
      </c>
    </row>
    <row r="95">
      <c r="A95" s="6" t="inlineStr">
        <is>
          <t>Equity weight — market capitalisation over the total</t>
        </is>
      </c>
      <c r="C95" s="42">
        <f>C93/(C93+C94)</f>
        <v/>
      </c>
    </row>
    <row r="96">
      <c r="A96" s="6" t="inlineStr">
        <is>
          <t>Debt weight</t>
        </is>
      </c>
      <c r="C96" s="42">
        <f>1-C95</f>
        <v/>
      </c>
    </row>
    <row r="97">
      <c r="A97" s="14" t="inlineStr">
        <is>
          <t>Cost of capital — explicit window</t>
        </is>
      </c>
      <c r="B97" s="14" t="n"/>
      <c r="C97" s="44">
        <f>C95*C65+C96*C90</f>
        <v/>
      </c>
      <c r="D97" s="14" t="n"/>
    </row>
    <row r="98">
      <c r="A98" s="6" t="inlineStr">
        <is>
          <t>Terminal risk-free rate</t>
        </is>
      </c>
      <c r="C98" s="19">
        <f>Assumptions!$C$17</f>
        <v/>
      </c>
    </row>
    <row r="99">
      <c r="A99" s="6" t="inlineStr">
        <is>
          <t>Terminal cost of equity</t>
        </is>
      </c>
      <c r="C99" s="42">
        <f>C98+C63*C64</f>
        <v/>
      </c>
    </row>
    <row r="100">
      <c r="A100" s="6" t="inlineStr">
        <is>
          <t>Terminal cost of debt — the same spread over the terminal rate</t>
        </is>
      </c>
      <c r="C100" s="42">
        <f>C98+(C88-C62)</f>
        <v/>
      </c>
    </row>
    <row r="101">
      <c r="A101" s="6" t="inlineStr">
        <is>
          <t>Terminal cost of debt after tax</t>
        </is>
      </c>
      <c r="C101" s="42">
        <f>C100*(1-C89)</f>
        <v/>
      </c>
    </row>
    <row r="102">
      <c r="A102" s="14" t="inlineStr">
        <is>
          <t>Terminal cost of capital</t>
        </is>
      </c>
      <c r="B102" s="14" t="n"/>
      <c r="C102" s="44">
        <f>C95*C99+C96*C101</f>
        <v/>
      </c>
      <c r="D102" s="14" t="n"/>
    </row>
    <row r="104">
      <c r="A104" s="11" t="inlineStr">
        <is>
          <t>THE CONTESTED JUDGEMENT — THE SAME MODEL ON AN ASSET-RISK BETA OF 1.00</t>
        </is>
      </c>
      <c r="B104" s="14" t="n"/>
      <c r="C104" s="14" t="n"/>
      <c r="D104" s="14" t="n"/>
      <c r="E104" s="14" t="n"/>
      <c r="F104" s="14" t="n"/>
    </row>
    <row r="105">
      <c r="A105" s="6" t="inlineStr">
        <is>
          <t>Asset-risk beta</t>
        </is>
      </c>
      <c r="C105" s="23">
        <f>Assumptions!$C$15</f>
        <v/>
      </c>
    </row>
    <row r="106">
      <c r="A106" s="6" t="inlineStr">
        <is>
          <t>Cost of equity on the asset-risk beta</t>
        </is>
      </c>
      <c r="C106" s="42">
        <f>C62+C105*C64</f>
        <v/>
      </c>
    </row>
    <row r="107">
      <c r="A107" s="6" t="inlineStr">
        <is>
          <t>Terminal cost of equity on the asset-risk beta</t>
        </is>
      </c>
      <c r="C107" s="42">
        <f>C98+C105*C64</f>
        <v/>
      </c>
    </row>
    <row r="108">
      <c r="A108" s="6" t="inlineStr">
        <is>
          <t>Cost of capital — explicit window, asset-risk beta</t>
        </is>
      </c>
      <c r="C108" s="42">
        <f>C95*C106+C96*C90</f>
        <v/>
      </c>
    </row>
    <row r="109">
      <c r="A109" s="6" t="inlineStr">
        <is>
          <t>Terminal cost of capital, asset-risk beta</t>
        </is>
      </c>
      <c r="C109" s="42">
        <f>C95*C107+C96*C101</f>
        <v/>
      </c>
    </row>
    <row r="110">
      <c r="A110" s="5" t="inlineStr">
        <is>
          <t>The same cash flows, discounted at the asset-risk cost of capital</t>
        </is>
      </c>
      <c r="B110" s="5" t="inlineStr">
        <is>
          <t>FY2026E</t>
        </is>
      </c>
      <c r="C110" s="5" t="inlineStr">
        <is>
          <t>FY2027E</t>
        </is>
      </c>
      <c r="D110" s="5" t="inlineStr">
        <is>
          <t>FY2028E</t>
        </is>
      </c>
      <c r="E110" s="5" t="inlineStr">
        <is>
          <t>FY2029E</t>
        </is>
      </c>
      <c r="F110" s="5" t="inlineStr">
        <is>
          <t>FY2030E</t>
        </is>
      </c>
    </row>
    <row r="111">
      <c r="A111" s="6" t="inlineStr">
        <is>
          <t>Forward cost of capital — the glide</t>
        </is>
      </c>
      <c r="B111" s="42">
        <f>$C$108+($C$109-$C$108)*1/5</f>
        <v/>
      </c>
      <c r="C111" s="42">
        <f>$C$108+($C$109-$C$108)*2/5</f>
        <v/>
      </c>
      <c r="D111" s="42">
        <f>$C$108+($C$109-$C$108)*3/5</f>
        <v/>
      </c>
      <c r="E111" s="42">
        <f>$C$108+($C$109-$C$108)*4/5</f>
        <v/>
      </c>
      <c r="F111" s="42">
        <f>$C$108+($C$109-$C$108)*5/5</f>
        <v/>
      </c>
    </row>
    <row r="112">
      <c r="A112" s="6" t="inlineStr">
        <is>
          <t>Discount factor</t>
        </is>
      </c>
      <c r="B112" s="43">
        <f>1/(1+B111)^Assumptions!$C$8</f>
        <v/>
      </c>
      <c r="C112" s="43">
        <f>B112/(1+C111)</f>
        <v/>
      </c>
      <c r="D112" s="43">
        <f>C112/(1+D111)</f>
        <v/>
      </c>
      <c r="E112" s="43">
        <f>D112/(1+E111)</f>
        <v/>
      </c>
      <c r="F112" s="43">
        <f>E112/(1+F111)</f>
        <v/>
      </c>
    </row>
    <row r="113">
      <c r="A113" s="6" t="inlineStr">
        <is>
          <t>Present value of free cash flow</t>
        </is>
      </c>
      <c r="B113" s="31">
        <f>B17*B112</f>
        <v/>
      </c>
      <c r="C113" s="31">
        <f>C17*C112</f>
        <v/>
      </c>
      <c r="D113" s="31">
        <f>D17*D112</f>
        <v/>
      </c>
      <c r="E113" s="31">
        <f>E17*E112</f>
        <v/>
      </c>
      <c r="F113" s="31">
        <f>F17*F112</f>
        <v/>
      </c>
    </row>
    <row r="114">
      <c r="A114" s="6" t="inlineStr">
        <is>
          <t>Present value of the five forecast years</t>
        </is>
      </c>
      <c r="C114" s="31">
        <f>SUM(B113:F113)</f>
        <v/>
      </c>
    </row>
    <row r="115">
      <c r="A115" s="6" t="inlineStr">
        <is>
          <t>Terminal value</t>
        </is>
      </c>
      <c r="C115" s="31">
        <f>C43*(1-C42)/(C109-C39)</f>
        <v/>
      </c>
    </row>
    <row r="116">
      <c r="A116" s="6" t="inlineStr">
        <is>
          <t>Present value of the terminal value</t>
        </is>
      </c>
      <c r="C116" s="31">
        <f>C115*F112</f>
        <v/>
      </c>
    </row>
    <row r="117">
      <c r="A117" s="6" t="inlineStr">
        <is>
          <t>Enterprise value of operations</t>
        </is>
      </c>
      <c r="C117" s="31">
        <f>C114+C116</f>
        <v/>
      </c>
    </row>
    <row r="118">
      <c r="A118" s="6" t="inlineStr">
        <is>
          <t>Terminal value as a share of enterprise value</t>
        </is>
      </c>
      <c r="C118" s="10">
        <f>C116/C117</f>
        <v/>
      </c>
    </row>
    <row r="119">
      <c r="A119" s="6" t="inlineStr">
        <is>
          <t>Enterprise value</t>
        </is>
      </c>
      <c r="C119" s="31">
        <f>C117+C49</f>
        <v/>
      </c>
    </row>
    <row r="120">
      <c r="A120" s="6" t="inlineStr">
        <is>
          <t>Equity attributable to ordinary shareholders</t>
        </is>
      </c>
      <c r="C120" s="31">
        <f>C119+C51+C52+C53+C54</f>
        <v/>
      </c>
    </row>
    <row r="121">
      <c r="A121" s="14" t="inlineStr">
        <is>
          <t>Fair value per share (AED) — asset-risk beta</t>
        </is>
      </c>
      <c r="B121" s="14" t="n"/>
      <c r="C121" s="15">
        <f>C120/Assumptions!$C$6/1000*Assumptions!$C$7</f>
        <v/>
      </c>
      <c r="D121" s="14" t="n"/>
    </row>
    <row r="123">
      <c r="A123" s="4" t="inlineStr">
        <is>
          <t>The two readings above are carried side by side and are never averaged. The regressed beta is the primary reading because it passes the usability gate on the stock's own history; the asset-risk beta is what a listed fleet owner might instead be expected to carry, and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32" t="n">
        <v>2755152</v>
      </c>
      <c r="C5" s="32" t="n">
        <v>3549330</v>
      </c>
      <c r="D5" s="32" t="n">
        <v>5016112</v>
      </c>
      <c r="E5" s="32">
        <f>DCF!B5</f>
        <v/>
      </c>
      <c r="F5" s="32">
        <f>DCF!C5</f>
        <v/>
      </c>
      <c r="G5" s="32">
        <f>DCF!D5</f>
        <v/>
      </c>
      <c r="H5" s="32">
        <f>DCF!E5</f>
        <v/>
      </c>
      <c r="I5" s="32">
        <f>DCF!F5</f>
        <v/>
      </c>
    </row>
    <row r="6">
      <c r="A6" s="6" t="inlineStr">
        <is>
          <t>Direct costs</t>
        </is>
      </c>
      <c r="B6" s="27" t="n">
        <v>-2003225</v>
      </c>
      <c r="C6" s="27" t="n">
        <v>-2608784</v>
      </c>
      <c r="D6" s="27" t="n">
        <v>-3908236</v>
      </c>
      <c r="E6" s="31" t="inlineStr">
        <is>
          <t>-</t>
        </is>
      </c>
      <c r="F6" s="31" t="inlineStr">
        <is>
          <t>-</t>
        </is>
      </c>
      <c r="G6" s="31" t="inlineStr">
        <is>
          <t>-</t>
        </is>
      </c>
      <c r="H6" s="31" t="inlineStr">
        <is>
          <t>-</t>
        </is>
      </c>
      <c r="I6" s="31" t="inlineStr">
        <is>
          <t>-</t>
        </is>
      </c>
    </row>
    <row r="7">
      <c r="A7" s="6" t="inlineStr">
        <is>
          <t>Gross profit</t>
        </is>
      </c>
      <c r="B7" s="31">
        <f>B5+B6</f>
        <v/>
      </c>
      <c r="C7" s="31">
        <f>C5+C6</f>
        <v/>
      </c>
      <c r="D7" s="31">
        <f>D5+D6</f>
        <v/>
      </c>
      <c r="E7" s="31" t="inlineStr">
        <is>
          <t>-</t>
        </is>
      </c>
      <c r="F7" s="31" t="inlineStr">
        <is>
          <t>-</t>
        </is>
      </c>
      <c r="G7" s="31" t="inlineStr">
        <is>
          <t>-</t>
        </is>
      </c>
      <c r="H7" s="31" t="inlineStr">
        <is>
          <t>-</t>
        </is>
      </c>
      <c r="I7" s="31" t="inlineStr">
        <is>
          <t>-</t>
        </is>
      </c>
    </row>
    <row r="8">
      <c r="A8" s="6" t="inlineStr">
        <is>
          <t>General and administrative expenses</t>
        </is>
      </c>
      <c r="B8" s="27" t="n">
        <v>-146436</v>
      </c>
      <c r="C8" s="27" t="n">
        <v>-141522</v>
      </c>
      <c r="D8" s="27" t="n">
        <v>-204983</v>
      </c>
      <c r="E8" s="31" t="inlineStr">
        <is>
          <t>-</t>
        </is>
      </c>
      <c r="F8" s="31" t="inlineStr">
        <is>
          <t>-</t>
        </is>
      </c>
      <c r="G8" s="31" t="inlineStr">
        <is>
          <t>-</t>
        </is>
      </c>
      <c r="H8" s="31" t="inlineStr">
        <is>
          <t>-</t>
        </is>
      </c>
      <c r="I8" s="31" t="inlineStr">
        <is>
          <t>-</t>
        </is>
      </c>
    </row>
    <row r="9">
      <c r="A9" s="6" t="inlineStr">
        <is>
          <t>Expected credit losses</t>
        </is>
      </c>
      <c r="B9" s="27" t="n">
        <v>-2672</v>
      </c>
      <c r="C9" s="27" t="n">
        <v>2649</v>
      </c>
      <c r="D9" s="27" t="n">
        <v>-9590</v>
      </c>
      <c r="E9" s="31" t="inlineStr">
        <is>
          <t>-</t>
        </is>
      </c>
      <c r="F9" s="31" t="inlineStr">
        <is>
          <t>-</t>
        </is>
      </c>
      <c r="G9" s="31" t="inlineStr">
        <is>
          <t>-</t>
        </is>
      </c>
      <c r="H9" s="31" t="inlineStr">
        <is>
          <t>-</t>
        </is>
      </c>
      <c r="I9" s="31" t="inlineStr">
        <is>
          <t>-</t>
        </is>
      </c>
    </row>
    <row r="10">
      <c r="A10" s="6" t="inlineStr">
        <is>
          <t>Other income</t>
        </is>
      </c>
      <c r="B10" s="27" t="n">
        <v>10865</v>
      </c>
      <c r="C10" s="27" t="n">
        <v>19896</v>
      </c>
      <c r="D10" s="27" t="n">
        <v>50459</v>
      </c>
      <c r="E10" s="31" t="inlineStr">
        <is>
          <t>-</t>
        </is>
      </c>
      <c r="F10" s="31" t="inlineStr">
        <is>
          <t>-</t>
        </is>
      </c>
      <c r="G10" s="31" t="inlineStr">
        <is>
          <t>-</t>
        </is>
      </c>
      <c r="H10" s="31" t="inlineStr">
        <is>
          <t>-</t>
        </is>
      </c>
      <c r="I10" s="31" t="inlineStr">
        <is>
          <t>-</t>
        </is>
      </c>
    </row>
    <row r="11">
      <c r="A11" s="6" t="inlineStr">
        <is>
          <t>Other expenses</t>
        </is>
      </c>
      <c r="B11" s="27" t="n">
        <v>0</v>
      </c>
      <c r="C11" s="27" t="n">
        <v>-4310</v>
      </c>
      <c r="D11" s="27" t="n">
        <v>0</v>
      </c>
      <c r="E11" s="31" t="inlineStr">
        <is>
          <t>-</t>
        </is>
      </c>
      <c r="F11" s="31" t="inlineStr">
        <is>
          <t>-</t>
        </is>
      </c>
      <c r="G11" s="31" t="inlineStr">
        <is>
          <t>-</t>
        </is>
      </c>
      <c r="H11" s="31" t="inlineStr">
        <is>
          <t>-</t>
        </is>
      </c>
      <c r="I11" s="31" t="inlineStr">
        <is>
          <t>-</t>
        </is>
      </c>
    </row>
    <row r="12">
      <c r="A12" s="14" t="inlineStr">
        <is>
          <t>Operating profit</t>
        </is>
      </c>
      <c r="B12" s="32">
        <f>B7+B8+B9+B10+B11</f>
        <v/>
      </c>
      <c r="C12" s="32">
        <f>C7+C8+C9+C10+C11</f>
        <v/>
      </c>
      <c r="D12" s="32">
        <f>D7+D8+D9+D10+D11</f>
        <v/>
      </c>
      <c r="E12" s="32">
        <f>E14-E13</f>
        <v/>
      </c>
      <c r="F12" s="32">
        <f>F14-F13</f>
        <v/>
      </c>
      <c r="G12" s="32">
        <f>G14-G13</f>
        <v/>
      </c>
      <c r="H12" s="32">
        <f>H14-H13</f>
        <v/>
      </c>
      <c r="I12" s="32">
        <f>I14-I13</f>
        <v/>
      </c>
    </row>
    <row r="13">
      <c r="A13" s="6" t="inlineStr">
        <is>
          <t>Depreciation and amortisation</t>
        </is>
      </c>
      <c r="B13" s="27" t="n">
        <v>248526</v>
      </c>
      <c r="C13" s="27" t="n">
        <v>317339</v>
      </c>
      <c r="D13" s="27" t="n">
        <v>524809</v>
      </c>
      <c r="E13" s="18">
        <f>'Balance Sheet'!B38</f>
        <v/>
      </c>
      <c r="F13" s="18">
        <f>'Balance Sheet'!C38</f>
        <v/>
      </c>
      <c r="G13" s="18">
        <f>'Balance Sheet'!D38</f>
        <v/>
      </c>
      <c r="H13" s="18">
        <f>'Balance Sheet'!E38</f>
        <v/>
      </c>
      <c r="I13" s="18">
        <f>'Balance Sheet'!F38</f>
        <v/>
      </c>
    </row>
    <row r="14">
      <c r="A14" s="14" t="inlineStr">
        <is>
          <t>EBITDA (operating)</t>
        </is>
      </c>
      <c r="B14" s="32">
        <f>B12+B13</f>
        <v/>
      </c>
      <c r="C14" s="32">
        <f>C12+C13</f>
        <v/>
      </c>
      <c r="D14" s="32">
        <f>D12+D13</f>
        <v/>
      </c>
      <c r="E14" s="32">
        <f>DCF!B6</f>
        <v/>
      </c>
      <c r="F14" s="32">
        <f>DCF!C6</f>
        <v/>
      </c>
      <c r="G14" s="32">
        <f>DCF!D6</f>
        <v/>
      </c>
      <c r="H14" s="32">
        <f>DCF!E6</f>
        <v/>
      </c>
      <c r="I14" s="32">
        <f>DCF!F6</f>
        <v/>
      </c>
    </row>
    <row r="15">
      <c r="A15" s="6" t="inlineStr">
        <is>
          <t>Add share of joint ventures and one-off gains carried in reported EBITDA</t>
        </is>
      </c>
      <c r="B15" s="27" t="n">
        <v>14071</v>
      </c>
      <c r="C15" s="27" t="n">
        <v>14198</v>
      </c>
      <c r="D15" s="27" t="n">
        <v>46050</v>
      </c>
      <c r="E15" s="31" t="inlineStr">
        <is>
          <t>-</t>
        </is>
      </c>
      <c r="F15" s="31" t="inlineStr">
        <is>
          <t>-</t>
        </is>
      </c>
      <c r="G15" s="31" t="inlineStr">
        <is>
          <t>-</t>
        </is>
      </c>
      <c r="H15" s="31" t="inlineStr">
        <is>
          <t>-</t>
        </is>
      </c>
      <c r="I15" s="31" t="inlineStr">
        <is>
          <t>-</t>
        </is>
      </c>
    </row>
    <row r="16">
      <c r="A16" s="6" t="inlineStr">
        <is>
          <t>EBITDA as reported</t>
        </is>
      </c>
      <c r="B16" s="31">
        <f>B14+B15</f>
        <v/>
      </c>
      <c r="C16" s="31">
        <f>C14+C15</f>
        <v/>
      </c>
      <c r="D16" s="31">
        <f>D14+D15</f>
        <v/>
      </c>
      <c r="E16" s="31">
        <f>E14</f>
        <v/>
      </c>
      <c r="F16" s="31">
        <f>F14</f>
        <v/>
      </c>
      <c r="G16" s="31">
        <f>G14</f>
        <v/>
      </c>
      <c r="H16" s="31">
        <f>H14</f>
        <v/>
      </c>
      <c r="I16" s="31">
        <f>I14</f>
        <v/>
      </c>
    </row>
    <row r="17">
      <c r="A17" s="6" t="inlineStr">
        <is>
          <t>Total operating costs</t>
        </is>
      </c>
      <c r="B17" s="31">
        <f>B5-B14</f>
        <v/>
      </c>
      <c r="C17" s="31">
        <f>C5-C14</f>
        <v/>
      </c>
      <c r="D17" s="31">
        <f>D5-D14</f>
        <v/>
      </c>
      <c r="E17" s="31">
        <f>E5-E14</f>
        <v/>
      </c>
      <c r="F17" s="31">
        <f>F5-F14</f>
        <v/>
      </c>
      <c r="G17" s="31">
        <f>G5-G14</f>
        <v/>
      </c>
      <c r="H17" s="31">
        <f>H5-H14</f>
        <v/>
      </c>
      <c r="I17" s="31">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7" t="n">
        <v>14071</v>
      </c>
      <c r="C19" s="27" t="n">
        <v>14198</v>
      </c>
      <c r="D19" s="27" t="n">
        <v>37392</v>
      </c>
      <c r="E19" s="31" t="inlineStr">
        <is>
          <t>-</t>
        </is>
      </c>
      <c r="F19" s="31" t="inlineStr">
        <is>
          <t>-</t>
        </is>
      </c>
      <c r="G19" s="31" t="inlineStr">
        <is>
          <t>-</t>
        </is>
      </c>
      <c r="H19" s="31" t="inlineStr">
        <is>
          <t>-</t>
        </is>
      </c>
      <c r="I19" s="31" t="inlineStr">
        <is>
          <t>-</t>
        </is>
      </c>
    </row>
    <row r="20">
      <c r="A20" s="6" t="inlineStr">
        <is>
          <t>Gain on bargain purchase</t>
        </is>
      </c>
      <c r="B20" s="27" t="n">
        <v>0</v>
      </c>
      <c r="C20" s="27" t="n">
        <v>0</v>
      </c>
      <c r="D20" s="27" t="n">
        <v>12056</v>
      </c>
      <c r="E20" s="31" t="inlineStr">
        <is>
          <t>-</t>
        </is>
      </c>
      <c r="F20" s="31" t="inlineStr">
        <is>
          <t>-</t>
        </is>
      </c>
      <c r="G20" s="31" t="inlineStr">
        <is>
          <t>-</t>
        </is>
      </c>
      <c r="H20" s="31" t="inlineStr">
        <is>
          <t>-</t>
        </is>
      </c>
      <c r="I20" s="31" t="inlineStr">
        <is>
          <t>-</t>
        </is>
      </c>
    </row>
    <row r="21">
      <c r="A21" s="6" t="inlineStr">
        <is>
          <t>Loss on the previously held interest</t>
        </is>
      </c>
      <c r="B21" s="27" t="n">
        <v>0</v>
      </c>
      <c r="C21" s="27" t="n">
        <v>0</v>
      </c>
      <c r="D21" s="27" t="n">
        <v>-3398</v>
      </c>
      <c r="E21" s="31" t="inlineStr">
        <is>
          <t>-</t>
        </is>
      </c>
      <c r="F21" s="31" t="inlineStr">
        <is>
          <t>-</t>
        </is>
      </c>
      <c r="G21" s="31" t="inlineStr">
        <is>
          <t>-</t>
        </is>
      </c>
      <c r="H21" s="31" t="inlineStr">
        <is>
          <t>-</t>
        </is>
      </c>
      <c r="I21" s="31" t="inlineStr">
        <is>
          <t>-</t>
        </is>
      </c>
    </row>
    <row r="22">
      <c r="A22" s="6" t="inlineStr">
        <is>
          <t>Finance income</t>
        </is>
      </c>
      <c r="B22" s="27" t="n">
        <v>9785</v>
      </c>
      <c r="C22" s="27" t="n">
        <v>15594</v>
      </c>
      <c r="D22" s="27" t="n">
        <v>18959</v>
      </c>
      <c r="E22" s="18">
        <f>Assumptions!$C$21*Assumptions!$C$97</f>
        <v/>
      </c>
      <c r="F22" s="18">
        <f>Assumptions!$C$21*Assumptions!$C$97</f>
        <v/>
      </c>
      <c r="G22" s="18">
        <f>Assumptions!$C$21*Assumptions!$C$97</f>
        <v/>
      </c>
      <c r="H22" s="18">
        <f>Assumptions!$C$21*Assumptions!$C$97</f>
        <v/>
      </c>
      <c r="I22" s="18">
        <f>Assumptions!$C$21*Assumptions!$C$97</f>
        <v/>
      </c>
    </row>
    <row r="23">
      <c r="A23" s="6" t="inlineStr">
        <is>
          <t>Finance costs</t>
        </is>
      </c>
      <c r="B23" s="27" t="n">
        <v>-15098</v>
      </c>
      <c r="C23" s="27" t="n">
        <v>-18034</v>
      </c>
      <c r="D23" s="27" t="n">
        <v>-87143</v>
      </c>
      <c r="E23" s="18">
        <f>-DCF!$C$88*'Balance Sheet'!B54</f>
        <v/>
      </c>
      <c r="F23" s="18">
        <f>-DCF!$C$88*'Balance Sheet'!C54</f>
        <v/>
      </c>
      <c r="G23" s="18">
        <f>-DCF!$C$88*'Balance Sheet'!D54</f>
        <v/>
      </c>
      <c r="H23" s="18">
        <f>-DCF!$C$88*'Balance Sheet'!E54</f>
        <v/>
      </c>
      <c r="I23" s="18">
        <f>-DCF!$C$88*'Balance Sheet'!F54</f>
        <v/>
      </c>
    </row>
    <row r="24">
      <c r="A24" s="14" t="inlineStr">
        <is>
          <t>Profit before tax</t>
        </is>
      </c>
      <c r="B24" s="32">
        <f>B12+B19+B20+B21+B22+B23</f>
        <v/>
      </c>
      <c r="C24" s="32">
        <f>C12+C19+C20+C21+C22+C23</f>
        <v/>
      </c>
      <c r="D24" s="32">
        <f>D12+D19+D20+D21+D22+D23</f>
        <v/>
      </c>
      <c r="E24" s="32">
        <f>E12+E22+E23</f>
        <v/>
      </c>
      <c r="F24" s="32">
        <f>F12+F22+F23</f>
        <v/>
      </c>
      <c r="G24" s="32">
        <f>G12+G22+G23</f>
        <v/>
      </c>
      <c r="H24" s="32">
        <f>H12+H22+H23</f>
        <v/>
      </c>
      <c r="I24" s="32">
        <f>I12+I22+I23</f>
        <v/>
      </c>
    </row>
    <row r="25">
      <c r="A25" s="6" t="inlineStr">
        <is>
          <t>Income tax</t>
        </is>
      </c>
      <c r="B25" s="27" t="n">
        <v>-2283</v>
      </c>
      <c r="C25" s="27" t="n">
        <v>-72847</v>
      </c>
      <c r="D25" s="27" t="n">
        <v>-58781</v>
      </c>
      <c r="E25" s="31">
        <f>-E24*DCF!B36</f>
        <v/>
      </c>
      <c r="F25" s="31">
        <f>-F24*DCF!C36</f>
        <v/>
      </c>
      <c r="G25" s="31">
        <f>-G24*DCF!D36</f>
        <v/>
      </c>
      <c r="H25" s="31">
        <f>-H24*DCF!E36</f>
        <v/>
      </c>
      <c r="I25" s="31">
        <f>-I24*DCF!F36</f>
        <v/>
      </c>
    </row>
    <row r="26">
      <c r="A26" s="6" t="inlineStr">
        <is>
          <t>Profit for the year</t>
        </is>
      </c>
      <c r="B26" s="31">
        <f>B24+B25</f>
        <v/>
      </c>
      <c r="C26" s="31">
        <f>C24+C25</f>
        <v/>
      </c>
      <c r="D26" s="31">
        <f>D24+D25</f>
        <v/>
      </c>
      <c r="E26" s="31">
        <f>E24+E25</f>
        <v/>
      </c>
      <c r="F26" s="31">
        <f>F24+F25</f>
        <v/>
      </c>
      <c r="G26" s="31">
        <f>G24+G25</f>
        <v/>
      </c>
      <c r="H26" s="31">
        <f>H24+H25</f>
        <v/>
      </c>
      <c r="I26" s="31">
        <f>I24+I25</f>
        <v/>
      </c>
    </row>
    <row r="27">
      <c r="A27" s="6" t="inlineStr">
        <is>
          <t>Non-controlling interests</t>
        </is>
      </c>
      <c r="B27" s="27" t="n">
        <v>0</v>
      </c>
      <c r="C27" s="27" t="n">
        <v>0</v>
      </c>
      <c r="D27" s="27" t="n">
        <v>-24306</v>
      </c>
      <c r="E27" s="31">
        <f>-E26*Assumptions!$C$94</f>
        <v/>
      </c>
      <c r="F27" s="31">
        <f>-F26*Assumptions!$C$94</f>
        <v/>
      </c>
      <c r="G27" s="31">
        <f>-G26*Assumptions!$C$94</f>
        <v/>
      </c>
      <c r="H27" s="31">
        <f>-H26*Assumptions!$C$94</f>
        <v/>
      </c>
      <c r="I27" s="31">
        <f>-I26*Assumptions!$C$94</f>
        <v/>
      </c>
    </row>
    <row r="28">
      <c r="A28" s="14" t="inlineStr">
        <is>
          <t>Profit attributable to shareholders</t>
        </is>
      </c>
      <c r="B28" s="32">
        <f>B26+B27</f>
        <v/>
      </c>
      <c r="C28" s="32">
        <f>C26+C27</f>
        <v/>
      </c>
      <c r="D28" s="32">
        <f>D26+D27</f>
        <v/>
      </c>
      <c r="E28" s="32">
        <f>E26+E27</f>
        <v/>
      </c>
      <c r="F28" s="32">
        <f>F26+F27</f>
        <v/>
      </c>
      <c r="G28" s="32">
        <f>G26+G27</f>
        <v/>
      </c>
      <c r="H28" s="32">
        <f>H26+H27</f>
        <v/>
      </c>
      <c r="I28" s="32">
        <f>I26+I27</f>
        <v/>
      </c>
    </row>
    <row r="29">
      <c r="A29" s="6" t="inlineStr">
        <is>
          <t>Perpetual capital securities coupon</t>
        </is>
      </c>
      <c r="B29" s="27" t="n">
        <v>0</v>
      </c>
      <c r="C29" s="27" t="n">
        <v>0</v>
      </c>
      <c r="D29" s="27" t="n">
        <v>-61333</v>
      </c>
      <c r="E29" s="31">
        <f>-Assumptions!$C$91*(Assumptions!$C$21+Assumptions!$C$92)</f>
        <v/>
      </c>
      <c r="F29" s="31">
        <f>-Assumptions!$C$91*(Assumptions!$C$21+Assumptions!$C$92)</f>
        <v/>
      </c>
      <c r="G29" s="31">
        <f>-Assumptions!$C$91*(Assumptions!$C$21+Assumptions!$C$92)</f>
        <v/>
      </c>
      <c r="H29" s="31">
        <f>-Assumptions!$C$91*(Assumptions!$C$21+Assumptions!$C$92)</f>
        <v/>
      </c>
      <c r="I29" s="31">
        <f>-Assumptions!$C$91*(Assumptions!$C$21+Assumptions!$C$92)</f>
        <v/>
      </c>
    </row>
    <row r="30">
      <c r="A30" s="14" t="inlineStr">
        <is>
          <t>Earnings attributable to ordinary shareholders</t>
        </is>
      </c>
      <c r="B30" s="32">
        <f>B28+B29</f>
        <v/>
      </c>
      <c r="C30" s="32">
        <f>C28+C29</f>
        <v/>
      </c>
      <c r="D30" s="32">
        <f>D28+D29</f>
        <v/>
      </c>
      <c r="E30" s="32">
        <f>E28+E29</f>
        <v/>
      </c>
      <c r="F30" s="32">
        <f>F28+F29</f>
        <v/>
      </c>
      <c r="G30" s="32">
        <f>G28+G29</f>
        <v/>
      </c>
      <c r="H30" s="32">
        <f>H28+H29</f>
        <v/>
      </c>
      <c r="I30" s="32">
        <f>I28+I29</f>
        <v/>
      </c>
    </row>
    <row r="31">
      <c r="A31" s="6" t="inlineStr">
        <is>
          <t>Earnings per ordinary share (USD)</t>
        </is>
      </c>
      <c r="B31" s="40">
        <f>B30/Assumptions!$C$6/1000</f>
        <v/>
      </c>
      <c r="C31" s="40">
        <f>C30/Assumptions!$C$6/1000</f>
        <v/>
      </c>
      <c r="D31" s="40">
        <f>D30/Assumptions!$C$6/1000</f>
        <v/>
      </c>
      <c r="E31" s="40">
        <f>E30/Assumptions!$C$6/1000</f>
        <v/>
      </c>
      <c r="F31" s="40">
        <f>F30/Assumptions!$C$6/1000</f>
        <v/>
      </c>
      <c r="G31" s="40">
        <f>G30/Assumptions!$C$6/1000</f>
        <v/>
      </c>
      <c r="H31" s="40">
        <f>H30/Assumptions!$C$6/1000</f>
        <v/>
      </c>
      <c r="I31" s="40">
        <f>I30/Assumptions!$C$6/1000</f>
        <v/>
      </c>
    </row>
    <row r="32">
      <c r="A32" s="6" t="inlineStr">
        <is>
          <t>Earnings per ordinary share (AED)</t>
        </is>
      </c>
      <c r="B32" s="40">
        <f>B31*Assumptions!$C$7</f>
        <v/>
      </c>
      <c r="C32" s="40">
        <f>C31*Assumptions!$C$7</f>
        <v/>
      </c>
      <c r="D32" s="40">
        <f>D31*Assumptions!$C$7</f>
        <v/>
      </c>
      <c r="E32" s="40">
        <f>E31*Assumptions!$C$7</f>
        <v/>
      </c>
      <c r="F32" s="40">
        <f>F31*Assumptions!$C$7</f>
        <v/>
      </c>
      <c r="G32" s="40">
        <f>G31*Assumptions!$C$7</f>
        <v/>
      </c>
      <c r="H32" s="40">
        <f>H31*Assumptions!$C$7</f>
        <v/>
      </c>
      <c r="I32" s="40">
        <f>I31*Assumptions!$C$7</f>
        <v/>
      </c>
    </row>
    <row r="34">
      <c r="A34"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7" t="n">
        <v>3806543</v>
      </c>
      <c r="C5" s="27" t="n">
        <v>4543335</v>
      </c>
      <c r="D5" s="27" t="n">
        <v>6884178</v>
      </c>
      <c r="E5" s="31">
        <f>B36</f>
        <v/>
      </c>
      <c r="F5" s="31">
        <f>C36</f>
        <v/>
      </c>
      <c r="G5" s="31">
        <f>D36</f>
        <v/>
      </c>
      <c r="H5" s="31">
        <f>E36</f>
        <v/>
      </c>
      <c r="I5" s="31">
        <f>F36</f>
        <v/>
      </c>
    </row>
    <row r="6">
      <c r="A6" s="6" t="inlineStr">
        <is>
          <t>Right-of-use assets</t>
        </is>
      </c>
      <c r="B6" s="27" t="n">
        <v>148146</v>
      </c>
      <c r="C6" s="27" t="n">
        <v>161691</v>
      </c>
      <c r="D6" s="27" t="n">
        <v>225292</v>
      </c>
      <c r="E6" s="31" t="inlineStr">
        <is>
          <t>-</t>
        </is>
      </c>
      <c r="F6" s="31" t="inlineStr">
        <is>
          <t>-</t>
        </is>
      </c>
      <c r="G6" s="31" t="inlineStr">
        <is>
          <t>-</t>
        </is>
      </c>
      <c r="H6" s="31" t="inlineStr">
        <is>
          <t>-</t>
        </is>
      </c>
      <c r="I6" s="31" t="inlineStr">
        <is>
          <t>-</t>
        </is>
      </c>
    </row>
    <row r="7">
      <c r="A7" s="6" t="inlineStr">
        <is>
          <t>Intangible assets</t>
        </is>
      </c>
      <c r="B7" s="27" t="n">
        <v>11440</v>
      </c>
      <c r="C7" s="27" t="n">
        <v>11078</v>
      </c>
      <c r="D7" s="27" t="n">
        <v>19434</v>
      </c>
      <c r="E7" s="18">
        <f>Assumptions!$C$98</f>
        <v/>
      </c>
      <c r="F7" s="18">
        <f>Assumptions!$C$98</f>
        <v/>
      </c>
      <c r="G7" s="18">
        <f>Assumptions!$C$98</f>
        <v/>
      </c>
      <c r="H7" s="18">
        <f>Assumptions!$C$98</f>
        <v/>
      </c>
      <c r="I7" s="18">
        <f>Assumptions!$C$98</f>
        <v/>
      </c>
    </row>
    <row r="8">
      <c r="A8" s="6" t="inlineStr">
        <is>
          <t>Goodwill</t>
        </is>
      </c>
      <c r="B8" s="27" t="n">
        <v>51368</v>
      </c>
      <c r="C8" s="27" t="n">
        <v>51368</v>
      </c>
      <c r="D8" s="27" t="n">
        <v>51368</v>
      </c>
      <c r="E8" s="18">
        <f>Assumptions!$C$99</f>
        <v/>
      </c>
      <c r="F8" s="18">
        <f>Assumptions!$C$99</f>
        <v/>
      </c>
      <c r="G8" s="18">
        <f>Assumptions!$C$99</f>
        <v/>
      </c>
      <c r="H8" s="18">
        <f>Assumptions!$C$99</f>
        <v/>
      </c>
      <c r="I8" s="18">
        <f>Assumptions!$C$99</f>
        <v/>
      </c>
    </row>
    <row r="9">
      <c r="A9" s="6" t="inlineStr">
        <is>
          <t>Investment properties</t>
        </is>
      </c>
      <c r="B9" s="27" t="n">
        <v>95269</v>
      </c>
      <c r="C9" s="27" t="n">
        <v>92501</v>
      </c>
      <c r="D9" s="27" t="n">
        <v>89154</v>
      </c>
      <c r="E9" s="31" t="inlineStr">
        <is>
          <t>-</t>
        </is>
      </c>
      <c r="F9" s="31" t="inlineStr">
        <is>
          <t>-</t>
        </is>
      </c>
      <c r="G9" s="31" t="inlineStr">
        <is>
          <t>-</t>
        </is>
      </c>
      <c r="H9" s="31" t="inlineStr">
        <is>
          <t>-</t>
        </is>
      </c>
      <c r="I9" s="31" t="inlineStr">
        <is>
          <t>-</t>
        </is>
      </c>
    </row>
    <row r="10">
      <c r="A10" s="6" t="inlineStr">
        <is>
          <t>Investments in joint ventures and associates</t>
        </is>
      </c>
      <c r="B10" s="27" t="n">
        <v>76712</v>
      </c>
      <c r="C10" s="27" t="n">
        <v>267775</v>
      </c>
      <c r="D10" s="27" t="n">
        <v>577769</v>
      </c>
      <c r="E10" s="18">
        <f>Assumptions!$C$95</f>
        <v/>
      </c>
      <c r="F10" s="18">
        <f>Assumptions!$C$95</f>
        <v/>
      </c>
      <c r="G10" s="18">
        <f>Assumptions!$C$95</f>
        <v/>
      </c>
      <c r="H10" s="18">
        <f>Assumptions!$C$95</f>
        <v/>
      </c>
      <c r="I10" s="18">
        <f>Assumptions!$C$95</f>
        <v/>
      </c>
    </row>
    <row r="11">
      <c r="A11" s="6" t="inlineStr">
        <is>
          <t>Inventories</t>
        </is>
      </c>
      <c r="B11" s="27" t="n">
        <v>120720</v>
      </c>
      <c r="C11" s="27" t="n">
        <v>132687</v>
      </c>
      <c r="D11" s="27" t="n">
        <v>137108</v>
      </c>
      <c r="E11" s="31">
        <f>B47</f>
        <v/>
      </c>
      <c r="F11" s="31">
        <f>C47</f>
        <v/>
      </c>
      <c r="G11" s="31">
        <f>D47</f>
        <v/>
      </c>
      <c r="H11" s="31">
        <f>E47</f>
        <v/>
      </c>
      <c r="I11" s="31">
        <f>F47</f>
        <v/>
      </c>
    </row>
    <row r="12">
      <c r="A12" s="6" t="inlineStr">
        <is>
          <t>Trade and other receivables, including amounts due from related parties</t>
        </is>
      </c>
      <c r="B12" s="27" t="n">
        <v>1131167</v>
      </c>
      <c r="C12" s="27" t="n">
        <v>1284889</v>
      </c>
      <c r="D12" s="27" t="n">
        <v>1489668</v>
      </c>
      <c r="E12" s="31">
        <f>B46</f>
        <v/>
      </c>
      <c r="F12" s="31">
        <f>C46</f>
        <v/>
      </c>
      <c r="G12" s="31">
        <f>D46</f>
        <v/>
      </c>
      <c r="H12" s="31">
        <f>E46</f>
        <v/>
      </c>
      <c r="I12" s="31">
        <f>F46</f>
        <v/>
      </c>
    </row>
    <row r="13">
      <c r="A13" s="6" t="inlineStr">
        <is>
          <t>Cash and cash equivalents</t>
        </is>
      </c>
      <c r="B13" s="27" t="n">
        <v>215709</v>
      </c>
      <c r="C13" s="27" t="n">
        <v>198919</v>
      </c>
      <c r="D13" s="27" t="n">
        <v>337794</v>
      </c>
      <c r="E13" s="18">
        <f>Assumptions!$C$97</f>
        <v/>
      </c>
      <c r="F13" s="18">
        <f>Assumptions!$C$97</f>
        <v/>
      </c>
      <c r="G13" s="18">
        <f>Assumptions!$C$97</f>
        <v/>
      </c>
      <c r="H13" s="18">
        <f>Assumptions!$C$97</f>
        <v/>
      </c>
      <c r="I13" s="18">
        <f>Assumptions!$C$97</f>
        <v/>
      </c>
    </row>
    <row r="14">
      <c r="A14" s="14" t="inlineStr">
        <is>
          <t>Total assets</t>
        </is>
      </c>
      <c r="B14" s="32" t="n">
        <v>5745668</v>
      </c>
      <c r="C14" s="32" t="n">
        <v>7003326</v>
      </c>
      <c r="D14" s="32" t="n">
        <v>9965153</v>
      </c>
      <c r="E14" s="32" t="inlineStr">
        <is>
          <t>-</t>
        </is>
      </c>
      <c r="F14" s="32" t="inlineStr">
        <is>
          <t>-</t>
        </is>
      </c>
      <c r="G14" s="32" t="inlineStr">
        <is>
          <t>-</t>
        </is>
      </c>
      <c r="H14" s="32" t="inlineStr">
        <is>
          <t>-</t>
        </is>
      </c>
      <c r="I14" s="32" t="inlineStr">
        <is>
          <t>-</t>
        </is>
      </c>
    </row>
    <row r="15">
      <c r="A15" s="6" t="inlineStr">
        <is>
          <t>Trade and other payables, including amounts due to related parties</t>
        </is>
      </c>
      <c r="B15" s="27" t="n">
        <v>962048</v>
      </c>
      <c r="C15" s="27" t="n">
        <v>1227680</v>
      </c>
      <c r="D15" s="27" t="n">
        <v>1280361</v>
      </c>
      <c r="E15" s="31">
        <f>B48</f>
        <v/>
      </c>
      <c r="F15" s="31">
        <f>C48</f>
        <v/>
      </c>
      <c r="G15" s="31">
        <f>D48</f>
        <v/>
      </c>
      <c r="H15" s="31">
        <f>E48</f>
        <v/>
      </c>
      <c r="I15" s="31">
        <f>F48</f>
        <v/>
      </c>
    </row>
    <row r="16">
      <c r="A16" s="6" t="inlineStr">
        <is>
          <t>Net working capital</t>
        </is>
      </c>
      <c r="B16" s="31">
        <f>B12+B11-B15</f>
        <v/>
      </c>
      <c r="C16" s="31">
        <f>C12+C11-C15</f>
        <v/>
      </c>
      <c r="D16" s="31">
        <f>D12+D11-D15</f>
        <v/>
      </c>
      <c r="E16" s="31">
        <f>E12+E11-E15</f>
        <v/>
      </c>
      <c r="F16" s="31">
        <f>F12+F11-F15</f>
        <v/>
      </c>
      <c r="G16" s="31">
        <f>G12+G11-G15</f>
        <v/>
      </c>
      <c r="H16" s="31">
        <f>H12+H11-H15</f>
        <v/>
      </c>
      <c r="I16" s="31">
        <f>I12+I11-I15</f>
        <v/>
      </c>
    </row>
    <row r="17">
      <c r="A17" s="6" t="inlineStr">
        <is>
          <t>Gross borrowings</t>
        </is>
      </c>
      <c r="B17" s="27" t="n">
        <v>289554</v>
      </c>
      <c r="C17" s="27" t="n">
        <v>739301</v>
      </c>
      <c r="D17" s="27" t="n">
        <v>1031879</v>
      </c>
      <c r="E17" s="31">
        <f>B54</f>
        <v/>
      </c>
      <c r="F17" s="31">
        <f>C54</f>
        <v/>
      </c>
      <c r="G17" s="31">
        <f>D54</f>
        <v/>
      </c>
      <c r="H17" s="31">
        <f>E54</f>
        <v/>
      </c>
      <c r="I17" s="31">
        <f>F54</f>
        <v/>
      </c>
    </row>
    <row r="18">
      <c r="A18" s="14" t="inlineStr">
        <is>
          <t>Net debt</t>
        </is>
      </c>
      <c r="B18" s="32" t="n">
        <v>73845</v>
      </c>
      <c r="C18" s="32" t="n">
        <v>540382</v>
      </c>
      <c r="D18" s="32" t="n">
        <v>694085</v>
      </c>
      <c r="E18" s="32">
        <f>B62</f>
        <v/>
      </c>
      <c r="F18" s="32">
        <f>C62</f>
        <v/>
      </c>
      <c r="G18" s="32">
        <f>D62</f>
        <v/>
      </c>
      <c r="H18" s="32">
        <f>E62</f>
        <v/>
      </c>
      <c r="I18" s="32">
        <f>F62</f>
        <v/>
      </c>
    </row>
    <row r="19">
      <c r="A19" s="6" t="inlineStr">
        <is>
          <t>Perpetual capital securities</t>
        </is>
      </c>
      <c r="B19" s="27" t="n">
        <v>0</v>
      </c>
      <c r="C19" s="27" t="n">
        <v>0</v>
      </c>
      <c r="D19" s="27" t="n">
        <v>1978619</v>
      </c>
      <c r="E19" s="18">
        <f>Assumptions!$C$91</f>
        <v/>
      </c>
      <c r="F19" s="18">
        <f>Assumptions!$C$91</f>
        <v/>
      </c>
      <c r="G19" s="18">
        <f>Assumptions!$C$91</f>
        <v/>
      </c>
      <c r="H19" s="18">
        <f>Assumptions!$C$91</f>
        <v/>
      </c>
      <c r="I19" s="18">
        <f>Assumptions!$C$91</f>
        <v/>
      </c>
    </row>
    <row r="20">
      <c r="A20" s="6" t="inlineStr">
        <is>
          <t>Non-controlling interests</t>
        </is>
      </c>
      <c r="B20" s="27" t="n">
        <v>0</v>
      </c>
      <c r="C20" s="27" t="n">
        <v>0</v>
      </c>
      <c r="D20" s="27" t="n">
        <v>264512</v>
      </c>
      <c r="E20" s="18">
        <f>Assumptions!$C$93</f>
        <v/>
      </c>
      <c r="F20" s="18">
        <f>Assumptions!$C$93</f>
        <v/>
      </c>
      <c r="G20" s="18">
        <f>Assumptions!$C$93</f>
        <v/>
      </c>
      <c r="H20" s="18">
        <f>Assumptions!$C$93</f>
        <v/>
      </c>
      <c r="I20" s="18">
        <f>Assumptions!$C$93</f>
        <v/>
      </c>
    </row>
    <row r="21">
      <c r="A21" s="14" t="inlineStr">
        <is>
          <t>Equity attributable to shareholders</t>
        </is>
      </c>
      <c r="B21" s="32" t="n">
        <v>4405982</v>
      </c>
      <c r="C21" s="32" t="n">
        <v>4894627</v>
      </c>
      <c r="D21" s="32" t="n">
        <v>4981987</v>
      </c>
      <c r="E21" s="32">
        <f>B69</f>
        <v/>
      </c>
      <c r="F21" s="32">
        <f>C69</f>
        <v/>
      </c>
      <c r="G21" s="32">
        <f>D69</f>
        <v/>
      </c>
      <c r="H21" s="32">
        <f>E69</f>
        <v/>
      </c>
      <c r="I21" s="32">
        <f>F69</f>
        <v/>
      </c>
    </row>
    <row r="22">
      <c r="A22" s="14" t="inlineStr">
        <is>
          <t>Total equity</t>
        </is>
      </c>
      <c r="B22" s="32">
        <f>B21+B19+B20</f>
        <v/>
      </c>
      <c r="C22" s="32">
        <f>C21+C19+C20</f>
        <v/>
      </c>
      <c r="D22" s="32">
        <f>D21+D19+D20</f>
        <v/>
      </c>
      <c r="E22" s="32">
        <f>E21+E19+E20</f>
        <v/>
      </c>
      <c r="F22" s="32">
        <f>F21+F19+F20</f>
        <v/>
      </c>
      <c r="G22" s="32">
        <f>G21+G19+G20</f>
        <v/>
      </c>
      <c r="H22" s="32">
        <f>H21+H19+H20</f>
        <v/>
      </c>
      <c r="I22" s="32">
        <f>I21+I19+I20</f>
        <v/>
      </c>
    </row>
    <row r="23">
      <c r="A23" s="6" t="inlineStr">
        <is>
          <t>Net debt / EBITDA</t>
        </is>
      </c>
      <c r="B23" s="33">
        <f>B18/'Income Statement'!B14</f>
        <v/>
      </c>
      <c r="C23" s="33">
        <f>C18/'Income Statement'!C14</f>
        <v/>
      </c>
      <c r="D23" s="33">
        <f>D18/'Income Statement'!D14</f>
        <v/>
      </c>
      <c r="E23" s="33">
        <f>E18/'Income Statement'!E14</f>
        <v/>
      </c>
      <c r="F23" s="33">
        <f>F18/'Income Statement'!F14</f>
        <v/>
      </c>
      <c r="G23" s="33">
        <f>G18/'Income Statement'!G14</f>
        <v/>
      </c>
      <c r="H23" s="33">
        <f>H18/'Income Statement'!H14</f>
        <v/>
      </c>
      <c r="I23" s="33">
        <f>I18/'Income Statement'!I14</f>
        <v/>
      </c>
    </row>
    <row r="24">
      <c r="A24" s="6" t="inlineStr">
        <is>
          <t>Book value per share (USD)</t>
        </is>
      </c>
      <c r="B24" s="40">
        <f>B21/Assumptions!$C$6/1000</f>
        <v/>
      </c>
      <c r="C24" s="40">
        <f>C21/Assumptions!$C$6/1000</f>
        <v/>
      </c>
      <c r="D24" s="40">
        <f>D21/Assumptions!$C$6/1000</f>
        <v/>
      </c>
      <c r="E24" s="40">
        <f>E21/Assumptions!$C$6/1000</f>
        <v/>
      </c>
      <c r="F24" s="40">
        <f>F21/Assumptions!$C$6/1000</f>
        <v/>
      </c>
      <c r="G24" s="40">
        <f>G21/Assumptions!$C$6/1000</f>
        <v/>
      </c>
      <c r="H24" s="40">
        <f>H21/Assumptions!$C$6/1000</f>
        <v/>
      </c>
      <c r="I24" s="40">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1">
        <f>B5+B16+B7+B8</f>
        <v/>
      </c>
      <c r="C26" s="31">
        <f>C5+C16+C7+C8</f>
        <v/>
      </c>
      <c r="D26" s="31">
        <f>D5+D16+D7+D8</f>
        <v/>
      </c>
      <c r="E26" s="31">
        <f>E5+E16+E7+E8</f>
        <v/>
      </c>
      <c r="F26" s="31">
        <f>F5+F16+F7+F8</f>
        <v/>
      </c>
      <c r="G26" s="31">
        <f>G5+G16+G7+G8</f>
        <v/>
      </c>
      <c r="H26" s="31">
        <f>H5+H16+H7+H8</f>
        <v/>
      </c>
      <c r="I26" s="31">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Statement'!E28/((Assumptions!$C$96+E21)/2)</f>
        <v/>
      </c>
      <c r="F28" s="10">
        <f>'Income Statement'!F28/((E21+F21)/2)</f>
        <v/>
      </c>
      <c r="G28" s="10">
        <f>'Income Statement'!G28/((F21+G21)/2)</f>
        <v/>
      </c>
      <c r="H28" s="10">
        <f>'Income Statement'!H28/((G21+H21)/2)</f>
        <v/>
      </c>
      <c r="I28" s="10">
        <f>'Income Statement'!I28/((H21+I21)/2)</f>
        <v/>
      </c>
    </row>
    <row r="30">
      <c r="A30" s="11" t="inlineStr">
        <is>
          <t>THE PROPERTY, PLANT AND EQUIPMENT ROLL</t>
        </is>
      </c>
      <c r="B30" s="14" t="inlineStr">
        <is>
          <t>FY2026E</t>
        </is>
      </c>
      <c r="C30" s="14" t="inlineStr">
        <is>
          <t>FY2027E</t>
        </is>
      </c>
      <c r="D30" s="14" t="inlineStr">
        <is>
          <t>FY2028E</t>
        </is>
      </c>
      <c r="E30" s="14" t="inlineStr">
        <is>
          <t>FY2029E</t>
        </is>
      </c>
      <c r="F30" s="14" t="inlineStr">
        <is>
          <t>FY2030E</t>
        </is>
      </c>
    </row>
    <row r="31">
      <c r="A31" s="6" t="inlineStr">
        <is>
          <t>Opening property, plant and equipment</t>
        </is>
      </c>
      <c r="B31" s="18">
        <f>D5</f>
        <v/>
      </c>
      <c r="C31" s="31">
        <f>B36</f>
        <v/>
      </c>
      <c r="D31" s="31">
        <f>C36</f>
        <v/>
      </c>
      <c r="E31" s="31">
        <f>D36</f>
        <v/>
      </c>
      <c r="F31" s="31">
        <f>E36</f>
        <v/>
      </c>
    </row>
    <row r="32">
      <c r="A32" s="6" t="inlineStr">
        <is>
          <t>Capital expenditure</t>
        </is>
      </c>
      <c r="B32" s="18">
        <f>Assumptions!$B$68</f>
        <v/>
      </c>
      <c r="C32" s="18">
        <f>Assumptions!$C$68</f>
        <v/>
      </c>
      <c r="D32" s="18">
        <f>Assumptions!$D$68</f>
        <v/>
      </c>
      <c r="E32" s="18">
        <f>Assumptions!$E$68</f>
        <v/>
      </c>
      <c r="F32" s="18">
        <f>Assumptions!$F$68</f>
        <v/>
      </c>
    </row>
    <row r="33">
      <c r="A33" s="6" t="inlineStr">
        <is>
          <t>Depreciation rate on property, plant and equipment</t>
        </is>
      </c>
      <c r="B33" s="19">
        <f>Assumptions!$C$69</f>
        <v/>
      </c>
      <c r="C33" s="19">
        <f>Assumptions!$C$69</f>
        <v/>
      </c>
      <c r="D33" s="19">
        <f>Assumptions!$C$69</f>
        <v/>
      </c>
      <c r="E33" s="19">
        <f>Assumptions!$C$69</f>
        <v/>
      </c>
      <c r="F33" s="19">
        <f>Assumptions!$C$69</f>
        <v/>
      </c>
    </row>
    <row r="34">
      <c r="A34" s="6" t="inlineStr">
        <is>
          <t>First-pass depreciation, on the opening balance plus the full additions</t>
        </is>
      </c>
      <c r="B34" s="31">
        <f>B33*(B31+(B31+B32))/2</f>
        <v/>
      </c>
      <c r="C34" s="31">
        <f>C33*(C31+(C31+C32))/2</f>
        <v/>
      </c>
      <c r="D34" s="31">
        <f>D33*(D31+(D31+D32))/2</f>
        <v/>
      </c>
      <c r="E34" s="31">
        <f>E33*(E31+(E31+E32))/2</f>
        <v/>
      </c>
      <c r="F34" s="31">
        <f>F33*(F31+(F31+F32))/2</f>
        <v/>
      </c>
    </row>
    <row r="35">
      <c r="A35" s="6" t="inlineStr">
        <is>
          <t>Depreciation on property, plant and equipment — on the average of opening and closing</t>
        </is>
      </c>
      <c r="B35" s="31">
        <f>B33*(B31+(B31+B32-B34))/2</f>
        <v/>
      </c>
      <c r="C35" s="31">
        <f>C33*(C31+(C31+C32-C34))/2</f>
        <v/>
      </c>
      <c r="D35" s="31">
        <f>D33*(D31+(D31+D32-D34))/2</f>
        <v/>
      </c>
      <c r="E35" s="31">
        <f>E33*(E31+(E31+E32-E34))/2</f>
        <v/>
      </c>
      <c r="F35" s="31">
        <f>F33*(F31+(F31+F32-F34))/2</f>
        <v/>
      </c>
    </row>
    <row r="36">
      <c r="A36" s="37" t="inlineStr">
        <is>
          <t>Closing property, plant and equipment</t>
        </is>
      </c>
      <c r="B36" s="36">
        <f>B31+B32-B35</f>
        <v/>
      </c>
      <c r="C36" s="36">
        <f>C31+C32-C35</f>
        <v/>
      </c>
      <c r="D36" s="36">
        <f>D31+D32-D35</f>
        <v/>
      </c>
      <c r="E36" s="36">
        <f>E31+E32-E35</f>
        <v/>
      </c>
      <c r="F36" s="36">
        <f>F31+F32-F35</f>
        <v/>
      </c>
    </row>
    <row r="37">
      <c r="A37" s="6" t="inlineStr">
        <is>
          <t>Other depreciation and amortisation, escalated</t>
        </is>
      </c>
      <c r="B37" s="31">
        <f>Assumptions!$C$70*(1+Assumptions!$C$46)^1</f>
        <v/>
      </c>
      <c r="C37" s="31">
        <f>Assumptions!$C$70*(1+Assumptions!$C$46)^2</f>
        <v/>
      </c>
      <c r="D37" s="31">
        <f>Assumptions!$C$70*(1+Assumptions!$C$46)^3</f>
        <v/>
      </c>
      <c r="E37" s="31">
        <f>Assumptions!$C$70*(1+Assumptions!$C$46)^4</f>
        <v/>
      </c>
      <c r="F37" s="31">
        <f>Assumptions!$C$70*(1+Assumptions!$C$46)^5</f>
        <v/>
      </c>
    </row>
    <row r="38">
      <c r="A38" s="14" t="inlineStr">
        <is>
          <t>Total depreciation and amortisation</t>
        </is>
      </c>
      <c r="B38" s="32">
        <f>B35+B37</f>
        <v/>
      </c>
      <c r="C38" s="32">
        <f>C35+C37</f>
        <v/>
      </c>
      <c r="D38" s="32">
        <f>D35+D37</f>
        <v/>
      </c>
      <c r="E38" s="32">
        <f>E35+E37</f>
        <v/>
      </c>
      <c r="F38" s="32">
        <f>F35+F37</f>
        <v/>
      </c>
    </row>
    <row r="40">
      <c r="A40" s="11" t="inlineStr">
        <is>
          <t>THE WORKING-CAPITAL ROLL FROM THE DAYS RATIOS</t>
        </is>
      </c>
      <c r="B40" s="14" t="inlineStr">
        <is>
          <t>FY2026E</t>
        </is>
      </c>
      <c r="C40" s="14" t="inlineStr">
        <is>
          <t>FY2027E</t>
        </is>
      </c>
      <c r="D40" s="14" t="inlineStr">
        <is>
          <t>FY2028E</t>
        </is>
      </c>
      <c r="E40" s="14" t="inlineStr">
        <is>
          <t>FY2029E</t>
        </is>
      </c>
      <c r="F40" s="14" t="inlineStr">
        <is>
          <t>FY2030E</t>
        </is>
      </c>
    </row>
    <row r="41">
      <c r="A41" s="6" t="inlineStr">
        <is>
          <t>Revenue</t>
        </is>
      </c>
      <c r="B41" s="18">
        <f>DCF!B5</f>
        <v/>
      </c>
      <c r="C41" s="18">
        <f>DCF!C5</f>
        <v/>
      </c>
      <c r="D41" s="18">
        <f>DCF!D5</f>
        <v/>
      </c>
      <c r="E41" s="18">
        <f>DCF!E5</f>
        <v/>
      </c>
      <c r="F41" s="18">
        <f>DCF!F5</f>
        <v/>
      </c>
    </row>
    <row r="42">
      <c r="A42" s="6" t="inlineStr">
        <is>
          <t>Total operating costs</t>
        </is>
      </c>
      <c r="B42" s="31">
        <f>B41-DCF!B6</f>
        <v/>
      </c>
      <c r="C42" s="31">
        <f>C41-DCF!C6</f>
        <v/>
      </c>
      <c r="D42" s="31">
        <f>D41-DCF!D6</f>
        <v/>
      </c>
      <c r="E42" s="31">
        <f>E41-DCF!E6</f>
        <v/>
      </c>
      <c r="F42" s="31">
        <f>F41-DCF!F6</f>
        <v/>
      </c>
    </row>
    <row r="43">
      <c r="A43" s="6" t="inlineStr">
        <is>
          <t>Days sales outstanding</t>
        </is>
      </c>
      <c r="B43" s="17">
        <f>Assumptions!$C$71</f>
        <v/>
      </c>
      <c r="C43" s="17">
        <f>Assumptions!$C$71</f>
        <v/>
      </c>
      <c r="D43" s="17">
        <f>Assumptions!$C$71</f>
        <v/>
      </c>
      <c r="E43" s="17">
        <f>Assumptions!$C$71</f>
        <v/>
      </c>
      <c r="F43" s="17">
        <f>Assumptions!$C$71</f>
        <v/>
      </c>
    </row>
    <row r="44">
      <c r="A44" s="6" t="inlineStr">
        <is>
          <t>Days inventory outstanding</t>
        </is>
      </c>
      <c r="B44" s="17">
        <f>Assumptions!$C$72</f>
        <v/>
      </c>
      <c r="C44" s="17">
        <f>Assumptions!$C$72</f>
        <v/>
      </c>
      <c r="D44" s="17">
        <f>Assumptions!$C$72</f>
        <v/>
      </c>
      <c r="E44" s="17">
        <f>Assumptions!$C$72</f>
        <v/>
      </c>
      <c r="F44" s="17">
        <f>Assumptions!$C$72</f>
        <v/>
      </c>
    </row>
    <row r="45">
      <c r="A45" s="6" t="inlineStr">
        <is>
          <t>Days payable outstanding</t>
        </is>
      </c>
      <c r="B45" s="17">
        <f>Assumptions!$C$73</f>
        <v/>
      </c>
      <c r="C45" s="17">
        <f>Assumptions!$C$73</f>
        <v/>
      </c>
      <c r="D45" s="17">
        <f>Assumptions!$C$73</f>
        <v/>
      </c>
      <c r="E45" s="17">
        <f>Assumptions!$C$73</f>
        <v/>
      </c>
      <c r="F45" s="17">
        <f>Assumptions!$C$73</f>
        <v/>
      </c>
    </row>
    <row r="46">
      <c r="A46" s="6" t="inlineStr">
        <is>
          <t>Trade and other receivables — revenue x days / 365</t>
        </is>
      </c>
      <c r="B46" s="31">
        <f>B41*B43/365</f>
        <v/>
      </c>
      <c r="C46" s="31">
        <f>C41*C43/365</f>
        <v/>
      </c>
      <c r="D46" s="31">
        <f>D41*D43/365</f>
        <v/>
      </c>
      <c r="E46" s="31">
        <f>E41*E43/365</f>
        <v/>
      </c>
      <c r="F46" s="31">
        <f>F41*F43/365</f>
        <v/>
      </c>
    </row>
    <row r="47">
      <c r="A47" s="6" t="inlineStr">
        <is>
          <t>Inventories — operating cost x days / 365</t>
        </is>
      </c>
      <c r="B47" s="31">
        <f>B42*B44/365</f>
        <v/>
      </c>
      <c r="C47" s="31">
        <f>C42*C44/365</f>
        <v/>
      </c>
      <c r="D47" s="31">
        <f>D42*D44/365</f>
        <v/>
      </c>
      <c r="E47" s="31">
        <f>E42*E44/365</f>
        <v/>
      </c>
      <c r="F47" s="31">
        <f>F42*F44/365</f>
        <v/>
      </c>
    </row>
    <row r="48">
      <c r="A48" s="6" t="inlineStr">
        <is>
          <t>Trade and other payables — operating cost x days / 365</t>
        </is>
      </c>
      <c r="B48" s="31">
        <f>B42*B45/365</f>
        <v/>
      </c>
      <c r="C48" s="31">
        <f>C42*C45/365</f>
        <v/>
      </c>
      <c r="D48" s="31">
        <f>D42*D45/365</f>
        <v/>
      </c>
      <c r="E48" s="31">
        <f>E42*E45/365</f>
        <v/>
      </c>
      <c r="F48" s="31">
        <f>F42*F45/365</f>
        <v/>
      </c>
    </row>
    <row r="49">
      <c r="A49" s="14" t="inlineStr">
        <is>
          <t>Net working capital</t>
        </is>
      </c>
      <c r="B49" s="32">
        <f>B46+B47-B48</f>
        <v/>
      </c>
      <c r="C49" s="32">
        <f>C46+C47-C48</f>
        <v/>
      </c>
      <c r="D49" s="32">
        <f>D46+D47-D48</f>
        <v/>
      </c>
      <c r="E49" s="32">
        <f>E46+E47-E48</f>
        <v/>
      </c>
      <c r="F49" s="32">
        <f>F46+F47-F48</f>
        <v/>
      </c>
    </row>
    <row r="50">
      <c r="A50" s="37" t="inlineStr">
        <is>
          <t>Change in net working capital</t>
        </is>
      </c>
      <c r="B50" s="36">
        <f>B49-Assumptions!$C$74</f>
        <v/>
      </c>
      <c r="C50" s="36">
        <f>C49-B49</f>
        <v/>
      </c>
      <c r="D50" s="36">
        <f>D49-C49</f>
        <v/>
      </c>
      <c r="E50" s="36">
        <f>E49-D49</f>
        <v/>
      </c>
      <c r="F50" s="36">
        <f>F49-E49</f>
        <v/>
      </c>
    </row>
    <row r="52">
      <c r="A52" s="11" t="inlineStr">
        <is>
          <t>THE NET-DEBT ROLL</t>
        </is>
      </c>
      <c r="B52" s="14" t="inlineStr">
        <is>
          <t>FY2026E</t>
        </is>
      </c>
      <c r="C52" s="14" t="inlineStr">
        <is>
          <t>FY2027E</t>
        </is>
      </c>
      <c r="D52" s="14" t="inlineStr">
        <is>
          <t>FY2028E</t>
        </is>
      </c>
      <c r="E52" s="14" t="inlineStr">
        <is>
          <t>FY2029E</t>
        </is>
      </c>
      <c r="F52" s="14" t="inlineStr">
        <is>
          <t>FY2030E</t>
        </is>
      </c>
    </row>
    <row r="53">
      <c r="A53" s="6" t="inlineStr">
        <is>
          <t>Opening net debt</t>
        </is>
      </c>
      <c r="B53" s="18">
        <f>Assumptions!$C$89+Assumptions!$C$90</f>
        <v/>
      </c>
      <c r="C53" s="31">
        <f>B62</f>
        <v/>
      </c>
      <c r="D53" s="31">
        <f>C62</f>
        <v/>
      </c>
      <c r="E53" s="31">
        <f>D62</f>
        <v/>
      </c>
      <c r="F53" s="31">
        <f>E62</f>
        <v/>
      </c>
    </row>
    <row r="54">
      <c r="A54" s="6" t="inlineStr">
        <is>
          <t>Gross borrowings — opening net debt plus the cash held</t>
        </is>
      </c>
      <c r="B54" s="31">
        <f>B53+Assumptions!$C$97</f>
        <v/>
      </c>
      <c r="C54" s="31">
        <f>C53+Assumptions!$C$97</f>
        <v/>
      </c>
      <c r="D54" s="31">
        <f>D53+Assumptions!$C$97</f>
        <v/>
      </c>
      <c r="E54" s="31">
        <f>E53+Assumptions!$C$97</f>
        <v/>
      </c>
      <c r="F54" s="31">
        <f>F53+Assumptions!$C$97</f>
        <v/>
      </c>
    </row>
    <row r="55">
      <c r="A55" s="6" t="inlineStr">
        <is>
          <t>Interest charge on gross borrowings</t>
        </is>
      </c>
      <c r="B55" s="31">
        <f>DCF!$C$88*B54</f>
        <v/>
      </c>
      <c r="C55" s="31">
        <f>DCF!$C$88*C54</f>
        <v/>
      </c>
      <c r="D55" s="31">
        <f>DCF!$C$88*D54</f>
        <v/>
      </c>
      <c r="E55" s="31">
        <f>DCF!$C$88*E54</f>
        <v/>
      </c>
      <c r="F55" s="31">
        <f>DCF!$C$88*F54</f>
        <v/>
      </c>
    </row>
    <row r="56">
      <c r="A56" s="6" t="inlineStr">
        <is>
          <t>Free cash flow to the firm</t>
        </is>
      </c>
      <c r="B56" s="18">
        <f>DCF!B15</f>
        <v/>
      </c>
      <c r="C56" s="18">
        <f>DCF!C15</f>
        <v/>
      </c>
      <c r="D56" s="18">
        <f>DCF!D15</f>
        <v/>
      </c>
      <c r="E56" s="18">
        <f>DCF!E15</f>
        <v/>
      </c>
      <c r="F56" s="18">
        <f>DCF!F15</f>
        <v/>
      </c>
    </row>
    <row r="57">
      <c r="A57" s="6" t="inlineStr">
        <is>
          <t>Less interest after tax</t>
        </is>
      </c>
      <c r="B57" s="31">
        <f>-B55*(1-Assumptions!$C$18)</f>
        <v/>
      </c>
      <c r="C57" s="31">
        <f>-C55*(1-Assumptions!$C$18)</f>
        <v/>
      </c>
      <c r="D57" s="31">
        <f>-D55*(1-Assumptions!$C$18)</f>
        <v/>
      </c>
      <c r="E57" s="31">
        <f>-E55*(1-Assumptions!$C$18)</f>
        <v/>
      </c>
      <c r="F57" s="31">
        <f>-F55*(1-Assumptions!$C$18)</f>
        <v/>
      </c>
    </row>
    <row r="58">
      <c r="A58" s="6" t="inlineStr">
        <is>
          <t>Plus finance income after tax</t>
        </is>
      </c>
      <c r="B58" s="31">
        <f>Assumptions!$C$21*Assumptions!$C$97*(1-Assumptions!$C$18)</f>
        <v/>
      </c>
      <c r="C58" s="31">
        <f>Assumptions!$C$21*Assumptions!$C$97*(1-Assumptions!$C$18)</f>
        <v/>
      </c>
      <c r="D58" s="31">
        <f>Assumptions!$C$21*Assumptions!$C$97*(1-Assumptions!$C$18)</f>
        <v/>
      </c>
      <c r="E58" s="31">
        <f>Assumptions!$C$21*Assumptions!$C$97*(1-Assumptions!$C$18)</f>
        <v/>
      </c>
      <c r="F58" s="31">
        <f>Assumptions!$C$21*Assumptions!$C$97*(1-Assumptions!$C$18)</f>
        <v/>
      </c>
    </row>
    <row r="59">
      <c r="A59" s="6" t="inlineStr">
        <is>
          <t>Less perpetual capital securities coupon</t>
        </is>
      </c>
      <c r="B59" s="31">
        <f>-Assumptions!$C$91*(Assumptions!$C$21+Assumptions!$C$92)</f>
        <v/>
      </c>
      <c r="C59" s="31">
        <f>-Assumptions!$C$91*(Assumptions!$C$21+Assumptions!$C$92)</f>
        <v/>
      </c>
      <c r="D59" s="31">
        <f>-Assumptions!$C$91*(Assumptions!$C$21+Assumptions!$C$92)</f>
        <v/>
      </c>
      <c r="E59" s="31">
        <f>-Assumptions!$C$91*(Assumptions!$C$21+Assumptions!$C$92)</f>
        <v/>
      </c>
      <c r="F59" s="31">
        <f>-Assumptions!$C$91*(Assumptions!$C$21+Assumptions!$C$92)</f>
        <v/>
      </c>
    </row>
    <row r="60">
      <c r="A60" s="37" t="inlineStr">
        <is>
          <t>Free cash flow to equity</t>
        </is>
      </c>
      <c r="B60" s="36">
        <f>B56+B57+B58+B59</f>
        <v/>
      </c>
      <c r="C60" s="36">
        <f>C56+C57+C58+C59</f>
        <v/>
      </c>
      <c r="D60" s="36">
        <f>D56+D57+D58+D59</f>
        <v/>
      </c>
      <c r="E60" s="36">
        <f>E56+E57+E58+E59</f>
        <v/>
      </c>
      <c r="F60" s="36">
        <f>F56+F57+F58+F59</f>
        <v/>
      </c>
    </row>
    <row r="61">
      <c r="A61" s="6" t="inlineStr">
        <is>
          <t>Less ordinary dividends</t>
        </is>
      </c>
      <c r="B61" s="31">
        <f>-Assumptions!$C$100*(1+Assumptions!$C$101)^0</f>
        <v/>
      </c>
      <c r="C61" s="31">
        <f>-Assumptions!$C$100*(1+Assumptions!$C$101)^1</f>
        <v/>
      </c>
      <c r="D61" s="31">
        <f>-Assumptions!$C$100*(1+Assumptions!$C$101)^2</f>
        <v/>
      </c>
      <c r="E61" s="31">
        <f>-Assumptions!$C$100*(1+Assumptions!$C$101)^3</f>
        <v/>
      </c>
      <c r="F61" s="31">
        <f>-Assumptions!$C$100*(1+Assumptions!$C$101)^4</f>
        <v/>
      </c>
    </row>
    <row r="62">
      <c r="A62" s="14" t="inlineStr">
        <is>
          <t>Closing net debt</t>
        </is>
      </c>
      <c r="B62" s="32">
        <f>B53-B60-B61</f>
        <v/>
      </c>
      <c r="C62" s="32">
        <f>C53-C60-C61</f>
        <v/>
      </c>
      <c r="D62" s="32">
        <f>D53-D60-D61</f>
        <v/>
      </c>
      <c r="E62" s="32">
        <f>E53-E60-E61</f>
        <v/>
      </c>
      <c r="F62" s="32">
        <f>F53-F60-F61</f>
        <v/>
      </c>
    </row>
    <row r="64">
      <c r="A64" s="11" t="inlineStr">
        <is>
          <t>THE EQUITY ROLL</t>
        </is>
      </c>
      <c r="B64" s="14" t="inlineStr">
        <is>
          <t>FY2026E</t>
        </is>
      </c>
      <c r="C64" s="14" t="inlineStr">
        <is>
          <t>FY2027E</t>
        </is>
      </c>
      <c r="D64" s="14" t="inlineStr">
        <is>
          <t>FY2028E</t>
        </is>
      </c>
      <c r="E64" s="14" t="inlineStr">
        <is>
          <t>FY2029E</t>
        </is>
      </c>
      <c r="F64" s="14" t="inlineStr">
        <is>
          <t>FY2030E</t>
        </is>
      </c>
    </row>
    <row r="65">
      <c r="A65" s="6" t="inlineStr">
        <is>
          <t>Opening equity attributable to shareholders</t>
        </is>
      </c>
      <c r="B65" s="18">
        <f>Assumptions!$C$96</f>
        <v/>
      </c>
      <c r="C65" s="31">
        <f>B69</f>
        <v/>
      </c>
      <c r="D65" s="31">
        <f>C69</f>
        <v/>
      </c>
      <c r="E65" s="31">
        <f>D69</f>
        <v/>
      </c>
      <c r="F65" s="31">
        <f>E69</f>
        <v/>
      </c>
    </row>
    <row r="66">
      <c r="A66" s="6" t="inlineStr">
        <is>
          <t>Add profit attributable to shareholders</t>
        </is>
      </c>
      <c r="B66" s="18">
        <f>'Income Statement'!E28</f>
        <v/>
      </c>
      <c r="C66" s="18">
        <f>'Income Statement'!F28</f>
        <v/>
      </c>
      <c r="D66" s="18">
        <f>'Income Statement'!G28</f>
        <v/>
      </c>
      <c r="E66" s="18">
        <f>'Income Statement'!H28</f>
        <v/>
      </c>
      <c r="F66" s="18">
        <f>'Income Statement'!I28</f>
        <v/>
      </c>
    </row>
    <row r="67">
      <c r="A67" s="6" t="inlineStr">
        <is>
          <t>Less ordinary dividends</t>
        </is>
      </c>
      <c r="B67" s="31">
        <f>B61</f>
        <v/>
      </c>
      <c r="C67" s="31">
        <f>C61</f>
        <v/>
      </c>
      <c r="D67" s="31">
        <f>D61</f>
        <v/>
      </c>
      <c r="E67" s="31">
        <f>E61</f>
        <v/>
      </c>
      <c r="F67" s="31">
        <f>F61</f>
        <v/>
      </c>
    </row>
    <row r="68">
      <c r="A68" s="6" t="inlineStr">
        <is>
          <t>Less perpetual capital securities coupon</t>
        </is>
      </c>
      <c r="B68" s="31">
        <f>B59</f>
        <v/>
      </c>
      <c r="C68" s="31">
        <f>C59</f>
        <v/>
      </c>
      <c r="D68" s="31">
        <f>D59</f>
        <v/>
      </c>
      <c r="E68" s="31">
        <f>E59</f>
        <v/>
      </c>
      <c r="F68" s="31">
        <f>F59</f>
        <v/>
      </c>
    </row>
    <row r="69">
      <c r="A69" s="14" t="inlineStr">
        <is>
          <t>Closing equity attributable to shareholders</t>
        </is>
      </c>
      <c r="B69" s="32">
        <f>B65+B66+B67+B68</f>
        <v/>
      </c>
      <c r="C69" s="32">
        <f>C65+C66+C67+C68</f>
        <v/>
      </c>
      <c r="D69" s="32">
        <f>D65+D66+D67+D68</f>
        <v/>
      </c>
      <c r="E69" s="32">
        <f>E65+E66+E67+E68</f>
        <v/>
      </c>
      <c r="F69" s="32">
        <f>F65+F66+F67+F68</f>
        <v/>
      </c>
    </row>
    <row r="70">
      <c r="A70" s="6" t="inlineStr">
        <is>
          <t>Ordinary dividend per share (USD)</t>
        </is>
      </c>
      <c r="B70" s="40">
        <f>-B67/Assumptions!$C$6/1000</f>
        <v/>
      </c>
      <c r="C70" s="40">
        <f>-C67/Assumptions!$C$6/1000</f>
        <v/>
      </c>
      <c r="D70" s="40">
        <f>-D67/Assumptions!$C$6/1000</f>
        <v/>
      </c>
      <c r="E70" s="40">
        <f>-E67/Assumptions!$C$6/1000</f>
        <v/>
      </c>
      <c r="F70" s="40">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18">
        <f>'Income Statement'!B14</f>
        <v/>
      </c>
      <c r="C5" s="18">
        <f>'Income Statement'!C14</f>
        <v/>
      </c>
      <c r="D5" s="18">
        <f>'Income Statement'!D14</f>
        <v/>
      </c>
      <c r="E5" s="18">
        <f>'Income Statement'!E14</f>
        <v/>
      </c>
      <c r="F5" s="18">
        <f>'Income Statement'!F14</f>
        <v/>
      </c>
      <c r="G5" s="18">
        <f>'Income Statement'!G14</f>
        <v/>
      </c>
      <c r="H5" s="18">
        <f>'Income Statement'!H14</f>
        <v/>
      </c>
      <c r="I5" s="18">
        <f>'Income Statement'!I14</f>
        <v/>
      </c>
    </row>
    <row r="6">
      <c r="A6" s="6" t="inlineStr">
        <is>
          <t>Operating cash flow, as reported</t>
        </is>
      </c>
      <c r="B6" s="27" t="n">
        <v>822648</v>
      </c>
      <c r="C6" s="27" t="n">
        <v>1068865</v>
      </c>
      <c r="D6" s="27" t="n">
        <v>1370729</v>
      </c>
      <c r="E6" s="31" t="inlineStr">
        <is>
          <t>-</t>
        </is>
      </c>
      <c r="F6" s="31" t="inlineStr">
        <is>
          <t>-</t>
        </is>
      </c>
      <c r="G6" s="31" t="inlineStr">
        <is>
          <t>-</t>
        </is>
      </c>
      <c r="H6" s="31" t="inlineStr">
        <is>
          <t>-</t>
        </is>
      </c>
      <c r="I6" s="31" t="inlineStr">
        <is>
          <t>-</t>
        </is>
      </c>
    </row>
    <row r="7">
      <c r="A7" s="6" t="inlineStr">
        <is>
          <t>Capital expenditure</t>
        </is>
      </c>
      <c r="B7" s="27" t="n">
        <v>-774015</v>
      </c>
      <c r="C7" s="27" t="n">
        <v>-810851</v>
      </c>
      <c r="D7" s="27" t="n">
        <v>-1106529</v>
      </c>
      <c r="E7" s="18">
        <f>DCF!B13</f>
        <v/>
      </c>
      <c r="F7" s="18">
        <f>DCF!C13</f>
        <v/>
      </c>
      <c r="G7" s="18">
        <f>DCF!D13</f>
        <v/>
      </c>
      <c r="H7" s="18">
        <f>DCF!E13</f>
        <v/>
      </c>
      <c r="I7" s="18">
        <f>DCF!F13</f>
        <v/>
      </c>
    </row>
    <row r="8">
      <c r="A8" s="14" t="inlineStr">
        <is>
          <t>Free cash flow, as reported</t>
        </is>
      </c>
      <c r="B8" s="32">
        <f>B6+B7</f>
        <v/>
      </c>
      <c r="C8" s="32">
        <f>C6+C7</f>
        <v/>
      </c>
      <c r="D8" s="32">
        <f>D6+D7</f>
        <v/>
      </c>
      <c r="E8" s="32" t="inlineStr">
        <is>
          <t>-</t>
        </is>
      </c>
      <c r="F8" s="32" t="inlineStr">
        <is>
          <t>-</t>
        </is>
      </c>
      <c r="G8" s="32" t="inlineStr">
        <is>
          <t>-</t>
        </is>
      </c>
      <c r="H8" s="32" t="inlineStr">
        <is>
          <t>-</t>
        </is>
      </c>
      <c r="I8" s="32" t="inlineStr">
        <is>
          <t>-</t>
        </is>
      </c>
    </row>
    <row r="10">
      <c r="A10" s="11" t="inlineStr">
        <is>
          <t>THE FORECAST WATERFALL — LINKED TO THE DISCOUNTED-CASH-FLOW SHEET</t>
        </is>
      </c>
      <c r="B10" s="14" t="n"/>
      <c r="C10" s="14" t="n"/>
      <c r="D10" s="14" t="n"/>
      <c r="E10" s="14" t="inlineStr">
        <is>
          <t>FY2026E</t>
        </is>
      </c>
      <c r="F10" s="14" t="inlineStr">
        <is>
          <t>FY2027E</t>
        </is>
      </c>
      <c r="G10" s="14" t="inlineStr">
        <is>
          <t>FY2028E</t>
        </is>
      </c>
      <c r="H10" s="14" t="inlineStr">
        <is>
          <t>FY2029E</t>
        </is>
      </c>
      <c r="I10" s="14" t="inlineStr">
        <is>
          <t>FY2030E</t>
        </is>
      </c>
    </row>
    <row r="11">
      <c r="A11" s="6" t="inlineStr">
        <is>
          <t>NOPAT</t>
        </is>
      </c>
      <c r="B11" s="31" t="inlineStr">
        <is>
          <t>-</t>
        </is>
      </c>
      <c r="C11" s="31" t="inlineStr">
        <is>
          <t>-</t>
        </is>
      </c>
      <c r="D11" s="31" t="inlineStr">
        <is>
          <t>-</t>
        </is>
      </c>
      <c r="E11" s="18">
        <f>DCF!B11</f>
        <v/>
      </c>
      <c r="F11" s="18">
        <f>DCF!C11</f>
        <v/>
      </c>
      <c r="G11" s="18">
        <f>DCF!D11</f>
        <v/>
      </c>
      <c r="H11" s="18">
        <f>DCF!E11</f>
        <v/>
      </c>
      <c r="I11" s="18">
        <f>DCF!F11</f>
        <v/>
      </c>
    </row>
    <row r="12">
      <c r="A12" s="6" t="inlineStr">
        <is>
          <t>Add back depreciation and amortisation</t>
        </is>
      </c>
      <c r="B12" s="31" t="inlineStr">
        <is>
          <t>-</t>
        </is>
      </c>
      <c r="C12" s="31" t="inlineStr">
        <is>
          <t>-</t>
        </is>
      </c>
      <c r="D12" s="31" t="inlineStr">
        <is>
          <t>-</t>
        </is>
      </c>
      <c r="E12" s="18">
        <f>DCF!B12</f>
        <v/>
      </c>
      <c r="F12" s="18">
        <f>DCF!C12</f>
        <v/>
      </c>
      <c r="G12" s="18">
        <f>DCF!D12</f>
        <v/>
      </c>
      <c r="H12" s="18">
        <f>DCF!E12</f>
        <v/>
      </c>
      <c r="I12" s="18">
        <f>DCF!F12</f>
        <v/>
      </c>
    </row>
    <row r="13">
      <c r="A13" s="6" t="inlineStr">
        <is>
          <t>Less capital expenditure</t>
        </is>
      </c>
      <c r="B13" s="31" t="inlineStr">
        <is>
          <t>-</t>
        </is>
      </c>
      <c r="C13" s="31" t="inlineStr">
        <is>
          <t>-</t>
        </is>
      </c>
      <c r="D13" s="31" t="inlineStr">
        <is>
          <t>-</t>
        </is>
      </c>
      <c r="E13" s="18">
        <f>DCF!B13</f>
        <v/>
      </c>
      <c r="F13" s="18">
        <f>DCF!C13</f>
        <v/>
      </c>
      <c r="G13" s="18">
        <f>DCF!D13</f>
        <v/>
      </c>
      <c r="H13" s="18">
        <f>DCF!E13</f>
        <v/>
      </c>
      <c r="I13" s="18">
        <f>DCF!F13</f>
        <v/>
      </c>
    </row>
    <row r="14">
      <c r="A14" s="6" t="inlineStr">
        <is>
          <t>Less change in working capital</t>
        </is>
      </c>
      <c r="B14" s="31" t="inlineStr">
        <is>
          <t>-</t>
        </is>
      </c>
      <c r="C14" s="31" t="inlineStr">
        <is>
          <t>-</t>
        </is>
      </c>
      <c r="D14" s="31" t="inlineStr">
        <is>
          <t>-</t>
        </is>
      </c>
      <c r="E14" s="18">
        <f>DCF!B14</f>
        <v/>
      </c>
      <c r="F14" s="18">
        <f>DCF!C14</f>
        <v/>
      </c>
      <c r="G14" s="18">
        <f>DCF!D14</f>
        <v/>
      </c>
      <c r="H14" s="18">
        <f>DCF!E14</f>
        <v/>
      </c>
      <c r="I14" s="18">
        <f>DCF!F14</f>
        <v/>
      </c>
    </row>
    <row r="15">
      <c r="A15" s="14" t="inlineStr">
        <is>
          <t>Free cash flow to the firm</t>
        </is>
      </c>
      <c r="B15" s="32" t="inlineStr">
        <is>
          <t>-</t>
        </is>
      </c>
      <c r="C15" s="32" t="inlineStr">
        <is>
          <t>-</t>
        </is>
      </c>
      <c r="D15" s="32" t="inlineStr">
        <is>
          <t>-</t>
        </is>
      </c>
      <c r="E15" s="32">
        <f>E11+E12+E13+E14</f>
        <v/>
      </c>
      <c r="F15" s="32">
        <f>F11+F12+F13+F14</f>
        <v/>
      </c>
      <c r="G15" s="32">
        <f>G11+G12+G13+G14</f>
        <v/>
      </c>
      <c r="H15" s="32">
        <f>H11+H12+H13+H14</f>
        <v/>
      </c>
      <c r="I15" s="32">
        <f>I11+I12+I13+I14</f>
        <v/>
      </c>
    </row>
    <row r="16">
      <c r="A16" s="6" t="inlineStr">
        <is>
          <t>Less interest after tax</t>
        </is>
      </c>
      <c r="B16" s="31" t="inlineStr">
        <is>
          <t>-</t>
        </is>
      </c>
      <c r="C16" s="31" t="inlineStr">
        <is>
          <t>-</t>
        </is>
      </c>
      <c r="D16" s="31" t="inlineStr">
        <is>
          <t>-</t>
        </is>
      </c>
      <c r="E16" s="18">
        <f>'Balance Sheet'!B57</f>
        <v/>
      </c>
      <c r="F16" s="18">
        <f>'Balance Sheet'!C57</f>
        <v/>
      </c>
      <c r="G16" s="18">
        <f>'Balance Sheet'!D57</f>
        <v/>
      </c>
      <c r="H16" s="18">
        <f>'Balance Sheet'!E57</f>
        <v/>
      </c>
      <c r="I16" s="18">
        <f>'Balance Sheet'!F57</f>
        <v/>
      </c>
    </row>
    <row r="17">
      <c r="A17" s="6" t="inlineStr">
        <is>
          <t>Plus finance income after tax</t>
        </is>
      </c>
      <c r="B17" s="31" t="inlineStr">
        <is>
          <t>-</t>
        </is>
      </c>
      <c r="C17" s="31" t="inlineStr">
        <is>
          <t>-</t>
        </is>
      </c>
      <c r="D17" s="31" t="inlineStr">
        <is>
          <t>-</t>
        </is>
      </c>
      <c r="E17" s="18">
        <f>'Balance Sheet'!B58</f>
        <v/>
      </c>
      <c r="F17" s="18">
        <f>'Balance Sheet'!C58</f>
        <v/>
      </c>
      <c r="G17" s="18">
        <f>'Balance Sheet'!D58</f>
        <v/>
      </c>
      <c r="H17" s="18">
        <f>'Balance Sheet'!E58</f>
        <v/>
      </c>
      <c r="I17" s="18">
        <f>'Balance Sheet'!F58</f>
        <v/>
      </c>
    </row>
    <row r="18">
      <c r="A18" s="6" t="inlineStr">
        <is>
          <t>Less perpetual capital securities coupon</t>
        </is>
      </c>
      <c r="B18" s="31" t="inlineStr">
        <is>
          <t>-</t>
        </is>
      </c>
      <c r="C18" s="31" t="inlineStr">
        <is>
          <t>-</t>
        </is>
      </c>
      <c r="D18" s="31" t="inlineStr">
        <is>
          <t>-</t>
        </is>
      </c>
      <c r="E18" s="18">
        <f>'Balance Sheet'!B59</f>
        <v/>
      </c>
      <c r="F18" s="18">
        <f>'Balance Sheet'!C59</f>
        <v/>
      </c>
      <c r="G18" s="18">
        <f>'Balance Sheet'!D59</f>
        <v/>
      </c>
      <c r="H18" s="18">
        <f>'Balance Sheet'!E59</f>
        <v/>
      </c>
      <c r="I18" s="18">
        <f>'Balance Sheet'!F59</f>
        <v/>
      </c>
    </row>
    <row r="19">
      <c r="A19" s="14" t="inlineStr">
        <is>
          <t>Free cash flow to equity</t>
        </is>
      </c>
      <c r="B19" s="32" t="inlineStr">
        <is>
          <t>-</t>
        </is>
      </c>
      <c r="C19" s="32" t="inlineStr">
        <is>
          <t>-</t>
        </is>
      </c>
      <c r="D19" s="32" t="inlineStr">
        <is>
          <t>-</t>
        </is>
      </c>
      <c r="E19" s="32">
        <f>E15+E16+E17+E18</f>
        <v/>
      </c>
      <c r="F19" s="32">
        <f>F15+F16+F17+F18</f>
        <v/>
      </c>
      <c r="G19" s="32">
        <f>G15+G16+G17+G18</f>
        <v/>
      </c>
      <c r="H19" s="32">
        <f>H15+H16+H17+H18</f>
        <v/>
      </c>
      <c r="I19" s="32">
        <f>I15+I16+I17+I18</f>
        <v/>
      </c>
    </row>
    <row r="20">
      <c r="A20" s="6" t="inlineStr">
        <is>
          <t>Less ordinary dividends</t>
        </is>
      </c>
      <c r="B20" s="31" t="inlineStr">
        <is>
          <t>-</t>
        </is>
      </c>
      <c r="C20" s="31" t="inlineStr">
        <is>
          <t>-</t>
        </is>
      </c>
      <c r="D20" s="31" t="inlineStr">
        <is>
          <t>-</t>
        </is>
      </c>
      <c r="E20" s="18">
        <f>'Balance Sheet'!B61</f>
        <v/>
      </c>
      <c r="F20" s="18">
        <f>'Balance Sheet'!C61</f>
        <v/>
      </c>
      <c r="G20" s="18">
        <f>'Balance Sheet'!D61</f>
        <v/>
      </c>
      <c r="H20" s="18">
        <f>'Balance Sheet'!E61</f>
        <v/>
      </c>
      <c r="I20" s="18">
        <f>'Balance Sheet'!F61</f>
        <v/>
      </c>
    </row>
    <row r="21">
      <c r="A21" s="6" t="inlineStr">
        <is>
          <t>Movement in net debt (a fall is a negative)</t>
        </is>
      </c>
      <c r="B21" s="31" t="inlineStr">
        <is>
          <t>-</t>
        </is>
      </c>
      <c r="C21" s="31" t="inlineStr">
        <is>
          <t>-</t>
        </is>
      </c>
      <c r="D21" s="31" t="inlineStr">
        <is>
          <t>-</t>
        </is>
      </c>
      <c r="E21" s="31">
        <f>-E19-E20</f>
        <v/>
      </c>
      <c r="F21" s="31">
        <f>-F19-F20</f>
        <v/>
      </c>
      <c r="G21" s="31">
        <f>-G19-G20</f>
        <v/>
      </c>
      <c r="H21" s="31">
        <f>-H19-H20</f>
        <v/>
      </c>
      <c r="I21" s="31">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18">
        <f>'Income Statement'!B14</f>
        <v/>
      </c>
      <c r="C7" s="18">
        <f>'Income Statement'!C14</f>
        <v/>
      </c>
      <c r="D7" s="18">
        <f>'Income Statement'!D14</f>
        <v/>
      </c>
      <c r="E7" s="18">
        <f>'Income Statement'!E14</f>
        <v/>
      </c>
      <c r="F7" s="18">
        <f>'Income Statement'!F14</f>
        <v/>
      </c>
      <c r="G7" s="18">
        <f>'Income Statement'!G14</f>
        <v/>
      </c>
      <c r="H7" s="18">
        <f>'Income Statement'!H14</f>
        <v/>
      </c>
      <c r="I7" s="18">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18">
        <f>'Income Statement'!B12</f>
        <v/>
      </c>
      <c r="C9" s="18">
        <f>'Income Statement'!C12</f>
        <v/>
      </c>
      <c r="D9" s="18">
        <f>'Income Statement'!D12</f>
        <v/>
      </c>
      <c r="E9" s="18">
        <f>'Income Statement'!E12</f>
        <v/>
      </c>
      <c r="F9" s="18">
        <f>'Income Statement'!F12</f>
        <v/>
      </c>
      <c r="G9" s="18">
        <f>'Income Statement'!G12</f>
        <v/>
      </c>
      <c r="H9" s="18">
        <f>'Income Statement'!H12</f>
        <v/>
      </c>
      <c r="I9" s="18">
        <f>'Income Statement'!I12</f>
        <v/>
      </c>
    </row>
    <row r="10">
      <c r="A10" s="6" t="inlineStr">
        <is>
          <t>Depreciation and amortisation</t>
        </is>
      </c>
      <c r="B10" s="18">
        <f>'Income Statement'!B13</f>
        <v/>
      </c>
      <c r="C10" s="18">
        <f>'Income Statement'!C13</f>
        <v/>
      </c>
      <c r="D10" s="18">
        <f>'Income Statement'!D13</f>
        <v/>
      </c>
      <c r="E10" s="18">
        <f>'Income Statement'!E13</f>
        <v/>
      </c>
      <c r="F10" s="18">
        <f>'Income Statement'!F13</f>
        <v/>
      </c>
      <c r="G10" s="18">
        <f>'Income Statement'!G13</f>
        <v/>
      </c>
      <c r="H10" s="18">
        <f>'Income Statement'!H13</f>
        <v/>
      </c>
      <c r="I10" s="18">
        <f>'Income Statement'!I13</f>
        <v/>
      </c>
    </row>
    <row r="11">
      <c r="A11" s="6" t="inlineStr">
        <is>
          <t>Profit attributable to shareholders</t>
        </is>
      </c>
      <c r="B11" s="18">
        <f>'Income Statement'!B28</f>
        <v/>
      </c>
      <c r="C11" s="18">
        <f>'Income Statement'!C28</f>
        <v/>
      </c>
      <c r="D11" s="18">
        <f>'Income Statement'!D28</f>
        <v/>
      </c>
      <c r="E11" s="18">
        <f>'Income Statement'!E28</f>
        <v/>
      </c>
      <c r="F11" s="18">
        <f>'Income Statement'!F28</f>
        <v/>
      </c>
      <c r="G11" s="18">
        <f>'Income Statement'!G28</f>
        <v/>
      </c>
      <c r="H11" s="18">
        <f>'Income Statement'!H28</f>
        <v/>
      </c>
      <c r="I11" s="18">
        <f>'Income Statement'!I28</f>
        <v/>
      </c>
    </row>
    <row r="12">
      <c r="A12" s="6" t="inlineStr">
        <is>
          <t>Earnings attributable to ordinary shareholders</t>
        </is>
      </c>
      <c r="B12" s="18">
        <f>'Income Statement'!B30</f>
        <v/>
      </c>
      <c r="C12" s="18">
        <f>'Income Statement'!C30</f>
        <v/>
      </c>
      <c r="D12" s="18">
        <f>'Income Statement'!D30</f>
        <v/>
      </c>
      <c r="E12" s="18">
        <f>'Income Statement'!E30</f>
        <v/>
      </c>
      <c r="F12" s="18">
        <f>'Income Statement'!F30</f>
        <v/>
      </c>
      <c r="G12" s="18">
        <f>'Income Statement'!G30</f>
        <v/>
      </c>
      <c r="H12" s="18">
        <f>'Income Statement'!H30</f>
        <v/>
      </c>
      <c r="I12" s="18">
        <f>'Income Statement'!I30</f>
        <v/>
      </c>
    </row>
    <row r="13">
      <c r="A13" s="6" t="inlineStr">
        <is>
          <t>Earnings per ordinary share (AED)</t>
        </is>
      </c>
      <c r="B13" s="45">
        <f>'Income Statement'!B32</f>
        <v/>
      </c>
      <c r="C13" s="45">
        <f>'Income Statement'!C32</f>
        <v/>
      </c>
      <c r="D13" s="45">
        <f>'Income Statement'!D32</f>
        <v/>
      </c>
      <c r="E13" s="45">
        <f>'Income Statement'!E32</f>
        <v/>
      </c>
      <c r="F13" s="45">
        <f>'Income Statement'!F32</f>
        <v/>
      </c>
      <c r="G13" s="45">
        <f>'Income Statement'!G32</f>
        <v/>
      </c>
      <c r="H13" s="45">
        <f>'Income Statement'!H32</f>
        <v/>
      </c>
      <c r="I13" s="45">
        <f>'Income Statement'!I32</f>
        <v/>
      </c>
    </row>
    <row r="14">
      <c r="A14" s="6" t="inlineStr">
        <is>
          <t>Free cash flow to the firm</t>
        </is>
      </c>
      <c r="B14" s="31" t="inlineStr">
        <is>
          <t>-</t>
        </is>
      </c>
      <c r="C14" s="31" t="inlineStr">
        <is>
          <t>-</t>
        </is>
      </c>
      <c r="D14" s="31" t="inlineStr">
        <is>
          <t>-</t>
        </is>
      </c>
      <c r="E14" s="18">
        <f>'Cash Flow'!E15</f>
        <v/>
      </c>
      <c r="F14" s="18">
        <f>'Cash Flow'!F15</f>
        <v/>
      </c>
      <c r="G14" s="18">
        <f>'Cash Flow'!G15</f>
        <v/>
      </c>
      <c r="H14" s="18">
        <f>'Cash Flow'!H15</f>
        <v/>
      </c>
      <c r="I14" s="18">
        <f>'Cash Flow'!I15</f>
        <v/>
      </c>
    </row>
    <row r="15">
      <c r="A15" s="6" t="inlineStr">
        <is>
          <t>Capital expenditure</t>
        </is>
      </c>
      <c r="B15" s="18">
        <f>'Cash Flow'!B7</f>
        <v/>
      </c>
      <c r="C15" s="18">
        <f>'Cash Flow'!C7</f>
        <v/>
      </c>
      <c r="D15" s="18">
        <f>'Cash Flow'!D7</f>
        <v/>
      </c>
      <c r="E15" s="18">
        <f>'Cash Flow'!E7</f>
        <v/>
      </c>
      <c r="F15" s="18">
        <f>'Cash Flow'!F7</f>
        <v/>
      </c>
      <c r="G15" s="18">
        <f>'Cash Flow'!G7</f>
        <v/>
      </c>
      <c r="H15" s="18">
        <f>'Cash Flow'!H7</f>
        <v/>
      </c>
      <c r="I15" s="18">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18">
        <f>'Balance Sheet'!B16</f>
        <v/>
      </c>
      <c r="C17" s="18">
        <f>'Balance Sheet'!C16</f>
        <v/>
      </c>
      <c r="D17" s="18">
        <f>'Balance Sheet'!D16</f>
        <v/>
      </c>
      <c r="E17" s="18">
        <f>'Balance Sheet'!E16</f>
        <v/>
      </c>
      <c r="F17" s="18">
        <f>'Balance Sheet'!F16</f>
        <v/>
      </c>
      <c r="G17" s="18">
        <f>'Balance Sheet'!G16</f>
        <v/>
      </c>
      <c r="H17" s="18">
        <f>'Balance Sheet'!H16</f>
        <v/>
      </c>
      <c r="I17" s="18">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18">
        <f>'Balance Sheet'!B18</f>
        <v/>
      </c>
      <c r="C19" s="18">
        <f>'Balance Sheet'!C18</f>
        <v/>
      </c>
      <c r="D19" s="18">
        <f>'Balance Sheet'!D18</f>
        <v/>
      </c>
      <c r="E19" s="18">
        <f>'Balance Sheet'!E18</f>
        <v/>
      </c>
      <c r="F19" s="18">
        <f>'Balance Sheet'!F18</f>
        <v/>
      </c>
      <c r="G19" s="18">
        <f>'Balance Sheet'!G18</f>
        <v/>
      </c>
      <c r="H19" s="18">
        <f>'Balance Sheet'!H18</f>
        <v/>
      </c>
      <c r="I19" s="18">
        <f>'Balance Sheet'!I18</f>
        <v/>
      </c>
    </row>
    <row r="20">
      <c r="A20" s="6" t="inlineStr">
        <is>
          <t>Net debt / EBITDA</t>
        </is>
      </c>
      <c r="B20" s="35">
        <f>'Balance Sheet'!B23</f>
        <v/>
      </c>
      <c r="C20" s="35">
        <f>'Balance Sheet'!C23</f>
        <v/>
      </c>
      <c r="D20" s="35">
        <f>'Balance Sheet'!D23</f>
        <v/>
      </c>
      <c r="E20" s="35">
        <f>'Balance Sheet'!E23</f>
        <v/>
      </c>
      <c r="F20" s="35">
        <f>'Balance Sheet'!F23</f>
        <v/>
      </c>
      <c r="G20" s="35">
        <f>'Balance Sheet'!G23</f>
        <v/>
      </c>
      <c r="H20" s="35">
        <f>'Balance Sheet'!H23</f>
        <v/>
      </c>
      <c r="I20" s="35">
        <f>'Balance Sheet'!I23</f>
        <v/>
      </c>
    </row>
    <row r="21">
      <c r="A21" s="6" t="inlineStr">
        <is>
          <t>Equity attributable to shareholders</t>
        </is>
      </c>
      <c r="B21" s="18">
        <f>'Balance Sheet'!B21</f>
        <v/>
      </c>
      <c r="C21" s="18">
        <f>'Balance Sheet'!C21</f>
        <v/>
      </c>
      <c r="D21" s="18">
        <f>'Balance Sheet'!D21</f>
        <v/>
      </c>
      <c r="E21" s="18">
        <f>'Balance Sheet'!E21</f>
        <v/>
      </c>
      <c r="F21" s="18">
        <f>'Balance Sheet'!F21</f>
        <v/>
      </c>
      <c r="G21" s="18">
        <f>'Balance Sheet'!G21</f>
        <v/>
      </c>
      <c r="H21" s="18">
        <f>'Balance Sheet'!H21</f>
        <v/>
      </c>
      <c r="I21" s="18">
        <f>'Balance Sheet'!I21</f>
        <v/>
      </c>
    </row>
    <row r="22">
      <c r="A22" s="6" t="inlineStr">
        <is>
          <t>Invested capital</t>
        </is>
      </c>
      <c r="B22" s="18">
        <f>'Balance Sheet'!B26</f>
        <v/>
      </c>
      <c r="C22" s="18">
        <f>'Balance Sheet'!C26</f>
        <v/>
      </c>
      <c r="D22" s="18">
        <f>'Balance Sheet'!D26</f>
        <v/>
      </c>
      <c r="E22" s="18">
        <f>'Balance Sheet'!E26</f>
        <v/>
      </c>
      <c r="F22" s="18">
        <f>'Balance Sheet'!F26</f>
        <v/>
      </c>
      <c r="G22" s="18">
        <f>'Balance Sheet'!G26</f>
        <v/>
      </c>
      <c r="H22" s="18">
        <f>'Balance Sheet'!H26</f>
        <v/>
      </c>
      <c r="I22" s="18">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1" t="n">
        <v>5.474008898785125</v>
      </c>
      <c r="C5" s="21" t="n">
        <v>5.88933321848616</v>
      </c>
      <c r="D5" s="21" t="n">
        <v>6.164121008679707</v>
      </c>
      <c r="E5" s="21" t="n">
        <v>6.453225115627275</v>
      </c>
      <c r="F5" s="21" t="n">
        <v>6.92808563076805</v>
      </c>
      <c r="G5" s="30" t="n">
        <v>0.50406</v>
      </c>
    </row>
    <row r="6">
      <c r="A6" s="6" t="inlineStr">
        <is>
          <t>Three months — graded 2026-11-09</t>
        </is>
      </c>
      <c r="B6" s="21" t="n">
        <v>4.945077982333779</v>
      </c>
      <c r="C6" s="21" t="n">
        <v>5.672464109137894</v>
      </c>
      <c r="D6" s="21" t="n">
        <v>6.178480100840813</v>
      </c>
      <c r="E6" s="21" t="n">
        <v>6.727685936316127</v>
      </c>
      <c r="F6" s="21" t="n">
        <v>7.728370123428927</v>
      </c>
      <c r="G6" s="30" t="n">
        <v>0.5092</v>
      </c>
    </row>
    <row r="8">
      <c r="A8" s="5" t="inlineStr">
        <is>
          <t>Level event</t>
        </is>
      </c>
      <c r="B8" s="5" t="inlineStr">
        <is>
          <t>One month</t>
        </is>
      </c>
      <c r="C8" s="5" t="inlineStr">
        <is>
          <t>Three months</t>
        </is>
      </c>
    </row>
    <row r="9">
      <c r="A9" s="6" t="inlineStr">
        <is>
          <t>Finishes 10% or more above spot</t>
        </is>
      </c>
      <c r="B9" s="30" t="n">
        <v>0.08631999999999999</v>
      </c>
      <c r="C9" s="30" t="n">
        <v>0.23286</v>
      </c>
    </row>
    <row r="10">
      <c r="A10" s="6" t="inlineStr">
        <is>
          <t>Finishes 10% or more below spot</t>
        </is>
      </c>
      <c r="B10" s="30" t="n">
        <v>0.06752</v>
      </c>
      <c r="C10" s="30" t="n">
        <v>0.19752</v>
      </c>
    </row>
    <row r="11">
      <c r="A11" s="6" t="inlineStr">
        <is>
          <t>Touches 10% above spot at any point</t>
        </is>
      </c>
      <c r="B11" s="30" t="n">
        <v>0.14278</v>
      </c>
      <c r="C11" s="30" t="n">
        <v>0.42208</v>
      </c>
    </row>
    <row r="12">
      <c r="A12" s="6" t="inlineStr">
        <is>
          <t>Touches 10% below spot at any point</t>
        </is>
      </c>
      <c r="B12" s="30" t="n">
        <v>0.11002</v>
      </c>
      <c r="C12" s="30" t="n">
        <v>0.3644</v>
      </c>
    </row>
    <row r="14">
      <c r="A14" s="5" t="inlineStr">
        <is>
          <t>Engine setting</t>
        </is>
      </c>
      <c r="B14" s="5" t="inlineStr"/>
      <c r="C14" s="5" t="inlineStr">
        <is>
          <t>Value</t>
        </is>
      </c>
    </row>
    <row r="15">
      <c r="A15" s="6" t="inlineStr">
        <is>
          <t>Simulated paths</t>
        </is>
      </c>
      <c r="C15" s="27" t="n">
        <v>50000</v>
      </c>
    </row>
    <row r="16">
      <c r="A16" s="6" t="inlineStr">
        <is>
          <t>Annualised volatility (three-month anchor)</t>
        </is>
      </c>
      <c r="C16" s="30" t="n">
        <v>0.2817324653066295</v>
      </c>
    </row>
    <row r="17">
      <c r="A17" s="6" t="inlineStr">
        <is>
          <t>Spot price (AED)</t>
        </is>
      </c>
      <c r="C17" s="7">
        <f>Summary!$C$16</f>
        <v/>
      </c>
    </row>
    <row r="18">
      <c r="A18" s="6" t="inlineStr">
        <is>
          <t>Anchor date</t>
        </is>
      </c>
      <c r="C18" s="46" t="inlineStr">
        <is>
          <t>2026-08-07</t>
        </is>
      </c>
    </row>
    <row r="19">
      <c r="A19" s="6" t="inlineStr">
        <is>
          <t>Calibration verdict on the five-year walk-forward</t>
        </is>
      </c>
      <c r="C19" s="46" t="inlineStr">
        <is>
          <t>PARITY</t>
        </is>
      </c>
    </row>
    <row r="21">
      <c r="A21" s="4" t="inlineStr">
        <is>
          <t>The price map is a dispersion forecast from the price series alone. It is deliberately not reconciled to the valuation lenses: one is a statement about what a price could do over weeks, the other about what a business is worth.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4" t="n"/>
      <c r="C4" s="14" t="n"/>
      <c r="D4" s="14" t="n"/>
      <c r="E4" s="14" t="n"/>
      <c r="F4" s="14" t="n"/>
      <c r="G4" s="14" t="n"/>
      <c r="H4" s="14" t="n"/>
    </row>
    <row r="5">
      <c r="A5" s="5" t="inlineStr">
        <is>
          <t>Beta</t>
        </is>
      </c>
      <c r="B5" s="5" t="inlineStr">
        <is>
          <t>1.0%</t>
        </is>
      </c>
      <c r="C5" s="5" t="inlineStr">
        <is>
          <t>1.5%</t>
        </is>
      </c>
      <c r="D5" s="5" t="inlineStr">
        <is>
          <t>2.0%</t>
        </is>
      </c>
      <c r="E5" s="5" t="inlineStr">
        <is>
          <t>2.5%</t>
        </is>
      </c>
    </row>
    <row r="6">
      <c r="A6" s="6" t="inlineStr">
        <is>
          <t>0.500</t>
        </is>
      </c>
      <c r="B6" s="21" t="n">
        <v>9.390453571720622</v>
      </c>
      <c r="C6" s="21" t="n">
        <v>10.06513198559633</v>
      </c>
      <c r="D6" s="21" t="n">
        <v>10.92227220457735</v>
      </c>
      <c r="E6" s="21" t="n">
        <v>12.05037562092223</v>
      </c>
    </row>
    <row r="7">
      <c r="A7" s="6" t="inlineStr">
        <is>
          <t>0.705</t>
        </is>
      </c>
      <c r="B7" s="21" t="n">
        <v>7.545680996606645</v>
      </c>
      <c r="C7" s="21" t="n">
        <v>7.931348061513757</v>
      </c>
      <c r="D7" s="21" t="n">
        <v>8.398472715396702</v>
      </c>
      <c r="E7" s="21" t="n">
        <v>8.977536366227794</v>
      </c>
    </row>
    <row r="8">
      <c r="A8" s="6" t="inlineStr">
        <is>
          <t>0.900</t>
        </is>
      </c>
      <c r="B8" s="21" t="n">
        <v>6.283565631675469</v>
      </c>
      <c r="C8" s="21" t="n">
        <v>6.519104656680824</v>
      </c>
      <c r="D8" s="21" t="n">
        <v>6.795132335801774</v>
      </c>
      <c r="E8" s="21" t="n">
        <v>7.124094206639689</v>
      </c>
    </row>
    <row r="9">
      <c r="A9" s="6" t="inlineStr">
        <is>
          <t>1.000</t>
        </is>
      </c>
      <c r="B9" s="21" t="n">
        <v>5.761673686091052</v>
      </c>
      <c r="C9" s="21" t="n">
        <v>5.945943414850556</v>
      </c>
      <c r="D9" s="21" t="n">
        <v>6.158857038790813</v>
      </c>
      <c r="E9" s="21" t="n">
        <v>6.408480618830459</v>
      </c>
    </row>
    <row r="10">
      <c r="A10" s="6" t="inlineStr">
        <is>
          <t>1.200</t>
        </is>
      </c>
      <c r="B10" s="21" t="n">
        <v>4.899787897206465</v>
      </c>
      <c r="C10" s="21" t="n">
        <v>5.01276476812066</v>
      </c>
      <c r="D10" s="21" t="n">
        <v>5.14006717064332</v>
      </c>
      <c r="E10" s="21" t="n">
        <v>5.285149575002541</v>
      </c>
    </row>
    <row r="12">
      <c r="A12" s="11" t="inlineStr">
        <is>
          <t>Mid-cycle tanker rate anchor, as a multiple of the base anchor</t>
        </is>
      </c>
      <c r="B12" s="14" t="n"/>
      <c r="C12" s="14" t="n"/>
      <c r="D12" s="14" t="n"/>
      <c r="E12" s="14" t="n"/>
      <c r="F12" s="14" t="n"/>
      <c r="G12" s="14" t="n"/>
      <c r="H12" s="14"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1" t="n">
        <v>7.18254744398532</v>
      </c>
      <c r="C14" s="21" t="n">
        <v>7.790510079691012</v>
      </c>
      <c r="D14" s="21" t="n">
        <v>8.398472715396702</v>
      </c>
      <c r="E14" s="21" t="n">
        <v>9.006435351102384</v>
      </c>
      <c r="F14" s="21" t="n">
        <v>9.614397986808076</v>
      </c>
    </row>
    <row r="15">
      <c r="A15" s="6" t="inlineStr">
        <is>
          <t>Swing across the grid</t>
        </is>
      </c>
      <c r="C15" s="9">
        <f>MAX(B14:F14)-MIN(B14:F14)</f>
        <v/>
      </c>
    </row>
    <row r="17">
      <c r="A17" s="11" t="inlineStr">
        <is>
          <t>Capital expenditure, as a multiple of the guided path</t>
        </is>
      </c>
      <c r="B17" s="14" t="n"/>
      <c r="C17" s="14" t="n"/>
      <c r="D17" s="14" t="n"/>
      <c r="E17" s="14" t="n"/>
      <c r="F17" s="14" t="n"/>
      <c r="G17" s="14" t="n"/>
      <c r="H17" s="14" t="n"/>
    </row>
    <row r="18">
      <c r="A18" s="5" t="inlineStr"/>
      <c r="B18" s="5" t="inlineStr">
        <is>
          <t>0.90x</t>
        </is>
      </c>
      <c r="C18" s="5" t="inlineStr">
        <is>
          <t>1.00x</t>
        </is>
      </c>
      <c r="D18" s="5" t="inlineStr">
        <is>
          <t>1.10x</t>
        </is>
      </c>
      <c r="E18" s="5" t="inlineStr">
        <is>
          <t>1.20x</t>
        </is>
      </c>
    </row>
    <row r="19">
      <c r="A19" s="6" t="inlineStr">
        <is>
          <t>Fair value per share (AED)</t>
        </is>
      </c>
      <c r="B19" s="21" t="n">
        <v>8.883254479344194</v>
      </c>
      <c r="C19" s="21" t="n">
        <v>8.398472715396702</v>
      </c>
      <c r="D19" s="21" t="n">
        <v>7.91369095144921</v>
      </c>
      <c r="E19" s="21" t="n">
        <v>7.428909187501718</v>
      </c>
    </row>
    <row r="20">
      <c r="A20" s="6" t="inlineStr">
        <is>
          <t>Swing across the grid</t>
        </is>
      </c>
      <c r="C20" s="9">
        <f>MAX(B19:E19)-MIN(B19:E19)</f>
        <v/>
      </c>
    </row>
    <row r="22">
      <c r="A22" s="11" t="inlineStr">
        <is>
          <t>A uniform group tax rate — the global-minimum-tax case</t>
        </is>
      </c>
      <c r="B22" s="14" t="n"/>
      <c r="C22" s="14" t="n"/>
      <c r="D22" s="14" t="n"/>
      <c r="E22" s="14" t="n"/>
      <c r="F22" s="14" t="n"/>
      <c r="G22" s="14" t="n"/>
      <c r="H22" s="14" t="n"/>
    </row>
    <row r="23">
      <c r="A23" s="5" t="inlineStr"/>
      <c r="B23" s="5" t="inlineStr">
        <is>
          <t>5%</t>
        </is>
      </c>
      <c r="C23" s="5" t="inlineStr">
        <is>
          <t>9%</t>
        </is>
      </c>
      <c r="D23" s="5" t="inlineStr">
        <is>
          <t>15%</t>
        </is>
      </c>
    </row>
    <row r="24">
      <c r="A24" s="6" t="inlineStr">
        <is>
          <t>Fair value per share (AED)</t>
        </is>
      </c>
      <c r="B24" s="21" t="n">
        <v>8.369572255284547</v>
      </c>
      <c r="C24" s="21" t="n">
        <v>7.850087452844138</v>
      </c>
      <c r="D24" s="21" t="n">
        <v>7.07086024918353</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4" t="n"/>
      <c r="C27" s="14" t="n"/>
      <c r="D27" s="14" t="n"/>
      <c r="E27" s="14" t="n"/>
      <c r="F27" s="14" t="n"/>
      <c r="G27" s="14" t="n"/>
      <c r="H27" s="14" t="n"/>
    </row>
    <row r="28">
      <c r="A28" s="6" t="inlineStr">
        <is>
          <t>One-year time charter fixed in early 2026, very large crude carrier (USD per day)</t>
        </is>
      </c>
      <c r="C28" s="27" t="n">
        <v>76900</v>
      </c>
    </row>
    <row r="29">
      <c r="A29" s="6" t="inlineStr">
        <is>
          <t>Broker spot print for the same vessel class (USD per day)</t>
        </is>
      </c>
      <c r="C29" s="27"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18">
        <f>Segments!B42</f>
        <v/>
      </c>
      <c r="C31" s="18">
        <f>Segments!C42</f>
        <v/>
      </c>
      <c r="D31" s="18">
        <f>Segments!D42</f>
        <v/>
      </c>
      <c r="E31" s="18">
        <f>Segments!E42</f>
        <v/>
      </c>
      <c r="F31" s="18">
        <f>Segments!F42</f>
        <v/>
      </c>
    </row>
    <row r="32">
      <c r="A32" s="6" t="inlineStr">
        <is>
          <t>The study's 2027 path over the one-year time charter</t>
        </is>
      </c>
      <c r="C32" s="33">
        <f>C31/C28</f>
        <v/>
      </c>
    </row>
    <row r="33">
      <c r="A33" s="6" t="inlineStr">
        <is>
          <t>Crude tanker order book as a share of the trading fleet</t>
        </is>
      </c>
      <c r="C33" s="30"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40">
        <f>'Income Statement'!B31</f>
        <v/>
      </c>
      <c r="C5" s="40">
        <f>'Income Statement'!C31</f>
        <v/>
      </c>
      <c r="D5" s="40">
        <f>'Income Statement'!D31</f>
        <v/>
      </c>
      <c r="E5" s="40">
        <f>'Income Statement'!E31</f>
        <v/>
      </c>
      <c r="F5" s="40">
        <f>'Income Statement'!F31</f>
        <v/>
      </c>
      <c r="G5" s="40">
        <f>'Income Statement'!G31</f>
        <v/>
      </c>
      <c r="H5" s="40">
        <f>'Income Statement'!H31</f>
        <v/>
      </c>
      <c r="I5" s="40">
        <f>'Income Statement'!I31</f>
        <v/>
      </c>
    </row>
    <row r="6">
      <c r="A6" s="6" t="inlineStr">
        <is>
          <t>Earnings per ordinary share (AED)</t>
        </is>
      </c>
      <c r="B6" s="40">
        <f>'Income Statement'!B32</f>
        <v/>
      </c>
      <c r="C6" s="40">
        <f>'Income Statement'!C32</f>
        <v/>
      </c>
      <c r="D6" s="40">
        <f>'Income Statement'!D32</f>
        <v/>
      </c>
      <c r="E6" s="40">
        <f>'Income Statement'!E32</f>
        <v/>
      </c>
      <c r="F6" s="40">
        <f>'Income Statement'!F32</f>
        <v/>
      </c>
      <c r="G6" s="40">
        <f>'Income Statement'!G32</f>
        <v/>
      </c>
      <c r="H6" s="40">
        <f>'Income Statement'!H32</f>
        <v/>
      </c>
      <c r="I6" s="40">
        <f>'Income Statement'!I32</f>
        <v/>
      </c>
    </row>
    <row r="7">
      <c r="A7" s="6" t="inlineStr">
        <is>
          <t>Attributable profit per share (AED, before the perpetual coupon)</t>
        </is>
      </c>
      <c r="B7" s="40">
        <f>'Income Statement'!B28/Assumptions!$C$6/1000*Assumptions!$C$7</f>
        <v/>
      </c>
      <c r="C7" s="40">
        <f>'Income Statement'!C28/Assumptions!$C$6/1000*Assumptions!$C$7</f>
        <v/>
      </c>
      <c r="D7" s="40">
        <f>'Income Statement'!D28/Assumptions!$C$6/1000*Assumptions!$C$7</f>
        <v/>
      </c>
      <c r="E7" s="40">
        <f>'Income Statement'!E28/Assumptions!$C$6/1000*Assumptions!$C$7</f>
        <v/>
      </c>
      <c r="F7" s="40">
        <f>'Income Statement'!F28/Assumptions!$C$6/1000*Assumptions!$C$7</f>
        <v/>
      </c>
      <c r="G7" s="40">
        <f>'Income Statement'!G28/Assumptions!$C$6/1000*Assumptions!$C$7</f>
        <v/>
      </c>
      <c r="H7" s="40">
        <f>'Income Statement'!H28/Assumptions!$C$6/1000*Assumptions!$C$7</f>
        <v/>
      </c>
      <c r="I7" s="40">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40" t="inlineStr">
        <is>
          <t>-</t>
        </is>
      </c>
      <c r="C9" s="40" t="inlineStr">
        <is>
          <t>-</t>
        </is>
      </c>
      <c r="D9" s="40" t="inlineStr">
        <is>
          <t>-</t>
        </is>
      </c>
      <c r="E9" s="40">
        <f>'Cash Flow'!E15/Assumptions!$C$6/1000*Assumptions!$C$7</f>
        <v/>
      </c>
      <c r="F9" s="40">
        <f>'Cash Flow'!F15/Assumptions!$C$6/1000*Assumptions!$C$7</f>
        <v/>
      </c>
      <c r="G9" s="40">
        <f>'Cash Flow'!G15/Assumptions!$C$6/1000*Assumptions!$C$7</f>
        <v/>
      </c>
      <c r="H9" s="40">
        <f>'Cash Flow'!H15/Assumptions!$C$6/1000*Assumptions!$C$7</f>
        <v/>
      </c>
      <c r="I9" s="40">
        <f>'Cash Flow'!I15/Assumptions!$C$6/1000*Assumptions!$C$7</f>
        <v/>
      </c>
    </row>
    <row r="10">
      <c r="A10" s="6" t="inlineStr">
        <is>
          <t>Ordinary dividend per share (AED)</t>
        </is>
      </c>
      <c r="B10" s="40" t="inlineStr">
        <is>
          <t>-</t>
        </is>
      </c>
      <c r="C10" s="40" t="inlineStr">
        <is>
          <t>-</t>
        </is>
      </c>
      <c r="D10" s="40" t="inlineStr">
        <is>
          <t>-</t>
        </is>
      </c>
      <c r="E10" s="40">
        <f>'Balance Sheet'!B70*Assumptions!$C$7</f>
        <v/>
      </c>
      <c r="F10" s="40">
        <f>'Balance Sheet'!C70*Assumptions!$C$7</f>
        <v/>
      </c>
      <c r="G10" s="40">
        <f>'Balance Sheet'!D70*Assumptions!$C$7</f>
        <v/>
      </c>
      <c r="H10" s="40">
        <f>'Balance Sheet'!E70*Assumptions!$C$7</f>
        <v/>
      </c>
      <c r="I10" s="40">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33">
        <f>'Balance Sheet'!B23</f>
        <v/>
      </c>
      <c r="C18" s="33">
        <f>'Balance Sheet'!C23</f>
        <v/>
      </c>
      <c r="D18" s="33">
        <f>'Balance Sheet'!D23</f>
        <v/>
      </c>
      <c r="E18" s="33">
        <f>'Balance Sheet'!E23</f>
        <v/>
      </c>
      <c r="F18" s="33">
        <f>'Balance Sheet'!F23</f>
        <v/>
      </c>
      <c r="G18" s="33">
        <f>'Balance Sheet'!G23</f>
        <v/>
      </c>
      <c r="H18" s="33">
        <f>'Balance Sheet'!H23</f>
        <v/>
      </c>
      <c r="I18" s="33">
        <f>'Balance Sheet'!I23</f>
        <v/>
      </c>
    </row>
    <row r="19">
      <c r="A19" s="6" t="inlineStr">
        <is>
          <t>Interest cover (EBIT over finance costs)</t>
        </is>
      </c>
      <c r="B19" s="33">
        <f>-'Income Statement'!B12/'Income Statement'!B23</f>
        <v/>
      </c>
      <c r="C19" s="33">
        <f>-'Income Statement'!C12/'Income Statement'!C23</f>
        <v/>
      </c>
      <c r="D19" s="33">
        <f>-'Income Statement'!D12/'Income Statement'!D23</f>
        <v/>
      </c>
      <c r="E19" s="33">
        <f>-'Income Statement'!E12/'Income Statement'!E23</f>
        <v/>
      </c>
      <c r="F19" s="33">
        <f>-'Income Statement'!F12/'Income Statement'!F23</f>
        <v/>
      </c>
      <c r="G19" s="33">
        <f>-'Income Statement'!G12/'Income Statement'!G23</f>
        <v/>
      </c>
      <c r="H19" s="33">
        <f>-'Income Statement'!H12/'Income Statement'!H23</f>
        <v/>
      </c>
      <c r="I19" s="33">
        <f>-'Income Statement'!I12/'Income Statement'!I23</f>
        <v/>
      </c>
    </row>
    <row r="20">
      <c r="A20" s="6" t="inlineStr">
        <is>
          <t>Days sales outstanding</t>
        </is>
      </c>
      <c r="B20" s="38">
        <f>'Balance Sheet'!B12/'Income Statement'!B5*365</f>
        <v/>
      </c>
      <c r="C20" s="38">
        <f>'Balance Sheet'!C12/'Income Statement'!C5*365</f>
        <v/>
      </c>
      <c r="D20" s="38">
        <f>'Balance Sheet'!D12/'Income Statement'!D5*365</f>
        <v/>
      </c>
      <c r="E20" s="38">
        <f>'Balance Sheet'!E12/'Income Statement'!E5*365</f>
        <v/>
      </c>
      <c r="F20" s="38">
        <f>'Balance Sheet'!F12/'Income Statement'!F5*365</f>
        <v/>
      </c>
      <c r="G20" s="38">
        <f>'Balance Sheet'!G12/'Income Statement'!G5*365</f>
        <v/>
      </c>
      <c r="H20" s="38">
        <f>'Balance Sheet'!H12/'Income Statement'!H5*365</f>
        <v/>
      </c>
      <c r="I20" s="38">
        <f>'Balance Sheet'!I12/'Income Statement'!I5*365</f>
        <v/>
      </c>
    </row>
    <row r="21">
      <c r="A21" s="6" t="inlineStr">
        <is>
          <t>Days inventory outstanding</t>
        </is>
      </c>
      <c r="B21" s="38">
        <f>'Balance Sheet'!B11/'Income Statement'!B17*365</f>
        <v/>
      </c>
      <c r="C21" s="38">
        <f>'Balance Sheet'!C11/'Income Statement'!C17*365</f>
        <v/>
      </c>
      <c r="D21" s="38">
        <f>'Balance Sheet'!D11/'Income Statement'!D17*365</f>
        <v/>
      </c>
      <c r="E21" s="38">
        <f>'Balance Sheet'!E11/'Income Statement'!E17*365</f>
        <v/>
      </c>
      <c r="F21" s="38">
        <f>'Balance Sheet'!F11/'Income Statement'!F17*365</f>
        <v/>
      </c>
      <c r="G21" s="38">
        <f>'Balance Sheet'!G11/'Income Statement'!G17*365</f>
        <v/>
      </c>
      <c r="H21" s="38">
        <f>'Balance Sheet'!H11/'Income Statement'!H17*365</f>
        <v/>
      </c>
      <c r="I21" s="38">
        <f>'Balance Sheet'!I11/'Income Statement'!I17*365</f>
        <v/>
      </c>
    </row>
    <row r="22">
      <c r="A22" s="6" t="inlineStr">
        <is>
          <t>Days payable outstanding</t>
        </is>
      </c>
      <c r="B22" s="38">
        <f>'Balance Sheet'!B15/'Income Statement'!B17*365</f>
        <v/>
      </c>
      <c r="C22" s="38">
        <f>'Balance Sheet'!C15/'Income Statement'!C17*365</f>
        <v/>
      </c>
      <c r="D22" s="38">
        <f>'Balance Sheet'!D15/'Income Statement'!D17*365</f>
        <v/>
      </c>
      <c r="E22" s="38">
        <f>'Balance Sheet'!E15/'Income Statement'!E17*365</f>
        <v/>
      </c>
      <c r="F22" s="38">
        <f>'Balance Sheet'!F15/'Income Statement'!F17*365</f>
        <v/>
      </c>
      <c r="G22" s="38">
        <f>'Balance Sheet'!G15/'Income Statement'!G17*365</f>
        <v/>
      </c>
      <c r="H22" s="38">
        <f>'Balance Sheet'!H15/'Income Statement'!H17*365</f>
        <v/>
      </c>
      <c r="I22" s="38">
        <f>'Balance Sheet'!I15/'Income Statement'!I17*365</f>
        <v/>
      </c>
    </row>
    <row r="23">
      <c r="A23" s="6" t="inlineStr">
        <is>
          <t>Cash conversion cycle (days)</t>
        </is>
      </c>
      <c r="B23" s="38">
        <f>B20+B21-B22</f>
        <v/>
      </c>
      <c r="C23" s="38">
        <f>C20+C21-C22</f>
        <v/>
      </c>
      <c r="D23" s="38">
        <f>D20+D21-D22</f>
        <v/>
      </c>
      <c r="E23" s="38">
        <f>E20+E21-E22</f>
        <v/>
      </c>
      <c r="F23" s="38">
        <f>F20+F21-F22</f>
        <v/>
      </c>
      <c r="G23" s="38">
        <f>G20+G21-G22</f>
        <v/>
      </c>
      <c r="H23" s="38">
        <f>H20+H21-H22</f>
        <v/>
      </c>
      <c r="I23" s="38">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4" t="n"/>
      <c r="C26" s="14" t="n"/>
      <c r="D26" s="14" t="n"/>
      <c r="E26" s="14" t="n"/>
      <c r="F26" s="14" t="n"/>
      <c r="G26" s="14" t="n"/>
      <c r="H26" s="14" t="n"/>
      <c r="I26" s="14" t="n"/>
    </row>
    <row r="27">
      <c r="A27" s="6" t="inlineStr">
        <is>
          <t>Share price (AED)</t>
        </is>
      </c>
      <c r="C27" s="7">
        <f>Summary!$C$16</f>
        <v/>
      </c>
    </row>
    <row r="28">
      <c r="A28" s="6" t="inlineStr">
        <is>
          <t>Share price (USD)</t>
        </is>
      </c>
      <c r="C28" s="7">
        <f>'Relative &amp; Normalized'!$C$23</f>
        <v/>
      </c>
    </row>
    <row r="29">
      <c r="A29" s="6" t="inlineStr">
        <is>
          <t>Market capitalisation (USD 000)</t>
        </is>
      </c>
      <c r="C29" s="18">
        <f>'Relative &amp; Normalized'!$C$24</f>
        <v/>
      </c>
    </row>
    <row r="30">
      <c r="A30" s="6" t="inlineStr">
        <is>
          <t>Enterprise value (USD 000)</t>
        </is>
      </c>
      <c r="C30" s="18">
        <f>'Relative &amp; Normalized'!$C$26</f>
        <v/>
      </c>
    </row>
    <row r="31">
      <c r="A31" s="6" t="inlineStr">
        <is>
          <t>Enterprise value / 2025 reported EBITDA</t>
        </is>
      </c>
      <c r="C31" s="35">
        <f>'Relative &amp; Normalized'!$C$27</f>
        <v/>
      </c>
    </row>
    <row r="32">
      <c r="A32" s="6" t="inlineStr">
        <is>
          <t>Enterprise value / FY2026E EBITDA</t>
        </is>
      </c>
      <c r="C32" s="35">
        <f>'Relative &amp; Normalized'!$C$28</f>
        <v/>
      </c>
    </row>
    <row r="33">
      <c r="A33" s="6" t="inlineStr">
        <is>
          <t>Price / 2025 ordinary earnings</t>
        </is>
      </c>
      <c r="C33" s="35">
        <f>'Relative &amp; Normalized'!$C$29</f>
        <v/>
      </c>
    </row>
    <row r="34">
      <c r="A34" s="6" t="inlineStr">
        <is>
          <t>Price / book at 31 March 2026</t>
        </is>
      </c>
      <c r="C34" s="35">
        <f>'Relative &amp; Normalized'!$C$30</f>
        <v/>
      </c>
    </row>
    <row r="35">
      <c r="A35" s="6" t="inlineStr">
        <is>
          <t>Dividend yield on the 2026 distribution</t>
        </is>
      </c>
      <c r="C35" s="8">
        <f>'Relative &amp; Normalized'!$C$31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5"/>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0" t="inlineStr">
        <is>
          <t>long-term contracted gas shipping</t>
        </is>
      </c>
      <c r="D5" s="47" t="n">
        <v>12.26</v>
      </c>
      <c r="E5" s="47" t="n">
        <v>13.97</v>
      </c>
      <c r="F5" s="47" t="n">
        <v>14.15</v>
      </c>
      <c r="G5" s="47" t="n">
        <v>1.65</v>
      </c>
      <c r="H5" s="30" t="n">
        <v>0.0336</v>
      </c>
      <c r="I5" s="20" t="inlineStr">
        <is>
          <t>stockanalysis.com company statistics page</t>
        </is>
      </c>
      <c r="J5" s="6" t="inlineStr">
        <is>
          <t>2026-08-09</t>
        </is>
      </c>
    </row>
    <row r="6" ht="28" customHeight="1">
      <c r="A6" s="6" t="inlineStr">
        <is>
          <t>Frontline plc</t>
        </is>
      </c>
      <c r="B6" s="6" t="inlineStr">
        <is>
          <t>Oslo / New York</t>
        </is>
      </c>
      <c r="C6" s="20" t="inlineStr">
        <is>
          <t>spot crude tankers</t>
        </is>
      </c>
      <c r="D6" s="47" t="n">
        <v>8.960000000000001</v>
      </c>
      <c r="E6" s="47" t="n">
        <v>6.44</v>
      </c>
      <c r="F6" s="47" t="n">
        <v>9.98</v>
      </c>
      <c r="G6" s="47" t="inlineStr">
        <is>
          <t>n/a</t>
        </is>
      </c>
      <c r="H6" s="30" t="inlineStr">
        <is>
          <t>n/a</t>
        </is>
      </c>
      <c r="I6" s="20" t="inlineStr">
        <is>
          <t>stockanalysis.com company statistics page</t>
        </is>
      </c>
      <c r="J6" s="6" t="inlineStr">
        <is>
          <t>2026-08-09</t>
        </is>
      </c>
    </row>
    <row r="7" ht="28" customHeight="1">
      <c r="A7" s="6" t="inlineStr">
        <is>
          <t>International Seaways</t>
        </is>
      </c>
      <c r="B7" s="6" t="inlineStr">
        <is>
          <t>New York</t>
        </is>
      </c>
      <c r="C7" s="20" t="inlineStr">
        <is>
          <t>spot crude and product tankers</t>
        </is>
      </c>
      <c r="D7" s="47" t="n">
        <v>8.1</v>
      </c>
      <c r="E7" s="47" t="inlineStr">
        <is>
          <t>n/a</t>
        </is>
      </c>
      <c r="F7" s="47" t="inlineStr">
        <is>
          <t>n/a</t>
        </is>
      </c>
      <c r="G7" s="47" t="inlineStr">
        <is>
          <t>n/a</t>
        </is>
      </c>
      <c r="H7" s="30" t="inlineStr">
        <is>
          <t>n/a</t>
        </is>
      </c>
      <c r="I7" s="20" t="inlineStr">
        <is>
          <t>valueinvesting.io enterprise-value-to-earnings page</t>
        </is>
      </c>
      <c r="J7" s="6" t="inlineStr">
        <is>
          <t>2026-07-26</t>
        </is>
      </c>
    </row>
    <row r="9">
      <c r="A9" s="11" t="inlineStr">
        <is>
          <t>THE MULTIPLES USED IN THE RELATIVE LENS</t>
        </is>
      </c>
      <c r="B9" s="14" t="n"/>
      <c r="C9" s="14" t="n"/>
      <c r="D9" s="14" t="n"/>
      <c r="E9" s="14" t="n"/>
      <c r="F9" s="14" t="n"/>
      <c r="G9" s="14" t="n"/>
      <c r="H9" s="14" t="n"/>
      <c r="I9" s="14" t="n"/>
      <c r="J9" s="14" t="n"/>
    </row>
    <row r="10">
      <c r="A10" s="6" t="inlineStr">
        <is>
          <t>Contracted-shipping multiple</t>
        </is>
      </c>
      <c r="C10" s="33">
        <f>D5</f>
        <v/>
      </c>
    </row>
    <row r="11">
      <c r="A11" s="6" t="inlineStr">
        <is>
          <t>Spot-tanker multiple — the two spot owners averaged</t>
        </is>
      </c>
      <c r="C11" s="33">
        <f>(D6+D7)/2</f>
        <v/>
      </c>
    </row>
    <row r="12">
      <c r="A12" s="6" t="inlineStr">
        <is>
          <t>Share of 2026 earnings exposed to spot rates, as disclosed</t>
        </is>
      </c>
      <c r="C12" s="8">
        <f>Assumptions!$C$105</f>
        <v/>
      </c>
    </row>
    <row r="13">
      <c r="A13" s="6" t="inlineStr">
        <is>
          <t>Blended enterprise multiple</t>
        </is>
      </c>
      <c r="C13" s="33">
        <f>(1-C12)*C10+C12*C11</f>
        <v/>
      </c>
    </row>
    <row r="14">
      <c r="A14" s="6" t="inlineStr">
        <is>
          <t>Contracted-shipping forward price/earnings</t>
        </is>
      </c>
      <c r="C14" s="33">
        <f>E5</f>
        <v/>
      </c>
    </row>
    <row r="15">
      <c r="A15" s="6" t="inlineStr">
        <is>
          <t>Spot-tanker forward price/earnings</t>
        </is>
      </c>
      <c r="C15" s="33">
        <f>E6</f>
        <v/>
      </c>
    </row>
    <row r="16">
      <c r="A16" s="6" t="inlineStr">
        <is>
          <t>Blended price/earnings</t>
        </is>
      </c>
      <c r="C16" s="33">
        <f>(1-C12)*C14+C12*C15</f>
        <v/>
      </c>
    </row>
    <row r="18">
      <c r="A18" s="11" t="inlineStr">
        <is>
          <t>THE COMPANY'S OWN MULTIPLES AT THE ANCHOR PRICE</t>
        </is>
      </c>
      <c r="B18" s="14" t="n"/>
      <c r="C18" s="14" t="n"/>
      <c r="D18" s="14" t="n"/>
      <c r="E18" s="14" t="n"/>
      <c r="F18" s="14" t="n"/>
      <c r="G18" s="14" t="n"/>
      <c r="H18" s="14" t="n"/>
      <c r="I18" s="14" t="n"/>
      <c r="J18" s="14" t="n"/>
    </row>
    <row r="19">
      <c r="A19" s="6" t="inlineStr">
        <is>
          <t>Enterprise value / 2025 reported EBITDA</t>
        </is>
      </c>
      <c r="C19" s="35">
        <f>'Relative &amp; Normalized'!$C$27</f>
        <v/>
      </c>
    </row>
    <row r="20">
      <c r="A20" s="6" t="inlineStr">
        <is>
          <t>Enterprise value / FY2026E EBITDA</t>
        </is>
      </c>
      <c r="C20" s="35">
        <f>'Relative &amp; Normalized'!$C$28</f>
        <v/>
      </c>
    </row>
    <row r="21">
      <c r="A21" s="6" t="inlineStr">
        <is>
          <t>Price / 2025 ordinary earnings</t>
        </is>
      </c>
      <c r="C21" s="35">
        <f>'Relative &amp; Normalized'!$C$29</f>
        <v/>
      </c>
    </row>
    <row r="22">
      <c r="A22" s="6" t="inlineStr">
        <is>
          <t>Price / book at 31 March 2026</t>
        </is>
      </c>
      <c r="C22" s="35">
        <f>'Relative &amp; Normalized'!$C$30</f>
        <v/>
      </c>
    </row>
    <row r="23">
      <c r="A23" s="6" t="inlineStr">
        <is>
          <t>Dividend yield on the 2026 distribution</t>
        </is>
      </c>
      <c r="C23" s="8">
        <f>'Relative &amp; Normalized'!$C$31</f>
        <v/>
      </c>
    </row>
    <row r="25">
      <c r="A25"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2026-08-09T15:49:24Z</dcterms:created>
  <dcterms:modified xmlns:dcterms="http://purl.org/dc/terms/" xmlns:xsi="http://www.w3.org/2001/XMLSchema-instance" xsi:type="dcterms:W3CDTF">2026-08-09T15:49:24Z</dcterms:modified>
</cp:coreProperties>
</file>