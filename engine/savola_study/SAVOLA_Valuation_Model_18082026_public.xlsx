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;(0.00);&quot;-&quot;"/>
    <numFmt numFmtId="165" formatCode="#,##0;(#,##0);&quot;-&quot;"/>
    <numFmt numFmtId="166" formatCode="#,##0.0;(#,##0.0);&quot;-&quot;"/>
    <numFmt numFmtId="167" formatCode="0.0%;(0.0%);&quot;-&quot;"/>
    <numFmt numFmtId="168" formatCode="0.000"/>
    <numFmt numFmtId="169" formatCode="#,##0.00;(#,##0.00);&quot;-&quot;"/>
    <numFmt numFmtId="170" formatCode="0.00x"/>
    <numFmt numFmtId="171" formatCode="0.0000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b val="1"/>
      <color rgb="00000000"/>
    </font>
    <font>
      <color rgb="00000000"/>
    </font>
    <font>
      <color rgb="000000FF"/>
    </font>
    <font>
      <b val="1"/>
      <color rgb="000000FF"/>
    </font>
    <font>
      <color rgb="00008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164" fontId="9" fillId="0" borderId="0" pivotButton="0" quotePrefix="0" xfId="0"/>
    <xf numFmtId="167" fontId="9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167" fontId="5" fillId="4" borderId="0" pivotButton="0" quotePrefix="0" xfId="0"/>
    <xf numFmtId="0" fontId="4" fillId="4" borderId="0" pivotButton="0" quotePrefix="0" xfId="0"/>
    <xf numFmtId="165" fontId="9" fillId="0" borderId="0" pivotButton="0" quotePrefix="0" xfId="0"/>
    <xf numFmtId="10" fontId="9" fillId="0" borderId="0" pivotButton="0" quotePrefix="0" xfId="0"/>
    <xf numFmtId="165" fontId="7" fillId="0" borderId="0" pivotButton="0" quotePrefix="0" xfId="0"/>
    <xf numFmtId="164" fontId="10" fillId="4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166" fontId="7" fillId="0" borderId="0" pivotButton="0" quotePrefix="0" xfId="0"/>
    <xf numFmtId="167" fontId="7" fillId="0" borderId="0" pivotButton="0" quotePrefix="0" xfId="0"/>
    <xf numFmtId="10" fontId="7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165" fontId="5" fillId="4" borderId="0" pivotButton="0" quotePrefix="0" xfId="0"/>
    <xf numFmtId="166" fontId="6" fillId="0" borderId="0" pivotButton="0" quotePrefix="0" xfId="0"/>
    <xf numFmtId="169" fontId="6" fillId="0" borderId="0" pivotButton="0" quotePrefix="0" xfId="0"/>
    <xf numFmtId="10" fontId="6" fillId="0" borderId="0" pivotButton="0" quotePrefix="0" xfId="0"/>
    <xf numFmtId="170" fontId="6" fillId="0" borderId="0" pivotButton="0" quotePrefix="0" xfId="0"/>
    <xf numFmtId="164" fontId="5" fillId="0" borderId="0" pivotButton="0" quotePrefix="0" xfId="0"/>
    <xf numFmtId="0" fontId="3" fillId="0" borderId="0" applyAlignment="1" pivotButton="0" quotePrefix="0" xfId="0">
      <alignment vertical="top" wrapText="1"/>
    </xf>
    <xf numFmtId="171" fontId="6" fillId="0" borderId="0" pivotButton="0" quotePrefix="0" xfId="0"/>
    <xf numFmtId="168" fontId="6" fillId="0" borderId="0" pivotButton="0" quotePrefix="0" xfId="0"/>
    <xf numFmtId="10" fontId="5" fillId="0" borderId="0" pivotButton="0" quotePrefix="0" xfId="0"/>
    <xf numFmtId="165" fontId="8" fillId="0" borderId="0" pivotButton="0" quotePrefix="0" xfId="0"/>
    <xf numFmtId="169" fontId="5" fillId="4" borderId="0" pivotButton="0" quotePrefix="0" xfId="0"/>
    <xf numFmtId="169" fontId="9" fillId="0" borderId="0" pivotButton="0" quotePrefix="0" xfId="0"/>
    <xf numFmtId="17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Savola Group Company (Tadawul: 2050)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Savola Group valuation study. Every blue cell is</t>
        </is>
      </c>
    </row>
    <row r="6">
      <c r="A6" s="3" t="inlineStr">
        <is>
          <t>an input; 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that can be derived arithmetically from a driver is a live formula, so</t>
        </is>
      </c>
    </row>
    <row r="9">
      <c r="A9" s="3" t="inlineStr">
        <is>
          <t>you can change a blue cell on Assumptions and watch the model reprice: the cost of capital is built from</t>
        </is>
      </c>
    </row>
    <row r="10">
      <c r="A10" s="3" t="inlineStr">
        <is>
          <t>the risk-free rate net of the sovereign spread, beta and the premium rather than pasted; the discount</t>
        </is>
      </c>
    </row>
    <row r="11">
      <c r="A11" s="3" t="inlineStr">
        <is>
          <t>factors compound; and the segment build, income statement, balance sheet, cash flow, ratios and all four</t>
        </is>
      </c>
    </row>
    <row r="12">
      <c r="A12" s="3" t="inlineStr">
        <is>
          <t>lenses chain off the same cells.</t>
        </is>
      </c>
    </row>
    <row r="13">
      <c r="A13" s="3" t="inlineStr"/>
    </row>
    <row r="14">
      <c r="A14" s="3" t="inlineStr">
        <is>
          <t>THREE THINGS ARE PASTED VALUES, and it is worth knowing exactly which. First, audited and disclosed</t>
        </is>
      </c>
    </row>
    <row r="15">
      <c r="A15" s="3" t="inlineStr">
        <is>
          <t>history — the primary record, not a calculation: the FY2023-FY2025 statements, the FY2025 category</t>
        </is>
      </c>
    </row>
    <row r="16">
      <c r="A16" s="3" t="inlineStr">
        <is>
          <t>volumes, revenues and gross profits, and the H1-2026 actuals. Second, nothing else of the build: the</t>
        </is>
      </c>
    </row>
    <row r="17">
      <c r="A17" s="3" t="inlineStr">
        <is>
          <t>forecast itself is LIVE — category volumes compound off growth drivers, revenue is volume x revenue per</t>
        </is>
      </c>
    </row>
    <row r="18">
      <c r="A18" s="3" t="inlineStr">
        <is>
          <t>tonne, gross profit is volume x gross profit per tonne, Panda revenue is stores x sales per store, and</t>
        </is>
      </c>
    </row>
    <row r="19">
      <c r="A19" s="3" t="inlineStr">
        <is>
          <t>every margin on the Segments sheet is an OUTPUT of those lines, never an input. Third, whole-model</t>
        </is>
      </c>
    </row>
    <row r="20">
      <c r="A20" s="3" t="inlineStr">
        <is>
          <t>engine outputs, where each figure is a complete re-run of the entire valuation and so cannot be a single</t>
        </is>
      </c>
    </row>
    <row r="21">
      <c r="A21" s="3" t="inlineStr">
        <is>
          <t>formula: the Monte Carlo price map, the sensitivity grids, the DCF scenario bear/bull bounds, the</t>
        </is>
      </c>
    </row>
    <row r="22">
      <c r="A22" s="3" t="inlineStr">
        <is>
          <t>Framing B fair value, and the CDS-basis fair value. Changing a driver reprices the model but does NOT</t>
        </is>
      </c>
    </row>
    <row r="23">
      <c r="A23" s="3" t="inlineStr">
        <is>
          <t>redraw those engine outputs.</t>
        </is>
      </c>
    </row>
    <row r="24">
      <c r="A24" s="3" t="inlineStr"/>
    </row>
    <row r="25">
      <c r="A25" s="3" t="inlineStr">
        <is>
          <t>How revenue is built. Not as one growth rate. Edible oil, sugar and pasta are volume x price: thousand</t>
        </is>
      </c>
    </row>
    <row r="26">
      <c r="A26" s="3" t="inlineStr">
        <is>
          <t>tonnes compound on their own growth paths (anchored on the disclosed H1-2026 actuals: oil +16.1%, sugar</t>
        </is>
      </c>
    </row>
    <row r="27">
      <c r="A27" s="3" t="inlineStr">
        <is>
          <t>+7.2%, pasta +3.0%) and carry their own revenue-per-tonne paths. Nuts &amp; spices carries a revenue path</t>
        </is>
      </c>
    </row>
    <row r="28">
      <c r="A28" s="3" t="inlineStr">
        <is>
          <t>with the July-2026 Mehbaj acquisition folded in small and flagged (its consideration is undisclosed).</t>
        </is>
      </c>
    </row>
    <row r="29">
      <c r="A29" s="3" t="inlineStr">
        <is>
          <t>Panda is stores x sales-per-store: the store path follows the company's own 20-plus-per-year guidance,</t>
        </is>
      </c>
    </row>
    <row r="30">
      <c r="A30" s="3" t="inlineStr">
        <is>
          <t>and sales density carries the measured H1-2026 decline, fading in Framing A and persisting in Framing B.</t>
        </is>
      </c>
    </row>
    <row r="31">
      <c r="A31" s="3" t="inlineStr">
        <is>
          <t>Herfy and Al Kabeer are revenue glides anchored on H1-2026 actuals.</t>
        </is>
      </c>
    </row>
    <row r="32">
      <c r="A32" s="3" t="inlineStr"/>
    </row>
    <row r="33">
      <c r="A33" s="3" t="inlineStr">
        <is>
          <t>How cost is built, and why no group margin is an input. Each category carries its own gross profit per</t>
        </is>
      </c>
    </row>
    <row r="34">
      <c r="A34" s="3" t="inlineStr">
        <is>
          <t>tonne — anchored on the H1-2026 actuals, with the second half held BELOW the first on the company's own</t>
        </is>
      </c>
    </row>
    <row r="35">
      <c r="A35" s="3" t="inlineStr">
        <is>
          <t>replacement-cost warning and the July-2026 vegetable-oil price rise — and its own operating-cost ratio</t>
        </is>
      </c>
    </row>
    <row r="36">
      <c r="A36" s="3" t="inlineStr">
        <is>
          <t>measured from FY2025. Segment EBITDA and the group margin are therefore OUTPUTS computed on the</t>
        </is>
      </c>
    </row>
    <row r="37">
      <c r="A37" s="3" t="inlineStr">
        <is>
          <t>Segments sheet.</t>
        </is>
      </c>
    </row>
    <row r="38">
      <c r="A38" s="3" t="inlineStr"/>
    </row>
    <row r="39">
      <c r="A39" s="3" t="inlineStr">
        <is>
          <t>Leases are debt, and charged once. The lease liability (SAR 3.95bn audited) is deducted in the bridge</t>
        </is>
      </c>
    </row>
    <row r="40">
      <c r="A40" s="3" t="inlineStr">
        <is>
          <t>and carries its measured 5.86% effective rate inside the cost of capital; the cash-flow waterfall</t>
        </is>
      </c>
    </row>
    <row r="41">
      <c r="A41" s="3" t="inlineStr">
        <is>
          <t>charges a steady-state lease replacement equal to right-of-use depreciation, and new store leases are</t>
        </is>
      </c>
    </row>
    <row r="42">
      <c r="A42" s="3" t="inlineStr">
        <is>
          <t>non-cash additions that grow the liability and the asset together on the Balance Sheet.</t>
        </is>
      </c>
    </row>
    <row r="43">
      <c r="A43" s="3" t="inlineStr"/>
    </row>
    <row r="44">
      <c r="A44" s="3" t="inlineStr">
        <is>
          <t>The contested judgement — Panda's expansion. The model is computed BOTH WAYS and never averaged:</t>
        </is>
      </c>
    </row>
    <row r="45">
      <c r="A45" s="3" t="inlineStr">
        <is>
          <t>Framing A lets sales density stabilise as the store-refresh programme and e-commerce mature; Framing B</t>
        </is>
      </c>
    </row>
    <row r="46">
      <c r="A46" s="3" t="inlineStr">
        <is>
          <t>holds the measured H1-2026 density erosion forever. Both fair values sit side by side on the Fundamental</t>
        </is>
      </c>
    </row>
    <row r="47">
      <c r="A47" s="3" t="inlineStr">
        <is>
          <t>Valuation sheet, in the study's summary table, and in an expert's range.</t>
        </is>
      </c>
    </row>
    <row r="48">
      <c r="A48" s="3" t="inlineStr"/>
    </row>
    <row r="49">
      <c r="A49" s="3" t="inlineStr">
        <is>
          <t>Discount convention, stated. The five explicit years are discounted at the explicit-window cost of</t>
        </is>
      </c>
    </row>
    <row r="50">
      <c r="A50" s="3" t="inlineStr">
        <is>
          <t>capital at full-year END-of-period factors; the terminal value, dated at the end of year five, is</t>
        </is>
      </c>
    </row>
    <row r="51">
      <c r="A51" s="3" t="inlineStr">
        <is>
          <t>discounted at the year-five factor and uses terminal weights re-based toward equity. The bridge is dated</t>
        </is>
      </c>
    </row>
    <row r="52">
      <c r="A52" s="3" t="inlineStr">
        <is>
          <t>31-Dec-2025 and rolled to the 18-Aug-2026 anchor at the cost of equity, net of the SAR 1.70 dividend</t>
        </is>
      </c>
    </row>
    <row r="53">
      <c r="A53" s="3" t="inlineStr">
        <is>
          <t>whose ex-date (07-May-2026) falls inside that window.</t>
        </is>
      </c>
    </row>
    <row r="54">
      <c r="A54" s="3" t="inlineStr"/>
    </row>
    <row r="55">
      <c r="A55" s="3" t="inlineStr">
        <is>
          <t>Sourcing note, up front. FY2023, FY2024 and FY2025 come from the company's own audited consolidated</t>
        </is>
      </c>
    </row>
    <row r="56">
      <c r="A56" s="3" t="inlineStr">
        <is>
          <t>financial statements read from savola.com/investors; Q1-2026 from the reviewed interim statements; the</t>
        </is>
      </c>
    </row>
    <row r="57">
      <c r="A57" s="3" t="inlineStr">
        <is>
          <t>H1-2026 actuals from the company's own earnings release and investor presentation (06-Aug-2026). Every</t>
        </is>
      </c>
    </row>
    <row r="58">
      <c r="A58" s="3" t="inlineStr">
        <is>
          <t>input is listed with source and date in the companion bibliography document.</t>
        </is>
      </c>
    </row>
    <row r="59">
      <c r="A59" s="3" t="inlineStr"/>
    </row>
    <row r="60">
      <c r="A60" s="3" t="inlineStr">
        <is>
          <t>Currency. SAR million unless stated. Spot SAR 25.30 (18-Aug-2026 close). Sheets: READ FIRST ·</t>
        </is>
      </c>
    </row>
    <row r="61">
      <c r="A61" s="3" t="inlineStr">
        <is>
          <t>Summary · Fundamental Valuation · Assumptions · SOTP Bridge · Segments · Relative &amp; Normalized · DCF ·</t>
        </is>
      </c>
    </row>
    <row r="62">
      <c r="A62" s="3" t="inlineStr">
        <is>
          <t>Income Statement · Balance Sheet · Cash Flow · Summary Financials · Monte Carlo · Sensitivity ·</t>
        </is>
      </c>
    </row>
    <row r="63">
      <c r="A63" s="3" t="inlineStr">
        <is>
          <t>Per-Share &amp; Ratios · Peer &amp; Sector.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Summary — valuation at a glance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(Framing A)</t>
        </is>
      </c>
      <c r="B5" s="7" t="n">
        <v>15.01526430610723</v>
      </c>
      <c r="C5" s="8">
        <f>DCF!C57</f>
        <v/>
      </c>
      <c r="D5" s="7" t="n">
        <v>32.28957434051753</v>
      </c>
      <c r="E5" s="9">
        <f>Assumptions!$C$136</f>
        <v/>
      </c>
      <c r="F5" s="10">
        <f>C5*E5</f>
        <v/>
      </c>
      <c r="G5" s="11">
        <f>C5/$C$14-1</f>
        <v/>
      </c>
    </row>
    <row r="6">
      <c r="A6" s="6" t="inlineStr">
        <is>
          <t>Relative multiples</t>
        </is>
      </c>
      <c r="B6" s="8">
        <f>'Relative &amp; Normalized'!C13</f>
        <v/>
      </c>
      <c r="C6" s="8">
        <f>'Relative &amp; Normalized'!C12</f>
        <v/>
      </c>
      <c r="D6" s="8">
        <f>'Relative &amp; Normalized'!D13</f>
        <v/>
      </c>
      <c r="E6" s="9">
        <f>Assumptions!$C$137</f>
        <v/>
      </c>
      <c r="F6" s="10">
        <f>C6*E6</f>
        <v/>
      </c>
      <c r="G6" s="11">
        <f>C6/$C$14-1</f>
        <v/>
      </c>
    </row>
    <row r="7">
      <c r="A7" s="6" t="inlineStr">
        <is>
          <t>Normalised earnings power</t>
        </is>
      </c>
      <c r="B7" s="8">
        <f>'Relative &amp; Normalized'!E20</f>
        <v/>
      </c>
      <c r="C7" s="8">
        <f>'Relative &amp; Normalized'!C20</f>
        <v/>
      </c>
      <c r="D7" s="8">
        <f>'Relative &amp; Normalized'!F20</f>
        <v/>
      </c>
      <c r="E7" s="9">
        <f>Assumptions!$C$138</f>
        <v/>
      </c>
      <c r="F7" s="10">
        <f>C7*E7</f>
        <v/>
      </c>
      <c r="G7" s="11">
        <f>C7/$C$14-1</f>
        <v/>
      </c>
    </row>
    <row r="8">
      <c r="A8" s="6" t="inlineStr">
        <is>
          <t>Book value and sustainable return</t>
        </is>
      </c>
      <c r="B8" s="8">
        <f>'Relative &amp; Normalized'!E26</f>
        <v/>
      </c>
      <c r="C8" s="8">
        <f>'Relative &amp; Normalized'!C26</f>
        <v/>
      </c>
      <c r="D8" s="8">
        <f>'Relative &amp; Normalized'!F26</f>
        <v/>
      </c>
      <c r="E8" s="9">
        <f>Assumptions!$C$139</f>
        <v/>
      </c>
      <c r="F8" s="10">
        <f>C8*E8</f>
        <v/>
      </c>
      <c r="G8" s="11">
        <f>C8/$C$14-1</f>
        <v/>
      </c>
    </row>
    <row r="9">
      <c r="A9" s="12" t="inlineStr">
        <is>
          <t>Weighted central</t>
        </is>
      </c>
      <c r="B9" s="13">
        <f>B5*E5+B6*E6+B7*E7+B8*E8</f>
        <v/>
      </c>
      <c r="C9" s="13">
        <f>SUM(F5:F8)</f>
        <v/>
      </c>
      <c r="D9" s="13">
        <f>D5*E5+D6*E6+D7*E7+D8*E8</f>
        <v/>
      </c>
      <c r="E9" s="14">
        <f>SUM(E5:E8)</f>
        <v/>
      </c>
      <c r="F9" s="15" t="n"/>
      <c r="G9" s="14">
        <f>C9/$C$14-1</f>
        <v/>
      </c>
    </row>
    <row r="10">
      <c r="A10" s="6" t="inlineStr">
        <is>
          <t>Span across lenses (min/max — NOT weighted)</t>
        </is>
      </c>
      <c r="B10" s="10">
        <f>MIN(B5:B8)</f>
        <v/>
      </c>
      <c r="D10" s="10">
        <f>MAX(D5:D8)</f>
        <v/>
      </c>
    </row>
    <row r="11">
      <c r="A11" s="6" t="inlineStr">
        <is>
          <t>Contested judgement, other way — Framing B (density persists)</t>
        </is>
      </c>
      <c r="C11" s="7" t="n">
        <v>22.10128041025068</v>
      </c>
      <c r="G11" s="11">
        <f>C11/$C$14-1</f>
        <v/>
      </c>
    </row>
    <row r="12">
      <c r="A12" s="6" t="inlineStr">
        <is>
          <t>Terminal value share of DCF enterprise value</t>
        </is>
      </c>
      <c r="C12" s="9">
        <f>DCF!C28</f>
        <v/>
      </c>
    </row>
    <row r="13">
      <c r="A13" s="6" t="inlineStr">
        <is>
          <t>Expert panel median</t>
        </is>
      </c>
      <c r="C13" s="8">
        <f>'Fundamental Valuation'!C25</f>
        <v/>
      </c>
      <c r="G13" s="11">
        <f>C13/$C$14-1</f>
        <v/>
      </c>
    </row>
    <row r="14">
      <c r="A14" s="12" t="inlineStr">
        <is>
          <t>Market price (18-Aug-2026 anchor)</t>
        </is>
      </c>
      <c r="B14" s="15" t="n"/>
      <c r="C14" s="13">
        <f>Assumptions!$C$5</f>
        <v/>
      </c>
      <c r="D14" s="15" t="n"/>
      <c r="E14" s="15" t="n"/>
      <c r="F14" s="15" t="n"/>
      <c r="G14" s="15" t="n"/>
    </row>
    <row r="16">
      <c r="A16" s="5" t="inlineStr">
        <is>
          <t>Key figure</t>
        </is>
      </c>
      <c r="B16" s="5" t="inlineStr"/>
      <c r="C16" s="5" t="inlineStr">
        <is>
          <t>Value</t>
        </is>
      </c>
    </row>
    <row r="17">
      <c r="A17" s="6" t="inlineStr">
        <is>
          <t>Shares issued (mn)</t>
        </is>
      </c>
      <c r="C17" s="16">
        <f>Assumptions!$C$6</f>
        <v/>
      </c>
    </row>
    <row r="18">
      <c r="A18" s="6" t="inlineStr">
        <is>
          <t>Market capitalisation (SAR mn)</t>
        </is>
      </c>
      <c r="C18" s="16">
        <f>$C$14*Assumptions!$C$6</f>
        <v/>
      </c>
    </row>
    <row r="19">
      <c r="A19" s="6" t="inlineStr">
        <is>
          <t>FY2025 revenue (SAR mn, audited)</t>
        </is>
      </c>
      <c r="C19" s="16">
        <f>'Income Statement'!D5</f>
        <v/>
      </c>
    </row>
    <row r="20">
      <c r="A20" s="6" t="inlineStr">
        <is>
          <t>FY2025 operating EBITDA (SAR mn)</t>
        </is>
      </c>
      <c r="C20" s="16">
        <f>'Income Statement'!D9</f>
        <v/>
      </c>
    </row>
    <row r="21">
      <c r="A21" s="6" t="inlineStr">
        <is>
          <t>FY2026E revenue (SAR mn)</t>
        </is>
      </c>
      <c r="C21" s="16">
        <f>'Income Statement'!E5</f>
        <v/>
      </c>
    </row>
    <row r="22">
      <c r="A22" s="6" t="inlineStr">
        <is>
          <t>FY2026E EPS (SAR)</t>
        </is>
      </c>
      <c r="C22" s="8">
        <f>'Income Statement'!E17</f>
        <v/>
      </c>
    </row>
    <row r="23">
      <c r="A23" s="6" t="inlineStr">
        <is>
          <t>Cost of capital — explicit window</t>
        </is>
      </c>
      <c r="C23" s="17">
        <f>DCF!C45</f>
        <v/>
      </c>
    </row>
    <row r="24">
      <c r="A24" s="6" t="inlineStr">
        <is>
          <t>Cost of capital — terminal</t>
        </is>
      </c>
      <c r="C24" s="17">
        <f>DCF!C51</f>
        <v/>
      </c>
    </row>
    <row r="25">
      <c r="A25" s="6" t="inlineStr">
        <is>
          <t>Terminal growth</t>
        </is>
      </c>
      <c r="C25" s="9">
        <f>Assumptions!$C$102</f>
        <v/>
      </c>
    </row>
    <row r="26">
      <c r="A26" s="6" t="inlineStr">
        <is>
          <t>Net debt, 30-Jun-2026 (company definition, SAR mn)</t>
        </is>
      </c>
      <c r="C26" s="18" t="n">
        <v>851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Fundamental valuation — four lenses, the contested judgement, the panel</t>
        </is>
      </c>
      <c r="B1" s="2" t="n"/>
      <c r="C1" s="2" t="n"/>
      <c r="D1" s="2" t="n"/>
      <c r="E1" s="2" t="n"/>
      <c r="F1" s="2" t="n"/>
    </row>
    <row r="4">
      <c r="A4" s="5" t="inlineStr">
        <is>
          <t>Lens / step</t>
        </is>
      </c>
      <c r="B4" s="5" t="inlineStr">
        <is>
          <t>Basis</t>
        </is>
      </c>
      <c r="C4" s="5" t="inlineStr">
        <is>
          <t>SAR per share</t>
        </is>
      </c>
    </row>
    <row r="5">
      <c r="A5" s="6" t="inlineStr">
        <is>
          <t>Discounted cash flow (Framing A)</t>
        </is>
      </c>
      <c r="B5" s="6" t="inlineStr">
        <is>
          <t>five-year FCFF + ROIC-consistent terminal</t>
        </is>
      </c>
      <c r="C5" s="8">
        <f>DCF!C57</f>
        <v/>
      </c>
    </row>
    <row r="6">
      <c r="A6" s="6" t="inlineStr">
        <is>
          <t xml:space="preserve">  bear</t>
        </is>
      </c>
      <c r="B6" s="6" t="inlineStr">
        <is>
          <t>Framing B density + GP/tonne cuts + half volume growth</t>
        </is>
      </c>
      <c r="C6" s="7" t="n">
        <v>15.01526430610723</v>
      </c>
    </row>
    <row r="7">
      <c r="A7" s="6" t="inlineStr">
        <is>
          <t xml:space="preserve">  bull</t>
        </is>
      </c>
      <c r="B7" s="6" t="inlineStr">
        <is>
          <t>volume beats + GP/tonne gains + Panda margin lift</t>
        </is>
      </c>
      <c r="C7" s="7" t="n">
        <v>32.28957434051753</v>
      </c>
    </row>
    <row r="8">
      <c r="A8" s="6" t="inlineStr">
        <is>
          <t>Relative multiples</t>
        </is>
      </c>
      <c r="B8" s="6" t="inlineStr">
        <is>
          <t>peer-mix P/E, conglomerate discount applied</t>
        </is>
      </c>
      <c r="C8" s="8">
        <f>'Relative &amp; Normalized'!C12</f>
        <v/>
      </c>
    </row>
    <row r="9">
      <c r="A9" s="6" t="inlineStr">
        <is>
          <t>Normalised earnings power</t>
        </is>
      </c>
      <c r="B9" s="6" t="inlineStr">
        <is>
          <t>mid-cycle margin on FY2027E revenue</t>
        </is>
      </c>
      <c r="C9" s="8">
        <f>'Relative &amp; Normalized'!C20</f>
        <v/>
      </c>
    </row>
    <row r="10">
      <c r="A10" s="6" t="inlineStr">
        <is>
          <t>Book value and sustainable return</t>
        </is>
      </c>
      <c r="B10" s="6" t="inlineStr">
        <is>
          <t>justified P/B on sustainable ROE</t>
        </is>
      </c>
      <c r="C10" s="8">
        <f>'Relative &amp; Normalized'!C26</f>
        <v/>
      </c>
    </row>
    <row r="12">
      <c r="A12" s="12" t="inlineStr">
        <is>
          <t>Weighted central</t>
        </is>
      </c>
      <c r="B12" s="15" t="n"/>
      <c r="C12" s="19">
        <f>Summary!C9</f>
        <v/>
      </c>
    </row>
    <row r="14">
      <c r="A14" s="20" t="inlineStr">
        <is>
          <t>THE CONTESTED JUDGEMENT — PANDA'S EXPANSION, BOTH WAYS</t>
        </is>
      </c>
    </row>
    <row r="15">
      <c r="A15" s="6" t="inlineStr">
        <is>
          <t>Framing A: density stabilises as CXR and e-commerce mature</t>
        </is>
      </c>
      <c r="C15" s="8">
        <f>DCF!C57</f>
        <v/>
      </c>
    </row>
    <row r="16">
      <c r="A16" s="6" t="inlineStr">
        <is>
          <t>Framing B: the measured H1-2026 density erosion persists (engine re-run)</t>
        </is>
      </c>
      <c r="C16" s="7" t="n">
        <v>22.10128041025068</v>
      </c>
    </row>
    <row r="17">
      <c r="A17" s="6" t="inlineStr">
        <is>
          <t>The judgement is worth (Framing A less Framing B, per share)</t>
        </is>
      </c>
      <c r="C17" s="10">
        <f>C15-C16</f>
        <v/>
      </c>
    </row>
    <row r="18">
      <c r="A18" s="6" t="inlineStr">
        <is>
          <t>CDS-basis fair value (same model, CDS sovereign basis; engine re-run)</t>
        </is>
      </c>
      <c r="C18" s="7" t="n">
        <v>24.7610128714334</v>
      </c>
    </row>
    <row r="20">
      <c r="A20" s="20" t="inlineStr">
        <is>
          <t>EXPERT PANEL</t>
        </is>
      </c>
    </row>
    <row r="21">
      <c r="A21" s="5" t="inlineStr">
        <is>
          <t>Expert</t>
        </is>
      </c>
      <c r="B21" s="5" t="inlineStr">
        <is>
          <t>Method</t>
        </is>
      </c>
      <c r="C21" s="5" t="inlineStr">
        <is>
          <t>Base (SAR/share)</t>
        </is>
      </c>
      <c r="D21" s="5" t="inlineStr">
        <is>
          <t>Low</t>
        </is>
      </c>
      <c r="E21" s="5" t="inlineStr">
        <is>
          <t>High</t>
        </is>
      </c>
    </row>
    <row r="22">
      <c r="A22" s="6" t="inlineStr">
        <is>
          <t>Expert 1</t>
        </is>
      </c>
      <c r="B22" s="6" t="inlineStr">
        <is>
          <t>segment sum-of-the-parts</t>
        </is>
      </c>
      <c r="C22" s="7" t="n">
        <v>34.78902748197139</v>
      </c>
      <c r="D22" s="7" t="n">
        <v>28.55596199883811</v>
      </c>
      <c r="E22" s="7" t="n">
        <v>41.02209296510468</v>
      </c>
    </row>
    <row r="23">
      <c r="A23" s="6" t="inlineStr">
        <is>
          <t>Expert 2</t>
        </is>
      </c>
      <c r="B23" s="6" t="inlineStr">
        <is>
          <t>two-stage dividend model</t>
        </is>
      </c>
      <c r="C23" s="7" t="n">
        <v>18.22381274919042</v>
      </c>
      <c r="D23" s="7" t="n">
        <v>16.41255704471856</v>
      </c>
      <c r="E23" s="7" t="n">
        <v>21.13671320774053</v>
      </c>
    </row>
    <row r="24">
      <c r="A24" s="6" t="inlineStr">
        <is>
          <t>Expert 3</t>
        </is>
      </c>
      <c r="B24" s="6" t="inlineStr">
        <is>
          <t>residual income / economic profit</t>
        </is>
      </c>
      <c r="C24" s="7" t="n">
        <v>19.82404455037637</v>
      </c>
      <c r="D24" s="7" t="n">
        <v>19.93862096990314</v>
      </c>
      <c r="E24" s="7" t="n">
        <v>23.14228110429472</v>
      </c>
    </row>
    <row r="25">
      <c r="A25" s="12" t="inlineStr">
        <is>
          <t>Panel median</t>
        </is>
      </c>
      <c r="B25" s="15" t="n"/>
      <c r="C25" s="13">
        <f>MEDIAN(C22:C24)</f>
        <v/>
      </c>
      <c r="D25" s="15" t="n"/>
      <c r="E25" s="15" t="n"/>
    </row>
    <row r="27">
      <c r="A27" s="6" t="inlineStr">
        <is>
          <t>The risk-free construction, priced both ways</t>
        </is>
      </c>
    </row>
    <row r="28" ht="40" customHeight="1">
      <c r="A28" s="21" t="inlineStr">
        <is>
          <t>No direct 10-year SAR quote was accessible; the base uses UST10Y (4.68%, FRED) + the Jan-2026 sovereign issue spread (85bp). Discounting at −50bp / +50bp instead is an engine re-run worth the figures at right</t>
        </is>
      </c>
      <c r="C28" s="7" t="n">
        <v>28.8103064409648</v>
      </c>
      <c r="D28" s="7" t="n">
        <v>23.86068426921919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9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Assumptions — every input in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Blue cells are inputs. Change one and the model reprices: everything downstream is a formula.</t>
        </is>
      </c>
    </row>
    <row r="3">
      <c r="A3" s="5" t="inlineStr">
        <is>
          <t>Input</t>
        </is>
      </c>
      <c r="B3" s="5" t="inlineStr">
        <is>
          <t>2026E</t>
        </is>
      </c>
      <c r="C3" s="5" t="inlineStr">
        <is>
          <t>2027E</t>
        </is>
      </c>
      <c r="D3" s="5" t="inlineStr">
        <is>
          <t>2028E</t>
        </is>
      </c>
      <c r="E3" s="5" t="inlineStr">
        <is>
          <t>2029E</t>
        </is>
      </c>
      <c r="F3" s="5" t="inlineStr">
        <is>
          <t>2030E</t>
        </is>
      </c>
    </row>
    <row r="4">
      <c r="A4" s="12" t="inlineStr">
        <is>
          <t>Anchors</t>
        </is>
      </c>
      <c r="B4" s="15" t="n"/>
      <c r="C4" s="15" t="n"/>
      <c r="D4" s="15" t="n"/>
      <c r="E4" s="15" t="n"/>
      <c r="F4" s="15" t="n"/>
      <c r="G4" s="15" t="n"/>
      <c r="H4" s="15" t="n"/>
    </row>
    <row r="5">
      <c r="A5" s="6" t="inlineStr">
        <is>
          <t>Spot price (SAR, 18-Aug-2026 close)</t>
        </is>
      </c>
      <c r="C5" s="7" t="n">
        <v>25.3</v>
      </c>
    </row>
    <row r="6">
      <c r="A6" s="6" t="inlineStr">
        <is>
          <t>Shares issued (mn)</t>
        </is>
      </c>
      <c r="C6" s="18" t="n">
        <v>300</v>
      </c>
    </row>
    <row r="7">
      <c r="A7" s="6" t="inlineStr">
        <is>
          <t>Weighted-average shares outstanding (mn, net of treasury)</t>
        </is>
      </c>
      <c r="C7" s="22" t="n">
        <v>298.589</v>
      </c>
    </row>
    <row r="8">
      <c r="A8" s="6" t="inlineStr">
        <is>
          <t>Combined zakat + income tax rate on core profit</t>
        </is>
      </c>
      <c r="C8" s="23" t="n">
        <v>0.195</v>
      </c>
    </row>
    <row r="9">
      <c r="A9" s="6" t="inlineStr">
        <is>
          <t>Dividend payout (stated policy 50-60% of net profit; midpoint)</t>
        </is>
      </c>
      <c r="C9" s="23" t="n">
        <v>0.55</v>
      </c>
    </row>
    <row r="10">
      <c r="A10" s="6" t="inlineStr">
        <is>
          <t>Days from the 31-Dec-2025 valuation date to the 18-Aug-2026 anchor</t>
        </is>
      </c>
      <c r="C10" s="18" t="n">
        <v>230</v>
      </c>
    </row>
    <row r="11">
      <c r="A11" s="6" t="inlineStr">
        <is>
          <t>Dividend gone ex between valuation date and anchor (SAR/share)</t>
        </is>
      </c>
      <c r="C11" s="7" t="n">
        <v>1.7</v>
      </c>
    </row>
    <row r="13">
      <c r="A13" s="12" t="inlineStr">
        <is>
          <t>FY2025 disclosed bases (audited statements + company presentations)</t>
        </is>
      </c>
      <c r="B13" s="15" t="n"/>
      <c r="C13" s="15" t="n"/>
      <c r="D13" s="15" t="n"/>
      <c r="E13" s="15" t="n"/>
      <c r="F13" s="15" t="n"/>
      <c r="G13" s="15" t="n"/>
      <c r="H13" s="15" t="n"/>
    </row>
    <row r="14">
      <c r="A14" s="6" t="inlineStr">
        <is>
          <t>Group revenue FY2025</t>
        </is>
      </c>
      <c r="C14" s="18" t="n">
        <v>26081.053</v>
      </c>
    </row>
    <row r="15">
      <c r="A15" s="6" t="inlineStr">
        <is>
          <t>Group gross profit FY2025</t>
        </is>
      </c>
      <c r="C15" s="18" t="n">
        <v>5088.894</v>
      </c>
    </row>
    <row r="16">
      <c r="A16" s="6" t="inlineStr">
        <is>
          <t>Oil volume FY2025 (k MT)</t>
        </is>
      </c>
      <c r="C16" s="18" t="n">
        <v>1322</v>
      </c>
    </row>
    <row r="17">
      <c r="A17" s="6" t="inlineStr">
        <is>
          <t>Oil revenue FY2025</t>
        </is>
      </c>
      <c r="C17" s="18" t="n">
        <v>7098</v>
      </c>
    </row>
    <row r="18">
      <c r="A18" s="6" t="inlineStr">
        <is>
          <t>Sugar volume FY2025 (k MT)</t>
        </is>
      </c>
      <c r="C18" s="18" t="n">
        <v>2162</v>
      </c>
    </row>
    <row r="19">
      <c r="A19" s="6" t="inlineStr">
        <is>
          <t>Sugar revenue FY2025</t>
        </is>
      </c>
      <c r="C19" s="18" t="n">
        <v>4868</v>
      </c>
    </row>
    <row r="20">
      <c r="A20" s="6" t="inlineStr">
        <is>
          <t>Pasta volume FY2025 (k MT, derived from disclosed revenue/tonne pairs)</t>
        </is>
      </c>
      <c r="C20" s="18" t="n">
        <v>268</v>
      </c>
    </row>
    <row r="21">
      <c r="A21" s="6" t="inlineStr">
        <is>
          <t>Pasta revenue FY2025</t>
        </is>
      </c>
      <c r="C21" s="18" t="n">
        <v>545</v>
      </c>
    </row>
    <row r="22">
      <c r="A22" s="6" t="inlineStr">
        <is>
          <t>Nuts &amp; spices revenue FY2025 (residual to the audited segment)</t>
        </is>
      </c>
      <c r="C22" s="18" t="n">
        <v>768.8500000000004</v>
      </c>
    </row>
    <row r="23">
      <c r="A23" s="6" t="inlineStr">
        <is>
          <t>Panda (Retail) segment revenue FY2025</t>
        </is>
      </c>
      <c r="C23" s="18" t="n">
        <v>11327.912</v>
      </c>
    </row>
    <row r="24">
      <c r="A24" s="6" t="inlineStr">
        <is>
          <t>Food Services (Herfy) segment revenue FY2025</t>
        </is>
      </c>
      <c r="C24" s="18" t="n">
        <v>1082.562</v>
      </c>
    </row>
    <row r="25">
      <c r="A25" s="6" t="inlineStr">
        <is>
          <t>Frozen Food (Al Kabeer) segment revenue FY2025</t>
        </is>
      </c>
      <c r="C25" s="18" t="n">
        <v>804.997</v>
      </c>
    </row>
    <row r="26">
      <c r="A26" s="6" t="inlineStr">
        <is>
          <t>Investments segment revenue (held flat)</t>
        </is>
      </c>
      <c r="C26" s="22" t="n">
        <v>29</v>
      </c>
    </row>
    <row r="27">
      <c r="A27" s="6" t="inlineStr">
        <is>
          <t>Panda stores at Dec-2024</t>
        </is>
      </c>
      <c r="C27" s="18" t="n">
        <v>209</v>
      </c>
    </row>
    <row r="28">
      <c r="A28" s="6" t="inlineStr">
        <is>
          <t>Panda stores at Dec-2025</t>
        </is>
      </c>
      <c r="C28" s="18" t="n">
        <v>227</v>
      </c>
    </row>
    <row r="30">
      <c r="A30" s="12" t="inlineStr">
        <is>
          <t>Unit build — Food Processing (volume x price x GP/tonne; margins are outputs)</t>
        </is>
      </c>
      <c r="B30" s="15" t="n"/>
      <c r="C30" s="15" t="n"/>
      <c r="D30" s="15" t="n"/>
      <c r="E30" s="15" t="n"/>
      <c r="F30" s="15" t="n"/>
      <c r="G30" s="15" t="n"/>
      <c r="H30" s="15" t="n"/>
    </row>
    <row r="31">
      <c r="A31" s="6" t="inlineStr">
        <is>
          <t>Oil volume growth</t>
        </is>
      </c>
      <c r="B31" s="23" t="n">
        <v>0.125</v>
      </c>
      <c r="C31" s="23" t="n">
        <v>0.04</v>
      </c>
      <c r="D31" s="23" t="n">
        <v>0.03</v>
      </c>
      <c r="E31" s="23" t="n">
        <v>0.025</v>
      </c>
      <c r="F31" s="23" t="n">
        <v>0.02</v>
      </c>
    </row>
    <row r="32">
      <c r="A32" s="6" t="inlineStr">
        <is>
          <t>Oil revenue-per-tonne growth</t>
        </is>
      </c>
      <c r="B32" s="23" t="n">
        <v>0.005</v>
      </c>
      <c r="C32" s="23" t="n">
        <v>0.015</v>
      </c>
      <c r="D32" s="23" t="n">
        <v>0.015</v>
      </c>
      <c r="E32" s="23" t="n">
        <v>0.01</v>
      </c>
      <c r="F32" s="23" t="n">
        <v>0.01</v>
      </c>
    </row>
    <row r="33">
      <c r="A33" s="6" t="inlineStr">
        <is>
          <t>Oil gross profit per tonne (SAR/t)</t>
        </is>
      </c>
      <c r="B33" s="18" t="n">
        <v>740</v>
      </c>
      <c r="C33" s="18" t="n">
        <v>745</v>
      </c>
      <c r="D33" s="18" t="n">
        <v>745</v>
      </c>
      <c r="E33" s="18" t="n">
        <v>745</v>
      </c>
      <c r="F33" s="18" t="n">
        <v>745</v>
      </c>
    </row>
    <row r="34">
      <c r="A34" s="6" t="inlineStr">
        <is>
          <t>Sugar volume growth</t>
        </is>
      </c>
      <c r="B34" s="23" t="n">
        <v>0.055</v>
      </c>
      <c r="C34" s="23" t="n">
        <v>0.025</v>
      </c>
      <c r="D34" s="23" t="n">
        <v>0.02</v>
      </c>
      <c r="E34" s="23" t="n">
        <v>0.02</v>
      </c>
      <c r="F34" s="23" t="n">
        <v>0.015</v>
      </c>
    </row>
    <row r="35">
      <c r="A35" s="6" t="inlineStr">
        <is>
          <t>Sugar revenue-per-tonne growth</t>
        </is>
      </c>
      <c r="B35" s="23" t="n">
        <v>-0.075</v>
      </c>
      <c r="C35" s="23" t="n">
        <v>0.005</v>
      </c>
      <c r="D35" s="23" t="n">
        <v>0.005</v>
      </c>
      <c r="E35" s="23" t="n">
        <v>0.005</v>
      </c>
      <c r="F35" s="23" t="n">
        <v>0.005</v>
      </c>
    </row>
    <row r="36">
      <c r="A36" s="6" t="inlineStr">
        <is>
          <t>Sugar gross profit per tonne (SAR/t)</t>
        </is>
      </c>
      <c r="B36" s="18" t="n">
        <v>215</v>
      </c>
      <c r="C36" s="18" t="n">
        <v>212</v>
      </c>
      <c r="D36" s="18" t="n">
        <v>212</v>
      </c>
      <c r="E36" s="18" t="n">
        <v>212</v>
      </c>
      <c r="F36" s="18" t="n">
        <v>212</v>
      </c>
    </row>
    <row r="37">
      <c r="A37" s="6" t="inlineStr">
        <is>
          <t>Pasta volume growth</t>
        </is>
      </c>
      <c r="B37" s="23" t="n">
        <v>0.03</v>
      </c>
      <c r="C37" s="23" t="n">
        <v>0.03</v>
      </c>
      <c r="D37" s="23" t="n">
        <v>0.025</v>
      </c>
      <c r="E37" s="23" t="n">
        <v>0.02</v>
      </c>
      <c r="F37" s="23" t="n">
        <v>0.02</v>
      </c>
    </row>
    <row r="38">
      <c r="A38" s="6" t="inlineStr">
        <is>
          <t>Pasta revenue-per-tonne growth</t>
        </is>
      </c>
      <c r="B38" s="23" t="n">
        <v>0.02</v>
      </c>
      <c r="C38" s="23" t="n">
        <v>0.01</v>
      </c>
      <c r="D38" s="23" t="n">
        <v>0.01</v>
      </c>
      <c r="E38" s="23" t="n">
        <v>0.01</v>
      </c>
      <c r="F38" s="23" t="n">
        <v>0.01</v>
      </c>
    </row>
    <row r="39">
      <c r="A39" s="6" t="inlineStr">
        <is>
          <t>Pasta gross profit per tonne (SAR/t)</t>
        </is>
      </c>
      <c r="B39" s="18" t="n">
        <v>520</v>
      </c>
      <c r="C39" s="18" t="n">
        <v>520</v>
      </c>
      <c r="D39" s="18" t="n">
        <v>520</v>
      </c>
      <c r="E39" s="18" t="n">
        <v>520</v>
      </c>
      <c r="F39" s="18" t="n">
        <v>520</v>
      </c>
    </row>
    <row r="40">
      <c r="A40" s="6" t="inlineStr">
        <is>
          <t>Nuts &amp; spices revenue path (Mehbaj folded in, flagged)</t>
        </is>
      </c>
      <c r="B40" s="18" t="n">
        <v>730</v>
      </c>
      <c r="C40" s="18" t="n">
        <v>800</v>
      </c>
      <c r="D40" s="18" t="n">
        <v>848</v>
      </c>
      <c r="E40" s="18" t="n">
        <v>890</v>
      </c>
      <c r="F40" s="18" t="n">
        <v>926</v>
      </c>
    </row>
    <row r="41">
      <c r="A41" s="6" t="inlineStr">
        <is>
          <t>Nuts &amp; spices gross margin path</t>
        </is>
      </c>
      <c r="B41" s="23" t="n">
        <v>0.265</v>
      </c>
      <c r="C41" s="23" t="n">
        <v>0.27</v>
      </c>
      <c r="D41" s="23" t="n">
        <v>0.27</v>
      </c>
      <c r="E41" s="23" t="n">
        <v>0.27</v>
      </c>
      <c r="F41" s="23" t="n">
        <v>0.27</v>
      </c>
    </row>
    <row r="42">
      <c r="A42" s="6" t="inlineStr">
        <is>
          <t>Oil operating cost / revenue (measured FY2025)</t>
        </is>
      </c>
      <c r="C42" s="24" t="n">
        <v>0.0556</v>
      </c>
    </row>
    <row r="43">
      <c r="A43" s="6" t="inlineStr">
        <is>
          <t>Sugar operating cost / revenue (measured FY2025)</t>
        </is>
      </c>
      <c r="C43" s="24" t="n">
        <v>0.016</v>
      </c>
    </row>
    <row r="44">
      <c r="A44" s="6" t="inlineStr">
        <is>
          <t>Pasta operating cost / revenue (measured FY2025)</t>
        </is>
      </c>
      <c r="C44" s="24" t="n">
        <v>0.079</v>
      </c>
    </row>
    <row r="45">
      <c r="A45" s="6" t="inlineStr">
        <is>
          <t>Nuts operating cost / revenue (measured FY2025)</t>
        </is>
      </c>
      <c r="C45" s="24" t="n">
        <v>0.235</v>
      </c>
    </row>
    <row r="47">
      <c r="A47" s="12" t="inlineStr">
        <is>
          <t>Panda (Retail) build — stores x sales per store; margin is an output</t>
        </is>
      </c>
      <c r="B47" s="15" t="n"/>
      <c r="C47" s="15" t="n"/>
      <c r="D47" s="15" t="n"/>
      <c r="E47" s="15" t="n"/>
      <c r="F47" s="15" t="n"/>
      <c r="G47" s="15" t="n"/>
      <c r="H47" s="15" t="n"/>
    </row>
    <row r="48">
      <c r="A48" s="6" t="inlineStr">
        <is>
          <t>Store count, end of year (company guidance 20+/yr)</t>
        </is>
      </c>
      <c r="B48" s="18" t="n">
        <v>247</v>
      </c>
      <c r="C48" s="18" t="n">
        <v>267</v>
      </c>
      <c r="D48" s="18" t="n">
        <v>285</v>
      </c>
      <c r="E48" s="18" t="n">
        <v>300</v>
      </c>
      <c r="F48" s="18" t="n">
        <v>312</v>
      </c>
    </row>
    <row r="49">
      <c r="A49" s="6" t="inlineStr">
        <is>
          <t>Sales-per-average-store growth (Framing A: measured decline fades)</t>
        </is>
      </c>
      <c r="B49" s="23" t="n">
        <v>-0.06</v>
      </c>
      <c r="C49" s="23" t="n">
        <v>-0.03</v>
      </c>
      <c r="D49" s="23" t="n">
        <v>-0.01</v>
      </c>
      <c r="E49" s="23" t="n">
        <v>0</v>
      </c>
      <c r="F49" s="23" t="n">
        <v>0</v>
      </c>
    </row>
    <row r="50">
      <c r="A50" s="6" t="inlineStr">
        <is>
          <t>Panda gross margin (H1-2026 actual, held)</t>
        </is>
      </c>
      <c r="C50" s="23" t="n">
        <v>0.232</v>
      </c>
    </row>
    <row r="51">
      <c r="A51" s="6" t="inlineStr">
        <is>
          <t>Panda store-opex / revenue (measured H1-2026)</t>
        </is>
      </c>
      <c r="C51" s="23" t="n">
        <v>0.143</v>
      </c>
    </row>
    <row r="52">
      <c r="A52" s="6" t="inlineStr">
        <is>
          <t>Framing A scale gain on the opex ratio from FY2028 (per year)</t>
        </is>
      </c>
      <c r="C52" s="24" t="n">
        <v>0.001</v>
      </c>
    </row>
    <row r="54">
      <c r="A54" s="12" t="inlineStr">
        <is>
          <t>Food Services and Frozen Food</t>
        </is>
      </c>
      <c r="B54" s="15" t="n"/>
      <c r="C54" s="15" t="n"/>
      <c r="D54" s="15" t="n"/>
      <c r="E54" s="15" t="n"/>
      <c r="F54" s="15" t="n"/>
      <c r="G54" s="15" t="n"/>
      <c r="H54" s="15" t="n"/>
    </row>
    <row r="55">
      <c r="A55" s="6" t="inlineStr">
        <is>
          <t>Herfy revenue growth</t>
        </is>
      </c>
      <c r="B55" s="23" t="n">
        <v>-0.045</v>
      </c>
      <c r="C55" s="23" t="n">
        <v>0</v>
      </c>
      <c r="D55" s="23" t="n">
        <v>0.02</v>
      </c>
      <c r="E55" s="23" t="n">
        <v>0.02</v>
      </c>
      <c r="F55" s="23" t="n">
        <v>0.02</v>
      </c>
    </row>
    <row r="56">
      <c r="A56" s="6" t="inlineStr">
        <is>
          <t>Herfy EBITDA margin (H1-2026 actual, held)</t>
        </is>
      </c>
      <c r="C56" s="23" t="n">
        <v>0.185</v>
      </c>
    </row>
    <row r="57">
      <c r="A57" s="6" t="inlineStr">
        <is>
          <t>Al Kabeer revenue growth</t>
        </is>
      </c>
      <c r="B57" s="23" t="n">
        <v>0.01</v>
      </c>
      <c r="C57" s="23" t="n">
        <v>0.035</v>
      </c>
      <c r="D57" s="23" t="n">
        <v>0.035</v>
      </c>
      <c r="E57" s="23" t="n">
        <v>0.03</v>
      </c>
      <c r="F57" s="23" t="n">
        <v>0.03</v>
      </c>
    </row>
    <row r="58">
      <c r="A58" s="6" t="inlineStr">
        <is>
          <t>Al Kabeer EBITDA margin (H1-2026 actual, held)</t>
        </is>
      </c>
      <c r="C58" s="23" t="n">
        <v>0.137</v>
      </c>
    </row>
    <row r="60">
      <c r="A60" s="12" t="inlineStr">
        <is>
          <t>Group items</t>
        </is>
      </c>
      <c r="B60" s="15" t="n"/>
      <c r="C60" s="15" t="n"/>
      <c r="D60" s="15" t="n"/>
      <c r="E60" s="15" t="n"/>
      <c r="F60" s="15" t="n"/>
      <c r="G60" s="15" t="n"/>
      <c r="H60" s="15" t="n"/>
    </row>
    <row r="61">
      <c r="A61" s="6" t="inlineStr">
        <is>
          <t>Eliminations / Food-Processing segment revenue (measured FY2025)</t>
        </is>
      </c>
      <c r="C61" s="24" t="n">
        <v>-0.0334</v>
      </c>
    </row>
    <row r="62">
      <c r="A62" s="6" t="inlineStr">
        <is>
          <t>Unallocated corporate costs (SAR mn)</t>
        </is>
      </c>
      <c r="B62" s="18" t="n">
        <v>130</v>
      </c>
      <c r="C62" s="18" t="n">
        <v>133</v>
      </c>
      <c r="D62" s="18" t="n">
        <v>136</v>
      </c>
      <c r="E62" s="18" t="n">
        <v>139</v>
      </c>
      <c r="F62" s="18" t="n">
        <v>142</v>
      </c>
    </row>
    <row r="64">
      <c r="A64" s="12" t="inlineStr">
        <is>
          <t>Capital intensity, D&amp;A and leases</t>
        </is>
      </c>
      <c r="B64" s="15" t="n"/>
      <c r="C64" s="15" t="n"/>
      <c r="D64" s="15" t="n"/>
      <c r="E64" s="15" t="n"/>
      <c r="F64" s="15" t="n"/>
      <c r="G64" s="15" t="n"/>
      <c r="H64" s="15" t="n"/>
    </row>
    <row r="65">
      <c r="A65" s="6" t="inlineStr">
        <is>
          <t>Capital expenditure (SAR mn, incl. intangibles)</t>
        </is>
      </c>
      <c r="B65" s="18" t="n">
        <v>810</v>
      </c>
      <c r="C65" s="18" t="n">
        <v>900</v>
      </c>
      <c r="D65" s="18" t="n">
        <v>880</v>
      </c>
      <c r="E65" s="18" t="n">
        <v>860</v>
      </c>
      <c r="F65" s="18" t="n">
        <v>850</v>
      </c>
    </row>
    <row r="66">
      <c r="A66" s="6" t="inlineStr">
        <is>
          <t>Owned-PP&amp;E depreciation rate on opening balance (measured FY2025)</t>
        </is>
      </c>
      <c r="C66" s="24" t="n">
        <v>0.112</v>
      </c>
    </row>
    <row r="67">
      <c r="A67" s="6" t="inlineStr">
        <is>
          <t>Intangibles amortisation = intangible capex (book held flat)</t>
        </is>
      </c>
      <c r="C67" s="18" t="n">
        <v>50</v>
      </c>
    </row>
    <row r="68">
      <c r="A68" s="6" t="inlineStr">
        <is>
          <t>Right-of-use depreciation FY2025 (audited components)</t>
        </is>
      </c>
      <c r="C68" s="22" t="n">
        <v>532.153</v>
      </c>
    </row>
    <row r="69">
      <c r="A69" s="6" t="inlineStr">
        <is>
          <t>Right-of-use / lease growth (store-driven)</t>
        </is>
      </c>
      <c r="B69" s="23" t="n">
        <v>0.05</v>
      </c>
      <c r="C69" s="23" t="n">
        <v>0.045</v>
      </c>
      <c r="D69" s="23" t="n">
        <v>0.04</v>
      </c>
      <c r="E69" s="23" t="n">
        <v>0.035</v>
      </c>
      <c r="F69" s="23" t="n">
        <v>0.03</v>
      </c>
    </row>
    <row r="70">
      <c r="A70" s="6" t="inlineStr">
        <is>
          <t>Lease effective interest rate (measured FY2025)</t>
        </is>
      </c>
      <c r="C70" s="24" t="n">
        <v>0.0586</v>
      </c>
    </row>
    <row r="72">
      <c r="A72" s="12" t="inlineStr">
        <is>
          <t>Working capital — component days measured FY2025</t>
        </is>
      </c>
      <c r="B72" s="15" t="n"/>
      <c r="C72" s="15" t="n"/>
      <c r="D72" s="15" t="n"/>
      <c r="E72" s="15" t="n"/>
      <c r="F72" s="15" t="n"/>
      <c r="G72" s="15" t="n"/>
      <c r="H72" s="15" t="n"/>
    </row>
    <row r="73">
      <c r="A73" s="6" t="inlineStr">
        <is>
          <t>Days inventory outstanding</t>
        </is>
      </c>
      <c r="C73" s="22" t="n">
        <v>81.40000000000001</v>
      </c>
    </row>
    <row r="74">
      <c r="A74" s="6" t="inlineStr">
        <is>
          <t>Days sales outstanding</t>
        </is>
      </c>
      <c r="C74" s="22" t="n">
        <v>26</v>
      </c>
    </row>
    <row r="75">
      <c r="A75" s="6" t="inlineStr">
        <is>
          <t>Days payable outstanding</t>
        </is>
      </c>
      <c r="C75" s="22" t="n">
        <v>68.09999999999999</v>
      </c>
    </row>
    <row r="76">
      <c r="A76" s="6" t="inlineStr">
        <is>
          <t>Prepayments &amp; other receivables / revenue</t>
        </is>
      </c>
      <c r="C76" s="24" t="n">
        <v>0.0516</v>
      </c>
    </row>
    <row r="77">
      <c r="A77" s="6" t="inlineStr">
        <is>
          <t>Accrued &amp; other liabilities / revenue</t>
        </is>
      </c>
      <c r="C77" s="24" t="n">
        <v>0.1085</v>
      </c>
    </row>
    <row r="78">
      <c r="A78" s="6" t="inlineStr">
        <is>
          <t>Contract liabilities / revenue</t>
        </is>
      </c>
      <c r="C78" s="24" t="n">
        <v>0.0058</v>
      </c>
    </row>
    <row r="80">
      <c r="A80" s="12" t="inlineStr">
        <is>
          <t>Profit walk</t>
        </is>
      </c>
      <c r="B80" s="15" t="n"/>
      <c r="C80" s="15" t="n"/>
      <c r="D80" s="15" t="n"/>
      <c r="E80" s="15" t="n"/>
      <c r="F80" s="15" t="n"/>
      <c r="G80" s="15" t="n"/>
      <c r="H80" s="15" t="n"/>
    </row>
    <row r="81">
      <c r="A81" s="6" t="inlineStr">
        <is>
          <t>Non-controlling interests' share of core profit (measured FY2025)</t>
        </is>
      </c>
      <c r="C81" s="23" t="n">
        <v>0.07000000000000001</v>
      </c>
    </row>
    <row r="82">
      <c r="A82" s="6" t="inlineStr">
        <is>
          <t>Kinan share of results, H1-2026 actual (SAR mn)</t>
        </is>
      </c>
      <c r="C82" s="22" t="n">
        <v>34</v>
      </c>
    </row>
    <row r="83">
      <c r="A83" s="6" t="inlineStr">
        <is>
          <t>Kinan contribution growth</t>
        </is>
      </c>
      <c r="C83" s="23" t="n">
        <v>0.03</v>
      </c>
    </row>
    <row r="84">
      <c r="A84" s="6" t="inlineStr">
        <is>
          <t>Kinan cash dividend received FY2025 (grows with Kinan)</t>
        </is>
      </c>
      <c r="C84" s="22" t="n">
        <v>25.116</v>
      </c>
    </row>
    <row r="85">
      <c r="A85" s="6" t="inlineStr">
        <is>
          <t>Yield on surplus cash (observed 1Y SAR sovereign)</t>
        </is>
      </c>
      <c r="C85" s="24" t="n">
        <v>0.047</v>
      </c>
    </row>
    <row r="87">
      <c r="A87" s="12" t="inlineStr">
        <is>
          <t>Cost of capital — v2 method, rating basis primary</t>
        </is>
      </c>
      <c r="B87" s="15" t="n"/>
      <c r="C87" s="15" t="n"/>
      <c r="D87" s="15" t="n"/>
      <c r="E87" s="15" t="n"/>
      <c r="F87" s="15" t="n"/>
      <c r="G87" s="15" t="n"/>
      <c r="H87" s="15" t="n"/>
    </row>
    <row r="88">
      <c r="A88" s="6" t="inlineStr">
        <is>
          <t>Risk-free rate, 10Y SAR construction (UST10Y + Jan-2026 sovereign spread)</t>
        </is>
      </c>
      <c r="C88" s="24" t="n">
        <v>0.0553</v>
      </c>
    </row>
    <row r="89">
      <c r="A89" s="6" t="inlineStr">
        <is>
          <t>Saudi sovereign default spread (rating basis, netted out of rf)</t>
        </is>
      </c>
      <c r="C89" s="24" t="n">
        <v>0.0051</v>
      </c>
    </row>
    <row r="90">
      <c r="A90" s="6" t="inlineStr">
        <is>
          <t>Equity risk premium (Saudi total, rating basis)</t>
        </is>
      </c>
      <c r="C90" s="24" t="n">
        <v>0.0501</v>
      </c>
    </row>
    <row r="91">
      <c r="A91" s="6" t="inlineStr">
        <is>
          <t>Saudi sovereign CDS spread (CDS basis)</t>
        </is>
      </c>
      <c r="C91" s="24" t="n">
        <v>0.0098</v>
      </c>
    </row>
    <row r="92">
      <c r="A92" s="6" t="inlineStr">
        <is>
          <t>Equity risk premium (CDS basis)</t>
        </is>
      </c>
      <c r="C92" s="24" t="n">
        <v>0.0572</v>
      </c>
    </row>
    <row r="93">
      <c r="A93" s="6" t="inlineStr">
        <is>
          <t>Beta (SAVOLA weekly vs TASI, 5y, Dimson)</t>
        </is>
      </c>
      <c r="C93" s="25" t="n">
        <v>1.087</v>
      </c>
    </row>
    <row r="94">
      <c r="A94" s="6" t="inlineStr">
        <is>
          <t>Marginal SAR cost of debt (SAIBOR + murabaha spread)</t>
        </is>
      </c>
      <c r="C94" s="24" t="n">
        <v>0.0574</v>
      </c>
    </row>
    <row r="95">
      <c r="A95" s="6" t="inlineStr">
        <is>
          <t>EGP tranche cost, SAR-equivalent (parity construction)</t>
        </is>
      </c>
      <c r="C95" s="24" t="n">
        <v>0.065</v>
      </c>
    </row>
    <row r="96">
      <c r="A96" s="6" t="inlineStr">
        <is>
          <t>Other tranches (AED/DZD) cost</t>
        </is>
      </c>
      <c r="C96" s="24" t="n">
        <v>0.055</v>
      </c>
    </row>
    <row r="97">
      <c r="A97" s="6" t="inlineStr">
        <is>
          <t>Loans — Saudi Arabia (audited geography)</t>
        </is>
      </c>
      <c r="C97" s="18" t="n">
        <v>1256.382</v>
      </c>
    </row>
    <row r="98">
      <c r="A98" s="6" t="inlineStr">
        <is>
          <t>Loans — Egypt</t>
        </is>
      </c>
      <c r="C98" s="18" t="n">
        <v>417.192</v>
      </c>
    </row>
    <row r="99">
      <c r="A99" s="6" t="inlineStr">
        <is>
          <t>Loans — Algeria + UAE</t>
        </is>
      </c>
      <c r="C99" s="18" t="n">
        <v>220.35</v>
      </c>
    </row>
    <row r="100">
      <c r="A100" s="6" t="inlineStr">
        <is>
          <t>Terminal equity weight</t>
        </is>
      </c>
      <c r="C100" s="23" t="n">
        <v>0.65</v>
      </c>
    </row>
    <row r="101">
      <c r="A101" s="6" t="inlineStr">
        <is>
          <t>Terminal loans weight</t>
        </is>
      </c>
      <c r="C101" s="23" t="n">
        <v>0.08</v>
      </c>
    </row>
    <row r="102">
      <c r="A102" s="6" t="inlineStr">
        <is>
          <t>Terminal growth</t>
        </is>
      </c>
      <c r="C102" s="23" t="n">
        <v>0.025</v>
      </c>
    </row>
    <row r="103">
      <c r="A103" s="6" t="inlineStr">
        <is>
          <t>Terminal return on invested capital</t>
        </is>
      </c>
      <c r="C103" s="23" t="n">
        <v>0.105</v>
      </c>
    </row>
    <row r="105">
      <c r="A105" s="12" t="inlineStr">
        <is>
          <t>Bridge anchors (audited 31-Dec-2025)</t>
        </is>
      </c>
      <c r="B105" s="15" t="n"/>
      <c r="C105" s="15" t="n"/>
      <c r="D105" s="15" t="n"/>
      <c r="E105" s="15" t="n"/>
      <c r="F105" s="15" t="n"/>
      <c r="G105" s="15" t="n"/>
      <c r="H105" s="15" t="n"/>
    </row>
    <row r="106">
      <c r="A106" s="6" t="inlineStr">
        <is>
          <t>Cash and cash equivalents</t>
        </is>
      </c>
      <c r="C106" s="18" t="n">
        <v>904.1369999999999</v>
      </c>
    </row>
    <row r="107">
      <c r="A107" s="6" t="inlineStr">
        <is>
          <t>Loans and borrowings (all current)</t>
        </is>
      </c>
      <c r="C107" s="18" t="n">
        <v>1893.924</v>
      </c>
    </row>
    <row r="108">
      <c r="A108" s="6" t="inlineStr">
        <is>
          <t>Lease liabilities</t>
        </is>
      </c>
      <c r="C108" s="18" t="n">
        <v>3952.231</v>
      </c>
    </row>
    <row r="109">
      <c r="A109" s="6" t="inlineStr">
        <is>
          <t>Employee benefits liabilities</t>
        </is>
      </c>
      <c r="C109" s="18" t="n">
        <v>748.401</v>
      </c>
    </row>
    <row r="110">
      <c r="A110" s="6" t="inlineStr">
        <is>
          <t>Provision against asset restoration</t>
        </is>
      </c>
      <c r="C110" s="18" t="n">
        <v>164.946</v>
      </c>
    </row>
    <row r="111">
      <c r="A111" s="6" t="inlineStr">
        <is>
          <t>Other net liabilities (tax/zakat accruals + DTL − DTA − other assets)</t>
        </is>
      </c>
      <c r="C111" s="22" t="n">
        <v>332.716</v>
      </c>
    </row>
    <row r="112">
      <c r="A112" s="6" t="inlineStr">
        <is>
          <t>Non-current investments (MOF sukuk + Almarai FVOCI)</t>
        </is>
      </c>
      <c r="C112" s="22" t="n">
        <v>676.359</v>
      </c>
    </row>
    <row r="113">
      <c r="A113" s="6" t="inlineStr">
        <is>
          <t>Current investments (T-bills, FVTPL)</t>
        </is>
      </c>
      <c r="C113" s="22" t="n">
        <v>85.80200000000001</v>
      </c>
    </row>
    <row r="114">
      <c r="A114" s="6" t="inlineStr">
        <is>
          <t>Investment property</t>
        </is>
      </c>
      <c r="C114" s="22" t="n">
        <v>158.234</v>
      </c>
    </row>
    <row r="115">
      <c r="A115" s="6" t="inlineStr">
        <is>
          <t>Herfy share price (its own Tadawul listing, 18-Aug-2026)</t>
        </is>
      </c>
      <c r="C115" s="7" t="n">
        <v>15.5</v>
      </c>
    </row>
    <row r="116">
      <c r="A116" s="6" t="inlineStr">
        <is>
          <t>Herfy shares outstanding (mn)</t>
        </is>
      </c>
      <c r="C116" s="26" t="n">
        <v>64.68000000000001</v>
      </c>
    </row>
    <row r="117">
      <c r="A117" s="6" t="inlineStr">
        <is>
          <t>Non-controlling interests, book (audited)</t>
        </is>
      </c>
      <c r="C117" s="22" t="n">
        <v>950.039</v>
      </c>
    </row>
    <row r="118">
      <c r="A118" s="6" t="inlineStr">
        <is>
          <t>of which the 51% Herfy NCI at book</t>
        </is>
      </c>
      <c r="C118" s="22" t="n">
        <v>434.618</v>
      </c>
    </row>
    <row r="119">
      <c r="A119" s="6" t="inlineStr">
        <is>
          <t>Property, plant and equipment (owned)</t>
        </is>
      </c>
      <c r="C119" s="18" t="n">
        <v>5486.067</v>
      </c>
    </row>
    <row r="120">
      <c r="A120" s="6" t="inlineStr">
        <is>
          <t>Right-of-use assets</t>
        </is>
      </c>
      <c r="C120" s="18" t="n">
        <v>3416.863</v>
      </c>
    </row>
    <row r="121">
      <c r="A121" s="6" t="inlineStr">
        <is>
          <t>Intangible assets and goodwill</t>
        </is>
      </c>
      <c r="C121" s="18" t="n">
        <v>1408.747</v>
      </c>
    </row>
    <row r="122">
      <c r="A122" s="6" t="inlineStr">
        <is>
          <t>Kinan carrying value (equity method)</t>
        </is>
      </c>
      <c r="C122" s="22" t="n">
        <v>435.517</v>
      </c>
    </row>
    <row r="123">
      <c r="A123" s="6" t="inlineStr">
        <is>
          <t>Equity attributable to owners</t>
        </is>
      </c>
      <c r="C123" s="18" t="n">
        <v>5516.027</v>
      </c>
    </row>
    <row r="125">
      <c r="A125" s="12" t="inlineStr">
        <is>
          <t>Lens inputs</t>
        </is>
      </c>
      <c r="B125" s="15" t="n"/>
      <c r="C125" s="15" t="n"/>
      <c r="D125" s="15" t="n"/>
      <c r="E125" s="15" t="n"/>
      <c r="F125" s="15" t="n"/>
      <c r="G125" s="15" t="n"/>
      <c r="H125" s="15" t="n"/>
    </row>
    <row r="126">
      <c r="A126" s="6" t="inlineStr">
        <is>
          <t>Peer P/E — Almarai (market data)</t>
        </is>
      </c>
      <c r="C126" s="27" t="n">
        <v>19.7</v>
      </c>
    </row>
    <row r="127">
      <c r="A127" s="6" t="inlineStr">
        <is>
          <t>Peer P/E — Al Othaim</t>
        </is>
      </c>
      <c r="C127" s="27" t="n">
        <v>19.4</v>
      </c>
    </row>
    <row r="128">
      <c r="A128" s="6" t="inlineStr">
        <is>
          <t>Peer P/E — BinDawood</t>
        </is>
      </c>
      <c r="C128" s="27" t="n">
        <v>19.8</v>
      </c>
    </row>
    <row r="129">
      <c r="A129" s="6" t="inlineStr">
        <is>
          <t>Peer P/E — NADEC</t>
        </is>
      </c>
      <c r="C129" s="27" t="n">
        <v>13</v>
      </c>
    </row>
    <row r="130">
      <c r="A130" s="6" t="inlineStr">
        <is>
          <t>Peer P/E — Wilmar (international analogue)</t>
        </is>
      </c>
      <c r="C130" s="27" t="n">
        <v>12.4</v>
      </c>
    </row>
    <row r="131">
      <c r="A131" s="6" t="inlineStr">
        <is>
          <t>Processing-leg weight in the peer-mix multiple</t>
        </is>
      </c>
      <c r="C131" s="23" t="n">
        <v>0.55</v>
      </c>
    </row>
    <row r="132">
      <c r="A132" s="6" t="inlineStr">
        <is>
          <t>Conglomerate / EM-mix discount on the peer-mix multiple</t>
        </is>
      </c>
      <c r="C132" s="23" t="n">
        <v>0.2</v>
      </c>
    </row>
    <row r="133">
      <c r="A133" s="6" t="inlineStr">
        <is>
          <t>Normalised mid-cycle operating EBITDA margin</t>
        </is>
      </c>
      <c r="C133" s="24" t="n">
        <v>0.092</v>
      </c>
    </row>
    <row r="134">
      <c r="A134" s="6" t="inlineStr">
        <is>
          <t>Recurring-earnings step FY2025 -&gt; FY2026E (sustainable-ROE lens)</t>
        </is>
      </c>
      <c r="C134" s="23" t="n">
        <v>0.15</v>
      </c>
    </row>
    <row r="135">
      <c r="A135" s="6" t="inlineStr">
        <is>
          <t>Recurring net profit FY2025 (company bridge)</t>
        </is>
      </c>
      <c r="C135" s="22" t="n">
        <v>539.1</v>
      </c>
    </row>
    <row r="136">
      <c r="A136" s="6" t="inlineStr">
        <is>
          <t>Weight — discounted cash flow</t>
        </is>
      </c>
      <c r="C136" s="23" t="n">
        <v>0.45</v>
      </c>
    </row>
    <row r="137">
      <c r="A137" s="6" t="inlineStr">
        <is>
          <t>Weight — relative</t>
        </is>
      </c>
      <c r="C137" s="23" t="n">
        <v>0.25</v>
      </c>
    </row>
    <row r="138">
      <c r="A138" s="6" t="inlineStr">
        <is>
          <t>Weight — normalised</t>
        </is>
      </c>
      <c r="C138" s="23" t="n">
        <v>0.15</v>
      </c>
    </row>
    <row r="139">
      <c r="A139" s="6" t="inlineStr">
        <is>
          <t>Weight — book</t>
        </is>
      </c>
      <c r="C139" s="23" t="n">
        <v>0.15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Enterprise value to equity — the bridge</t>
        </is>
      </c>
      <c r="B1" s="2" t="n"/>
      <c r="C1" s="2" t="n"/>
      <c r="D1" s="2" t="n"/>
      <c r="E1" s="2" t="n"/>
    </row>
    <row r="2">
      <c r="A2" s="4" t="inlineStr">
        <is>
          <t>Non-operating assets in; loans, leases, benefits, restoration, other net liabilities and minorities out; Herfy's 51% NCI at ITS OWN market price</t>
        </is>
      </c>
    </row>
    <row r="4">
      <c r="A4" s="5" t="inlineStr">
        <is>
          <t>Step</t>
        </is>
      </c>
      <c r="B4" s="5" t="inlineStr">
        <is>
          <t>SAR mn</t>
        </is>
      </c>
      <c r="C4" s="5" t="inlineStr">
        <is>
          <t>Per share (SAR)</t>
        </is>
      </c>
    </row>
    <row r="5">
      <c r="A5" s="6" t="inlineStr">
        <is>
          <t>Present value of the five forecast years</t>
        </is>
      </c>
      <c r="C5" s="16">
        <f>DCF!C27</f>
        <v/>
      </c>
    </row>
    <row r="6">
      <c r="A6" s="6" t="inlineStr">
        <is>
          <t>Present value of the terminal value</t>
        </is>
      </c>
      <c r="C6" s="16">
        <f>DCF!C26</f>
        <v/>
      </c>
    </row>
    <row r="7">
      <c r="A7" s="20" t="inlineStr">
        <is>
          <t>Enterprise value (operating)</t>
        </is>
      </c>
      <c r="C7" s="28">
        <f>C5+C6</f>
        <v/>
      </c>
    </row>
    <row r="8">
      <c r="A8" s="6" t="inlineStr">
        <is>
          <t>Government sukuk and other non-current investments</t>
        </is>
      </c>
      <c r="C8" s="16">
        <f>Assumptions!$C$112</f>
        <v/>
      </c>
    </row>
    <row r="9">
      <c r="A9" s="6" t="inlineStr">
        <is>
          <t>Current investments (T-bills, Almarai FVTPL)</t>
        </is>
      </c>
      <c r="C9" s="16">
        <f>Assumptions!$C$113</f>
        <v/>
      </c>
    </row>
    <row r="10">
      <c r="A10" s="6" t="inlineStr">
        <is>
          <t>Kinan at capitalized earnings (annualized H1-2026 share / cost of equity)</t>
        </is>
      </c>
      <c r="C10" s="29">
        <f>Assumptions!$C$82*2/DCF!C37</f>
        <v/>
      </c>
    </row>
    <row r="11">
      <c r="A11" s="6" t="inlineStr">
        <is>
          <t>Investment property</t>
        </is>
      </c>
      <c r="C11" s="16">
        <f>Assumptions!$C$114</f>
        <v/>
      </c>
    </row>
    <row r="12">
      <c r="A12" s="6" t="inlineStr">
        <is>
          <t>Cash and cash equivalents</t>
        </is>
      </c>
      <c r="C12" s="16">
        <f>Assumptions!$C$106</f>
        <v/>
      </c>
    </row>
    <row r="13">
      <c r="A13" s="6" t="inlineStr">
        <is>
          <t>Less loans and borrowings</t>
        </is>
      </c>
      <c r="C13" s="16">
        <f>-Assumptions!$C$107</f>
        <v/>
      </c>
    </row>
    <row r="14">
      <c r="A14" s="6" t="inlineStr">
        <is>
          <t>Less lease liabilities</t>
        </is>
      </c>
      <c r="C14" s="16">
        <f>-Assumptions!$C$108</f>
        <v/>
      </c>
    </row>
    <row r="15">
      <c r="A15" s="6" t="inlineStr">
        <is>
          <t>Less employee benefits liabilities</t>
        </is>
      </c>
      <c r="C15" s="16">
        <f>-Assumptions!$C$109</f>
        <v/>
      </c>
    </row>
    <row r="16">
      <c r="A16" s="6" t="inlineStr">
        <is>
          <t>Less asset-restoration provision</t>
        </is>
      </c>
      <c r="C16" s="16">
        <f>-Assumptions!$C$110</f>
        <v/>
      </c>
    </row>
    <row r="17">
      <c r="A17" s="6" t="inlineStr">
        <is>
          <t>Less other net liabilities (tax/zakat accruals, deferred tax, net)</t>
        </is>
      </c>
      <c r="C17" s="16">
        <f>-Assumptions!$C$111</f>
        <v/>
      </c>
    </row>
    <row r="18">
      <c r="A18" s="6" t="inlineStr">
        <is>
          <t>Less Herfy's 51% NCI at Herfy's own market price</t>
        </is>
      </c>
      <c r="C18" s="29">
        <f>-0.51*Assumptions!$C$115*Assumptions!$C$116</f>
        <v/>
      </c>
    </row>
    <row r="19">
      <c r="A19" s="6" t="inlineStr">
        <is>
          <t>Less other non-controlling interests at book</t>
        </is>
      </c>
      <c r="C19" s="29">
        <f>-(Assumptions!$C$117-Assumptions!$C$118)</f>
        <v/>
      </c>
    </row>
    <row r="20">
      <c r="A20" s="12" t="inlineStr">
        <is>
          <t>Equity value attributable to owners</t>
        </is>
      </c>
      <c r="B20" s="15" t="n"/>
      <c r="C20" s="30">
        <f>SUM(C7:C19)</f>
        <v/>
      </c>
      <c r="D20" s="13">
        <f>C20/Assumptions!$C$7</f>
        <v/>
      </c>
    </row>
    <row r="22">
      <c r="A22" s="6" t="inlineStr">
        <is>
          <t>Terminal value as a share of enterprise value</t>
        </is>
      </c>
      <c r="C22" s="9">
        <f>DCF!C28</f>
        <v/>
      </c>
    </row>
    <row r="23">
      <c r="A23" s="4" t="inlineStr">
        <is>
          <t>Kinan alternatives: carrying value 435.5 (floor) · share of net assets 600.9 (disclosed) · capitalized earnings (used). The Tiryaki 15% stake (received Q1-2026, carried ~272) postdates the valuation date and is left out of the bridge.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Segments — the unit build; every margin is an output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Volumes compound on their drivers; revenue = volume x price; gross profit = volume x GP/tonne; Panda = stores x sales per store</t>
        </is>
      </c>
    </row>
    <row r="4">
      <c r="A4" s="5" t="inlineStr">
        <is>
          <t>Food Processing unit build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Oil volume (k MT)</t>
        </is>
      </c>
      <c r="B5" s="29">
        <f>Assumptions!$C$16*(1+Assumptions!$B$31)</f>
        <v/>
      </c>
      <c r="C5" s="29">
        <f>B5*(1+Assumptions!$C$31)</f>
        <v/>
      </c>
      <c r="D5" s="29">
        <f>C5*(1+Assumptions!$D$31)</f>
        <v/>
      </c>
      <c r="E5" s="29">
        <f>D5*(1+Assumptions!$E$31)</f>
        <v/>
      </c>
      <c r="F5" s="29">
        <f>E5*(1+Assumptions!$F$31)</f>
        <v/>
      </c>
    </row>
    <row r="6">
      <c r="A6" s="6" t="inlineStr">
        <is>
          <t>Oil revenue per tonne (SAR/t)</t>
        </is>
      </c>
      <c r="B6" s="29">
        <f>Assumptions!$C$17/Assumptions!$C$16*1000*(1+Assumptions!$B$32)</f>
        <v/>
      </c>
      <c r="C6" s="29">
        <f>B6*(1+Assumptions!$C$32)</f>
        <v/>
      </c>
      <c r="D6" s="29">
        <f>C6*(1+Assumptions!$D$32)</f>
        <v/>
      </c>
      <c r="E6" s="29">
        <f>D6*(1+Assumptions!$E$32)</f>
        <v/>
      </c>
      <c r="F6" s="29">
        <f>E6*(1+Assumptions!$F$32)</f>
        <v/>
      </c>
    </row>
    <row r="7">
      <c r="A7" s="6" t="inlineStr">
        <is>
          <t>Oil revenue</t>
        </is>
      </c>
      <c r="B7" s="29">
        <f>B5*B6/1000</f>
        <v/>
      </c>
      <c r="C7" s="29">
        <f>C5*C6/1000</f>
        <v/>
      </c>
      <c r="D7" s="29">
        <f>D5*D6/1000</f>
        <v/>
      </c>
      <c r="E7" s="29">
        <f>E5*E6/1000</f>
        <v/>
      </c>
      <c r="F7" s="29">
        <f>F5*F6/1000</f>
        <v/>
      </c>
    </row>
    <row r="8">
      <c r="A8" s="6" t="inlineStr">
        <is>
          <t>Oil gross profit (= volume x GP/tonne)</t>
        </is>
      </c>
      <c r="B8" s="29">
        <f>B5*Assumptions!$B$33/1000</f>
        <v/>
      </c>
      <c r="C8" s="29">
        <f>C5*Assumptions!$C$33/1000</f>
        <v/>
      </c>
      <c r="D8" s="29">
        <f>D5*Assumptions!$D$33/1000</f>
        <v/>
      </c>
      <c r="E8" s="29">
        <f>E5*Assumptions!$E$33/1000</f>
        <v/>
      </c>
      <c r="F8" s="29">
        <f>F5*Assumptions!$F$33/1000</f>
        <v/>
      </c>
    </row>
    <row r="9">
      <c r="A9" s="6" t="inlineStr">
        <is>
          <t>Oil EBITDA (= GP − measured opex ratio x revenue)</t>
        </is>
      </c>
      <c r="B9" s="29">
        <f>B8-B7*Assumptions!$C$42</f>
        <v/>
      </c>
      <c r="C9" s="29">
        <f>C8-C7*Assumptions!$C$42</f>
        <v/>
      </c>
      <c r="D9" s="29">
        <f>D8-D7*Assumptions!$C$42</f>
        <v/>
      </c>
      <c r="E9" s="29">
        <f>E8-E7*Assumptions!$C$42</f>
        <v/>
      </c>
      <c r="F9" s="29">
        <f>F8-F7*Assumptions!$C$42</f>
        <v/>
      </c>
    </row>
    <row r="10">
      <c r="A10" s="6" t="inlineStr">
        <is>
          <t>Sugar volume (k MT)</t>
        </is>
      </c>
      <c r="B10" s="29">
        <f>Assumptions!$C$18*(1+Assumptions!$B$34)</f>
        <v/>
      </c>
      <c r="C10" s="29">
        <f>B10*(1+Assumptions!$C$34)</f>
        <v/>
      </c>
      <c r="D10" s="29">
        <f>C10*(1+Assumptions!$D$34)</f>
        <v/>
      </c>
      <c r="E10" s="29">
        <f>D10*(1+Assumptions!$E$34)</f>
        <v/>
      </c>
      <c r="F10" s="29">
        <f>E10*(1+Assumptions!$F$34)</f>
        <v/>
      </c>
    </row>
    <row r="11">
      <c r="A11" s="6" t="inlineStr">
        <is>
          <t>Sugar revenue per tonne (SAR/t)</t>
        </is>
      </c>
      <c r="B11" s="29">
        <f>Assumptions!$C$19/Assumptions!$C$18*1000*(1+Assumptions!$B$35)</f>
        <v/>
      </c>
      <c r="C11" s="29">
        <f>B11*(1+Assumptions!$C$35)</f>
        <v/>
      </c>
      <c r="D11" s="29">
        <f>C11*(1+Assumptions!$D$35)</f>
        <v/>
      </c>
      <c r="E11" s="29">
        <f>D11*(1+Assumptions!$E$35)</f>
        <v/>
      </c>
      <c r="F11" s="29">
        <f>E11*(1+Assumptions!$F$35)</f>
        <v/>
      </c>
    </row>
    <row r="12">
      <c r="A12" s="6" t="inlineStr">
        <is>
          <t>Sugar revenue</t>
        </is>
      </c>
      <c r="B12" s="29">
        <f>B10*B11/1000</f>
        <v/>
      </c>
      <c r="C12" s="29">
        <f>C10*C11/1000</f>
        <v/>
      </c>
      <c r="D12" s="29">
        <f>D10*D11/1000</f>
        <v/>
      </c>
      <c r="E12" s="29">
        <f>E10*E11/1000</f>
        <v/>
      </c>
      <c r="F12" s="29">
        <f>F10*F11/1000</f>
        <v/>
      </c>
    </row>
    <row r="13">
      <c r="A13" s="6" t="inlineStr">
        <is>
          <t>Sugar gross profit</t>
        </is>
      </c>
      <c r="B13" s="29">
        <f>B10*Assumptions!$B$36/1000</f>
        <v/>
      </c>
      <c r="C13" s="29">
        <f>C10*Assumptions!$C$36/1000</f>
        <v/>
      </c>
      <c r="D13" s="29">
        <f>D10*Assumptions!$D$36/1000</f>
        <v/>
      </c>
      <c r="E13" s="29">
        <f>E10*Assumptions!$E$36/1000</f>
        <v/>
      </c>
      <c r="F13" s="29">
        <f>F10*Assumptions!$F$36/1000</f>
        <v/>
      </c>
    </row>
    <row r="14">
      <c r="A14" s="6" t="inlineStr">
        <is>
          <t>Sugar EBITDA</t>
        </is>
      </c>
      <c r="B14" s="29">
        <f>B13-B12*Assumptions!$C$43</f>
        <v/>
      </c>
      <c r="C14" s="29">
        <f>C13-C12*Assumptions!$C$43</f>
        <v/>
      </c>
      <c r="D14" s="29">
        <f>D13-D12*Assumptions!$C$43</f>
        <v/>
      </c>
      <c r="E14" s="29">
        <f>E13-E12*Assumptions!$C$43</f>
        <v/>
      </c>
      <c r="F14" s="29">
        <f>F13-F12*Assumptions!$C$43</f>
        <v/>
      </c>
    </row>
    <row r="15">
      <c r="A15" s="6" t="inlineStr">
        <is>
          <t>Pasta volume (k MT)</t>
        </is>
      </c>
      <c r="B15" s="29">
        <f>Assumptions!$C$20*(1+Assumptions!$B$37)</f>
        <v/>
      </c>
      <c r="C15" s="29">
        <f>B15*(1+Assumptions!$C$37)</f>
        <v/>
      </c>
      <c r="D15" s="29">
        <f>C15*(1+Assumptions!$D$37)</f>
        <v/>
      </c>
      <c r="E15" s="29">
        <f>D15*(1+Assumptions!$E$37)</f>
        <v/>
      </c>
      <c r="F15" s="29">
        <f>E15*(1+Assumptions!$F$37)</f>
        <v/>
      </c>
    </row>
    <row r="16">
      <c r="A16" s="6" t="inlineStr">
        <is>
          <t>Pasta revenue per tonne (SAR/t)</t>
        </is>
      </c>
      <c r="B16" s="29">
        <f>Assumptions!$C$21/Assumptions!$C$20*1000*(1+Assumptions!$B$38)</f>
        <v/>
      </c>
      <c r="C16" s="29">
        <f>B16*(1+Assumptions!$C$38)</f>
        <v/>
      </c>
      <c r="D16" s="29">
        <f>C16*(1+Assumptions!$D$38)</f>
        <v/>
      </c>
      <c r="E16" s="29">
        <f>D16*(1+Assumptions!$E$38)</f>
        <v/>
      </c>
      <c r="F16" s="29">
        <f>E16*(1+Assumptions!$F$38)</f>
        <v/>
      </c>
    </row>
    <row r="17">
      <c r="A17" s="6" t="inlineStr">
        <is>
          <t>Pasta revenue</t>
        </is>
      </c>
      <c r="B17" s="29">
        <f>B15*B16/1000</f>
        <v/>
      </c>
      <c r="C17" s="29">
        <f>C15*C16/1000</f>
        <v/>
      </c>
      <c r="D17" s="29">
        <f>D15*D16/1000</f>
        <v/>
      </c>
      <c r="E17" s="29">
        <f>E15*E16/1000</f>
        <v/>
      </c>
      <c r="F17" s="29">
        <f>F15*F16/1000</f>
        <v/>
      </c>
    </row>
    <row r="18">
      <c r="A18" s="6" t="inlineStr">
        <is>
          <t>Pasta gross profit</t>
        </is>
      </c>
      <c r="B18" s="29">
        <f>B15*Assumptions!$B$39/1000</f>
        <v/>
      </c>
      <c r="C18" s="29">
        <f>C15*Assumptions!$C$39/1000</f>
        <v/>
      </c>
      <c r="D18" s="29">
        <f>D15*Assumptions!$D$39/1000</f>
        <v/>
      </c>
      <c r="E18" s="29">
        <f>E15*Assumptions!$E$39/1000</f>
        <v/>
      </c>
      <c r="F18" s="29">
        <f>F15*Assumptions!$F$39/1000</f>
        <v/>
      </c>
    </row>
    <row r="19">
      <c r="A19" s="6" t="inlineStr">
        <is>
          <t>Pasta EBITDA</t>
        </is>
      </c>
      <c r="B19" s="29">
        <f>B18-B17*Assumptions!$C$44</f>
        <v/>
      </c>
      <c r="C19" s="29">
        <f>C18-C17*Assumptions!$C$44</f>
        <v/>
      </c>
      <c r="D19" s="29">
        <f>D18-D17*Assumptions!$C$44</f>
        <v/>
      </c>
      <c r="E19" s="29">
        <f>E18-E17*Assumptions!$C$44</f>
        <v/>
      </c>
      <c r="F19" s="29">
        <f>F18-F17*Assumptions!$C$44</f>
        <v/>
      </c>
    </row>
    <row r="20">
      <c r="A20" s="6" t="inlineStr">
        <is>
          <t>Nuts &amp; spices revenue (driver path)</t>
        </is>
      </c>
      <c r="B20" s="29">
        <f>Assumptions!$B$40</f>
        <v/>
      </c>
      <c r="C20" s="29">
        <f>Assumptions!$C$40</f>
        <v/>
      </c>
      <c r="D20" s="29">
        <f>Assumptions!$D$40</f>
        <v/>
      </c>
      <c r="E20" s="29">
        <f>Assumptions!$E$40</f>
        <v/>
      </c>
      <c r="F20" s="29">
        <f>Assumptions!$F$40</f>
        <v/>
      </c>
    </row>
    <row r="21">
      <c r="A21" s="6" t="inlineStr">
        <is>
          <t>Nuts &amp; spices gross profit</t>
        </is>
      </c>
      <c r="B21" s="29">
        <f>B20*Assumptions!$B$41</f>
        <v/>
      </c>
      <c r="C21" s="29">
        <f>C20*Assumptions!$C$41</f>
        <v/>
      </c>
      <c r="D21" s="29">
        <f>D20*Assumptions!$D$41</f>
        <v/>
      </c>
      <c r="E21" s="29">
        <f>E20*Assumptions!$E$41</f>
        <v/>
      </c>
      <c r="F21" s="29">
        <f>F20*Assumptions!$F$41</f>
        <v/>
      </c>
    </row>
    <row r="22">
      <c r="A22" s="6" t="inlineStr">
        <is>
          <t>Nuts &amp; spices EBITDA</t>
        </is>
      </c>
      <c r="B22" s="29">
        <f>B21-B20*Assumptions!$C$45</f>
        <v/>
      </c>
      <c r="C22" s="29">
        <f>C21-C20*Assumptions!$C$45</f>
        <v/>
      </c>
      <c r="D22" s="29">
        <f>D21-D20*Assumptions!$C$45</f>
        <v/>
      </c>
      <c r="E22" s="29">
        <f>E21-E20*Assumptions!$C$45</f>
        <v/>
      </c>
      <c r="F22" s="29">
        <f>F21-F20*Assumptions!$C$45</f>
        <v/>
      </c>
    </row>
    <row r="23">
      <c r="A23" s="12" t="inlineStr">
        <is>
          <t>Food Processing revenue</t>
        </is>
      </c>
      <c r="B23" s="30">
        <f>B7+B12+B17+B20</f>
        <v/>
      </c>
      <c r="C23" s="30">
        <f>C7+C12+C17+C20</f>
        <v/>
      </c>
      <c r="D23" s="30">
        <f>D7+D12+D17+D20</f>
        <v/>
      </c>
      <c r="E23" s="30">
        <f>E7+E12+E17+E20</f>
        <v/>
      </c>
      <c r="F23" s="30">
        <f>F7+F12+F17+F20</f>
        <v/>
      </c>
    </row>
    <row r="24">
      <c r="A24" s="20" t="inlineStr">
        <is>
          <t>Food Processing gross profit</t>
        </is>
      </c>
      <c r="B24" s="28">
        <f>B8+B13+B18+B21</f>
        <v/>
      </c>
      <c r="C24" s="28">
        <f>C8+C13+C18+C21</f>
        <v/>
      </c>
      <c r="D24" s="28">
        <f>D8+D13+D18+D21</f>
        <v/>
      </c>
      <c r="E24" s="28">
        <f>E8+E13+E18+E21</f>
        <v/>
      </c>
      <c r="F24" s="28">
        <f>F8+F13+F18+F21</f>
        <v/>
      </c>
    </row>
    <row r="25">
      <c r="A25" s="20" t="inlineStr">
        <is>
          <t>Food Processing EBITDA</t>
        </is>
      </c>
      <c r="B25" s="28">
        <f>B9+B14+B19+B22</f>
        <v/>
      </c>
      <c r="C25" s="28">
        <f>C9+C14+C19+C22</f>
        <v/>
      </c>
      <c r="D25" s="28">
        <f>D9+D14+D19+D22</f>
        <v/>
      </c>
      <c r="E25" s="28">
        <f>E9+E14+E19+E22</f>
        <v/>
      </c>
      <c r="F25" s="28">
        <f>F9+F14+F19+F22</f>
        <v/>
      </c>
    </row>
    <row r="27">
      <c r="A27" s="5" t="inlineStr">
        <is>
          <t>Panda (Retail) build</t>
        </is>
      </c>
      <c r="B27" s="5" t="inlineStr">
        <is>
          <t>2026E</t>
        </is>
      </c>
      <c r="C27" s="5" t="inlineStr">
        <is>
          <t>2027E</t>
        </is>
      </c>
      <c r="D27" s="5" t="inlineStr">
        <is>
          <t>2028E</t>
        </is>
      </c>
      <c r="E27" s="5" t="inlineStr">
        <is>
          <t>2029E</t>
        </is>
      </c>
      <c r="F27" s="5" t="inlineStr">
        <is>
          <t>2030E</t>
        </is>
      </c>
    </row>
    <row r="28">
      <c r="A28" s="6" t="inlineStr">
        <is>
          <t>Average stores in year</t>
        </is>
      </c>
      <c r="B28" s="31">
        <f>(Assumptions!$C$28+Assumptions!$B$48)/2</f>
        <v/>
      </c>
      <c r="C28" s="31">
        <f>(Assumptions!$B$48+Assumptions!$C$48)/2</f>
        <v/>
      </c>
      <c r="D28" s="31">
        <f>(Assumptions!$C$48+Assumptions!$D$48)/2</f>
        <v/>
      </c>
      <c r="E28" s="31">
        <f>(Assumptions!$D$48+Assumptions!$E$48)/2</f>
        <v/>
      </c>
      <c r="F28" s="31">
        <f>(Assumptions!$E$48+Assumptions!$F$48)/2</f>
        <v/>
      </c>
    </row>
    <row r="29">
      <c r="A29" s="6" t="inlineStr">
        <is>
          <t>Sales per average store (SAR mn)</t>
        </is>
      </c>
      <c r="B29" s="32">
        <f>Assumptions!$C$23/((Assumptions!$C$27+Assumptions!$C$28)/2)*(1+Assumptions!$B$49)</f>
        <v/>
      </c>
      <c r="C29" s="32">
        <f>B29*(1+Assumptions!$C$49)</f>
        <v/>
      </c>
      <c r="D29" s="32">
        <f>C29*(1+Assumptions!$D$49)</f>
        <v/>
      </c>
      <c r="E29" s="32">
        <f>D29*(1+Assumptions!$E$49)</f>
        <v/>
      </c>
      <c r="F29" s="32">
        <f>E29*(1+Assumptions!$F$49)</f>
        <v/>
      </c>
    </row>
    <row r="30">
      <c r="A30" s="6" t="inlineStr">
        <is>
          <t>Panda revenue (= stores x sales/store)</t>
        </is>
      </c>
      <c r="B30" s="29">
        <f>B28*B29</f>
        <v/>
      </c>
      <c r="C30" s="29">
        <f>C28*C29</f>
        <v/>
      </c>
      <c r="D30" s="29">
        <f>D28*D29</f>
        <v/>
      </c>
      <c r="E30" s="29">
        <f>E28*E29</f>
        <v/>
      </c>
      <c r="F30" s="29">
        <f>F28*F29</f>
        <v/>
      </c>
    </row>
    <row r="31">
      <c r="A31" s="6" t="inlineStr">
        <is>
          <t>Panda gross profit (margin held at the H1-2026 actual)</t>
        </is>
      </c>
      <c r="B31" s="29">
        <f>B30*Assumptions!$C$50</f>
        <v/>
      </c>
      <c r="C31" s="29">
        <f>C30*Assumptions!$C$50</f>
        <v/>
      </c>
      <c r="D31" s="29">
        <f>D30*Assumptions!$C$50</f>
        <v/>
      </c>
      <c r="E31" s="29">
        <f>E30*Assumptions!$C$50</f>
        <v/>
      </c>
      <c r="F31" s="29">
        <f>F30*Assumptions!$C$50</f>
        <v/>
      </c>
    </row>
    <row r="32">
      <c r="A32" s="6" t="inlineStr">
        <is>
          <t>Panda store-opex ratio (Framing A scale gains from FY2028)</t>
        </is>
      </c>
      <c r="B32" s="33">
        <f>Assumptions!$C$51</f>
        <v/>
      </c>
      <c r="C32" s="33">
        <f>Assumptions!$C$51</f>
        <v/>
      </c>
      <c r="D32" s="33">
        <f>Assumptions!$C$51-Assumptions!$C$52</f>
        <v/>
      </c>
      <c r="E32" s="33">
        <f>Assumptions!$C$51-2*Assumptions!$C$52</f>
        <v/>
      </c>
      <c r="F32" s="33">
        <f>Assumptions!$C$51-3*Assumptions!$C$52</f>
        <v/>
      </c>
    </row>
    <row r="33">
      <c r="A33" s="20" t="inlineStr">
        <is>
          <t>Panda EBITDA (an output)</t>
        </is>
      </c>
      <c r="B33" s="28">
        <f>B31-B30*B32</f>
        <v/>
      </c>
      <c r="C33" s="28">
        <f>C31-C30*C32</f>
        <v/>
      </c>
      <c r="D33" s="28">
        <f>D31-D30*D32</f>
        <v/>
      </c>
      <c r="E33" s="28">
        <f>E31-E30*E32</f>
        <v/>
      </c>
      <c r="F33" s="28">
        <f>F31-F30*F32</f>
        <v/>
      </c>
    </row>
    <row r="35">
      <c r="A35" s="5" t="inlineStr">
        <is>
          <t>Food Services, Frozen Food, eliminations, group</t>
        </is>
      </c>
      <c r="B35" s="5" t="inlineStr">
        <is>
          <t>2026E</t>
        </is>
      </c>
      <c r="C35" s="5" t="inlineStr">
        <is>
          <t>2027E</t>
        </is>
      </c>
      <c r="D35" s="5" t="inlineStr">
        <is>
          <t>2028E</t>
        </is>
      </c>
      <c r="E35" s="5" t="inlineStr">
        <is>
          <t>2029E</t>
        </is>
      </c>
      <c r="F35" s="5" t="inlineStr">
        <is>
          <t>2030E</t>
        </is>
      </c>
    </row>
    <row r="36">
      <c r="A36" s="6" t="inlineStr">
        <is>
          <t>Herfy revenue</t>
        </is>
      </c>
      <c r="B36" s="29">
        <f>Assumptions!$C$24*(1+Assumptions!$B$55)</f>
        <v/>
      </c>
      <c r="C36" s="29">
        <f>B36*(1+Assumptions!$C$55)</f>
        <v/>
      </c>
      <c r="D36" s="29">
        <f>C36*(1+Assumptions!$D$55)</f>
        <v/>
      </c>
      <c r="E36" s="29">
        <f>D36*(1+Assumptions!$E$55)</f>
        <v/>
      </c>
      <c r="F36" s="29">
        <f>E36*(1+Assumptions!$F$55)</f>
        <v/>
      </c>
    </row>
    <row r="37">
      <c r="A37" s="6" t="inlineStr">
        <is>
          <t>Herfy EBITDA</t>
        </is>
      </c>
      <c r="B37" s="29">
        <f>B36*Assumptions!$C$56</f>
        <v/>
      </c>
      <c r="C37" s="29">
        <f>C36*Assumptions!$C$56</f>
        <v/>
      </c>
      <c r="D37" s="29">
        <f>D36*Assumptions!$C$56</f>
        <v/>
      </c>
      <c r="E37" s="29">
        <f>E36*Assumptions!$C$56</f>
        <v/>
      </c>
      <c r="F37" s="29">
        <f>F36*Assumptions!$C$56</f>
        <v/>
      </c>
    </row>
    <row r="38">
      <c r="A38" s="6" t="inlineStr">
        <is>
          <t>Al Kabeer revenue</t>
        </is>
      </c>
      <c r="B38" s="29">
        <f>Assumptions!$C$25*(1+Assumptions!$B$57)</f>
        <v/>
      </c>
      <c r="C38" s="29">
        <f>B38*(1+Assumptions!$C$57)</f>
        <v/>
      </c>
      <c r="D38" s="29">
        <f>C38*(1+Assumptions!$D$57)</f>
        <v/>
      </c>
      <c r="E38" s="29">
        <f>D38*(1+Assumptions!$E$57)</f>
        <v/>
      </c>
      <c r="F38" s="29">
        <f>E38*(1+Assumptions!$F$57)</f>
        <v/>
      </c>
    </row>
    <row r="39">
      <c r="A39" s="6" t="inlineStr">
        <is>
          <t>Al Kabeer EBITDA</t>
        </is>
      </c>
      <c r="B39" s="29">
        <f>B38*Assumptions!$C$58</f>
        <v/>
      </c>
      <c r="C39" s="29">
        <f>C38*Assumptions!$C$58</f>
        <v/>
      </c>
      <c r="D39" s="29">
        <f>D38*Assumptions!$C$58</f>
        <v/>
      </c>
      <c r="E39" s="29">
        <f>E38*Assumptions!$C$58</f>
        <v/>
      </c>
      <c r="F39" s="29">
        <f>F38*Assumptions!$C$58</f>
        <v/>
      </c>
    </row>
    <row r="40">
      <c r="A40" s="6" t="inlineStr">
        <is>
          <t>Eliminations (proportional to Food Processing)</t>
        </is>
      </c>
      <c r="B40" s="29">
        <f>B23*Assumptions!$C$61</f>
        <v/>
      </c>
      <c r="C40" s="29">
        <f>C23*Assumptions!$C$61</f>
        <v/>
      </c>
      <c r="D40" s="29">
        <f>D23*Assumptions!$C$61</f>
        <v/>
      </c>
      <c r="E40" s="29">
        <f>E23*Assumptions!$C$61</f>
        <v/>
      </c>
      <c r="F40" s="29">
        <f>F23*Assumptions!$C$61</f>
        <v/>
      </c>
    </row>
    <row r="41">
      <c r="A41" s="12" t="inlineStr">
        <is>
          <t>Group revenue</t>
        </is>
      </c>
      <c r="B41" s="30">
        <f>B23+B30+B36+B38+B40+Assumptions!$C$26</f>
        <v/>
      </c>
      <c r="C41" s="30">
        <f>C23+C30+C36+C38+C40+Assumptions!$C$26</f>
        <v/>
      </c>
      <c r="D41" s="30">
        <f>D23+D30+D36+D38+D40+Assumptions!$C$26</f>
        <v/>
      </c>
      <c r="E41" s="30">
        <f>E23+E30+E36+E38+E40+Assumptions!$C$26</f>
        <v/>
      </c>
      <c r="F41" s="30">
        <f>F23+F30+F36+F38+F40+Assumptions!$C$26</f>
        <v/>
      </c>
    </row>
    <row r="42">
      <c r="A42" s="6" t="inlineStr">
        <is>
          <t>Unallocated corporate costs</t>
        </is>
      </c>
      <c r="B42" s="29">
        <f>-Assumptions!$B$62</f>
        <v/>
      </c>
      <c r="C42" s="29">
        <f>-Assumptions!$C$62</f>
        <v/>
      </c>
      <c r="D42" s="29">
        <f>-Assumptions!$D$62</f>
        <v/>
      </c>
      <c r="E42" s="29">
        <f>-Assumptions!$E$62</f>
        <v/>
      </c>
      <c r="F42" s="29">
        <f>-Assumptions!$F$62</f>
        <v/>
      </c>
    </row>
    <row r="43">
      <c r="A43" s="12" t="inlineStr">
        <is>
          <t>Group operating EBITDA (output)</t>
        </is>
      </c>
      <c r="B43" s="30">
        <f>B25+B33+B37+B39+B42</f>
        <v/>
      </c>
      <c r="C43" s="30">
        <f>C25+C33+C37+C39+C42</f>
        <v/>
      </c>
      <c r="D43" s="30">
        <f>D25+D33+D37+D39+D42</f>
        <v/>
      </c>
      <c r="E43" s="30">
        <f>E25+E33+E37+E39+E42</f>
        <v/>
      </c>
      <c r="F43" s="30">
        <f>F25+F33+F37+F39+F42</f>
        <v/>
      </c>
    </row>
    <row r="44">
      <c r="A44" s="6" t="inlineStr">
        <is>
          <t>Group EBITDA margin (output, never an input)</t>
        </is>
      </c>
      <c r="B44" s="11">
        <f>B43/B41</f>
        <v/>
      </c>
      <c r="C44" s="11">
        <f>C43/C41</f>
        <v/>
      </c>
      <c r="D44" s="11">
        <f>D43/D41</f>
        <v/>
      </c>
      <c r="E44" s="11">
        <f>E43/E41</f>
        <v/>
      </c>
      <c r="F44" s="11">
        <f>F43/F41</f>
        <v/>
      </c>
    </row>
    <row r="46">
      <c r="A46" s="4" t="inlineStr">
        <is>
          <t>FY2025 bases shown on Assumptions; H1-2026 actuals in the study text. The four category revenues foot to the audited Food-Processing segment revenue (13,279.9) and the four gross profits to the audited segment gross profit (1,689.2).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Relative, normalised and book lenses</t>
        </is>
      </c>
      <c r="B1" s="2" t="n"/>
      <c r="C1" s="2" t="n"/>
      <c r="D1" s="2" t="n"/>
      <c r="E1" s="2" t="n"/>
      <c r="F1" s="2" t="n"/>
    </row>
    <row r="2">
      <c r="A2" s="4" t="inlineStr">
        <is>
          <t>The peer-mix multiple is computed from quoted peers, discounted for the conglomerate/Egypt mix, and applied to model earnings</t>
        </is>
      </c>
    </row>
    <row r="4">
      <c r="A4" s="20" t="inlineStr">
        <is>
          <t>PEER-MIX MULTIPLE</t>
        </is>
      </c>
    </row>
    <row r="5">
      <c r="A5" s="6" t="inlineStr">
        <is>
          <t>Processing-leg P/E = median (NADEC, Wilmar)</t>
        </is>
      </c>
      <c r="C5" s="34">
        <f>MEDIAN(Assumptions!$C$129,Assumptions!$C$130)</f>
        <v/>
      </c>
    </row>
    <row r="6">
      <c r="A6" s="6" t="inlineStr">
        <is>
          <t>Retail-leg P/E = median (Al Othaim, BinDawood)</t>
        </is>
      </c>
      <c r="C6" s="34">
        <f>MEDIAN(Assumptions!$C$127,Assumptions!$C$128)</f>
        <v/>
      </c>
    </row>
    <row r="7">
      <c r="A7" s="6" t="inlineStr">
        <is>
          <t>Mix-weighted peer P/E</t>
        </is>
      </c>
      <c r="C7" s="34">
        <f>Assumptions!$C$131*C5+(1-Assumptions!$C$131)*C6</f>
        <v/>
      </c>
    </row>
    <row r="8">
      <c r="A8" s="6" t="inlineStr">
        <is>
          <t>Applied multiple after the disclosed discount</t>
        </is>
      </c>
      <c r="C8" s="34">
        <f>C7*(1-Assumptions!$C$132)</f>
        <v/>
      </c>
    </row>
    <row r="10">
      <c r="A10" s="20" t="inlineStr">
        <is>
          <t>RELATIVE LENS</t>
        </is>
      </c>
    </row>
    <row r="11">
      <c r="A11" s="6" t="inlineStr">
        <is>
          <t>FY2026E earnings per share (model)</t>
        </is>
      </c>
      <c r="C11" s="8">
        <f>'Income Statement'!E17</f>
        <v/>
      </c>
    </row>
    <row r="12">
      <c r="A12" s="20" t="inlineStr">
        <is>
          <t>Relative lens value = applied multiple x FY2026E EPS</t>
        </is>
      </c>
      <c r="C12" s="35">
        <f>C8*C11</f>
        <v/>
      </c>
    </row>
    <row r="13">
      <c r="A13" s="6" t="inlineStr">
        <is>
          <t xml:space="preserve">  bear (30% discount) / bull (10% discount)</t>
        </is>
      </c>
      <c r="C13" s="10">
        <f>C7*0.7*C11</f>
        <v/>
      </c>
      <c r="D13" s="10">
        <f>C7*0.9*C11</f>
        <v/>
      </c>
    </row>
    <row r="15">
      <c r="A15" s="20" t="inlineStr">
        <is>
          <t>NORMALISED EARNINGS POWER</t>
        </is>
      </c>
    </row>
    <row r="16">
      <c r="A16" s="6" t="inlineStr">
        <is>
          <t>Mid-cycle revenue (FY2027E)</t>
        </is>
      </c>
      <c r="C16" s="16">
        <f>Segments!C41</f>
        <v/>
      </c>
    </row>
    <row r="17">
      <c r="A17" s="6" t="inlineStr">
        <is>
          <t>Normalised EBITDA at the mid-cycle margin</t>
        </is>
      </c>
      <c r="C17" s="29">
        <f>C16*Assumptions!$C$133</f>
        <v/>
      </c>
    </row>
    <row r="18">
      <c r="A18" s="6" t="inlineStr">
        <is>
          <t>Normalised net profit (same D&amp;A, finance, tax and minority frame)</t>
        </is>
      </c>
      <c r="C18" s="29">
        <f>(C17-'Income Statement'!F10+'Income Statement'!F12)*(1-Assumptions!$C$8)*(1-Assumptions!$C$81)+'Income Statement'!F14</f>
        <v/>
      </c>
    </row>
    <row r="19">
      <c r="A19" s="6" t="inlineStr">
        <is>
          <t>Normalised EPS</t>
        </is>
      </c>
      <c r="C19" s="10">
        <f>C18/Assumptions!$C$7</f>
        <v/>
      </c>
    </row>
    <row r="20">
      <c r="A20" s="20" t="inlineStr">
        <is>
          <t>Normalised lens value = applied multiple x normalised EPS</t>
        </is>
      </c>
      <c r="C20" s="35">
        <f>C8*C19</f>
        <v/>
      </c>
      <c r="E20" s="8">
        <f>C7*0.7*C19</f>
        <v/>
      </c>
      <c r="F20" s="8">
        <f>C7*0.9*C19</f>
        <v/>
      </c>
    </row>
    <row r="22">
      <c r="A22" s="20" t="inlineStr">
        <is>
          <t>BOOK VALUE AND SUSTAINABLE RETURN</t>
        </is>
      </c>
    </row>
    <row r="23">
      <c r="A23" s="6" t="inlineStr">
        <is>
          <t>Book value per share (audited FY2025 equity)</t>
        </is>
      </c>
      <c r="C23" s="10">
        <f>Assumptions!$C$123/Assumptions!$C$7</f>
        <v/>
      </c>
    </row>
    <row r="24">
      <c r="A24" s="6" t="inlineStr">
        <is>
          <t>Sustainable return on equity (FY2026E recurring / FY2025 equity)</t>
        </is>
      </c>
      <c r="C24" s="33">
        <f>Assumptions!$C$135*(1+Assumptions!$C$134)/Assumptions!$C$123</f>
        <v/>
      </c>
    </row>
    <row r="25">
      <c r="A25" s="6" t="inlineStr">
        <is>
          <t>Justified price-to-book = (ROE − g) / (Ke − g)</t>
        </is>
      </c>
      <c r="C25" s="32">
        <f>(C24-Assumptions!$C$102)/(DCF!C37-Assumptions!$C$102)</f>
        <v/>
      </c>
    </row>
    <row r="26">
      <c r="A26" s="20" t="inlineStr">
        <is>
          <t>Book lens value = justified P/B x book value per share</t>
        </is>
      </c>
      <c r="C26" s="35">
        <f>C25*C23</f>
        <v/>
      </c>
      <c r="E26" s="8">
        <f>MAX(C25-0.15,0.5)*C23</f>
        <v/>
      </c>
      <c r="F26" s="8">
        <f>(C25+0.15)*C23</f>
        <v/>
      </c>
    </row>
    <row r="28" ht="40" customHeight="1">
      <c r="A28" s="36" t="inlineStr">
        <is>
          <t>Crosswalk: the dividend-discount P/E implied by this study's own cost of equity, payout and growth is 8.1x — far below the 15.8x the market pays the peer set. That gap (the price of capital) is why the DCF sits below the peer-anchored lenses, and it is examined in the study rather than averaged away.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DCF — the waterfall, the cost of capital built in-sheet, and the terminal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NOPAT = EBIT x (1 − combined zakat/tax); lease replacement equals right-of-use depreciation; leases carry a debt weight</t>
        </is>
      </c>
    </row>
    <row r="4">
      <c r="A4" s="5" t="inlineStr">
        <is>
          <t>SAR mn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Revenue</t>
        </is>
      </c>
      <c r="B5" s="16">
        <f>Segments!B41</f>
        <v/>
      </c>
      <c r="C5" s="16">
        <f>Segments!C41</f>
        <v/>
      </c>
      <c r="D5" s="16">
        <f>Segments!D41</f>
        <v/>
      </c>
      <c r="E5" s="16">
        <f>Segments!E41</f>
        <v/>
      </c>
      <c r="F5" s="16">
        <f>Segments!F41</f>
        <v/>
      </c>
    </row>
    <row r="6">
      <c r="A6" s="6" t="inlineStr">
        <is>
          <t>EBITDA</t>
        </is>
      </c>
      <c r="B6" s="16">
        <f>Segments!B43</f>
        <v/>
      </c>
      <c r="C6" s="16">
        <f>Segments!C43</f>
        <v/>
      </c>
      <c r="D6" s="16">
        <f>Segments!D43</f>
        <v/>
      </c>
      <c r="E6" s="16">
        <f>Segments!E43</f>
        <v/>
      </c>
      <c r="F6" s="16">
        <f>Segments!F43</f>
        <v/>
      </c>
    </row>
    <row r="7">
      <c r="A7" s="6" t="inlineStr">
        <is>
          <t>EBITDA margin</t>
        </is>
      </c>
      <c r="B7" s="11">
        <f>B6/B5</f>
        <v/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</row>
    <row r="8">
      <c r="A8" s="6" t="inlineStr">
        <is>
          <t>Less depreciation and amortisation</t>
        </is>
      </c>
      <c r="B8" s="29">
        <f>-'Income Statement'!E10</f>
        <v/>
      </c>
      <c r="C8" s="29">
        <f>-'Income Statement'!F10</f>
        <v/>
      </c>
      <c r="D8" s="29">
        <f>-'Income Statement'!G10</f>
        <v/>
      </c>
      <c r="E8" s="29">
        <f>-'Income Statement'!H10</f>
        <v/>
      </c>
      <c r="F8" s="29">
        <f>-'Income Statement'!I10</f>
        <v/>
      </c>
    </row>
    <row r="9">
      <c r="A9" s="20" t="inlineStr">
        <is>
          <t>EBIT</t>
        </is>
      </c>
      <c r="B9" s="28">
        <f>B6+B8</f>
        <v/>
      </c>
      <c r="C9" s="28">
        <f>C6+C8</f>
        <v/>
      </c>
      <c r="D9" s="28">
        <f>D6+D8</f>
        <v/>
      </c>
      <c r="E9" s="28">
        <f>E6+E8</f>
        <v/>
      </c>
      <c r="F9" s="28">
        <f>F6+F8</f>
        <v/>
      </c>
    </row>
    <row r="10">
      <c r="A10" s="6" t="inlineStr">
        <is>
          <t>NOPAT = EBIT x (1 − combined zakat/tax rate)</t>
        </is>
      </c>
      <c r="B10" s="29">
        <f>B9*(1-Assumptions!$C$8)</f>
        <v/>
      </c>
      <c r="C10" s="29">
        <f>C9*(1-Assumptions!$C$8)</f>
        <v/>
      </c>
      <c r="D10" s="29">
        <f>D9*(1-Assumptions!$C$8)</f>
        <v/>
      </c>
      <c r="E10" s="29">
        <f>E9*(1-Assumptions!$C$8)</f>
        <v/>
      </c>
      <c r="F10" s="29">
        <f>F9*(1-Assumptions!$C$8)</f>
        <v/>
      </c>
    </row>
    <row r="11">
      <c r="A11" s="6" t="inlineStr">
        <is>
          <t>Add back depreciation and amortisation</t>
        </is>
      </c>
      <c r="B11" s="29">
        <f>-B8</f>
        <v/>
      </c>
      <c r="C11" s="29">
        <f>-C8</f>
        <v/>
      </c>
      <c r="D11" s="29">
        <f>-D8</f>
        <v/>
      </c>
      <c r="E11" s="29">
        <f>-E8</f>
        <v/>
      </c>
      <c r="F11" s="29">
        <f>-F8</f>
        <v/>
      </c>
    </row>
    <row r="12">
      <c r="A12" s="6" t="inlineStr">
        <is>
          <t>Less capital expenditure</t>
        </is>
      </c>
      <c r="B12" s="29">
        <f>-Assumptions!$B$65</f>
        <v/>
      </c>
      <c r="C12" s="29">
        <f>-Assumptions!$C$65</f>
        <v/>
      </c>
      <c r="D12" s="29">
        <f>-Assumptions!$D$65</f>
        <v/>
      </c>
      <c r="E12" s="29">
        <f>-Assumptions!$E$65</f>
        <v/>
      </c>
      <c r="F12" s="29">
        <f>-Assumptions!$F$65</f>
        <v/>
      </c>
    </row>
    <row r="13">
      <c r="A13" s="6" t="inlineStr">
        <is>
          <t>Less lease replacement (= right-of-use depreciation)</t>
        </is>
      </c>
      <c r="B13" s="29">
        <f>-'Cash Flow'!B19</f>
        <v/>
      </c>
      <c r="C13" s="29">
        <f>-'Cash Flow'!C19</f>
        <v/>
      </c>
      <c r="D13" s="29">
        <f>-'Cash Flow'!D19</f>
        <v/>
      </c>
      <c r="E13" s="29">
        <f>-'Cash Flow'!E19</f>
        <v/>
      </c>
      <c r="F13" s="29">
        <f>-'Cash Flow'!F19</f>
        <v/>
      </c>
    </row>
    <row r="14">
      <c r="A14" s="6" t="inlineStr">
        <is>
          <t>Less increase in net working capital</t>
        </is>
      </c>
      <c r="B14" s="29">
        <f>'Cash Flow'!B7</f>
        <v/>
      </c>
      <c r="C14" s="29">
        <f>'Cash Flow'!C7</f>
        <v/>
      </c>
      <c r="D14" s="29">
        <f>'Cash Flow'!D7</f>
        <v/>
      </c>
      <c r="E14" s="29">
        <f>'Cash Flow'!E7</f>
        <v/>
      </c>
      <c r="F14" s="29">
        <f>'Cash Flow'!F7</f>
        <v/>
      </c>
    </row>
    <row r="15">
      <c r="A15" s="12" t="inlineStr">
        <is>
          <t>Free cash flow to the firm</t>
        </is>
      </c>
      <c r="B15" s="30">
        <f>B10+B11+B12+B13+B14</f>
        <v/>
      </c>
      <c r="C15" s="30">
        <f>C10+C11+C12+C13+C14</f>
        <v/>
      </c>
      <c r="D15" s="30">
        <f>D10+D11+D12+D13+D14</f>
        <v/>
      </c>
      <c r="E15" s="30">
        <f>E10+E11+E12+E13+E14</f>
        <v/>
      </c>
      <c r="F15" s="30">
        <f>F10+F11+F12+F13+F14</f>
        <v/>
      </c>
    </row>
    <row r="16">
      <c r="A16" s="6" t="inlineStr">
        <is>
          <t>Discount factor (compounding at the explicit cost of capital)</t>
        </is>
      </c>
      <c r="B16" s="37">
        <f>1/(1+$C$45)</f>
        <v/>
      </c>
      <c r="C16" s="37">
        <f>B16/(1+$C$45)</f>
        <v/>
      </c>
      <c r="D16" s="37">
        <f>C16/(1+$C$45)</f>
        <v/>
      </c>
      <c r="E16" s="37">
        <f>D16/(1+$C$45)</f>
        <v/>
      </c>
      <c r="F16" s="37">
        <f>E16/(1+$C$45)</f>
        <v/>
      </c>
    </row>
    <row r="17">
      <c r="A17" s="6" t="inlineStr">
        <is>
          <t>Present value of free cash flow</t>
        </is>
      </c>
      <c r="B17" s="29">
        <f>B15*B16</f>
        <v/>
      </c>
      <c r="C17" s="29">
        <f>C15*C16</f>
        <v/>
      </c>
      <c r="D17" s="29">
        <f>D15*D16</f>
        <v/>
      </c>
      <c r="E17" s="29">
        <f>E15*E16</f>
        <v/>
      </c>
      <c r="F17" s="29">
        <f>F15*F16</f>
        <v/>
      </c>
    </row>
    <row r="19">
      <c r="A19" s="20" t="inlineStr">
        <is>
          <t>TERMINAL BLOCK</t>
        </is>
      </c>
    </row>
    <row r="20">
      <c r="A20" s="6" t="inlineStr">
        <is>
          <t>Terminal growth</t>
        </is>
      </c>
      <c r="C20" s="11">
        <f>Assumptions!$C$102</f>
        <v/>
      </c>
    </row>
    <row r="21">
      <c r="A21" s="6" t="inlineStr">
        <is>
          <t>Terminal return on invested capital</t>
        </is>
      </c>
      <c r="C21" s="11">
        <f>Assumptions!$C$103</f>
        <v/>
      </c>
    </row>
    <row r="22">
      <c r="A22" s="6" t="inlineStr">
        <is>
          <t>Terminal reinvestment = g / return on capital</t>
        </is>
      </c>
      <c r="C22" s="11">
        <f>C20/C21</f>
        <v/>
      </c>
    </row>
    <row r="23">
      <c r="A23" s="6" t="inlineStr">
        <is>
          <t>Terminal NOPAT (year five grown one year)</t>
        </is>
      </c>
      <c r="C23" s="29">
        <f>F10*(1+C20)</f>
        <v/>
      </c>
    </row>
    <row r="24">
      <c r="A24" s="6" t="inlineStr">
        <is>
          <t>Terminal free cash flow = NOPAT x (1 − reinvestment)</t>
        </is>
      </c>
      <c r="C24" s="29">
        <f>C23*(1-C22)</f>
        <v/>
      </c>
    </row>
    <row r="25">
      <c r="A25" s="6" t="inlineStr">
        <is>
          <t>Terminal value at end of year five</t>
        </is>
      </c>
      <c r="C25" s="29">
        <f>C24/($C$51-C20)</f>
        <v/>
      </c>
    </row>
    <row r="26">
      <c r="A26" s="6" t="inlineStr">
        <is>
          <t>Present value of the terminal value</t>
        </is>
      </c>
      <c r="C26" s="29">
        <f>C25*F16</f>
        <v/>
      </c>
    </row>
    <row r="27">
      <c r="A27" s="6" t="inlineStr">
        <is>
          <t>Present value of the five explicit years</t>
        </is>
      </c>
      <c r="C27" s="29">
        <f>SUM(B17:F17)</f>
        <v/>
      </c>
    </row>
    <row r="28">
      <c r="A28" s="6" t="inlineStr">
        <is>
          <t>Terminal value share of enterprise value</t>
        </is>
      </c>
      <c r="C28" s="11">
        <f>C26/C29</f>
        <v/>
      </c>
    </row>
    <row r="29">
      <c r="A29" s="20" t="inlineStr">
        <is>
          <t>Enterprise value (operating)</t>
        </is>
      </c>
      <c r="C29" s="28">
        <f>C27+C26</f>
        <v/>
      </c>
    </row>
    <row r="31">
      <c r="A31" s="20" t="inlineStr">
        <is>
          <t>COST OF CAPITAL — BUILT, NOT PASTED (v2: rf net of the sovereign spread; both ERP bases shown)</t>
        </is>
      </c>
    </row>
    <row r="32">
      <c r="A32" s="6" t="inlineStr">
        <is>
          <t>Observed 10Y SAR construction</t>
        </is>
      </c>
      <c r="C32" s="33">
        <f>Assumptions!$C$88</f>
        <v/>
      </c>
    </row>
    <row r="33">
      <c r="A33" s="6" t="inlineStr">
        <is>
          <t>Less sovereign default spread (rating basis)</t>
        </is>
      </c>
      <c r="C33" s="33">
        <f>-Assumptions!$C$89</f>
        <v/>
      </c>
    </row>
    <row r="34">
      <c r="A34" s="6" t="inlineStr">
        <is>
          <t>Normalized risk-free rate rf*</t>
        </is>
      </c>
      <c r="C34" s="33">
        <f>C32+C33</f>
        <v/>
      </c>
    </row>
    <row r="35">
      <c r="A35" s="6" t="inlineStr">
        <is>
          <t>Beta (own stock vs TASI, five-year weekly)</t>
        </is>
      </c>
      <c r="C35" s="38">
        <f>Assumptions!$C$93</f>
        <v/>
      </c>
    </row>
    <row r="36">
      <c r="A36" s="6" t="inlineStr">
        <is>
          <t>Equity risk premium (rating basis)</t>
        </is>
      </c>
      <c r="C36" s="33">
        <f>Assumptions!$C$90</f>
        <v/>
      </c>
    </row>
    <row r="37">
      <c r="A37" s="6" t="inlineStr">
        <is>
          <t>Cost of equity = rf* + beta x ERP</t>
        </is>
      </c>
      <c r="C37" s="33">
        <f>C34+C35*C36</f>
        <v/>
      </c>
    </row>
    <row r="38">
      <c r="A38" s="6" t="inlineStr">
        <is>
          <t>Cost of loans (blend of SAR / EGP-parity / other tranches)</t>
        </is>
      </c>
      <c r="C38" s="33">
        <f>(Assumptions!$C$97*Assumptions!$C$94+Assumptions!$C$98*Assumptions!$C$95+Assumptions!$C$99*Assumptions!$C$96)/Assumptions!$C$107</f>
        <v/>
      </c>
    </row>
    <row r="39">
      <c r="A39" s="6" t="inlineStr">
        <is>
          <t>Cost of leases (measured effective rate)</t>
        </is>
      </c>
      <c r="C39" s="33">
        <f>Assumptions!$C$70</f>
        <v/>
      </c>
    </row>
    <row r="40">
      <c r="A40" s="6" t="inlineStr">
        <is>
          <t>Market capitalisation = spot x shares issued</t>
        </is>
      </c>
      <c r="C40" s="29">
        <f>Assumptions!$C$5*Assumptions!$C$6</f>
        <v/>
      </c>
    </row>
    <row r="41">
      <c r="A41" s="6" t="inlineStr">
        <is>
          <t>Capital base = equity + loans + leases</t>
        </is>
      </c>
      <c r="C41" s="29">
        <f>C40+Assumptions!$C$107+Assumptions!$C$108</f>
        <v/>
      </c>
    </row>
    <row r="42">
      <c r="A42" s="6" t="inlineStr">
        <is>
          <t>Equity weight</t>
        </is>
      </c>
      <c r="C42" s="33">
        <f>C40/C41</f>
        <v/>
      </c>
    </row>
    <row r="43">
      <c r="A43" s="6" t="inlineStr">
        <is>
          <t>Loans weight</t>
        </is>
      </c>
      <c r="C43" s="33">
        <f>Assumptions!$C$107/C41</f>
        <v/>
      </c>
    </row>
    <row r="44">
      <c r="A44" s="6" t="inlineStr">
        <is>
          <t>Lease weight</t>
        </is>
      </c>
      <c r="C44" s="33">
        <f>Assumptions!$C$108/C41</f>
        <v/>
      </c>
    </row>
    <row r="45">
      <c r="A45" s="6" t="inlineStr">
        <is>
          <t>Cost of capital — explicit window</t>
        </is>
      </c>
      <c r="C45" s="39">
        <f>C42*C37+C43*C38*(1-Assumptions!$C$8)+C44*C39*(1-Assumptions!$C$8)</f>
        <v/>
      </c>
    </row>
    <row r="46">
      <c r="A46" s="6" t="inlineStr">
        <is>
          <t>Cost of equity, CDS basis = (rf − CDS) + beta x ERP(CDS)</t>
        </is>
      </c>
      <c r="C46" s="33">
        <f>Assumptions!$C$88-Assumptions!$C$91+C35*Assumptions!$C$92</f>
        <v/>
      </c>
    </row>
    <row r="47">
      <c r="A47" s="6" t="inlineStr">
        <is>
          <t>Cost of capital — explicit window, CDS basis</t>
        </is>
      </c>
      <c r="C47" s="33">
        <f>C42*C46+C43*C38*(1-Assumptions!$C$8)+C44*C39*(1-Assumptions!$C$8)</f>
        <v/>
      </c>
    </row>
    <row r="48">
      <c r="A48" s="6" t="inlineStr">
        <is>
          <t>Terminal weights: equity / loans / leases</t>
        </is>
      </c>
      <c r="C48" s="11">
        <f>Assumptions!$C$100</f>
        <v/>
      </c>
    </row>
    <row r="49">
      <c r="A49" s="6" t="inlineStr">
        <is>
          <t xml:space="preserve"> </t>
        </is>
      </c>
      <c r="C49" s="11">
        <f>Assumptions!$C$101</f>
        <v/>
      </c>
    </row>
    <row r="50">
      <c r="A50" s="6" t="inlineStr">
        <is>
          <t xml:space="preserve"> </t>
        </is>
      </c>
      <c r="C50" s="11">
        <f>1-Assumptions!$C$100-Assumptions!$C$101</f>
        <v/>
      </c>
    </row>
    <row r="51">
      <c r="A51" s="6" t="inlineStr">
        <is>
          <t>Cost of capital — terminal</t>
        </is>
      </c>
      <c r="C51" s="39">
        <f>Assumptions!$C$100*C37+Assumptions!$C$101*C38*(1-Assumptions!$C$8)+C50*C39*(1-Assumptions!$C$8)</f>
        <v/>
      </c>
    </row>
    <row r="53">
      <c r="A53" s="20" t="inlineStr">
        <is>
          <t>FROM ENTERPRISE VALUE TO THE ANCHOR</t>
        </is>
      </c>
    </row>
    <row r="54">
      <c r="A54" s="6" t="inlineStr">
        <is>
          <t>Equity value (from the bridge)</t>
        </is>
      </c>
      <c r="C54" s="16">
        <f>'SOTP Bridge'!C20</f>
        <v/>
      </c>
    </row>
    <row r="55">
      <c r="A55" s="6" t="inlineStr">
        <is>
          <t>Fair value per share at 31-Dec-2025</t>
        </is>
      </c>
      <c r="C55" s="10">
        <f>C54/Assumptions!$C$7</f>
        <v/>
      </c>
    </row>
    <row r="56">
      <c r="A56" s="6" t="inlineStr">
        <is>
          <t>Anchor accretion factor = (1 + cost of equity)^(days/365)</t>
        </is>
      </c>
      <c r="C56" s="37">
        <f>(1+C37)^(Assumptions!$C$10/365)</f>
        <v/>
      </c>
    </row>
    <row r="57">
      <c r="A57" s="20" t="inlineStr">
        <is>
          <t>Fair value per share at the 18-Aug-2026 anchor (ex the 1.70 dividend)</t>
        </is>
      </c>
      <c r="C57" s="35">
        <f>C55*C56-Assumptions!$C$11</f>
        <v/>
      </c>
    </row>
    <row r="58">
      <c r="A58" s="4" t="inlineStr">
        <is>
          <t>CDS-basis fair value (engine re-run at the CDS-basis cost of capital): SAR 24.76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Income statement — three audited years and the five-year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FY2023 is the continuing basis of the FY2024 statements and still includes Turkiye (disposed 2025); FY2024-25 are the FY2025 audited basis (ex-Turkiye)</t>
        </is>
      </c>
    </row>
    <row r="4">
      <c r="A4" s="5" t="inlineStr">
        <is>
          <t>SAR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  <c r="H4" s="5" t="inlineStr">
        <is>
          <t>2029E</t>
        </is>
      </c>
      <c r="I4" s="5" t="inlineStr">
        <is>
          <t>2030E</t>
        </is>
      </c>
    </row>
    <row r="5">
      <c r="A5" s="20" t="inlineStr">
        <is>
          <t>Revenues</t>
        </is>
      </c>
      <c r="B5" s="40" t="n">
        <v>24149.521</v>
      </c>
      <c r="C5" s="40" t="n">
        <v>23045.574</v>
      </c>
      <c r="D5" s="40" t="n">
        <v>26081.053</v>
      </c>
      <c r="E5" s="28">
        <f>Segments!B41</f>
        <v/>
      </c>
      <c r="F5" s="28">
        <f>Segments!C41</f>
        <v/>
      </c>
      <c r="G5" s="28">
        <f>Segments!D41</f>
        <v/>
      </c>
      <c r="H5" s="28">
        <f>Segments!E41</f>
        <v/>
      </c>
      <c r="I5" s="28">
        <f>Segments!F41</f>
        <v/>
      </c>
    </row>
    <row r="6">
      <c r="A6" s="6" t="inlineStr">
        <is>
          <t>Cost of revenues (audited; forecast modelled at category level)</t>
        </is>
      </c>
      <c r="B6" s="18" t="n">
        <v>-19103.682</v>
      </c>
      <c r="C6" s="18" t="n">
        <v>-18212.904</v>
      </c>
      <c r="D6" s="18" t="n">
        <v>-20992.159</v>
      </c>
    </row>
    <row r="7">
      <c r="A7" s="20" t="inlineStr">
        <is>
          <t>Gross profit (audited columns)</t>
        </is>
      </c>
      <c r="B7" s="28">
        <f>B5+B6</f>
        <v/>
      </c>
      <c r="C7" s="28">
        <f>C5+C6</f>
        <v/>
      </c>
      <c r="D7" s="28">
        <f>D5+D6</f>
        <v/>
      </c>
    </row>
    <row r="8">
      <c r="A8" s="6" t="inlineStr">
        <is>
          <t>Operating costs before D&amp;A (selling, admin, net other; forecast = revenue less EBITDA)</t>
        </is>
      </c>
      <c r="B8" s="18" t="n">
        <v>-3808.82</v>
      </c>
      <c r="C8" s="18" t="n">
        <v>-3870.832</v>
      </c>
      <c r="D8" s="18" t="n">
        <v>-3927.981</v>
      </c>
      <c r="E8" s="29">
        <f>-(E5-E9)</f>
        <v/>
      </c>
      <c r="F8" s="29">
        <f>-(F5-F9)</f>
        <v/>
      </c>
      <c r="G8" s="29">
        <f>-(G5-G9)</f>
        <v/>
      </c>
      <c r="H8" s="29">
        <f>-(H5-H9)</f>
        <v/>
      </c>
      <c r="I8" s="29">
        <f>-(I5-I9)</f>
        <v/>
      </c>
    </row>
    <row r="9">
      <c r="A9" s="20" t="inlineStr">
        <is>
          <t>Operating EBITDA (before associates and impairments)</t>
        </is>
      </c>
      <c r="B9" s="28">
        <f>B7+B8+B10</f>
        <v/>
      </c>
      <c r="C9" s="28">
        <f>C7+C8+C10</f>
        <v/>
      </c>
      <c r="D9" s="28">
        <f>D7+D8+D10</f>
        <v/>
      </c>
      <c r="E9" s="28">
        <f>Segments!B43</f>
        <v/>
      </c>
      <c r="F9" s="28">
        <f>Segments!C43</f>
        <v/>
      </c>
      <c r="G9" s="28">
        <f>Segments!D43</f>
        <v/>
      </c>
      <c r="H9" s="28">
        <f>Segments!E43</f>
        <v/>
      </c>
      <c r="I9" s="28">
        <f>Segments!F43</f>
        <v/>
      </c>
    </row>
    <row r="10">
      <c r="A10" s="6" t="inlineStr">
        <is>
          <t>Depreciation and amortisation</t>
        </is>
      </c>
      <c r="B10" s="18" t="n">
        <v>1064.59</v>
      </c>
      <c r="C10" s="18" t="n">
        <v>1099.866</v>
      </c>
      <c r="D10" s="18" t="n">
        <v>1190.022</v>
      </c>
      <c r="E10" s="29">
        <f>'Balance Sheet'!D5*Assumptions!$C$66+Assumptions!$C$67+'Cash Flow'!B19</f>
        <v/>
      </c>
      <c r="F10" s="29">
        <f>'Balance Sheet'!E5*Assumptions!$C$66+Assumptions!$C$67+'Cash Flow'!C19</f>
        <v/>
      </c>
      <c r="G10" s="29">
        <f>'Balance Sheet'!F5*Assumptions!$C$66+Assumptions!$C$67+'Cash Flow'!D19</f>
        <v/>
      </c>
      <c r="H10" s="29">
        <f>'Balance Sheet'!G5*Assumptions!$C$66+Assumptions!$C$67+'Cash Flow'!E19</f>
        <v/>
      </c>
      <c r="I10" s="29">
        <f>'Balance Sheet'!H5*Assumptions!$C$66+Assumptions!$C$67+'Cash Flow'!F19</f>
        <v/>
      </c>
    </row>
    <row r="11">
      <c r="A11" s="20" t="inlineStr">
        <is>
          <t>EBIT</t>
        </is>
      </c>
      <c r="B11" s="28">
        <f>B9-B10</f>
        <v/>
      </c>
      <c r="C11" s="28">
        <f>C9-C10</f>
        <v/>
      </c>
      <c r="D11" s="28">
        <f>D9-D10</f>
        <v/>
      </c>
      <c r="E11" s="28">
        <f>E9-E10</f>
        <v/>
      </c>
      <c r="F11" s="28">
        <f>F9-F10</f>
        <v/>
      </c>
      <c r="G11" s="28">
        <f>G9-G10</f>
        <v/>
      </c>
      <c r="H11" s="28">
        <f>H9-H10</f>
        <v/>
      </c>
      <c r="I11" s="28">
        <f>I9-I10</f>
        <v/>
      </c>
    </row>
    <row r="12">
      <c r="A12" s="6" t="inlineStr">
        <is>
          <t>Net finance cost (on prior-year net debt and lease book)</t>
        </is>
      </c>
      <c r="D12" s="18" t="n">
        <v>-275.525</v>
      </c>
      <c r="E12" s="29">
        <f>MAX('Balance Sheet'!D30,0)*-DCF!$C$38-'Balance Sheet'!D23*Assumptions!$C$70+MAX(-'Balance Sheet'!D30,0)*Assumptions!$C$85</f>
        <v/>
      </c>
      <c r="F12" s="29">
        <f>MAX('Balance Sheet'!E30,0)*-DCF!$C$38-'Balance Sheet'!E23*Assumptions!$C$70+MAX(-'Balance Sheet'!E30,0)*Assumptions!$C$85</f>
        <v/>
      </c>
      <c r="G12" s="29">
        <f>MAX('Balance Sheet'!F30,0)*-DCF!$C$38-'Balance Sheet'!F23*Assumptions!$C$70+MAX(-'Balance Sheet'!F30,0)*Assumptions!$C$85</f>
        <v/>
      </c>
      <c r="H12" s="29">
        <f>MAX('Balance Sheet'!G30,0)*-DCF!$C$38-'Balance Sheet'!G23*Assumptions!$C$70+MAX(-'Balance Sheet'!G30,0)*Assumptions!$C$85</f>
        <v/>
      </c>
      <c r="I12" s="29">
        <f>MAX('Balance Sheet'!H30,0)*-DCF!$C$38-'Balance Sheet'!H23*Assumptions!$C$70+MAX(-'Balance Sheet'!H30,0)*Assumptions!$C$85</f>
        <v/>
      </c>
    </row>
    <row r="13">
      <c r="A13" s="6" t="inlineStr">
        <is>
          <t>Core profit after zakat and tax (= (EBIT + net finance) x (1 − rate))</t>
        </is>
      </c>
      <c r="E13" s="29">
        <f>(E11+E12)*(1-Assumptions!$C$8)</f>
        <v/>
      </c>
      <c r="F13" s="29">
        <f>(F11+F12)*(1-Assumptions!$C$8)</f>
        <v/>
      </c>
      <c r="G13" s="29">
        <f>(G11+G12)*(1-Assumptions!$C$8)</f>
        <v/>
      </c>
      <c r="H13" s="29">
        <f>(H11+H12)*(1-Assumptions!$C$8)</f>
        <v/>
      </c>
      <c r="I13" s="29">
        <f>(I11+I12)*(1-Assumptions!$C$8)</f>
        <v/>
      </c>
    </row>
    <row r="14">
      <c r="A14" s="6" t="inlineStr">
        <is>
          <t>Share of results of Kinan (net of zakat and tax)</t>
        </is>
      </c>
      <c r="D14" s="22" t="n">
        <v>51.775</v>
      </c>
      <c r="E14" s="31">
        <f>Assumptions!$C$82*2*(1+Assumptions!$C$83)^0</f>
        <v/>
      </c>
      <c r="F14" s="31">
        <f>Assumptions!$C$82*2*(1+Assumptions!$C$83)^1</f>
        <v/>
      </c>
      <c r="G14" s="31">
        <f>Assumptions!$C$82*2*(1+Assumptions!$C$83)^2</f>
        <v/>
      </c>
      <c r="H14" s="31">
        <f>Assumptions!$C$82*2*(1+Assumptions!$C$83)^3</f>
        <v/>
      </c>
      <c r="I14" s="31">
        <f>Assumptions!$C$82*2*(1+Assumptions!$C$83)^4</f>
        <v/>
      </c>
    </row>
    <row r="15">
      <c r="A15" s="6" t="inlineStr">
        <is>
          <t>Profit attributable to non-controlling interests</t>
        </is>
      </c>
      <c r="D15" s="22" t="n">
        <v>-66.03700000000001</v>
      </c>
      <c r="E15" s="31">
        <f>E13*Assumptions!$C$81</f>
        <v/>
      </c>
      <c r="F15" s="31">
        <f>F13*Assumptions!$C$81</f>
        <v/>
      </c>
      <c r="G15" s="31">
        <f>G13*Assumptions!$C$81</f>
        <v/>
      </c>
      <c r="H15" s="31">
        <f>H13*Assumptions!$C$81</f>
        <v/>
      </c>
      <c r="I15" s="31">
        <f>I13*Assumptions!$C$81</f>
        <v/>
      </c>
    </row>
    <row r="16">
      <c r="A16" s="20" t="inlineStr">
        <is>
          <t>Profit attributable to owners</t>
        </is>
      </c>
      <c r="B16" s="40" t="n">
        <v>899.1849999999999</v>
      </c>
      <c r="C16" s="40" t="n">
        <v>9974.266</v>
      </c>
      <c r="D16" s="40" t="n">
        <v>874.462</v>
      </c>
      <c r="E16" s="28">
        <f>E13*(1-Assumptions!$C$81)+E14</f>
        <v/>
      </c>
      <c r="F16" s="28">
        <f>F13*(1-Assumptions!$C$81)+F14</f>
        <v/>
      </c>
      <c r="G16" s="28">
        <f>G13*(1-Assumptions!$C$81)+G14</f>
        <v/>
      </c>
      <c r="H16" s="28">
        <f>H13*(1-Assumptions!$C$81)+H14</f>
        <v/>
      </c>
      <c r="I16" s="28">
        <f>I13*(1-Assumptions!$C$81)+I14</f>
        <v/>
      </c>
    </row>
    <row r="17">
      <c r="A17" s="6" t="inlineStr">
        <is>
          <t>Earnings per share (SAR)</t>
        </is>
      </c>
      <c r="D17" s="7" t="n">
        <v>2.93</v>
      </c>
      <c r="E17" s="10">
        <f>E16/Assumptions!$C$7</f>
        <v/>
      </c>
      <c r="F17" s="10">
        <f>F16/Assumptions!$C$7</f>
        <v/>
      </c>
      <c r="G17" s="10">
        <f>G16/Assumptions!$C$7</f>
        <v/>
      </c>
      <c r="H17" s="10">
        <f>H16/Assumptions!$C$7</f>
        <v/>
      </c>
      <c r="I17" s="10">
        <f>I16/Assumptions!$C$7</f>
        <v/>
      </c>
    </row>
    <row r="18">
      <c r="A18" s="4" t="inlineStr">
        <is>
          <t>FY2024 attributable profit includes the SAR 11,554.7mn Almarai distribution gain; FY2025 includes the +217.4 zakat reversal (recurring net profit 539.1 per the company bridge). The forecast is the recurring construction.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Balance sheet — audited FY2025 and the forecast roll-forward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The sheet FOOTS: the check row at the bottom is assets less liabilities less equity and evaluates to zero in every year</t>
        </is>
      </c>
    </row>
    <row r="4">
      <c r="A4" s="5" t="inlineStr">
        <is>
          <t>SAR mn</t>
        </is>
      </c>
      <c r="B4" s="5" t="inlineStr"/>
      <c r="C4" s="5" t="inlineStr"/>
      <c r="D4" s="5" t="inlineStr">
        <is>
          <t>FY2025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  <c r="H4" s="5" t="inlineStr">
        <is>
          <t>2029E</t>
        </is>
      </c>
      <c r="I4" s="5" t="inlineStr">
        <is>
          <t>2030E</t>
        </is>
      </c>
    </row>
    <row r="5">
      <c r="A5" s="6" t="inlineStr">
        <is>
          <t>Property, plant and equipment (opening + capex − depreciation)</t>
        </is>
      </c>
      <c r="D5" s="16">
        <f>Assumptions!$C$119</f>
        <v/>
      </c>
      <c r="E5" s="29">
        <f>D5+Assumptions!$B$65-Assumptions!$C$67-'Balance Sheet'!D5*Assumptions!$C$66</f>
        <v/>
      </c>
      <c r="F5" s="29">
        <f>E5+Assumptions!$C$65-Assumptions!$C$67-E5*Assumptions!$C$66</f>
        <v/>
      </c>
      <c r="G5" s="29">
        <f>F5+Assumptions!$D$65-Assumptions!$C$67-F5*Assumptions!$C$66</f>
        <v/>
      </c>
      <c r="H5" s="29">
        <f>G5+Assumptions!$E$65-Assumptions!$C$67-G5*Assumptions!$C$66</f>
        <v/>
      </c>
      <c r="I5" s="29">
        <f>H5+Assumptions!$F$65-Assumptions!$C$67-H5*Assumptions!$C$66</f>
        <v/>
      </c>
    </row>
    <row r="6">
      <c r="A6" s="6" t="inlineStr">
        <is>
          <t>Right-of-use assets (grow with the lease book)</t>
        </is>
      </c>
      <c r="D6" s="16">
        <f>Assumptions!$C$120</f>
        <v/>
      </c>
      <c r="E6" s="29">
        <f>D6+Assumptions!$C$108*Assumptions!$B$69</f>
        <v/>
      </c>
      <c r="F6" s="29">
        <f>E6+'Balance Sheet'!E23*Assumptions!$C$69</f>
        <v/>
      </c>
      <c r="G6" s="29">
        <f>F6+'Balance Sheet'!F23*Assumptions!$D$69</f>
        <v/>
      </c>
      <c r="H6" s="29">
        <f>G6+'Balance Sheet'!G23*Assumptions!$E$69</f>
        <v/>
      </c>
      <c r="I6" s="29">
        <f>H6+'Balance Sheet'!H23*Assumptions!$F$69</f>
        <v/>
      </c>
    </row>
    <row r="7">
      <c r="A7" s="6" t="inlineStr">
        <is>
          <t>Intangible assets and goodwill (held: capex = amortisation)</t>
        </is>
      </c>
      <c r="D7" s="16">
        <f>Assumptions!$C$121</f>
        <v/>
      </c>
      <c r="E7" s="29">
        <f>Assumptions!$C$121</f>
        <v/>
      </c>
      <c r="F7" s="29">
        <f>Assumptions!$C$121</f>
        <v/>
      </c>
      <c r="G7" s="29">
        <f>Assumptions!$C$121</f>
        <v/>
      </c>
      <c r="H7" s="29">
        <f>Assumptions!$C$121</f>
        <v/>
      </c>
      <c r="I7" s="29">
        <f>Assumptions!$C$121</f>
        <v/>
      </c>
    </row>
    <row r="8">
      <c r="A8" s="6" t="inlineStr">
        <is>
          <t>Investment property (held)</t>
        </is>
      </c>
      <c r="D8" s="16">
        <f>Assumptions!$C$114</f>
        <v/>
      </c>
      <c r="E8" s="29">
        <f>Assumptions!$C$114</f>
        <v/>
      </c>
      <c r="F8" s="29">
        <f>Assumptions!$C$114</f>
        <v/>
      </c>
      <c r="G8" s="29">
        <f>Assumptions!$C$114</f>
        <v/>
      </c>
      <c r="H8" s="29">
        <f>Assumptions!$C$114</f>
        <v/>
      </c>
      <c r="I8" s="29">
        <f>Assumptions!$C$114</f>
        <v/>
      </c>
    </row>
    <row r="9">
      <c r="A9" s="6" t="inlineStr">
        <is>
          <t>Kinan (equity method: + share of results − dividends)</t>
        </is>
      </c>
      <c r="D9" s="16">
        <f>Assumptions!$C$122</f>
        <v/>
      </c>
      <c r="E9" s="29">
        <f>D9+'Income Statement'!E14-Assumptions!$C$84*(1+Assumptions!$C$83)^0</f>
        <v/>
      </c>
      <c r="F9" s="29">
        <f>E9+'Income Statement'!F14-Assumptions!$C$84*(1+Assumptions!$C$83)^1</f>
        <v/>
      </c>
      <c r="G9" s="29">
        <f>F9+'Income Statement'!G14-Assumptions!$C$84*(1+Assumptions!$C$83)^2</f>
        <v/>
      </c>
      <c r="H9" s="29">
        <f>G9+'Income Statement'!H14-Assumptions!$C$84*(1+Assumptions!$C$83)^3</f>
        <v/>
      </c>
      <c r="I9" s="29">
        <f>H9+'Income Statement'!I14-Assumptions!$C$84*(1+Assumptions!$C$83)^4</f>
        <v/>
      </c>
    </row>
    <row r="10">
      <c r="A10" s="6" t="inlineStr">
        <is>
          <t>Non-current investments (held)</t>
        </is>
      </c>
      <c r="D10" s="16">
        <f>Assumptions!$C$112</f>
        <v/>
      </c>
      <c r="E10" s="29">
        <f>Assumptions!$C$112</f>
        <v/>
      </c>
      <c r="F10" s="29">
        <f>Assumptions!$C$112</f>
        <v/>
      </c>
      <c r="G10" s="29">
        <f>Assumptions!$C$112</f>
        <v/>
      </c>
      <c r="H10" s="29">
        <f>Assumptions!$C$112</f>
        <v/>
      </c>
      <c r="I10" s="29">
        <f>Assumptions!$C$112</f>
        <v/>
      </c>
    </row>
    <row r="11">
      <c r="A11" s="6" t="inlineStr">
        <is>
          <t>Current investments (held)</t>
        </is>
      </c>
      <c r="D11" s="16">
        <f>Assumptions!$C$113</f>
        <v/>
      </c>
      <c r="E11" s="29">
        <f>Assumptions!$C$113</f>
        <v/>
      </c>
      <c r="F11" s="29">
        <f>Assumptions!$C$113</f>
        <v/>
      </c>
      <c r="G11" s="29">
        <f>Assumptions!$C$113</f>
        <v/>
      </c>
      <c r="H11" s="29">
        <f>Assumptions!$C$113</f>
        <v/>
      </c>
      <c r="I11" s="29">
        <f>Assumptions!$C$113</f>
        <v/>
      </c>
    </row>
    <row r="12">
      <c r="A12" s="6" t="inlineStr">
        <is>
          <t>Cost of revenues ratio (measured FY2025, drives inventory and payables)</t>
        </is>
      </c>
      <c r="D12" s="33">
        <f>1-Assumptions!$C$15/Assumptions!$C$14</f>
        <v/>
      </c>
    </row>
    <row r="13">
      <c r="A13" s="6" t="inlineStr">
        <is>
          <t>Inventories (days on cost of revenues)</t>
        </is>
      </c>
      <c r="D13" s="18" t="n">
        <v>4680.559</v>
      </c>
      <c r="E13" s="29">
        <f>Segments!B41*'Balance Sheet'!$D$12*Assumptions!$C$73/365</f>
        <v/>
      </c>
      <c r="F13" s="29">
        <f>Segments!C41*'Balance Sheet'!$D$12*Assumptions!$C$73/365</f>
        <v/>
      </c>
      <c r="G13" s="29">
        <f>Segments!D41*'Balance Sheet'!$D$12*Assumptions!$C$73/365</f>
        <v/>
      </c>
      <c r="H13" s="29">
        <f>Segments!E41*'Balance Sheet'!$D$12*Assumptions!$C$73/365</f>
        <v/>
      </c>
      <c r="I13" s="29">
        <f>Segments!F41*'Balance Sheet'!$D$12*Assumptions!$C$73/365</f>
        <v/>
      </c>
    </row>
    <row r="14">
      <c r="A14" s="6" t="inlineStr">
        <is>
          <t>Trade receivables (days on revenue)</t>
        </is>
      </c>
      <c r="D14" s="18" t="n">
        <v>1856.697</v>
      </c>
      <c r="E14" s="29">
        <f>Segments!B41*Assumptions!$C$74/365</f>
        <v/>
      </c>
      <c r="F14" s="29">
        <f>Segments!C41*Assumptions!$C$74/365</f>
        <v/>
      </c>
      <c r="G14" s="29">
        <f>Segments!D41*Assumptions!$C$74/365</f>
        <v/>
      </c>
      <c r="H14" s="29">
        <f>Segments!E41*Assumptions!$C$74/365</f>
        <v/>
      </c>
      <c r="I14" s="29">
        <f>Segments!F41*Assumptions!$C$74/365</f>
        <v/>
      </c>
    </row>
    <row r="15">
      <c r="A15" s="6" t="inlineStr">
        <is>
          <t>Prepayments and other receivables (% of revenue)</t>
        </is>
      </c>
      <c r="D15" s="18" t="n">
        <v>1346.504</v>
      </c>
      <c r="E15" s="29">
        <f>Segments!B41*Assumptions!$C$76</f>
        <v/>
      </c>
      <c r="F15" s="29">
        <f>Segments!C41*Assumptions!$C$76</f>
        <v/>
      </c>
      <c r="G15" s="29">
        <f>Segments!D41*Assumptions!$C$76</f>
        <v/>
      </c>
      <c r="H15" s="29">
        <f>Segments!E41*Assumptions!$C$76</f>
        <v/>
      </c>
      <c r="I15" s="29">
        <f>Segments!F41*Assumptions!$C$76</f>
        <v/>
      </c>
    </row>
    <row r="16">
      <c r="A16" s="6" t="inlineStr">
        <is>
          <t>Trade payables (days on cost of revenues)</t>
        </is>
      </c>
      <c r="D16" s="18" t="n">
        <v>-3915.807</v>
      </c>
      <c r="E16" s="29">
        <f>-Segments!B41*'Balance Sheet'!$D$12*Assumptions!$C$75/365</f>
        <v/>
      </c>
      <c r="F16" s="29">
        <f>-Segments!C41*'Balance Sheet'!$D$12*Assumptions!$C$75/365</f>
        <v/>
      </c>
      <c r="G16" s="29">
        <f>-Segments!D41*'Balance Sheet'!$D$12*Assumptions!$C$75/365</f>
        <v/>
      </c>
      <c r="H16" s="29">
        <f>-Segments!E41*'Balance Sheet'!$D$12*Assumptions!$C$75/365</f>
        <v/>
      </c>
      <c r="I16" s="29">
        <f>-Segments!F41*'Balance Sheet'!$D$12*Assumptions!$C$75/365</f>
        <v/>
      </c>
    </row>
    <row r="17">
      <c r="A17" s="6" t="inlineStr">
        <is>
          <t>Accrued and other liabilities (% of revenue)</t>
        </is>
      </c>
      <c r="D17" s="18" t="n">
        <v>-2829.405</v>
      </c>
      <c r="E17" s="29">
        <f>-Segments!B41*Assumptions!$C$77</f>
        <v/>
      </c>
      <c r="F17" s="29">
        <f>-Segments!C41*Assumptions!$C$77</f>
        <v/>
      </c>
      <c r="G17" s="29">
        <f>-Segments!D41*Assumptions!$C$77</f>
        <v/>
      </c>
      <c r="H17" s="29">
        <f>-Segments!E41*Assumptions!$C$77</f>
        <v/>
      </c>
      <c r="I17" s="29">
        <f>-Segments!F41*Assumptions!$C$77</f>
        <v/>
      </c>
    </row>
    <row r="18">
      <c r="A18" s="6" t="inlineStr">
        <is>
          <t>Contract liabilities (% of revenue)</t>
        </is>
      </c>
      <c r="D18" s="18" t="n">
        <v>-151.99</v>
      </c>
      <c r="E18" s="29">
        <f>-Segments!B41*Assumptions!$C$78</f>
        <v/>
      </c>
      <c r="F18" s="29">
        <f>-Segments!C41*Assumptions!$C$78</f>
        <v/>
      </c>
      <c r="G18" s="29">
        <f>-Segments!D41*Assumptions!$C$78</f>
        <v/>
      </c>
      <c r="H18" s="29">
        <f>-Segments!E41*Assumptions!$C$78</f>
        <v/>
      </c>
      <c r="I18" s="29">
        <f>-Segments!F41*Assumptions!$C$78</f>
        <v/>
      </c>
    </row>
    <row r="19">
      <c r="A19" s="20" t="inlineStr">
        <is>
          <t>Net working capital</t>
        </is>
      </c>
      <c r="D19" s="40" t="n">
        <v>986.5580000000002</v>
      </c>
      <c r="E19" s="28">
        <f>SUM(E13:E18)</f>
        <v/>
      </c>
      <c r="F19" s="28">
        <f>SUM(F13:F18)</f>
        <v/>
      </c>
      <c r="G19" s="28">
        <f>SUM(G13:G18)</f>
        <v/>
      </c>
      <c r="H19" s="28">
        <f>SUM(H13:H18)</f>
        <v/>
      </c>
      <c r="I19" s="28">
        <f>SUM(I13:I18)</f>
        <v/>
      </c>
    </row>
    <row r="20">
      <c r="A20" s="6" t="inlineStr">
        <is>
          <t>Cash and cash equivalents (from the cash-flow walk)</t>
        </is>
      </c>
      <c r="D20" s="16">
        <f>Assumptions!$C$106</f>
        <v/>
      </c>
      <c r="E20" s="29">
        <f>'Cash Flow'!B17</f>
        <v/>
      </c>
      <c r="F20" s="29">
        <f>'Cash Flow'!C17</f>
        <v/>
      </c>
      <c r="G20" s="29">
        <f>'Cash Flow'!D17</f>
        <v/>
      </c>
      <c r="H20" s="29">
        <f>'Cash Flow'!E17</f>
        <v/>
      </c>
      <c r="I20" s="29">
        <f>'Cash Flow'!F17</f>
        <v/>
      </c>
    </row>
    <row r="21">
      <c r="A21" s="12" t="inlineStr">
        <is>
          <t>Total assets (condensed)</t>
        </is>
      </c>
      <c r="B21" s="15" t="n"/>
      <c r="C21" s="15" t="n"/>
      <c r="D21" s="15" t="n"/>
      <c r="E21" s="30">
        <f>E5+E6+E7+E8+E9+E10+E11+E19+E20</f>
        <v/>
      </c>
      <c r="F21" s="30">
        <f>F5+F6+F7+F8+F9+F10+F11+F19+F20</f>
        <v/>
      </c>
      <c r="G21" s="30">
        <f>G5+G6+G7+G8+G9+G10+G11+G19+G20</f>
        <v/>
      </c>
      <c r="H21" s="30">
        <f>H5+H6+H7+H8+H9+H10+H11+H19+H20</f>
        <v/>
      </c>
      <c r="I21" s="30">
        <f>I5+I6+I7+I8+I9+I10+I11+I19+I20</f>
        <v/>
      </c>
    </row>
    <row r="22">
      <c r="A22" s="6" t="inlineStr">
        <is>
          <t>Loans and borrowings (held at the FY2025 level)</t>
        </is>
      </c>
      <c r="D22" s="16">
        <f>Assumptions!$C$107</f>
        <v/>
      </c>
      <c r="E22" s="29">
        <f>Assumptions!$C$107</f>
        <v/>
      </c>
      <c r="F22" s="29">
        <f>Assumptions!$C$107</f>
        <v/>
      </c>
      <c r="G22" s="29">
        <f>Assumptions!$C$107</f>
        <v/>
      </c>
      <c r="H22" s="29">
        <f>Assumptions!$C$107</f>
        <v/>
      </c>
      <c r="I22" s="29">
        <f>Assumptions!$C$107</f>
        <v/>
      </c>
    </row>
    <row r="23">
      <c r="A23" s="6" t="inlineStr">
        <is>
          <t>Lease liabilities (grow with the store network)</t>
        </is>
      </c>
      <c r="D23" s="16">
        <f>Assumptions!$C$108</f>
        <v/>
      </c>
      <c r="E23" s="29">
        <f>Assumptions!$C$108*(1+Assumptions!$B$69)</f>
        <v/>
      </c>
      <c r="F23" s="29">
        <f>E23*(1+Assumptions!$C$69)</f>
        <v/>
      </c>
      <c r="G23" s="29">
        <f>F23*(1+Assumptions!$D$69)</f>
        <v/>
      </c>
      <c r="H23" s="29">
        <f>G23*(1+Assumptions!$E$69)</f>
        <v/>
      </c>
      <c r="I23" s="29">
        <f>H23*(1+Assumptions!$F$69)</f>
        <v/>
      </c>
    </row>
    <row r="24">
      <c r="A24" s="6" t="inlineStr">
        <is>
          <t>Employee benefits liabilities (held)</t>
        </is>
      </c>
      <c r="D24" s="16">
        <f>Assumptions!$C$109</f>
        <v/>
      </c>
      <c r="E24" s="29">
        <f>Assumptions!$C$109</f>
        <v/>
      </c>
      <c r="F24" s="29">
        <f>Assumptions!$C$109</f>
        <v/>
      </c>
      <c r="G24" s="29">
        <f>Assumptions!$C$109</f>
        <v/>
      </c>
      <c r="H24" s="29">
        <f>Assumptions!$C$109</f>
        <v/>
      </c>
      <c r="I24" s="29">
        <f>Assumptions!$C$109</f>
        <v/>
      </c>
    </row>
    <row r="25">
      <c r="A25" s="6" t="inlineStr">
        <is>
          <t>Asset-restoration provision (held)</t>
        </is>
      </c>
      <c r="D25" s="16">
        <f>Assumptions!$C$110</f>
        <v/>
      </c>
      <c r="E25" s="29">
        <f>Assumptions!$C$110</f>
        <v/>
      </c>
      <c r="F25" s="29">
        <f>Assumptions!$C$110</f>
        <v/>
      </c>
      <c r="G25" s="29">
        <f>Assumptions!$C$110</f>
        <v/>
      </c>
      <c r="H25" s="29">
        <f>Assumptions!$C$110</f>
        <v/>
      </c>
      <c r="I25" s="29">
        <f>Assumptions!$C$110</f>
        <v/>
      </c>
    </row>
    <row r="26">
      <c r="A26" s="6" t="inlineStr">
        <is>
          <t>Other net liabilities (tax/zakat accruals + DTL − DTA − other, held)</t>
        </is>
      </c>
      <c r="D26" s="16">
        <f>Assumptions!$C$111</f>
        <v/>
      </c>
      <c r="E26" s="29">
        <f>Assumptions!$C$111</f>
        <v/>
      </c>
      <c r="F26" s="29">
        <f>Assumptions!$C$111</f>
        <v/>
      </c>
      <c r="G26" s="29">
        <f>Assumptions!$C$111</f>
        <v/>
      </c>
      <c r="H26" s="29">
        <f>Assumptions!$C$111</f>
        <v/>
      </c>
      <c r="I26" s="29">
        <f>Assumptions!$C$111</f>
        <v/>
      </c>
    </row>
    <row r="27">
      <c r="A27" s="6" t="inlineStr">
        <is>
          <t>Equity attributable to owners (+ profit − dividends)</t>
        </is>
      </c>
      <c r="D27" s="16">
        <f>Assumptions!$C$123</f>
        <v/>
      </c>
      <c r="E27" s="29">
        <f>D27+'Income Statement'!E16-'Cash Flow'!B13*-1</f>
        <v/>
      </c>
      <c r="F27" s="29">
        <f>E27+'Income Statement'!F16-'Cash Flow'!C13*-1</f>
        <v/>
      </c>
      <c r="G27" s="29">
        <f>F27+'Income Statement'!G16-'Cash Flow'!D13*-1</f>
        <v/>
      </c>
      <c r="H27" s="29">
        <f>G27+'Income Statement'!H16-'Cash Flow'!E13*-1</f>
        <v/>
      </c>
      <c r="I27" s="29">
        <f>H27+'Income Statement'!I16-'Cash Flow'!F13*-1</f>
        <v/>
      </c>
    </row>
    <row r="28">
      <c r="A28" s="6" t="inlineStr">
        <is>
          <t>Non-controlling interests (+ NCI profit − NCI dividends)</t>
        </is>
      </c>
      <c r="D28" s="16">
        <f>Assumptions!$C$117</f>
        <v/>
      </c>
      <c r="E28" s="29">
        <f>D28+'Income Statement'!E15-'Cash Flow'!B14*-1</f>
        <v/>
      </c>
      <c r="F28" s="29">
        <f>E28+'Income Statement'!F15-'Cash Flow'!C14*-1</f>
        <v/>
      </c>
      <c r="G28" s="29">
        <f>F28+'Income Statement'!G15-'Cash Flow'!D14*-1</f>
        <v/>
      </c>
      <c r="H28" s="29">
        <f>G28+'Income Statement'!H15-'Cash Flow'!E14*-1</f>
        <v/>
      </c>
      <c r="I28" s="29">
        <f>H28+'Income Statement'!I15-'Cash Flow'!F14*-1</f>
        <v/>
      </c>
    </row>
    <row r="29">
      <c r="A29" s="12" t="inlineStr">
        <is>
          <t>FOOT CHECK: assets − liabilities − equity (must be zero)</t>
        </is>
      </c>
      <c r="B29" s="15" t="n"/>
      <c r="C29" s="15" t="n"/>
      <c r="D29" s="15" t="n"/>
      <c r="E29" s="41">
        <f>E21-E22-E23-E24-E25-E26-E27-E28</f>
        <v/>
      </c>
      <c r="F29" s="41">
        <f>F21-F22-F23-F24-F25-F26-F27-F28</f>
        <v/>
      </c>
      <c r="G29" s="41">
        <f>G21-G22-G23-G24-G25-G26-G27-G28</f>
        <v/>
      </c>
      <c r="H29" s="41">
        <f>H21-H22-H23-H24-H25-H26-H27-H28</f>
        <v/>
      </c>
      <c r="I29" s="41">
        <f>I21-I22-I23-I24-I25-I26-I27-I28</f>
        <v/>
      </c>
    </row>
    <row r="30">
      <c r="A30" s="6" t="inlineStr">
        <is>
          <t>Net debt (loans − cash − current investments; company definition)</t>
        </is>
      </c>
      <c r="D30" s="16">
        <f>Assumptions!$C$107-Assumptions!$C$106-Assumptions!$C$113</f>
        <v/>
      </c>
      <c r="E30" s="29">
        <f>E22-E20-E11</f>
        <v/>
      </c>
      <c r="F30" s="29">
        <f>F22-F20-F11</f>
        <v/>
      </c>
      <c r="G30" s="29">
        <f>G22-G20-G11</f>
        <v/>
      </c>
      <c r="H30" s="29">
        <f>H22-H20-H11</f>
        <v/>
      </c>
      <c r="I30" s="29">
        <f>I22-I20-I11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Cash flow — the walk that closes the balance sheet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Lease principal equals right-of-use depreciation; new store leases are non-cash additions</t>
        </is>
      </c>
    </row>
    <row r="4">
      <c r="A4" s="5" t="inlineStr">
        <is>
          <t>SAR mn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Core profit after zakat and tax</t>
        </is>
      </c>
      <c r="B5" s="29">
        <f>'Income Statement'!E13</f>
        <v/>
      </c>
      <c r="C5" s="29">
        <f>'Income Statement'!F13</f>
        <v/>
      </c>
      <c r="D5" s="29">
        <f>'Income Statement'!G13</f>
        <v/>
      </c>
      <c r="E5" s="29">
        <f>'Income Statement'!H13</f>
        <v/>
      </c>
      <c r="F5" s="29">
        <f>'Income Statement'!I13</f>
        <v/>
      </c>
    </row>
    <row r="6">
      <c r="A6" s="6" t="inlineStr">
        <is>
          <t>Add back depreciation and amortisation</t>
        </is>
      </c>
      <c r="B6" s="29">
        <f>'Income Statement'!E10</f>
        <v/>
      </c>
      <c r="C6" s="29">
        <f>'Income Statement'!F10</f>
        <v/>
      </c>
      <c r="D6" s="29">
        <f>'Income Statement'!G10</f>
        <v/>
      </c>
      <c r="E6" s="29">
        <f>'Income Statement'!H10</f>
        <v/>
      </c>
      <c r="F6" s="29">
        <f>'Income Statement'!I10</f>
        <v/>
      </c>
    </row>
    <row r="7">
      <c r="A7" s="6" t="inlineStr">
        <is>
          <t>Working-capital investment (increase is an outflow)</t>
        </is>
      </c>
      <c r="B7" s="29">
        <f>-('Balance Sheet'!E19-'Balance Sheet'!D19)</f>
        <v/>
      </c>
      <c r="C7" s="29">
        <f>-('Balance Sheet'!F19-'Balance Sheet'!E19)</f>
        <v/>
      </c>
      <c r="D7" s="29">
        <f>-('Balance Sheet'!G19-'Balance Sheet'!F19)</f>
        <v/>
      </c>
      <c r="E7" s="29">
        <f>-('Balance Sheet'!H19-'Balance Sheet'!G19)</f>
        <v/>
      </c>
      <c r="F7" s="29">
        <f>-('Balance Sheet'!I19-'Balance Sheet'!H19)</f>
        <v/>
      </c>
    </row>
    <row r="8">
      <c r="A8" s="6" t="inlineStr">
        <is>
          <t>Dividend received from Kinan</t>
        </is>
      </c>
      <c r="B8" s="31">
        <f>Assumptions!$C$84*(1+Assumptions!$C$83)^0</f>
        <v/>
      </c>
      <c r="C8" s="31">
        <f>Assumptions!$C$84*(1+Assumptions!$C$83)^1</f>
        <v/>
      </c>
      <c r="D8" s="31">
        <f>Assumptions!$C$84*(1+Assumptions!$C$83)^2</f>
        <v/>
      </c>
      <c r="E8" s="31">
        <f>Assumptions!$C$84*(1+Assumptions!$C$83)^3</f>
        <v/>
      </c>
      <c r="F8" s="31">
        <f>Assumptions!$C$84*(1+Assumptions!$C$83)^4</f>
        <v/>
      </c>
    </row>
    <row r="9">
      <c r="A9" s="12" t="inlineStr">
        <is>
          <t>Net cash from operating activities</t>
        </is>
      </c>
      <c r="B9" s="30">
        <f>B5+B6+B7+B8</f>
        <v/>
      </c>
      <c r="C9" s="30">
        <f>C5+C6+C7+C8</f>
        <v/>
      </c>
      <c r="D9" s="30">
        <f>D5+D6+D7+D8</f>
        <v/>
      </c>
      <c r="E9" s="30">
        <f>E5+E6+E7+E8</f>
        <v/>
      </c>
      <c r="F9" s="30">
        <f>F5+F6+F7+F8</f>
        <v/>
      </c>
    </row>
    <row r="10">
      <c r="A10" s="6" t="inlineStr">
        <is>
          <t>Capital expenditure (property, plant, equipment and intangibles)</t>
        </is>
      </c>
      <c r="B10" s="29">
        <f>-Assumptions!$B$65</f>
        <v/>
      </c>
      <c r="C10" s="29">
        <f>-Assumptions!$C$65</f>
        <v/>
      </c>
      <c r="D10" s="29">
        <f>-Assumptions!$D$65</f>
        <v/>
      </c>
      <c r="E10" s="29">
        <f>-Assumptions!$E$65</f>
        <v/>
      </c>
      <c r="F10" s="29">
        <f>-Assumptions!$F$65</f>
        <v/>
      </c>
    </row>
    <row r="11">
      <c r="A11" s="12" t="inlineStr">
        <is>
          <t>Net cash used in investing activities</t>
        </is>
      </c>
      <c r="B11" s="30">
        <f>B10</f>
        <v/>
      </c>
      <c r="C11" s="30">
        <f>C10</f>
        <v/>
      </c>
      <c r="D11" s="30">
        <f>D10</f>
        <v/>
      </c>
      <c r="E11" s="30">
        <f>E10</f>
        <v/>
      </c>
      <c r="F11" s="30">
        <f>F10</f>
        <v/>
      </c>
    </row>
    <row r="12">
      <c r="A12" s="6" t="inlineStr">
        <is>
          <t>Payment of lease liabilities — principal (= right-of-use depreciation)</t>
        </is>
      </c>
      <c r="B12" s="29">
        <f>-'Cash Flow'!B19</f>
        <v/>
      </c>
      <c r="C12" s="29">
        <f>-'Cash Flow'!C19</f>
        <v/>
      </c>
      <c r="D12" s="29">
        <f>-'Cash Flow'!D19</f>
        <v/>
      </c>
      <c r="E12" s="29">
        <f>-'Cash Flow'!E19</f>
        <v/>
      </c>
      <c r="F12" s="29">
        <f>-'Cash Flow'!F19</f>
        <v/>
      </c>
    </row>
    <row r="13">
      <c r="A13" s="6" t="inlineStr">
        <is>
          <t>Dividends paid to owners (policy payout on prior profit)</t>
        </is>
      </c>
      <c r="B13" s="29">
        <f>-'Income Statement'!E16*Assumptions!$C$9</f>
        <v/>
      </c>
      <c r="C13" s="29">
        <f>-'Income Statement'!F16*Assumptions!$C$9</f>
        <v/>
      </c>
      <c r="D13" s="29">
        <f>-'Income Statement'!G16*Assumptions!$C$9</f>
        <v/>
      </c>
      <c r="E13" s="29">
        <f>-'Income Statement'!H16*Assumptions!$C$9</f>
        <v/>
      </c>
      <c r="F13" s="29">
        <f>-'Income Statement'!I16*Assumptions!$C$9</f>
        <v/>
      </c>
    </row>
    <row r="14">
      <c r="A14" s="6" t="inlineStr">
        <is>
          <t>Dividends paid to non-controlling interests</t>
        </is>
      </c>
      <c r="B14" s="29">
        <f>-'Income Statement'!E15*Assumptions!$C$9</f>
        <v/>
      </c>
      <c r="C14" s="29">
        <f>-'Income Statement'!F15*Assumptions!$C$9</f>
        <v/>
      </c>
      <c r="D14" s="29">
        <f>-'Income Statement'!G15*Assumptions!$C$9</f>
        <v/>
      </c>
      <c r="E14" s="29">
        <f>-'Income Statement'!H15*Assumptions!$C$9</f>
        <v/>
      </c>
      <c r="F14" s="29">
        <f>-'Income Statement'!I15*Assumptions!$C$9</f>
        <v/>
      </c>
    </row>
    <row r="15">
      <c r="A15" s="12" t="inlineStr">
        <is>
          <t>Net cash used in financing activities</t>
        </is>
      </c>
      <c r="B15" s="30">
        <f>B12+B13+B14</f>
        <v/>
      </c>
      <c r="C15" s="30">
        <f>C12+C13+C14</f>
        <v/>
      </c>
      <c r="D15" s="30">
        <f>D12+D13+D14</f>
        <v/>
      </c>
      <c r="E15" s="30">
        <f>E12+E13+E14</f>
        <v/>
      </c>
      <c r="F15" s="30">
        <f>F12+F13+F14</f>
        <v/>
      </c>
    </row>
    <row r="16">
      <c r="A16" s="6" t="inlineStr">
        <is>
          <t>Net change in cash</t>
        </is>
      </c>
      <c r="B16" s="29">
        <f>B9+B11+B15</f>
        <v/>
      </c>
      <c r="C16" s="29">
        <f>C9+C11+C15</f>
        <v/>
      </c>
      <c r="D16" s="29">
        <f>D9+D11+D15</f>
        <v/>
      </c>
      <c r="E16" s="29">
        <f>E9+E11+E15</f>
        <v/>
      </c>
      <c r="F16" s="29">
        <f>F9+F11+F15</f>
        <v/>
      </c>
    </row>
    <row r="17">
      <c r="A17" s="20" t="inlineStr">
        <is>
          <t>Cash and cash equivalents at year end</t>
        </is>
      </c>
      <c r="B17" s="28">
        <f>Assumptions!$C$106+B16</f>
        <v/>
      </c>
      <c r="C17" s="28">
        <f>B17+C16</f>
        <v/>
      </c>
      <c r="D17" s="28">
        <f>C17+D16</f>
        <v/>
      </c>
      <c r="E17" s="28">
        <f>D17+E16</f>
        <v/>
      </c>
      <c r="F17" s="28">
        <f>E17+F16</f>
        <v/>
      </c>
    </row>
    <row r="19">
      <c r="A19" s="6" t="inlineStr">
        <is>
          <t>Memo: right-of-use depreciation (grows with the store network)</t>
        </is>
      </c>
      <c r="B19" s="31">
        <f>Assumptions!$C$68*(1+Assumptions!$B$69)</f>
        <v/>
      </c>
      <c r="C19" s="31">
        <f>B19*(1+Assumptions!$C$69)</f>
        <v/>
      </c>
      <c r="D19" s="31">
        <f>C19*(1+Assumptions!$D$69)</f>
        <v/>
      </c>
      <c r="E19" s="31">
        <f>D19*(1+Assumptions!$E$69)</f>
        <v/>
      </c>
      <c r="F19" s="31">
        <f>E19*(1+Assumptions!$F$69)</f>
        <v/>
      </c>
    </row>
    <row r="20">
      <c r="A20" s="4" t="inlineStr">
        <is>
          <t>The dividend row applies the stated 50-60% policy (midpoint) to the current year's attributable profit; Savola's actual FY2025 dividend of SAR 510mn was paid during H1-2026.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Summary financials and returns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5" t="inlineStr">
        <is>
          <t>SAR mn</t>
        </is>
      </c>
      <c r="B4" s="5" t="inlineStr">
        <is>
          <t>FY2025</t>
        </is>
      </c>
      <c r="C4" s="5" t="inlineStr">
        <is>
          <t>2026E</t>
        </is>
      </c>
      <c r="D4" s="5" t="inlineStr">
        <is>
          <t>2027E</t>
        </is>
      </c>
      <c r="E4" s="5" t="inlineStr">
        <is>
          <t>2028E</t>
        </is>
      </c>
      <c r="F4" s="5" t="inlineStr">
        <is>
          <t>2029E</t>
        </is>
      </c>
      <c r="G4" s="5" t="inlineStr">
        <is>
          <t>2030E</t>
        </is>
      </c>
    </row>
    <row r="5">
      <c r="A5" s="6" t="inlineStr">
        <is>
          <t>Revenue</t>
        </is>
      </c>
      <c r="B5" s="18" t="n">
        <v>26081.053</v>
      </c>
      <c r="C5" s="29">
        <f>'Income Statement'!E5</f>
        <v/>
      </c>
      <c r="D5" s="29">
        <f>'Income Statement'!F5</f>
        <v/>
      </c>
      <c r="E5" s="29">
        <f>'Income Statement'!G5</f>
        <v/>
      </c>
      <c r="F5" s="29">
        <f>'Income Statement'!H5</f>
        <v/>
      </c>
      <c r="G5" s="29">
        <f>'Income Statement'!I5</f>
        <v/>
      </c>
    </row>
    <row r="6">
      <c r="A6" s="6" t="inlineStr">
        <is>
          <t>Operating EBITDA</t>
        </is>
      </c>
      <c r="B6" s="18" t="n">
        <v>2350.935</v>
      </c>
      <c r="C6" s="29">
        <f>'Income Statement'!E9</f>
        <v/>
      </c>
      <c r="D6" s="29">
        <f>'Income Statement'!F9</f>
        <v/>
      </c>
      <c r="E6" s="29">
        <f>'Income Statement'!G9</f>
        <v/>
      </c>
      <c r="F6" s="29">
        <f>'Income Statement'!H9</f>
        <v/>
      </c>
      <c r="G6" s="29">
        <f>'Income Statement'!I9</f>
        <v/>
      </c>
    </row>
    <row r="7">
      <c r="A7" s="6" t="inlineStr">
        <is>
          <t>EBITDA margin</t>
        </is>
      </c>
      <c r="B7" s="23" t="n">
        <v>0.09013957373576903</v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  <c r="G7" s="11">
        <f>G6/G5</f>
        <v/>
      </c>
    </row>
    <row r="8">
      <c r="A8" s="6" t="inlineStr">
        <is>
          <t>Profit attributable to owners</t>
        </is>
      </c>
      <c r="B8" s="18" t="n">
        <v>874.462</v>
      </c>
      <c r="C8" s="29">
        <f>'Income Statement'!E16</f>
        <v/>
      </c>
      <c r="D8" s="29">
        <f>'Income Statement'!F16</f>
        <v/>
      </c>
      <c r="E8" s="29">
        <f>'Income Statement'!G16</f>
        <v/>
      </c>
      <c r="F8" s="29">
        <f>'Income Statement'!H16</f>
        <v/>
      </c>
      <c r="G8" s="29">
        <f>'Income Statement'!I16</f>
        <v/>
      </c>
    </row>
    <row r="9">
      <c r="A9" s="6" t="inlineStr">
        <is>
          <t>EPS (SAR)</t>
        </is>
      </c>
      <c r="B9" s="7" t="n">
        <v>2.93</v>
      </c>
      <c r="C9" s="10">
        <f>'Income Statement'!E17</f>
        <v/>
      </c>
      <c r="D9" s="10">
        <f>'Income Statement'!F17</f>
        <v/>
      </c>
      <c r="E9" s="10">
        <f>'Income Statement'!G17</f>
        <v/>
      </c>
      <c r="F9" s="10">
        <f>'Income Statement'!H17</f>
        <v/>
      </c>
      <c r="G9" s="10">
        <f>'Income Statement'!I17</f>
        <v/>
      </c>
    </row>
    <row r="10">
      <c r="A10" s="6" t="inlineStr">
        <is>
          <t>Capital expenditure</t>
        </is>
      </c>
      <c r="B10" s="18" t="n">
        <v>858.5</v>
      </c>
      <c r="C10" s="29">
        <f>Assumptions!$B$65</f>
        <v/>
      </c>
      <c r="D10" s="29">
        <f>Assumptions!$C$65</f>
        <v/>
      </c>
      <c r="E10" s="29">
        <f>Assumptions!$D$65</f>
        <v/>
      </c>
      <c r="F10" s="29">
        <f>Assumptions!$E$65</f>
        <v/>
      </c>
      <c r="G10" s="29">
        <f>Assumptions!$F$65</f>
        <v/>
      </c>
    </row>
    <row r="11">
      <c r="A11" s="6" t="inlineStr">
        <is>
          <t>Free cash flow to the firm</t>
        </is>
      </c>
      <c r="C11" s="29">
        <f>DCF!B15</f>
        <v/>
      </c>
      <c r="D11" s="29">
        <f>DCF!C15</f>
        <v/>
      </c>
      <c r="E11" s="29">
        <f>DCF!D15</f>
        <v/>
      </c>
      <c r="F11" s="29">
        <f>DCF!E15</f>
        <v/>
      </c>
      <c r="G11" s="29">
        <f>DCF!F15</f>
        <v/>
      </c>
    </row>
    <row r="12">
      <c r="A12" s="6" t="inlineStr">
        <is>
          <t>Net debt (company definition)</t>
        </is>
      </c>
      <c r="B12" s="18" t="n">
        <v>903.985</v>
      </c>
      <c r="C12" s="29">
        <f>'Balance Sheet'!E30</f>
        <v/>
      </c>
      <c r="D12" s="29">
        <f>'Balance Sheet'!F30</f>
        <v/>
      </c>
      <c r="E12" s="29">
        <f>'Balance Sheet'!G30</f>
        <v/>
      </c>
      <c r="F12" s="29">
        <f>'Balance Sheet'!H30</f>
        <v/>
      </c>
      <c r="G12" s="29">
        <f>'Balance Sheet'!I30</f>
        <v/>
      </c>
    </row>
    <row r="13">
      <c r="A13" s="6" t="inlineStr">
        <is>
          <t>Equity attributable to owners</t>
        </is>
      </c>
      <c r="B13" s="18" t="n">
        <v>5516.027</v>
      </c>
      <c r="C13" s="29">
        <f>'Balance Sheet'!E27</f>
        <v/>
      </c>
      <c r="D13" s="29">
        <f>'Balance Sheet'!F27</f>
        <v/>
      </c>
      <c r="E13" s="29">
        <f>'Balance Sheet'!G27</f>
        <v/>
      </c>
      <c r="F13" s="29">
        <f>'Balance Sheet'!H27</f>
        <v/>
      </c>
      <c r="G13" s="29">
        <f>'Balance Sheet'!I27</f>
        <v/>
      </c>
    </row>
    <row r="15">
      <c r="A15" s="6" t="inlineStr">
        <is>
          <t>Invested capital (equity + minorities + debt + leases − cash − investments − Kinan)</t>
        </is>
      </c>
      <c r="C15" s="29">
        <f>'Balance Sheet'!E27+'Balance Sheet'!E28+Assumptions!$C$107+'Balance Sheet'!E23-'Balance Sheet'!E20-Assumptions!$C$113-Assumptions!$C$112-'Balance Sheet'!E9</f>
        <v/>
      </c>
      <c r="D15" s="29">
        <f>'Balance Sheet'!F27+'Balance Sheet'!F28+Assumptions!$C$107+'Balance Sheet'!F23-'Balance Sheet'!F20-Assumptions!$C$113-Assumptions!$C$112-'Balance Sheet'!F9</f>
        <v/>
      </c>
      <c r="E15" s="29">
        <f>'Balance Sheet'!G27+'Balance Sheet'!G28+Assumptions!$C$107+'Balance Sheet'!G23-'Balance Sheet'!G20-Assumptions!$C$113-Assumptions!$C$112-'Balance Sheet'!G9</f>
        <v/>
      </c>
      <c r="F15" s="29">
        <f>'Balance Sheet'!H27+'Balance Sheet'!H28+Assumptions!$C$107+'Balance Sheet'!H23-'Balance Sheet'!H20-Assumptions!$C$113-Assumptions!$C$112-'Balance Sheet'!H9</f>
        <v/>
      </c>
      <c r="G15" s="29">
        <f>'Balance Sheet'!I27+'Balance Sheet'!I28+Assumptions!$C$107+'Balance Sheet'!I23-'Balance Sheet'!I20-Assumptions!$C$113-Assumptions!$C$112-'Balance Sheet'!I9</f>
        <v/>
      </c>
    </row>
    <row r="16">
      <c r="A16" s="6" t="inlineStr">
        <is>
          <t>Return on invested capital (NOPAT / opening invested capital)</t>
        </is>
      </c>
      <c r="C16" s="33">
        <f>DCF!B10/(Assumptions!$C$123+Assumptions!$C$117+Assumptions!$C$107+Assumptions!$C$108-Assumptions!$C$106-Assumptions!$C$113-Assumptions!$C$112-Assumptions!$C$122)</f>
        <v/>
      </c>
      <c r="D16" s="33">
        <f>DCF!C10/C15</f>
        <v/>
      </c>
      <c r="E16" s="33">
        <f>DCF!D10/D15</f>
        <v/>
      </c>
      <c r="F16" s="33">
        <f>DCF!E10/E15</f>
        <v/>
      </c>
      <c r="G16" s="33">
        <f>DCF!F10/F15</f>
        <v/>
      </c>
    </row>
    <row r="17">
      <c r="A17" s="6" t="inlineStr">
        <is>
          <t>Return on equity (attributable profit / opening equity)</t>
        </is>
      </c>
      <c r="C17" s="33">
        <f>'Income Statement'!E16/Assumptions!$C$123</f>
        <v/>
      </c>
      <c r="D17" s="33">
        <f>'Income Statement'!F16/'Balance Sheet'!E27</f>
        <v/>
      </c>
      <c r="E17" s="33">
        <f>'Income Statement'!G16/'Balance Sheet'!F27</f>
        <v/>
      </c>
      <c r="F17" s="33">
        <f>'Income Statement'!H16/'Balance Sheet'!G27</f>
        <v/>
      </c>
      <c r="G17" s="33">
        <f>'Income Statement'!I16/'Balance Sheet'!H27</f>
        <v/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Monte Carlo price map — engine output (pasted by construction)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Each figure is a 50,000-path simulation of the whole price process; the grid does not redraw when a driver changes</t>
        </is>
      </c>
    </row>
    <row r="4">
      <c r="A4" s="6" t="inlineStr">
        <is>
          <t>Anchor: SAR 25.30 on 2026-08-18 · annualized volatility ~30%</t>
        </is>
      </c>
    </row>
    <row r="6">
      <c r="A6" s="5" t="inlineStr">
        <is>
          <t>Horizon</t>
        </is>
      </c>
      <c r="B6" s="5" t="inlineStr">
        <is>
          <t>p5</t>
        </is>
      </c>
      <c r="C6" s="5" t="inlineStr">
        <is>
          <t>p25</t>
        </is>
      </c>
      <c r="D6" s="5" t="inlineStr">
        <is>
          <t>p50</t>
        </is>
      </c>
      <c r="E6" s="5" t="inlineStr">
        <is>
          <t>p75</t>
        </is>
      </c>
      <c r="F6" s="5" t="inlineStr">
        <is>
          <t>p95</t>
        </is>
      </c>
      <c r="G6" s="5" t="inlineStr">
        <is>
          <t>P(above spot)</t>
        </is>
      </c>
    </row>
    <row r="7">
      <c r="A7" s="6" t="inlineStr">
        <is>
          <t>One month (to 2026-09-20)</t>
        </is>
      </c>
      <c r="B7" s="7" t="n">
        <v>21.84081046685694</v>
      </c>
      <c r="C7" s="7" t="n">
        <v>23.94562286968396</v>
      </c>
      <c r="D7" s="7" t="n">
        <v>25.37401893320617</v>
      </c>
      <c r="E7" s="7" t="n">
        <v>26.9123532953704</v>
      </c>
      <c r="F7" s="7" t="n">
        <v>29.53151427244975</v>
      </c>
      <c r="G7" s="23" t="n">
        <v>0.5133799999999999</v>
      </c>
    </row>
    <row r="8">
      <c r="A8" s="6" t="inlineStr">
        <is>
          <t>Three months (to 2026-11-18)</t>
        </is>
      </c>
      <c r="B8" s="7" t="n">
        <v>19.73425220302427</v>
      </c>
      <c r="C8" s="7" t="n">
        <v>23.12222139398396</v>
      </c>
      <c r="D8" s="7" t="n">
        <v>25.5824242698982</v>
      </c>
      <c r="E8" s="7" t="n">
        <v>28.27699995429274</v>
      </c>
      <c r="F8" s="7" t="n">
        <v>33.13875497977565</v>
      </c>
      <c r="G8" s="23" t="n">
        <v>0.52996</v>
      </c>
    </row>
    <row r="10">
      <c r="A10" s="5" t="inlineStr">
        <is>
          <t>Touch probability within 3M</t>
        </is>
      </c>
      <c r="B10" s="5" t="inlineStr">
        <is>
          <t>+5%</t>
        </is>
      </c>
      <c r="C10" s="5" t="inlineStr">
        <is>
          <t>+10%</t>
        </is>
      </c>
      <c r="D10" s="5" t="inlineStr">
        <is>
          <t>+15%</t>
        </is>
      </c>
      <c r="E10" s="5" t="inlineStr">
        <is>
          <t>−5%</t>
        </is>
      </c>
      <c r="F10" s="5" t="inlineStr">
        <is>
          <t>−10%</t>
        </is>
      </c>
      <c r="G10" s="5" t="inlineStr">
        <is>
          <t>−15%</t>
        </is>
      </c>
    </row>
    <row r="11">
      <c r="A11" s="6" t="inlineStr">
        <is>
          <t>Probability the level trades at least once</t>
        </is>
      </c>
      <c r="B11" s="23" t="n">
        <v>0.7097599999999999</v>
      </c>
      <c r="C11" s="23" t="n">
        <v>0.50386</v>
      </c>
      <c r="D11" s="23" t="n">
        <v>0.34024</v>
      </c>
      <c r="E11" s="23" t="n">
        <v>0.657</v>
      </c>
      <c r="F11" s="23" t="n">
        <v>0.414</v>
      </c>
      <c r="G11" s="23" t="n">
        <v>0.2364</v>
      </c>
    </row>
    <row r="13">
      <c r="A13" s="20" t="inlineStr">
        <is>
          <t>Backtest of the same price engine on Savola (plain language):</t>
        </is>
      </c>
    </row>
    <row r="14" ht="28" customHeight="1">
      <c r="A14" s="21" t="inlineStr">
        <is>
          <t>Over the last five years (2021-10-26 to 2026-04-28), 19 non-overlapping three-month forecasts scored +0.9% against a carry-anchored random walk.</t>
        </is>
      </c>
    </row>
    <row r="15" ht="28" customHeight="1">
      <c r="A15" s="21" t="inlineStr">
        <is>
          <t>Realized outcomes fell inside the 50/80/90% bands 53%/79%/84% of the time; the forecast percentiles were roughly uniform (chi-square p = 0.28, KS p = 0.64).</t>
        </is>
      </c>
    </row>
    <row r="16" ht="28" customHeight="1">
      <c r="A16" s="21" t="inlineStr">
        <is>
          <t>Across the full cleaned history (58 windows) the score was +0.4%; the engine is statistically indistinguishable from the benchmark on this name — the map is honest about dispersion, not a source of edge.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Sensitivity — engine re-runs (pasted by construction)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Each cell is a complete revaluation of the whole model; the grids do not redraw when a driver changes</t>
        </is>
      </c>
    </row>
    <row r="4">
      <c r="A4" s="20" t="inlineStr">
        <is>
          <t>Fair value per share at the anchor: cost of capital x terminal growth</t>
        </is>
      </c>
    </row>
    <row r="5">
      <c r="A5" s="5" t="inlineStr">
        <is>
          <t>WACC \ g</t>
        </is>
      </c>
      <c r="B5" s="5" t="inlineStr">
        <is>
          <t>1.5%</t>
        </is>
      </c>
      <c r="C5" s="5" t="inlineStr">
        <is>
          <t>2.0%</t>
        </is>
      </c>
      <c r="D5" s="5" t="inlineStr">
        <is>
          <t>2.5%</t>
        </is>
      </c>
      <c r="E5" s="5" t="inlineStr">
        <is>
          <t>3.0%</t>
        </is>
      </c>
      <c r="F5" s="5" t="inlineStr">
        <is>
          <t>3.5%</t>
        </is>
      </c>
    </row>
    <row r="6">
      <c r="A6" s="6" t="inlineStr">
        <is>
          <t>6.97%</t>
        </is>
      </c>
      <c r="B6" s="7" t="n">
        <v>32.60066827857501</v>
      </c>
      <c r="C6" s="7" t="n">
        <v>34.12906335691822</v>
      </c>
      <c r="D6" s="7" t="n">
        <v>35.93804654225472</v>
      </c>
      <c r="E6" s="7" t="n">
        <v>38.1220892811679</v>
      </c>
      <c r="F6" s="7" t="n">
        <v>40.8234346745701</v>
      </c>
    </row>
    <row r="7">
      <c r="A7" s="6" t="inlineStr">
        <is>
          <t>7.47%</t>
        </is>
      </c>
      <c r="B7" s="7" t="n">
        <v>28.25118669732615</v>
      </c>
      <c r="C7" s="7" t="n">
        <v>29.34990322322812</v>
      </c>
      <c r="D7" s="7" t="n">
        <v>30.62530722512595</v>
      </c>
      <c r="E7" s="7" t="n">
        <v>32.13088497868485</v>
      </c>
      <c r="F7" s="7" t="n">
        <v>33.9441338786374</v>
      </c>
    </row>
    <row r="8">
      <c r="A8" s="6" t="inlineStr">
        <is>
          <t>7.97%</t>
        </is>
      </c>
      <c r="B8" s="7" t="n">
        <v>24.5294867543425</v>
      </c>
      <c r="C8" s="7" t="n">
        <v>25.31217148017632</v>
      </c>
      <c r="D8" s="7" t="n">
        <v>26.20415945859007</v>
      </c>
      <c r="E8" s="7" t="n">
        <v>27.23550588735214</v>
      </c>
      <c r="F8" s="7" t="n">
        <v>28.44839691717631</v>
      </c>
    </row>
    <row r="9">
      <c r="A9" s="6" t="inlineStr">
        <is>
          <t>8.47%</t>
        </is>
      </c>
      <c r="B9" s="7" t="n">
        <v>21.30920193376321</v>
      </c>
      <c r="C9" s="7" t="n">
        <v>21.85595185274226</v>
      </c>
      <c r="D9" s="7" t="n">
        <v>22.46745481472315</v>
      </c>
      <c r="E9" s="7" t="n">
        <v>23.16002106586477</v>
      </c>
      <c r="F9" s="7" t="n">
        <v>23.95594063990328</v>
      </c>
    </row>
    <row r="10">
      <c r="A10" s="6" t="inlineStr">
        <is>
          <t>8.97%</t>
        </is>
      </c>
      <c r="B10" s="7" t="n">
        <v>18.4957370225659</v>
      </c>
      <c r="C10" s="7" t="n">
        <v>18.8642291675344</v>
      </c>
      <c r="D10" s="7" t="n">
        <v>19.26761045893896</v>
      </c>
      <c r="E10" s="7" t="n">
        <v>19.71398820914926</v>
      </c>
      <c r="F10" s="7" t="n">
        <v>20.21419253200344</v>
      </c>
    </row>
    <row r="12">
      <c r="A12" s="20" t="inlineStr">
        <is>
          <t>Beta (the 90% confidence interval of the measured beta spans 0.73-1.44)</t>
        </is>
      </c>
    </row>
    <row r="13">
      <c r="A13" s="5" t="inlineStr">
        <is>
          <t>Beta</t>
        </is>
      </c>
      <c r="B13" s="5" t="inlineStr">
        <is>
          <t>Fair value (SAR)</t>
        </is>
      </c>
    </row>
    <row r="14">
      <c r="A14" s="25" t="n">
        <v>0.73</v>
      </c>
      <c r="B14" s="7" t="n">
        <v>37.11298353438931</v>
      </c>
    </row>
    <row r="15">
      <c r="A15" s="25" t="n">
        <v>0.9</v>
      </c>
      <c r="B15" s="7" t="n">
        <v>31.33995325369009</v>
      </c>
    </row>
    <row r="16">
      <c r="A16" s="25" t="n">
        <v>1</v>
      </c>
      <c r="B16" s="7" t="n">
        <v>28.45978371798538</v>
      </c>
    </row>
    <row r="17">
      <c r="A17" s="25" t="n">
        <v>1.087</v>
      </c>
      <c r="B17" s="7" t="n">
        <v>26.20415945859007</v>
      </c>
    </row>
    <row r="18">
      <c r="A18" s="25" t="n">
        <v>1.2</v>
      </c>
      <c r="B18" s="7" t="n">
        <v>23.56825030609248</v>
      </c>
    </row>
    <row r="19">
      <c r="A19" s="25" t="n">
        <v>1.44</v>
      </c>
      <c r="B19" s="7" t="n">
        <v>18.84930095250219</v>
      </c>
    </row>
    <row r="21">
      <c r="A21" s="20" t="inlineStr">
        <is>
          <t>Risk-free construction</t>
        </is>
      </c>
    </row>
    <row r="22">
      <c r="A22" s="5" t="inlineStr">
        <is>
          <t>10Y SAR level</t>
        </is>
      </c>
      <c r="B22" s="5" t="inlineStr">
        <is>
          <t>Fair value (SAR)</t>
        </is>
      </c>
    </row>
    <row r="23">
      <c r="A23" s="6" t="inlineStr">
        <is>
          <t>5.03%</t>
        </is>
      </c>
      <c r="B23" s="7" t="n">
        <v>28.8103064409648</v>
      </c>
    </row>
    <row r="24">
      <c r="A24" s="6" t="inlineStr">
        <is>
          <t>5.53% (base)</t>
        </is>
      </c>
      <c r="B24" s="7" t="n">
        <v>26.20415945859007</v>
      </c>
    </row>
    <row r="25">
      <c r="A25" s="6" t="inlineStr">
        <is>
          <t>6.03%</t>
        </is>
      </c>
      <c r="B25" s="7" t="n">
        <v>23.86068426921919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Per-share figures, ratios and operating KPIs</t>
        </is>
      </c>
      <c r="B1" s="2" t="n"/>
      <c r="C1" s="2" t="n"/>
      <c r="D1" s="2" t="n"/>
      <c r="E1" s="2" t="n"/>
      <c r="F1" s="2" t="n"/>
      <c r="G1" s="2" t="n"/>
      <c r="H1" s="2" t="n"/>
    </row>
    <row r="4">
      <c r="A4" s="5" t="inlineStr">
        <is>
          <t>Per share (SAR)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EPS</t>
        </is>
      </c>
      <c r="B5" s="10">
        <f>'Income Statement'!E17</f>
        <v/>
      </c>
      <c r="C5" s="10">
        <f>'Income Statement'!F17</f>
        <v/>
      </c>
      <c r="D5" s="10">
        <f>'Income Statement'!G17</f>
        <v/>
      </c>
      <c r="E5" s="10">
        <f>'Income Statement'!H17</f>
        <v/>
      </c>
      <c r="F5" s="10">
        <f>'Income Statement'!I17</f>
        <v/>
      </c>
    </row>
    <row r="6">
      <c r="A6" s="6" t="inlineStr">
        <is>
          <t>Dividend per share (policy payout)</t>
        </is>
      </c>
      <c r="B6" s="10">
        <f>'Income Statement'!E16*Assumptions!$C$9/Assumptions!$C$7</f>
        <v/>
      </c>
      <c r="C6" s="10">
        <f>'Income Statement'!F16*Assumptions!$C$9/Assumptions!$C$7</f>
        <v/>
      </c>
      <c r="D6" s="10">
        <f>'Income Statement'!G16*Assumptions!$C$9/Assumptions!$C$7</f>
        <v/>
      </c>
      <c r="E6" s="10">
        <f>'Income Statement'!H16*Assumptions!$C$9/Assumptions!$C$7</f>
        <v/>
      </c>
      <c r="F6" s="10">
        <f>'Income Statement'!I16*Assumptions!$C$9/Assumptions!$C$7</f>
        <v/>
      </c>
    </row>
    <row r="7">
      <c r="A7" s="6" t="inlineStr">
        <is>
          <t>Book value per share</t>
        </is>
      </c>
      <c r="B7" s="10">
        <f>'Balance Sheet'!E27/Assumptions!$C$7</f>
        <v/>
      </c>
      <c r="C7" s="10">
        <f>'Balance Sheet'!F27/Assumptions!$C$7</f>
        <v/>
      </c>
      <c r="D7" s="10">
        <f>'Balance Sheet'!G27/Assumptions!$C$7</f>
        <v/>
      </c>
      <c r="E7" s="10">
        <f>'Balance Sheet'!H27/Assumptions!$C$7</f>
        <v/>
      </c>
      <c r="F7" s="10">
        <f>'Balance Sheet'!I27/Assumptions!$C$7</f>
        <v/>
      </c>
    </row>
    <row r="8">
      <c r="A8" s="6" t="inlineStr">
        <is>
          <t>Free cash flow to the firm per share</t>
        </is>
      </c>
      <c r="B8" s="10">
        <f>DCF!B15/Assumptions!$C$7</f>
        <v/>
      </c>
      <c r="C8" s="10">
        <f>DCF!C15/Assumptions!$C$7</f>
        <v/>
      </c>
      <c r="D8" s="10">
        <f>DCF!D15/Assumptions!$C$7</f>
        <v/>
      </c>
      <c r="E8" s="10">
        <f>DCF!E15/Assumptions!$C$7</f>
        <v/>
      </c>
      <c r="F8" s="10">
        <f>DCF!F15/Assumptions!$C$7</f>
        <v/>
      </c>
    </row>
    <row r="10">
      <c r="A10" s="5" t="inlineStr">
        <is>
          <t>Ratios</t>
        </is>
      </c>
      <c r="B10" s="5" t="inlineStr">
        <is>
          <t>2026E</t>
        </is>
      </c>
      <c r="C10" s="5" t="inlineStr">
        <is>
          <t>2027E</t>
        </is>
      </c>
      <c r="D10" s="5" t="inlineStr">
        <is>
          <t>2028E</t>
        </is>
      </c>
      <c r="E10" s="5" t="inlineStr">
        <is>
          <t>2029E</t>
        </is>
      </c>
      <c r="F10" s="5" t="inlineStr">
        <is>
          <t>2030E</t>
        </is>
      </c>
    </row>
    <row r="11">
      <c r="A11" s="6" t="inlineStr">
        <is>
          <t>Net debt / EBITDA (loans basis)</t>
        </is>
      </c>
      <c r="B11" s="34">
        <f>'Balance Sheet'!E30/Segments!B43</f>
        <v/>
      </c>
      <c r="C11" s="34">
        <f>'Balance Sheet'!F30/Segments!C43</f>
        <v/>
      </c>
      <c r="D11" s="34">
        <f>'Balance Sheet'!G30/Segments!D43</f>
        <v/>
      </c>
      <c r="E11" s="34">
        <f>'Balance Sheet'!H30/Segments!E43</f>
        <v/>
      </c>
      <c r="F11" s="34">
        <f>'Balance Sheet'!I30/Segments!F43</f>
        <v/>
      </c>
    </row>
    <row r="12">
      <c r="A12" s="6" t="inlineStr">
        <is>
          <t>Payout ratio (policy)</t>
        </is>
      </c>
      <c r="B12" s="11">
        <f>Assumptions!$C$9</f>
        <v/>
      </c>
      <c r="C12" s="11">
        <f>Assumptions!$C$9</f>
        <v/>
      </c>
      <c r="D12" s="11">
        <f>Assumptions!$C$9</f>
        <v/>
      </c>
      <c r="E12" s="11">
        <f>Assumptions!$C$9</f>
        <v/>
      </c>
      <c r="F12" s="11">
        <f>Assumptions!$C$9</f>
        <v/>
      </c>
    </row>
    <row r="13">
      <c r="A13" s="6" t="inlineStr">
        <is>
          <t>Dividend yield at spot</t>
        </is>
      </c>
      <c r="B13" s="11">
        <f>'Income Statement'!E16*Assumptions!$C$9/Assumptions!$C$7/Assumptions!$C$5</f>
        <v/>
      </c>
      <c r="C13" s="11">
        <f>'Income Statement'!F16*Assumptions!$C$9/Assumptions!$C$7/Assumptions!$C$5</f>
        <v/>
      </c>
      <c r="D13" s="11">
        <f>'Income Statement'!G16*Assumptions!$C$9/Assumptions!$C$7/Assumptions!$C$5</f>
        <v/>
      </c>
      <c r="E13" s="11">
        <f>'Income Statement'!H16*Assumptions!$C$9/Assumptions!$C$7/Assumptions!$C$5</f>
        <v/>
      </c>
      <c r="F13" s="11">
        <f>'Income Statement'!I16*Assumptions!$C$9/Assumptions!$C$7/Assumptions!$C$5</f>
        <v/>
      </c>
    </row>
    <row r="15">
      <c r="A15" s="5" t="inlineStr">
        <is>
          <t>Operating KPIs (from the unit build)</t>
        </is>
      </c>
      <c r="B15" s="5" t="inlineStr">
        <is>
          <t>2026E</t>
        </is>
      </c>
      <c r="C15" s="5" t="inlineStr">
        <is>
          <t>2027E</t>
        </is>
      </c>
      <c r="D15" s="5" t="inlineStr">
        <is>
          <t>2028E</t>
        </is>
      </c>
      <c r="E15" s="5" t="inlineStr">
        <is>
          <t>2029E</t>
        </is>
      </c>
      <c r="F15" s="5" t="inlineStr">
        <is>
          <t>2030E</t>
        </is>
      </c>
    </row>
    <row r="16">
      <c r="A16" s="6" t="inlineStr">
        <is>
          <t>Oil volume (k MT)</t>
        </is>
      </c>
      <c r="B16" s="16">
        <f>Segments!B5</f>
        <v/>
      </c>
      <c r="C16" s="16">
        <f>Segments!C5</f>
        <v/>
      </c>
      <c r="D16" s="16">
        <f>Segments!D5</f>
        <v/>
      </c>
      <c r="E16" s="16">
        <f>Segments!E5</f>
        <v/>
      </c>
      <c r="F16" s="16">
        <f>Segments!F5</f>
        <v/>
      </c>
    </row>
    <row r="17">
      <c r="A17" s="6" t="inlineStr">
        <is>
          <t>Sugar volume (k MT)</t>
        </is>
      </c>
      <c r="B17" s="16">
        <f>Segments!B10</f>
        <v/>
      </c>
      <c r="C17" s="16">
        <f>Segments!C10</f>
        <v/>
      </c>
      <c r="D17" s="16">
        <f>Segments!D10</f>
        <v/>
      </c>
      <c r="E17" s="16">
        <f>Segments!E10</f>
        <v/>
      </c>
      <c r="F17" s="16">
        <f>Segments!F10</f>
        <v/>
      </c>
    </row>
    <row r="18">
      <c r="A18" s="6" t="inlineStr">
        <is>
          <t>Pasta volume (k MT)</t>
        </is>
      </c>
      <c r="B18" s="16">
        <f>Segments!B15</f>
        <v/>
      </c>
      <c r="C18" s="16">
        <f>Segments!C15</f>
        <v/>
      </c>
      <c r="D18" s="16">
        <f>Segments!D15</f>
        <v/>
      </c>
      <c r="E18" s="16">
        <f>Segments!E15</f>
        <v/>
      </c>
      <c r="F18" s="16">
        <f>Segments!F15</f>
        <v/>
      </c>
    </row>
    <row r="19">
      <c r="A19" s="6" t="inlineStr">
        <is>
          <t>Panda stores (year end)</t>
        </is>
      </c>
      <c r="B19" s="16">
        <f>Assumptions!$B$48</f>
        <v/>
      </c>
      <c r="C19" s="16">
        <f>Assumptions!$C$48</f>
        <v/>
      </c>
      <c r="D19" s="16">
        <f>Assumptions!$D$48</f>
        <v/>
      </c>
      <c r="E19" s="16">
        <f>Assumptions!$E$48</f>
        <v/>
      </c>
      <c r="F19" s="16">
        <f>Assumptions!$F$48</f>
        <v/>
      </c>
    </row>
    <row r="20">
      <c r="A20" s="6" t="inlineStr">
        <is>
          <t>Panda sales per average store (SAR mn)</t>
        </is>
      </c>
      <c r="B20" s="42">
        <f>Segments!B29</f>
        <v/>
      </c>
      <c r="C20" s="42">
        <f>Segments!C29</f>
        <v/>
      </c>
      <c r="D20" s="42">
        <f>Segments!D29</f>
        <v/>
      </c>
      <c r="E20" s="42">
        <f>Segments!E29</f>
        <v/>
      </c>
      <c r="F20" s="42">
        <f>Segments!F29</f>
        <v/>
      </c>
    </row>
    <row r="21">
      <c r="A21" s="6" t="inlineStr">
        <is>
          <t>Group EBITDA margin (output)</t>
        </is>
      </c>
      <c r="B21" s="9">
        <f>Segments!B44</f>
        <v/>
      </c>
      <c r="C21" s="9">
        <f>Segments!C44</f>
        <v/>
      </c>
      <c r="D21" s="9">
        <f>Segments!D44</f>
        <v/>
      </c>
      <c r="E21" s="9">
        <f>Segments!E44</f>
        <v/>
      </c>
      <c r="F21" s="9">
        <f>Segments!F44</f>
        <v/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Peer frame — market data, cross-check only</t>
        </is>
      </c>
      <c r="B1" s="2" t="n"/>
      <c r="C1" s="2" t="n"/>
      <c r="D1" s="2" t="n"/>
      <c r="E1" s="2" t="n"/>
      <c r="F1" s="2" t="n"/>
    </row>
    <row r="2">
      <c r="A2" s="4" t="inlineStr">
        <is>
          <t>Quotes of 18-Aug-2026; the peer-mix multiple used by the lenses is computed on the Relative &amp; Normalized sheet from these cells</t>
        </is>
      </c>
    </row>
    <row r="4">
      <c r="A4" s="5" t="inlineStr">
        <is>
          <t>Company</t>
        </is>
      </c>
      <c r="B4" s="5" t="inlineStr">
        <is>
          <t>Exchange</t>
        </is>
      </c>
      <c r="C4" s="5" t="inlineStr">
        <is>
          <t>P/E (TTM)</t>
        </is>
      </c>
      <c r="D4" s="5" t="inlineStr">
        <is>
          <t>Note</t>
        </is>
      </c>
    </row>
    <row r="5">
      <c r="A5" s="6" t="inlineStr">
        <is>
          <t>Almarai</t>
        </is>
      </c>
      <c r="B5" s="6" t="inlineStr">
        <is>
          <t>Tadawul 2280</t>
        </is>
      </c>
      <c r="C5" s="43">
        <f>Assumptions!$C$126</f>
        <v/>
      </c>
      <c r="D5" s="6" t="inlineStr">
        <is>
          <t>GCC food &amp; beverage leader</t>
        </is>
      </c>
    </row>
    <row r="6">
      <c r="A6" s="6" t="inlineStr">
        <is>
          <t>Al Othaim Markets</t>
        </is>
      </c>
      <c r="B6" s="6" t="inlineStr">
        <is>
          <t>Tadawul 4001</t>
        </is>
      </c>
      <c r="C6" s="43">
        <f>Assumptions!$C$127</f>
        <v/>
      </c>
      <c r="D6" s="6" t="inlineStr">
        <is>
          <t>Saudi grocery retail</t>
        </is>
      </c>
    </row>
    <row r="7">
      <c r="A7" s="6" t="inlineStr">
        <is>
          <t>BinDawood Holding</t>
        </is>
      </c>
      <c r="B7" s="6" t="inlineStr">
        <is>
          <t>Tadawul 4161</t>
        </is>
      </c>
      <c r="C7" s="43">
        <f>Assumptions!$C$128</f>
        <v/>
      </c>
      <c r="D7" s="6" t="inlineStr">
        <is>
          <t>Saudi grocery retail</t>
        </is>
      </c>
    </row>
    <row r="8">
      <c r="A8" s="6" t="inlineStr">
        <is>
          <t>NADEC</t>
        </is>
      </c>
      <c r="B8" s="6" t="inlineStr">
        <is>
          <t>Tadawul 6010</t>
        </is>
      </c>
      <c r="C8" s="43">
        <f>Assumptions!$C$129</f>
        <v/>
      </c>
      <c r="D8" s="6" t="inlineStr">
        <is>
          <t>Saudi agri-food</t>
        </is>
      </c>
    </row>
    <row r="9">
      <c r="A9" s="6" t="inlineStr">
        <is>
          <t>Wilmar International</t>
        </is>
      </c>
      <c r="B9" s="6" t="inlineStr">
        <is>
          <t>SGX F34</t>
        </is>
      </c>
      <c r="C9" s="43">
        <f>Assumptions!$C$130</f>
        <v/>
      </c>
      <c r="D9" s="6" t="inlineStr">
        <is>
          <t>international agri-food analogue</t>
        </is>
      </c>
    </row>
    <row r="10">
      <c r="A10" s="6" t="inlineStr">
        <is>
          <t>Herfy Food Services</t>
        </is>
      </c>
      <c r="B10" s="6" t="inlineStr">
        <is>
          <t>Tadawul 6002</t>
        </is>
      </c>
      <c r="C10" s="6" t="inlineStr">
        <is>
          <t>n/m</t>
        </is>
      </c>
      <c r="D10" s="6" t="inlineStr">
        <is>
          <t>loss-making; consolidated at 49%</t>
        </is>
      </c>
    </row>
    <row r="12">
      <c r="A12" s="20" t="inlineStr">
        <is>
          <t>Savola at the model fair value (Framing A)</t>
        </is>
      </c>
    </row>
    <row r="13">
      <c r="A13" s="6" t="inlineStr">
        <is>
          <t>Implied P/E on FY2026E EPS</t>
        </is>
      </c>
      <c r="C13" s="34">
        <f>DCF!C57/'Income Statement'!E17</f>
        <v/>
      </c>
    </row>
    <row r="14">
      <c r="A14" s="6" t="inlineStr">
        <is>
          <t>Implied EV / FY2026E EBITDA (lease-inclusive)</t>
        </is>
      </c>
      <c r="C14" s="34">
        <f>(DCF!C29)/Segments!B43</f>
        <v/>
      </c>
    </row>
    <row r="15">
      <c r="A15" s="6" t="inlineStr">
        <is>
          <t>P/E at spot on FY2026E EPS</t>
        </is>
      </c>
      <c r="C15" s="34">
        <f>Assumptions!$C$5/'Income Statement'!E17</f>
        <v/>
      </c>
    </row>
    <row r="16">
      <c r="A16" s="4" t="inlineStr">
        <is>
          <t>Herfy market value feeds the bridge directly: the 51% outside shareholding is deducted at Herfy's own market price rather than book.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2026-08-18T13:56:31Z</dcterms:created>
  <dcterms:modified xmlns:dcterms="http://purl.org/dc/terms/" xmlns:xsi="http://www.w3.org/2001/XMLSchema-instance" xsi:type="dcterms:W3CDTF">2026-08-18T13:56:32Z</dcterms:modified>
</cp:coreProperties>
</file>