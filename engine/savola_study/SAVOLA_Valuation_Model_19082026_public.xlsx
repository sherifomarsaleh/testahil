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undamental Valuation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SOTP Bridge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Relative &amp; Normalized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Income Statement" sheetId="9" state="visible" r:id="rId9"/>
    <sheet xmlns:r="http://schemas.openxmlformats.org/officeDocument/2006/relationships" name="Balance Sheet" sheetId="10" state="visible" r:id="rId10"/>
    <sheet xmlns:r="http://schemas.openxmlformats.org/officeDocument/2006/relationships" name="Cash Flow" sheetId="11" state="visible" r:id="rId11"/>
    <sheet xmlns:r="http://schemas.openxmlformats.org/officeDocument/2006/relationships" name="Summary Financials" sheetId="12" state="visible" r:id="rId12"/>
    <sheet xmlns:r="http://schemas.openxmlformats.org/officeDocument/2006/relationships" name="Monte Carlo" sheetId="13" state="visible" r:id="rId13"/>
    <sheet xmlns:r="http://schemas.openxmlformats.org/officeDocument/2006/relationships" name="Sensitivity" sheetId="14" state="visible" r:id="rId14"/>
    <sheet xmlns:r="http://schemas.openxmlformats.org/officeDocument/2006/relationships" name="Per-Share &amp; Ratios" sheetId="15" state="visible" r:id="rId15"/>
    <sheet xmlns:r="http://schemas.openxmlformats.org/officeDocument/2006/relationships" name="Peer &amp; Secto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0;(0.00);&quot;-&quot;"/>
    <numFmt numFmtId="165" formatCode="#,##0;(#,##0);&quot;-&quot;"/>
    <numFmt numFmtId="166" formatCode="#,##0.0;(#,##0.0);&quot;-&quot;"/>
    <numFmt numFmtId="167" formatCode="0.0%;(0.0%);&quot;-&quot;"/>
    <numFmt numFmtId="168" formatCode="0.000"/>
    <numFmt numFmtId="169" formatCode="#,##0.00;(#,##0.00);&quot;-&quot;"/>
    <numFmt numFmtId="170" formatCode="0.00x"/>
    <numFmt numFmtId="171" formatCode="0.0000"/>
  </numFmts>
  <fonts count="11">
    <font>
      <name val="Calibri"/>
      <family val="2"/>
      <color theme="1"/>
      <sz val="11"/>
      <scheme val="minor"/>
    </font>
    <font>
      <b val="1"/>
      <color rgb="00F6F1E6"/>
      <sz val="13"/>
    </font>
    <font>
      <sz val="10"/>
    </font>
    <font>
      <color rgb="006E7B77"/>
      <sz val="9"/>
    </font>
    <font>
      <b val="1"/>
    </font>
    <font>
      <b val="1"/>
      <color rgb="00000000"/>
    </font>
    <font>
      <color rgb="00000000"/>
    </font>
    <font>
      <color rgb="000000FF"/>
    </font>
    <font>
      <b val="1"/>
      <color rgb="000000FF"/>
    </font>
    <font>
      <color rgb="00008000"/>
    </font>
    <font>
      <b val="1"/>
      <color rgb="00008000"/>
    </font>
  </fonts>
  <fills count="5">
    <fill>
      <patternFill/>
    </fill>
    <fill>
      <patternFill patternType="gray125"/>
    </fill>
    <fill>
      <patternFill patternType="solid">
        <fgColor rgb="001C3A36"/>
      </patternFill>
    </fill>
    <fill>
      <patternFill patternType="solid">
        <fgColor rgb="00EAF0EE"/>
      </patternFill>
    </fill>
    <fill>
      <patternFill patternType="solid">
        <fgColor rgb="00F6F1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6" fillId="0" borderId="0" pivotButton="0" quotePrefix="0" xfId="0"/>
    <xf numFmtId="164" fontId="7" fillId="0" borderId="0" pivotButton="0" quotePrefix="0" xfId="0"/>
    <xf numFmtId="164" fontId="9" fillId="0" borderId="0" pivotButton="0" quotePrefix="0" xfId="0"/>
    <xf numFmtId="167" fontId="9" fillId="0" borderId="0" pivotButton="0" quotePrefix="0" xfId="0"/>
    <xf numFmtId="164" fontId="6" fillId="0" borderId="0" pivotButton="0" quotePrefix="0" xfId="0"/>
    <xf numFmtId="167" fontId="6" fillId="0" borderId="0" pivotButton="0" quotePrefix="0" xfId="0"/>
    <xf numFmtId="0" fontId="5" fillId="4" borderId="0" pivotButton="0" quotePrefix="0" xfId="0"/>
    <xf numFmtId="164" fontId="5" fillId="4" borderId="0" pivotButton="0" quotePrefix="0" xfId="0"/>
    <xf numFmtId="167" fontId="5" fillId="4" borderId="0" pivotButton="0" quotePrefix="0" xfId="0"/>
    <xf numFmtId="0" fontId="4" fillId="4" borderId="0" pivotButton="0" quotePrefix="0" xfId="0"/>
    <xf numFmtId="165" fontId="9" fillId="0" borderId="0" pivotButton="0" quotePrefix="0" xfId="0"/>
    <xf numFmtId="10" fontId="9" fillId="0" borderId="0" pivotButton="0" quotePrefix="0" xfId="0"/>
    <xf numFmtId="169" fontId="9" fillId="0" borderId="0" pivotButton="0" quotePrefix="0" xfId="0"/>
    <xf numFmtId="165" fontId="7" fillId="0" borderId="0" pivotButton="0" quotePrefix="0" xfId="0"/>
    <xf numFmtId="164" fontId="10" fillId="4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166" fontId="7" fillId="0" borderId="0" pivotButton="0" quotePrefix="0" xfId="0"/>
    <xf numFmtId="167" fontId="7" fillId="0" borderId="0" pivotButton="0" quotePrefix="0" xfId="0"/>
    <xf numFmtId="10" fontId="7" fillId="0" borderId="0" pivotButton="0" quotePrefix="0" xfId="0"/>
    <xf numFmtId="168" fontId="7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165" fontId="5" fillId="0" borderId="0" pivotButton="0" quotePrefix="0" xfId="0"/>
    <xf numFmtId="165" fontId="6" fillId="0" borderId="0" pivotButton="0" quotePrefix="0" xfId="0"/>
    <xf numFmtId="165" fontId="5" fillId="4" borderId="0" pivotButton="0" quotePrefix="0" xfId="0"/>
    <xf numFmtId="171" fontId="9" fillId="0" borderId="0" pivotButton="0" quotePrefix="0" xfId="0"/>
    <xf numFmtId="166" fontId="6" fillId="0" borderId="0" pivotButton="0" quotePrefix="0" xfId="0"/>
    <xf numFmtId="169" fontId="6" fillId="0" borderId="0" pivotButton="0" quotePrefix="0" xfId="0"/>
    <xf numFmtId="10" fontId="6" fillId="0" borderId="0" pivotButton="0" quotePrefix="0" xfId="0"/>
    <xf numFmtId="166" fontId="5" fillId="0" borderId="0" pivotButton="0" quotePrefix="0" xfId="0"/>
    <xf numFmtId="0" fontId="3" fillId="0" borderId="0" applyAlignment="1" pivotButton="0" quotePrefix="0" xfId="0">
      <alignment vertical="top" wrapText="1"/>
    </xf>
    <xf numFmtId="170" fontId="6" fillId="0" borderId="0" pivotButton="0" quotePrefix="0" xfId="0"/>
    <xf numFmtId="164" fontId="5" fillId="0" borderId="0" pivotButton="0" quotePrefix="0" xfId="0"/>
    <xf numFmtId="171" fontId="6" fillId="0" borderId="0" pivotButton="0" quotePrefix="0" xfId="0"/>
    <xf numFmtId="168" fontId="6" fillId="0" borderId="0" pivotButton="0" quotePrefix="0" xfId="0"/>
    <xf numFmtId="10" fontId="5" fillId="0" borderId="0" pivotButton="0" quotePrefix="0" xfId="0"/>
    <xf numFmtId="165" fontId="8" fillId="0" borderId="0" pivotButton="0" quotePrefix="0" xfId="0"/>
    <xf numFmtId="169" fontId="5" fillId="4" borderId="0" pivotButton="0" quotePrefix="0" xfId="0"/>
    <xf numFmtId="17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8"/>
  <sheetViews>
    <sheetView workbookViewId="0">
      <selection activeCell="A1" sqref="A1"/>
    </sheetView>
  </sheetViews>
  <sheetFormatPr baseColWidth="8" defaultRowHeight="15"/>
  <cols>
    <col width="1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Testahil — Savola Group Company (Tadawul: 2050)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3" t="inlineStr">
        <is>
          <t>Companion model · Independent Valuation Study · Educational analysis · Not investment advice</t>
        </is>
      </c>
    </row>
    <row r="4">
      <c r="A4" s="3" t="inlineStr"/>
    </row>
    <row r="5">
      <c r="A5" s="3" t="inlineStr">
        <is>
          <t>What this workbook is. A transparent companion to the Savola Group valuation study. Every blue cell is</t>
        </is>
      </c>
    </row>
    <row r="6">
      <c r="A6" s="3" t="inlineStr">
        <is>
          <t>an input; every black cell is a formula; green cells link across sheets.</t>
        </is>
      </c>
    </row>
    <row r="7">
      <c r="A7" s="3" t="inlineStr"/>
    </row>
    <row r="8">
      <c r="A8" s="3" t="inlineStr">
        <is>
          <t>IT IS FORMULA-DRIVEN. Every figure that can be derived arithmetically from a driver is a live formula, so</t>
        </is>
      </c>
    </row>
    <row r="9">
      <c r="A9" s="3" t="inlineStr">
        <is>
          <t>you can change a blue cell on Assumptions and watch the model reprice: the cost of capital is built from</t>
        </is>
      </c>
    </row>
    <row r="10">
      <c r="A10" s="3" t="inlineStr">
        <is>
          <t>the risk-free rate net of the sovereign spread, beta and the premium rather than pasted; the discount</t>
        </is>
      </c>
    </row>
    <row r="11">
      <c r="A11" s="3" t="inlineStr">
        <is>
          <t>factors compound; and the segment build, income statement, balance sheet, cash flow, ratios and all four</t>
        </is>
      </c>
    </row>
    <row r="12">
      <c r="A12" s="3" t="inlineStr">
        <is>
          <t>lenses chain off the same cells.</t>
        </is>
      </c>
    </row>
    <row r="13">
      <c r="A13" s="3" t="inlineStr"/>
    </row>
    <row r="14">
      <c r="A14" s="3" t="inlineStr">
        <is>
          <t>THIS IS THE SECOND EDITION (19-Aug-2026). It restrikes the 18-Aug first edition after a four-critique</t>
        </is>
      </c>
    </row>
    <row r="15">
      <c r="A15" s="3" t="inlineStr">
        <is>
          <t>external audit: the settled 18-Aug close (25.40) replaces an intraday print; the cash-flow waterfall now</t>
        </is>
      </c>
    </row>
    <row r="16">
      <c r="A16" s="3" t="inlineStr">
        <is>
          <t>charges the FULL lease additions; the terminal return on capital is COMPUTED from the model's own year</t>
        </is>
      </c>
    </row>
    <row r="17">
      <c r="A17" s="3" t="inlineStr">
        <is>
          <t>five rather than input; the risk-free rate is the published SAR sovereign curve; the capital-structure</t>
        </is>
      </c>
    </row>
    <row r="18">
      <c r="A18" s="3" t="inlineStr">
        <is>
          <t>weights use the 30-Jun-2026 reviewed balance sheet; the Tiryaki receivable moved from working capital to</t>
        </is>
      </c>
    </row>
    <row r="19">
      <c r="A19" s="3" t="inlineStr">
        <is>
          <t>the bridge; the per-share divisor is the Q2-2026 ex-treasury count; the relative lens is trailing-on-</t>
        </is>
      </c>
    </row>
    <row r="20">
      <c r="A20" s="3" t="inlineStr">
        <is>
          <t>trailing with Al Othaim n/m; and the bridge holds its three anchor-dated legs outside the roll.</t>
        </is>
      </c>
    </row>
    <row r="21">
      <c r="A21" s="3" t="inlineStr"/>
    </row>
    <row r="22">
      <c r="A22" s="3" t="inlineStr">
        <is>
          <t>THREE THINGS ARE PASTED VALUES, and it is worth knowing exactly which. First, audited and disclosed</t>
        </is>
      </c>
    </row>
    <row r="23">
      <c r="A23" s="3" t="inlineStr">
        <is>
          <t>history — the primary record, not a calculation: the FY2023-FY2025 statements, the FY2025 category</t>
        </is>
      </c>
    </row>
    <row r="24">
      <c r="A24" s="3" t="inlineStr">
        <is>
          <t>volumes, revenues and gross profits, and the H1-2026 actuals. Second, nothing else of the build: the</t>
        </is>
      </c>
    </row>
    <row r="25">
      <c r="A25" s="3" t="inlineStr">
        <is>
          <t>forecast itself is LIVE — category volumes compound off growth drivers, revenue is volume x revenue per</t>
        </is>
      </c>
    </row>
    <row r="26">
      <c r="A26" s="3" t="inlineStr">
        <is>
          <t>tonne, gross profit is volume x gross profit per tonne, Panda revenue is stores x sales per store. Where</t>
        </is>
      </c>
    </row>
    <row r="27">
      <c r="A27" s="3" t="inlineStr">
        <is>
          <t>a margin IS an input it is said plainly: Herfy and Al Kabeer disclose only revenue and margin, so their</t>
        </is>
      </c>
    </row>
    <row r="28">
      <c r="A28" s="3" t="inlineStr">
        <is>
          <t>margins are inputs at the finest disclosed level (flagged); Panda's margin is the identity of its two</t>
        </is>
      </c>
    </row>
    <row r="29">
      <c r="A29" s="3" t="inlineStr">
        <is>
          <t>inputs; Food Processing — 47% of FY2026E EBITDA — is fully unit-built and its margins are outputs.</t>
        </is>
      </c>
    </row>
    <row r="30">
      <c r="A30" s="3" t="inlineStr">
        <is>
          <t>Third, whole-model engine outputs, where each figure is a complete re-run of the entire valuation and so</t>
        </is>
      </c>
    </row>
    <row r="31">
      <c r="A31" s="3" t="inlineStr">
        <is>
          <t>cannot be a single formula: the Monte Carlo price map, the sensitivity grids, the DCF scenario bear/bull</t>
        </is>
      </c>
    </row>
    <row r="32">
      <c r="A32" s="3" t="inlineStr">
        <is>
          <t>bounds, Framing B, the judgement variants, and the CDS-basis fair value. Changing a driver reprices the</t>
        </is>
      </c>
    </row>
    <row r="33">
      <c r="A33" s="3" t="inlineStr">
        <is>
          <t>model but does NOT redraw those engine outputs.</t>
        </is>
      </c>
    </row>
    <row r="34">
      <c r="A34" s="3" t="inlineStr"/>
    </row>
    <row r="35">
      <c r="A35" s="3" t="inlineStr">
        <is>
          <t>How revenue is built. Not as one growth rate. Edible oil, sugar and pasta are volume x price: thousand</t>
        </is>
      </c>
    </row>
    <row r="36">
      <c r="A36" s="3" t="inlineStr">
        <is>
          <t>tonnes compound on their own growth paths (anchored on the disclosed H1-2026 actuals: oil +16.1%, sugar</t>
        </is>
      </c>
    </row>
    <row r="37">
      <c r="A37" s="3" t="inlineStr">
        <is>
          <t>+7.2%, pasta +3.1% as the company states it) and carry their own revenue-per-tonne paths. Nuts &amp; spices</t>
        </is>
      </c>
    </row>
    <row r="38">
      <c r="A38" s="3" t="inlineStr">
        <is>
          <t>carries a revenue path with the July-2026 Mehbaj acquisition folded in small (SR 11.4mn consideration</t>
        </is>
      </c>
    </row>
    <row r="39">
      <c r="A39" s="3" t="inlineStr">
        <is>
          <t>per the Q2-2026 interims, note 19). Panda is stores x sales-per-store: the store path follows the</t>
        </is>
      </c>
    </row>
    <row r="40">
      <c r="A40" s="3" t="inlineStr">
        <is>
          <t>company's own 20-plus-per-year guidance (the +8/yr run-rate alternative is priced as a variant), and</t>
        </is>
      </c>
    </row>
    <row r="41">
      <c r="A41" s="3" t="inlineStr">
        <is>
          <t>sales density carries the measured H1-2026 decline — published as a range, −7.1% to −6.0%, because the</t>
        </is>
      </c>
    </row>
    <row r="42">
      <c r="A42" s="3" t="inlineStr">
        <is>
          <t>June-2025 store count is not disclosed — fading in Framing A and persisting in Framing B.</t>
        </is>
      </c>
    </row>
    <row r="43">
      <c r="A43" s="3" t="inlineStr">
        <is>
          <t>Herfy and Al Kabeer are revenue glides anchored on H1-2026 actuals.</t>
        </is>
      </c>
    </row>
    <row r="44">
      <c r="A44" s="3" t="inlineStr"/>
    </row>
    <row r="45">
      <c r="A45" s="3" t="inlineStr">
        <is>
          <t>How cost is built. Each category carries its own gross profit per tonne — anchored on the H1-2026</t>
        </is>
      </c>
    </row>
    <row r="46">
      <c r="A46" s="3" t="inlineStr">
        <is>
          <t>actuals, with the second half held BELOW the first on the company's own replacement-cost warning and</t>
        </is>
      </c>
    </row>
    <row r="47">
      <c r="A47" s="3" t="inlineStr">
        <is>
          <t>the July-2026 vegetable-oil price rise — and its own operating-cost ratio measured from FY2025. Segment</t>
        </is>
      </c>
    </row>
    <row r="48">
      <c r="A48" s="3" t="inlineStr">
        <is>
          <t>EBITDA and the group margin are OUTPUTS computed on the Segments sheet.</t>
        </is>
      </c>
    </row>
    <row r="49">
      <c r="A49" s="3" t="inlineStr"/>
    </row>
    <row r="50">
      <c r="A50" s="3" t="inlineStr">
        <is>
          <t>Leases are debt, and charged in full. The lease liability is deducted in the bridge and carries its</t>
        </is>
      </c>
    </row>
    <row r="51">
      <c r="A51" s="3" t="inlineStr">
        <is>
          <t>measured 5.86% effective rate inside the cost of capital; the cash-flow waterfall charges the FULL lease</t>
        </is>
      </c>
    </row>
    <row r="52">
      <c r="A52" s="3" t="inlineStr">
        <is>
          <t>additions — right-of-use depreciation (renewals) PLUS the lease-book growth the store programme creates.</t>
        </is>
      </c>
    </row>
    <row r="53">
      <c r="A53" s="3" t="inlineStr">
        <is>
          <t>Leases fund assets, so lease-funded growth is reinvestment like owned capex; the first edition charged</t>
        </is>
      </c>
    </row>
    <row r="54">
      <c r="A54" s="3" t="inlineStr">
        <is>
          <t>renewals only, and correcting that is this edition's largest single change (−2.3 on the DCF lens).</t>
        </is>
      </c>
    </row>
    <row r="55">
      <c r="A55" s="3" t="inlineStr"/>
    </row>
    <row r="56">
      <c r="A56" s="3" t="inlineStr">
        <is>
          <t>The contested judgement — Panda's expansion. The model is computed BOTH WAYS and never averaged:</t>
        </is>
      </c>
    </row>
    <row r="57">
      <c r="A57" s="3" t="inlineStr">
        <is>
          <t>Framing A lets sales density stabilise as the store-refresh programme and e-commerce mature; Framing B</t>
        </is>
      </c>
    </row>
    <row r="58">
      <c r="A58" s="3" t="inlineStr">
        <is>
          <t>holds the measured H1-2026 density erosion forever. Both fair values sit side by side on the Fundamental</t>
        </is>
      </c>
    </row>
    <row r="59">
      <c r="A59" s="3" t="inlineStr">
        <is>
          <t>Valuation sheet, in the study's summary table, and in an expert's range.</t>
        </is>
      </c>
    </row>
    <row r="60">
      <c r="A60" s="3" t="inlineStr"/>
    </row>
    <row r="61">
      <c r="A61" s="3" t="inlineStr">
        <is>
          <t>Discount convention, stated. The five explicit years are discounted at the explicit-window cost of</t>
        </is>
      </c>
    </row>
    <row r="62">
      <c r="A62" s="3" t="inlineStr">
        <is>
          <t>capital at full-year END-of-period factors; the terminal value, dated at the end of year five, is</t>
        </is>
      </c>
    </row>
    <row r="63">
      <c r="A63" s="3" t="inlineStr">
        <is>
          <t>discounted at the year-five factor and uses terminal weights re-based toward equity. The bridge's</t>
        </is>
      </c>
    </row>
    <row r="64">
      <c r="A64" s="3" t="inlineStr">
        <is>
          <t>Dec-2025-dated legs are rolled to the 18-Aug-2026 anchor at the cost of equity, net of the SAR 1.70</t>
        </is>
      </c>
    </row>
    <row r="65">
      <c r="A65" s="3" t="inlineStr">
        <is>
          <t>dividend whose ex-date (07-May-2026) falls inside that window; the three anchor-dated legs (Kinan</t>
        </is>
      </c>
    </row>
    <row r="66">
      <c r="A66" s="3" t="inlineStr">
        <is>
          <t>capitalized on H1-2026 earnings, Herfy's NCI at its 18-Aug price, the Jul-2026 Mehbaj consideration)</t>
        </is>
      </c>
    </row>
    <row r="67">
      <c r="A67" s="3" t="inlineStr">
        <is>
          <t>sit OUTSIDE the roll at their own dates.</t>
        </is>
      </c>
    </row>
    <row r="68">
      <c r="A68" s="3" t="inlineStr"/>
    </row>
    <row r="69">
      <c r="A69" s="3" t="inlineStr">
        <is>
          <t>Sourcing note, up front. FY2023, FY2024 and FY2025 come from the company's own audited consolidated</t>
        </is>
      </c>
    </row>
    <row r="70">
      <c r="A70" s="3" t="inlineStr">
        <is>
          <t>financial statements read from savola.com/investors; Q1-2026 AND Q2-2026 from the reviewed interim</t>
        </is>
      </c>
    </row>
    <row r="71">
      <c r="A71" s="3" t="inlineStr">
        <is>
          <t>statements (the Q2 interims carry the Mehbaj consideration, the 30-Jun balance sheet and the ex-treasury</t>
        </is>
      </c>
    </row>
    <row r="72">
      <c r="A72" s="3" t="inlineStr">
        <is>
          <t>share divisor used here); the H1-2026 actuals from the company's own earnings release and investor</t>
        </is>
      </c>
    </row>
    <row r="73">
      <c r="A73" s="3" t="inlineStr">
        <is>
          <t>presentation (06-Aug-2026). Every input is listed with source and date in the companion bibliography.</t>
        </is>
      </c>
    </row>
    <row r="74">
      <c r="A74" s="3" t="inlineStr"/>
    </row>
    <row r="75">
      <c r="A75" s="3" t="inlineStr">
        <is>
          <t>Currency. SAR million unless stated. Spot SAR 30.30 (settled 18-Aug-2026 close). Sheets: READ FIRST ·</t>
        </is>
      </c>
    </row>
    <row r="76">
      <c r="A76" s="3" t="inlineStr">
        <is>
          <t>Summary · Fundamental Valuation · Assumptions · SOTP Bridge · Segments · Relative &amp; Normalized · DCF ·</t>
        </is>
      </c>
    </row>
    <row r="77">
      <c r="A77" s="3" t="inlineStr">
        <is>
          <t>Income Statement · Balance Sheet · Cash Flow · Summary Financials · Monte Carlo · Sensitivity ·</t>
        </is>
      </c>
    </row>
    <row r="78">
      <c r="A78" s="3" t="inlineStr">
        <is>
          <t>Per-Share &amp; Ratios · Peer &amp; Sector.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Summary — valuation at a glance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All values link live to their source sheets</t>
        </is>
      </c>
    </row>
    <row r="4">
      <c r="A4" s="5" t="inlineStr">
        <is>
          <t>Lens</t>
        </is>
      </c>
      <c r="B4" s="5" t="inlineStr">
        <is>
          <t>Bear</t>
        </is>
      </c>
      <c r="C4" s="5" t="inlineStr">
        <is>
          <t>Base</t>
        </is>
      </c>
      <c r="D4" s="5" t="inlineStr">
        <is>
          <t>Bull</t>
        </is>
      </c>
      <c r="E4" s="5" t="inlineStr">
        <is>
          <t>Weight</t>
        </is>
      </c>
      <c r="F4" s="5" t="inlineStr">
        <is>
          <t>Contribution</t>
        </is>
      </c>
      <c r="G4" s="5" t="inlineStr">
        <is>
          <t>vs spot</t>
        </is>
      </c>
    </row>
    <row r="5">
      <c r="A5" s="6" t="inlineStr">
        <is>
          <t>Discounted cash flow (Framing A)</t>
        </is>
      </c>
      <c r="B5" s="7" t="n">
        <v>7.697414044414612</v>
      </c>
      <c r="C5" s="8">
        <f>DCF!C64</f>
        <v/>
      </c>
      <c r="D5" s="7" t="n">
        <v>31.72730977748877</v>
      </c>
      <c r="E5" s="9">
        <f>Assumptions!$C$148</f>
        <v/>
      </c>
      <c r="F5" s="10">
        <f>C5*E5</f>
        <v/>
      </c>
      <c r="G5" s="11">
        <f>C5/$C$14-1</f>
        <v/>
      </c>
    </row>
    <row r="6">
      <c r="A6" s="6" t="inlineStr">
        <is>
          <t>Relative multiples</t>
        </is>
      </c>
      <c r="B6" s="8">
        <f>'Relative &amp; Normalized'!C15</f>
        <v/>
      </c>
      <c r="C6" s="8">
        <f>'Relative &amp; Normalized'!C14</f>
        <v/>
      </c>
      <c r="D6" s="8">
        <f>'Relative &amp; Normalized'!D15</f>
        <v/>
      </c>
      <c r="E6" s="9">
        <f>Assumptions!$C$149</f>
        <v/>
      </c>
      <c r="F6" s="10">
        <f>C6*E6</f>
        <v/>
      </c>
      <c r="G6" s="11">
        <f>C6/$C$14-1</f>
        <v/>
      </c>
    </row>
    <row r="7">
      <c r="A7" s="6" t="inlineStr">
        <is>
          <t>Normalised earnings power</t>
        </is>
      </c>
      <c r="B7" s="8">
        <f>'Relative &amp; Normalized'!E23</f>
        <v/>
      </c>
      <c r="C7" s="8">
        <f>'Relative &amp; Normalized'!C23</f>
        <v/>
      </c>
      <c r="D7" s="8">
        <f>'Relative &amp; Normalized'!F23</f>
        <v/>
      </c>
      <c r="E7" s="9">
        <f>Assumptions!$C$150</f>
        <v/>
      </c>
      <c r="F7" s="10">
        <f>C7*E7</f>
        <v/>
      </c>
      <c r="G7" s="11">
        <f>C7/$C$14-1</f>
        <v/>
      </c>
    </row>
    <row r="8">
      <c r="A8" s="6" t="inlineStr">
        <is>
          <t>Book value and sustainable return</t>
        </is>
      </c>
      <c r="B8" s="8">
        <f>'Relative &amp; Normalized'!E29</f>
        <v/>
      </c>
      <c r="C8" s="8">
        <f>'Relative &amp; Normalized'!C29</f>
        <v/>
      </c>
      <c r="D8" s="8">
        <f>'Relative &amp; Normalized'!F29</f>
        <v/>
      </c>
      <c r="E8" s="9">
        <f>Assumptions!$C$151</f>
        <v/>
      </c>
      <c r="F8" s="10">
        <f>C8*E8</f>
        <v/>
      </c>
      <c r="G8" s="11">
        <f>C8/$C$14-1</f>
        <v/>
      </c>
    </row>
    <row r="9">
      <c r="A9" s="12" t="inlineStr">
        <is>
          <t>Weighted central</t>
        </is>
      </c>
      <c r="B9" s="13">
        <f>B5*E5+B6*E6+B7*E7+B8*E8</f>
        <v/>
      </c>
      <c r="C9" s="13">
        <f>SUM(F5:F8)</f>
        <v/>
      </c>
      <c r="D9" s="13">
        <f>D5*E5+D6*E6+D7*E7+D8*E8</f>
        <v/>
      </c>
      <c r="E9" s="14">
        <f>SUM(E5:E8)</f>
        <v/>
      </c>
      <c r="F9" s="15" t="n"/>
      <c r="G9" s="14">
        <f>C9/$C$14-1</f>
        <v/>
      </c>
    </row>
    <row r="10">
      <c r="A10" s="6" t="inlineStr">
        <is>
          <t>Span across lenses (min/max — NOT weighted)</t>
        </is>
      </c>
      <c r="B10" s="10">
        <f>MIN(B5:B8)</f>
        <v/>
      </c>
      <c r="D10" s="10">
        <f>MAX(D5:D8)</f>
        <v/>
      </c>
    </row>
    <row r="11">
      <c r="A11" s="6" t="inlineStr">
        <is>
          <t>Contested judgement, other way — Framing B (−6% then −3% forever)</t>
        </is>
      </c>
      <c r="C11" s="7" t="n">
        <v>17.52774214976238</v>
      </c>
      <c r="G11" s="11">
        <f>C11/$C$14-1</f>
        <v/>
      </c>
    </row>
    <row r="12">
      <c r="A12" s="6" t="inlineStr">
        <is>
          <t>Terminal value share of DCF enterprise value</t>
        </is>
      </c>
      <c r="C12" s="9">
        <f>DCF!C34</f>
        <v/>
      </c>
    </row>
    <row r="13">
      <c r="A13" s="6" t="inlineStr">
        <is>
          <t>Expert panel median</t>
        </is>
      </c>
      <c r="C13" s="8">
        <f>'Fundamental Valuation'!C31</f>
        <v/>
      </c>
      <c r="G13" s="11">
        <f>C13/$C$14-1</f>
        <v/>
      </c>
    </row>
    <row r="14">
      <c r="A14" s="12" t="inlineStr">
        <is>
          <t>Market price (settled 18-Aug-2026 close)</t>
        </is>
      </c>
      <c r="B14" s="15" t="n"/>
      <c r="C14" s="13">
        <f>Assumptions!$C$5</f>
        <v/>
      </c>
      <c r="D14" s="15" t="n"/>
      <c r="E14" s="15" t="n"/>
      <c r="F14" s="15" t="n"/>
      <c r="G14" s="15" t="n"/>
    </row>
    <row r="16">
      <c r="A16" s="5" t="inlineStr">
        <is>
          <t>Key figure</t>
        </is>
      </c>
      <c r="B16" s="5" t="inlineStr"/>
      <c r="C16" s="5" t="inlineStr">
        <is>
          <t>Value</t>
        </is>
      </c>
    </row>
    <row r="17">
      <c r="A17" s="6" t="inlineStr">
        <is>
          <t>Shares issued (mn)</t>
        </is>
      </c>
      <c r="C17" s="16">
        <f>Assumptions!$C$6</f>
        <v/>
      </c>
    </row>
    <row r="18">
      <c r="A18" s="6" t="inlineStr">
        <is>
          <t>Market capitalisation (SAR mn)</t>
        </is>
      </c>
      <c r="C18" s="16">
        <f>$C$14*Assumptions!$C$6</f>
        <v/>
      </c>
    </row>
    <row r="19">
      <c r="A19" s="6" t="inlineStr">
        <is>
          <t>FY2025 revenue (SAR mn, audited)</t>
        </is>
      </c>
      <c r="C19" s="16">
        <f>'Income Statement'!D5</f>
        <v/>
      </c>
    </row>
    <row r="20">
      <c r="A20" s="6" t="inlineStr">
        <is>
          <t>FY2025 operating EBITDA (SAR mn)</t>
        </is>
      </c>
      <c r="C20" s="16">
        <f>'Income Statement'!D9</f>
        <v/>
      </c>
    </row>
    <row r="21">
      <c r="A21" s="6" t="inlineStr">
        <is>
          <t>FY2026E revenue (SAR mn)</t>
        </is>
      </c>
      <c r="C21" s="16">
        <f>'Income Statement'!E5</f>
        <v/>
      </c>
    </row>
    <row r="22">
      <c r="A22" s="6" t="inlineStr">
        <is>
          <t>FY2026E EPS (SAR)</t>
        </is>
      </c>
      <c r="C22" s="8">
        <f>'Income Statement'!E17</f>
        <v/>
      </c>
    </row>
    <row r="23">
      <c r="A23" s="6" t="inlineStr">
        <is>
          <t>Cost of capital — explicit window</t>
        </is>
      </c>
      <c r="C23" s="17">
        <f>DCF!C52</f>
        <v/>
      </c>
    </row>
    <row r="24">
      <c r="A24" s="6" t="inlineStr">
        <is>
          <t>Cost of capital — terminal</t>
        </is>
      </c>
      <c r="C24" s="17">
        <f>DCF!C58</f>
        <v/>
      </c>
    </row>
    <row r="25">
      <c r="A25" s="6" t="inlineStr">
        <is>
          <t>Terminal growth</t>
        </is>
      </c>
      <c r="C25" s="9">
        <f>Assumptions!$C$110</f>
        <v/>
      </c>
    </row>
    <row r="26">
      <c r="A26" s="6" t="inlineStr">
        <is>
          <t>Terminal asset life, derived from note 6 (years)</t>
        </is>
      </c>
      <c r="C26" s="18">
        <f>Assumptions!$C$106</f>
        <v/>
      </c>
    </row>
    <row r="27">
      <c r="A27" s="6" t="inlineStr">
        <is>
          <t>Terminal free cash flow as a share of terminal profit</t>
        </is>
      </c>
      <c r="C27" s="9">
        <f>DCF!C29/DCF!C24</f>
        <v/>
      </c>
    </row>
    <row r="28">
      <c r="A28" s="6" t="inlineStr">
        <is>
          <t>Net debt, 30-Jun-2026 (company definition, SAR mn)</t>
        </is>
      </c>
      <c r="C28" s="19" t="n">
        <v>851</v>
      </c>
    </row>
    <row r="29">
      <c r="A29" s="6" t="inlineStr">
        <is>
          <t>Weighted central — first edition, 18-Aug-2026 (superseded by this edition)</t>
        </is>
      </c>
      <c r="C29" s="7" t="n">
        <v>28.01659140589673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Fundamental valuation — four lenses, the contested judgement, the panel</t>
        </is>
      </c>
      <c r="B1" s="2" t="n"/>
      <c r="C1" s="2" t="n"/>
      <c r="D1" s="2" t="n"/>
      <c r="E1" s="2" t="n"/>
      <c r="F1" s="2" t="n"/>
    </row>
    <row r="4">
      <c r="A4" s="5" t="inlineStr">
        <is>
          <t>Lens / step</t>
        </is>
      </c>
      <c r="B4" s="5" t="inlineStr">
        <is>
          <t>Basis</t>
        </is>
      </c>
      <c r="C4" s="5" t="inlineStr">
        <is>
          <t>SAR per share</t>
        </is>
      </c>
    </row>
    <row r="5">
      <c r="A5" s="6" t="inlineStr">
        <is>
          <t>Discounted cash flow (Framing A)</t>
        </is>
      </c>
      <c r="B5" s="6" t="inlineStr">
        <is>
          <t>five-year FCFF (full lease additions charged) + computed-return terminal</t>
        </is>
      </c>
      <c r="C5" s="8">
        <f>DCF!C64</f>
        <v/>
      </c>
    </row>
    <row r="6">
      <c r="A6" s="6" t="inlineStr">
        <is>
          <t xml:space="preserve">  bear</t>
        </is>
      </c>
      <c r="B6" s="6" t="inlineStr">
        <is>
          <t>Framing B density (−6% then −3%) · oil GP/t −40 · sugar −15 · half volume growth · flat store opex</t>
        </is>
      </c>
      <c r="C6" s="7" t="n">
        <v>7.697414044414612</v>
      </c>
    </row>
    <row r="7">
      <c r="A7" s="6" t="inlineStr">
        <is>
          <t xml:space="preserve">  bull</t>
        </is>
      </c>
      <c r="B7" s="6" t="inlineStr">
        <is>
          <t>oil GP/t +25 · sugar +10 · volumes x1.2 · Panda gross margin +40bp</t>
        </is>
      </c>
      <c r="C7" s="7" t="n">
        <v>31.72730977748877</v>
      </c>
    </row>
    <row r="8">
      <c r="A8" s="6" t="inlineStr">
        <is>
          <t>Relative multiples</t>
        </is>
      </c>
      <c r="B8" s="6" t="inlineStr">
        <is>
          <t>trailing peer-mix P/E x trailing recurring EPS, conglomerate discount applied</t>
        </is>
      </c>
      <c r="C8" s="8">
        <f>'Relative &amp; Normalized'!C14</f>
        <v/>
      </c>
    </row>
    <row r="9">
      <c r="A9" s="6" t="inlineStr">
        <is>
          <t>Normalised earnings power</t>
        </is>
      </c>
      <c r="B9" s="6" t="inlineStr">
        <is>
          <t>mid-cycle margin on FY2026E revenue</t>
        </is>
      </c>
      <c r="C9" s="8">
        <f>'Relative &amp; Normalized'!C23</f>
        <v/>
      </c>
    </row>
    <row r="10">
      <c r="A10" s="6" t="inlineStr">
        <is>
          <t>Book value and sustainable return</t>
        </is>
      </c>
      <c r="B10" s="6" t="inlineStr">
        <is>
          <t>justified P/B on 30-Jun-2026 book; ROE = model FY2026E</t>
        </is>
      </c>
      <c r="C10" s="8">
        <f>'Relative &amp; Normalized'!C29</f>
        <v/>
      </c>
    </row>
    <row r="12">
      <c r="A12" s="12" t="inlineStr">
        <is>
          <t>Weighted central</t>
        </is>
      </c>
      <c r="B12" s="15" t="n"/>
      <c r="C12" s="20">
        <f>Summary!C9</f>
        <v/>
      </c>
    </row>
    <row r="14">
      <c r="A14" s="21" t="inlineStr">
        <is>
          <t>THE CONTESTED JUDGEMENT — PANDA'S EXPANSION, BOTH WAYS</t>
        </is>
      </c>
    </row>
    <row r="15">
      <c r="A15" s="6" t="inlineStr">
        <is>
          <t>Framing A: density stabilises as CXR and e-commerce mature</t>
        </is>
      </c>
      <c r="C15" s="8">
        <f>DCF!C64</f>
        <v/>
      </c>
    </row>
    <row r="16">
      <c r="A16" s="6" t="inlineStr">
        <is>
          <t>Framing B: the density erosion never fades — −6% in FY2026E, then −3% every year forever (engine re-run)</t>
        </is>
      </c>
      <c r="C16" s="7" t="n">
        <v>17.52774214976238</v>
      </c>
    </row>
    <row r="17">
      <c r="A17" s="6" t="inlineStr">
        <is>
          <t>The judgement is worth (Framing A less Framing B, per share)</t>
        </is>
      </c>
      <c r="C17" s="10">
        <f>C15-C16</f>
        <v/>
      </c>
    </row>
    <row r="18">
      <c r="A18" s="6" t="inlineStr">
        <is>
          <t>CDS-basis fair value (same model, CDS sovereign basis, Jan-2026 vintage flagged; engine re-run)</t>
        </is>
      </c>
      <c r="C18" s="7" t="n">
        <v>21.85910269010905</v>
      </c>
    </row>
    <row r="20">
      <c r="A20" s="21" t="inlineStr">
        <is>
          <t>JUDGEMENT VARIANTS — every lever value published (engine re-runs)</t>
        </is>
      </c>
    </row>
    <row r="21" ht="28" customHeight="1">
      <c r="A21" s="22" t="inlineStr">
        <is>
          <t>Store path at the H1-2026 run-rate (+8/yr instead of guidance; lease growth scaled to the 0.4x cadence)</t>
        </is>
      </c>
      <c r="C21" s="7" t="n">
        <v>18.23056657362525</v>
      </c>
    </row>
    <row r="22" ht="28" customHeight="1">
      <c r="A22" s="22" t="inlineStr">
        <is>
          <t>Density opening at −7.1% (the June-2025 = 213 assumption end of the range)</t>
        </is>
      </c>
      <c r="C22" s="7" t="n">
        <v>23.1394732036656</v>
      </c>
    </row>
    <row r="23" ht="28" customHeight="1">
      <c r="A23" s="22" t="inlineStr">
        <is>
          <t>Density opening at −6.0% (the interpolated end; the base input)</t>
        </is>
      </c>
      <c r="C23" s="7" t="n">
        <v>23.82077318388701</v>
      </c>
    </row>
    <row r="24" ht="28" customHeight="1">
      <c r="A24" s="22" t="inlineStr">
        <is>
          <t>Asset life read at twice the directly measured average age of the base — the heavier of the two readings of note 6</t>
        </is>
      </c>
      <c r="C24" s="7" t="n">
        <v>21.81634134347257</v>
      </c>
    </row>
    <row r="26">
      <c r="A26" s="21" t="inlineStr">
        <is>
          <t>EXPERT PANEL</t>
        </is>
      </c>
    </row>
    <row r="27">
      <c r="A27" s="5" t="inlineStr">
        <is>
          <t>Expert</t>
        </is>
      </c>
      <c r="B27" s="5" t="inlineStr">
        <is>
          <t>Method</t>
        </is>
      </c>
      <c r="C27" s="5" t="inlineStr">
        <is>
          <t>Base (SAR/share)</t>
        </is>
      </c>
      <c r="D27" s="5" t="inlineStr">
        <is>
          <t>Low</t>
        </is>
      </c>
      <c r="E27" s="5" t="inlineStr">
        <is>
          <t>High</t>
        </is>
      </c>
    </row>
    <row r="28">
      <c r="A28" s="6" t="inlineStr">
        <is>
          <t>Expert 1</t>
        </is>
      </c>
      <c r="B28" s="6" t="inlineStr">
        <is>
          <t>segment sum-of-the-parts</t>
        </is>
      </c>
      <c r="C28" s="7" t="n">
        <v>37.59691220858735</v>
      </c>
      <c r="D28" s="7" t="n">
        <v>31.30574457713269</v>
      </c>
      <c r="E28" s="7" t="n">
        <v>43.88807984004202</v>
      </c>
    </row>
    <row r="29">
      <c r="A29" s="6" t="inlineStr">
        <is>
          <t>Expert 2</t>
        </is>
      </c>
      <c r="B29" s="6" t="inlineStr">
        <is>
          <t>two-stage dividend model</t>
        </is>
      </c>
      <c r="C29" s="7" t="n">
        <v>19.03644570564781</v>
      </c>
      <c r="D29" s="7" t="n">
        <v>17.15131427786164</v>
      </c>
      <c r="E29" s="7" t="n">
        <v>21.58826160321865</v>
      </c>
    </row>
    <row r="30">
      <c r="A30" s="6" t="inlineStr">
        <is>
          <t>Expert 3</t>
        </is>
      </c>
      <c r="B30" s="6" t="inlineStr">
        <is>
          <t>residual income / economic profit</t>
        </is>
      </c>
      <c r="C30" s="7" t="n">
        <v>21.54046809946582</v>
      </c>
      <c r="D30" s="7" t="n">
        <v>20.59056824384504</v>
      </c>
      <c r="E30" s="7" t="n">
        <v>23.40166473190849</v>
      </c>
    </row>
    <row r="31">
      <c r="A31" s="12" t="inlineStr">
        <is>
          <t>Panel median</t>
        </is>
      </c>
      <c r="B31" s="15" t="n"/>
      <c r="C31" s="13">
        <f>MEDIAN(C28:C30)</f>
        <v/>
      </c>
      <c r="D31" s="15" t="n"/>
      <c r="E31" s="15" t="n"/>
    </row>
    <row r="33">
      <c r="A33" s="6" t="inlineStr">
        <is>
          <t>The risk-free rate, priced both ways</t>
        </is>
      </c>
    </row>
    <row r="34" ht="40" customHeight="1">
      <c r="A34" s="22" t="inlineStr">
        <is>
          <t>The base is the PUBLISHED SAR sovereign curve: FTSE SAGBI 7-10y yield 5.52% (31-Jul-2026 factsheet; iBoxx SAR sukuk 5.44% at 6.07y corroborates). Discounting at −50bp / +50bp instead is an engine re-run worth the figures at right</t>
        </is>
      </c>
      <c r="C34" s="7" t="n">
        <v>26.34036141098163</v>
      </c>
      <c r="D34" s="7" t="n">
        <v>21.13902596103296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51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Assumptions — every input in the model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Blue cells are inputs. Change one and the model reprices: everything downstream is a formula.</t>
        </is>
      </c>
    </row>
    <row r="3">
      <c r="A3" s="5" t="inlineStr">
        <is>
          <t>Input</t>
        </is>
      </c>
      <c r="B3" s="5" t="inlineStr">
        <is>
          <t>2026E</t>
        </is>
      </c>
      <c r="C3" s="5" t="inlineStr">
        <is>
          <t>2027E</t>
        </is>
      </c>
      <c r="D3" s="5" t="inlineStr">
        <is>
          <t>2028E</t>
        </is>
      </c>
      <c r="E3" s="5" t="inlineStr">
        <is>
          <t>2029E</t>
        </is>
      </c>
      <c r="F3" s="5" t="inlineStr">
        <is>
          <t>2030E</t>
        </is>
      </c>
    </row>
    <row r="4">
      <c r="A4" s="12" t="inlineStr">
        <is>
          <t>Anchors</t>
        </is>
      </c>
      <c r="B4" s="15" t="n"/>
      <c r="C4" s="15" t="n"/>
      <c r="D4" s="15" t="n"/>
      <c r="E4" s="15" t="n"/>
      <c r="F4" s="15" t="n"/>
      <c r="G4" s="15" t="n"/>
      <c r="H4" s="15" t="n"/>
    </row>
    <row r="5">
      <c r="A5" s="6" t="inlineStr">
        <is>
          <t>Spot price (SAR, SETTLED 18-Aug-2026 close)</t>
        </is>
      </c>
      <c r="C5" s="7" t="n">
        <v>30.3</v>
      </c>
    </row>
    <row r="6">
      <c r="A6" s="6" t="inlineStr">
        <is>
          <t>Shares issued (mn)</t>
        </is>
      </c>
      <c r="C6" s="19" t="n">
        <v>300</v>
      </c>
    </row>
    <row r="7">
      <c r="A7" s="6" t="inlineStr">
        <is>
          <t>Shares outstanding ex-treasury (mn; Q2-2026 interims EPS-note divisor)</t>
        </is>
      </c>
      <c r="C7" s="23" t="n">
        <v>296.682</v>
      </c>
    </row>
    <row r="8">
      <c r="A8" s="6" t="inlineStr">
        <is>
          <t>Combined zakat + income tax rate on core profit</t>
        </is>
      </c>
      <c r="C8" s="24" t="n">
        <v>0.195</v>
      </c>
    </row>
    <row r="9">
      <c r="A9" s="6" t="inlineStr">
        <is>
          <t>Dividend payout (stated policy 50-60% of net profit; midpoint)</t>
        </is>
      </c>
      <c r="C9" s="24" t="n">
        <v>0.55</v>
      </c>
    </row>
    <row r="10">
      <c r="A10" s="6" t="inlineStr">
        <is>
          <t>Days from the 31-Dec-2025 valuation date to the 18-Aug-2026 anchor</t>
        </is>
      </c>
      <c r="C10" s="19" t="n">
        <v>246</v>
      </c>
    </row>
    <row r="11">
      <c r="A11" s="6" t="inlineStr">
        <is>
          <t>Dividend gone ex between valuation date and anchor (SAR/share)</t>
        </is>
      </c>
      <c r="C11" s="7" t="n">
        <v>1.7</v>
      </c>
    </row>
    <row r="13">
      <c r="A13" s="12" t="inlineStr">
        <is>
          <t>FY2025 disclosed bases (audited statements + company presentations)</t>
        </is>
      </c>
      <c r="B13" s="15" t="n"/>
      <c r="C13" s="15" t="n"/>
      <c r="D13" s="15" t="n"/>
      <c r="E13" s="15" t="n"/>
      <c r="F13" s="15" t="n"/>
      <c r="G13" s="15" t="n"/>
      <c r="H13" s="15" t="n"/>
    </row>
    <row r="14">
      <c r="A14" s="6" t="inlineStr">
        <is>
          <t>Group revenue FY2025</t>
        </is>
      </c>
      <c r="C14" s="19" t="n">
        <v>26081.053</v>
      </c>
    </row>
    <row r="15">
      <c r="A15" s="6" t="inlineStr">
        <is>
          <t>Group gross profit FY2025</t>
        </is>
      </c>
      <c r="C15" s="19" t="n">
        <v>5088.894</v>
      </c>
    </row>
    <row r="16">
      <c r="A16" s="6" t="inlineStr">
        <is>
          <t>Oil volume FY2025 (k MT)</t>
        </is>
      </c>
      <c r="C16" s="19" t="n">
        <v>1322</v>
      </c>
    </row>
    <row r="17">
      <c r="A17" s="6" t="inlineStr">
        <is>
          <t>Oil revenue FY2025</t>
        </is>
      </c>
      <c r="C17" s="19" t="n">
        <v>7098</v>
      </c>
    </row>
    <row r="18">
      <c r="A18" s="6" t="inlineStr">
        <is>
          <t>Sugar volume FY2025 (k MT)</t>
        </is>
      </c>
      <c r="C18" s="19" t="n">
        <v>2162</v>
      </c>
    </row>
    <row r="19">
      <c r="A19" s="6" t="inlineStr">
        <is>
          <t>Sugar revenue FY2025</t>
        </is>
      </c>
      <c r="C19" s="19" t="n">
        <v>4868</v>
      </c>
    </row>
    <row r="20">
      <c r="A20" s="6" t="inlineStr">
        <is>
          <t>Pasta volume FY2025 (k MT, DISCLOSED — FY2025 presentation p17)</t>
        </is>
      </c>
      <c r="C20" s="19" t="n">
        <v>263</v>
      </c>
    </row>
    <row r="21">
      <c r="A21" s="6" t="inlineStr">
        <is>
          <t>Pasta revenue FY2025</t>
        </is>
      </c>
      <c r="C21" s="19" t="n">
        <v>545</v>
      </c>
    </row>
    <row r="22">
      <c r="A22" s="6" t="inlineStr">
        <is>
          <t>Nuts &amp; spices revenue FY2025 (residual to the audited segment)</t>
        </is>
      </c>
      <c r="C22" s="19" t="n">
        <v>768.8500000000004</v>
      </c>
    </row>
    <row r="23">
      <c r="A23" s="6" t="inlineStr">
        <is>
          <t>Panda (Retail) segment revenue FY2025</t>
        </is>
      </c>
      <c r="C23" s="19" t="n">
        <v>11327.912</v>
      </c>
    </row>
    <row r="24">
      <c r="A24" s="6" t="inlineStr">
        <is>
          <t>Food Services (Herfy) segment revenue FY2025</t>
        </is>
      </c>
      <c r="C24" s="19" t="n">
        <v>1082.562</v>
      </c>
    </row>
    <row r="25">
      <c r="A25" s="6" t="inlineStr">
        <is>
          <t>Frozen Food (Al Kabeer) segment revenue FY2025</t>
        </is>
      </c>
      <c r="C25" s="19" t="n">
        <v>804.997</v>
      </c>
    </row>
    <row r="26">
      <c r="A26" s="6" t="inlineStr">
        <is>
          <t>Investments segment revenue (held flat)</t>
        </is>
      </c>
      <c r="C26" s="23" t="n">
        <v>29</v>
      </c>
    </row>
    <row r="27">
      <c r="A27" s="6" t="inlineStr">
        <is>
          <t>Panda stores at Dec-2024</t>
        </is>
      </c>
      <c r="C27" s="19" t="n">
        <v>209</v>
      </c>
    </row>
    <row r="28">
      <c r="A28" s="6" t="inlineStr">
        <is>
          <t>Panda stores at Dec-2025</t>
        </is>
      </c>
      <c r="C28" s="19" t="n">
        <v>227</v>
      </c>
    </row>
    <row r="30">
      <c r="A30" s="12" t="inlineStr">
        <is>
          <t>Unit build — Food Processing (volume x price x GP/tonne; margins are outputs)</t>
        </is>
      </c>
      <c r="B30" s="15" t="n"/>
      <c r="C30" s="15" t="n"/>
      <c r="D30" s="15" t="n"/>
      <c r="E30" s="15" t="n"/>
      <c r="F30" s="15" t="n"/>
      <c r="G30" s="15" t="n"/>
      <c r="H30" s="15" t="n"/>
    </row>
    <row r="31">
      <c r="A31" s="6" t="inlineStr">
        <is>
          <t>Oil volume growth</t>
        </is>
      </c>
      <c r="B31" s="24" t="n">
        <v>0.125</v>
      </c>
      <c r="C31" s="24" t="n">
        <v>0.04</v>
      </c>
      <c r="D31" s="24" t="n">
        <v>0.03</v>
      </c>
      <c r="E31" s="24" t="n">
        <v>0.025</v>
      </c>
      <c r="F31" s="24" t="n">
        <v>0.02</v>
      </c>
    </row>
    <row r="32">
      <c r="A32" s="6" t="inlineStr">
        <is>
          <t>Oil revenue-per-tonne growth</t>
        </is>
      </c>
      <c r="B32" s="24" t="n">
        <v>0.005</v>
      </c>
      <c r="C32" s="24" t="n">
        <v>0.015</v>
      </c>
      <c r="D32" s="24" t="n">
        <v>0.015</v>
      </c>
      <c r="E32" s="24" t="n">
        <v>0.01</v>
      </c>
      <c r="F32" s="24" t="n">
        <v>0.01</v>
      </c>
    </row>
    <row r="33">
      <c r="A33" s="6" t="inlineStr">
        <is>
          <t>Oil gross profit per tonne (SAR/t)</t>
        </is>
      </c>
      <c r="B33" s="19" t="n">
        <v>740</v>
      </c>
      <c r="C33" s="19" t="n">
        <v>745</v>
      </c>
      <c r="D33" s="19" t="n">
        <v>745</v>
      </c>
      <c r="E33" s="19" t="n">
        <v>745</v>
      </c>
      <c r="F33" s="19" t="n">
        <v>745</v>
      </c>
    </row>
    <row r="34">
      <c r="A34" s="6" t="inlineStr">
        <is>
          <t>Sugar volume growth</t>
        </is>
      </c>
      <c r="B34" s="24" t="n">
        <v>0.055</v>
      </c>
      <c r="C34" s="24" t="n">
        <v>0.025</v>
      </c>
      <c r="D34" s="24" t="n">
        <v>0.02</v>
      </c>
      <c r="E34" s="24" t="n">
        <v>0.02</v>
      </c>
      <c r="F34" s="24" t="n">
        <v>0.015</v>
      </c>
    </row>
    <row r="35">
      <c r="A35" s="6" t="inlineStr">
        <is>
          <t>Sugar revenue-per-tonne growth</t>
        </is>
      </c>
      <c r="B35" s="24" t="n">
        <v>-0.075</v>
      </c>
      <c r="C35" s="24" t="n">
        <v>0.005</v>
      </c>
      <c r="D35" s="24" t="n">
        <v>0.005</v>
      </c>
      <c r="E35" s="24" t="n">
        <v>0.005</v>
      </c>
      <c r="F35" s="24" t="n">
        <v>0.005</v>
      </c>
    </row>
    <row r="36">
      <c r="A36" s="6" t="inlineStr">
        <is>
          <t>Sugar gross profit per tonne (SAR/t)</t>
        </is>
      </c>
      <c r="B36" s="19" t="n">
        <v>215</v>
      </c>
      <c r="C36" s="19" t="n">
        <v>212</v>
      </c>
      <c r="D36" s="19" t="n">
        <v>212</v>
      </c>
      <c r="E36" s="19" t="n">
        <v>212</v>
      </c>
      <c r="F36" s="19" t="n">
        <v>212</v>
      </c>
    </row>
    <row r="37">
      <c r="A37" s="6" t="inlineStr">
        <is>
          <t>Pasta volume growth</t>
        </is>
      </c>
      <c r="B37" s="24" t="n">
        <v>0.03</v>
      </c>
      <c r="C37" s="24" t="n">
        <v>0.03</v>
      </c>
      <c r="D37" s="24" t="n">
        <v>0.025</v>
      </c>
      <c r="E37" s="24" t="n">
        <v>0.02</v>
      </c>
      <c r="F37" s="24" t="n">
        <v>0.02</v>
      </c>
    </row>
    <row r="38">
      <c r="A38" s="6" t="inlineStr">
        <is>
          <t>Pasta revenue-per-tonne growth</t>
        </is>
      </c>
      <c r="B38" s="24" t="n">
        <v>0.02</v>
      </c>
      <c r="C38" s="24" t="n">
        <v>0.01</v>
      </c>
      <c r="D38" s="24" t="n">
        <v>0.01</v>
      </c>
      <c r="E38" s="24" t="n">
        <v>0.01</v>
      </c>
      <c r="F38" s="24" t="n">
        <v>0.01</v>
      </c>
    </row>
    <row r="39">
      <c r="A39" s="6" t="inlineStr">
        <is>
          <t>Pasta gross profit per tonne (SAR/t)</t>
        </is>
      </c>
      <c r="B39" s="19" t="n">
        <v>520</v>
      </c>
      <c r="C39" s="19" t="n">
        <v>520</v>
      </c>
      <c r="D39" s="19" t="n">
        <v>520</v>
      </c>
      <c r="E39" s="19" t="n">
        <v>520</v>
      </c>
      <c r="F39" s="19" t="n">
        <v>520</v>
      </c>
    </row>
    <row r="40">
      <c r="A40" s="6" t="inlineStr">
        <is>
          <t>Nuts &amp; spices revenue path (Mehbaj folded in, flagged)</t>
        </is>
      </c>
      <c r="B40" s="19" t="n">
        <v>730</v>
      </c>
      <c r="C40" s="19" t="n">
        <v>800</v>
      </c>
      <c r="D40" s="19" t="n">
        <v>848</v>
      </c>
      <c r="E40" s="19" t="n">
        <v>890</v>
      </c>
      <c r="F40" s="19" t="n">
        <v>926</v>
      </c>
    </row>
    <row r="41">
      <c r="A41" s="6" t="inlineStr">
        <is>
          <t>Nuts &amp; spices gross margin path</t>
        </is>
      </c>
      <c r="B41" s="24" t="n">
        <v>0.265</v>
      </c>
      <c r="C41" s="24" t="n">
        <v>0.27</v>
      </c>
      <c r="D41" s="24" t="n">
        <v>0.27</v>
      </c>
      <c r="E41" s="24" t="n">
        <v>0.27</v>
      </c>
      <c r="F41" s="24" t="n">
        <v>0.27</v>
      </c>
    </row>
    <row r="42">
      <c r="A42" s="6" t="inlineStr">
        <is>
          <t>Oil operating cost / revenue (measured FY2025)</t>
        </is>
      </c>
      <c r="C42" s="25" t="n">
        <v>0.0556</v>
      </c>
    </row>
    <row r="43">
      <c r="A43" s="6" t="inlineStr">
        <is>
          <t>Sugar operating cost / revenue (measured FY2025)</t>
        </is>
      </c>
      <c r="C43" s="25" t="n">
        <v>0.016</v>
      </c>
    </row>
    <row r="44">
      <c r="A44" s="6" t="inlineStr">
        <is>
          <t>Pasta operating cost / revenue (measured FY2025)</t>
        </is>
      </c>
      <c r="C44" s="25" t="n">
        <v>0.079</v>
      </c>
    </row>
    <row r="45">
      <c r="A45" s="6" t="inlineStr">
        <is>
          <t>Nuts operating cost / revenue (measured FY2025)</t>
        </is>
      </c>
      <c r="C45" s="25" t="n">
        <v>0.235</v>
      </c>
    </row>
    <row r="47">
      <c r="A47" s="12" t="inlineStr">
        <is>
          <t>Panda (Retail) build — stores x sales per store; margin is an output</t>
        </is>
      </c>
      <c r="B47" s="15" t="n"/>
      <c r="C47" s="15" t="n"/>
      <c r="D47" s="15" t="n"/>
      <c r="E47" s="15" t="n"/>
      <c r="F47" s="15" t="n"/>
      <c r="G47" s="15" t="n"/>
      <c r="H47" s="15" t="n"/>
    </row>
    <row r="48">
      <c r="A48" s="6" t="inlineStr">
        <is>
          <t>Store count, end of year (company guidance 20+/yr; +8/yr run-rate variant priced on Sensitivity)</t>
        </is>
      </c>
      <c r="B48" s="19" t="n">
        <v>247</v>
      </c>
      <c r="C48" s="19" t="n">
        <v>267</v>
      </c>
      <c r="D48" s="19" t="n">
        <v>285</v>
      </c>
      <c r="E48" s="19" t="n">
        <v>300</v>
      </c>
      <c r="F48" s="19" t="n">
        <v>312</v>
      </c>
    </row>
    <row r="49">
      <c r="A49" s="6" t="inlineStr">
        <is>
          <t>Sales-per-average-store growth (Framing A; opening measured as a range -7.1% to -6.0% over the undisclosed Jun-2025 count)</t>
        </is>
      </c>
      <c r="B49" s="24" t="n">
        <v>-0.06</v>
      </c>
      <c r="C49" s="24" t="n">
        <v>-0.03</v>
      </c>
      <c r="D49" s="24" t="n">
        <v>-0.01</v>
      </c>
      <c r="E49" s="24" t="n">
        <v>0</v>
      </c>
      <c r="F49" s="24" t="n">
        <v>0</v>
      </c>
    </row>
    <row r="50">
      <c r="A50" s="6" t="inlineStr">
        <is>
          <t>Panda gross margin (H1-2026 actual, held)</t>
        </is>
      </c>
      <c r="C50" s="24" t="n">
        <v>0.232</v>
      </c>
    </row>
    <row r="51">
      <c r="A51" s="6" t="inlineStr">
        <is>
          <t>Panda store-opex / revenue (measured H1-2026)</t>
        </is>
      </c>
      <c r="C51" s="24" t="n">
        <v>0.143</v>
      </c>
    </row>
    <row r="52">
      <c r="A52" s="6" t="inlineStr">
        <is>
          <t>Framing A scale gain on the opex ratio from FY2028 (per year)</t>
        </is>
      </c>
      <c r="C52" s="25" t="n">
        <v>0.001</v>
      </c>
    </row>
    <row r="54">
      <c r="A54" s="12" t="inlineStr">
        <is>
          <t>Food Services and Frozen Food</t>
        </is>
      </c>
      <c r="B54" s="15" t="n"/>
      <c r="C54" s="15" t="n"/>
      <c r="D54" s="15" t="n"/>
      <c r="E54" s="15" t="n"/>
      <c r="F54" s="15" t="n"/>
      <c r="G54" s="15" t="n"/>
      <c r="H54" s="15" t="n"/>
    </row>
    <row r="55">
      <c r="A55" s="6" t="inlineStr">
        <is>
          <t>Herfy revenue growth</t>
        </is>
      </c>
      <c r="B55" s="24" t="n">
        <v>-0.045</v>
      </c>
      <c r="C55" s="24" t="n">
        <v>0</v>
      </c>
      <c r="D55" s="24" t="n">
        <v>0.02</v>
      </c>
      <c r="E55" s="24" t="n">
        <v>0.02</v>
      </c>
      <c r="F55" s="24" t="n">
        <v>0.02</v>
      </c>
    </row>
    <row r="56">
      <c r="A56" s="6" t="inlineStr">
        <is>
          <t>Herfy EBITDA margin (H1-2026 actual 18.7%, held FLAT — a margin INPUT at the finest disclosed level, flagged)</t>
        </is>
      </c>
      <c r="C56" s="24" t="n">
        <v>0.187</v>
      </c>
    </row>
    <row r="57">
      <c r="A57" s="6" t="inlineStr">
        <is>
          <t>Al Kabeer revenue growth</t>
        </is>
      </c>
      <c r="B57" s="24" t="n">
        <v>0.01</v>
      </c>
      <c r="C57" s="24" t="n">
        <v>0.035</v>
      </c>
      <c r="D57" s="24" t="n">
        <v>0.035</v>
      </c>
      <c r="E57" s="24" t="n">
        <v>0.03</v>
      </c>
      <c r="F57" s="24" t="n">
        <v>0.03</v>
      </c>
    </row>
    <row r="58">
      <c r="A58" s="6" t="inlineStr">
        <is>
          <t>Al Kabeer EBITDA margin (H1-2026 actual, held)</t>
        </is>
      </c>
      <c r="C58" s="24" t="n">
        <v>0.137</v>
      </c>
    </row>
    <row r="60">
      <c r="A60" s="12" t="inlineStr">
        <is>
          <t>Group items</t>
        </is>
      </c>
      <c r="B60" s="15" t="n"/>
      <c r="C60" s="15" t="n"/>
      <c r="D60" s="15" t="n"/>
      <c r="E60" s="15" t="n"/>
      <c r="F60" s="15" t="n"/>
      <c r="G60" s="15" t="n"/>
      <c r="H60" s="15" t="n"/>
    </row>
    <row r="61">
      <c r="A61" s="6" t="inlineStr">
        <is>
          <t>Eliminations / Food-Processing segment revenue (measured FY2025)</t>
        </is>
      </c>
      <c r="C61" s="25" t="n">
        <v>-0.0334</v>
      </c>
    </row>
    <row r="62">
      <c r="A62" s="6" t="inlineStr">
        <is>
          <t>Unallocated corporate costs (SAR mn)</t>
        </is>
      </c>
      <c r="B62" s="19" t="n">
        <v>130</v>
      </c>
      <c r="C62" s="19" t="n">
        <v>133</v>
      </c>
      <c r="D62" s="19" t="n">
        <v>136</v>
      </c>
      <c r="E62" s="19" t="n">
        <v>139</v>
      </c>
      <c r="F62" s="19" t="n">
        <v>142</v>
      </c>
    </row>
    <row r="64">
      <c r="A64" s="12" t="inlineStr">
        <is>
          <t>Capital intensity, D&amp;A and leases</t>
        </is>
      </c>
      <c r="B64" s="15" t="n"/>
      <c r="C64" s="15" t="n"/>
      <c r="D64" s="15" t="n"/>
      <c r="E64" s="15" t="n"/>
      <c r="F64" s="15" t="n"/>
      <c r="G64" s="15" t="n"/>
      <c r="H64" s="15" t="n"/>
    </row>
    <row r="65">
      <c r="A65" s="6" t="inlineStr">
        <is>
          <t>Capital expenditure (SAR mn, incl. intangibles)</t>
        </is>
      </c>
      <c r="B65" s="19" t="n">
        <v>810</v>
      </c>
      <c r="C65" s="19" t="n">
        <v>900</v>
      </c>
      <c r="D65" s="19" t="n">
        <v>880</v>
      </c>
      <c r="E65" s="19" t="n">
        <v>860</v>
      </c>
      <c r="F65" s="19" t="n">
        <v>850</v>
      </c>
    </row>
    <row r="66">
      <c r="A66" s="6" t="inlineStr">
        <is>
          <t>Owned-PP&amp;E depreciation rate on opening balance (measured FY2025)</t>
        </is>
      </c>
      <c r="C66" s="25" t="n">
        <v>0.112</v>
      </c>
    </row>
    <row r="67">
      <c r="A67" s="6" t="inlineStr">
        <is>
          <t>Intangibles amortisation = intangible capex (book held flat)</t>
        </is>
      </c>
      <c r="C67" s="19" t="n">
        <v>50</v>
      </c>
    </row>
    <row r="68">
      <c r="A68" s="6" t="inlineStr">
        <is>
          <t>Right-of-use depreciation FY2025 (audited components)</t>
        </is>
      </c>
      <c r="C68" s="23" t="n">
        <v>532.153</v>
      </c>
    </row>
    <row r="69">
      <c r="A69" s="6" t="inlineStr">
        <is>
          <t>Right-of-use / lease growth (store-driven)</t>
        </is>
      </c>
      <c r="B69" s="24" t="n">
        <v>0.05</v>
      </c>
      <c r="C69" s="24" t="n">
        <v>0.045</v>
      </c>
      <c r="D69" s="24" t="n">
        <v>0.04</v>
      </c>
      <c r="E69" s="24" t="n">
        <v>0.035</v>
      </c>
      <c r="F69" s="24" t="n">
        <v>0.03</v>
      </c>
    </row>
    <row r="70">
      <c r="A70" s="6" t="inlineStr">
        <is>
          <t>Lease effective interest rate (measured FY2025)</t>
        </is>
      </c>
      <c r="C70" s="25" t="n">
        <v>0.0586</v>
      </c>
    </row>
    <row r="72">
      <c r="A72" s="12" t="inlineStr">
        <is>
          <t>Working capital — component days measured FY2025</t>
        </is>
      </c>
      <c r="B72" s="15" t="n"/>
      <c r="C72" s="15" t="n"/>
      <c r="D72" s="15" t="n"/>
      <c r="E72" s="15" t="n"/>
      <c r="F72" s="15" t="n"/>
      <c r="G72" s="15" t="n"/>
      <c r="H72" s="15" t="n"/>
    </row>
    <row r="73">
      <c r="A73" s="6" t="inlineStr">
        <is>
          <t>Days inventory outstanding</t>
        </is>
      </c>
      <c r="C73" s="23" t="n">
        <v>81.40000000000001</v>
      </c>
    </row>
    <row r="74">
      <c r="A74" s="6" t="inlineStr">
        <is>
          <t>Days sales outstanding</t>
        </is>
      </c>
      <c r="C74" s="23" t="n">
        <v>26</v>
      </c>
    </row>
    <row r="75">
      <c r="A75" s="6" t="inlineStr">
        <is>
          <t>Days payable outstanding</t>
        </is>
      </c>
      <c r="C75" s="23" t="n">
        <v>68.09999999999999</v>
      </c>
    </row>
    <row r="76">
      <c r="A76" s="6" t="inlineStr">
        <is>
          <t>Prepayments &amp; other receivables / revenue (EX the Tiryaki receivable)</t>
        </is>
      </c>
      <c r="C76" s="25" t="n">
        <v>0.0411</v>
      </c>
    </row>
    <row r="77">
      <c r="A77" s="6" t="inlineStr">
        <is>
          <t>Accrued &amp; other liabilities / revenue</t>
        </is>
      </c>
      <c r="C77" s="25" t="n">
        <v>0.1085</v>
      </c>
    </row>
    <row r="78">
      <c r="A78" s="6" t="inlineStr">
        <is>
          <t>Contract liabilities / revenue</t>
        </is>
      </c>
      <c r="C78" s="25" t="n">
        <v>0.0058</v>
      </c>
    </row>
    <row r="80">
      <c r="A80" s="12" t="inlineStr">
        <is>
          <t>Profit walk</t>
        </is>
      </c>
      <c r="B80" s="15" t="n"/>
      <c r="C80" s="15" t="n"/>
      <c r="D80" s="15" t="n"/>
      <c r="E80" s="15" t="n"/>
      <c r="F80" s="15" t="n"/>
      <c r="G80" s="15" t="n"/>
      <c r="H80" s="15" t="n"/>
    </row>
    <row r="81">
      <c r="A81" s="6" t="inlineStr">
        <is>
          <t>Non-controlling interests' share of core profit (measured FY2025)</t>
        </is>
      </c>
      <c r="C81" s="24" t="n">
        <v>0.07000000000000001</v>
      </c>
    </row>
    <row r="82">
      <c r="A82" s="6" t="inlineStr">
        <is>
          <t>Kinan share of results, H1-2026 actual (SAR mn)</t>
        </is>
      </c>
      <c r="C82" s="23" t="n">
        <v>34</v>
      </c>
    </row>
    <row r="83">
      <c r="A83" s="6" t="inlineStr">
        <is>
          <t>Kinan contribution growth</t>
        </is>
      </c>
      <c r="C83" s="24" t="n">
        <v>0.03</v>
      </c>
    </row>
    <row r="84">
      <c r="A84" s="6" t="inlineStr">
        <is>
          <t>Kinan cash dividend received FY2025 (grows with Kinan)</t>
        </is>
      </c>
      <c r="C84" s="23" t="n">
        <v>25.116</v>
      </c>
    </row>
    <row r="85">
      <c r="A85" s="6" t="inlineStr">
        <is>
          <t>Yield on surplus cash (observed 1Y SAR sovereign)</t>
        </is>
      </c>
      <c r="C85" s="25" t="n">
        <v>0.047</v>
      </c>
    </row>
    <row r="87">
      <c r="A87" s="12" t="inlineStr">
        <is>
          <t>Cost of capital — v2 method, rating basis primary</t>
        </is>
      </c>
      <c r="B87" s="15" t="n"/>
      <c r="C87" s="15" t="n"/>
      <c r="D87" s="15" t="n"/>
      <c r="E87" s="15" t="n"/>
      <c r="F87" s="15" t="n"/>
      <c r="G87" s="15" t="n"/>
      <c r="H87" s="15" t="n"/>
    </row>
    <row r="88">
      <c r="A88" s="6" t="inlineStr">
        <is>
          <t>Risk-free rate: PUBLISHED SAR sovereign curve, FTSE SAGBI 7-10y YTM (31-Jul-2026 factsheet)</t>
        </is>
      </c>
      <c r="C88" s="25" t="n">
        <v>0.0552</v>
      </c>
    </row>
    <row r="89">
      <c r="A89" s="6" t="inlineStr">
        <is>
          <t>Saudi sovereign default spread (rating basis, July-2026 Damodaran, netted out of rf)</t>
        </is>
      </c>
      <c r="C89" s="25" t="n">
        <v>0.0048</v>
      </c>
    </row>
    <row r="90">
      <c r="A90" s="6" t="inlineStr">
        <is>
          <t>Equity risk premium (Saudi total, rating basis, July-2026 Damodaran)</t>
        </is>
      </c>
      <c r="C90" s="25" t="n">
        <v>0.0494</v>
      </c>
    </row>
    <row r="91">
      <c r="A91" s="6" t="inlineStr">
        <is>
          <t>Saudi sovereign CDS spread (CDS basis — JANUARY-2026 vintage, flagged)</t>
        </is>
      </c>
      <c r="C91" s="25" t="n">
        <v>0.0098</v>
      </c>
    </row>
    <row r="92">
      <c r="A92" s="6" t="inlineStr">
        <is>
          <t>Equity risk premium (CDS basis — January-2026 vintage, flagged)</t>
        </is>
      </c>
      <c r="C92" s="25" t="n">
        <v>0.0572</v>
      </c>
    </row>
    <row r="93">
      <c r="A93" s="6" t="inlineStr">
        <is>
          <t>Beta (SAVOLA weekly vs TASI, 5y, Dimson)</t>
        </is>
      </c>
      <c r="C93" s="26" t="n">
        <v>1.087</v>
      </c>
    </row>
    <row r="94">
      <c r="A94" s="6" t="inlineStr">
        <is>
          <t>Marginal SAR cost of debt (SAIBOR + murabaha spread)</t>
        </is>
      </c>
      <c r="C94" s="25" t="n">
        <v>0.0574</v>
      </c>
    </row>
    <row r="95">
      <c r="A95" s="6" t="inlineStr">
        <is>
          <t>EGP tranche cost, SAR-equivalent (parity construction)</t>
        </is>
      </c>
      <c r="C95" s="25" t="n">
        <v>0.065</v>
      </c>
    </row>
    <row r="96">
      <c r="A96" s="6" t="inlineStr">
        <is>
          <t>Other tranches (AED/DZD) cost</t>
        </is>
      </c>
      <c r="C96" s="25" t="n">
        <v>0.055</v>
      </c>
    </row>
    <row r="97">
      <c r="A97" s="6" t="inlineStr">
        <is>
          <t>Loans — Saudi Riyal tranche (constructed from the audited currency note; the note discloses currencies, not countries)</t>
        </is>
      </c>
      <c r="C97" s="19" t="n">
        <v>1256.382</v>
      </c>
    </row>
    <row r="98">
      <c r="A98" s="6" t="inlineStr">
        <is>
          <t>Loans — Egyptian Pound tranche (constructed)</t>
        </is>
      </c>
      <c r="C98" s="19" t="n">
        <v>417.192</v>
      </c>
    </row>
    <row r="99">
      <c r="A99" s="6" t="inlineStr">
        <is>
          <t>Loans — other currencies, AED/DZD/USD (constructed)</t>
        </is>
      </c>
      <c r="C99" s="19" t="n">
        <v>220.35</v>
      </c>
    </row>
    <row r="100">
      <c r="A100" s="6" t="inlineStr">
        <is>
          <t>Loans and borrowings at 30-Jun-2026 (WACC weight leg, reviewed interims)</t>
        </is>
      </c>
      <c r="C100" s="19" t="n">
        <v>2664.518</v>
      </c>
    </row>
    <row r="101">
      <c r="A101" s="6" t="inlineStr">
        <is>
          <t>Lease liabilities at 30-Jun-2026 (WACC weight leg, reviewed interims)</t>
        </is>
      </c>
      <c r="C101" s="19" t="n">
        <v>3716.808</v>
      </c>
    </row>
    <row r="102">
      <c r="A102" s="6" t="inlineStr">
        <is>
          <t>Terminal equity weight</t>
        </is>
      </c>
      <c r="C102" s="24" t="n">
        <v>0.65</v>
      </c>
    </row>
    <row r="103">
      <c r="A103" s="6" t="inlineStr">
        <is>
          <t>Terminal loans weight</t>
        </is>
      </c>
      <c r="C103" s="24" t="n">
        <v>0.08</v>
      </c>
    </row>
    <row r="104">
      <c r="A104" s="6" t="inlineStr">
        <is>
          <t>Terminal REAL growth (stated, not derived)</t>
        </is>
      </c>
      <c r="C104" s="24" t="n">
        <v>0.007</v>
      </c>
    </row>
    <row r="105">
      <c r="A105" s="6" t="inlineStr">
        <is>
          <t>Terminal inflation — Saudi house macro path</t>
        </is>
      </c>
      <c r="C105" s="24" t="n">
        <v>0.02</v>
      </c>
    </row>
    <row r="106">
      <c r="A106" s="6" t="inlineStr">
        <is>
          <t>Weighted asset life, DERIVED from note 6 (gross cost of the depreciable base over the year's own depreciation charge)</t>
        </is>
      </c>
      <c r="C106" s="23" t="n">
        <v>18.03</v>
      </c>
    </row>
    <row r="107">
      <c r="A107" s="6" t="inlineStr">
        <is>
          <t>Downside variant — twice the directly measured average age (accumulated depreciation over the same charge)</t>
        </is>
      </c>
      <c r="C107" s="23" t="n">
        <v>22.5433766933308</v>
      </c>
    </row>
    <row r="108">
      <c r="A108" s="6" t="inlineStr">
        <is>
          <t>Invested capital per unit of real growth, at terminal revenue</t>
        </is>
      </c>
      <c r="C108" s="19" t="n">
        <v>11453.01435248914</v>
      </c>
    </row>
    <row r="110">
      <c r="A110" s="6" t="inlineStr">
        <is>
          <t>Terminal growth = (1 + inflation) x (1 + real growth) − 1</t>
        </is>
      </c>
      <c r="C110" s="11">
        <f>(1+$C$105)*(1+$C$104)-1</f>
        <v/>
      </c>
    </row>
    <row r="112">
      <c r="A112" s="12" t="inlineStr">
        <is>
          <t>Bridge anchors (audited 31-Dec-2025)</t>
        </is>
      </c>
      <c r="B112" s="15" t="n"/>
      <c r="C112" s="15" t="n"/>
      <c r="D112" s="15" t="n"/>
      <c r="E112" s="15" t="n"/>
      <c r="F112" s="15" t="n"/>
      <c r="G112" s="15" t="n"/>
      <c r="H112" s="15" t="n"/>
    </row>
    <row r="113">
      <c r="A113" s="6" t="inlineStr">
        <is>
          <t>Cash and cash equivalents</t>
        </is>
      </c>
      <c r="C113" s="19" t="n">
        <v>904.1369999999999</v>
      </c>
    </row>
    <row r="114">
      <c r="A114" s="6" t="inlineStr">
        <is>
          <t>Loans and borrowings (all current)</t>
        </is>
      </c>
      <c r="C114" s="19" t="n">
        <v>1893.924</v>
      </c>
    </row>
    <row r="115">
      <c r="A115" s="6" t="inlineStr">
        <is>
          <t>Lease liabilities</t>
        </is>
      </c>
      <c r="C115" s="19" t="n">
        <v>3952.231</v>
      </c>
    </row>
    <row r="116">
      <c r="A116" s="6" t="inlineStr">
        <is>
          <t>Employee benefits liabilities</t>
        </is>
      </c>
      <c r="C116" s="19" t="n">
        <v>748.401</v>
      </c>
    </row>
    <row r="117">
      <c r="A117" s="6" t="inlineStr">
        <is>
          <t>Provision against asset restoration</t>
        </is>
      </c>
      <c r="C117" s="19" t="n">
        <v>164.946</v>
      </c>
    </row>
    <row r="118">
      <c r="A118" s="6" t="inlineStr">
        <is>
          <t>Other net liabilities (tax/zakat accruals + DTL − DTA − other assets)</t>
        </is>
      </c>
      <c r="C118" s="23" t="n">
        <v>332.716</v>
      </c>
    </row>
    <row r="119">
      <c r="A119" s="6" t="inlineStr">
        <is>
          <t>Non-current investments (MOF sukuk + Almarai FVOCI)</t>
        </is>
      </c>
      <c r="C119" s="23" t="n">
        <v>676.359</v>
      </c>
    </row>
    <row r="120">
      <c r="A120" s="6" t="inlineStr">
        <is>
          <t>Current investments (T-bills, FVTPL)</t>
        </is>
      </c>
      <c r="C120" s="23" t="n">
        <v>85.80200000000001</v>
      </c>
    </row>
    <row r="121">
      <c r="A121" s="6" t="inlineStr">
        <is>
          <t>Investment property</t>
        </is>
      </c>
      <c r="C121" s="23" t="n">
        <v>158.234</v>
      </c>
    </row>
    <row r="122">
      <c r="A122" s="6" t="inlineStr">
        <is>
          <t>Herfy share price (its own Tadawul listing, 18-Aug-2026)</t>
        </is>
      </c>
      <c r="C122" s="7" t="n">
        <v>15.5</v>
      </c>
    </row>
    <row r="123">
      <c r="A123" s="6" t="inlineStr">
        <is>
          <t>Herfy shares outstanding (mn)</t>
        </is>
      </c>
      <c r="C123" s="27" t="n">
        <v>64.68000000000001</v>
      </c>
    </row>
    <row r="124">
      <c r="A124" s="6" t="inlineStr">
        <is>
          <t>Non-controlling interests, book (audited)</t>
        </is>
      </c>
      <c r="C124" s="23" t="n">
        <v>950.039</v>
      </c>
    </row>
    <row r="125">
      <c r="A125" s="6" t="inlineStr">
        <is>
          <t>of which the 51% Herfy NCI at book</t>
        </is>
      </c>
      <c r="C125" s="23" t="n">
        <v>434.618</v>
      </c>
    </row>
    <row r="126">
      <c r="A126" s="6" t="inlineStr">
        <is>
          <t>Property, plant and equipment (owned)</t>
        </is>
      </c>
      <c r="C126" s="19" t="n">
        <v>5486.067</v>
      </c>
    </row>
    <row r="127">
      <c r="A127" s="6" t="inlineStr">
        <is>
          <t>Right-of-use assets</t>
        </is>
      </c>
      <c r="C127" s="19" t="n">
        <v>3416.863</v>
      </c>
    </row>
    <row r="128">
      <c r="A128" s="6" t="inlineStr">
        <is>
          <t>Intangible assets and goodwill</t>
        </is>
      </c>
      <c r="C128" s="19" t="n">
        <v>1408.747</v>
      </c>
    </row>
    <row r="129">
      <c r="A129" s="6" t="inlineStr">
        <is>
          <t>Kinan carrying value (equity method)</t>
        </is>
      </c>
      <c r="C129" s="23" t="n">
        <v>435.517</v>
      </c>
    </row>
    <row r="130">
      <c r="A130" s="6" t="inlineStr">
        <is>
          <t>Equity attributable to owners</t>
        </is>
      </c>
      <c r="C130" s="19" t="n">
        <v>5516.027</v>
      </c>
    </row>
    <row r="131">
      <c r="A131" s="6" t="inlineStr">
        <is>
          <t>Equity attributable to owners, 30-Jun-2026 (reviewed; book-lens base)</t>
        </is>
      </c>
      <c r="C131" s="19" t="n">
        <v>5360.505</v>
      </c>
    </row>
    <row r="132">
      <c r="A132" s="6" t="inlineStr">
        <is>
          <t>Tiryaki sale-proceeds receivable (on the 31-Dec-2025 balance sheet; settled in Tiryaki shares H1-2026)</t>
        </is>
      </c>
      <c r="C132" s="23" t="n">
        <v>274.619</v>
      </c>
    </row>
    <row r="133">
      <c r="A133" s="6" t="inlineStr">
        <is>
          <t>Al Mehbaj consideration (Q2-2026 interims note 19: 5.4 paid + 6.0 deferred)</t>
        </is>
      </c>
      <c r="C133" s="23" t="n">
        <v>11.4</v>
      </c>
    </row>
    <row r="134">
      <c r="A134" s="6" t="inlineStr">
        <is>
          <t>Herfy non-current liabilities (note 20; Expert-1 carve-out)</t>
        </is>
      </c>
      <c r="C134" s="23" t="n">
        <v>461.952</v>
      </c>
    </row>
    <row r="135">
      <c r="A135" s="6" t="inlineStr">
        <is>
          <t>Herfy current lease portion, CONSTRUCTED estimate (flagged)</t>
        </is>
      </c>
      <c r="C135" s="23" t="n">
        <v>80</v>
      </c>
    </row>
    <row r="136">
      <c r="A136" s="6" t="inlineStr">
        <is>
          <t>Herfy cash, CONSTRUCTED estimate (flagged)</t>
        </is>
      </c>
      <c r="C136" s="23" t="n">
        <v>45</v>
      </c>
    </row>
    <row r="138">
      <c r="A138" s="12" t="inlineStr">
        <is>
          <t>Lens inputs</t>
        </is>
      </c>
      <c r="B138" s="15" t="n"/>
      <c r="C138" s="15" t="n"/>
      <c r="D138" s="15" t="n"/>
      <c r="E138" s="15" t="n"/>
      <c r="F138" s="15" t="n"/>
      <c r="G138" s="15" t="n"/>
      <c r="H138" s="15" t="n"/>
    </row>
    <row r="139">
      <c r="A139" s="6" t="inlineStr">
        <is>
          <t>Peer P/E — Almarai (settled 18-Aug close)</t>
        </is>
      </c>
      <c r="C139" s="28" t="n">
        <v>19.77</v>
      </c>
    </row>
    <row r="140">
      <c r="A140" s="6" t="inlineStr">
        <is>
          <t>Peer P/E — BinDawood (settled 18-Aug close)</t>
        </is>
      </c>
      <c r="C140" s="28" t="n">
        <v>20.2</v>
      </c>
    </row>
    <row r="141">
      <c r="A141" s="6" t="inlineStr">
        <is>
          <t>Peer P/E — NADEC (18-Aug)</t>
        </is>
      </c>
      <c r="C141" s="28" t="n">
        <v>13</v>
      </c>
    </row>
    <row r="142">
      <c r="A142" s="6" t="inlineStr">
        <is>
          <t>Peer P/E — Wilmar, international analogue (18-Aug)</t>
        </is>
      </c>
      <c r="C142" s="28" t="n">
        <v>12.54</v>
      </c>
    </row>
    <row r="143">
      <c r="A143" s="6" t="inlineStr">
        <is>
          <t>Conglomerate / EM-mix discount on the peer-mix multiple</t>
        </is>
      </c>
      <c r="C143" s="24" t="n">
        <v>0.2</v>
      </c>
    </row>
    <row r="144">
      <c r="A144" s="6" t="inlineStr">
        <is>
          <t>Normalised mid-cycle operating EBITDA margin</t>
        </is>
      </c>
      <c r="C144" s="25" t="n">
        <v>0.092</v>
      </c>
    </row>
    <row r="145">
      <c r="A145" s="6" t="inlineStr">
        <is>
          <t>Recurring net profit FY2025 (company bridge)</t>
        </is>
      </c>
      <c r="C145" s="23" t="n">
        <v>539.1</v>
      </c>
    </row>
    <row r="146">
      <c r="A146" s="6" t="inlineStr">
        <is>
          <t>Recurring net income H1-2026 (company net-income analysis)</t>
        </is>
      </c>
      <c r="C146" s="23" t="n">
        <v>372</v>
      </c>
    </row>
    <row r="147">
      <c r="A147" s="6" t="inlineStr">
        <is>
          <t>Recurring net income H1-2025 (same table, comparative column)</t>
        </is>
      </c>
      <c r="C147" s="23" t="n">
        <v>266</v>
      </c>
    </row>
    <row r="148">
      <c r="A148" s="6" t="inlineStr">
        <is>
          <t>Weight — discounted cash flow</t>
        </is>
      </c>
      <c r="C148" s="24" t="n">
        <v>0.45</v>
      </c>
    </row>
    <row r="149">
      <c r="A149" s="6" t="inlineStr">
        <is>
          <t>Weight — relative</t>
        </is>
      </c>
      <c r="C149" s="24" t="n">
        <v>0.25</v>
      </c>
    </row>
    <row r="150">
      <c r="A150" s="6" t="inlineStr">
        <is>
          <t>Weight — normalised</t>
        </is>
      </c>
      <c r="C150" s="24" t="n">
        <v>0.15</v>
      </c>
    </row>
    <row r="151">
      <c r="A151" s="6" t="inlineStr">
        <is>
          <t>Weight — book</t>
        </is>
      </c>
      <c r="C151" s="24" t="n">
        <v>0.15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0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Enterprise value to equity — the bridge</t>
        </is>
      </c>
      <c r="B1" s="2" t="n"/>
      <c r="C1" s="2" t="n"/>
      <c r="D1" s="2" t="n"/>
      <c r="E1" s="2" t="n"/>
    </row>
    <row r="2">
      <c r="A2" s="4" t="inlineStr">
        <is>
          <t>Dec-2025 legs roll to the anchor at the cost of equity; the three anchor-dated legs (Kinan capitalized, Herfy NCI at market, Mehbaj) sit OUTSIDE the roll</t>
        </is>
      </c>
    </row>
    <row r="4">
      <c r="A4" s="5" t="inlineStr">
        <is>
          <t>Step</t>
        </is>
      </c>
      <c r="B4" s="5" t="inlineStr">
        <is>
          <t>SAR mn</t>
        </is>
      </c>
      <c r="C4" s="5" t="inlineStr">
        <is>
          <t>Per share (SAR)</t>
        </is>
      </c>
    </row>
    <row r="5">
      <c r="A5" s="6" t="inlineStr">
        <is>
          <t>Present value of the five forecast years</t>
        </is>
      </c>
      <c r="C5" s="16">
        <f>DCF!C33</f>
        <v/>
      </c>
    </row>
    <row r="6">
      <c r="A6" s="6" t="inlineStr">
        <is>
          <t>Present value of the terminal value</t>
        </is>
      </c>
      <c r="C6" s="16">
        <f>DCF!C32</f>
        <v/>
      </c>
    </row>
    <row r="7">
      <c r="A7" s="21" t="inlineStr">
        <is>
          <t>Enterprise value (operating)</t>
        </is>
      </c>
      <c r="C7" s="29">
        <f>C5+C6</f>
        <v/>
      </c>
    </row>
    <row r="8">
      <c r="A8" s="6" t="inlineStr">
        <is>
          <t>Government sukuk and other non-current investments</t>
        </is>
      </c>
      <c r="C8" s="16">
        <f>Assumptions!$C$119</f>
        <v/>
      </c>
    </row>
    <row r="9">
      <c r="A9" s="6" t="inlineStr">
        <is>
          <t>Current investments (T-bills, Almarai FVTPL)</t>
        </is>
      </c>
      <c r="C9" s="16">
        <f>Assumptions!$C$120</f>
        <v/>
      </c>
    </row>
    <row r="10">
      <c r="A10" s="6" t="inlineStr">
        <is>
          <t>Tiryaki sale-proceeds receivable (on the audited 31-Dec-2025 balance sheet; carved out of working capital)</t>
        </is>
      </c>
      <c r="C10" s="16">
        <f>Assumptions!$C$132</f>
        <v/>
      </c>
    </row>
    <row r="11">
      <c r="A11" s="6" t="inlineStr">
        <is>
          <t>Investment property (its inter-segment rent is OUTSIDE group EBITDA, so the asset belongs here)</t>
        </is>
      </c>
      <c r="C11" s="16">
        <f>Assumptions!$C$121</f>
        <v/>
      </c>
    </row>
    <row r="12">
      <c r="A12" s="6" t="inlineStr">
        <is>
          <t>Cash and cash equivalents</t>
        </is>
      </c>
      <c r="C12" s="16">
        <f>Assumptions!$C$113</f>
        <v/>
      </c>
    </row>
    <row r="13">
      <c r="A13" s="6" t="inlineStr">
        <is>
          <t>Less loans and borrowings</t>
        </is>
      </c>
      <c r="C13" s="16">
        <f>-Assumptions!$C$114</f>
        <v/>
      </c>
    </row>
    <row r="14">
      <c r="A14" s="6" t="inlineStr">
        <is>
          <t>Less lease liabilities</t>
        </is>
      </c>
      <c r="C14" s="16">
        <f>-Assumptions!$C$115</f>
        <v/>
      </c>
    </row>
    <row r="15">
      <c r="A15" s="6" t="inlineStr">
        <is>
          <t>Less employee benefits liabilities</t>
        </is>
      </c>
      <c r="C15" s="16">
        <f>-Assumptions!$C$116</f>
        <v/>
      </c>
    </row>
    <row r="16">
      <c r="A16" s="6" t="inlineStr">
        <is>
          <t>Less asset-restoration provision</t>
        </is>
      </c>
      <c r="C16" s="16">
        <f>-Assumptions!$C$117</f>
        <v/>
      </c>
    </row>
    <row r="17">
      <c r="A17" s="6" t="inlineStr">
        <is>
          <t>Less other net liabilities (tax/zakat accruals, deferred tax, net)</t>
        </is>
      </c>
      <c r="C17" s="16">
        <f>-Assumptions!$C$118</f>
        <v/>
      </c>
    </row>
    <row r="18">
      <c r="A18" s="6" t="inlineStr">
        <is>
          <t>Less other non-controlling interests at book</t>
        </is>
      </c>
      <c r="C18" s="30">
        <f>-(Assumptions!$C$124-Assumptions!$C$125)</f>
        <v/>
      </c>
    </row>
    <row r="19">
      <c r="A19" s="12" t="inlineStr">
        <is>
          <t>Dec-2025-dated legs, subtotal</t>
        </is>
      </c>
      <c r="B19" s="15" t="n"/>
      <c r="C19" s="31">
        <f>SUM(C7:C18)</f>
        <v/>
      </c>
      <c r="D19" s="15" t="n"/>
    </row>
    <row r="20">
      <c r="A20" s="6" t="inlineStr">
        <is>
          <t>x accretion to 18-Aug-2026 at the cost of equity (Dec legs only)</t>
        </is>
      </c>
      <c r="C20" s="32">
        <f>(1+DCF!C44)^(Assumptions!$C$10/365)</f>
        <v/>
      </c>
    </row>
    <row r="21">
      <c r="A21" s="6" t="inlineStr">
        <is>
          <t>Dec legs rolled to the anchor</t>
        </is>
      </c>
      <c r="C21" s="30">
        <f>C19*C20</f>
        <v/>
      </c>
    </row>
    <row r="22">
      <c r="A22" s="21" t="inlineStr">
        <is>
          <t>ANCHOR-DATED LEGS (held outside the roll)</t>
        </is>
      </c>
    </row>
    <row r="23">
      <c r="A23" s="6" t="inlineStr">
        <is>
          <t>Kinan at capitalized earnings (annualized H1-2026 share / cost of equity — an H1-2026 run-rate value)</t>
        </is>
      </c>
      <c r="C23" s="30">
        <f>Assumptions!$C$82*2/DCF!C44</f>
        <v/>
      </c>
    </row>
    <row r="24">
      <c r="A24" s="6" t="inlineStr">
        <is>
          <t>Less Herfy's 51% NCI at Herfy's own settled 18-Aug-2026 price</t>
        </is>
      </c>
      <c r="C24" s="30">
        <f>-0.51*Assumptions!$C$122*Assumptions!$C$123</f>
        <v/>
      </c>
    </row>
    <row r="25">
      <c r="A25" s="6" t="inlineStr">
        <is>
          <t>Less Al Mehbaj consideration (Jul-2026 acquisition whose revenue the forecast carries)</t>
        </is>
      </c>
      <c r="C25" s="33">
        <f>-Assumptions!$C$133</f>
        <v/>
      </c>
    </row>
    <row r="26">
      <c r="A26" s="12" t="inlineStr">
        <is>
          <t>Equity value attributable to owners AT THE ANCHOR</t>
        </is>
      </c>
      <c r="B26" s="15" t="n"/>
      <c r="C26" s="31">
        <f>C21+C23+C24+C25</f>
        <v/>
      </c>
      <c r="D26" s="13">
        <f>C26/Assumptions!$C$7-Assumptions!$C$11</f>
        <v/>
      </c>
    </row>
    <row r="27">
      <c r="A27" s="6" t="inlineStr">
        <is>
          <t>31-Dec-2025-basis view (Dec legs unrolled; anchor legs at their own dates)</t>
        </is>
      </c>
      <c r="C27" s="30">
        <f>C19+C23+C24+C25</f>
        <v/>
      </c>
      <c r="D27" s="10">
        <f>C27/Assumptions!$C$7</f>
        <v/>
      </c>
    </row>
    <row r="29">
      <c r="A29" s="6" t="inlineStr">
        <is>
          <t>Terminal value as a share of enterprise value</t>
        </is>
      </c>
      <c r="C29" s="9">
        <f>DCF!C34</f>
        <v/>
      </c>
    </row>
    <row r="30">
      <c r="A30" s="4" t="inlineStr">
        <is>
          <t>Kinan alternatives: carrying value 435.5 (floor) · share of net assets 600.9 (disclosed) · capitalized earnings (used). First edition note superseded: the Tiryaki receivable IS on the 31-Dec-2025 balance sheet (notes 14/22) and now sits in the bridge; only its share settlement happened in H1-2026.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55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Segments — the unit build; every margin is an output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Volumes compound on their drivers; revenue = volume x price; gross profit = volume x GP/tonne; Panda = stores x sales per store</t>
        </is>
      </c>
    </row>
    <row r="4">
      <c r="A4" s="5" t="inlineStr">
        <is>
          <t>Food Processing unit build</t>
        </is>
      </c>
      <c r="B4" s="5" t="inlineStr">
        <is>
          <t>2026E</t>
        </is>
      </c>
      <c r="C4" s="5" t="inlineStr">
        <is>
          <t>2027E</t>
        </is>
      </c>
      <c r="D4" s="5" t="inlineStr">
        <is>
          <t>2028E</t>
        </is>
      </c>
      <c r="E4" s="5" t="inlineStr">
        <is>
          <t>2029E</t>
        </is>
      </c>
      <c r="F4" s="5" t="inlineStr">
        <is>
          <t>2030E</t>
        </is>
      </c>
    </row>
    <row r="5">
      <c r="A5" s="6" t="inlineStr">
        <is>
          <t>Oil volume (k MT)</t>
        </is>
      </c>
      <c r="B5" s="30">
        <f>Assumptions!$C$16*(1+Assumptions!$B$31)</f>
        <v/>
      </c>
      <c r="C5" s="30">
        <f>B5*(1+Assumptions!$C$31)</f>
        <v/>
      </c>
      <c r="D5" s="30">
        <f>C5*(1+Assumptions!$D$31)</f>
        <v/>
      </c>
      <c r="E5" s="30">
        <f>D5*(1+Assumptions!$E$31)</f>
        <v/>
      </c>
      <c r="F5" s="30">
        <f>E5*(1+Assumptions!$F$31)</f>
        <v/>
      </c>
    </row>
    <row r="6">
      <c r="A6" s="6" t="inlineStr">
        <is>
          <t>Oil revenue per tonne (SAR/t)</t>
        </is>
      </c>
      <c r="B6" s="30">
        <f>Assumptions!$C$17/Assumptions!$C$16*1000*(1+Assumptions!$B$32)</f>
        <v/>
      </c>
      <c r="C6" s="30">
        <f>B6*(1+Assumptions!$C$32)</f>
        <v/>
      </c>
      <c r="D6" s="30">
        <f>C6*(1+Assumptions!$D$32)</f>
        <v/>
      </c>
      <c r="E6" s="30">
        <f>D6*(1+Assumptions!$E$32)</f>
        <v/>
      </c>
      <c r="F6" s="30">
        <f>E6*(1+Assumptions!$F$32)</f>
        <v/>
      </c>
    </row>
    <row r="7">
      <c r="A7" s="6" t="inlineStr">
        <is>
          <t>Oil revenue</t>
        </is>
      </c>
      <c r="B7" s="30">
        <f>B5*B6/1000</f>
        <v/>
      </c>
      <c r="C7" s="30">
        <f>C5*C6/1000</f>
        <v/>
      </c>
      <c r="D7" s="30">
        <f>D5*D6/1000</f>
        <v/>
      </c>
      <c r="E7" s="30">
        <f>E5*E6/1000</f>
        <v/>
      </c>
      <c r="F7" s="30">
        <f>F5*F6/1000</f>
        <v/>
      </c>
    </row>
    <row r="8">
      <c r="A8" s="6" t="inlineStr">
        <is>
          <t>Oil gross profit (= volume x GP/tonne)</t>
        </is>
      </c>
      <c r="B8" s="30">
        <f>B5*Assumptions!$B$33/1000</f>
        <v/>
      </c>
      <c r="C8" s="30">
        <f>C5*Assumptions!$C$33/1000</f>
        <v/>
      </c>
      <c r="D8" s="30">
        <f>D5*Assumptions!$D$33/1000</f>
        <v/>
      </c>
      <c r="E8" s="30">
        <f>E5*Assumptions!$E$33/1000</f>
        <v/>
      </c>
      <c r="F8" s="30">
        <f>F5*Assumptions!$F$33/1000</f>
        <v/>
      </c>
    </row>
    <row r="9">
      <c r="A9" s="6" t="inlineStr">
        <is>
          <t>Oil EBITDA (= GP − measured opex ratio x revenue)</t>
        </is>
      </c>
      <c r="B9" s="30">
        <f>B8-B7*Assumptions!$C$42</f>
        <v/>
      </c>
      <c r="C9" s="30">
        <f>C8-C7*Assumptions!$C$42</f>
        <v/>
      </c>
      <c r="D9" s="30">
        <f>D8-D7*Assumptions!$C$42</f>
        <v/>
      </c>
      <c r="E9" s="30">
        <f>E8-E7*Assumptions!$C$42</f>
        <v/>
      </c>
      <c r="F9" s="30">
        <f>F8-F7*Assumptions!$C$42</f>
        <v/>
      </c>
    </row>
    <row r="10">
      <c r="A10" s="6" t="inlineStr">
        <is>
          <t>Sugar volume (k MT)</t>
        </is>
      </c>
      <c r="B10" s="30">
        <f>Assumptions!$C$18*(1+Assumptions!$B$34)</f>
        <v/>
      </c>
      <c r="C10" s="30">
        <f>B10*(1+Assumptions!$C$34)</f>
        <v/>
      </c>
      <c r="D10" s="30">
        <f>C10*(1+Assumptions!$D$34)</f>
        <v/>
      </c>
      <c r="E10" s="30">
        <f>D10*(1+Assumptions!$E$34)</f>
        <v/>
      </c>
      <c r="F10" s="30">
        <f>E10*(1+Assumptions!$F$34)</f>
        <v/>
      </c>
    </row>
    <row r="11">
      <c r="A11" s="6" t="inlineStr">
        <is>
          <t>Sugar revenue per tonne (SAR/t)</t>
        </is>
      </c>
      <c r="B11" s="30">
        <f>Assumptions!$C$19/Assumptions!$C$18*1000*(1+Assumptions!$B$35)</f>
        <v/>
      </c>
      <c r="C11" s="30">
        <f>B11*(1+Assumptions!$C$35)</f>
        <v/>
      </c>
      <c r="D11" s="30">
        <f>C11*(1+Assumptions!$D$35)</f>
        <v/>
      </c>
      <c r="E11" s="30">
        <f>D11*(1+Assumptions!$E$35)</f>
        <v/>
      </c>
      <c r="F11" s="30">
        <f>E11*(1+Assumptions!$F$35)</f>
        <v/>
      </c>
    </row>
    <row r="12">
      <c r="A12" s="6" t="inlineStr">
        <is>
          <t>Sugar revenue</t>
        </is>
      </c>
      <c r="B12" s="30">
        <f>B10*B11/1000</f>
        <v/>
      </c>
      <c r="C12" s="30">
        <f>C10*C11/1000</f>
        <v/>
      </c>
      <c r="D12" s="30">
        <f>D10*D11/1000</f>
        <v/>
      </c>
      <c r="E12" s="30">
        <f>E10*E11/1000</f>
        <v/>
      </c>
      <c r="F12" s="30">
        <f>F10*F11/1000</f>
        <v/>
      </c>
    </row>
    <row r="13">
      <c r="A13" s="6" t="inlineStr">
        <is>
          <t>Sugar gross profit</t>
        </is>
      </c>
      <c r="B13" s="30">
        <f>B10*Assumptions!$B$36/1000</f>
        <v/>
      </c>
      <c r="C13" s="30">
        <f>C10*Assumptions!$C$36/1000</f>
        <v/>
      </c>
      <c r="D13" s="30">
        <f>D10*Assumptions!$D$36/1000</f>
        <v/>
      </c>
      <c r="E13" s="30">
        <f>E10*Assumptions!$E$36/1000</f>
        <v/>
      </c>
      <c r="F13" s="30">
        <f>F10*Assumptions!$F$36/1000</f>
        <v/>
      </c>
    </row>
    <row r="14">
      <c r="A14" s="6" t="inlineStr">
        <is>
          <t>Sugar EBITDA</t>
        </is>
      </c>
      <c r="B14" s="30">
        <f>B13-B12*Assumptions!$C$43</f>
        <v/>
      </c>
      <c r="C14" s="30">
        <f>C13-C12*Assumptions!$C$43</f>
        <v/>
      </c>
      <c r="D14" s="30">
        <f>D13-D12*Assumptions!$C$43</f>
        <v/>
      </c>
      <c r="E14" s="30">
        <f>E13-E12*Assumptions!$C$43</f>
        <v/>
      </c>
      <c r="F14" s="30">
        <f>F13-F12*Assumptions!$C$43</f>
        <v/>
      </c>
    </row>
    <row r="15">
      <c r="A15" s="6" t="inlineStr">
        <is>
          <t>Pasta volume (k MT)</t>
        </is>
      </c>
      <c r="B15" s="30">
        <f>Assumptions!$C$20*(1+Assumptions!$B$37)</f>
        <v/>
      </c>
      <c r="C15" s="30">
        <f>B15*(1+Assumptions!$C$37)</f>
        <v/>
      </c>
      <c r="D15" s="30">
        <f>C15*(1+Assumptions!$D$37)</f>
        <v/>
      </c>
      <c r="E15" s="30">
        <f>D15*(1+Assumptions!$E$37)</f>
        <v/>
      </c>
      <c r="F15" s="30">
        <f>E15*(1+Assumptions!$F$37)</f>
        <v/>
      </c>
    </row>
    <row r="16">
      <c r="A16" s="6" t="inlineStr">
        <is>
          <t>Pasta revenue per tonne (SAR/t)</t>
        </is>
      </c>
      <c r="B16" s="30">
        <f>Assumptions!$C$21/Assumptions!$C$20*1000*(1+Assumptions!$B$38)</f>
        <v/>
      </c>
      <c r="C16" s="30">
        <f>B16*(1+Assumptions!$C$38)</f>
        <v/>
      </c>
      <c r="D16" s="30">
        <f>C16*(1+Assumptions!$D$38)</f>
        <v/>
      </c>
      <c r="E16" s="30">
        <f>D16*(1+Assumptions!$E$38)</f>
        <v/>
      </c>
      <c r="F16" s="30">
        <f>E16*(1+Assumptions!$F$38)</f>
        <v/>
      </c>
    </row>
    <row r="17">
      <c r="A17" s="6" t="inlineStr">
        <is>
          <t>Pasta revenue</t>
        </is>
      </c>
      <c r="B17" s="30">
        <f>B15*B16/1000</f>
        <v/>
      </c>
      <c r="C17" s="30">
        <f>C15*C16/1000</f>
        <v/>
      </c>
      <c r="D17" s="30">
        <f>D15*D16/1000</f>
        <v/>
      </c>
      <c r="E17" s="30">
        <f>E15*E16/1000</f>
        <v/>
      </c>
      <c r="F17" s="30">
        <f>F15*F16/1000</f>
        <v/>
      </c>
    </row>
    <row r="18">
      <c r="A18" s="6" t="inlineStr">
        <is>
          <t>Pasta gross profit</t>
        </is>
      </c>
      <c r="B18" s="30">
        <f>B15*Assumptions!$B$39/1000</f>
        <v/>
      </c>
      <c r="C18" s="30">
        <f>C15*Assumptions!$C$39/1000</f>
        <v/>
      </c>
      <c r="D18" s="30">
        <f>D15*Assumptions!$D$39/1000</f>
        <v/>
      </c>
      <c r="E18" s="30">
        <f>E15*Assumptions!$E$39/1000</f>
        <v/>
      </c>
      <c r="F18" s="30">
        <f>F15*Assumptions!$F$39/1000</f>
        <v/>
      </c>
    </row>
    <row r="19">
      <c r="A19" s="6" t="inlineStr">
        <is>
          <t>Pasta EBITDA</t>
        </is>
      </c>
      <c r="B19" s="30">
        <f>B18-B17*Assumptions!$C$44</f>
        <v/>
      </c>
      <c r="C19" s="30">
        <f>C18-C17*Assumptions!$C$44</f>
        <v/>
      </c>
      <c r="D19" s="30">
        <f>D18-D17*Assumptions!$C$44</f>
        <v/>
      </c>
      <c r="E19" s="30">
        <f>E18-E17*Assumptions!$C$44</f>
        <v/>
      </c>
      <c r="F19" s="30">
        <f>F18-F17*Assumptions!$C$44</f>
        <v/>
      </c>
    </row>
    <row r="20">
      <c r="A20" s="6" t="inlineStr">
        <is>
          <t>Nuts &amp; spices revenue (driver path)</t>
        </is>
      </c>
      <c r="B20" s="30">
        <f>Assumptions!$B$40</f>
        <v/>
      </c>
      <c r="C20" s="30">
        <f>Assumptions!$C$40</f>
        <v/>
      </c>
      <c r="D20" s="30">
        <f>Assumptions!$D$40</f>
        <v/>
      </c>
      <c r="E20" s="30">
        <f>Assumptions!$E$40</f>
        <v/>
      </c>
      <c r="F20" s="30">
        <f>Assumptions!$F$40</f>
        <v/>
      </c>
    </row>
    <row r="21">
      <c r="A21" s="6" t="inlineStr">
        <is>
          <t>Nuts &amp; spices gross profit</t>
        </is>
      </c>
      <c r="B21" s="30">
        <f>B20*Assumptions!$B$41</f>
        <v/>
      </c>
      <c r="C21" s="30">
        <f>C20*Assumptions!$C$41</f>
        <v/>
      </c>
      <c r="D21" s="30">
        <f>D20*Assumptions!$D$41</f>
        <v/>
      </c>
      <c r="E21" s="30">
        <f>E20*Assumptions!$E$41</f>
        <v/>
      </c>
      <c r="F21" s="30">
        <f>F20*Assumptions!$F$41</f>
        <v/>
      </c>
    </row>
    <row r="22">
      <c r="A22" s="6" t="inlineStr">
        <is>
          <t>Nuts &amp; spices EBITDA</t>
        </is>
      </c>
      <c r="B22" s="30">
        <f>B21-B20*Assumptions!$C$45</f>
        <v/>
      </c>
      <c r="C22" s="30">
        <f>C21-C20*Assumptions!$C$45</f>
        <v/>
      </c>
      <c r="D22" s="30">
        <f>D21-D20*Assumptions!$C$45</f>
        <v/>
      </c>
      <c r="E22" s="30">
        <f>E21-E20*Assumptions!$C$45</f>
        <v/>
      </c>
      <c r="F22" s="30">
        <f>F21-F20*Assumptions!$C$45</f>
        <v/>
      </c>
    </row>
    <row r="23">
      <c r="A23" s="12" t="inlineStr">
        <is>
          <t>Food Processing revenue</t>
        </is>
      </c>
      <c r="B23" s="31">
        <f>B7+B12+B17+B20</f>
        <v/>
      </c>
      <c r="C23" s="31">
        <f>C7+C12+C17+C20</f>
        <v/>
      </c>
      <c r="D23" s="31">
        <f>D7+D12+D17+D20</f>
        <v/>
      </c>
      <c r="E23" s="31">
        <f>E7+E12+E17+E20</f>
        <v/>
      </c>
      <c r="F23" s="31">
        <f>F7+F12+F17+F20</f>
        <v/>
      </c>
    </row>
    <row r="24">
      <c r="A24" s="21" t="inlineStr">
        <is>
          <t>Food Processing gross profit</t>
        </is>
      </c>
      <c r="B24" s="29">
        <f>B8+B13+B18+B21</f>
        <v/>
      </c>
      <c r="C24" s="29">
        <f>C8+C13+C18+C21</f>
        <v/>
      </c>
      <c r="D24" s="29">
        <f>D8+D13+D18+D21</f>
        <v/>
      </c>
      <c r="E24" s="29">
        <f>E8+E13+E18+E21</f>
        <v/>
      </c>
      <c r="F24" s="29">
        <f>F8+F13+F18+F21</f>
        <v/>
      </c>
    </row>
    <row r="25">
      <c r="A25" s="21" t="inlineStr">
        <is>
          <t>Food Processing EBITDA</t>
        </is>
      </c>
      <c r="B25" s="29">
        <f>B9+B14+B19+B22</f>
        <v/>
      </c>
      <c r="C25" s="29">
        <f>C9+C14+C19+C22</f>
        <v/>
      </c>
      <c r="D25" s="29">
        <f>D9+D14+D19+D22</f>
        <v/>
      </c>
      <c r="E25" s="29">
        <f>E9+E14+E19+E22</f>
        <v/>
      </c>
      <c r="F25" s="29">
        <f>F9+F14+F19+F22</f>
        <v/>
      </c>
    </row>
    <row r="27">
      <c r="A27" s="5" t="inlineStr">
        <is>
          <t>Panda (Retail) build</t>
        </is>
      </c>
      <c r="B27" s="5" t="inlineStr">
        <is>
          <t>2026E</t>
        </is>
      </c>
      <c r="C27" s="5" t="inlineStr">
        <is>
          <t>2027E</t>
        </is>
      </c>
      <c r="D27" s="5" t="inlineStr">
        <is>
          <t>2028E</t>
        </is>
      </c>
      <c r="E27" s="5" t="inlineStr">
        <is>
          <t>2029E</t>
        </is>
      </c>
      <c r="F27" s="5" t="inlineStr">
        <is>
          <t>2030E</t>
        </is>
      </c>
    </row>
    <row r="28">
      <c r="A28" s="6" t="inlineStr">
        <is>
          <t>Average stores in year</t>
        </is>
      </c>
      <c r="B28" s="33">
        <f>(Assumptions!$C$28+Assumptions!$B$48)/2</f>
        <v/>
      </c>
      <c r="C28" s="33">
        <f>(Assumptions!$B$48+Assumptions!$C$48)/2</f>
        <v/>
      </c>
      <c r="D28" s="33">
        <f>(Assumptions!$C$48+Assumptions!$D$48)/2</f>
        <v/>
      </c>
      <c r="E28" s="33">
        <f>(Assumptions!$D$48+Assumptions!$E$48)/2</f>
        <v/>
      </c>
      <c r="F28" s="33">
        <f>(Assumptions!$E$48+Assumptions!$F$48)/2</f>
        <v/>
      </c>
    </row>
    <row r="29">
      <c r="A29" s="6" t="inlineStr">
        <is>
          <t>Sales per average store (SAR mn)</t>
        </is>
      </c>
      <c r="B29" s="34">
        <f>Assumptions!$C$23/((Assumptions!$C$27+Assumptions!$C$28)/2)*(1+Assumptions!$B$49)</f>
        <v/>
      </c>
      <c r="C29" s="34">
        <f>B29*(1+Assumptions!$C$49)</f>
        <v/>
      </c>
      <c r="D29" s="34">
        <f>C29*(1+Assumptions!$D$49)</f>
        <v/>
      </c>
      <c r="E29" s="34">
        <f>D29*(1+Assumptions!$E$49)</f>
        <v/>
      </c>
      <c r="F29" s="34">
        <f>E29*(1+Assumptions!$F$49)</f>
        <v/>
      </c>
    </row>
    <row r="30">
      <c r="A30" s="6" t="inlineStr">
        <is>
          <t>Panda revenue (= stores x sales/store)</t>
        </is>
      </c>
      <c r="B30" s="30">
        <f>B28*B29</f>
        <v/>
      </c>
      <c r="C30" s="30">
        <f>C28*C29</f>
        <v/>
      </c>
      <c r="D30" s="30">
        <f>D28*D29</f>
        <v/>
      </c>
      <c r="E30" s="30">
        <f>E28*E29</f>
        <v/>
      </c>
      <c r="F30" s="30">
        <f>F28*F29</f>
        <v/>
      </c>
    </row>
    <row r="31">
      <c r="A31" s="6" t="inlineStr">
        <is>
          <t>Panda gross profit (margin held at the H1-2026 actual)</t>
        </is>
      </c>
      <c r="B31" s="30">
        <f>B30*Assumptions!$C$50</f>
        <v/>
      </c>
      <c r="C31" s="30">
        <f>C30*Assumptions!$C$50</f>
        <v/>
      </c>
      <c r="D31" s="30">
        <f>D30*Assumptions!$C$50</f>
        <v/>
      </c>
      <c r="E31" s="30">
        <f>E30*Assumptions!$C$50</f>
        <v/>
      </c>
      <c r="F31" s="30">
        <f>F30*Assumptions!$C$50</f>
        <v/>
      </c>
    </row>
    <row r="32">
      <c r="A32" s="6" t="inlineStr">
        <is>
          <t>Panda store-opex ratio (Framing A scale gains from FY2028)</t>
        </is>
      </c>
      <c r="B32" s="35">
        <f>Assumptions!$C$51</f>
        <v/>
      </c>
      <c r="C32" s="35">
        <f>Assumptions!$C$51</f>
        <v/>
      </c>
      <c r="D32" s="35">
        <f>Assumptions!$C$51-Assumptions!$C$52</f>
        <v/>
      </c>
      <c r="E32" s="35">
        <f>Assumptions!$C$51-2*Assumptions!$C$52</f>
        <v/>
      </c>
      <c r="F32" s="35">
        <f>Assumptions!$C$51-3*Assumptions!$C$52</f>
        <v/>
      </c>
    </row>
    <row r="33">
      <c r="A33" s="21" t="inlineStr">
        <is>
          <t>Panda EBITDA (an output)</t>
        </is>
      </c>
      <c r="B33" s="29">
        <f>B31-B30*B32</f>
        <v/>
      </c>
      <c r="C33" s="29">
        <f>C31-C30*C32</f>
        <v/>
      </c>
      <c r="D33" s="29">
        <f>D31-D30*D32</f>
        <v/>
      </c>
      <c r="E33" s="29">
        <f>E31-E30*E32</f>
        <v/>
      </c>
      <c r="F33" s="29">
        <f>F31-F30*F32</f>
        <v/>
      </c>
    </row>
    <row r="35">
      <c r="A35" s="5" t="inlineStr">
        <is>
          <t>Food Services, Frozen Food, eliminations, group</t>
        </is>
      </c>
      <c r="B35" s="5" t="inlineStr">
        <is>
          <t>2026E</t>
        </is>
      </c>
      <c r="C35" s="5" t="inlineStr">
        <is>
          <t>2027E</t>
        </is>
      </c>
      <c r="D35" s="5" t="inlineStr">
        <is>
          <t>2028E</t>
        </is>
      </c>
      <c r="E35" s="5" t="inlineStr">
        <is>
          <t>2029E</t>
        </is>
      </c>
      <c r="F35" s="5" t="inlineStr">
        <is>
          <t>2030E</t>
        </is>
      </c>
    </row>
    <row r="36">
      <c r="A36" s="6" t="inlineStr">
        <is>
          <t>Herfy revenue</t>
        </is>
      </c>
      <c r="B36" s="30">
        <f>Assumptions!$C$24*(1+Assumptions!$B$55)</f>
        <v/>
      </c>
      <c r="C36" s="30">
        <f>B36*(1+Assumptions!$C$55)</f>
        <v/>
      </c>
      <c r="D36" s="30">
        <f>C36*(1+Assumptions!$D$55)</f>
        <v/>
      </c>
      <c r="E36" s="30">
        <f>D36*(1+Assumptions!$E$55)</f>
        <v/>
      </c>
      <c r="F36" s="30">
        <f>E36*(1+Assumptions!$F$55)</f>
        <v/>
      </c>
    </row>
    <row r="37">
      <c r="A37" s="6" t="inlineStr">
        <is>
          <t>Herfy EBITDA</t>
        </is>
      </c>
      <c r="B37" s="30">
        <f>B36*Assumptions!$C$56</f>
        <v/>
      </c>
      <c r="C37" s="30">
        <f>C36*Assumptions!$C$56</f>
        <v/>
      </c>
      <c r="D37" s="30">
        <f>D36*Assumptions!$C$56</f>
        <v/>
      </c>
      <c r="E37" s="30">
        <f>E36*Assumptions!$C$56</f>
        <v/>
      </c>
      <c r="F37" s="30">
        <f>F36*Assumptions!$C$56</f>
        <v/>
      </c>
    </row>
    <row r="38">
      <c r="A38" s="6" t="inlineStr">
        <is>
          <t>Al Kabeer revenue</t>
        </is>
      </c>
      <c r="B38" s="30">
        <f>Assumptions!$C$25*(1+Assumptions!$B$57)</f>
        <v/>
      </c>
      <c r="C38" s="30">
        <f>B38*(1+Assumptions!$C$57)</f>
        <v/>
      </c>
      <c r="D38" s="30">
        <f>C38*(1+Assumptions!$D$57)</f>
        <v/>
      </c>
      <c r="E38" s="30">
        <f>D38*(1+Assumptions!$E$57)</f>
        <v/>
      </c>
      <c r="F38" s="30">
        <f>E38*(1+Assumptions!$F$57)</f>
        <v/>
      </c>
    </row>
    <row r="39">
      <c r="A39" s="6" t="inlineStr">
        <is>
          <t>Al Kabeer EBITDA</t>
        </is>
      </c>
      <c r="B39" s="30">
        <f>B38*Assumptions!$C$58</f>
        <v/>
      </c>
      <c r="C39" s="30">
        <f>C38*Assumptions!$C$58</f>
        <v/>
      </c>
      <c r="D39" s="30">
        <f>D38*Assumptions!$C$58</f>
        <v/>
      </c>
      <c r="E39" s="30">
        <f>E38*Assumptions!$C$58</f>
        <v/>
      </c>
      <c r="F39" s="30">
        <f>F38*Assumptions!$C$58</f>
        <v/>
      </c>
    </row>
    <row r="40">
      <c r="A40" s="6" t="inlineStr">
        <is>
          <t>Eliminations (proportional to Food Processing)</t>
        </is>
      </c>
      <c r="B40" s="30">
        <f>B23*Assumptions!$C$61</f>
        <v/>
      </c>
      <c r="C40" s="30">
        <f>C23*Assumptions!$C$61</f>
        <v/>
      </c>
      <c r="D40" s="30">
        <f>D23*Assumptions!$C$61</f>
        <v/>
      </c>
      <c r="E40" s="30">
        <f>E23*Assumptions!$C$61</f>
        <v/>
      </c>
      <c r="F40" s="30">
        <f>F23*Assumptions!$C$61</f>
        <v/>
      </c>
    </row>
    <row r="41">
      <c r="A41" s="12" t="inlineStr">
        <is>
          <t>Group revenue</t>
        </is>
      </c>
      <c r="B41" s="31">
        <f>B23+B30+B36+B38+B40+Assumptions!$C$26</f>
        <v/>
      </c>
      <c r="C41" s="31">
        <f>C23+C30+C36+C38+C40+Assumptions!$C$26</f>
        <v/>
      </c>
      <c r="D41" s="31">
        <f>D23+D30+D36+D38+D40+Assumptions!$C$26</f>
        <v/>
      </c>
      <c r="E41" s="31">
        <f>E23+E30+E36+E38+E40+Assumptions!$C$26</f>
        <v/>
      </c>
      <c r="F41" s="31">
        <f>F23+F30+F36+F38+F40+Assumptions!$C$26</f>
        <v/>
      </c>
    </row>
    <row r="42">
      <c r="A42" s="6" t="inlineStr">
        <is>
          <t>Unallocated corporate costs</t>
        </is>
      </c>
      <c r="B42" s="30">
        <f>-Assumptions!$B$62</f>
        <v/>
      </c>
      <c r="C42" s="30">
        <f>-Assumptions!$C$62</f>
        <v/>
      </c>
      <c r="D42" s="30">
        <f>-Assumptions!$D$62</f>
        <v/>
      </c>
      <c r="E42" s="30">
        <f>-Assumptions!$E$62</f>
        <v/>
      </c>
      <c r="F42" s="30">
        <f>-Assumptions!$F$62</f>
        <v/>
      </c>
    </row>
    <row r="43">
      <c r="A43" s="12" t="inlineStr">
        <is>
          <t>Group operating EBITDA (output)</t>
        </is>
      </c>
      <c r="B43" s="31">
        <f>B25+B33+B37+B39+B42</f>
        <v/>
      </c>
      <c r="C43" s="31">
        <f>C25+C33+C37+C39+C42</f>
        <v/>
      </c>
      <c r="D43" s="31">
        <f>D25+D33+D37+D39+D42</f>
        <v/>
      </c>
      <c r="E43" s="31">
        <f>E25+E33+E37+E39+E42</f>
        <v/>
      </c>
      <c r="F43" s="31">
        <f>F25+F33+F37+F39+F42</f>
        <v/>
      </c>
    </row>
    <row r="44">
      <c r="A44" s="6" t="inlineStr">
        <is>
          <t>Group EBITDA margin (output, never an input)</t>
        </is>
      </c>
      <c r="B44" s="11">
        <f>B43/B41</f>
        <v/>
      </c>
      <c r="C44" s="11">
        <f>C43/C41</f>
        <v/>
      </c>
      <c r="D44" s="11">
        <f>D43/D41</f>
        <v/>
      </c>
      <c r="E44" s="11">
        <f>E43/E41</f>
        <v/>
      </c>
      <c r="F44" s="11">
        <f>F43/F41</f>
        <v/>
      </c>
    </row>
    <row r="46">
      <c r="A46" s="5" t="inlineStr">
        <is>
          <t>FY2025 gross-profit footing (audited)</t>
        </is>
      </c>
      <c r="B46" s="5" t="inlineStr">
        <is>
          <t>SAR mn</t>
        </is>
      </c>
    </row>
    <row r="47">
      <c r="A47" s="6" t="inlineStr">
        <is>
          <t>Oil gross profit FY2025 (disclosed)</t>
        </is>
      </c>
      <c r="B47" s="23" t="n">
        <v>958</v>
      </c>
    </row>
    <row r="48">
      <c r="A48" s="6" t="inlineStr">
        <is>
          <t>Sugar gross profit FY2025 (disclosed)</t>
        </is>
      </c>
      <c r="B48" s="23" t="n">
        <v>413</v>
      </c>
    </row>
    <row r="49">
      <c r="A49" s="6" t="inlineStr">
        <is>
          <t>Pasta gross profit FY2025 = disclosed revenue x disclosed margin</t>
        </is>
      </c>
      <c r="B49" s="33">
        <f>Assumptions!$C$21*0.215</f>
        <v/>
      </c>
    </row>
    <row r="50">
      <c r="A50" s="6" t="inlineStr">
        <is>
          <t>Nuts &amp; spices gross profit FY2025 (residual)</t>
        </is>
      </c>
      <c r="B50" s="23" t="n">
        <v>201.0580000000002</v>
      </c>
    </row>
    <row r="51">
      <c r="A51" s="21" t="inlineStr">
        <is>
          <t>Sum of the four categories</t>
        </is>
      </c>
      <c r="B51" s="36">
        <f>SUM(B47:B50)</f>
        <v/>
      </c>
    </row>
    <row r="52">
      <c r="A52" s="6" t="inlineStr">
        <is>
          <t>Audited Food-Processing segment gross profit (revenue less cost of revenues, note 33)</t>
        </is>
      </c>
      <c r="B52" s="23" t="n">
        <v>1689.233</v>
      </c>
    </row>
    <row r="53">
      <c r="A53" s="4" t="inlineStr">
        <is>
          <t>The pasta line ties to the deck's own per-tonne label: 117.2mn / 263k tonnes = SAR 445/tonne (FY2024: 102 / 232 = 440).</t>
        </is>
      </c>
    </row>
    <row r="54" ht="40" customHeight="1">
      <c r="A54" s="37" t="inlineStr">
        <is>
          <t>MARGIN STATUS BY SEGMENT — stated plainly: Food Processing (47% of FY2026E EBITDA) is unit-built and its margins are OUTPUTS; Herfy and Al Kabeer margins are INPUTS at the finest level their disclosures allow (flagged above); Panda's margin is the identity of its gross-margin and opex-ratio inputs. The GROUP margin is an output of the mix.</t>
        </is>
      </c>
    </row>
    <row r="55">
      <c r="A55" s="4" t="inlineStr">
        <is>
          <t>FY2025 bases shown on Assumptions; H1-2026 actuals in the study text. The four category revenues foot to the audited Food-Processing segment revenue (13,279.9) and the four gross profits to the audited segment gross profit (1,689.2), as shown in the footing block above.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Relative, normalised and book lenses</t>
        </is>
      </c>
      <c r="B1" s="2" t="n"/>
      <c r="C1" s="2" t="n"/>
      <c r="D1" s="2" t="n"/>
      <c r="E1" s="2" t="n"/>
      <c r="F1" s="2" t="n"/>
    </row>
    <row r="2">
      <c r="A2" s="4" t="inlineStr">
        <is>
          <t>The peer-mix multiple is computed from quoted peers, discounted for the conglomerate/Egypt mix, and applied to model earnings</t>
        </is>
      </c>
    </row>
    <row r="4">
      <c r="A4" s="21" t="inlineStr">
        <is>
          <t>PEER-MIX MULTIPLE</t>
        </is>
      </c>
    </row>
    <row r="5">
      <c r="A5" s="6" t="inlineStr">
        <is>
          <t>Processing-leg P/E = median (NADEC, Wilmar)</t>
        </is>
      </c>
      <c r="C5" s="38">
        <f>MEDIAN(Assumptions!$C$141,Assumptions!$C$142)</f>
        <v/>
      </c>
    </row>
    <row r="6">
      <c r="A6" s="6" t="inlineStr">
        <is>
          <t>Retail-leg P/E = BinDawood (Al Othaim n/m after its 11-Aug-2026 H1 loss)</t>
        </is>
      </c>
      <c r="C6" s="38">
        <f>Assumptions!$C$140</f>
        <v/>
      </c>
    </row>
    <row r="7">
      <c r="A7" s="6" t="inlineStr">
        <is>
          <t>Processing-leg weight = FP EBITDA / (FP + Panda EBITDA), FY2026E — COMPUTED from the segment sheet</t>
        </is>
      </c>
      <c r="C7" s="35">
        <f>Segments!B25/(Segments!B25+Segments!B33)</f>
        <v/>
      </c>
    </row>
    <row r="8">
      <c r="A8" s="6" t="inlineStr">
        <is>
          <t>Mix-weighted peer P/E</t>
        </is>
      </c>
      <c r="C8" s="38">
        <f>C7*C5+(1-C7)*C6</f>
        <v/>
      </c>
    </row>
    <row r="9">
      <c r="A9" s="6" t="inlineStr">
        <is>
          <t>Applied multiple after the disclosed discount</t>
        </is>
      </c>
      <c r="C9" s="38">
        <f>C8*(1-Assumptions!$C$143)</f>
        <v/>
      </c>
    </row>
    <row r="11">
      <c r="A11" s="21" t="inlineStr">
        <is>
          <t>RELATIVE LENS — trailing multiple on TRAILING earnings</t>
        </is>
      </c>
    </row>
    <row r="12">
      <c r="A12" s="6" t="inlineStr">
        <is>
          <t>Trailing recurring net income to 30-Jun-2026 = FY2025 recurring − H1-2025 recurring + H1-2026 recurring (all three company-disclosed)</t>
        </is>
      </c>
      <c r="C12" s="33">
        <f>Assumptions!$C$145-Assumptions!$C$147+Assumptions!$C$146</f>
        <v/>
      </c>
    </row>
    <row r="13">
      <c r="A13" s="6" t="inlineStr">
        <is>
          <t>Trailing recurring EPS (on the ex-treasury divisor)</t>
        </is>
      </c>
      <c r="C13" s="10">
        <f>C12/Assumptions!$C$7</f>
        <v/>
      </c>
    </row>
    <row r="14">
      <c r="A14" s="21" t="inlineStr">
        <is>
          <t>Relative lens value = applied multiple x trailing recurring EPS (anchor-dated by construction: the multiples are 18-Aug quotes)</t>
        </is>
      </c>
      <c r="C14" s="39">
        <f>C9*C13</f>
        <v/>
      </c>
    </row>
    <row r="15">
      <c r="A15" s="6" t="inlineStr">
        <is>
          <t xml:space="preserve">  bear (30% discount) / bull (10% discount)</t>
        </is>
      </c>
      <c r="C15" s="10">
        <f>C8*0.7*C13</f>
        <v/>
      </c>
      <c r="D15" s="10">
        <f>C8*0.9*C13</f>
        <v/>
      </c>
    </row>
    <row r="16">
      <c r="A16" s="6" t="inlineStr">
        <is>
          <t xml:space="preserve">  forward variant (the first edition's construction: applied multiple x FY2026E EPS — a trailing multiple on forward earnings imports the peers' growth twice; shown, not used)</t>
        </is>
      </c>
      <c r="C16" s="10">
        <f>C9*'Income Statement'!E17</f>
        <v/>
      </c>
    </row>
    <row r="18">
      <c r="A18" s="21" t="inlineStr">
        <is>
          <t>NORMALISED EARNINGS POWER</t>
        </is>
      </c>
    </row>
    <row r="19">
      <c r="A19" s="6" t="inlineStr">
        <is>
          <t>FY2026E revenue (the trailing-multiple year; FY2027E under a trailing multiple would double-count growth)</t>
        </is>
      </c>
      <c r="C19" s="16">
        <f>Segments!B41</f>
        <v/>
      </c>
    </row>
    <row r="20">
      <c r="A20" s="6" t="inlineStr">
        <is>
          <t>Normalised EBITDA at the mid-cycle margin</t>
        </is>
      </c>
      <c r="C20" s="30">
        <f>C19*Assumptions!$C$144</f>
        <v/>
      </c>
    </row>
    <row r="21">
      <c r="A21" s="6" t="inlineStr">
        <is>
          <t>Normalised net profit (same D&amp;A, finance, tax and minority frame)</t>
        </is>
      </c>
      <c r="C21" s="30">
        <f>(C20-'Income Statement'!E10+'Income Statement'!E12)*(1-Assumptions!$C$8)*(1-Assumptions!$C$81)+'Income Statement'!E14</f>
        <v/>
      </c>
    </row>
    <row r="22">
      <c r="A22" s="6" t="inlineStr">
        <is>
          <t>Normalised EPS</t>
        </is>
      </c>
      <c r="C22" s="10">
        <f>C21/Assumptions!$C$7</f>
        <v/>
      </c>
    </row>
    <row r="23">
      <c r="A23" s="21" t="inlineStr">
        <is>
          <t>Normalised lens value = applied multiple x normalised EPS</t>
        </is>
      </c>
      <c r="C23" s="39">
        <f>C9*C22</f>
        <v/>
      </c>
      <c r="E23" s="8">
        <f>C8*0.7*C22</f>
        <v/>
      </c>
      <c r="F23" s="8">
        <f>C8*0.9*C22</f>
        <v/>
      </c>
    </row>
    <row r="25">
      <c r="A25" s="21" t="inlineStr">
        <is>
          <t>BOOK VALUE AND SUSTAINABLE RETURN</t>
        </is>
      </c>
    </row>
    <row r="26">
      <c r="A26" s="6" t="inlineStr">
        <is>
          <t>Book value per share (30-Jun-2026 reviewed equity, ex the 1.70 dividend paid)</t>
        </is>
      </c>
      <c r="C26" s="10">
        <f>Assumptions!$C$131/Assumptions!$C$7</f>
        <v/>
      </c>
    </row>
    <row r="27">
      <c r="A27" s="6" t="inlineStr">
        <is>
          <t>Sustainable return on equity = the model's OWN FY2026E attributable profit (recurring construction) / FY2025 opening equity — one FY2026 base across lenses</t>
        </is>
      </c>
      <c r="C27" s="35">
        <f>'Income Statement'!E16/Assumptions!$C$130</f>
        <v/>
      </c>
    </row>
    <row r="28">
      <c r="A28" s="6" t="inlineStr">
        <is>
          <t>Justified price-to-book = (ROE − g) / (Ke − g)</t>
        </is>
      </c>
      <c r="C28" s="34">
        <f>(C27-Assumptions!$C$110)/(DCF!C44-Assumptions!$C$110)</f>
        <v/>
      </c>
    </row>
    <row r="29">
      <c r="A29" s="21" t="inlineStr">
        <is>
          <t>Book lens value = justified P/B x book value per share</t>
        </is>
      </c>
      <c r="C29" s="39">
        <f>C28*C26</f>
        <v/>
      </c>
      <c r="E29" s="8">
        <f>MAX(C28-0.15,0.5)*C26</f>
        <v/>
      </c>
      <c r="F29" s="8">
        <f>(C28+0.15)*C26</f>
        <v/>
      </c>
    </row>
    <row r="31">
      <c r="A31" s="21" t="inlineStr">
        <is>
          <t>DIVIDEND-DISCOUNT CROSSWALK — the multiple our own cost of equity supports, computed three ways (none is typed; the study quotes the range)</t>
        </is>
      </c>
    </row>
    <row r="32">
      <c r="A32" s="6" t="inlineStr">
        <is>
          <t>Two-stage (model earnings growth 5.8% for five years, then terminal growth)</t>
        </is>
      </c>
      <c r="C32" s="28" t="n">
        <v>8.353925356394299</v>
      </c>
    </row>
    <row r="33">
      <c r="A33" s="6" t="inlineStr">
        <is>
          <t>Gordon forward form = payout / (Ke − g)</t>
        </is>
      </c>
      <c r="C33" s="38">
        <f>Assumptions!$C$9/(DCF!C44-Assumptions!$C$110)</f>
        <v/>
      </c>
    </row>
    <row r="34">
      <c r="A34" s="6" t="inlineStr">
        <is>
          <t>Implied by Expert 2's dividend model (its value / FY2026E EPS)</t>
        </is>
      </c>
      <c r="C34" s="28" t="n">
        <v>7.890909537392774</v>
      </c>
    </row>
    <row r="35" ht="40" customHeight="1">
      <c r="A35" s="37" t="inlineStr">
        <is>
          <t>The market pays the peer set 16.2x against the 7.1x-8.4x this study's cost of equity supports. That gap (the price of capital) is why the DCF sits below the peer-anchored lenses; it is examined in the study rather than averaged away.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DCF — the waterfall, the cost of capital built in-sheet, and the terminal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NOPAT = EBIT x (1 − combined zakat/tax); lease replacement equals right-of-use depreciation; leases carry a debt weight</t>
        </is>
      </c>
    </row>
    <row r="4">
      <c r="A4" s="5" t="inlineStr">
        <is>
          <t>SAR mn</t>
        </is>
      </c>
      <c r="B4" s="5" t="inlineStr">
        <is>
          <t>2026E</t>
        </is>
      </c>
      <c r="C4" s="5" t="inlineStr">
        <is>
          <t>2027E</t>
        </is>
      </c>
      <c r="D4" s="5" t="inlineStr">
        <is>
          <t>2028E</t>
        </is>
      </c>
      <c r="E4" s="5" t="inlineStr">
        <is>
          <t>2029E</t>
        </is>
      </c>
      <c r="F4" s="5" t="inlineStr">
        <is>
          <t>2030E</t>
        </is>
      </c>
    </row>
    <row r="5">
      <c r="A5" s="6" t="inlineStr">
        <is>
          <t>Revenue</t>
        </is>
      </c>
      <c r="B5" s="16">
        <f>Segments!B41</f>
        <v/>
      </c>
      <c r="C5" s="16">
        <f>Segments!C41</f>
        <v/>
      </c>
      <c r="D5" s="16">
        <f>Segments!D41</f>
        <v/>
      </c>
      <c r="E5" s="16">
        <f>Segments!E41</f>
        <v/>
      </c>
      <c r="F5" s="16">
        <f>Segments!F41</f>
        <v/>
      </c>
    </row>
    <row r="6">
      <c r="A6" s="6" t="inlineStr">
        <is>
          <t>EBITDA</t>
        </is>
      </c>
      <c r="B6" s="16">
        <f>Segments!B43</f>
        <v/>
      </c>
      <c r="C6" s="16">
        <f>Segments!C43</f>
        <v/>
      </c>
      <c r="D6" s="16">
        <f>Segments!D43</f>
        <v/>
      </c>
      <c r="E6" s="16">
        <f>Segments!E43</f>
        <v/>
      </c>
      <c r="F6" s="16">
        <f>Segments!F43</f>
        <v/>
      </c>
    </row>
    <row r="7">
      <c r="A7" s="6" t="inlineStr">
        <is>
          <t>EBITDA margin</t>
        </is>
      </c>
      <c r="B7" s="11">
        <f>B6/B5</f>
        <v/>
      </c>
      <c r="C7" s="11">
        <f>C6/C5</f>
        <v/>
      </c>
      <c r="D7" s="11">
        <f>D6/D5</f>
        <v/>
      </c>
      <c r="E7" s="11">
        <f>E6/E5</f>
        <v/>
      </c>
      <c r="F7" s="11">
        <f>F6/F5</f>
        <v/>
      </c>
    </row>
    <row r="8">
      <c r="A8" s="6" t="inlineStr">
        <is>
          <t>Less depreciation and amortisation</t>
        </is>
      </c>
      <c r="B8" s="30">
        <f>-'Income Statement'!E10</f>
        <v/>
      </c>
      <c r="C8" s="30">
        <f>-'Income Statement'!F10</f>
        <v/>
      </c>
      <c r="D8" s="30">
        <f>-'Income Statement'!G10</f>
        <v/>
      </c>
      <c r="E8" s="30">
        <f>-'Income Statement'!H10</f>
        <v/>
      </c>
      <c r="F8" s="30">
        <f>-'Income Statement'!I10</f>
        <v/>
      </c>
    </row>
    <row r="9">
      <c r="A9" s="21" t="inlineStr">
        <is>
          <t>EBIT</t>
        </is>
      </c>
      <c r="B9" s="29">
        <f>B6+B8</f>
        <v/>
      </c>
      <c r="C9" s="29">
        <f>C6+C8</f>
        <v/>
      </c>
      <c r="D9" s="29">
        <f>D6+D8</f>
        <v/>
      </c>
      <c r="E9" s="29">
        <f>E6+E8</f>
        <v/>
      </c>
      <c r="F9" s="29">
        <f>F6+F8</f>
        <v/>
      </c>
    </row>
    <row r="10">
      <c r="A10" s="6" t="inlineStr">
        <is>
          <t>NOPAT = EBIT x (1 − combined zakat/tax rate)</t>
        </is>
      </c>
      <c r="B10" s="30">
        <f>B9*(1-Assumptions!$C$8)</f>
        <v/>
      </c>
      <c r="C10" s="30">
        <f>C9*(1-Assumptions!$C$8)</f>
        <v/>
      </c>
      <c r="D10" s="30">
        <f>D9*(1-Assumptions!$C$8)</f>
        <v/>
      </c>
      <c r="E10" s="30">
        <f>E9*(1-Assumptions!$C$8)</f>
        <v/>
      </c>
      <c r="F10" s="30">
        <f>F9*(1-Assumptions!$C$8)</f>
        <v/>
      </c>
    </row>
    <row r="11">
      <c r="A11" s="6" t="inlineStr">
        <is>
          <t>Add back depreciation and amortisation</t>
        </is>
      </c>
      <c r="B11" s="30">
        <f>-B8</f>
        <v/>
      </c>
      <c r="C11" s="30">
        <f>-C8</f>
        <v/>
      </c>
      <c r="D11" s="30">
        <f>-D8</f>
        <v/>
      </c>
      <c r="E11" s="30">
        <f>-E8</f>
        <v/>
      </c>
      <c r="F11" s="30">
        <f>-F8</f>
        <v/>
      </c>
    </row>
    <row r="12">
      <c r="A12" s="6" t="inlineStr">
        <is>
          <t>Less capital expenditure</t>
        </is>
      </c>
      <c r="B12" s="30">
        <f>-Assumptions!$B$65</f>
        <v/>
      </c>
      <c r="C12" s="30">
        <f>-Assumptions!$C$65</f>
        <v/>
      </c>
      <c r="D12" s="30">
        <f>-Assumptions!$D$65</f>
        <v/>
      </c>
      <c r="E12" s="30">
        <f>-Assumptions!$E$65</f>
        <v/>
      </c>
      <c r="F12" s="30">
        <f>-Assumptions!$F$65</f>
        <v/>
      </c>
    </row>
    <row r="13">
      <c r="A13" s="6" t="inlineStr">
        <is>
          <t>Less lease renewals (= right-of-use depreciation)</t>
        </is>
      </c>
      <c r="B13" s="30">
        <f>-'Cash Flow'!B19</f>
        <v/>
      </c>
      <c r="C13" s="30">
        <f>-'Cash Flow'!C19</f>
        <v/>
      </c>
      <c r="D13" s="30">
        <f>-'Cash Flow'!D19</f>
        <v/>
      </c>
      <c r="E13" s="30">
        <f>-'Cash Flow'!E19</f>
        <v/>
      </c>
      <c r="F13" s="30">
        <f>-'Cash Flow'!F19</f>
        <v/>
      </c>
    </row>
    <row r="14">
      <c r="A14" s="6" t="inlineStr">
        <is>
          <t>Less lease-book growth (new-store leases; full additions charged)</t>
        </is>
      </c>
      <c r="B14" s="30">
        <f>-('Balance Sheet'!E24-Assumptions!$C$115)</f>
        <v/>
      </c>
      <c r="C14" s="30">
        <f>-('Balance Sheet'!F24-'Balance Sheet'!E24)</f>
        <v/>
      </c>
      <c r="D14" s="30">
        <f>-('Balance Sheet'!G24-'Balance Sheet'!F24)</f>
        <v/>
      </c>
      <c r="E14" s="30">
        <f>-('Balance Sheet'!H24-'Balance Sheet'!G24)</f>
        <v/>
      </c>
      <c r="F14" s="30">
        <f>-('Balance Sheet'!I24-'Balance Sheet'!H24)</f>
        <v/>
      </c>
    </row>
    <row r="15">
      <c r="A15" s="6" t="inlineStr">
        <is>
          <t>Less increase in net working capital</t>
        </is>
      </c>
      <c r="B15" s="30">
        <f>'Cash Flow'!B7</f>
        <v/>
      </c>
      <c r="C15" s="30">
        <f>'Cash Flow'!C7</f>
        <v/>
      </c>
      <c r="D15" s="30">
        <f>'Cash Flow'!D7</f>
        <v/>
      </c>
      <c r="E15" s="30">
        <f>'Cash Flow'!E7</f>
        <v/>
      </c>
      <c r="F15" s="30">
        <f>'Cash Flow'!F7</f>
        <v/>
      </c>
    </row>
    <row r="16">
      <c r="A16" s="12" t="inlineStr">
        <is>
          <t>Free cash flow to the firm</t>
        </is>
      </c>
      <c r="B16" s="31">
        <f>B10+B11+B12+B13+B14+B15</f>
        <v/>
      </c>
      <c r="C16" s="31">
        <f>C10+C11+C12+C13+C14+C15</f>
        <v/>
      </c>
      <c r="D16" s="31">
        <f>D10+D11+D12+D13+D14+D15</f>
        <v/>
      </c>
      <c r="E16" s="31">
        <f>E10+E11+E12+E13+E14+E15</f>
        <v/>
      </c>
      <c r="F16" s="31">
        <f>F10+F11+F12+F13+F14+F15</f>
        <v/>
      </c>
    </row>
    <row r="17">
      <c r="A17" s="6" t="inlineStr">
        <is>
          <t>Discount factor (compounding at the explicit cost of capital)</t>
        </is>
      </c>
      <c r="B17" s="40">
        <f>1/(1+$C$52)</f>
        <v/>
      </c>
      <c r="C17" s="40">
        <f>B17/(1+$C$52)</f>
        <v/>
      </c>
      <c r="D17" s="40">
        <f>C17/(1+$C$52)</f>
        <v/>
      </c>
      <c r="E17" s="40">
        <f>D17/(1+$C$52)</f>
        <v/>
      </c>
      <c r="F17" s="40">
        <f>E17/(1+$C$52)</f>
        <v/>
      </c>
    </row>
    <row r="18">
      <c r="A18" s="6" t="inlineStr">
        <is>
          <t>Present value of free cash flow</t>
        </is>
      </c>
      <c r="B18" s="30">
        <f>B16*B17</f>
        <v/>
      </c>
      <c r="C18" s="30">
        <f>C16*C17</f>
        <v/>
      </c>
      <c r="D18" s="30">
        <f>D16*D17</f>
        <v/>
      </c>
      <c r="E18" s="30">
        <f>E16*E17</f>
        <v/>
      </c>
      <c r="F18" s="30">
        <f>F16*F17</f>
        <v/>
      </c>
    </row>
    <row r="20">
      <c r="A20" s="21" t="inlineStr">
        <is>
          <t>TERMINAL BLOCK</t>
        </is>
      </c>
    </row>
    <row r="21">
      <c r="A21" s="6" t="inlineStr">
        <is>
          <t>Terminal REAL growth (stated)</t>
        </is>
      </c>
      <c r="C21" s="11">
        <f>Assumptions!$C$104</f>
        <v/>
      </c>
    </row>
    <row r="22">
      <c r="A22" s="6" t="inlineStr">
        <is>
          <t>Terminal inflation — Saudi house macro path</t>
        </is>
      </c>
      <c r="C22" s="11">
        <f>Assumptions!$C$105</f>
        <v/>
      </c>
    </row>
    <row r="23">
      <c r="A23" s="6" t="inlineStr">
        <is>
          <t>Terminal growth = (1+inflation)(1+real growth) − 1</t>
        </is>
      </c>
      <c r="C23" s="11">
        <f>(1+C22)*(1+C21)-1</f>
        <v/>
      </c>
    </row>
    <row r="24">
      <c r="A24" s="6" t="inlineStr">
        <is>
          <t>Year-five operating profit after tax (the perpetuity grows it once)</t>
        </is>
      </c>
      <c r="C24" s="30">
        <f>F10</f>
        <v/>
      </c>
    </row>
    <row r="25">
      <c r="A25" s="6" t="inlineStr">
        <is>
          <t>Plus owned and intangible depreciation (the right-of-use charge cancels out of this model's own free cash flow and is not added back here)</t>
        </is>
      </c>
      <c r="C25" s="30">
        <f>740.0006883973025</f>
        <v/>
      </c>
    </row>
    <row r="26">
      <c r="A26" s="6" t="inlineStr">
        <is>
          <t>Less capital maintenance at replacement cost — that charge escalated over half the derived asset life</t>
        </is>
      </c>
      <c r="C26" s="30">
        <f>-C25*(1+C22)^(Assumptions!$C$106/2)</f>
        <v/>
      </c>
    </row>
    <row r="27">
      <c r="A27" s="6" t="inlineStr">
        <is>
          <t>Less capital for real growth (real growth x capital per unit of growth)</t>
        </is>
      </c>
      <c r="C27" s="30">
        <f>-C21*Assumptions!$C$108</f>
        <v/>
      </c>
    </row>
    <row r="28">
      <c r="A28" s="6" t="inlineStr">
        <is>
          <t>Less inflation on the working capital and lease book the group carries</t>
        </is>
      </c>
      <c r="C28" s="30">
        <f>-C22*5687.100743</f>
        <v/>
      </c>
    </row>
    <row r="29">
      <c r="A29" s="21" t="inlineStr">
        <is>
          <t>Terminal free cash flow</t>
        </is>
      </c>
      <c r="C29" s="29">
        <f>SUM(C24:C28)</f>
        <v/>
      </c>
    </row>
    <row r="30">
      <c r="A30" s="6" t="inlineStr">
        <is>
          <t>Terminal value at end of year five</t>
        </is>
      </c>
      <c r="C30" s="30">
        <f>C29*(1+C23)/($C$58-C23)</f>
        <v/>
      </c>
    </row>
    <row r="31">
      <c r="A31" s="6" t="inlineStr">
        <is>
          <t>Memo — the no-growth perpetuity at book depreciation (a diagnostic, not a bound)</t>
        </is>
      </c>
      <c r="C31" s="30">
        <f>C24/$C$58</f>
        <v/>
      </c>
    </row>
    <row r="32">
      <c r="A32" s="6" t="inlineStr">
        <is>
          <t>Present value of the terminal value</t>
        </is>
      </c>
      <c r="C32" s="30">
        <f>C30*F17</f>
        <v/>
      </c>
    </row>
    <row r="33">
      <c r="A33" s="6" t="inlineStr">
        <is>
          <t>Present value of the five explicit years</t>
        </is>
      </c>
      <c r="C33" s="30">
        <f>SUM(B18:F18)</f>
        <v/>
      </c>
    </row>
    <row r="34">
      <c r="A34" s="6" t="inlineStr">
        <is>
          <t>Terminal value share of enterprise value</t>
        </is>
      </c>
      <c r="C34" s="11">
        <f>C32/C35</f>
        <v/>
      </c>
    </row>
    <row r="35">
      <c r="A35" s="21" t="inlineStr">
        <is>
          <t>Enterprise value (operating)</t>
        </is>
      </c>
      <c r="C35" s="29">
        <f>C33+C32</f>
        <v/>
      </c>
    </row>
    <row r="37">
      <c r="A37" s="6" t="inlineStr">
        <is>
          <t>Downside variant — the asset life read at twice the directly measured average age (engine re-run, published beside the base, never averaged)</t>
        </is>
      </c>
      <c r="C37" s="7" t="n">
        <v>21.81634134347257</v>
      </c>
    </row>
    <row r="38">
      <c r="A38" s="21" t="inlineStr">
        <is>
          <t>COST OF CAPITAL — BUILT, NOT PASTED (v2: rf net of the sovereign spread; both ERP bases shown)</t>
        </is>
      </c>
    </row>
    <row r="39">
      <c r="A39" s="6" t="inlineStr">
        <is>
          <t>Observed 10Y SAR sovereign yield (FTSE SAGBI 7-10y)</t>
        </is>
      </c>
      <c r="C39" s="35">
        <f>Assumptions!$C$88</f>
        <v/>
      </c>
    </row>
    <row r="40">
      <c r="A40" s="6" t="inlineStr">
        <is>
          <t>Less sovereign default spread (rating basis)</t>
        </is>
      </c>
      <c r="C40" s="35">
        <f>-Assumptions!$C$89</f>
        <v/>
      </c>
    </row>
    <row r="41">
      <c r="A41" s="6" t="inlineStr">
        <is>
          <t>Normalized risk-free rate rf*</t>
        </is>
      </c>
      <c r="C41" s="35">
        <f>C39+C40</f>
        <v/>
      </c>
    </row>
    <row r="42">
      <c r="A42" s="6" t="inlineStr">
        <is>
          <t>Beta (own stock vs TASI, five-year weekly)</t>
        </is>
      </c>
      <c r="C42" s="41">
        <f>Assumptions!$C$93</f>
        <v/>
      </c>
    </row>
    <row r="43">
      <c r="A43" s="6" t="inlineStr">
        <is>
          <t>Equity risk premium (rating basis)</t>
        </is>
      </c>
      <c r="C43" s="35">
        <f>Assumptions!$C$90</f>
        <v/>
      </c>
    </row>
    <row r="44">
      <c r="A44" s="6" t="inlineStr">
        <is>
          <t>Cost of equity = rf* + beta x ERP</t>
        </is>
      </c>
      <c r="C44" s="35">
        <f>C41+C42*C43</f>
        <v/>
      </c>
    </row>
    <row r="45">
      <c r="A45" s="6" t="inlineStr">
        <is>
          <t>Cost of loans (blend of SAR / EGP-parity / other tranches)</t>
        </is>
      </c>
      <c r="C45" s="35">
        <f>(Assumptions!$C$97*Assumptions!$C$94+Assumptions!$C$98*Assumptions!$C$95+Assumptions!$C$99*Assumptions!$C$96)/Assumptions!$C$114</f>
        <v/>
      </c>
    </row>
    <row r="46">
      <c r="A46" s="6" t="inlineStr">
        <is>
          <t>Cost of leases (measured effective rate)</t>
        </is>
      </c>
      <c r="C46" s="35">
        <f>Assumptions!$C$70</f>
        <v/>
      </c>
    </row>
    <row r="47">
      <c r="A47" s="6" t="inlineStr">
        <is>
          <t>Market capitalisation = settled spot x shares issued</t>
        </is>
      </c>
      <c r="C47" s="30">
        <f>Assumptions!$C$5*Assumptions!$C$6</f>
        <v/>
      </c>
    </row>
    <row r="48">
      <c r="A48" s="6" t="inlineStr">
        <is>
          <t>Capital base = equity (anchor) + loans + leases (both at 30-Jun-2026)</t>
        </is>
      </c>
      <c r="C48" s="30">
        <f>C47+Assumptions!$C$100+Assumptions!$C$101</f>
        <v/>
      </c>
    </row>
    <row r="49">
      <c r="A49" s="6" t="inlineStr">
        <is>
          <t>Equity weight</t>
        </is>
      </c>
      <c r="C49" s="35">
        <f>C47/C48</f>
        <v/>
      </c>
    </row>
    <row r="50">
      <c r="A50" s="6" t="inlineStr">
        <is>
          <t>Loans weight</t>
        </is>
      </c>
      <c r="C50" s="35">
        <f>Assumptions!$C$100/C48</f>
        <v/>
      </c>
    </row>
    <row r="51">
      <c r="A51" s="6" t="inlineStr">
        <is>
          <t>Lease weight</t>
        </is>
      </c>
      <c r="C51" s="35">
        <f>Assumptions!$C$101/C48</f>
        <v/>
      </c>
    </row>
    <row r="52">
      <c r="A52" s="6" t="inlineStr">
        <is>
          <t>Cost of capital — explicit window</t>
        </is>
      </c>
      <c r="C52" s="42">
        <f>C49*C44+C50*C45*(1-Assumptions!$C$8)+C51*C46*(1-Assumptions!$C$8)</f>
        <v/>
      </c>
    </row>
    <row r="53">
      <c r="A53" s="6" t="inlineStr">
        <is>
          <t>Cost of equity, CDS basis = (rf − CDS) + beta x ERP(CDS)</t>
        </is>
      </c>
      <c r="C53" s="35">
        <f>Assumptions!$C$88-Assumptions!$C$91+C42*Assumptions!$C$92</f>
        <v/>
      </c>
    </row>
    <row r="54">
      <c r="A54" s="6" t="inlineStr">
        <is>
          <t>Cost of capital — explicit window, CDS basis</t>
        </is>
      </c>
      <c r="C54" s="35">
        <f>C49*C53+C50*C45*(1-Assumptions!$C$8)+C51*C46*(1-Assumptions!$C$8)</f>
        <v/>
      </c>
    </row>
    <row r="55">
      <c r="A55" s="6" t="inlineStr">
        <is>
          <t>Terminal weights: equity / loans / leases</t>
        </is>
      </c>
      <c r="C55" s="11">
        <f>Assumptions!$C$102</f>
        <v/>
      </c>
    </row>
    <row r="56">
      <c r="A56" s="6" t="inlineStr">
        <is>
          <t xml:space="preserve"> </t>
        </is>
      </c>
      <c r="C56" s="11">
        <f>Assumptions!$C$103</f>
        <v/>
      </c>
    </row>
    <row r="57">
      <c r="A57" s="6" t="inlineStr">
        <is>
          <t xml:space="preserve"> </t>
        </is>
      </c>
      <c r="C57" s="11">
        <f>1-Assumptions!$C$102-Assumptions!$C$103</f>
        <v/>
      </c>
    </row>
    <row r="58">
      <c r="A58" s="6" t="inlineStr">
        <is>
          <t>Cost of capital — terminal</t>
        </is>
      </c>
      <c r="C58" s="42">
        <f>Assumptions!$C$102*C44+Assumptions!$C$103*C45*(1-Assumptions!$C$8)+C57*C46*(1-Assumptions!$C$8)</f>
        <v/>
      </c>
    </row>
    <row r="60">
      <c r="A60" s="21" t="inlineStr">
        <is>
          <t>FROM ENTERPRISE VALUE TO THE ANCHOR</t>
        </is>
      </c>
    </row>
    <row r="61">
      <c r="A61" s="6" t="inlineStr">
        <is>
          <t>Equity value AT THE ANCHOR (from the bridge: Dec-2025 legs rolled at the cost of equity; the anchor-dated legs — Kinan, Herfy NCI, Mehbaj — unrolled)</t>
        </is>
      </c>
      <c r="C61" s="16">
        <f>'SOTP Bridge'!C26</f>
        <v/>
      </c>
    </row>
    <row r="62">
      <c r="A62" s="6" t="inlineStr">
        <is>
          <t>Fair value per share on the 31-Dec-2025 basis (anchor legs at their own dates)</t>
        </is>
      </c>
      <c r="C62">
        <f>'SOTP Bridge'!D27</f>
        <v/>
      </c>
    </row>
    <row r="63">
      <c r="A63" s="6" t="inlineStr">
        <is>
          <t>Anchor accretion factor on the Dec legs = (1 + cost of equity)^(days/365)</t>
        </is>
      </c>
      <c r="C63" s="40">
        <f>(1+C44)^(Assumptions!$C$10/365)</f>
        <v/>
      </c>
    </row>
    <row r="64">
      <c r="A64" s="21" t="inlineStr">
        <is>
          <t>Fair value per share at the 18-Aug-2026 anchor (ex the 1.70 dividend)</t>
        </is>
      </c>
      <c r="C64" s="39">
        <f>C61/Assumptions!$C$7-Assumptions!$C$11</f>
        <v/>
      </c>
    </row>
    <row r="65">
      <c r="A65" s="4" t="inlineStr">
        <is>
          <t>CDS-basis fair value (engine re-run at the CDS-basis cost of capital; the CDS legs are the January-2026 vintage, flagged): SAR 21.86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18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Income statement — three audited years and the five-year forecast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FY2023 is the continuing basis of the FY2024 statements and still includes Turkiye (disposed 2025); FY2024-25 are the FY2025 audited basis (ex-Turkiye)</t>
        </is>
      </c>
    </row>
    <row r="4">
      <c r="A4" s="5" t="inlineStr">
        <is>
          <t>SAR mn</t>
        </is>
      </c>
      <c r="B4" s="5" t="inlineStr">
        <is>
          <t>FY2023</t>
        </is>
      </c>
      <c r="C4" s="5" t="inlineStr">
        <is>
          <t>FY2024</t>
        </is>
      </c>
      <c r="D4" s="5" t="inlineStr">
        <is>
          <t>FY2025</t>
        </is>
      </c>
      <c r="E4" s="5" t="inlineStr">
        <is>
          <t>2026E</t>
        </is>
      </c>
      <c r="F4" s="5" t="inlineStr">
        <is>
          <t>2027E</t>
        </is>
      </c>
      <c r="G4" s="5" t="inlineStr">
        <is>
          <t>2028E</t>
        </is>
      </c>
      <c r="H4" s="5" t="inlineStr">
        <is>
          <t>2029E</t>
        </is>
      </c>
      <c r="I4" s="5" t="inlineStr">
        <is>
          <t>2030E</t>
        </is>
      </c>
    </row>
    <row r="5">
      <c r="A5" s="21" t="inlineStr">
        <is>
          <t>Revenues</t>
        </is>
      </c>
      <c r="B5" s="43" t="n">
        <v>24149.521</v>
      </c>
      <c r="C5" s="43" t="n">
        <v>23045.574</v>
      </c>
      <c r="D5" s="43" t="n">
        <v>26081.053</v>
      </c>
      <c r="E5" s="29">
        <f>Segments!B41</f>
        <v/>
      </c>
      <c r="F5" s="29">
        <f>Segments!C41</f>
        <v/>
      </c>
      <c r="G5" s="29">
        <f>Segments!D41</f>
        <v/>
      </c>
      <c r="H5" s="29">
        <f>Segments!E41</f>
        <v/>
      </c>
      <c r="I5" s="29">
        <f>Segments!F41</f>
        <v/>
      </c>
    </row>
    <row r="6">
      <c r="A6" s="6" t="inlineStr">
        <is>
          <t>Cost of revenues (audited; forecast modelled at category level)</t>
        </is>
      </c>
      <c r="B6" s="19" t="n">
        <v>-19103.682</v>
      </c>
      <c r="C6" s="19" t="n">
        <v>-18212.904</v>
      </c>
      <c r="D6" s="19" t="n">
        <v>-20992.159</v>
      </c>
    </row>
    <row r="7">
      <c r="A7" s="21" t="inlineStr">
        <is>
          <t>Gross profit (audited columns)</t>
        </is>
      </c>
      <c r="B7" s="29">
        <f>B5+B6</f>
        <v/>
      </c>
      <c r="C7" s="29">
        <f>C5+C6</f>
        <v/>
      </c>
      <c r="D7" s="29">
        <f>D5+D6</f>
        <v/>
      </c>
    </row>
    <row r="8">
      <c r="A8" s="6" t="inlineStr">
        <is>
          <t>Operating costs before D&amp;A (selling, admin, net other; forecast = revenue less EBITDA)</t>
        </is>
      </c>
      <c r="B8" s="19" t="n">
        <v>-3808.82</v>
      </c>
      <c r="C8" s="19" t="n">
        <v>-3870.832</v>
      </c>
      <c r="D8" s="19" t="n">
        <v>-3927.981</v>
      </c>
      <c r="E8" s="30">
        <f>-(E5-E9)</f>
        <v/>
      </c>
      <c r="F8" s="30">
        <f>-(F5-F9)</f>
        <v/>
      </c>
      <c r="G8" s="30">
        <f>-(G5-G9)</f>
        <v/>
      </c>
      <c r="H8" s="30">
        <f>-(H5-H9)</f>
        <v/>
      </c>
      <c r="I8" s="30">
        <f>-(I5-I9)</f>
        <v/>
      </c>
    </row>
    <row r="9">
      <c r="A9" s="21" t="inlineStr">
        <is>
          <t>Operating EBITDA (before associates and impairments)</t>
        </is>
      </c>
      <c r="B9" s="29">
        <f>B7+B8+B10</f>
        <v/>
      </c>
      <c r="C9" s="29">
        <f>C7+C8+C10</f>
        <v/>
      </c>
      <c r="D9" s="29">
        <f>D7+D8+D10</f>
        <v/>
      </c>
      <c r="E9" s="29">
        <f>Segments!B43</f>
        <v/>
      </c>
      <c r="F9" s="29">
        <f>Segments!C43</f>
        <v/>
      </c>
      <c r="G9" s="29">
        <f>Segments!D43</f>
        <v/>
      </c>
      <c r="H9" s="29">
        <f>Segments!E43</f>
        <v/>
      </c>
      <c r="I9" s="29">
        <f>Segments!F43</f>
        <v/>
      </c>
    </row>
    <row r="10">
      <c r="A10" s="6" t="inlineStr">
        <is>
          <t>Depreciation and amortisation</t>
        </is>
      </c>
      <c r="B10" s="19" t="n">
        <v>1064.59</v>
      </c>
      <c r="C10" s="19" t="n">
        <v>1099.866</v>
      </c>
      <c r="D10" s="19" t="n">
        <v>1190.022</v>
      </c>
      <c r="E10" s="30">
        <f>'Balance Sheet'!D5*Assumptions!$C$66+Assumptions!$C$67+'Cash Flow'!B19</f>
        <v/>
      </c>
      <c r="F10" s="30">
        <f>'Balance Sheet'!E5*Assumptions!$C$66+Assumptions!$C$67+'Cash Flow'!C19</f>
        <v/>
      </c>
      <c r="G10" s="30">
        <f>'Balance Sheet'!F5*Assumptions!$C$66+Assumptions!$C$67+'Cash Flow'!D19</f>
        <v/>
      </c>
      <c r="H10" s="30">
        <f>'Balance Sheet'!G5*Assumptions!$C$66+Assumptions!$C$67+'Cash Flow'!E19</f>
        <v/>
      </c>
      <c r="I10" s="30">
        <f>'Balance Sheet'!H5*Assumptions!$C$66+Assumptions!$C$67+'Cash Flow'!F19</f>
        <v/>
      </c>
    </row>
    <row r="11">
      <c r="A11" s="21" t="inlineStr">
        <is>
          <t>EBIT</t>
        </is>
      </c>
      <c r="B11" s="29">
        <f>B9-B10</f>
        <v/>
      </c>
      <c r="C11" s="29">
        <f>C9-C10</f>
        <v/>
      </c>
      <c r="D11" s="29">
        <f>D9-D10</f>
        <v/>
      </c>
      <c r="E11" s="29">
        <f>E9-E10</f>
        <v/>
      </c>
      <c r="F11" s="29">
        <f>F9-F10</f>
        <v/>
      </c>
      <c r="G11" s="29">
        <f>G9-G10</f>
        <v/>
      </c>
      <c r="H11" s="29">
        <f>H9-H10</f>
        <v/>
      </c>
      <c r="I11" s="29">
        <f>I9-I10</f>
        <v/>
      </c>
    </row>
    <row r="12">
      <c r="A12" s="6" t="inlineStr">
        <is>
          <t>Net finance cost (on prior-year net debt and lease book)</t>
        </is>
      </c>
      <c r="D12" s="19" t="n">
        <v>-275.525</v>
      </c>
      <c r="E12" s="30">
        <f>MAX('Balance Sheet'!D31,0)*-DCF!$C$45-'Balance Sheet'!D24*Assumptions!$C$70+MAX(-'Balance Sheet'!D31,0)*Assumptions!$C$85</f>
        <v/>
      </c>
      <c r="F12" s="30">
        <f>MAX('Balance Sheet'!E31,0)*-DCF!$C$45-'Balance Sheet'!E24*Assumptions!$C$70+MAX(-'Balance Sheet'!E31,0)*Assumptions!$C$85</f>
        <v/>
      </c>
      <c r="G12" s="30">
        <f>MAX('Balance Sheet'!F31,0)*-DCF!$C$45-'Balance Sheet'!F24*Assumptions!$C$70+MAX(-'Balance Sheet'!F31,0)*Assumptions!$C$85</f>
        <v/>
      </c>
      <c r="H12" s="30">
        <f>MAX('Balance Sheet'!G31,0)*-DCF!$C$45-'Balance Sheet'!G24*Assumptions!$C$70+MAX(-'Balance Sheet'!G31,0)*Assumptions!$C$85</f>
        <v/>
      </c>
      <c r="I12" s="30">
        <f>MAX('Balance Sheet'!H31,0)*-DCF!$C$45-'Balance Sheet'!H24*Assumptions!$C$70+MAX(-'Balance Sheet'!H31,0)*Assumptions!$C$85</f>
        <v/>
      </c>
    </row>
    <row r="13">
      <c r="A13" s="6" t="inlineStr">
        <is>
          <t>Core profit after zakat and tax (= (EBIT + net finance) x (1 − rate))</t>
        </is>
      </c>
      <c r="E13" s="30">
        <f>(E11+E12)*(1-Assumptions!$C$8)</f>
        <v/>
      </c>
      <c r="F13" s="30">
        <f>(F11+F12)*(1-Assumptions!$C$8)</f>
        <v/>
      </c>
      <c r="G13" s="30">
        <f>(G11+G12)*(1-Assumptions!$C$8)</f>
        <v/>
      </c>
      <c r="H13" s="30">
        <f>(H11+H12)*(1-Assumptions!$C$8)</f>
        <v/>
      </c>
      <c r="I13" s="30">
        <f>(I11+I12)*(1-Assumptions!$C$8)</f>
        <v/>
      </c>
    </row>
    <row r="14">
      <c r="A14" s="6" t="inlineStr">
        <is>
          <t>Share of results of Kinan (net of zakat and tax)</t>
        </is>
      </c>
      <c r="D14" s="23" t="n">
        <v>51.775</v>
      </c>
      <c r="E14" s="33">
        <f>Assumptions!$C$82*2*(1+Assumptions!$C$83)^0</f>
        <v/>
      </c>
      <c r="F14" s="33">
        <f>Assumptions!$C$82*2*(1+Assumptions!$C$83)^1</f>
        <v/>
      </c>
      <c r="G14" s="33">
        <f>Assumptions!$C$82*2*(1+Assumptions!$C$83)^2</f>
        <v/>
      </c>
      <c r="H14" s="33">
        <f>Assumptions!$C$82*2*(1+Assumptions!$C$83)^3</f>
        <v/>
      </c>
      <c r="I14" s="33">
        <f>Assumptions!$C$82*2*(1+Assumptions!$C$83)^4</f>
        <v/>
      </c>
    </row>
    <row r="15">
      <c r="A15" s="6" t="inlineStr">
        <is>
          <t>Profit attributable to non-controlling interests</t>
        </is>
      </c>
      <c r="D15" s="23" t="n">
        <v>-66.03700000000001</v>
      </c>
      <c r="E15" s="33">
        <f>E13*Assumptions!$C$81</f>
        <v/>
      </c>
      <c r="F15" s="33">
        <f>F13*Assumptions!$C$81</f>
        <v/>
      </c>
      <c r="G15" s="33">
        <f>G13*Assumptions!$C$81</f>
        <v/>
      </c>
      <c r="H15" s="33">
        <f>H13*Assumptions!$C$81</f>
        <v/>
      </c>
      <c r="I15" s="33">
        <f>I13*Assumptions!$C$81</f>
        <v/>
      </c>
    </row>
    <row r="16">
      <c r="A16" s="21" t="inlineStr">
        <is>
          <t>Profit attributable to owners</t>
        </is>
      </c>
      <c r="B16" s="43" t="n">
        <v>899.1849999999999</v>
      </c>
      <c r="C16" s="43" t="n">
        <v>9974.266</v>
      </c>
      <c r="D16" s="43" t="n">
        <v>874.462</v>
      </c>
      <c r="E16" s="29">
        <f>E13*(1-Assumptions!$C$81)+E14</f>
        <v/>
      </c>
      <c r="F16" s="29">
        <f>F13*(1-Assumptions!$C$81)+F14</f>
        <v/>
      </c>
      <c r="G16" s="29">
        <f>G13*(1-Assumptions!$C$81)+G14</f>
        <v/>
      </c>
      <c r="H16" s="29">
        <f>H13*(1-Assumptions!$C$81)+H14</f>
        <v/>
      </c>
      <c r="I16" s="29">
        <f>I13*(1-Assumptions!$C$81)+I14</f>
        <v/>
      </c>
    </row>
    <row r="17">
      <c r="A17" s="6" t="inlineStr">
        <is>
          <t>Earnings per share (SAR)</t>
        </is>
      </c>
      <c r="D17" s="7" t="n">
        <v>2.93</v>
      </c>
      <c r="E17" s="10">
        <f>E16/Assumptions!$C$7</f>
        <v/>
      </c>
      <c r="F17" s="10">
        <f>F16/Assumptions!$C$7</f>
        <v/>
      </c>
      <c r="G17" s="10">
        <f>G16/Assumptions!$C$7</f>
        <v/>
      </c>
      <c r="H17" s="10">
        <f>H16/Assumptions!$C$7</f>
        <v/>
      </c>
      <c r="I17" s="10">
        <f>I16/Assumptions!$C$7</f>
        <v/>
      </c>
    </row>
    <row r="18">
      <c r="A18" s="4" t="inlineStr">
        <is>
          <t>FY2024 attributable profit includes the SAR 11,554.7mn Almarai distribution gain (audited FY2024 statements, segment note). FY2025 recurring net profit is 539.1 per the company's own bridge, whose items are a 300.0 zakat-and-other-accrual reversal, a 32.3 Turkiye gain and a 40.2 put-option gain (the audited FS note 29 zakat credit is 217.4; the announcement quotes 247.3 gross of related expenses — three disclosed figures on three bases). The forecast is the recurring construction.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31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Balance sheet — audited FY2025 and the forecast roll-forward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The sheet FOOTS: the check row at the bottom is assets less liabilities less equity and evaluates to zero in every year</t>
        </is>
      </c>
    </row>
    <row r="4">
      <c r="A4" s="5" t="inlineStr">
        <is>
          <t>SAR mn</t>
        </is>
      </c>
      <c r="B4" s="5" t="inlineStr"/>
      <c r="C4" s="5" t="inlineStr"/>
      <c r="D4" s="5" t="inlineStr">
        <is>
          <t>FY2025</t>
        </is>
      </c>
      <c r="E4" s="5" t="inlineStr">
        <is>
          <t>2026E</t>
        </is>
      </c>
      <c r="F4" s="5" t="inlineStr">
        <is>
          <t>2027E</t>
        </is>
      </c>
      <c r="G4" s="5" t="inlineStr">
        <is>
          <t>2028E</t>
        </is>
      </c>
      <c r="H4" s="5" t="inlineStr">
        <is>
          <t>2029E</t>
        </is>
      </c>
      <c r="I4" s="5" t="inlineStr">
        <is>
          <t>2030E</t>
        </is>
      </c>
    </row>
    <row r="5">
      <c r="A5" s="6" t="inlineStr">
        <is>
          <t>Property, plant and equipment (opening + capex − depreciation)</t>
        </is>
      </c>
      <c r="D5" s="16">
        <f>Assumptions!$C$126</f>
        <v/>
      </c>
      <c r="E5" s="30">
        <f>D5+Assumptions!$B$65-Assumptions!$C$67-'Balance Sheet'!D5*Assumptions!$C$66</f>
        <v/>
      </c>
      <c r="F5" s="30">
        <f>E5+Assumptions!$C$65-Assumptions!$C$67-E5*Assumptions!$C$66</f>
        <v/>
      </c>
      <c r="G5" s="30">
        <f>F5+Assumptions!$D$65-Assumptions!$C$67-F5*Assumptions!$C$66</f>
        <v/>
      </c>
      <c r="H5" s="30">
        <f>G5+Assumptions!$E$65-Assumptions!$C$67-G5*Assumptions!$C$66</f>
        <v/>
      </c>
      <c r="I5" s="30">
        <f>H5+Assumptions!$F$65-Assumptions!$C$67-H5*Assumptions!$C$66</f>
        <v/>
      </c>
    </row>
    <row r="6">
      <c r="A6" s="6" t="inlineStr">
        <is>
          <t>Right-of-use assets (grow with the lease book)</t>
        </is>
      </c>
      <c r="D6" s="16">
        <f>Assumptions!$C$127</f>
        <v/>
      </c>
      <c r="E6" s="30">
        <f>D6+Assumptions!$C$115*Assumptions!$B$69</f>
        <v/>
      </c>
      <c r="F6" s="30">
        <f>E6+'Balance Sheet'!E24*Assumptions!$C$69</f>
        <v/>
      </c>
      <c r="G6" s="30">
        <f>F6+'Balance Sheet'!F24*Assumptions!$D$69</f>
        <v/>
      </c>
      <c r="H6" s="30">
        <f>G6+'Balance Sheet'!G24*Assumptions!$E$69</f>
        <v/>
      </c>
      <c r="I6" s="30">
        <f>H6+'Balance Sheet'!H24*Assumptions!$F$69</f>
        <v/>
      </c>
    </row>
    <row r="7">
      <c r="A7" s="6" t="inlineStr">
        <is>
          <t>Intangible assets and goodwill (held: capex = amortisation)</t>
        </is>
      </c>
      <c r="D7" s="16">
        <f>Assumptions!$C$128</f>
        <v/>
      </c>
      <c r="E7" s="30">
        <f>Assumptions!$C$128</f>
        <v/>
      </c>
      <c r="F7" s="30">
        <f>Assumptions!$C$128</f>
        <v/>
      </c>
      <c r="G7" s="30">
        <f>Assumptions!$C$128</f>
        <v/>
      </c>
      <c r="H7" s="30">
        <f>Assumptions!$C$128</f>
        <v/>
      </c>
      <c r="I7" s="30">
        <f>Assumptions!$C$128</f>
        <v/>
      </c>
    </row>
    <row r="8">
      <c r="A8" s="6" t="inlineStr">
        <is>
          <t>Investment property (held)</t>
        </is>
      </c>
      <c r="D8" s="16">
        <f>Assumptions!$C$121</f>
        <v/>
      </c>
      <c r="E8" s="30">
        <f>Assumptions!$C$121</f>
        <v/>
      </c>
      <c r="F8" s="30">
        <f>Assumptions!$C$121</f>
        <v/>
      </c>
      <c r="G8" s="30">
        <f>Assumptions!$C$121</f>
        <v/>
      </c>
      <c r="H8" s="30">
        <f>Assumptions!$C$121</f>
        <v/>
      </c>
      <c r="I8" s="30">
        <f>Assumptions!$C$121</f>
        <v/>
      </c>
    </row>
    <row r="9">
      <c r="A9" s="6" t="inlineStr">
        <is>
          <t>Kinan (equity method: + share of results − dividends)</t>
        </is>
      </c>
      <c r="D9" s="16">
        <f>Assumptions!$C$129</f>
        <v/>
      </c>
      <c r="E9" s="30">
        <f>D9+'Income Statement'!E14-Assumptions!$C$84*(1+Assumptions!$C$83)^0</f>
        <v/>
      </c>
      <c r="F9" s="30">
        <f>E9+'Income Statement'!F14-Assumptions!$C$84*(1+Assumptions!$C$83)^1</f>
        <v/>
      </c>
      <c r="G9" s="30">
        <f>F9+'Income Statement'!G14-Assumptions!$C$84*(1+Assumptions!$C$83)^2</f>
        <v/>
      </c>
      <c r="H9" s="30">
        <f>G9+'Income Statement'!H14-Assumptions!$C$84*(1+Assumptions!$C$83)^3</f>
        <v/>
      </c>
      <c r="I9" s="30">
        <f>H9+'Income Statement'!I14-Assumptions!$C$84*(1+Assumptions!$C$83)^4</f>
        <v/>
      </c>
    </row>
    <row r="10">
      <c r="A10" s="6" t="inlineStr">
        <is>
          <t>Non-current investments (held)</t>
        </is>
      </c>
      <c r="D10" s="16">
        <f>Assumptions!$C$119</f>
        <v/>
      </c>
      <c r="E10" s="30">
        <f>Assumptions!$C$119</f>
        <v/>
      </c>
      <c r="F10" s="30">
        <f>Assumptions!$C$119</f>
        <v/>
      </c>
      <c r="G10" s="30">
        <f>Assumptions!$C$119</f>
        <v/>
      </c>
      <c r="H10" s="30">
        <f>Assumptions!$C$119</f>
        <v/>
      </c>
      <c r="I10" s="30">
        <f>Assumptions!$C$119</f>
        <v/>
      </c>
    </row>
    <row r="11">
      <c r="A11" s="6" t="inlineStr">
        <is>
          <t>Current investments (held)</t>
        </is>
      </c>
      <c r="D11" s="16">
        <f>Assumptions!$C$120</f>
        <v/>
      </c>
      <c r="E11" s="30">
        <f>Assumptions!$C$120</f>
        <v/>
      </c>
      <c r="F11" s="30">
        <f>Assumptions!$C$120</f>
        <v/>
      </c>
      <c r="G11" s="30">
        <f>Assumptions!$C$120</f>
        <v/>
      </c>
      <c r="H11" s="30">
        <f>Assumptions!$C$120</f>
        <v/>
      </c>
      <c r="I11" s="30">
        <f>Assumptions!$C$120</f>
        <v/>
      </c>
    </row>
    <row r="12">
      <c r="A12" s="6" t="inlineStr">
        <is>
          <t>Tiryaki stake (the 274.6 sale-proceeds receivable reclassified from working capital; settled in shares H1-2026)</t>
        </is>
      </c>
      <c r="D12" s="16">
        <f>Assumptions!$C$132</f>
        <v/>
      </c>
      <c r="E12" s="30">
        <f>Assumptions!$C$132</f>
        <v/>
      </c>
      <c r="F12" s="30">
        <f>Assumptions!$C$132</f>
        <v/>
      </c>
      <c r="G12" s="30">
        <f>Assumptions!$C$132</f>
        <v/>
      </c>
      <c r="H12" s="30">
        <f>Assumptions!$C$132</f>
        <v/>
      </c>
      <c r="I12" s="30">
        <f>Assumptions!$C$132</f>
        <v/>
      </c>
    </row>
    <row r="13">
      <c r="A13" s="6" t="inlineStr">
        <is>
          <t>Cost of revenues ratio (measured FY2025, drives inventory and payables)</t>
        </is>
      </c>
      <c r="D13" s="35">
        <f>1-Assumptions!$C$15/Assumptions!$C$14</f>
        <v/>
      </c>
    </row>
    <row r="14">
      <c r="A14" s="6" t="inlineStr">
        <is>
          <t>Inventories (days on cost of revenues)</t>
        </is>
      </c>
      <c r="D14" s="19" t="n">
        <v>4680.559</v>
      </c>
      <c r="E14" s="30">
        <f>Segments!B41*'Balance Sheet'!$D$13*Assumptions!$C$73/365</f>
        <v/>
      </c>
      <c r="F14" s="30">
        <f>Segments!C41*'Balance Sheet'!$D$13*Assumptions!$C$73/365</f>
        <v/>
      </c>
      <c r="G14" s="30">
        <f>Segments!D41*'Balance Sheet'!$D$13*Assumptions!$C$73/365</f>
        <v/>
      </c>
      <c r="H14" s="30">
        <f>Segments!E41*'Balance Sheet'!$D$13*Assumptions!$C$73/365</f>
        <v/>
      </c>
      <c r="I14" s="30">
        <f>Segments!F41*'Balance Sheet'!$D$13*Assumptions!$C$73/365</f>
        <v/>
      </c>
    </row>
    <row r="15">
      <c r="A15" s="6" t="inlineStr">
        <is>
          <t>Trade receivables (days on revenue)</t>
        </is>
      </c>
      <c r="D15" s="19" t="n">
        <v>1856.697</v>
      </c>
      <c r="E15" s="30">
        <f>Segments!B41*Assumptions!$C$74/365</f>
        <v/>
      </c>
      <c r="F15" s="30">
        <f>Segments!C41*Assumptions!$C$74/365</f>
        <v/>
      </c>
      <c r="G15" s="30">
        <f>Segments!D41*Assumptions!$C$74/365</f>
        <v/>
      </c>
      <c r="H15" s="30">
        <f>Segments!E41*Assumptions!$C$74/365</f>
        <v/>
      </c>
      <c r="I15" s="30">
        <f>Segments!F41*Assumptions!$C$74/365</f>
        <v/>
      </c>
    </row>
    <row r="16">
      <c r="A16" s="6" t="inlineStr">
        <is>
          <t>Prepayments and other receivables, EX the Tiryaki receivable (audited 1,346.5 less 274.6; % of revenue in the forecast)</t>
        </is>
      </c>
      <c r="D16" s="19" t="n">
        <v>1071.885</v>
      </c>
      <c r="E16" s="30">
        <f>Segments!B41*Assumptions!$C$76</f>
        <v/>
      </c>
      <c r="F16" s="30">
        <f>Segments!C41*Assumptions!$C$76</f>
        <v/>
      </c>
      <c r="G16" s="30">
        <f>Segments!D41*Assumptions!$C$76</f>
        <v/>
      </c>
      <c r="H16" s="30">
        <f>Segments!E41*Assumptions!$C$76</f>
        <v/>
      </c>
      <c r="I16" s="30">
        <f>Segments!F41*Assumptions!$C$76</f>
        <v/>
      </c>
    </row>
    <row r="17">
      <c r="A17" s="6" t="inlineStr">
        <is>
          <t>Trade payables (days on cost of revenues)</t>
        </is>
      </c>
      <c r="D17" s="19" t="n">
        <v>-3915.807</v>
      </c>
      <c r="E17" s="30">
        <f>-Segments!B41*'Balance Sheet'!$D$13*Assumptions!$C$75/365</f>
        <v/>
      </c>
      <c r="F17" s="30">
        <f>-Segments!C41*'Balance Sheet'!$D$13*Assumptions!$C$75/365</f>
        <v/>
      </c>
      <c r="G17" s="30">
        <f>-Segments!D41*'Balance Sheet'!$D$13*Assumptions!$C$75/365</f>
        <v/>
      </c>
      <c r="H17" s="30">
        <f>-Segments!E41*'Balance Sheet'!$D$13*Assumptions!$C$75/365</f>
        <v/>
      </c>
      <c r="I17" s="30">
        <f>-Segments!F41*'Balance Sheet'!$D$13*Assumptions!$C$75/365</f>
        <v/>
      </c>
    </row>
    <row r="18">
      <c r="A18" s="6" t="inlineStr">
        <is>
          <t>Accrued and other liabilities (% of revenue)</t>
        </is>
      </c>
      <c r="D18" s="19" t="n">
        <v>-2829.405</v>
      </c>
      <c r="E18" s="30">
        <f>-Segments!B41*Assumptions!$C$77</f>
        <v/>
      </c>
      <c r="F18" s="30">
        <f>-Segments!C41*Assumptions!$C$77</f>
        <v/>
      </c>
      <c r="G18" s="30">
        <f>-Segments!D41*Assumptions!$C$77</f>
        <v/>
      </c>
      <c r="H18" s="30">
        <f>-Segments!E41*Assumptions!$C$77</f>
        <v/>
      </c>
      <c r="I18" s="30">
        <f>-Segments!F41*Assumptions!$C$77</f>
        <v/>
      </c>
    </row>
    <row r="19">
      <c r="A19" s="6" t="inlineStr">
        <is>
          <t>Contract liabilities (% of revenue)</t>
        </is>
      </c>
      <c r="D19" s="19" t="n">
        <v>-151.99</v>
      </c>
      <c r="E19" s="30">
        <f>-Segments!B41*Assumptions!$C$78</f>
        <v/>
      </c>
      <c r="F19" s="30">
        <f>-Segments!C41*Assumptions!$C$78</f>
        <v/>
      </c>
      <c r="G19" s="30">
        <f>-Segments!D41*Assumptions!$C$78</f>
        <v/>
      </c>
      <c r="H19" s="30">
        <f>-Segments!E41*Assumptions!$C$78</f>
        <v/>
      </c>
      <c r="I19" s="30">
        <f>-Segments!F41*Assumptions!$C$78</f>
        <v/>
      </c>
    </row>
    <row r="20">
      <c r="A20" s="21" t="inlineStr">
        <is>
          <t>Net working capital</t>
        </is>
      </c>
      <c r="D20" s="43" t="n">
        <v>711.9389999999996</v>
      </c>
      <c r="E20" s="29">
        <f>SUM(E14:E19)</f>
        <v/>
      </c>
      <c r="F20" s="29">
        <f>SUM(F14:F19)</f>
        <v/>
      </c>
      <c r="G20" s="29">
        <f>SUM(G14:G19)</f>
        <v/>
      </c>
      <c r="H20" s="29">
        <f>SUM(H14:H19)</f>
        <v/>
      </c>
      <c r="I20" s="29">
        <f>SUM(I14:I19)</f>
        <v/>
      </c>
    </row>
    <row r="21">
      <c r="A21" s="6" t="inlineStr">
        <is>
          <t>Cash and cash equivalents (from the cash-flow walk)</t>
        </is>
      </c>
      <c r="D21" s="16">
        <f>Assumptions!$C$113</f>
        <v/>
      </c>
      <c r="E21" s="30">
        <f>'Cash Flow'!B17</f>
        <v/>
      </c>
      <c r="F21" s="30">
        <f>'Cash Flow'!C17</f>
        <v/>
      </c>
      <c r="G21" s="30">
        <f>'Cash Flow'!D17</f>
        <v/>
      </c>
      <c r="H21" s="30">
        <f>'Cash Flow'!E17</f>
        <v/>
      </c>
      <c r="I21" s="30">
        <f>'Cash Flow'!F17</f>
        <v/>
      </c>
    </row>
    <row r="22">
      <c r="A22" s="12" t="inlineStr">
        <is>
          <t>Total assets (condensed)</t>
        </is>
      </c>
      <c r="B22" s="15" t="n"/>
      <c r="C22" s="15" t="n"/>
      <c r="D22" s="15" t="n"/>
      <c r="E22" s="31">
        <f>E5+E6+E7+E8+E9+E10+E11+E12+E20+E21</f>
        <v/>
      </c>
      <c r="F22" s="31">
        <f>F5+F6+F7+F8+F9+F10+F11+F12+F20+F21</f>
        <v/>
      </c>
      <c r="G22" s="31">
        <f>G5+G6+G7+G8+G9+G10+G11+G12+G20+G21</f>
        <v/>
      </c>
      <c r="H22" s="31">
        <f>H5+H6+H7+H8+H9+H10+H11+H12+H20+H21</f>
        <v/>
      </c>
      <c r="I22" s="31">
        <f>I5+I6+I7+I8+I9+I10+I11+I12+I20+I21</f>
        <v/>
      </c>
    </row>
    <row r="23">
      <c r="A23" s="6" t="inlineStr">
        <is>
          <t>Loans and borrowings (held at the FY2025 level)</t>
        </is>
      </c>
      <c r="D23" s="16">
        <f>Assumptions!$C$114</f>
        <v/>
      </c>
      <c r="E23" s="30">
        <f>Assumptions!$C$114</f>
        <v/>
      </c>
      <c r="F23" s="30">
        <f>Assumptions!$C$114</f>
        <v/>
      </c>
      <c r="G23" s="30">
        <f>Assumptions!$C$114</f>
        <v/>
      </c>
      <c r="H23" s="30">
        <f>Assumptions!$C$114</f>
        <v/>
      </c>
      <c r="I23" s="30">
        <f>Assumptions!$C$114</f>
        <v/>
      </c>
    </row>
    <row r="24">
      <c r="A24" s="6" t="inlineStr">
        <is>
          <t>Lease liabilities (grow with the store network)</t>
        </is>
      </c>
      <c r="D24" s="16">
        <f>Assumptions!$C$115</f>
        <v/>
      </c>
      <c r="E24" s="30">
        <f>Assumptions!$C$115*(1+Assumptions!$B$69)</f>
        <v/>
      </c>
      <c r="F24" s="30">
        <f>E24*(1+Assumptions!$C$69)</f>
        <v/>
      </c>
      <c r="G24" s="30">
        <f>F24*(1+Assumptions!$D$69)</f>
        <v/>
      </c>
      <c r="H24" s="30">
        <f>G24*(1+Assumptions!$E$69)</f>
        <v/>
      </c>
      <c r="I24" s="30">
        <f>H24*(1+Assumptions!$F$69)</f>
        <v/>
      </c>
    </row>
    <row r="25">
      <c r="A25" s="6" t="inlineStr">
        <is>
          <t>Employee benefits liabilities (held)</t>
        </is>
      </c>
      <c r="D25" s="16">
        <f>Assumptions!$C$116</f>
        <v/>
      </c>
      <c r="E25" s="30">
        <f>Assumptions!$C$116</f>
        <v/>
      </c>
      <c r="F25" s="30">
        <f>Assumptions!$C$116</f>
        <v/>
      </c>
      <c r="G25" s="30">
        <f>Assumptions!$C$116</f>
        <v/>
      </c>
      <c r="H25" s="30">
        <f>Assumptions!$C$116</f>
        <v/>
      </c>
      <c r="I25" s="30">
        <f>Assumptions!$C$116</f>
        <v/>
      </c>
    </row>
    <row r="26">
      <c r="A26" s="6" t="inlineStr">
        <is>
          <t>Asset-restoration provision (held)</t>
        </is>
      </c>
      <c r="D26" s="16">
        <f>Assumptions!$C$117</f>
        <v/>
      </c>
      <c r="E26" s="30">
        <f>Assumptions!$C$117</f>
        <v/>
      </c>
      <c r="F26" s="30">
        <f>Assumptions!$C$117</f>
        <v/>
      </c>
      <c r="G26" s="30">
        <f>Assumptions!$C$117</f>
        <v/>
      </c>
      <c r="H26" s="30">
        <f>Assumptions!$C$117</f>
        <v/>
      </c>
      <c r="I26" s="30">
        <f>Assumptions!$C$117</f>
        <v/>
      </c>
    </row>
    <row r="27">
      <c r="A27" s="6" t="inlineStr">
        <is>
          <t>Other net liabilities (tax/zakat accruals + DTL − DTA − other, held)</t>
        </is>
      </c>
      <c r="D27" s="16">
        <f>Assumptions!$C$118</f>
        <v/>
      </c>
      <c r="E27" s="30">
        <f>Assumptions!$C$118</f>
        <v/>
      </c>
      <c r="F27" s="30">
        <f>Assumptions!$C$118</f>
        <v/>
      </c>
      <c r="G27" s="30">
        <f>Assumptions!$C$118</f>
        <v/>
      </c>
      <c r="H27" s="30">
        <f>Assumptions!$C$118</f>
        <v/>
      </c>
      <c r="I27" s="30">
        <f>Assumptions!$C$118</f>
        <v/>
      </c>
    </row>
    <row r="28">
      <c r="A28" s="6" t="inlineStr">
        <is>
          <t>Equity attributable to owners (+ profit − dividends)</t>
        </is>
      </c>
      <c r="D28" s="16">
        <f>Assumptions!$C$130</f>
        <v/>
      </c>
      <c r="E28" s="30">
        <f>D28+'Income Statement'!E16-'Cash Flow'!B13*-1</f>
        <v/>
      </c>
      <c r="F28" s="30">
        <f>E28+'Income Statement'!F16-'Cash Flow'!C13*-1</f>
        <v/>
      </c>
      <c r="G28" s="30">
        <f>F28+'Income Statement'!G16-'Cash Flow'!D13*-1</f>
        <v/>
      </c>
      <c r="H28" s="30">
        <f>G28+'Income Statement'!H16-'Cash Flow'!E13*-1</f>
        <v/>
      </c>
      <c r="I28" s="30">
        <f>H28+'Income Statement'!I16-'Cash Flow'!F13*-1</f>
        <v/>
      </c>
    </row>
    <row r="29">
      <c r="A29" s="6" t="inlineStr">
        <is>
          <t>Non-controlling interests (+ NCI profit − NCI dividends)</t>
        </is>
      </c>
      <c r="D29" s="16">
        <f>Assumptions!$C$124</f>
        <v/>
      </c>
      <c r="E29" s="30">
        <f>D29+'Income Statement'!E15-'Cash Flow'!B14*-1</f>
        <v/>
      </c>
      <c r="F29" s="30">
        <f>E29+'Income Statement'!F15-'Cash Flow'!C14*-1</f>
        <v/>
      </c>
      <c r="G29" s="30">
        <f>F29+'Income Statement'!G15-'Cash Flow'!D14*-1</f>
        <v/>
      </c>
      <c r="H29" s="30">
        <f>G29+'Income Statement'!H15-'Cash Flow'!E14*-1</f>
        <v/>
      </c>
      <c r="I29" s="30">
        <f>H29+'Income Statement'!I15-'Cash Flow'!F14*-1</f>
        <v/>
      </c>
    </row>
    <row r="30">
      <c r="A30" s="12" t="inlineStr">
        <is>
          <t>FOOT CHECK: assets − liabilities − equity (must be zero)</t>
        </is>
      </c>
      <c r="B30" s="15" t="n"/>
      <c r="C30" s="15" t="n"/>
      <c r="D30" s="15" t="n"/>
      <c r="E30" s="44">
        <f>E22-E23-E24-E25-E26-E27-E28-E29</f>
        <v/>
      </c>
      <c r="F30" s="44">
        <f>F22-F23-F24-F25-F26-F27-F28-F29</f>
        <v/>
      </c>
      <c r="G30" s="44">
        <f>G22-G23-G24-G25-G26-G27-G28-G29</f>
        <v/>
      </c>
      <c r="H30" s="44">
        <f>H22-H23-H24-H25-H26-H27-H28-H29</f>
        <v/>
      </c>
      <c r="I30" s="44">
        <f>I22-I23-I24-I25-I26-I27-I28-I29</f>
        <v/>
      </c>
    </row>
    <row r="31">
      <c r="A31" s="6" t="inlineStr">
        <is>
          <t>Net debt (loans − cash − current investments; company definition)</t>
        </is>
      </c>
      <c r="D31" s="16">
        <f>Assumptions!$C$114-Assumptions!$C$113-Assumptions!$C$120</f>
        <v/>
      </c>
      <c r="E31" s="30">
        <f>E23-E21-E11</f>
        <v/>
      </c>
      <c r="F31" s="30">
        <f>F23-F21-F11</f>
        <v/>
      </c>
      <c r="G31" s="30">
        <f>G23-G21-G11</f>
        <v/>
      </c>
      <c r="H31" s="30">
        <f>H23-H21-H11</f>
        <v/>
      </c>
      <c r="I31" s="30">
        <f>I23-I21-I11</f>
        <v/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Cash flow — the walk that closes the balance sheet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Lease principal equals right-of-use depreciation; new store leases are non-cash additions</t>
        </is>
      </c>
    </row>
    <row r="4">
      <c r="A4" s="5" t="inlineStr">
        <is>
          <t>SAR mn</t>
        </is>
      </c>
      <c r="B4" s="5" t="inlineStr">
        <is>
          <t>2026E</t>
        </is>
      </c>
      <c r="C4" s="5" t="inlineStr">
        <is>
          <t>2027E</t>
        </is>
      </c>
      <c r="D4" s="5" t="inlineStr">
        <is>
          <t>2028E</t>
        </is>
      </c>
      <c r="E4" s="5" t="inlineStr">
        <is>
          <t>2029E</t>
        </is>
      </c>
      <c r="F4" s="5" t="inlineStr">
        <is>
          <t>2030E</t>
        </is>
      </c>
    </row>
    <row r="5">
      <c r="A5" s="6" t="inlineStr">
        <is>
          <t>Core profit after zakat and tax</t>
        </is>
      </c>
      <c r="B5" s="30">
        <f>'Income Statement'!E13</f>
        <v/>
      </c>
      <c r="C5" s="30">
        <f>'Income Statement'!F13</f>
        <v/>
      </c>
      <c r="D5" s="30">
        <f>'Income Statement'!G13</f>
        <v/>
      </c>
      <c r="E5" s="30">
        <f>'Income Statement'!H13</f>
        <v/>
      </c>
      <c r="F5" s="30">
        <f>'Income Statement'!I13</f>
        <v/>
      </c>
    </row>
    <row r="6">
      <c r="A6" s="6" t="inlineStr">
        <is>
          <t>Add back depreciation and amortisation</t>
        </is>
      </c>
      <c r="B6" s="30">
        <f>'Income Statement'!E10</f>
        <v/>
      </c>
      <c r="C6" s="30">
        <f>'Income Statement'!F10</f>
        <v/>
      </c>
      <c r="D6" s="30">
        <f>'Income Statement'!G10</f>
        <v/>
      </c>
      <c r="E6" s="30">
        <f>'Income Statement'!H10</f>
        <v/>
      </c>
      <c r="F6" s="30">
        <f>'Income Statement'!I10</f>
        <v/>
      </c>
    </row>
    <row r="7">
      <c r="A7" s="6" t="inlineStr">
        <is>
          <t>Working-capital investment (increase is an outflow)</t>
        </is>
      </c>
      <c r="B7" s="30">
        <f>-('Balance Sheet'!E20-'Balance Sheet'!D20)</f>
        <v/>
      </c>
      <c r="C7" s="30">
        <f>-('Balance Sheet'!F20-'Balance Sheet'!E20)</f>
        <v/>
      </c>
      <c r="D7" s="30">
        <f>-('Balance Sheet'!G20-'Balance Sheet'!F20)</f>
        <v/>
      </c>
      <c r="E7" s="30">
        <f>-('Balance Sheet'!H20-'Balance Sheet'!G20)</f>
        <v/>
      </c>
      <c r="F7" s="30">
        <f>-('Balance Sheet'!I20-'Balance Sheet'!H20)</f>
        <v/>
      </c>
    </row>
    <row r="8">
      <c r="A8" s="6" t="inlineStr">
        <is>
          <t>Dividend received from Kinan</t>
        </is>
      </c>
      <c r="B8" s="33">
        <f>Assumptions!$C$84*(1+Assumptions!$C$83)^0</f>
        <v/>
      </c>
      <c r="C8" s="33">
        <f>Assumptions!$C$84*(1+Assumptions!$C$83)^1</f>
        <v/>
      </c>
      <c r="D8" s="33">
        <f>Assumptions!$C$84*(1+Assumptions!$C$83)^2</f>
        <v/>
      </c>
      <c r="E8" s="33">
        <f>Assumptions!$C$84*(1+Assumptions!$C$83)^3</f>
        <v/>
      </c>
      <c r="F8" s="33">
        <f>Assumptions!$C$84*(1+Assumptions!$C$83)^4</f>
        <v/>
      </c>
    </row>
    <row r="9">
      <c r="A9" s="12" t="inlineStr">
        <is>
          <t>Net cash from operating activities</t>
        </is>
      </c>
      <c r="B9" s="31">
        <f>B5+B6+B7+B8</f>
        <v/>
      </c>
      <c r="C9" s="31">
        <f>C5+C6+C7+C8</f>
        <v/>
      </c>
      <c r="D9" s="31">
        <f>D5+D6+D7+D8</f>
        <v/>
      </c>
      <c r="E9" s="31">
        <f>E5+E6+E7+E8</f>
        <v/>
      </c>
      <c r="F9" s="31">
        <f>F5+F6+F7+F8</f>
        <v/>
      </c>
    </row>
    <row r="10">
      <c r="A10" s="6" t="inlineStr">
        <is>
          <t>Capital expenditure (property, plant, equipment and intangibles)</t>
        </is>
      </c>
      <c r="B10" s="30">
        <f>-Assumptions!$B$65</f>
        <v/>
      </c>
      <c r="C10" s="30">
        <f>-Assumptions!$C$65</f>
        <v/>
      </c>
      <c r="D10" s="30">
        <f>-Assumptions!$D$65</f>
        <v/>
      </c>
      <c r="E10" s="30">
        <f>-Assumptions!$E$65</f>
        <v/>
      </c>
      <c r="F10" s="30">
        <f>-Assumptions!$F$65</f>
        <v/>
      </c>
    </row>
    <row r="11">
      <c r="A11" s="12" t="inlineStr">
        <is>
          <t>Net cash used in investing activities</t>
        </is>
      </c>
      <c r="B11" s="31">
        <f>B10</f>
        <v/>
      </c>
      <c r="C11" s="31">
        <f>C10</f>
        <v/>
      </c>
      <c r="D11" s="31">
        <f>D10</f>
        <v/>
      </c>
      <c r="E11" s="31">
        <f>E10</f>
        <v/>
      </c>
      <c r="F11" s="31">
        <f>F10</f>
        <v/>
      </c>
    </row>
    <row r="12">
      <c r="A12" s="6" t="inlineStr">
        <is>
          <t>Payment of lease liabilities — principal (= right-of-use depreciation)</t>
        </is>
      </c>
      <c r="B12" s="30">
        <f>-'Cash Flow'!B19</f>
        <v/>
      </c>
      <c r="C12" s="30">
        <f>-'Cash Flow'!C19</f>
        <v/>
      </c>
      <c r="D12" s="30">
        <f>-'Cash Flow'!D19</f>
        <v/>
      </c>
      <c r="E12" s="30">
        <f>-'Cash Flow'!E19</f>
        <v/>
      </c>
      <c r="F12" s="30">
        <f>-'Cash Flow'!F19</f>
        <v/>
      </c>
    </row>
    <row r="13">
      <c r="A13" s="6" t="inlineStr">
        <is>
          <t>Dividends paid to owners (policy payout on the current year's profit)</t>
        </is>
      </c>
      <c r="B13" s="30">
        <f>-'Income Statement'!E16*Assumptions!$C$9</f>
        <v/>
      </c>
      <c r="C13" s="30">
        <f>-'Income Statement'!F16*Assumptions!$C$9</f>
        <v/>
      </c>
      <c r="D13" s="30">
        <f>-'Income Statement'!G16*Assumptions!$C$9</f>
        <v/>
      </c>
      <c r="E13" s="30">
        <f>-'Income Statement'!H16*Assumptions!$C$9</f>
        <v/>
      </c>
      <c r="F13" s="30">
        <f>-'Income Statement'!I16*Assumptions!$C$9</f>
        <v/>
      </c>
    </row>
    <row r="14">
      <c r="A14" s="6" t="inlineStr">
        <is>
          <t>Dividends paid to non-controlling interests</t>
        </is>
      </c>
      <c r="B14" s="30">
        <f>-'Income Statement'!E15*Assumptions!$C$9</f>
        <v/>
      </c>
      <c r="C14" s="30">
        <f>-'Income Statement'!F15*Assumptions!$C$9</f>
        <v/>
      </c>
      <c r="D14" s="30">
        <f>-'Income Statement'!G15*Assumptions!$C$9</f>
        <v/>
      </c>
      <c r="E14" s="30">
        <f>-'Income Statement'!H15*Assumptions!$C$9</f>
        <v/>
      </c>
      <c r="F14" s="30">
        <f>-'Income Statement'!I15*Assumptions!$C$9</f>
        <v/>
      </c>
    </row>
    <row r="15">
      <c r="A15" s="12" t="inlineStr">
        <is>
          <t>Net cash used in financing activities</t>
        </is>
      </c>
      <c r="B15" s="31">
        <f>B12+B13+B14</f>
        <v/>
      </c>
      <c r="C15" s="31">
        <f>C12+C13+C14</f>
        <v/>
      </c>
      <c r="D15" s="31">
        <f>D12+D13+D14</f>
        <v/>
      </c>
      <c r="E15" s="31">
        <f>E12+E13+E14</f>
        <v/>
      </c>
      <c r="F15" s="31">
        <f>F12+F13+F14</f>
        <v/>
      </c>
    </row>
    <row r="16">
      <c r="A16" s="6" t="inlineStr">
        <is>
          <t>Net change in cash</t>
        </is>
      </c>
      <c r="B16" s="30">
        <f>B9+B11+B15</f>
        <v/>
      </c>
      <c r="C16" s="30">
        <f>C9+C11+C15</f>
        <v/>
      </c>
      <c r="D16" s="30">
        <f>D9+D11+D15</f>
        <v/>
      </c>
      <c r="E16" s="30">
        <f>E9+E11+E15</f>
        <v/>
      </c>
      <c r="F16" s="30">
        <f>F9+F11+F15</f>
        <v/>
      </c>
    </row>
    <row r="17">
      <c r="A17" s="21" t="inlineStr">
        <is>
          <t>Cash and cash equivalents at year end</t>
        </is>
      </c>
      <c r="B17" s="29">
        <f>Assumptions!$C$113+B16</f>
        <v/>
      </c>
      <c r="C17" s="29">
        <f>B17+C16</f>
        <v/>
      </c>
      <c r="D17" s="29">
        <f>C17+D16</f>
        <v/>
      </c>
      <c r="E17" s="29">
        <f>D17+E16</f>
        <v/>
      </c>
      <c r="F17" s="29">
        <f>E17+F16</f>
        <v/>
      </c>
    </row>
    <row r="19">
      <c r="A19" s="6" t="inlineStr">
        <is>
          <t>Memo: right-of-use depreciation (grows with the store network)</t>
        </is>
      </c>
      <c r="B19" s="33">
        <f>Assumptions!$C$68*(1+Assumptions!$B$69)</f>
        <v/>
      </c>
      <c r="C19" s="33">
        <f>B19*(1+Assumptions!$C$69)</f>
        <v/>
      </c>
      <c r="D19" s="33">
        <f>C19*(1+Assumptions!$D$69)</f>
        <v/>
      </c>
      <c r="E19" s="33">
        <f>D19*(1+Assumptions!$E$69)</f>
        <v/>
      </c>
      <c r="F19" s="33">
        <f>E19*(1+Assumptions!$F$69)</f>
        <v/>
      </c>
    </row>
    <row r="20">
      <c r="A20" s="4" t="inlineStr">
        <is>
          <t>The dividend row applies the stated 50-60% policy (midpoint) to the current year's attributable profit; Savola's actual FY2025 dividend of SAR 510mn was paid during H1-2026.</t>
        </is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Summary financials and returns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4">
      <c r="A4" s="5" t="inlineStr">
        <is>
          <t>SAR mn</t>
        </is>
      </c>
      <c r="B4" s="5" t="inlineStr">
        <is>
          <t>FY2025</t>
        </is>
      </c>
      <c r="C4" s="5" t="inlineStr">
        <is>
          <t>2026E</t>
        </is>
      </c>
      <c r="D4" s="5" t="inlineStr">
        <is>
          <t>2027E</t>
        </is>
      </c>
      <c r="E4" s="5" t="inlineStr">
        <is>
          <t>2028E</t>
        </is>
      </c>
      <c r="F4" s="5" t="inlineStr">
        <is>
          <t>2029E</t>
        </is>
      </c>
      <c r="G4" s="5" t="inlineStr">
        <is>
          <t>2030E</t>
        </is>
      </c>
    </row>
    <row r="5">
      <c r="A5" s="6" t="inlineStr">
        <is>
          <t>Revenue</t>
        </is>
      </c>
      <c r="B5" s="19" t="n">
        <v>26081.053</v>
      </c>
      <c r="C5" s="30">
        <f>'Income Statement'!E5</f>
        <v/>
      </c>
      <c r="D5" s="30">
        <f>'Income Statement'!F5</f>
        <v/>
      </c>
      <c r="E5" s="30">
        <f>'Income Statement'!G5</f>
        <v/>
      </c>
      <c r="F5" s="30">
        <f>'Income Statement'!H5</f>
        <v/>
      </c>
      <c r="G5" s="30">
        <f>'Income Statement'!I5</f>
        <v/>
      </c>
    </row>
    <row r="6">
      <c r="A6" s="6" t="inlineStr">
        <is>
          <t>Operating EBITDA</t>
        </is>
      </c>
      <c r="B6" s="19" t="n">
        <v>2350.935</v>
      </c>
      <c r="C6" s="30">
        <f>'Income Statement'!E9</f>
        <v/>
      </c>
      <c r="D6" s="30">
        <f>'Income Statement'!F9</f>
        <v/>
      </c>
      <c r="E6" s="30">
        <f>'Income Statement'!G9</f>
        <v/>
      </c>
      <c r="F6" s="30">
        <f>'Income Statement'!H9</f>
        <v/>
      </c>
      <c r="G6" s="30">
        <f>'Income Statement'!I9</f>
        <v/>
      </c>
    </row>
    <row r="7">
      <c r="A7" s="6" t="inlineStr">
        <is>
          <t>EBITDA margin</t>
        </is>
      </c>
      <c r="B7" s="24" t="n">
        <v>0.09013957373576903</v>
      </c>
      <c r="C7" s="11">
        <f>C6/C5</f>
        <v/>
      </c>
      <c r="D7" s="11">
        <f>D6/D5</f>
        <v/>
      </c>
      <c r="E7" s="11">
        <f>E6/E5</f>
        <v/>
      </c>
      <c r="F7" s="11">
        <f>F6/F5</f>
        <v/>
      </c>
      <c r="G7" s="11">
        <f>G6/G5</f>
        <v/>
      </c>
    </row>
    <row r="8">
      <c r="A8" s="6" t="inlineStr">
        <is>
          <t>Profit attributable to owners</t>
        </is>
      </c>
      <c r="B8" s="19" t="n">
        <v>874.462</v>
      </c>
      <c r="C8" s="30">
        <f>'Income Statement'!E16</f>
        <v/>
      </c>
      <c r="D8" s="30">
        <f>'Income Statement'!F16</f>
        <v/>
      </c>
      <c r="E8" s="30">
        <f>'Income Statement'!G16</f>
        <v/>
      </c>
      <c r="F8" s="30">
        <f>'Income Statement'!H16</f>
        <v/>
      </c>
      <c r="G8" s="30">
        <f>'Income Statement'!I16</f>
        <v/>
      </c>
    </row>
    <row r="9">
      <c r="A9" s="6" t="inlineStr">
        <is>
          <t>EPS (SAR)</t>
        </is>
      </c>
      <c r="B9" s="7" t="n">
        <v>2.93</v>
      </c>
      <c r="C9" s="10">
        <f>'Income Statement'!E17</f>
        <v/>
      </c>
      <c r="D9" s="10">
        <f>'Income Statement'!F17</f>
        <v/>
      </c>
      <c r="E9" s="10">
        <f>'Income Statement'!G17</f>
        <v/>
      </c>
      <c r="F9" s="10">
        <f>'Income Statement'!H17</f>
        <v/>
      </c>
      <c r="G9" s="10">
        <f>'Income Statement'!I17</f>
        <v/>
      </c>
    </row>
    <row r="10">
      <c r="A10" s="6" t="inlineStr">
        <is>
          <t>Capital expenditure</t>
        </is>
      </c>
      <c r="B10" s="19" t="n">
        <v>858.5</v>
      </c>
      <c r="C10" s="30">
        <f>Assumptions!$B$65</f>
        <v/>
      </c>
      <c r="D10" s="30">
        <f>Assumptions!$C$65</f>
        <v/>
      </c>
      <c r="E10" s="30">
        <f>Assumptions!$D$65</f>
        <v/>
      </c>
      <c r="F10" s="30">
        <f>Assumptions!$E$65</f>
        <v/>
      </c>
      <c r="G10" s="30">
        <f>Assumptions!$F$65</f>
        <v/>
      </c>
    </row>
    <row r="11">
      <c r="A11" s="6" t="inlineStr">
        <is>
          <t>Free cash flow to the firm</t>
        </is>
      </c>
      <c r="C11" s="30">
        <f>DCF!B16</f>
        <v/>
      </c>
      <c r="D11" s="30">
        <f>DCF!C16</f>
        <v/>
      </c>
      <c r="E11" s="30">
        <f>DCF!D16</f>
        <v/>
      </c>
      <c r="F11" s="30">
        <f>DCF!E16</f>
        <v/>
      </c>
      <c r="G11" s="30">
        <f>DCF!F16</f>
        <v/>
      </c>
    </row>
    <row r="12">
      <c r="A12" s="6" t="inlineStr">
        <is>
          <t>Net debt (company definition)</t>
        </is>
      </c>
      <c r="B12" s="19" t="n">
        <v>903.985</v>
      </c>
      <c r="C12" s="30">
        <f>'Balance Sheet'!E31</f>
        <v/>
      </c>
      <c r="D12" s="30">
        <f>'Balance Sheet'!F31</f>
        <v/>
      </c>
      <c r="E12" s="30">
        <f>'Balance Sheet'!G31</f>
        <v/>
      </c>
      <c r="F12" s="30">
        <f>'Balance Sheet'!H31</f>
        <v/>
      </c>
      <c r="G12" s="30">
        <f>'Balance Sheet'!I31</f>
        <v/>
      </c>
    </row>
    <row r="13">
      <c r="A13" s="6" t="inlineStr">
        <is>
          <t>Equity attributable to owners</t>
        </is>
      </c>
      <c r="B13" s="19" t="n">
        <v>5516.027</v>
      </c>
      <c r="C13" s="30">
        <f>'Balance Sheet'!E28</f>
        <v/>
      </c>
      <c r="D13" s="30">
        <f>'Balance Sheet'!F28</f>
        <v/>
      </c>
      <c r="E13" s="30">
        <f>'Balance Sheet'!G28</f>
        <v/>
      </c>
      <c r="F13" s="30">
        <f>'Balance Sheet'!H28</f>
        <v/>
      </c>
      <c r="G13" s="30">
        <f>'Balance Sheet'!I28</f>
        <v/>
      </c>
    </row>
    <row r="15">
      <c r="A15" s="6" t="inlineStr">
        <is>
          <t>Operating invested capital (equity + minorities + debt + leases − cash − investments − Kinan − Tiryaki − investment property; the terminal return runs on this row)</t>
        </is>
      </c>
      <c r="C15" s="30">
        <f>'Balance Sheet'!E28+'Balance Sheet'!E29+Assumptions!$C$114+'Balance Sheet'!E24-'Balance Sheet'!E21-Assumptions!$C$120-Assumptions!$C$119-'Balance Sheet'!E9-Assumptions!$C$132-Assumptions!$C$121</f>
        <v/>
      </c>
      <c r="D15" s="30">
        <f>'Balance Sheet'!F28+'Balance Sheet'!F29+Assumptions!$C$114+'Balance Sheet'!F24-'Balance Sheet'!F21-Assumptions!$C$120-Assumptions!$C$119-'Balance Sheet'!F9-Assumptions!$C$132-Assumptions!$C$121</f>
        <v/>
      </c>
      <c r="E15" s="30">
        <f>'Balance Sheet'!G28+'Balance Sheet'!G29+Assumptions!$C$114+'Balance Sheet'!G24-'Balance Sheet'!G21-Assumptions!$C$120-Assumptions!$C$119-'Balance Sheet'!G9-Assumptions!$C$132-Assumptions!$C$121</f>
        <v/>
      </c>
      <c r="F15" s="30">
        <f>'Balance Sheet'!H28+'Balance Sheet'!H29+Assumptions!$C$114+'Balance Sheet'!H24-'Balance Sheet'!H21-Assumptions!$C$120-Assumptions!$C$119-'Balance Sheet'!H9-Assumptions!$C$132-Assumptions!$C$121</f>
        <v/>
      </c>
      <c r="G15" s="30">
        <f>'Balance Sheet'!I28+'Balance Sheet'!I29+Assumptions!$C$114+'Balance Sheet'!I24-'Balance Sheet'!I21-Assumptions!$C$120-Assumptions!$C$119-'Balance Sheet'!I9-Assumptions!$C$132-Assumptions!$C$121</f>
        <v/>
      </c>
    </row>
    <row r="16">
      <c r="A16" s="6" t="inlineStr">
        <is>
          <t>Return on invested capital (NOPAT / opening invested capital)</t>
        </is>
      </c>
      <c r="C16" s="35">
        <f>DCF!B10/(Assumptions!$C$130+Assumptions!$C$124+Assumptions!$C$114+Assumptions!$C$115-Assumptions!$C$113-Assumptions!$C$120-Assumptions!$C$119-Assumptions!$C$129-Assumptions!$C$132-Assumptions!$C$121)</f>
        <v/>
      </c>
      <c r="D16" s="35">
        <f>DCF!C10/C15</f>
        <v/>
      </c>
      <c r="E16" s="35">
        <f>DCF!D10/D15</f>
        <v/>
      </c>
      <c r="F16" s="35">
        <f>DCF!E10/E15</f>
        <v/>
      </c>
      <c r="G16" s="35">
        <f>DCF!F10/F15</f>
        <v/>
      </c>
    </row>
    <row r="17">
      <c r="A17" s="6" t="inlineStr">
        <is>
          <t>Return on equity (attributable profit / opening equity)</t>
        </is>
      </c>
      <c r="C17" s="35">
        <f>'Income Statement'!E16/Assumptions!$C$130</f>
        <v/>
      </c>
      <c r="D17" s="35">
        <f>'Income Statement'!F16/'Balance Sheet'!E28</f>
        <v/>
      </c>
      <c r="E17" s="35">
        <f>'Income Statement'!G16/'Balance Sheet'!F28</f>
        <v/>
      </c>
      <c r="F17" s="35">
        <f>'Income Statement'!H16/'Balance Sheet'!G28</f>
        <v/>
      </c>
      <c r="G17" s="35">
        <f>'Income Statement'!I16/'Balance Sheet'!H28</f>
        <v/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Monte Carlo price map — engine output (pasted by construction)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Each figure is a 50,000-path simulation of the whole price process; the grid does not redraw when a driver changes</t>
        </is>
      </c>
    </row>
    <row r="4">
      <c r="A4" s="6" t="inlineStr">
        <is>
          <t>Anchor: SAR 25.40 (settled close) on 2026-08-18 · annualized volatility ~30% · 50,000 simulated paths on a fixed seed (42), carry-anchored heavy-tailed process</t>
        </is>
      </c>
    </row>
    <row r="6">
      <c r="A6" s="5" t="inlineStr">
        <is>
          <t>Horizon</t>
        </is>
      </c>
      <c r="B6" s="5" t="inlineStr">
        <is>
          <t>p5</t>
        </is>
      </c>
      <c r="C6" s="5" t="inlineStr">
        <is>
          <t>p25</t>
        </is>
      </c>
      <c r="D6" s="5" t="inlineStr">
        <is>
          <t>p50</t>
        </is>
      </c>
      <c r="E6" s="5" t="inlineStr">
        <is>
          <t>p75</t>
        </is>
      </c>
      <c r="F6" s="5" t="inlineStr">
        <is>
          <t>p95</t>
        </is>
      </c>
      <c r="G6" s="5" t="inlineStr">
        <is>
          <t>P(above spot)</t>
        </is>
      </c>
    </row>
    <row r="7">
      <c r="A7" s="6" t="inlineStr">
        <is>
          <t>One month (to 2026-09-20)</t>
        </is>
      </c>
      <c r="B7" s="7" t="n">
        <v>21.87355102267893</v>
      </c>
      <c r="C7" s="7" t="n">
        <v>24.01746743122641</v>
      </c>
      <c r="D7" s="7" t="n">
        <v>25.47416757908572</v>
      </c>
      <c r="E7" s="7" t="n">
        <v>27.04447703045024</v>
      </c>
      <c r="F7" s="7" t="n">
        <v>29.72140185824915</v>
      </c>
      <c r="G7" s="24" t="n">
        <v>0.51302</v>
      </c>
    </row>
    <row r="8">
      <c r="A8" s="6" t="inlineStr">
        <is>
          <t>Three months (to 2026-11-18)</t>
        </is>
      </c>
      <c r="B8" s="7" t="n">
        <v>19.76237808332625</v>
      </c>
      <c r="C8" s="7" t="n">
        <v>23.19100986841795</v>
      </c>
      <c r="D8" s="7" t="n">
        <v>25.68386544152013</v>
      </c>
      <c r="E8" s="7" t="n">
        <v>28.41688691810369</v>
      </c>
      <c r="F8" s="7" t="n">
        <v>33.35430141297638</v>
      </c>
      <c r="G8" s="24" t="n">
        <v>0.52964</v>
      </c>
    </row>
    <row r="10">
      <c r="A10" s="5" t="inlineStr">
        <is>
          <t>Touch probability within 3M</t>
        </is>
      </c>
      <c r="B10" s="5" t="inlineStr">
        <is>
          <t>+5%</t>
        </is>
      </c>
      <c r="C10" s="5" t="inlineStr">
        <is>
          <t>+10%</t>
        </is>
      </c>
      <c r="D10" s="5" t="inlineStr">
        <is>
          <t>+15%</t>
        </is>
      </c>
      <c r="E10" s="5" t="inlineStr">
        <is>
          <t>−5%</t>
        </is>
      </c>
      <c r="F10" s="5" t="inlineStr">
        <is>
          <t>−10%</t>
        </is>
      </c>
      <c r="G10" s="5" t="inlineStr">
        <is>
          <t>−15%</t>
        </is>
      </c>
    </row>
    <row r="11">
      <c r="A11" s="6" t="inlineStr">
        <is>
          <t>Probability the level trades at least once</t>
        </is>
      </c>
      <c r="B11" s="24" t="n">
        <v>0.71174</v>
      </c>
      <c r="C11" s="24" t="n">
        <v>0.5072</v>
      </c>
      <c r="D11" s="24" t="n">
        <v>0.34442</v>
      </c>
      <c r="E11" s="24" t="n">
        <v>0.65962</v>
      </c>
      <c r="F11" s="24" t="n">
        <v>0.41738</v>
      </c>
      <c r="G11" s="24" t="n">
        <v>0.2407</v>
      </c>
    </row>
    <row r="13">
      <c r="A13" s="21" t="inlineStr">
        <is>
          <t>Backtest of the same price engine on Savola (plain language):</t>
        </is>
      </c>
    </row>
    <row r="14" ht="28" customHeight="1">
      <c r="A14" s="22" t="inlineStr">
        <is>
          <t>Over the last five years (2021-10-26 to 2026-04-28), 19 non-overlapping three-month forecasts scored +0.9% against a carry-anchored random walk.</t>
        </is>
      </c>
    </row>
    <row r="15" ht="28" customHeight="1">
      <c r="A15" s="22" t="inlineStr">
        <is>
          <t>Realized outcomes fell inside the 50/80/90% bands 53%/79%/84% of the time; the forecast percentiles were roughly uniform (chi-square p = 0.28, KS p = 0.64).</t>
        </is>
      </c>
    </row>
    <row r="16" ht="28" customHeight="1">
      <c r="A16" s="22" t="inlineStr">
        <is>
          <t>Across the full cleaned history (58 windows) the score was +0.4%; the engine is statistically indistinguishable from the benchmark on this name — the map is honest about dispersion, not a source of edge.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Sensitivity — engine re-runs (pasted by construction)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Each cell is a complete revaluation of the whole model; the grids do not redraw when a driver changes</t>
        </is>
      </c>
    </row>
    <row r="4">
      <c r="A4" s="21" t="inlineStr">
        <is>
          <t>Fair value per share at the anchor: cost of capital x terminal growth</t>
        </is>
      </c>
    </row>
    <row r="5">
      <c r="A5" s="5" t="inlineStr">
        <is>
          <t>WACC \ g</t>
        </is>
      </c>
      <c r="B5" s="5" t="inlineStr">
        <is>
          <t>1.7%</t>
        </is>
      </c>
      <c r="C5" s="5" t="inlineStr">
        <is>
          <t>2.2%</t>
        </is>
      </c>
      <c r="D5" s="5" t="inlineStr">
        <is>
          <t>2.7%</t>
        </is>
      </c>
      <c r="E5" s="5" t="inlineStr">
        <is>
          <t>3.2%</t>
        </is>
      </c>
      <c r="F5" s="5" t="inlineStr">
        <is>
          <t>3.7%</t>
        </is>
      </c>
    </row>
    <row r="6">
      <c r="A6" s="6" t="inlineStr">
        <is>
          <t>7.06%</t>
        </is>
      </c>
      <c r="B6" s="7" t="n">
        <v>30.31657737936937</v>
      </c>
      <c r="C6" s="7" t="n">
        <v>31.7163092725914</v>
      </c>
      <c r="D6" s="7" t="n">
        <v>33.38299584873408</v>
      </c>
      <c r="E6" s="7" t="n">
        <v>35.41187223926126</v>
      </c>
      <c r="F6" s="7" t="n">
        <v>37.9495871730258</v>
      </c>
    </row>
    <row r="7">
      <c r="A7" s="6" t="inlineStr">
        <is>
          <t>7.56%</t>
        </is>
      </c>
      <c r="B7" s="7" t="n">
        <v>25.94020240374591</v>
      </c>
      <c r="C7" s="7" t="n">
        <v>26.90056858463738</v>
      </c>
      <c r="D7" s="7" t="n">
        <v>28.01846231042661</v>
      </c>
      <c r="E7" s="7" t="n">
        <v>29.34410845614482</v>
      </c>
      <c r="F7" s="7" t="n">
        <v>30.95162195698432</v>
      </c>
    </row>
    <row r="8">
      <c r="A8" s="6" t="inlineStr">
        <is>
          <t>8.06%</t>
        </is>
      </c>
      <c r="B8" s="7" t="n">
        <v>22.22116499917403</v>
      </c>
      <c r="C8" s="7" t="n">
        <v>22.86432087940199</v>
      </c>
      <c r="D8" s="7" t="n">
        <v>23.59615647976344</v>
      </c>
      <c r="E8" s="7" t="n">
        <v>24.44222955016812</v>
      </c>
      <c r="F8" s="7" t="n">
        <v>25.43896268998162</v>
      </c>
    </row>
    <row r="9">
      <c r="A9" s="6" t="inlineStr">
        <is>
          <t>8.56%</t>
        </is>
      </c>
      <c r="B9" s="7" t="n">
        <v>19.02249414644142</v>
      </c>
      <c r="C9" s="7" t="n">
        <v>19.43309851333283</v>
      </c>
      <c r="D9" s="7" t="n">
        <v>19.88826107315428</v>
      </c>
      <c r="E9" s="7" t="n">
        <v>20.39969807300299</v>
      </c>
      <c r="F9" s="7" t="n">
        <v>20.98362796803861</v>
      </c>
    </row>
    <row r="10">
      <c r="A10" s="6" t="inlineStr">
        <is>
          <t>9.06%</t>
        </is>
      </c>
      <c r="B10" s="7" t="n">
        <v>16.24277756876086</v>
      </c>
      <c r="C10" s="7" t="n">
        <v>16.48086774908405</v>
      </c>
      <c r="D10" s="7" t="n">
        <v>16.73491713918488</v>
      </c>
      <c r="E10" s="7" t="n">
        <v>17.00878393391331</v>
      </c>
      <c r="F10" s="7" t="n">
        <v>17.30767897316629</v>
      </c>
    </row>
    <row r="12">
      <c r="A12" s="21" t="inlineStr">
        <is>
          <t>Beta (the 90% confidence interval of the measured beta spans 0.73-1.44)</t>
        </is>
      </c>
    </row>
    <row r="13">
      <c r="A13" s="5" t="inlineStr">
        <is>
          <t>Beta</t>
        </is>
      </c>
      <c r="B13" s="5" t="inlineStr">
        <is>
          <t>Fair value (SAR)</t>
        </is>
      </c>
    </row>
    <row r="14">
      <c r="A14" s="26" t="n">
        <v>0.73</v>
      </c>
      <c r="B14" s="7" t="n">
        <v>34.96485674624154</v>
      </c>
    </row>
    <row r="15">
      <c r="A15" s="26" t="n">
        <v>0.9</v>
      </c>
      <c r="B15" s="7" t="n">
        <v>28.93149129253096</v>
      </c>
    </row>
    <row r="16">
      <c r="A16" s="26" t="n">
        <v>1</v>
      </c>
      <c r="B16" s="7" t="n">
        <v>25.93571991247888</v>
      </c>
    </row>
    <row r="17">
      <c r="A17" s="26" t="n">
        <v>1.087</v>
      </c>
      <c r="B17" s="7" t="n">
        <v>23.59615647976344</v>
      </c>
    </row>
    <row r="18">
      <c r="A18" s="26" t="n">
        <v>1.2</v>
      </c>
      <c r="B18" s="7" t="n">
        <v>20.86947414111219</v>
      </c>
    </row>
    <row r="19">
      <c r="A19" s="26" t="n">
        <v>1.44</v>
      </c>
      <c r="B19" s="7" t="n">
        <v>16.00768193112958</v>
      </c>
    </row>
    <row r="21">
      <c r="A21" s="21" t="inlineStr">
        <is>
          <t>Risk-free construction</t>
        </is>
      </c>
    </row>
    <row r="22">
      <c r="A22" s="5" t="inlineStr">
        <is>
          <t>10Y SAR level</t>
        </is>
      </c>
      <c r="B22" s="5" t="inlineStr">
        <is>
          <t>Fair value (SAR)</t>
        </is>
      </c>
    </row>
    <row r="23">
      <c r="A23" s="6" t="inlineStr">
        <is>
          <t>5.02%</t>
        </is>
      </c>
      <c r="B23" s="7" t="n">
        <v>26.34036141098163</v>
      </c>
    </row>
    <row r="24">
      <c r="A24" s="6" t="inlineStr">
        <is>
          <t>5.52% (base)</t>
        </is>
      </c>
      <c r="B24" s="7" t="n">
        <v>23.59615647976344</v>
      </c>
    </row>
    <row r="25">
      <c r="A25" s="6" t="inlineStr">
        <is>
          <t>6.02%</t>
        </is>
      </c>
      <c r="B25" s="7" t="n">
        <v>21.13902596103296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Per-share figures, ratios and operating KPIs</t>
        </is>
      </c>
      <c r="B1" s="2" t="n"/>
      <c r="C1" s="2" t="n"/>
      <c r="D1" s="2" t="n"/>
      <c r="E1" s="2" t="n"/>
      <c r="F1" s="2" t="n"/>
      <c r="G1" s="2" t="n"/>
      <c r="H1" s="2" t="n"/>
    </row>
    <row r="4">
      <c r="A4" s="5" t="inlineStr">
        <is>
          <t>Per share (SAR)</t>
        </is>
      </c>
      <c r="B4" s="5" t="inlineStr">
        <is>
          <t>2026E</t>
        </is>
      </c>
      <c r="C4" s="5" t="inlineStr">
        <is>
          <t>2027E</t>
        </is>
      </c>
      <c r="D4" s="5" t="inlineStr">
        <is>
          <t>2028E</t>
        </is>
      </c>
      <c r="E4" s="5" t="inlineStr">
        <is>
          <t>2029E</t>
        </is>
      </c>
      <c r="F4" s="5" t="inlineStr">
        <is>
          <t>2030E</t>
        </is>
      </c>
    </row>
    <row r="5">
      <c r="A5" s="6" t="inlineStr">
        <is>
          <t>EPS</t>
        </is>
      </c>
      <c r="B5" s="10">
        <f>'Income Statement'!E17</f>
        <v/>
      </c>
      <c r="C5" s="10">
        <f>'Income Statement'!F17</f>
        <v/>
      </c>
      <c r="D5" s="10">
        <f>'Income Statement'!G17</f>
        <v/>
      </c>
      <c r="E5" s="10">
        <f>'Income Statement'!H17</f>
        <v/>
      </c>
      <c r="F5" s="10">
        <f>'Income Statement'!I17</f>
        <v/>
      </c>
    </row>
    <row r="6">
      <c r="A6" s="6" t="inlineStr">
        <is>
          <t>Dividend per share (policy payout)</t>
        </is>
      </c>
      <c r="B6" s="10">
        <f>'Income Statement'!E16*Assumptions!$C$9/Assumptions!$C$7</f>
        <v/>
      </c>
      <c r="C6" s="10">
        <f>'Income Statement'!F16*Assumptions!$C$9/Assumptions!$C$7</f>
        <v/>
      </c>
      <c r="D6" s="10">
        <f>'Income Statement'!G16*Assumptions!$C$9/Assumptions!$C$7</f>
        <v/>
      </c>
      <c r="E6" s="10">
        <f>'Income Statement'!H16*Assumptions!$C$9/Assumptions!$C$7</f>
        <v/>
      </c>
      <c r="F6" s="10">
        <f>'Income Statement'!I16*Assumptions!$C$9/Assumptions!$C$7</f>
        <v/>
      </c>
    </row>
    <row r="7">
      <c r="A7" s="6" t="inlineStr">
        <is>
          <t>Book value per share</t>
        </is>
      </c>
      <c r="B7" s="10">
        <f>'Balance Sheet'!E28/Assumptions!$C$7</f>
        <v/>
      </c>
      <c r="C7" s="10">
        <f>'Balance Sheet'!F28/Assumptions!$C$7</f>
        <v/>
      </c>
      <c r="D7" s="10">
        <f>'Balance Sheet'!G28/Assumptions!$C$7</f>
        <v/>
      </c>
      <c r="E7" s="10">
        <f>'Balance Sheet'!H28/Assumptions!$C$7</f>
        <v/>
      </c>
      <c r="F7" s="10">
        <f>'Balance Sheet'!I28/Assumptions!$C$7</f>
        <v/>
      </c>
    </row>
    <row r="8">
      <c r="A8" s="6" t="inlineStr">
        <is>
          <t>Free cash flow to the firm per share</t>
        </is>
      </c>
      <c r="B8" s="10">
        <f>DCF!B16/Assumptions!$C$7</f>
        <v/>
      </c>
      <c r="C8" s="10">
        <f>DCF!C16/Assumptions!$C$7</f>
        <v/>
      </c>
      <c r="D8" s="10">
        <f>DCF!D16/Assumptions!$C$7</f>
        <v/>
      </c>
      <c r="E8" s="10">
        <f>DCF!E16/Assumptions!$C$7</f>
        <v/>
      </c>
      <c r="F8" s="10">
        <f>DCF!F16/Assumptions!$C$7</f>
        <v/>
      </c>
    </row>
    <row r="10">
      <c r="A10" s="5" t="inlineStr">
        <is>
          <t>Ratios</t>
        </is>
      </c>
      <c r="B10" s="5" t="inlineStr">
        <is>
          <t>2026E</t>
        </is>
      </c>
      <c r="C10" s="5" t="inlineStr">
        <is>
          <t>2027E</t>
        </is>
      </c>
      <c r="D10" s="5" t="inlineStr">
        <is>
          <t>2028E</t>
        </is>
      </c>
      <c r="E10" s="5" t="inlineStr">
        <is>
          <t>2029E</t>
        </is>
      </c>
      <c r="F10" s="5" t="inlineStr">
        <is>
          <t>2030E</t>
        </is>
      </c>
    </row>
    <row r="11">
      <c r="A11" s="6" t="inlineStr">
        <is>
          <t>Net debt / EBITDA (loans basis)</t>
        </is>
      </c>
      <c r="B11" s="38">
        <f>'Balance Sheet'!E31/Segments!B43</f>
        <v/>
      </c>
      <c r="C11" s="38">
        <f>'Balance Sheet'!F31/Segments!C43</f>
        <v/>
      </c>
      <c r="D11" s="38">
        <f>'Balance Sheet'!G31/Segments!D43</f>
        <v/>
      </c>
      <c r="E11" s="38">
        <f>'Balance Sheet'!H31/Segments!E43</f>
        <v/>
      </c>
      <c r="F11" s="38">
        <f>'Balance Sheet'!I31/Segments!F43</f>
        <v/>
      </c>
    </row>
    <row r="12">
      <c r="A12" s="6" t="inlineStr">
        <is>
          <t>Payout ratio (policy)</t>
        </is>
      </c>
      <c r="B12" s="11">
        <f>Assumptions!$C$9</f>
        <v/>
      </c>
      <c r="C12" s="11">
        <f>Assumptions!$C$9</f>
        <v/>
      </c>
      <c r="D12" s="11">
        <f>Assumptions!$C$9</f>
        <v/>
      </c>
      <c r="E12" s="11">
        <f>Assumptions!$C$9</f>
        <v/>
      </c>
      <c r="F12" s="11">
        <f>Assumptions!$C$9</f>
        <v/>
      </c>
    </row>
    <row r="13">
      <c r="A13" s="6" t="inlineStr">
        <is>
          <t>Dividend yield at spot</t>
        </is>
      </c>
      <c r="B13" s="11">
        <f>'Income Statement'!E16*Assumptions!$C$9/Assumptions!$C$7/Assumptions!$C$5</f>
        <v/>
      </c>
      <c r="C13" s="11">
        <f>'Income Statement'!F16*Assumptions!$C$9/Assumptions!$C$7/Assumptions!$C$5</f>
        <v/>
      </c>
      <c r="D13" s="11">
        <f>'Income Statement'!G16*Assumptions!$C$9/Assumptions!$C$7/Assumptions!$C$5</f>
        <v/>
      </c>
      <c r="E13" s="11">
        <f>'Income Statement'!H16*Assumptions!$C$9/Assumptions!$C$7/Assumptions!$C$5</f>
        <v/>
      </c>
      <c r="F13" s="11">
        <f>'Income Statement'!I16*Assumptions!$C$9/Assumptions!$C$7/Assumptions!$C$5</f>
        <v/>
      </c>
    </row>
    <row r="15">
      <c r="A15" s="5" t="inlineStr">
        <is>
          <t>Operating KPIs (from the unit build)</t>
        </is>
      </c>
      <c r="B15" s="5" t="inlineStr">
        <is>
          <t>2026E</t>
        </is>
      </c>
      <c r="C15" s="5" t="inlineStr">
        <is>
          <t>2027E</t>
        </is>
      </c>
      <c r="D15" s="5" t="inlineStr">
        <is>
          <t>2028E</t>
        </is>
      </c>
      <c r="E15" s="5" t="inlineStr">
        <is>
          <t>2029E</t>
        </is>
      </c>
      <c r="F15" s="5" t="inlineStr">
        <is>
          <t>2030E</t>
        </is>
      </c>
    </row>
    <row r="16">
      <c r="A16" s="6" t="inlineStr">
        <is>
          <t>Oil volume (k MT)</t>
        </is>
      </c>
      <c r="B16" s="16">
        <f>Segments!B5</f>
        <v/>
      </c>
      <c r="C16" s="16">
        <f>Segments!C5</f>
        <v/>
      </c>
      <c r="D16" s="16">
        <f>Segments!D5</f>
        <v/>
      </c>
      <c r="E16" s="16">
        <f>Segments!E5</f>
        <v/>
      </c>
      <c r="F16" s="16">
        <f>Segments!F5</f>
        <v/>
      </c>
    </row>
    <row r="17">
      <c r="A17" s="6" t="inlineStr">
        <is>
          <t>Sugar volume (k MT)</t>
        </is>
      </c>
      <c r="B17" s="16">
        <f>Segments!B10</f>
        <v/>
      </c>
      <c r="C17" s="16">
        <f>Segments!C10</f>
        <v/>
      </c>
      <c r="D17" s="16">
        <f>Segments!D10</f>
        <v/>
      </c>
      <c r="E17" s="16">
        <f>Segments!E10</f>
        <v/>
      </c>
      <c r="F17" s="16">
        <f>Segments!F10</f>
        <v/>
      </c>
    </row>
    <row r="18">
      <c r="A18" s="6" t="inlineStr">
        <is>
          <t>Pasta volume (k MT)</t>
        </is>
      </c>
      <c r="B18" s="16">
        <f>Segments!B15</f>
        <v/>
      </c>
      <c r="C18" s="16">
        <f>Segments!C15</f>
        <v/>
      </c>
      <c r="D18" s="16">
        <f>Segments!D15</f>
        <v/>
      </c>
      <c r="E18" s="16">
        <f>Segments!E15</f>
        <v/>
      </c>
      <c r="F18" s="16">
        <f>Segments!F15</f>
        <v/>
      </c>
    </row>
    <row r="19">
      <c r="A19" s="6" t="inlineStr">
        <is>
          <t>Panda stores (year end)</t>
        </is>
      </c>
      <c r="B19" s="16">
        <f>Assumptions!$B$48</f>
        <v/>
      </c>
      <c r="C19" s="16">
        <f>Assumptions!$C$48</f>
        <v/>
      </c>
      <c r="D19" s="16">
        <f>Assumptions!$D$48</f>
        <v/>
      </c>
      <c r="E19" s="16">
        <f>Assumptions!$E$48</f>
        <v/>
      </c>
      <c r="F19" s="16">
        <f>Assumptions!$F$48</f>
        <v/>
      </c>
    </row>
    <row r="20">
      <c r="A20" s="6" t="inlineStr">
        <is>
          <t>Panda sales per average store (SAR mn)</t>
        </is>
      </c>
      <c r="B20" s="18">
        <f>Segments!B29</f>
        <v/>
      </c>
      <c r="C20" s="18">
        <f>Segments!C29</f>
        <v/>
      </c>
      <c r="D20" s="18">
        <f>Segments!D29</f>
        <v/>
      </c>
      <c r="E20" s="18">
        <f>Segments!E29</f>
        <v/>
      </c>
      <c r="F20" s="18">
        <f>Segments!F29</f>
        <v/>
      </c>
    </row>
    <row r="21">
      <c r="A21" s="6" t="inlineStr">
        <is>
          <t>Group EBITDA margin (output)</t>
        </is>
      </c>
      <c r="B21" s="9">
        <f>Segments!B44</f>
        <v/>
      </c>
      <c r="C21" s="9">
        <f>Segments!C44</f>
        <v/>
      </c>
      <c r="D21" s="9">
        <f>Segments!D44</f>
        <v/>
      </c>
      <c r="E21" s="9">
        <f>Segments!E44</f>
        <v/>
      </c>
      <c r="F21" s="9">
        <f>Segments!F44</f>
        <v/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Peer frame — market data, cross-check only</t>
        </is>
      </c>
      <c r="B1" s="2" t="n"/>
      <c r="C1" s="2" t="n"/>
      <c r="D1" s="2" t="n"/>
      <c r="E1" s="2" t="n"/>
      <c r="F1" s="2" t="n"/>
    </row>
    <row r="2">
      <c r="A2" s="4" t="inlineStr">
        <is>
          <t>Settled closes of 18-Aug-2026; the peer-mix multiple used by the lenses is computed on the Relative &amp; Normalized sheet from these cells</t>
        </is>
      </c>
    </row>
    <row r="4">
      <c r="A4" s="5" t="inlineStr">
        <is>
          <t>Company</t>
        </is>
      </c>
      <c r="B4" s="5" t="inlineStr">
        <is>
          <t>Exchange</t>
        </is>
      </c>
      <c r="C4" s="5" t="inlineStr">
        <is>
          <t>P/E (TTM)</t>
        </is>
      </c>
      <c r="D4" s="5" t="inlineStr">
        <is>
          <t>Note</t>
        </is>
      </c>
    </row>
    <row r="5">
      <c r="A5" s="6" t="inlineStr">
        <is>
          <t>Almarai</t>
        </is>
      </c>
      <c r="B5" s="6" t="inlineStr">
        <is>
          <t>Tadawul 2280</t>
        </is>
      </c>
      <c r="C5" s="45">
        <f>Assumptions!$C$139</f>
        <v/>
      </c>
      <c r="D5" s="22" t="inlineStr">
        <is>
          <t>GCC food &amp; beverage leader</t>
        </is>
      </c>
    </row>
    <row r="6">
      <c r="A6" s="6" t="inlineStr">
        <is>
          <t>Al Othaim Markets</t>
        </is>
      </c>
      <c r="B6" s="6" t="inlineStr">
        <is>
          <t>Tadawul 4001</t>
        </is>
      </c>
      <c r="C6" s="6" t="inlineStr">
        <is>
          <t>n/m</t>
        </is>
      </c>
      <c r="D6" s="22" t="inlineStr">
        <is>
          <t>n/m — H1-2026 attributable loss announced 11-Aug-2026 (TTM earnings ~79mn); excluded like Herfy</t>
        </is>
      </c>
    </row>
    <row r="7">
      <c r="A7" s="6" t="inlineStr">
        <is>
          <t>BinDawood Holding</t>
        </is>
      </c>
      <c r="B7" s="6" t="inlineStr">
        <is>
          <t>Tadawul 4161</t>
        </is>
      </c>
      <c r="C7" s="45">
        <f>Assumptions!$C$140</f>
        <v/>
      </c>
      <c r="D7" s="22" t="inlineStr">
        <is>
          <t>Saudi grocery retail</t>
        </is>
      </c>
    </row>
    <row r="8">
      <c r="A8" s="6" t="inlineStr">
        <is>
          <t>NADEC</t>
        </is>
      </c>
      <c r="B8" s="6" t="inlineStr">
        <is>
          <t>Tadawul 6010</t>
        </is>
      </c>
      <c r="C8" s="45">
        <f>Assumptions!$C$141</f>
        <v/>
      </c>
      <c r="D8" s="22" t="inlineStr">
        <is>
          <t>Saudi agri-food</t>
        </is>
      </c>
    </row>
    <row r="9">
      <c r="A9" s="6" t="inlineStr">
        <is>
          <t>Wilmar International</t>
        </is>
      </c>
      <c r="B9" s="6" t="inlineStr">
        <is>
          <t>SGX F34</t>
        </is>
      </c>
      <c r="C9" s="45">
        <f>Assumptions!$C$142</f>
        <v/>
      </c>
      <c r="D9" s="22" t="inlineStr">
        <is>
          <t>international agri-food analogue</t>
        </is>
      </c>
    </row>
    <row r="10">
      <c r="A10" s="6" t="inlineStr">
        <is>
          <t>Herfy Food Services</t>
        </is>
      </c>
      <c r="B10" s="6" t="inlineStr">
        <is>
          <t>Tadawul 6002</t>
        </is>
      </c>
      <c r="C10" s="6" t="inlineStr">
        <is>
          <t>n/m</t>
        </is>
      </c>
      <c r="D10" s="22" t="inlineStr">
        <is>
          <t>loss-making; consolidated at 49%</t>
        </is>
      </c>
    </row>
    <row r="12">
      <c r="A12" s="21" t="inlineStr">
        <is>
          <t>Savola at the model fair value (Framing A)</t>
        </is>
      </c>
    </row>
    <row r="13">
      <c r="A13" s="6" t="inlineStr">
        <is>
          <t>Implied P/E on FY2026E EPS</t>
        </is>
      </c>
      <c r="C13" s="38">
        <f>DCF!C64/'Income Statement'!E17</f>
        <v/>
      </c>
    </row>
    <row r="14">
      <c r="A14" s="6" t="inlineStr">
        <is>
          <t>Implied EV / FY2026E EBITDA (lease-inclusive)</t>
        </is>
      </c>
      <c r="C14" s="38">
        <f>(DCF!C35)/Segments!B43</f>
        <v/>
      </c>
    </row>
    <row r="15">
      <c r="A15" s="6" t="inlineStr">
        <is>
          <t>P/E at spot on FY2026E EPS</t>
        </is>
      </c>
      <c r="C15" s="38">
        <f>Assumptions!$C$5/'Income Statement'!E17</f>
        <v/>
      </c>
    </row>
    <row r="16">
      <c r="A16" s="4" t="inlineStr">
        <is>
          <t>Herfy market value feeds the bridge directly: the 51% outside shareholding is deducted at Herfy's own market price rather than book.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2026-09-04T23:42:45Z</dcterms:created>
  <dcterms:modified xmlns:dcterms="http://purl.org/dc/terms/" xmlns:xsi="http://www.w3.org/2001/XMLSchema-instance" xsi:type="dcterms:W3CDTF">2026-09-04T23:42:45Z</dcterms:modified>
</cp:coreProperties>
</file>