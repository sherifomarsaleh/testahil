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FIRST" sheetId="1" state="visible" r:id="rId3"/>
    <sheet name="Summary" sheetId="2" state="visible" r:id="rId4"/>
    <sheet name="Fundamental Valuation" sheetId="3" state="visible" r:id="rId5"/>
    <sheet name="Assumptions" sheetId="4" state="visible" r:id="rId6"/>
    <sheet name="SOTP Bridge" sheetId="5" state="visible" r:id="rId7"/>
    <sheet name="Segments" sheetId="6" state="visible" r:id="rId8"/>
    <sheet name="Relative &amp; Normalized" sheetId="7" state="visible" r:id="rId9"/>
    <sheet name="DCF" sheetId="8" state="visible" r:id="rId10"/>
    <sheet name="Income Statement" sheetId="9" state="visible" r:id="rId11"/>
    <sheet name="Balance Sheet" sheetId="10" state="visible" r:id="rId12"/>
    <sheet name="Cash Flow" sheetId="11" state="visible" r:id="rId13"/>
    <sheet name="Summary Financials" sheetId="12" state="visible" r:id="rId14"/>
    <sheet name="Monte Carlo" sheetId="13" state="visible" r:id="rId15"/>
    <sheet name="Sensitivity" sheetId="14" state="visible" r:id="rId16"/>
    <sheet name="Per-Share &amp; Ratios" sheetId="15" state="visible" r:id="rId17"/>
    <sheet name="Peer &amp; Sector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<sst xmlns="http://schemas.openxmlformats.org/spreadsheetml/2006/main" count="663" uniqueCount="496">
  <si>
    <t xml:space="preserve">Testahil — Emirates Central Cooling Systems Corporation PJSC (DFM: EMPOWER)</t>
  </si>
  <si>
    <t xml:space="preserve">Companion model · Independent Valuation Study · Educational analysis · Not investment advice</t>
  </si>
  <si>
    <t xml:space="preserve">What this workbook is. A transparent companion to the Empower valuation study. Every blue cell is an</t>
  </si>
  <si>
    <t xml:space="preserve">input; every black cell is a formula; green cells link across sheets.</t>
  </si>
  <si>
    <t xml:space="preserve">IT IS FORMULA-DRIVEN. Every figure that can be derived arithmetically from a driver is a live formula,</t>
  </si>
  <si>
    <t xml:space="preserve">so you can change a blue cell on Assumptions and watch the model reprice: the cost of capital is built</t>
  </si>
  <si>
    <t xml:space="preserve">from the risk-free rate, beta and the premium rather than pasted; the revenue engine multiplies</t>
  </si>
  <si>
    <t xml:space="preserve">per-refrigeration-ton rates by the connected-capacity path; and the income statement, balance sheet,</t>
  </si>
  <si>
    <t xml:space="preserve">cash flow, ratios and all four lenses chain off the same cells.</t>
  </si>
  <si>
    <t xml:space="preserve">EXACTLY THREE THINGS ARE PASTED VALUES, and it is worth knowing which:</t>
  </si>
  <si>
    <t xml:space="preserve">  1. AUDITED AND DISCLOSED HISTORY — the FY2023-25 statement lines, the 30-Jun-2026 reviewed balance</t>
  </si>
  <si>
    <t xml:space="preserve">     sheet, disclosed connected capacity, and the consumption revenue disclosed in the auditor's</t>
  </si>
  <si>
    <t xml:space="preserve">     key-audit-matter section. Where a line is both disclosed and derivable, the workbook carries the</t>
  </si>
  <si>
    <t xml:space="preserve">     DISCLOSED figure: the primary record is not a calculation.</t>
  </si>
  <si>
    <t xml:space="preserve">  2. THE UNIT BUILD'S BASE ANCHORS — the per-RT revenue rates, the electricity-and-water pass-through</t>
  </si>
  <si>
    <t xml:space="preserve">     ratio, the cash cost bases, the depreciation rate, capex per added RT and the working-capital</t>
  </si>
  <si>
    <t xml:space="preserve">     ratio. Each anchor is pasted once on the Assumptions sheet with its source, and everything</t>
  </si>
  <si>
    <t xml:space="preserve">     downstream of it is a formula.</t>
  </si>
  <si>
    <t xml:space="preserve">  3. WHOLE-MODEL RE-RUN GRIDS — the probabilistic price map, the discount-rate x growth grid, the</t>
  </si>
  <si>
    <t xml:space="preserve">     consumption-recovery grid, the consumption-persists framing and the bear/bull cases. Each such</t>
  </si>
  <si>
    <t xml:space="preserve">     cell is a complete revaluation of the entire model, so it cannot be a single formula. THESE GRIDS</t>
  </si>
  <si>
    <t xml:space="preserve">     DO NOT REDRAW WHEN A DRIVER IS CHANGED — the live one-way row on the Sensitivity sheet does.</t>
  </si>
  <si>
    <t xml:space="preserve">How revenue is built. Not as one growth rate. Consumption revenue is a per-RT rate times average</t>
  </si>
  <si>
    <t xml:space="preserve">connected refrigeration tons, with the FY2026 warm-winter shock and its recovery as explicit, separate</t>
  </si>
  <si>
    <t xml:space="preserve">drivers; capacity and connection revenue is its own per-RT rate on the same capacity path; pipes are</t>
  </si>
  <si>
    <t xml:space="preserve">carried flat. Costs escalate each on their own driver: DEWA electricity and water follows the</t>
  </si>
  <si>
    <t xml:space="preserve">consumption leg, wage-class lines follow the wage escalator, the concession interest amortises.</t>
  </si>
  <si>
    <t xml:space="preserve">The two contested judgements are shown BOTH WAYS, never averaged: the 9% corporate-tax and 15%</t>
  </si>
  <si>
    <t xml:space="preserve">top-up-tax framings run as parallel columns through the cost of capital, the DCF and the bridge; and</t>
  </si>
  <si>
    <t xml:space="preserve">the consumption-recovers and consumption-persists cases are both on the Fundamental Valuation sheet.</t>
  </si>
  <si>
    <t xml:space="preserve">What it is not. Not investment advice, a recommendation, or a price target. Values are model outputs</t>
  </si>
  <si>
    <t xml:space="preserve">shown as ranges. The probabilistic price map is dispersion, not a forecast of value.</t>
  </si>
  <si>
    <t xml:space="preserve">Sourcing. FY2023, FY2024 and FY2025 statement lines come from the company's own audited consolidated</t>
  </si>
  <si>
    <t xml:space="preserve">financial statements; the 30-Jun-2026 position from the reviewed interim statements; capacity and</t>
  </si>
  <si>
    <t xml:space="preserve">guidance from the company's H1-2026 earnings materials. Every input on the Assumptions sheet carries</t>
  </si>
  <si>
    <t xml:space="preserve">its source and date in column H.</t>
  </si>
  <si>
    <t xml:space="preserve">Currency. AED million unless stated. Spot AED 1.50 (07-Aug-2026 close). Sheets: READ FIRST ·</t>
  </si>
  <si>
    <t xml:space="preserve">Summary · Fundamental Valuation · Assumptions · SOTP Bridge · Segments · Relative &amp; Normalized · DCF ·</t>
  </si>
  <si>
    <t xml:space="preserve">Income Statement · Balance Sheet · Cash Flow · Summary Financials · Monte Carlo · Sensitivity ·</t>
  </si>
  <si>
    <t xml:space="preserve">Per-Share &amp; Ratios · Peer &amp; Sector.</t>
  </si>
  <si>
    <t xml:space="preserve">Summary — valuation at a glance</t>
  </si>
  <si>
    <t xml:space="preserve">All values link live to their source sheets; the weights are visible inputs. Two tax framings are shown side by side, never averaged.</t>
  </si>
  <si>
    <t xml:space="preserve">Lens</t>
  </si>
  <si>
    <t xml:space="preserve">AED/share</t>
  </si>
  <si>
    <t xml:space="preserve">Weight</t>
  </si>
  <si>
    <t xml:space="preserve">Contribution</t>
  </si>
  <si>
    <t xml:space="preserve">vs spot</t>
  </si>
  <si>
    <t xml:space="preserve">Terminal value share of EV</t>
  </si>
  <si>
    <t xml:space="preserve">Discounted cash flow (9% framing)</t>
  </si>
  <si>
    <t xml:space="preserve">Relative multiples (peer EV/EBITDA)</t>
  </si>
  <si>
    <t xml:space="preserve">Normalised earnings power</t>
  </si>
  <si>
    <t xml:space="preserve">Book value and sustainable return</t>
  </si>
  <si>
    <t xml:space="preserve">Central fair value (9% framing) — weighted blend</t>
  </si>
  <si>
    <t xml:space="preserve">Central fair value (15% framing) — same weights, top-up tax throughout</t>
  </si>
  <si>
    <t xml:space="preserve">Bear case — full model re-run (does not redraw with drivers)</t>
  </si>
  <si>
    <t xml:space="preserve">Bull case — full model re-run (does not redraw with drivers)</t>
  </si>
  <si>
    <t xml:space="preserve">Dividend cross-check</t>
  </si>
  <si>
    <t xml:space="preserve">Discounted cash flow on the CDS premium basis</t>
  </si>
  <si>
    <t xml:space="preserve">Market price (anchor, 07-Aug-2026)</t>
  </si>
  <si>
    <t xml:space="preserve">DEWA control-transaction price, Feb-2026 (reference point, not fair value)</t>
  </si>
  <si>
    <t xml:space="preserve">The Feb-2026 DEWA purchase of Dubai Holding's 24% at AED 2.16 was a related-party CONTROL transaction — a disclosed reference point above every lens here, never a fair-value estimate for minority shares.</t>
  </si>
  <si>
    <t xml:space="preserve">Key figure</t>
  </si>
  <si>
    <t xml:space="preserve">Value</t>
  </si>
  <si>
    <t xml:space="preserve">Shares outstanding (mn)</t>
  </si>
  <si>
    <t xml:space="preserve">Market capitalisation (AED mn)</t>
  </si>
  <si>
    <t xml:space="preserve">Net debt, 30-Jun-2026 (AED mn)</t>
  </si>
  <si>
    <t xml:space="preserve">FY2025 revenue (AED mn)</t>
  </si>
  <si>
    <t xml:space="preserve">FY2025 EBITDA (AED mn)</t>
  </si>
  <si>
    <t xml:space="preserve">FY2025 attributable profit (AED mn)</t>
  </si>
  <si>
    <t xml:space="preserve">Cost of equity (rating basis)</t>
  </si>
  <si>
    <t xml:space="preserve">Cost of capital (9% framing, rating basis)</t>
  </si>
  <si>
    <t xml:space="preserve">Cost of capital (15% framing, rating basis)</t>
  </si>
  <si>
    <t xml:space="preserve">Terminal growth</t>
  </si>
  <si>
    <t xml:space="preserve">Fundamental valuation — four lenses, two framings, one field</t>
  </si>
  <si>
    <t xml:space="preserve">Basis</t>
  </si>
  <si>
    <t xml:space="preserve">AED per share</t>
  </si>
  <si>
    <t xml:space="preserve">Discounted cash flow</t>
  </si>
  <si>
    <t xml:space="preserve">five-year free-cash-flow build, reinvestment-consistent terminal value</t>
  </si>
  <si>
    <t xml:space="preserve">Relative multiples</t>
  </si>
  <si>
    <t xml:space="preserve">peer EV/EBITDA on FY2026E EBITDA</t>
  </si>
  <si>
    <t xml:space="preserve">unshocked year one x justified price/earnings</t>
  </si>
  <si>
    <t xml:space="preserve">justified price/book on sustainable return</t>
  </si>
  <si>
    <t xml:space="preserve">Weighted central (9% framing)</t>
  </si>
  <si>
    <t xml:space="preserve">THE TWO CONTESTED JUDGEMENTS — PUBLISHED BOTH WAYS, NEVER AVERAGED</t>
  </si>
  <si>
    <t xml:space="preserve">Discounted cash flow per share</t>
  </si>
  <si>
    <t xml:space="preserve">9% corporate tax</t>
  </si>
  <si>
    <t xml:space="preserve">15% top-up tax</t>
  </si>
  <si>
    <t xml:space="preserve">Consumption per-RT RECOVERS to the FY2025 level (base)</t>
  </si>
  <si>
    <t xml:space="preserve">Consumption per-RT never recovers (full model re-run; does not redraw)</t>
  </si>
  <si>
    <t xml:space="preserve">Scenario field (full model re-runs; do not redraw with drivers)</t>
  </si>
  <si>
    <t xml:space="preserve">Bear — demand re-escalation, halved connections, 15% tax, repriced risk</t>
  </si>
  <si>
    <t xml:space="preserve">Central (9% framing)</t>
  </si>
  <si>
    <t xml:space="preserve">Bull — clean recovery, top-of-guidance connections, 9% tax</t>
  </si>
  <si>
    <t xml:space="preserve">Market price</t>
  </si>
  <si>
    <t xml:space="preserve">DEWA control-transaction price (reference only)</t>
  </si>
  <si>
    <t xml:space="preserve">Assumptions — every input in the model</t>
  </si>
  <si>
    <t xml:space="preserve">Blue cells are inputs; change one and the model reprices. Column H gives the source and date of each input.</t>
  </si>
  <si>
    <t xml:space="preserve">Input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</si>
  <si>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</si>
  <si>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</si>
  <si>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</si>
  <si>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</si>
  <si>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</si>
  <si>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Source</t>
  </si>
  <si>
    <t xml:space="preserve">Anchors</t>
  </si>
  <si>
    <t xml:space="preserve">Spot price (AED)</t>
  </si>
  <si>
    <t xml:space="preserve">Uploaded DFM daily price history, last close (2026-08-07)</t>
  </si>
  <si>
    <t xml:space="preserve">Share capital note 16: AED 1,000,000k at AED 0.10 par = 10,000,000,000 shares, unchanged since the Nov-2022 IPO (EPS note 35 cross-check: 896,754k / 0.090 = 9,964mn wtd) (2026-02-09)</t>
  </si>
  <si>
    <t xml:space="preserve">Corporate tax rate (headline framing)</t>
  </si>
  <si>
    <t xml:space="preserve">UAE federal corporate tax 9% (FY2025 audited effective rate exactly 9.0%: 99,226k tax on 1,103,161k PBT; note 28) (2026-02-09)</t>
  </si>
  <si>
    <t xml:space="preserve">Top-up tax rate (alternative framing)</t>
  </si>
  <si>
    <t xml:space="preserve">OECD Pillar-Two UAE domestic minimum top-up tax 15% for groups &gt;= EUR 750m revenue — whether DEWA-level (80%) consolidation sweeps Empower in is CONTESTED; computed as the full alternative framing (2026-08-09)</t>
  </si>
  <si>
    <t xml:space="preserve">Profit for the year, FY2025 (AED mn)</t>
  </si>
  <si>
    <t xml:space="preserve">Profit after tax, FY2025 audited FS (2026-02-09)</t>
  </si>
  <si>
    <t xml:space="preserve">Profit attributable to non-controlling interests, FY2025 (AED mn)</t>
  </si>
  <si>
    <t xml:space="preserve">Profit attributable to NCI, FY2025 audited FS (2026-02-09)</t>
  </si>
  <si>
    <t xml:space="preserve">Profit attributable to shareholders, FY2025 (AED mn)</t>
  </si>
  <si>
    <t xml:space="preserve">Profit attributable to equity holders, FY2025 (2026-02-09)</t>
  </si>
  <si>
    <t xml:space="preserve">Unit build — the two-leg revenue build (pasted anchors; everything downstream is formula)</t>
  </si>
  <si>
    <t xml:space="preserve">Connected capacity, end-FY2024 (k RT)</t>
  </si>
  <si>
    <t xml:space="preserve">Connected capacity history, k RT, H1-2026 earnings deck p13 (2023 not charted; interpolation never used — growth is computed 2024-&gt;2025) (2026-08-05)</t>
  </si>
  <si>
    <t xml:space="preserve">Connected capacity, end-FY2025 (k RT)</t>
  </si>
  <si>
    <t xml:space="preserve">New connections by year (k RT)</t>
  </si>
  <si>
    <t xml:space="preserve">FY2026 = guidance midpoint (100-110k, H1-2026 earnings deck p13); then the contracted backlog (2,018k at Jun-26) tapering 100/90/80/70k as the pipeline matures</t>
  </si>
  <si>
    <t xml:space="preserve">Consumption revenue per average connected RT, FY2025 (AED k)</t>
  </si>
  <si>
    <t xml:space="preserve">Consumption revenue (auditor key-audit-matter figure, FY2025 audited FS) / average connected RT ((1,566+1,656)/2)</t>
  </si>
  <si>
    <t xml:space="preserve">FY2026 consumption shock (per-RT, full year)</t>
  </si>
  <si>
    <t xml:space="preserve">H1-2026 equivalent full-load hours -9.0% y/y (deck p4); full-year effect smaller as H2-2025 was itself soft</t>
  </si>
  <si>
    <t xml:space="preserve">Consumption per-RT recovery level from FY2027 (share of FY2025)</t>
  </si>
  <si>
    <t xml:space="preserve">Base case: full recovery to the FY2025 level; the recovery grid on the Sensitivity sheet re-runs the whole model at other levels</t>
  </si>
  <si>
    <t xml:space="preserve">Capacity and connection revenue per average connected RT, FY2025 (AED k)</t>
  </si>
  <si>
    <t xml:space="preserve">Implied: (revenue - consumption - pipes) / average connected RT; no per-RT tariff schedule is published — flagged</t>
  </si>
  <si>
    <t xml:space="preserve">Pre-insulated pipes revenue (AED mn, held flat)</t>
  </si>
  <si>
    <t xml:space="preserve">Sale of pre-insulated pipes (Logstor), revenue note 23, FY2025 audited FS (2026-02-09)</t>
  </si>
  <si>
    <t xml:space="preserve">Electricity and water cost as a share of consumption revenue</t>
  </si>
  <si>
    <t xml:space="preserve">DEWA purchases (related-party note 12) / consumption revenue, FY2025; FY2024 prints 72.5% on the same basis</t>
  </si>
  <si>
    <t xml:space="preserve">Other cash cost of sales, FY2025 (AED mn)</t>
  </si>
  <si>
    <t xml:space="preserve">Cost of sales less DEWA purchases less the depreciation and amortisation inside cost of sales (FY2025 audited FS notes)</t>
  </si>
  <si>
    <t xml:space="preserve">General and administrative cash cost, FY2025 (AED mn)</t>
  </si>
  <si>
    <t xml:space="preserve">G&amp;A expenses less the depreciation inside G&amp;A (FY2025 audited FS)</t>
  </si>
  <si>
    <t xml:space="preserve">Other income (AED mn, held flat)</t>
  </si>
  <si>
    <t xml:space="preserve">Other income, FY2025 audited FS (2026-02-09)</t>
  </si>
  <si>
    <t xml:space="preserve">Reversal of credit-loss allowance, FY2025 (AED mn; not forecast)</t>
  </si>
  <si>
    <t xml:space="preserve">Reversal of expected credit losses, FY2025 audited FS (2026-02-09)</t>
  </si>
  <si>
    <t xml:space="preserve">Concession interest income, FY2025 (AED mn)</t>
  </si>
  <si>
    <t xml:space="preserve">Interest income on financial assets at amortised cost, FY2025 audited FS (2026-02-09)</t>
  </si>
  <si>
    <t xml:space="preserve">Concession interest annual decay</t>
  </si>
  <si>
    <t xml:space="preserve">Amortising concession receivable — interest income runs off as the asset amortises</t>
  </si>
  <si>
    <t xml:space="preserve">Wage and services cost escalator</t>
  </si>
  <si>
    <t xml:space="preserve">UAE CPI / wage class; applied to cash cost of sales and cash G&amp;A only</t>
  </si>
  <si>
    <t xml:space="preserve">Capital intensity and working capital</t>
  </si>
  <si>
    <t xml:space="preserve">Capital expenditure per added RT (AED mn per k RT)</t>
  </si>
  <si>
    <t xml:space="preserve">FY2025 capital expenditure / FY2025 net connections added (90k RT)</t>
  </si>
  <si>
    <t xml:space="preserve">Maintenance capital expenditure (share of opening plant)</t>
  </si>
  <si>
    <t xml:space="preserve">House assumption for a young plant fleet; flagged as an estimate</t>
  </si>
  <si>
    <t xml:space="preserve">Net property, plant and equipment, end-FY2025 (AED mn)</t>
  </si>
  <si>
    <t xml:space="preserve">FY2025 audited balance sheet</t>
  </si>
  <si>
    <t xml:space="preserve">Depreciation rate on opening plant</t>
  </si>
  <si>
    <t xml:space="preserve">FY2025 plant depreciation / opening net plant (FY2025 audited cash-flow note)</t>
  </si>
  <si>
    <t xml:space="preserve">Amortisation and right-of-use depreciation (AED mn, flat)</t>
  </si>
  <si>
    <t xml:space="preserve">FY2025 intangibles amortisation + right-of-use depreciation</t>
  </si>
  <si>
    <t xml:space="preserve">Net working capital, end-FY2025 (AED mn)</t>
  </si>
  <si>
    <t xml:space="preserve">Inventories + receivables + due from related parties - payables (ex capex accruals) - due to related parties, FY2025 audited balance sheet</t>
  </si>
  <si>
    <t xml:space="preserve">Net working capital as a share of revenue</t>
  </si>
  <si>
    <t xml:space="preserve">End-FY2025 net working capital / FY2025 revenue (negative: customer deposits and payables fund the cycle)</t>
  </si>
  <si>
    <t xml:space="preserve">Terminal invested-capital addition — concession financial asset (AED mn)</t>
  </si>
  <si>
    <t xml:space="preserve">Airport concession receivable at amortised cost, carried in terminal invested capital at approximate book value</t>
  </si>
  <si>
    <t xml:space="preserve">Cost of capital</t>
  </si>
  <si>
    <t xml:space="preserve">Risk-free rate (AED sovereign)</t>
  </si>
  <si>
    <t xml:space="preserve">UAE dirham T-Bond, Jan-2031 tranche, auction YTM 30-Jul-2026 — the longest AED sovereign print (4.4y tenor; the 5y+ tenor gap vs the cash-flow horizon is flagged, spread over UST was ~4bp at issue) (2026-07-30)</t>
  </si>
  <si>
    <t xml:space="preserve">Sovereign default spread — rating basis</t>
  </si>
  <si>
    <t xml:space="preserve">UAE adjusted default spread, rating basis (Aa2), Damodaran ctryprem July-2026 edition (data 30-Jun-2026) (2026-07-01)</t>
  </si>
  <si>
    <t xml:space="preserve">Sovereign default spread — CDS basis</t>
  </si>
  <si>
    <t xml:space="preserve">Abu Dhabi 10y sovereign CDS adj. for Switzerland, 30-Jun-2026, Damodaran July-2026 (the UAE federal CDS row is n/a; Abu Dhabi is the quoted UAE sovereign CDS — proxy flagged) (2026-07-01)</t>
  </si>
  <si>
    <t xml:space="preserve">Equity risk premium — rating basis</t>
  </si>
  <si>
    <t xml:space="preserve">UAE total equity risk premium, rating basis, Damodaran July-2026 (2026-07-01)</t>
  </si>
  <si>
    <t xml:space="preserve">Equity risk premium — CDS basis</t>
  </si>
  <si>
    <t xml:space="preserve">UAE total ERP, sovereign-CDS basis (via Abu Dhabi CDS), Damodaran July-2026 (2026-07-01)</t>
  </si>
  <si>
    <t xml:space="preserve">Beta (own-stock weekly regression vs the Dubai index)</t>
  </si>
  <si>
    <t xml:space="preserve">Own-stock weekly regression vs DFM General Index, full listing window 25-Nov-2022..17-Jul-2026 (3.64y, inside the 2-5y band): beta 0.652, R2 0.157, n 190, SE 0.110, CI90 [0.47, 0.83] — passes the usability gate (beta_result.json) (2026-08-09)</t>
  </si>
  <si>
    <t xml:space="preserve">Marginal cost of debt</t>
  </si>
  <si>
    <t xml:space="preserve">Marginal cost of debt = the company's OWN FY2025 borrowing-cost capitalisation rate (note 30), struck on the 2025 full refinance of both AED 2.75bn RCFs at EIBOR + a REDUCED margin; sits above the 4.48% AED sovereign as a same-currency corporate must (2024 comparison: 5.993%; spot 3M EIBOR 3.66% + implied margin ~0.9-1.3%) (2026-02-09)</t>
  </si>
  <si>
    <t xml:space="preserve">Terminal growth: long-run UAE nominal-GDP-consistent 2.5% under a flat regulated tariff — bounded by Dubai build-out saturation (connected 1.7m of ~2.0m RT contracted; sensitised 1.5-3.5%) (2026-08-09)</t>
  </si>
  <si>
    <t xml:space="preserve">Bridge — 30-Jun-2026 reviewed balance sheet</t>
  </si>
  <si>
    <t xml:space="preserve">Bank borrowings (AED mn)</t>
  </si>
  <si>
    <t xml:space="preserve">Bank borrowings 30-Jun-2026: current 2.845 + non-current 5,500.000, reviewed interim BS (2026-08-05)</t>
  </si>
  <si>
    <t xml:space="preserve">Lease liabilities (AED mn)</t>
  </si>
  <si>
    <t xml:space="preserve">Lease liabilities 30-Jun-2026 (2026-08-05)</t>
  </si>
  <si>
    <t xml:space="preserve">Cash and cash equivalents (AED mn)</t>
  </si>
  <si>
    <t xml:space="preserve">Cash and cash equivalents 30-Jun-2026 (2026-08-05)</t>
  </si>
  <si>
    <t xml:space="preserve">Term deposits (AED mn)</t>
  </si>
  <si>
    <t xml:space="preserve">Term deposits (&gt;3m) 30-Jun-2026 (2026-08-05)</t>
  </si>
  <si>
    <t xml:space="preserve">Investment properties (AED mn)</t>
  </si>
  <si>
    <t xml:space="preserve">Investment properties 30-Jun-2026 (non-operating side pocket, added in the bridge at book) (2026-08-05)</t>
  </si>
  <si>
    <t xml:space="preserve">Financial assets at fair value through profit or loss (AED mn)</t>
  </si>
  <si>
    <t xml:space="preserve">Financial assets at FVTPL 30-Jun-2026 (cash-like, added in the bridge) (2026-08-05)</t>
  </si>
  <si>
    <t xml:space="preserve">Financial assets at fair value through OCI (AED mn)</t>
  </si>
  <si>
    <t xml:space="preserve">Financial assets at FVOCI 30-Jun-2026 (added at book) (2026-08-05)</t>
  </si>
  <si>
    <t xml:space="preserve">Equity attributable to shareholders, 30-Jun-2026 (AED mn)</t>
  </si>
  <si>
    <t xml:space="preserve">Equity attributable to holders, 30-Jun-2026 reviewed BS (2026-08-05)</t>
  </si>
  <si>
    <t xml:space="preserve">Equity attributable to shareholders, end-FY2025 (AED mn)</t>
  </si>
  <si>
    <t xml:space="preserve">Equity attributable to holders, 31-Dec-2025 audited BS (2026-02-09)</t>
  </si>
  <si>
    <t xml:space="preserve">Equity attributable to shareholders, end-FY2024 (AED mn)</t>
  </si>
  <si>
    <t xml:space="preserve">FY2024 audited balance sheet (FY2025 filing comparative)</t>
  </si>
  <si>
    <t xml:space="preserve">Yield earned on cash balances</t>
  </si>
  <si>
    <t xml:space="preserve">Deposit-rate assumption used in the forecast finance line; flagged as an estimate</t>
  </si>
  <si>
    <t xml:space="preserve">Committed annual dividend (AED mn)</t>
  </si>
  <si>
    <t xml:space="preserve">Dividend AED 875m/yr committed for 2025 AND 2026 (2 x 437.5m, Oct/Apr), deck p12; FY2025 FS note 39: 875.0 paid in 2025 (2026-08-05)</t>
  </si>
  <si>
    <t xml:space="preserve">Valuation lenses</t>
  </si>
  <si>
    <t xml:space="preserve">Peer EV/EBITDA — Tabreed</t>
  </si>
  <si>
    <t xml:space="preserve">Tabreed (DFM) FY2025 results and market prices, Aug-2026 — cross-check input only</t>
  </si>
  <si>
    <t xml:space="preserve">Peer price/earnings — Tabreed</t>
  </si>
  <si>
    <t xml:space="preserve">Tabreed (DFM), Aug-2026 — cross-check input only</t>
  </si>
  <si>
    <t xml:space="preserve">Peer price/earnings — DEWA (parent)</t>
  </si>
  <si>
    <t xml:space="preserve">DEWA (DFM), Aug-2026 — context only, majority owner</t>
  </si>
  <si>
    <t xml:space="preserve">Weight — discounted cash flow</t>
  </si>
  <si>
    <t xml:space="preserve">Weight — relative multiples</t>
  </si>
  <si>
    <t xml:space="preserve">Weight — normalised earnings</t>
  </si>
  <si>
    <t xml:space="preserve">Weight — book value</t>
  </si>
  <si>
    <t xml:space="preserve">Normalised-lens haircut under the 15% framing</t>
  </si>
  <si>
    <t xml:space="preserve">Average burden of the top-up tax on normalised earnings</t>
  </si>
  <si>
    <t xml:space="preserve">DEWA control-transaction price, Feb-2026 (AED)</t>
  </si>
  <si>
    <t xml:space="preserve">Related-party CONTROL price for Dubai Holding's 24% stake — a disclosed reference point, never fair value</t>
  </si>
  <si>
    <t xml:space="preserve">Enterprise value to equity — the bridge</t>
  </si>
  <si>
    <t xml:space="preserve">Three parallel constructions: the 9% corporate-tax framing, the 15% top-up-tax framing, and the CDS premium basis. The two tax framings are published side by side, never averaged.</t>
  </si>
  <si>
    <t xml:space="preserve">Step</t>
  </si>
  <si>
    <t xml:space="preserve">9% framing</t>
  </si>
  <si>
    <t xml:space="preserve">15% framing</t>
  </si>
  <si>
    <t xml:space="preserve">CDS basis</t>
  </si>
  <si>
    <t xml:space="preserve">Enterprise value</t>
  </si>
  <si>
    <t xml:space="preserve">Less net debt (30-Jun-2026)</t>
  </si>
  <si>
    <t xml:space="preserve">Plus investment properties at book</t>
  </si>
  <si>
    <t xml:space="preserve">Plus financial assets at fair value through profit or loss</t>
  </si>
  <si>
    <t xml:space="preserve">Plus financial assets at fair value through OCI</t>
  </si>
  <si>
    <t xml:space="preserve">Equity value</t>
  </si>
  <si>
    <t xml:space="preserve">Less non-controlling interests (at their share of profit)</t>
  </si>
  <si>
    <t xml:space="preserve">Equity attributable to shareholders</t>
  </si>
  <si>
    <t xml:space="preserve">Fair value per share (AED)</t>
  </si>
  <si>
    <t xml:space="preserve">Non-controlling share of group profit</t>
  </si>
  <si>
    <t xml:space="preserve">Terminal value as a share of enterprise value</t>
  </si>
  <si>
    <t xml:space="preserve">The bridge is struck on the 30-Jun-2026 reviewed balance sheet — the latest statement of financial position. Investment properties and the two fair-value portfolios are non-operating and enter at book; the concession financial asset stays inside invested capital and is NOT added again here.</t>
  </si>
  <si>
    <t xml:space="preserve">Segments — the two-leg unit build</t>
  </si>
  <si>
    <t xml:space="preserve">Consumption (per-RT rate x average connected RT) + capacity/connection (per-RT rate x average connected RT) + pipes. Disclosed anchors are pasted; everything downstream is a formula.</t>
  </si>
  <si>
    <t xml:space="preserve">k RT / AED mn</t>
  </si>
  <si>
    <t xml:space="preserve">FY2025</t>
  </si>
  <si>
    <t xml:space="preserve">New connections added (k RT)</t>
  </si>
  <si>
    <t xml:space="preserve">-</t>
  </si>
  <si>
    <t xml:space="preserve">Connected capacity, year-end (k RT)</t>
  </si>
  <si>
    <t xml:space="preserve">Average connected capacity (k RT)</t>
  </si>
  <si>
    <t xml:space="preserve">Consumption revenue per average RT (AED k)</t>
  </si>
  <si>
    <t xml:space="preserve">Consumption leg</t>
  </si>
  <si>
    <t xml:space="preserve">Capacity, connection and other services leg</t>
  </si>
  <si>
    <t xml:space="preserve">Pre-insulated pipes</t>
  </si>
  <si>
    <t xml:space="preserve">Total revenue</t>
  </si>
  <si>
    <t xml:space="preserve">Cost stack — one escalator per driver class</t>
  </si>
  <si>
    <t xml:space="preserve">Electricity and water purchased from DEWA</t>
  </si>
  <si>
    <t xml:space="preserve">Other cash cost of sales (wage class)</t>
  </si>
  <si>
    <t xml:space="preserve">General and administrative cash cost (wage class)</t>
  </si>
  <si>
    <t xml:space="preserve">Concession interest income</t>
  </si>
  <si>
    <t xml:space="preserve">Other income</t>
  </si>
  <si>
    <t xml:space="preserve">Reversal of credit-loss allowance (not forecast)</t>
  </si>
  <si>
    <t xml:space="preserve">EBITDA</t>
  </si>
  <si>
    <t xml:space="preserve">EBITDA margin</t>
  </si>
  <si>
    <t xml:space="preserve">The FY2025 column rebuilds the audited year from the same identity: it lands within note-level rounding of the audited operating profit plus depreciation (1,642.2). The capacity-leg per-RT rate is implied — no per-RT tariff schedule is published — and is flagged as such on the Assumptions sheet.</t>
  </si>
  <si>
    <t xml:space="preserve">Cost classes escalate on their own drivers: DEWA purchases follow the consumption leg (pass-through ratio held at the FY2025 print), wage-class lines escalate at the wage rate, and the concession interest amortises. No blended index is applied across physically distinct cost lines.</t>
  </si>
  <si>
    <t xml:space="preserve">Cross-check: H1-2026 revenue of 1,519.4 scaled by the FY2025 seasonal split implies roughly 3,575 for FY2026; the model carries 3,503, within 4% (H2 carries the summer consumption peak).</t>
  </si>
  <si>
    <t xml:space="preserve">Relative multiples, normalised earnings power, book value and dividends</t>
  </si>
  <si>
    <t xml:space="preserve">Relative lens — peer EV/EBITDA applied to the model year one</t>
  </si>
  <si>
    <t xml:space="preserve">FY2026E group EBITDA (AED mn)</t>
  </si>
  <si>
    <t xml:space="preserve">Peer EV/EBITDA (Tabreed)</t>
  </si>
  <si>
    <t xml:space="preserve">Implied enterprise value (AED mn)</t>
  </si>
  <si>
    <t xml:space="preserve">Less net debt</t>
  </si>
  <si>
    <t xml:space="preserve">Plus investment properties and fair-value assets</t>
  </si>
  <si>
    <t xml:space="preserve">Equity value (AED mn)</t>
  </si>
  <si>
    <t xml:space="preserve">Implied value per share (AED)</t>
  </si>
  <si>
    <t xml:space="preserve">Peer price/earnings (Tabreed) on FY2026E attributable profit</t>
  </si>
  <si>
    <t xml:space="preserve">Own trailing multiples</t>
  </si>
  <si>
    <t xml:space="preserve">Trailing enterprise value / EBITDA</t>
  </si>
  <si>
    <t xml:space="preserve">Trailing price / earnings</t>
  </si>
  <si>
    <t xml:space="preserve">Trailing price / book (30-Jun-2026)</t>
  </si>
  <si>
    <t xml:space="preserve">Net debt / FY2025 EBITDA</t>
  </si>
  <si>
    <t xml:space="preserve">Normalised earnings power — FY2026E without the consumption shock</t>
  </si>
  <si>
    <t xml:space="preserve">Revenue at the unshocked per-RT level (AED mn)</t>
  </si>
  <si>
    <t xml:space="preserve">Normalised EBITDA (AED mn)</t>
  </si>
  <si>
    <t xml:space="preserve">Less depreciation and amortisation (FY2026E)</t>
  </si>
  <si>
    <t xml:space="preserve">Net finance charge (FY2026E)</t>
  </si>
  <si>
    <t xml:space="preserve">Normalised attributable profit (AED mn)</t>
  </si>
  <si>
    <t xml:space="preserve">Normalised earnings per share (AED)</t>
  </si>
  <si>
    <t xml:space="preserve">Sustainable return on equity (FY2025 profit / average equity)</t>
  </si>
  <si>
    <t xml:space="preserve">Justified price/earnings — (1 - g/return) x (1 + g) / (cost of equity - g)</t>
  </si>
  <si>
    <t xml:space="preserve">Book value per share, 30-Jun-2026 (AED)</t>
  </si>
  <si>
    <t xml:space="preserve">Justified price/book — (return - g) / (cost of equity - g)</t>
  </si>
  <si>
    <t xml:space="preserve">Dividend per share — committed distribution (AED)</t>
  </si>
  <si>
    <t xml:space="preserve">Dividend value — grown at terminal growth, at the cost of equity (AED)</t>
  </si>
  <si>
    <t xml:space="preserve">Trailing price/book references the book-value cell below it (row 32). The normalised lens re-runs year one at the FY2025 per-RT consumption level: it answers what the business earns if the warm-winter shock proves cyclical. The book-value cell rows anchor the trailing multiple above.</t>
  </si>
  <si>
    <t xml:space="preserve">Discounted cash flow — the full waterfall</t>
  </si>
  <si>
    <t xml:space="preserve">Every line is a live formula. The cost of capital is built below in both premium bases and both tax framings; the terminal value is reinvestment-consistent.</t>
  </si>
  <si>
    <t xml:space="preserve">AED mn</t>
  </si>
  <si>
    <t xml:space="preserve">Revenue</t>
  </si>
  <si>
    <t xml:space="preserve">Opening net plant</t>
  </si>
  <si>
    <t xml:space="preserve">Capital expenditure (per added RT + maintenance)</t>
  </si>
  <si>
    <t xml:space="preserve">Depreciation on plant</t>
  </si>
  <si>
    <t xml:space="preserve">Closing net plant</t>
  </si>
  <si>
    <t xml:space="preserve">Depreciation and amortisation (incl. right-of-use and intangibles)</t>
  </si>
  <si>
    <t xml:space="preserve">EBIT</t>
  </si>
  <si>
    <t xml:space="preserve">NOPAT — EBIT x (1 - corporate tax)</t>
  </si>
  <si>
    <t xml:space="preserve">Add back depreciation and amortisation</t>
  </si>
  <si>
    <t xml:space="preserve">Less capital expenditure</t>
  </si>
  <si>
    <t xml:space="preserve">Less change in net working capital</t>
  </si>
  <si>
    <t xml:space="preserve">Free cash flow to the firm</t>
  </si>
  <si>
    <t xml:space="preserve">Discount factor (9% framing, rating basis)</t>
  </si>
  <si>
    <t xml:space="preserve">Present value of free cash flow</t>
  </si>
  <si>
    <t xml:space="preserve">TERMINAL VALUE — reinvestment-consistent (9% framing)</t>
  </si>
  <si>
    <t xml:space="preserve">Net working capital, FY2030</t>
  </si>
  <si>
    <t xml:space="preserve">Terminal invested capital (plant + concession asset + working capital)</t>
  </si>
  <si>
    <t xml:space="preserve">Terminal return on invested capital</t>
  </si>
  <si>
    <t xml:space="preserve">Reinvestment rate (growth / return on capital)</t>
  </si>
  <si>
    <t xml:space="preserve">Terminal-year NOPAT (grown one year)</t>
  </si>
  <si>
    <t xml:space="preserve">Terminal free cash flow</t>
  </si>
  <si>
    <t xml:space="preserve">Terminal value</t>
  </si>
  <si>
    <t xml:space="preserve">Present value of the terminal value</t>
  </si>
  <si>
    <t xml:space="preserve">Present value of the five forecast years</t>
  </si>
  <si>
    <t xml:space="preserve">Fair value per share (9% framing) — from the bridge</t>
  </si>
  <si>
    <t xml:space="preserve">COST OF CAPITAL — BUILT HERE, NOT ASSUMED</t>
  </si>
  <si>
    <t xml:space="preserve">Component</t>
  </si>
  <si>
    <t xml:space="preserve">Rating basis</t>
  </si>
  <si>
    <t xml:space="preserve">Less sovereign default spread</t>
  </si>
  <si>
    <t xml:space="preserve">Risk-free rate net of the sovereign spread</t>
  </si>
  <si>
    <t xml:space="preserve">Beta</t>
  </si>
  <si>
    <t xml:space="preserve">Equity risk premium</t>
  </si>
  <si>
    <t xml:space="preserve">Cost of equity</t>
  </si>
  <si>
    <t xml:space="preserve">Market capitalisation (spot x shares)</t>
  </si>
  <si>
    <t xml:space="preserve">Net debt (borrowings + leases - cash - deposits)</t>
  </si>
  <si>
    <t xml:space="preserve">Debt weight</t>
  </si>
  <si>
    <t xml:space="preserve">Equity weight</t>
  </si>
  <si>
    <t xml:space="preserve">WACC — 9% corporate-tax framing</t>
  </si>
  <si>
    <t xml:space="preserve">WACC — 15% top-up-tax framing</t>
  </si>
  <si>
    <t xml:space="preserve">Both premium bases strip the SAME basis of sovereign default spread as the premium adds back (rating-to-rating, CDS-to-CDS), so country risk is priced once. The two bases land within two basis points of each other; the rating basis is primary. There is no discount-rate glide: the AED curve is flat and both facilities float, so the explicit-window rate equals the terminal rate, stated openly.</t>
  </si>
  <si>
    <t xml:space="preserve">PARALLEL FRAMING — 15% TOP-UP TAX (same cash-flow build, own tax and rate)</t>
  </si>
  <si>
    <t xml:space="preserve">NOPAT at 15%</t>
  </si>
  <si>
    <t xml:space="preserve">Free cash flow to the firm at 15%</t>
  </si>
  <si>
    <t xml:space="preserve">Discount factor at the 15%-framing rate</t>
  </si>
  <si>
    <t xml:space="preserve">Present value</t>
  </si>
  <si>
    <t xml:space="preserve">Present value of the five forecast years (15%)</t>
  </si>
  <si>
    <t xml:space="preserve">Terminal return on invested capital (15%)</t>
  </si>
  <si>
    <t xml:space="preserve">Reinvestment rate (15%)</t>
  </si>
  <si>
    <t xml:space="preserve">Terminal free cash flow (15%)</t>
  </si>
  <si>
    <t xml:space="preserve">Terminal value (15%)</t>
  </si>
  <si>
    <t xml:space="preserve">Present value of the terminal value (15%)</t>
  </si>
  <si>
    <t xml:space="preserve">Enterprise value (15%)</t>
  </si>
  <si>
    <t xml:space="preserve">Fair value per share (15% framing) — from the bridge</t>
  </si>
  <si>
    <t xml:space="preserve">ALTERNATIVE PREMIUM BASIS — CDS (same cash flows, CDS-basis rate)</t>
  </si>
  <si>
    <t xml:space="preserve">Discount factor at the CDS-basis rate</t>
  </si>
  <si>
    <t xml:space="preserve">Present value (CDS basis)</t>
  </si>
  <si>
    <t xml:space="preserve">Present value of the five forecast years (CDS basis)</t>
  </si>
  <si>
    <t xml:space="preserve">Terminal value (CDS basis)</t>
  </si>
  <si>
    <t xml:space="preserve">Present value of the terminal value (CDS basis)</t>
  </si>
  <si>
    <t xml:space="preserve">Enterprise value (CDS basis)</t>
  </si>
  <si>
    <t xml:space="preserve">Fair value per share (CDS basis) — from the bridge</t>
  </si>
  <si>
    <t xml:space="preserve">Income statement — three years audited, five years forecast</t>
  </si>
  <si>
    <t xml:space="preserve">AED mn, consolidated. History is the audited record; every forecast line is a formula (9% corporate-tax framing; the 15% framing runs on the DCF sheet).</t>
  </si>
  <si>
    <t xml:space="preserve">FY2023</t>
  </si>
  <si>
    <t xml:space="preserve">FY2024</t>
  </si>
  <si>
    <t xml:space="preserve">Concession interest income (inside gross profit)</t>
  </si>
  <si>
    <t xml:space="preserve">Gross profit</t>
  </si>
  <si>
    <t xml:space="preserve">Depreciation and amortisation</t>
  </si>
  <si>
    <t xml:space="preserve">Operating profit (EBIT)</t>
  </si>
  <si>
    <t xml:space="preserve">Net finance income / (costs)</t>
  </si>
  <si>
    <t xml:space="preserve">Profit before tax</t>
  </si>
  <si>
    <t xml:space="preserve">Income tax</t>
  </si>
  <si>
    <t xml:space="preserve">Profit for the year</t>
  </si>
  <si>
    <t xml:space="preserve">Non-controlling interests</t>
  </si>
  <si>
    <t xml:space="preserve">Profit attributable to shareholders</t>
  </si>
  <si>
    <t xml:space="preserve">Earnings per share (AED)</t>
  </si>
  <si>
    <t xml:space="preserve">Every FY2023-25 line is the audited figure (the EBITDA, net-finance and non-controlling rows are arithmetic identities of audited lines). The forecast finance line holds the 30-Jun-2026 debt book and cash balance flat at the marginal cost of debt and deposit yield; the FY2023 tax line is a credit (first recognition of deferred tax ahead of UAE corporate tax).</t>
  </si>
  <si>
    <t xml:space="preserve">Balance sheet — condensed</t>
  </si>
  <si>
    <t xml:space="preserve">AED mn. FY2024 and FY2025 are audited closing figures; 30-Jun-2026 is the reviewed interim. The forecast rolls forward from the model: plant from the capex/depreciation chain, equity from retained profit less the committed dividend, net debt from free cash flow.</t>
  </si>
  <si>
    <t xml:space="preserve">30-Jun-26</t>
  </si>
  <si>
    <t xml:space="preserve">Property, plant and equipment (net)</t>
  </si>
  <si>
    <t xml:space="preserve">Investment properties</t>
  </si>
  <si>
    <t xml:space="preserve">Concession financial asset (current + non-current)</t>
  </si>
  <si>
    <t xml:space="preserve">Financial assets at fair value (through P&amp;L and OCI)</t>
  </si>
  <si>
    <t xml:space="preserve">Cash, equivalents and term deposits</t>
  </si>
  <si>
    <t xml:space="preserve">Total assets (as reported)</t>
  </si>
  <si>
    <t xml:space="preserve">Borrowings and lease liabilities (gross debt)</t>
  </si>
  <si>
    <t xml:space="preserve">Trade and other payables</t>
  </si>
  <si>
    <t xml:space="preserve">Net working capital (model definition)</t>
  </si>
  <si>
    <t xml:space="preserve">Net debt (gross debt - cash and deposits)</t>
  </si>
  <si>
    <t xml:space="preserve">Net debt / EBITDA</t>
  </si>
  <si>
    <t xml:space="preserve">This is a CONDENSED layout and does not foot to zero: government grants, end-of-service benefits, tax liabilities, retentions and the remaining current items are not shown separately. The forecast net-debt roll starts from the 30-Jun-2026 reviewed position (the bridge anchor), charges the committed dividend, and credits each year's free cash flow after the after-tax finance charge. The forecast equity roll starts from the FY2025 audited closing equity.</t>
  </si>
  <si>
    <t xml:space="preserve">Cash flow — historical markers and the forecast waterfall</t>
  </si>
  <si>
    <t xml:space="preserve">AED mn. The forecast links line-for-line to the DCF waterfall.</t>
  </si>
  <si>
    <t xml:space="preserve">Net cash from operating activities (as reported)</t>
  </si>
  <si>
    <t xml:space="preserve">NOPAT</t>
  </si>
  <si>
    <t xml:space="preserve">Capital expenditure</t>
  </si>
  <si>
    <t xml:space="preserve">Change in net working capital</t>
  </si>
  <si>
    <t xml:space="preserve">Net finance charge after tax</t>
  </si>
  <si>
    <t xml:space="preserve">Free cash flow to equity</t>
  </si>
  <si>
    <t xml:space="preserve">Dividends paid</t>
  </si>
  <si>
    <t xml:space="preserve">Change in net debt (dividend less equity free cash flow)</t>
  </si>
  <si>
    <t xml:space="preserve">Closing net debt</t>
  </si>
  <si>
    <t xml:space="preserve">The company converts EBITDA to operating cash at a high rate — the negative working-capital cycle (customer deposits and long payables) funds growth. The committed dividend exceeds equity free cash flow in the first forecast year by design; the net-debt roll on the Balance Sheet carries the difference.</t>
  </si>
  <si>
    <t xml:space="preserve">Summary financials — the eight-year picture</t>
  </si>
  <si>
    <t xml:space="preserve">AED mn unless stated. Every cell on this sheet is a link or a ratio; nothing is typed twice.</t>
  </si>
  <si>
    <t xml:space="preserve">Revenue growth</t>
  </si>
  <si>
    <t xml:space="preserve">Attributable profit</t>
  </si>
  <si>
    <t xml:space="preserve">Net debt</t>
  </si>
  <si>
    <t xml:space="preserve">Invested capital (plant + concession + working capital)</t>
  </si>
  <si>
    <t xml:space="preserve">Return on invested capital (NOPAT / same-year capital)</t>
  </si>
  <si>
    <t xml:space="preserve">Return on invested capital comfortably clears the cost of capital across the forecast — the economics of a regulated district-cooling monopoly with a negative working-capital cycle. The terminal reinvestment rate on the DCF sheet is set from exactly this capital base.</t>
  </si>
  <si>
    <t xml:space="preserve">Probabilistic price map</t>
  </si>
  <si>
    <t xml:space="preserve">A map of price dispersion around the market price. It carries no view on value and is never blended with the valuation. Each figure is a complete simulation output, not a formula, and does not redraw when a driver changes.</t>
  </si>
  <si>
    <t xml:space="preserve">Horizon</t>
  </si>
  <si>
    <t xml:space="preserve">5th</t>
  </si>
  <si>
    <t xml:space="preserve">25th</t>
  </si>
  <si>
    <t xml:space="preserve">Median</t>
  </si>
  <si>
    <t xml:space="preserve">75th</t>
  </si>
  <si>
    <t xml:space="preserve">95th</t>
  </si>
  <si>
    <t xml:space="preserve">P(above spot)</t>
  </si>
  <si>
    <t xml:space="preserve">One month — to 2026-09-07</t>
  </si>
  <si>
    <t xml:space="preserve">Three months — to 2026-11-09</t>
  </si>
  <si>
    <t xml:space="preserve">Level event</t>
  </si>
  <si>
    <t xml:space="preserve">One month</t>
  </si>
  <si>
    <t xml:space="preserve">Three months</t>
  </si>
  <si>
    <t xml:space="preserve">Finishes 10% or more above the market price</t>
  </si>
  <si>
    <t xml:space="preserve">Finishes 10% or more below the market price</t>
  </si>
  <si>
    <t xml:space="preserve">Touches 10% above at any point</t>
  </si>
  <si>
    <t xml:space="preserve">Touches 10% below at any point</t>
  </si>
  <si>
    <t xml:space="preserve">Simulation setting</t>
  </si>
  <si>
    <t xml:space="preserve">Anchor date</t>
  </si>
  <si>
    <t xml:space="preserve">2026-08-07</t>
  </si>
  <si>
    <t xml:space="preserve">Market price at the anchor (AED)</t>
  </si>
  <si>
    <t xml:space="preserve">Annualised volatility (three-month anchor)</t>
  </si>
  <si>
    <t xml:space="preserve">Simulated paths</t>
  </si>
  <si>
    <t xml:space="preserve">Calibration backtest, in plain language: the shares listed in November 2022, so only 10 non-overlapping three-month windows exist (2023-11-30 to 2026-03-04). Over that short record the model's bands were, if anything, slightly generous: every outcome landed inside the 80% band, and the centre of the distribution sat where it should (average percentile of outcomes 0.46 against an ideal 0.50). A record this short cannot establish forecasting skill either way; read the bands as honest dispersion, not precision.</t>
  </si>
  <si>
    <t xml:space="preserve">Sensitivity — what the valuation needs the world to do</t>
  </si>
  <si>
    <t xml:space="preserve">AED per share. The two grids are complete model re-runs cell by cell — they do NOT redraw when a driver changes. The one-way growth row underneath IS live and reprices with the workbook.</t>
  </si>
  <si>
    <t xml:space="preserve">Cost of capital (rows) x terminal growth (columns) — 9% framing</t>
  </si>
  <si>
    <t xml:space="preserve">1.5%</t>
  </si>
  <si>
    <t xml:space="preserve">2.0%</t>
  </si>
  <si>
    <t xml:space="preserve">2.5%</t>
  </si>
  <si>
    <t xml:space="preserve">3.0%</t>
  </si>
  <si>
    <t xml:space="preserve">3.5%</t>
  </si>
  <si>
    <t xml:space="preserve">5.77%</t>
  </si>
  <si>
    <t xml:space="preserve">6.27%</t>
  </si>
  <si>
    <t xml:space="preserve">6.77%</t>
  </si>
  <si>
    <t xml:space="preserve">7.27%</t>
  </si>
  <si>
    <t xml:space="preserve">7.77%</t>
  </si>
  <si>
    <t xml:space="preserve">THE CRUX — consumption per-RT recovery level from FY2027 (share of FY2025); full model re-run per cell</t>
  </si>
  <si>
    <t xml:space="preserve">Recovery level</t>
  </si>
  <si>
    <t xml:space="preserve">Fair value per share (9%)</t>
  </si>
  <si>
    <t xml:space="preserve">Never recovers (persists at the FY2026 level)</t>
  </si>
  <si>
    <t xml:space="preserve">at 15% top-up tax</t>
  </si>
  <si>
    <t xml:space="preserve">LIVE one-way sensitivity — terminal growth at the base cost of capital (each cell a formula off the DCF sheet)</t>
  </si>
  <si>
    <t xml:space="preserve">Fair value per share (AED, live formula)</t>
  </si>
  <si>
    <t xml:space="preserve">Swing:</t>
  </si>
  <si>
    <t xml:space="preserve">The live row reproduces the middle row of the pasted grid at the moment of writing; if a driver is changed on the Assumptions sheet the live row will move and the pasted grids will not — that difference is intentional and is the quickest way to see that a driver change has repriced the model.</t>
  </si>
  <si>
    <t xml:space="preserve">Per-share and ratio analysis</t>
  </si>
  <si>
    <t xml:space="preserve">The indicator set for a regulated utility with a concession asset. Every cell is a formula off the statements.</t>
  </si>
  <si>
    <t xml:space="preserve">Measure</t>
  </si>
  <si>
    <t xml:space="preserve">Dividend per share (AED)</t>
  </si>
  <si>
    <t xml:space="preserve">Dividend cover (attributable profit / dividend)</t>
  </si>
  <si>
    <t xml:space="preserve">Book value per share (AED)</t>
  </si>
  <si>
    <t xml:space="preserve">Free cash flow to the firm per share (AED)</t>
  </si>
  <si>
    <t xml:space="preserve">Gross margin</t>
  </si>
  <si>
    <t xml:space="preserve">Operating margin</t>
  </si>
  <si>
    <t xml:space="preserve">Net margin (attributable)</t>
  </si>
  <si>
    <t xml:space="preserve">Return on equity (average base)</t>
  </si>
  <si>
    <t xml:space="preserve">Capital expenditure / revenue</t>
  </si>
  <si>
    <t xml:space="preserve">Payout ratio (dividend / attributable profit)</t>
  </si>
  <si>
    <t xml:space="preserve">The dividend exceeds attributable profit in the near years by design — the committed AED 875m distribution is funded by the negative working-capital cycle and the balance sheet, and the net-debt roll on the Balance Sheet carries it explicitly.</t>
  </si>
  <si>
    <t xml:space="preserve">Peer frame and sector context</t>
  </si>
  <si>
    <t xml:space="preserve">One close listed peer exists; the parent is context, not a comparable. Cross-check inputs only, never a source for the company's own numbers.</t>
  </si>
  <si>
    <t xml:space="preserve">Company / frame</t>
  </si>
  <si>
    <t xml:space="preserve">Market</t>
  </si>
  <si>
    <t xml:space="preserve">Relevance</t>
  </si>
  <si>
    <t xml:space="preserve">Caution</t>
  </si>
  <si>
    <t xml:space="preserve">Tabreed (National Central Cooling Co)</t>
  </si>
  <si>
    <t xml:space="preserve">Dubai (DFM)</t>
  </si>
  <si>
    <t xml:space="preserve">the only other listed GCC district-cooling pure play — the primary multiple cross-check</t>
  </si>
  <si>
    <t xml:space="preserve">roughly 4.6x net debt / EBITDA against Empower's 1.8x, and a concession mix that skews the EV multiple</t>
  </si>
  <si>
    <t xml:space="preserve">DEWA (parent, 80% owner)</t>
  </si>
  <si>
    <t xml:space="preserve">majority owner since Feb-2026; its multiple frames how Dubai prices regulated utility earnings</t>
  </si>
  <si>
    <t xml:space="preserve">a vertically-integrated generation and distribution utility, not a district-cooling comparable</t>
  </si>
  <si>
    <t xml:space="preserve">Regional listed utilities</t>
  </si>
  <si>
    <t xml:space="preserve">GCC</t>
  </si>
  <si>
    <t xml:space="preserve">the broad frame for regulated-return infrastructure in pegged-currency markets</t>
  </si>
  <si>
    <t xml:space="preserve">tariff regimes and concession structures differ materially by emirate and state</t>
  </si>
  <si>
    <t xml:space="preserve">Multiple</t>
  </si>
  <si>
    <t xml:space="preserve">Peer</t>
  </si>
  <si>
    <t xml:space="preserve">Empower (model)</t>
  </si>
  <si>
    <t xml:space="preserve">EV / EBITDA (Tabreed, FY2025; priced Aug-2026)</t>
  </si>
  <si>
    <t xml:space="preserve">Price / earnings (Tabreed, trailing; priced Aug-2026)</t>
  </si>
  <si>
    <t xml:space="preserve">Price / earnings (DEWA, trailing; priced Aug-2026)</t>
  </si>
  <si>
    <t xml:space="preserve">Dividend yield at the market price</t>
  </si>
  <si>
    <t xml:space="preserve">Peer multiples are dated, disclosed cross-check inputs (see the Assumptions sheet for source and date). Empower trades at a discount to Tabreed on EV/EBITDA with less than half the leverage; the model's relative lens applies the peer multiple to Empower's own forecast EBITDA rather than endorsing either price.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</si>
</sst>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;\(0.000\);\-"/>
    <numFmt numFmtId="166" formatCode="0.0%;\(0.0%\);\-"/>
    <numFmt numFmtId="167" formatCode="#,##0;\(#,##0\);\-"/>
    <numFmt numFmtId="168" formatCode="#,##0.0;\(#,##0.0\);\-"/>
    <numFmt numFmtId="169" formatCode="0.00%"/>
    <numFmt numFmtId="170" formatCode="0.0000"/>
    <numFmt numFmtId="171" formatCode="0.000"/>
    <numFmt numFmtId="172" formatCode="0.0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6F1E6"/>
      <name val="Cambria"/>
      <family val="0"/>
      <charset val="1"/>
    </font>
    <font>
      <sz val="10"/>
      <name val="Cambria"/>
      <family val="0"/>
      <charset val="1"/>
    </font>
    <font>
      <sz val="9"/>
      <color rgb="FF6E7B77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008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3A36"/>
        <bgColor rgb="FF333300"/>
      </patternFill>
    </fill>
    <fill>
      <patternFill patternType="solid">
        <fgColor rgb="FFEAF0EE"/>
        <bgColor rgb="FFF6F1E6"/>
      </patternFill>
    </fill>
    <fill>
      <patternFill patternType="solid">
        <fgColor rgb="FFF6F1E6"/>
        <bgColor rgb="FFEAF0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EAF0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3" t="s">
        <v>4</v>
      </c>
    </row>
    <row r="9" customFormat="false" ht="15" hidden="false" customHeight="false" outlineLevel="0" collapsed="false">
      <c r="A9" s="3" t="s">
        <v>5</v>
      </c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3" t="s">
        <v>10</v>
      </c>
    </row>
    <row r="17" customFormat="false" ht="15" hidden="false" customHeight="false" outlineLevel="0" collapsed="false">
      <c r="A17" s="3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3" t="s">
        <v>23</v>
      </c>
    </row>
    <row r="31" customFormat="false" ht="15" hidden="false" customHeight="false" outlineLevel="0" collapsed="false">
      <c r="A31" s="3" t="s">
        <v>24</v>
      </c>
    </row>
    <row r="32" customFormat="false" ht="15" hidden="false" customHeight="false" outlineLevel="0" collapsed="false">
      <c r="A32" s="3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/>
    </row>
    <row r="35" customFormat="false" ht="15" hidden="false" customHeight="false" outlineLevel="0" collapsed="false">
      <c r="A35" s="3" t="s">
        <v>27</v>
      </c>
    </row>
    <row r="36" customFormat="false" ht="15" hidden="false" customHeight="false" outlineLevel="0" collapsed="false">
      <c r="A36" s="3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/>
    </row>
    <row r="39" customFormat="false" ht="15" hidden="false" customHeight="false" outlineLevel="0" collapsed="false">
      <c r="A39" s="3" t="s">
        <v>30</v>
      </c>
    </row>
    <row r="40" customFormat="false" ht="15" hidden="false" customHeight="false" outlineLevel="0" collapsed="false">
      <c r="A40" s="3" t="s">
        <v>31</v>
      </c>
    </row>
    <row r="41" customFormat="false" ht="15" hidden="false" customHeight="false" outlineLevel="0" collapsed="false">
      <c r="A41" s="3"/>
    </row>
    <row r="42" customFormat="false" ht="15" hidden="false" customHeight="false" outlineLevel="0" collapsed="false">
      <c r="A42" s="3" t="s">
        <v>32</v>
      </c>
    </row>
    <row r="43" customFormat="false" ht="15" hidden="false" customHeight="false" outlineLevel="0" collapsed="false">
      <c r="A43" s="3" t="s">
        <v>33</v>
      </c>
    </row>
    <row r="44" customFormat="false" ht="15" hidden="false" customHeight="false" outlineLevel="0" collapsed="false">
      <c r="A44" s="3" t="s">
        <v>34</v>
      </c>
    </row>
    <row r="45" customFormat="false" ht="15" hidden="false" customHeight="false" outlineLevel="0" collapsed="false">
      <c r="A45" s="3" t="s">
        <v>35</v>
      </c>
    </row>
    <row r="46" customFormat="false" ht="15" hidden="false" customHeight="false" outlineLevel="0" collapsed="false">
      <c r="A46" s="3"/>
    </row>
    <row r="47" customFormat="false" ht="15" hidden="false" customHeight="false" outlineLevel="0" collapsed="false">
      <c r="A47" s="3" t="s">
        <v>36</v>
      </c>
    </row>
    <row r="48" customFormat="false" ht="15" hidden="false" customHeight="false" outlineLevel="0" collapsed="false">
      <c r="A48" s="3" t="s">
        <v>37</v>
      </c>
    </row>
    <row r="49" customFormat="false" ht="15" hidden="false" customHeight="false" outlineLevel="0" collapsed="false">
      <c r="A49" s="3" t="s">
        <v>38</v>
      </c>
    </row>
    <row r="50" customFormat="false" ht="15" hidden="false" customHeight="false" outlineLevel="0" collapsed="false">
      <c r="A50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4"/>
  </cols>
  <sheetData>
    <row r="1" customFormat="false" ht="16.15" hidden="false" customHeight="false" outlineLevel="0" collapsed="false">
      <c r="A1" s="1" t="s">
        <v>40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41</v>
      </c>
    </row>
    <row r="4" customFormat="false" ht="15" hidden="false" customHeight="false" outlineLevel="0" collapsed="false">
      <c r="A4" s="5" t="s">
        <v>42</v>
      </c>
      <c r="B4" s="5" t="s">
        <v>43</v>
      </c>
      <c r="C4" s="5" t="s">
        <v>44</v>
      </c>
      <c r="D4" s="5" t="s">
        <v>45</v>
      </c>
      <c r="E4" s="5" t="s">
        <v>46</v>
      </c>
      <c r="F4" s="5"/>
      <c r="G4" s="5" t="s">
        <v>47</v>
      </c>
    </row>
    <row r="5" customFormat="false" ht="15" hidden="false" customHeight="false" outlineLevel="0" collapsed="false">
      <c r="A5" s="6" t="s">
        <v>48</v>
      </c>
      <c r="B5" s="7" t="n">
        <f aca="false">'SOTP Bridge'!C13</f>
        <v>2.6642726028588</v>
      </c>
      <c r="C5" s="8" t="n">
        <f aca="false">Assumptions!$C$69</f>
        <v>0.5</v>
      </c>
      <c r="D5" s="9" t="n">
        <f aca="false">B5*C5</f>
        <v>1.3321363014294</v>
      </c>
      <c r="E5" s="10" t="n">
        <f aca="false">B5/Assumptions!$C$5-1</f>
        <v>0.7761817352392</v>
      </c>
      <c r="G5" s="8" t="n">
        <f aca="false">'SOTP Bridge'!C15</f>
        <v>0.808489177103813</v>
      </c>
    </row>
    <row r="6" customFormat="false" ht="15" hidden="false" customHeight="false" outlineLevel="0" collapsed="false">
      <c r="A6" s="6" t="s">
        <v>49</v>
      </c>
      <c r="B6" s="7" t="n">
        <f aca="false">'Relative &amp; Normalized'!C11</f>
        <v>1.53567480592298</v>
      </c>
      <c r="C6" s="8" t="n">
        <f aca="false">Assumptions!$C$70</f>
        <v>0.2</v>
      </c>
      <c r="D6" s="9" t="n">
        <f aca="false">B6*C6</f>
        <v>0.307134961184595</v>
      </c>
      <c r="E6" s="10" t="n">
        <f aca="false">B6/Assumptions!$C$5-1</f>
        <v>0.0237832039486514</v>
      </c>
    </row>
    <row r="7" customFormat="false" ht="15" hidden="false" customHeight="false" outlineLevel="0" collapsed="false">
      <c r="A7" s="6" t="s">
        <v>50</v>
      </c>
      <c r="B7" s="7" t="n">
        <f aca="false">'Relative &amp; Normalized'!C29</f>
        <v>2.09401971021</v>
      </c>
      <c r="C7" s="8" t="n">
        <f aca="false">Assumptions!$C$71</f>
        <v>0.15</v>
      </c>
      <c r="D7" s="9" t="n">
        <f aca="false">B7*C7</f>
        <v>0.314102956531499</v>
      </c>
      <c r="E7" s="10" t="n">
        <f aca="false">B7/Assumptions!$C$5-1</f>
        <v>0.396013140139997</v>
      </c>
    </row>
    <row r="8" customFormat="false" ht="15" hidden="false" customHeight="false" outlineLevel="0" collapsed="false">
      <c r="A8" s="6" t="s">
        <v>51</v>
      </c>
      <c r="B8" s="7" t="n">
        <f aca="false">'Relative &amp; Normalized'!C34</f>
        <v>1.97997554335379</v>
      </c>
      <c r="C8" s="8" t="n">
        <f aca="false">Assumptions!$C$72</f>
        <v>0.15</v>
      </c>
      <c r="D8" s="9" t="n">
        <f aca="false">B8*C8</f>
        <v>0.296996331503069</v>
      </c>
      <c r="E8" s="10" t="n">
        <f aca="false">B8/Assumptions!$C$5-1</f>
        <v>0.319983695569194</v>
      </c>
    </row>
    <row r="9" customFormat="false" ht="15" hidden="false" customHeight="false" outlineLevel="0" collapsed="false">
      <c r="A9" s="11" t="s">
        <v>52</v>
      </c>
      <c r="B9" s="12" t="n">
        <f aca="false">SUM(D5:D8)</f>
        <v>2.25037055064856</v>
      </c>
      <c r="C9" s="13" t="n">
        <f aca="false">SUM(C5:C8)</f>
        <v>1</v>
      </c>
      <c r="D9" s="14"/>
      <c r="E9" s="13" t="n">
        <f aca="false">B9/Assumptions!$C$5-1</f>
        <v>0.500247033765709</v>
      </c>
      <c r="F9" s="14"/>
      <c r="G9" s="14"/>
    </row>
    <row r="10" customFormat="false" ht="15" hidden="false" customHeight="false" outlineLevel="0" collapsed="false">
      <c r="A10" s="6" t="s">
        <v>53</v>
      </c>
      <c r="B10" s="9" t="n">
        <f aca="false">Assumptions!$C$69*'SOTP Bridge'!D13+Assumptions!$C$70*B6+Assumptions!$C$71*B7*(1-Assumptions!$C$73)+Assumptions!$C$72*B8</f>
        <v>2.13919483228612</v>
      </c>
      <c r="E10" s="10" t="n">
        <f aca="false">B10/Assumptions!$C$5-1</f>
        <v>0.42612988819075</v>
      </c>
    </row>
    <row r="11" customFormat="false" ht="15" hidden="false" customHeight="false" outlineLevel="0" collapsed="false">
      <c r="A11" s="6" t="s">
        <v>54</v>
      </c>
      <c r="B11" s="15" t="n">
        <v>1.73650313254581</v>
      </c>
      <c r="E11" s="10" t="n">
        <f aca="false">B11/Assumptions!$C$5-1</f>
        <v>0.157668755030542</v>
      </c>
    </row>
    <row r="12" customFormat="false" ht="15" hidden="false" customHeight="false" outlineLevel="0" collapsed="false">
      <c r="A12" s="6" t="s">
        <v>55</v>
      </c>
      <c r="B12" s="15" t="n">
        <v>2.71378454139247</v>
      </c>
      <c r="E12" s="10" t="n">
        <f aca="false">B12/Assumptions!$C$5-1</f>
        <v>0.809189694261643</v>
      </c>
    </row>
    <row r="13" customFormat="false" ht="15" hidden="false" customHeight="false" outlineLevel="0" collapsed="false">
      <c r="A13" s="6" t="s">
        <v>56</v>
      </c>
      <c r="B13" s="7" t="n">
        <f aca="false">'Relative &amp; Normalized'!C38</f>
        <v>1.89864159404815</v>
      </c>
      <c r="E13" s="10" t="n">
        <f aca="false">B13/Assumptions!$C$5-1</f>
        <v>0.265761062698764</v>
      </c>
    </row>
    <row r="14" customFormat="false" ht="15" hidden="false" customHeight="false" outlineLevel="0" collapsed="false">
      <c r="A14" s="6" t="s">
        <v>57</v>
      </c>
      <c r="B14" s="7" t="n">
        <f aca="false">'SOTP Bridge'!E13</f>
        <v>2.66334005206585</v>
      </c>
    </row>
    <row r="15" customFormat="false" ht="15" hidden="false" customHeight="false" outlineLevel="0" collapsed="false">
      <c r="A15" s="11" t="s">
        <v>58</v>
      </c>
      <c r="B15" s="16" t="n">
        <f aca="false">Assumptions!$C$5</f>
        <v>1.5</v>
      </c>
      <c r="C15" s="14"/>
      <c r="D15" s="14"/>
      <c r="E15" s="14"/>
      <c r="F15" s="14"/>
      <c r="G15" s="14"/>
    </row>
    <row r="16" customFormat="false" ht="15" hidden="false" customHeight="false" outlineLevel="0" collapsed="false">
      <c r="A16" s="6" t="s">
        <v>59</v>
      </c>
      <c r="B16" s="7" t="n">
        <f aca="false">Assumptions!$C$74</f>
        <v>2.16</v>
      </c>
    </row>
    <row r="17" customFormat="false" ht="15" hidden="false" customHeight="false" outlineLevel="0" collapsed="false">
      <c r="A17" s="4" t="s">
        <v>60</v>
      </c>
    </row>
    <row r="19" customFormat="false" ht="15" hidden="false" customHeight="false" outlineLevel="0" collapsed="false">
      <c r="A19" s="5" t="s">
        <v>61</v>
      </c>
      <c r="B19" s="5" t="s">
        <v>62</v>
      </c>
    </row>
    <row r="20" customFormat="false" ht="15" hidden="false" customHeight="false" outlineLevel="0" collapsed="false">
      <c r="A20" s="6" t="s">
        <v>63</v>
      </c>
      <c r="B20" s="17" t="n">
        <f aca="false">Assumptions!$C$6</f>
        <v>10000</v>
      </c>
    </row>
    <row r="21" customFormat="false" ht="15" hidden="false" customHeight="false" outlineLevel="0" collapsed="false">
      <c r="A21" s="6" t="s">
        <v>64</v>
      </c>
      <c r="B21" s="18" t="n">
        <f aca="false">DCF!C46</f>
        <v>15000</v>
      </c>
    </row>
    <row r="22" customFormat="false" ht="15" hidden="false" customHeight="false" outlineLevel="0" collapsed="false">
      <c r="A22" s="6" t="s">
        <v>65</v>
      </c>
      <c r="B22" s="18" t="n">
        <f aca="false">DCF!C47</f>
        <v>2991.493</v>
      </c>
    </row>
    <row r="23" customFormat="false" ht="15" hidden="false" customHeight="false" outlineLevel="0" collapsed="false">
      <c r="A23" s="6" t="s">
        <v>66</v>
      </c>
      <c r="B23" s="18" t="n">
        <f aca="false">'Income Statement'!D5</f>
        <v>3419.304</v>
      </c>
    </row>
    <row r="24" customFormat="false" ht="15" hidden="false" customHeight="false" outlineLevel="0" collapsed="false">
      <c r="A24" s="6" t="s">
        <v>67</v>
      </c>
      <c r="B24" s="18" t="n">
        <f aca="false">'Income Statement'!D8</f>
        <v>1642.229</v>
      </c>
    </row>
    <row r="25" customFormat="false" ht="15" hidden="false" customHeight="false" outlineLevel="0" collapsed="false">
      <c r="A25" s="6" t="s">
        <v>68</v>
      </c>
      <c r="B25" s="18" t="n">
        <f aca="false">'Income Statement'!D17</f>
        <v>993.302</v>
      </c>
    </row>
    <row r="26" customFormat="false" ht="15" hidden="false" customHeight="false" outlineLevel="0" collapsed="false">
      <c r="A26" s="6" t="s">
        <v>69</v>
      </c>
      <c r="B26" s="19" t="n">
        <f aca="false">DCF!C44</f>
        <v>0.07223772</v>
      </c>
    </row>
    <row r="27" customFormat="false" ht="15" hidden="false" customHeight="false" outlineLevel="0" collapsed="false">
      <c r="A27" s="6" t="s">
        <v>70</v>
      </c>
      <c r="B27" s="19" t="n">
        <f aca="false">DCF!C50</f>
        <v>0.0676709222851044</v>
      </c>
    </row>
    <row r="28" customFormat="false" ht="15" hidden="false" customHeight="false" outlineLevel="0" collapsed="false">
      <c r="A28" s="6" t="s">
        <v>71</v>
      </c>
      <c r="B28" s="19" t="n">
        <f aca="false">DCF!C51</f>
        <v>0.0671800854581663</v>
      </c>
    </row>
    <row r="29" customFormat="false" ht="15" hidden="false" customHeight="false" outlineLevel="0" collapsed="false">
      <c r="A29" s="6" t="s">
        <v>72</v>
      </c>
      <c r="B29" s="8" t="n">
        <f aca="false">Assumptions!$C$49</f>
        <v>0.025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5"/>
  </cols>
  <sheetData>
    <row r="1" customFormat="false" ht="16.15" hidden="false" customHeight="false" outlineLevel="0" collapsed="false">
      <c r="A1" s="1" t="s">
        <v>73</v>
      </c>
      <c r="B1" s="2"/>
      <c r="C1" s="2"/>
      <c r="D1" s="2"/>
      <c r="E1" s="2"/>
      <c r="F1" s="2"/>
    </row>
    <row r="4" customFormat="false" ht="15" hidden="false" customHeight="false" outlineLevel="0" collapsed="false">
      <c r="A4" s="5" t="s">
        <v>42</v>
      </c>
      <c r="B4" s="5" t="s">
        <v>74</v>
      </c>
      <c r="C4" s="5" t="s">
        <v>75</v>
      </c>
    </row>
    <row r="5" customFormat="false" ht="15" hidden="false" customHeight="false" outlineLevel="0" collapsed="false">
      <c r="A5" s="6" t="s">
        <v>76</v>
      </c>
      <c r="B5" s="6" t="s">
        <v>77</v>
      </c>
      <c r="C5" s="7" t="n">
        <f aca="false">'SOTP Bridge'!C13</f>
        <v>2.6642726028588</v>
      </c>
    </row>
    <row r="6" customFormat="false" ht="15" hidden="false" customHeight="false" outlineLevel="0" collapsed="false">
      <c r="A6" s="6" t="s">
        <v>78</v>
      </c>
      <c r="B6" s="6" t="s">
        <v>79</v>
      </c>
      <c r="C6" s="7" t="n">
        <f aca="false">'Relative &amp; Normalized'!C11</f>
        <v>1.53567480592298</v>
      </c>
    </row>
    <row r="7" customFormat="false" ht="15" hidden="false" customHeight="false" outlineLevel="0" collapsed="false">
      <c r="A7" s="6" t="s">
        <v>50</v>
      </c>
      <c r="B7" s="6" t="s">
        <v>80</v>
      </c>
      <c r="C7" s="7" t="n">
        <f aca="false">'Relative &amp; Normalized'!C29</f>
        <v>2.09401971021</v>
      </c>
    </row>
    <row r="8" customFormat="false" ht="15" hidden="false" customHeight="false" outlineLevel="0" collapsed="false">
      <c r="A8" s="6" t="s">
        <v>51</v>
      </c>
      <c r="B8" s="6" t="s">
        <v>81</v>
      </c>
      <c r="C8" s="7" t="n">
        <f aca="false">'Relative &amp; Normalized'!C34</f>
        <v>1.97997554335379</v>
      </c>
    </row>
    <row r="9" customFormat="false" ht="15" hidden="false" customHeight="false" outlineLevel="0" collapsed="false">
      <c r="A9" s="11" t="s">
        <v>82</v>
      </c>
      <c r="B9" s="14"/>
      <c r="C9" s="16" t="n">
        <f aca="false">Summary!B9</f>
        <v>2.25037055064856</v>
      </c>
    </row>
    <row r="11" customFormat="false" ht="15" hidden="false" customHeight="false" outlineLevel="0" collapsed="false">
      <c r="A11" s="20" t="s">
        <v>83</v>
      </c>
    </row>
    <row r="12" customFormat="false" ht="15" hidden="false" customHeight="false" outlineLevel="0" collapsed="false">
      <c r="A12" s="5" t="s">
        <v>84</v>
      </c>
      <c r="B12" s="5" t="s">
        <v>85</v>
      </c>
      <c r="C12" s="5" t="s">
        <v>86</v>
      </c>
    </row>
    <row r="13" customFormat="false" ht="15" hidden="false" customHeight="false" outlineLevel="0" collapsed="false">
      <c r="A13" s="6" t="s">
        <v>87</v>
      </c>
      <c r="B13" s="7" t="n">
        <f aca="false">'SOTP Bridge'!C13</f>
        <v>2.6642726028588</v>
      </c>
      <c r="C13" s="7" t="n">
        <f aca="false">'SOTP Bridge'!D13</f>
        <v>2.48338275639608</v>
      </c>
    </row>
    <row r="14" customFormat="false" ht="15" hidden="false" customHeight="false" outlineLevel="0" collapsed="false">
      <c r="A14" s="6" t="s">
        <v>88</v>
      </c>
      <c r="B14" s="15" t="n">
        <v>2.59359024412249</v>
      </c>
      <c r="C14" s="15" t="n">
        <v>2.41619719088074</v>
      </c>
    </row>
    <row r="16" customFormat="false" ht="15" hidden="false" customHeight="false" outlineLevel="0" collapsed="false">
      <c r="A16" s="20" t="s">
        <v>89</v>
      </c>
    </row>
    <row r="17" customFormat="false" ht="15" hidden="false" customHeight="false" outlineLevel="0" collapsed="false">
      <c r="A17" s="6" t="s">
        <v>90</v>
      </c>
      <c r="C17" s="15" t="n">
        <v>1.73650313254581</v>
      </c>
    </row>
    <row r="18" customFormat="false" ht="15" hidden="false" customHeight="false" outlineLevel="0" collapsed="false">
      <c r="A18" s="6" t="s">
        <v>91</v>
      </c>
      <c r="C18" s="7" t="n">
        <f aca="false">Summary!B9</f>
        <v>2.25037055064856</v>
      </c>
    </row>
    <row r="19" customFormat="false" ht="15" hidden="false" customHeight="false" outlineLevel="0" collapsed="false">
      <c r="A19" s="6" t="s">
        <v>92</v>
      </c>
      <c r="C19" s="15" t="n">
        <v>2.71378454139247</v>
      </c>
    </row>
    <row r="21" customFormat="false" ht="15" hidden="false" customHeight="false" outlineLevel="0" collapsed="false">
      <c r="A21" s="6" t="s">
        <v>93</v>
      </c>
      <c r="C21" s="7" t="n">
        <f aca="false">Summary!B15</f>
        <v>1.5</v>
      </c>
    </row>
    <row r="22" customFormat="false" ht="15" hidden="false" customHeight="false" outlineLevel="0" collapsed="false">
      <c r="A22" s="6" t="s">
        <v>94</v>
      </c>
      <c r="C22" s="7" t="n">
        <f aca="false">Assumptions!$C$74</f>
        <v>2.16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1"/>
    <col collapsed="false" customWidth="true" hidden="false" outlineLevel="0" max="8" min="8" style="0" width="90"/>
  </cols>
  <sheetData>
    <row r="1" customFormat="false" ht="16.15" hidden="false" customHeight="false" outlineLevel="0" collapsed="false">
      <c r="A1" s="1" t="s">
        <v>95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96</v>
      </c>
    </row>
    <row r="3" customFormat="false" ht="15" hidden="false" customHeight="false" outlineLevel="0" collapsed="false">
      <c r="A3" s="5" t="s">
        <v>97</v>
      </c>
      <c r="B3" s="5" t="s">
        <v>98</v>
      </c>
      <c r="C3" s="5" t="s">
        <v>99</v>
      </c>
      <c r="D3" s="5" t="s">
        <v>100</v>
      </c>
      <c r="E3" s="5" t="s">
        <v>101</v>
      </c>
      <c r="F3" s="5" t="s">
        <v>102</v>
      </c>
      <c r="G3" s="5"/>
      <c r="H3" s="5" t="s">
        <v>103</v>
      </c>
    </row>
    <row r="4" customFormat="false" ht="15" hidden="false" customHeight="false" outlineLevel="0" collapsed="false">
      <c r="A4" s="11" t="s">
        <v>104</v>
      </c>
      <c r="B4" s="14"/>
      <c r="C4" s="14"/>
      <c r="D4" s="14"/>
      <c r="E4" s="14"/>
      <c r="F4" s="14"/>
      <c r="G4" s="14"/>
      <c r="H4" s="14"/>
    </row>
    <row r="5" customFormat="false" ht="15" hidden="false" customHeight="false" outlineLevel="0" collapsed="false">
      <c r="A5" s="6" t="s">
        <v>105</v>
      </c>
      <c r="C5" s="15" t="n">
        <v>1.5</v>
      </c>
      <c r="H5" s="4" t="s">
        <v>106</v>
      </c>
    </row>
    <row r="6" customFormat="false" ht="15" hidden="false" customHeight="false" outlineLevel="0" collapsed="false">
      <c r="A6" s="6" t="s">
        <v>63</v>
      </c>
      <c r="C6" s="21" t="n">
        <v>10000</v>
      </c>
      <c r="H6" s="4" t="s">
        <v>107</v>
      </c>
    </row>
    <row r="7" customFormat="false" ht="15" hidden="false" customHeight="false" outlineLevel="0" collapsed="false">
      <c r="A7" s="6" t="s">
        <v>108</v>
      </c>
      <c r="C7" s="22" t="n">
        <v>0.09</v>
      </c>
      <c r="H7" s="4" t="s">
        <v>109</v>
      </c>
    </row>
    <row r="8" customFormat="false" ht="15" hidden="false" customHeight="false" outlineLevel="0" collapsed="false">
      <c r="A8" s="6" t="s">
        <v>110</v>
      </c>
      <c r="C8" s="22" t="n">
        <v>0.15</v>
      </c>
      <c r="H8" s="4" t="s">
        <v>111</v>
      </c>
    </row>
    <row r="9" customFormat="false" ht="15" hidden="false" customHeight="false" outlineLevel="0" collapsed="false">
      <c r="A9" s="6" t="s">
        <v>112</v>
      </c>
      <c r="C9" s="23" t="n">
        <v>1003.935</v>
      </c>
      <c r="H9" s="4" t="s">
        <v>113</v>
      </c>
    </row>
    <row r="10" customFormat="false" ht="15" hidden="false" customHeight="false" outlineLevel="0" collapsed="false">
      <c r="A10" s="6" t="s">
        <v>114</v>
      </c>
      <c r="C10" s="23" t="n">
        <v>10.633</v>
      </c>
      <c r="H10" s="4" t="s">
        <v>115</v>
      </c>
    </row>
    <row r="11" customFormat="false" ht="15" hidden="false" customHeight="false" outlineLevel="0" collapsed="false">
      <c r="A11" s="6" t="s">
        <v>116</v>
      </c>
      <c r="C11" s="23" t="n">
        <v>993.302</v>
      </c>
      <c r="H11" s="4" t="s">
        <v>117</v>
      </c>
    </row>
    <row r="13" customFormat="false" ht="15" hidden="false" customHeight="false" outlineLevel="0" collapsed="false">
      <c r="A13" s="11" t="s">
        <v>118</v>
      </c>
      <c r="B13" s="14"/>
      <c r="C13" s="14"/>
      <c r="D13" s="14"/>
      <c r="E13" s="14"/>
      <c r="F13" s="14"/>
      <c r="G13" s="14"/>
      <c r="H13" s="14"/>
    </row>
    <row r="14" customFormat="false" ht="15" hidden="false" customHeight="false" outlineLevel="0" collapsed="false">
      <c r="A14" s="6" t="s">
        <v>119</v>
      </c>
      <c r="C14" s="21" t="n">
        <v>1566</v>
      </c>
      <c r="H14" s="4" t="s">
        <v>120</v>
      </c>
    </row>
    <row r="15" customFormat="false" ht="15" hidden="false" customHeight="false" outlineLevel="0" collapsed="false">
      <c r="A15" s="6" t="s">
        <v>121</v>
      </c>
      <c r="C15" s="21" t="n">
        <v>1656</v>
      </c>
      <c r="H15" s="4" t="s">
        <v>120</v>
      </c>
    </row>
    <row r="16" customFormat="false" ht="15" hidden="false" customHeight="false" outlineLevel="0" collapsed="false">
      <c r="A16" s="6" t="s">
        <v>122</v>
      </c>
      <c r="B16" s="21" t="n">
        <v>105</v>
      </c>
      <c r="C16" s="21" t="n">
        <v>100</v>
      </c>
      <c r="D16" s="21" t="n">
        <v>90</v>
      </c>
      <c r="E16" s="21" t="n">
        <v>80</v>
      </c>
      <c r="F16" s="21" t="n">
        <v>70</v>
      </c>
      <c r="H16" s="4" t="s">
        <v>123</v>
      </c>
    </row>
    <row r="17" customFormat="false" ht="15" hidden="false" customHeight="false" outlineLevel="0" collapsed="false">
      <c r="A17" s="6" t="s">
        <v>124</v>
      </c>
      <c r="C17" s="24" t="n">
        <v>1.19422222222222</v>
      </c>
      <c r="H17" s="4" t="s">
        <v>125</v>
      </c>
    </row>
    <row r="18" customFormat="false" ht="15" hidden="false" customHeight="false" outlineLevel="0" collapsed="false">
      <c r="A18" s="6" t="s">
        <v>126</v>
      </c>
      <c r="C18" s="22" t="n">
        <v>-0.06</v>
      </c>
      <c r="H18" s="4" t="s">
        <v>127</v>
      </c>
    </row>
    <row r="19" customFormat="false" ht="15" hidden="false" customHeight="false" outlineLevel="0" collapsed="false">
      <c r="A19" s="6" t="s">
        <v>128</v>
      </c>
      <c r="C19" s="22" t="n">
        <v>1</v>
      </c>
      <c r="H19" s="4" t="s">
        <v>129</v>
      </c>
    </row>
    <row r="20" customFormat="false" ht="15" hidden="false" customHeight="false" outlineLevel="0" collapsed="false">
      <c r="A20" s="6" t="s">
        <v>130</v>
      </c>
      <c r="C20" s="24" t="n">
        <v>0.917565487274985</v>
      </c>
      <c r="H20" s="4" t="s">
        <v>131</v>
      </c>
    </row>
    <row r="21" customFormat="false" ht="15" hidden="false" customHeight="false" outlineLevel="0" collapsed="false">
      <c r="A21" s="6" t="s">
        <v>132</v>
      </c>
      <c r="C21" s="23" t="n">
        <v>17.214</v>
      </c>
      <c r="H21" s="4" t="s">
        <v>133</v>
      </c>
    </row>
    <row r="22" customFormat="false" ht="15" hidden="false" customHeight="false" outlineLevel="0" collapsed="false">
      <c r="A22" s="6" t="s">
        <v>134</v>
      </c>
      <c r="C22" s="25" t="n">
        <v>0.762854671675957</v>
      </c>
      <c r="H22" s="4" t="s">
        <v>135</v>
      </c>
    </row>
    <row r="23" customFormat="false" ht="15" hidden="false" customHeight="false" outlineLevel="0" collapsed="false">
      <c r="A23" s="6" t="s">
        <v>136</v>
      </c>
      <c r="C23" s="23" t="n">
        <v>162.419</v>
      </c>
      <c r="H23" s="4" t="s">
        <v>137</v>
      </c>
    </row>
    <row r="24" customFormat="false" ht="15" hidden="false" customHeight="false" outlineLevel="0" collapsed="false">
      <c r="A24" s="6" t="s">
        <v>138</v>
      </c>
      <c r="C24" s="23" t="n">
        <v>236.074</v>
      </c>
      <c r="H24" s="4" t="s">
        <v>139</v>
      </c>
    </row>
    <row r="25" customFormat="false" ht="15" hidden="false" customHeight="false" outlineLevel="0" collapsed="false">
      <c r="A25" s="6" t="s">
        <v>140</v>
      </c>
      <c r="C25" s="23" t="n">
        <v>14.624</v>
      </c>
      <c r="H25" s="4" t="s">
        <v>141</v>
      </c>
    </row>
    <row r="26" customFormat="false" ht="15" hidden="false" customHeight="false" outlineLevel="0" collapsed="false">
      <c r="A26" s="6" t="s">
        <v>142</v>
      </c>
      <c r="C26" s="23" t="n">
        <v>16.137</v>
      </c>
      <c r="H26" s="4" t="s">
        <v>143</v>
      </c>
    </row>
    <row r="27" customFormat="false" ht="15" hidden="false" customHeight="false" outlineLevel="0" collapsed="false">
      <c r="A27" s="6" t="s">
        <v>144</v>
      </c>
      <c r="C27" s="23" t="n">
        <v>58.307</v>
      </c>
      <c r="H27" s="4" t="s">
        <v>145</v>
      </c>
    </row>
    <row r="28" customFormat="false" ht="15" hidden="false" customHeight="false" outlineLevel="0" collapsed="false">
      <c r="A28" s="6" t="s">
        <v>146</v>
      </c>
      <c r="C28" s="22" t="n">
        <v>0.0300000000000001</v>
      </c>
      <c r="H28" s="4" t="s">
        <v>147</v>
      </c>
    </row>
    <row r="29" customFormat="false" ht="15" hidden="false" customHeight="false" outlineLevel="0" collapsed="false">
      <c r="A29" s="6" t="s">
        <v>148</v>
      </c>
      <c r="C29" s="22" t="n">
        <v>0.0249999999999999</v>
      </c>
      <c r="H29" s="4" t="s">
        <v>149</v>
      </c>
    </row>
    <row r="31" customFormat="false" ht="15" hidden="false" customHeight="false" outlineLevel="0" collapsed="false">
      <c r="A31" s="11" t="s">
        <v>150</v>
      </c>
      <c r="B31" s="14"/>
      <c r="C31" s="14"/>
      <c r="D31" s="14"/>
      <c r="E31" s="14"/>
      <c r="F31" s="14"/>
      <c r="G31" s="14"/>
      <c r="H31" s="14"/>
    </row>
    <row r="32" customFormat="false" ht="15" hidden="false" customHeight="false" outlineLevel="0" collapsed="false">
      <c r="A32" s="6" t="s">
        <v>151</v>
      </c>
      <c r="C32" s="24" t="n">
        <v>4.88932222222222</v>
      </c>
      <c r="H32" s="4" t="s">
        <v>152</v>
      </c>
    </row>
    <row r="33" customFormat="false" ht="15" hidden="false" customHeight="false" outlineLevel="0" collapsed="false">
      <c r="A33" s="6" t="s">
        <v>153</v>
      </c>
      <c r="C33" s="22" t="n">
        <v>0.008</v>
      </c>
      <c r="H33" s="4" t="s">
        <v>154</v>
      </c>
    </row>
    <row r="34" customFormat="false" ht="15" hidden="false" customHeight="false" outlineLevel="0" collapsed="false">
      <c r="A34" s="6" t="s">
        <v>155</v>
      </c>
      <c r="C34" s="23" t="n">
        <v>7194.99</v>
      </c>
      <c r="H34" s="4" t="s">
        <v>156</v>
      </c>
    </row>
    <row r="35" customFormat="false" ht="15" hidden="false" customHeight="false" outlineLevel="0" collapsed="false">
      <c r="A35" s="6" t="s">
        <v>157</v>
      </c>
      <c r="C35" s="25" t="n">
        <v>0.0503489555635611</v>
      </c>
      <c r="H35" s="4" t="s">
        <v>158</v>
      </c>
    </row>
    <row r="36" customFormat="false" ht="15" hidden="false" customHeight="false" outlineLevel="0" collapsed="false">
      <c r="A36" s="6" t="s">
        <v>159</v>
      </c>
      <c r="C36" s="23" t="n">
        <v>17.518</v>
      </c>
      <c r="H36" s="4" t="s">
        <v>160</v>
      </c>
    </row>
    <row r="37" customFormat="false" ht="15" hidden="false" customHeight="false" outlineLevel="0" collapsed="false">
      <c r="A37" s="6" t="s">
        <v>161</v>
      </c>
      <c r="C37" s="23" t="n">
        <v>-1756.752</v>
      </c>
      <c r="H37" s="4" t="s">
        <v>162</v>
      </c>
    </row>
    <row r="38" customFormat="false" ht="15" hidden="false" customHeight="false" outlineLevel="0" collapsed="false">
      <c r="A38" s="6" t="s">
        <v>163</v>
      </c>
      <c r="C38" s="25" t="n">
        <v>-0.513774733103579</v>
      </c>
      <c r="H38" s="4" t="s">
        <v>164</v>
      </c>
    </row>
    <row r="39" customFormat="false" ht="15" hidden="false" customHeight="false" outlineLevel="0" collapsed="false">
      <c r="A39" s="6" t="s">
        <v>165</v>
      </c>
      <c r="C39" s="23" t="n">
        <v>1150</v>
      </c>
      <c r="H39" s="4" t="s">
        <v>166</v>
      </c>
    </row>
    <row r="41" customFormat="false" ht="15" hidden="false" customHeight="false" outlineLevel="0" collapsed="false">
      <c r="A41" s="11" t="s">
        <v>167</v>
      </c>
      <c r="B41" s="14"/>
      <c r="C41" s="14"/>
      <c r="D41" s="14"/>
      <c r="E41" s="14"/>
      <c r="F41" s="14"/>
      <c r="G41" s="14"/>
      <c r="H41" s="14"/>
    </row>
    <row r="42" customFormat="false" ht="15" hidden="false" customHeight="false" outlineLevel="0" collapsed="false">
      <c r="A42" s="6" t="s">
        <v>168</v>
      </c>
      <c r="C42" s="25" t="n">
        <v>0.0448</v>
      </c>
      <c r="H42" s="4" t="s">
        <v>169</v>
      </c>
    </row>
    <row r="43" customFormat="false" ht="15" hidden="false" customHeight="false" outlineLevel="0" collapsed="false">
      <c r="A43" s="6" t="s">
        <v>170</v>
      </c>
      <c r="C43" s="25" t="n">
        <v>0.00393</v>
      </c>
      <c r="H43" s="4" t="s">
        <v>171</v>
      </c>
    </row>
    <row r="44" customFormat="false" ht="15" hidden="false" customHeight="false" outlineLevel="0" collapsed="false">
      <c r="A44" s="6" t="s">
        <v>172</v>
      </c>
      <c r="C44" s="25" t="n">
        <v>0.0052</v>
      </c>
      <c r="H44" s="4" t="s">
        <v>173</v>
      </c>
    </row>
    <row r="45" customFormat="false" ht="15" hidden="false" customHeight="false" outlineLevel="0" collapsed="false">
      <c r="A45" s="6" t="s">
        <v>174</v>
      </c>
      <c r="C45" s="25" t="n">
        <v>0.04811</v>
      </c>
      <c r="H45" s="4" t="s">
        <v>175</v>
      </c>
    </row>
    <row r="46" customFormat="false" ht="15" hidden="false" customHeight="false" outlineLevel="0" collapsed="false">
      <c r="A46" s="6" t="s">
        <v>176</v>
      </c>
      <c r="C46" s="25" t="n">
        <v>0.050083</v>
      </c>
      <c r="H46" s="4" t="s">
        <v>177</v>
      </c>
    </row>
    <row r="47" customFormat="false" ht="15" hidden="false" customHeight="false" outlineLevel="0" collapsed="false">
      <c r="A47" s="6" t="s">
        <v>178</v>
      </c>
      <c r="C47" s="26" t="n">
        <v>0.652</v>
      </c>
      <c r="H47" s="4" t="s">
        <v>179</v>
      </c>
    </row>
    <row r="48" customFormat="false" ht="15" hidden="false" customHeight="false" outlineLevel="0" collapsed="false">
      <c r="A48" s="6" t="s">
        <v>180</v>
      </c>
      <c r="C48" s="25" t="n">
        <v>0.0492</v>
      </c>
      <c r="H48" s="4" t="s">
        <v>181</v>
      </c>
    </row>
    <row r="49" customFormat="false" ht="15" hidden="false" customHeight="false" outlineLevel="0" collapsed="false">
      <c r="A49" s="6" t="s">
        <v>72</v>
      </c>
      <c r="C49" s="22" t="n">
        <v>0.025</v>
      </c>
      <c r="H49" s="4" t="s">
        <v>182</v>
      </c>
    </row>
    <row r="51" customFormat="false" ht="15" hidden="false" customHeight="false" outlineLevel="0" collapsed="false">
      <c r="A51" s="11" t="s">
        <v>183</v>
      </c>
      <c r="B51" s="14"/>
      <c r="C51" s="14"/>
      <c r="D51" s="14"/>
      <c r="E51" s="14"/>
      <c r="F51" s="14"/>
      <c r="G51" s="14"/>
      <c r="H51" s="14"/>
    </row>
    <row r="52" customFormat="false" ht="15" hidden="false" customHeight="false" outlineLevel="0" collapsed="false">
      <c r="A52" s="6" t="s">
        <v>184</v>
      </c>
      <c r="C52" s="23" t="n">
        <v>5502.845</v>
      </c>
      <c r="H52" s="4" t="s">
        <v>185</v>
      </c>
    </row>
    <row r="53" customFormat="false" ht="15" hidden="false" customHeight="false" outlineLevel="0" collapsed="false">
      <c r="A53" s="6" t="s">
        <v>186</v>
      </c>
      <c r="C53" s="23" t="n">
        <v>0.872</v>
      </c>
      <c r="H53" s="4" t="s">
        <v>187</v>
      </c>
    </row>
    <row r="54" customFormat="false" ht="15" hidden="false" customHeight="false" outlineLevel="0" collapsed="false">
      <c r="A54" s="6" t="s">
        <v>188</v>
      </c>
      <c r="C54" s="23" t="n">
        <v>2472.012</v>
      </c>
      <c r="H54" s="4" t="s">
        <v>189</v>
      </c>
    </row>
    <row r="55" customFormat="false" ht="15" hidden="false" customHeight="false" outlineLevel="0" collapsed="false">
      <c r="A55" s="6" t="s">
        <v>190</v>
      </c>
      <c r="C55" s="23" t="n">
        <v>40.212</v>
      </c>
      <c r="H55" s="4" t="s">
        <v>191</v>
      </c>
    </row>
    <row r="56" customFormat="false" ht="15" hidden="false" customHeight="false" outlineLevel="0" collapsed="false">
      <c r="A56" s="6" t="s">
        <v>192</v>
      </c>
      <c r="C56" s="23" t="n">
        <v>168.716</v>
      </c>
      <c r="H56" s="4" t="s">
        <v>193</v>
      </c>
    </row>
    <row r="57" customFormat="false" ht="15" hidden="false" customHeight="false" outlineLevel="0" collapsed="false">
      <c r="A57" s="6" t="s">
        <v>194</v>
      </c>
      <c r="C57" s="23" t="n">
        <v>53.411</v>
      </c>
      <c r="H57" s="4" t="s">
        <v>195</v>
      </c>
    </row>
    <row r="58" customFormat="false" ht="15" hidden="false" customHeight="false" outlineLevel="0" collapsed="false">
      <c r="A58" s="6" t="s">
        <v>196</v>
      </c>
      <c r="C58" s="23" t="n">
        <v>74.564</v>
      </c>
      <c r="H58" s="4" t="s">
        <v>197</v>
      </c>
    </row>
    <row r="59" customFormat="false" ht="15" hidden="false" customHeight="false" outlineLevel="0" collapsed="false">
      <c r="A59" s="6" t="s">
        <v>198</v>
      </c>
      <c r="C59" s="23" t="n">
        <v>3337.585</v>
      </c>
      <c r="H59" s="4" t="s">
        <v>199</v>
      </c>
    </row>
    <row r="60" customFormat="false" ht="15" hidden="false" customHeight="false" outlineLevel="0" collapsed="false">
      <c r="A60" s="6" t="s">
        <v>200</v>
      </c>
      <c r="C60" s="23" t="n">
        <v>3310.933</v>
      </c>
      <c r="H60" s="4" t="s">
        <v>201</v>
      </c>
    </row>
    <row r="61" customFormat="false" ht="15" hidden="false" customHeight="false" outlineLevel="0" collapsed="false">
      <c r="A61" s="6" t="s">
        <v>202</v>
      </c>
      <c r="C61" s="23" t="n">
        <v>3197.59</v>
      </c>
      <c r="H61" s="4" t="s">
        <v>203</v>
      </c>
    </row>
    <row r="62" customFormat="false" ht="15" hidden="false" customHeight="false" outlineLevel="0" collapsed="false">
      <c r="A62" s="6" t="s">
        <v>204</v>
      </c>
      <c r="C62" s="25" t="n">
        <v>0.035</v>
      </c>
      <c r="H62" s="4" t="s">
        <v>205</v>
      </c>
    </row>
    <row r="63" customFormat="false" ht="15" hidden="false" customHeight="false" outlineLevel="0" collapsed="false">
      <c r="A63" s="6" t="s">
        <v>206</v>
      </c>
      <c r="C63" s="23" t="n">
        <v>875</v>
      </c>
      <c r="H63" s="4" t="s">
        <v>207</v>
      </c>
    </row>
    <row r="65" customFormat="false" ht="15" hidden="false" customHeight="false" outlineLevel="0" collapsed="false">
      <c r="A65" s="11" t="s">
        <v>208</v>
      </c>
      <c r="B65" s="14"/>
      <c r="C65" s="14"/>
      <c r="D65" s="14"/>
      <c r="E65" s="14"/>
      <c r="F65" s="14"/>
      <c r="G65" s="14"/>
      <c r="H65" s="14"/>
    </row>
    <row r="66" customFormat="false" ht="15" hidden="false" customHeight="false" outlineLevel="0" collapsed="false">
      <c r="A66" s="6" t="s">
        <v>209</v>
      </c>
      <c r="C66" s="27" t="n">
        <v>10.7</v>
      </c>
      <c r="H66" s="4" t="s">
        <v>210</v>
      </c>
    </row>
    <row r="67" customFormat="false" ht="15" hidden="false" customHeight="false" outlineLevel="0" collapsed="false">
      <c r="A67" s="6" t="s">
        <v>211</v>
      </c>
      <c r="C67" s="27" t="n">
        <v>16.6</v>
      </c>
      <c r="H67" s="4" t="s">
        <v>212</v>
      </c>
    </row>
    <row r="68" customFormat="false" ht="15" hidden="false" customHeight="false" outlineLevel="0" collapsed="false">
      <c r="A68" s="6" t="s">
        <v>213</v>
      </c>
      <c r="C68" s="27" t="n">
        <v>16.8</v>
      </c>
      <c r="H68" s="4" t="s">
        <v>214</v>
      </c>
    </row>
    <row r="69" customFormat="false" ht="15" hidden="false" customHeight="false" outlineLevel="0" collapsed="false">
      <c r="A69" s="6" t="s">
        <v>215</v>
      </c>
      <c r="C69" s="22" t="n">
        <v>0.5</v>
      </c>
    </row>
    <row r="70" customFormat="false" ht="15" hidden="false" customHeight="false" outlineLevel="0" collapsed="false">
      <c r="A70" s="6" t="s">
        <v>216</v>
      </c>
      <c r="C70" s="22" t="n">
        <v>0.2</v>
      </c>
    </row>
    <row r="71" customFormat="false" ht="15" hidden="false" customHeight="false" outlineLevel="0" collapsed="false">
      <c r="A71" s="6" t="s">
        <v>217</v>
      </c>
      <c r="C71" s="22" t="n">
        <v>0.15</v>
      </c>
    </row>
    <row r="72" customFormat="false" ht="15" hidden="false" customHeight="false" outlineLevel="0" collapsed="false">
      <c r="A72" s="6" t="s">
        <v>218</v>
      </c>
      <c r="C72" s="22" t="n">
        <v>0.15</v>
      </c>
    </row>
    <row r="73" customFormat="false" ht="15" hidden="false" customHeight="false" outlineLevel="0" collapsed="false">
      <c r="A73" s="6" t="s">
        <v>219</v>
      </c>
      <c r="C73" s="22" t="n">
        <v>0.066</v>
      </c>
      <c r="H73" s="4" t="s">
        <v>220</v>
      </c>
    </row>
    <row r="74" customFormat="false" ht="15" hidden="false" customHeight="false" outlineLevel="0" collapsed="false">
      <c r="A74" s="6" t="s">
        <v>221</v>
      </c>
      <c r="C74" s="15" t="n">
        <v>2.16</v>
      </c>
      <c r="H74" s="4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6"/>
  </cols>
  <sheetData>
    <row r="1" customFormat="false" ht="16.15" hidden="false" customHeight="false" outlineLevel="0" collapsed="false">
      <c r="A1" s="1" t="s">
        <v>223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4" t="s">
        <v>224</v>
      </c>
    </row>
    <row r="4" customFormat="false" ht="15" hidden="false" customHeight="false" outlineLevel="0" collapsed="false">
      <c r="A4" s="5" t="s">
        <v>225</v>
      </c>
      <c r="B4" s="5"/>
      <c r="C4" s="5" t="s">
        <v>226</v>
      </c>
      <c r="D4" s="5" t="s">
        <v>227</v>
      </c>
      <c r="E4" s="5" t="s">
        <v>228</v>
      </c>
    </row>
    <row r="5" customFormat="false" ht="15" hidden="false" customHeight="false" outlineLevel="0" collapsed="false">
      <c r="A5" s="6" t="s">
        <v>229</v>
      </c>
      <c r="C5" s="18" t="n">
        <f aca="false">DCF!C32</f>
        <v>29622.7304200681</v>
      </c>
      <c r="D5" s="18" t="n">
        <f aca="false">DCF!C65</f>
        <v>27794.4682398998</v>
      </c>
      <c r="E5" s="18" t="n">
        <f aca="false">DCF!C74</f>
        <v>29613.3050853731</v>
      </c>
    </row>
    <row r="6" customFormat="false" ht="15" hidden="false" customHeight="false" outlineLevel="0" collapsed="false">
      <c r="A6" s="6" t="s">
        <v>230</v>
      </c>
      <c r="C6" s="28" t="n">
        <f aca="false">-DCF!$C$47</f>
        <v>-2991.493</v>
      </c>
      <c r="D6" s="28" t="n">
        <f aca="false">-DCF!$C$47</f>
        <v>-2991.493</v>
      </c>
      <c r="E6" s="28" t="n">
        <f aca="false">-DCF!$C$47</f>
        <v>-2991.493</v>
      </c>
    </row>
    <row r="7" customFormat="false" ht="15" hidden="false" customHeight="false" outlineLevel="0" collapsed="false">
      <c r="A7" s="6" t="s">
        <v>231</v>
      </c>
      <c r="C7" s="18" t="n">
        <f aca="false">Assumptions!$C$56</f>
        <v>168.716</v>
      </c>
      <c r="D7" s="18" t="n">
        <f aca="false">Assumptions!$C$56</f>
        <v>168.716</v>
      </c>
      <c r="E7" s="18" t="n">
        <f aca="false">Assumptions!$C$56</f>
        <v>168.716</v>
      </c>
    </row>
    <row r="8" customFormat="false" ht="15" hidden="false" customHeight="false" outlineLevel="0" collapsed="false">
      <c r="A8" s="6" t="s">
        <v>232</v>
      </c>
      <c r="C8" s="18" t="n">
        <f aca="false">Assumptions!$C$57</f>
        <v>53.411</v>
      </c>
      <c r="D8" s="18" t="n">
        <f aca="false">Assumptions!$C$57</f>
        <v>53.411</v>
      </c>
      <c r="E8" s="18" t="n">
        <f aca="false">Assumptions!$C$57</f>
        <v>53.411</v>
      </c>
    </row>
    <row r="9" customFormat="false" ht="15" hidden="false" customHeight="false" outlineLevel="0" collapsed="false">
      <c r="A9" s="6" t="s">
        <v>233</v>
      </c>
      <c r="C9" s="18" t="n">
        <f aca="false">Assumptions!$C$58</f>
        <v>74.564</v>
      </c>
      <c r="D9" s="18" t="n">
        <f aca="false">Assumptions!$C$58</f>
        <v>74.564</v>
      </c>
      <c r="E9" s="18" t="n">
        <f aca="false">Assumptions!$C$58</f>
        <v>74.564</v>
      </c>
    </row>
    <row r="10" customFormat="false" ht="15" hidden="false" customHeight="false" outlineLevel="0" collapsed="false">
      <c r="A10" s="6" t="s">
        <v>234</v>
      </c>
      <c r="C10" s="28" t="n">
        <f aca="false">SUM(C5:C9)</f>
        <v>26927.9284200681</v>
      </c>
      <c r="D10" s="28" t="n">
        <f aca="false">SUM(D5:D9)</f>
        <v>25099.6662398998</v>
      </c>
      <c r="E10" s="28" t="n">
        <f aca="false">SUM(E5:E9)</f>
        <v>26918.5030853731</v>
      </c>
    </row>
    <row r="11" customFormat="false" ht="15" hidden="false" customHeight="false" outlineLevel="0" collapsed="false">
      <c r="A11" s="6" t="s">
        <v>235</v>
      </c>
      <c r="C11" s="28" t="n">
        <f aca="false">-C10*$C$14</f>
        <v>-285.20239148011</v>
      </c>
      <c r="D11" s="28" t="n">
        <f aca="false">-D10*$C$14</f>
        <v>-265.838675939035</v>
      </c>
      <c r="E11" s="28" t="n">
        <f aca="false">-E10*$C$14</f>
        <v>-285.10256471462</v>
      </c>
    </row>
    <row r="12" customFormat="false" ht="15" hidden="false" customHeight="false" outlineLevel="0" collapsed="false">
      <c r="A12" s="14" t="s">
        <v>236</v>
      </c>
      <c r="B12" s="14"/>
      <c r="C12" s="29" t="n">
        <f aca="false">C10+C11</f>
        <v>26642.726028588</v>
      </c>
      <c r="D12" s="29" t="n">
        <f aca="false">D10+D11</f>
        <v>24833.8275639608</v>
      </c>
      <c r="E12" s="29" t="n">
        <f aca="false">E10+E11</f>
        <v>26633.4005206585</v>
      </c>
    </row>
    <row r="13" customFormat="false" ht="15" hidden="false" customHeight="false" outlineLevel="0" collapsed="false">
      <c r="A13" s="14" t="s">
        <v>237</v>
      </c>
      <c r="B13" s="14"/>
      <c r="C13" s="30" t="n">
        <f aca="false">C12/Assumptions!$C$6</f>
        <v>2.6642726028588</v>
      </c>
      <c r="D13" s="30" t="n">
        <f aca="false">D12/Assumptions!$C$6</f>
        <v>2.48338275639608</v>
      </c>
      <c r="E13" s="30" t="n">
        <f aca="false">E12/Assumptions!$C$6</f>
        <v>2.66334005206585</v>
      </c>
    </row>
    <row r="14" customFormat="false" ht="15" hidden="false" customHeight="false" outlineLevel="0" collapsed="false">
      <c r="A14" s="6" t="s">
        <v>238</v>
      </c>
      <c r="C14" s="31" t="n">
        <f aca="false">Assumptions!$C$10/Assumptions!$C$9</f>
        <v>0.0105913231434306</v>
      </c>
    </row>
    <row r="15" customFormat="false" ht="15" hidden="false" customHeight="false" outlineLevel="0" collapsed="false">
      <c r="A15" s="6" t="s">
        <v>239</v>
      </c>
      <c r="C15" s="8" t="n">
        <f aca="false">DCF!C33</f>
        <v>0.808489177103813</v>
      </c>
      <c r="D15" s="8" t="n">
        <f aca="false">DCF!C64/DCF!C65</f>
        <v>0.809145393212159</v>
      </c>
      <c r="E15" s="8" t="n">
        <f aca="false">DCF!C73/DCF!C74</f>
        <v>0.808435746424065</v>
      </c>
    </row>
    <row r="17" customFormat="false" ht="15" hidden="false" customHeight="false" outlineLevel="0" collapsed="false">
      <c r="A17" s="4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241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242</v>
      </c>
    </row>
    <row r="4" customFormat="false" ht="15" hidden="false" customHeight="false" outlineLevel="0" collapsed="false">
      <c r="A4" s="5" t="s">
        <v>243</v>
      </c>
      <c r="B4" s="5" t="s">
        <v>244</v>
      </c>
      <c r="C4" s="5" t="s">
        <v>98</v>
      </c>
      <c r="D4" s="5" t="s">
        <v>99</v>
      </c>
      <c r="E4" s="5" t="s">
        <v>100</v>
      </c>
      <c r="F4" s="5" t="s">
        <v>101</v>
      </c>
      <c r="G4" s="5" t="s">
        <v>102</v>
      </c>
    </row>
    <row r="5" customFormat="false" ht="15" hidden="false" customHeight="false" outlineLevel="0" collapsed="false">
      <c r="A5" s="6" t="s">
        <v>245</v>
      </c>
      <c r="B5" s="32" t="s">
        <v>246</v>
      </c>
      <c r="C5" s="17" t="n">
        <f aca="false">Assumptions!$B$16</f>
        <v>105</v>
      </c>
      <c r="D5" s="17" t="n">
        <f aca="false">Assumptions!$C$16</f>
        <v>100</v>
      </c>
      <c r="E5" s="17" t="n">
        <f aca="false">Assumptions!$D$16</f>
        <v>90</v>
      </c>
      <c r="F5" s="17" t="n">
        <f aca="false">Assumptions!$E$16</f>
        <v>80</v>
      </c>
      <c r="G5" s="17" t="n">
        <f aca="false">Assumptions!$F$16</f>
        <v>70</v>
      </c>
    </row>
    <row r="6" customFormat="false" ht="15" hidden="false" customHeight="false" outlineLevel="0" collapsed="false">
      <c r="A6" s="6" t="s">
        <v>247</v>
      </c>
      <c r="B6" s="17" t="n">
        <f aca="false">Assumptions!$C$15</f>
        <v>1656</v>
      </c>
      <c r="C6" s="32" t="n">
        <f aca="false">B6+C5</f>
        <v>1761</v>
      </c>
      <c r="D6" s="32" t="n">
        <f aca="false">C6+D5</f>
        <v>1861</v>
      </c>
      <c r="E6" s="32" t="n">
        <f aca="false">D6+E5</f>
        <v>1951</v>
      </c>
      <c r="F6" s="32" t="n">
        <f aca="false">E6+F5</f>
        <v>2031</v>
      </c>
      <c r="G6" s="32" t="n">
        <f aca="false">F6+G5</f>
        <v>2101</v>
      </c>
    </row>
    <row r="7" customFormat="false" ht="15" hidden="false" customHeight="false" outlineLevel="0" collapsed="false">
      <c r="A7" s="6" t="s">
        <v>248</v>
      </c>
      <c r="B7" s="28" t="n">
        <f aca="false">(Assumptions!$C$14+Assumptions!$C$15)/2</f>
        <v>1611</v>
      </c>
      <c r="C7" s="28" t="n">
        <f aca="false">(B6+C6)/2</f>
        <v>1708.5</v>
      </c>
      <c r="D7" s="28" t="n">
        <f aca="false">(C6+D6)/2</f>
        <v>1811</v>
      </c>
      <c r="E7" s="28" t="n">
        <f aca="false">(D6+E6)/2</f>
        <v>1906</v>
      </c>
      <c r="F7" s="28" t="n">
        <f aca="false">(E6+F6)/2</f>
        <v>1991</v>
      </c>
      <c r="G7" s="28" t="n">
        <f aca="false">(F6+G6)/2</f>
        <v>2066</v>
      </c>
    </row>
    <row r="8" customFormat="false" ht="15" hidden="false" customHeight="false" outlineLevel="0" collapsed="false">
      <c r="A8" s="6" t="s">
        <v>249</v>
      </c>
      <c r="B8" s="33" t="n">
        <f aca="false">Assumptions!$C$17</f>
        <v>1.19422222222222</v>
      </c>
      <c r="C8" s="34" t="n">
        <f aca="false">Assumptions!$C$17*(1+Assumptions!$C$18)</f>
        <v>1.12256888888889</v>
      </c>
      <c r="D8" s="34" t="n">
        <f aca="false">Assumptions!$C$17*Assumptions!$C$19</f>
        <v>1.19422222222222</v>
      </c>
      <c r="E8" s="34" t="n">
        <f aca="false">Assumptions!$C$17*Assumptions!$C$19</f>
        <v>1.19422222222222</v>
      </c>
      <c r="F8" s="34" t="n">
        <f aca="false">Assumptions!$C$17*Assumptions!$C$19</f>
        <v>1.19422222222222</v>
      </c>
      <c r="G8" s="34" t="n">
        <f aca="false">Assumptions!$C$17*Assumptions!$C$19</f>
        <v>1.19422222222222</v>
      </c>
    </row>
    <row r="9" customFormat="false" ht="15" hidden="false" customHeight="false" outlineLevel="0" collapsed="false">
      <c r="A9" s="6" t="s">
        <v>250</v>
      </c>
      <c r="B9" s="23" t="n">
        <v>1923.892</v>
      </c>
      <c r="C9" s="28" t="n">
        <f aca="false">C8*C7</f>
        <v>1917.90894666667</v>
      </c>
      <c r="D9" s="28" t="n">
        <f aca="false">D8*D7</f>
        <v>2162.73644444444</v>
      </c>
      <c r="E9" s="28" t="n">
        <f aca="false">E8*E7</f>
        <v>2276.18755555556</v>
      </c>
      <c r="F9" s="28" t="n">
        <f aca="false">F8*F7</f>
        <v>2377.69644444444</v>
      </c>
      <c r="G9" s="28" t="n">
        <f aca="false">G8*G7</f>
        <v>2467.26311111111</v>
      </c>
    </row>
    <row r="10" customFormat="false" ht="15" hidden="false" customHeight="false" outlineLevel="0" collapsed="false">
      <c r="A10" s="6" t="s">
        <v>251</v>
      </c>
      <c r="B10" s="28" t="n">
        <f aca="false">'Income Statement'!D5-B9-Assumptions!$C$21</f>
        <v>1478.198</v>
      </c>
      <c r="C10" s="28" t="n">
        <f aca="false">Assumptions!$C$20*C7</f>
        <v>1567.66063500931</v>
      </c>
      <c r="D10" s="28" t="n">
        <f aca="false">Assumptions!$C$20*D7</f>
        <v>1661.711097455</v>
      </c>
      <c r="E10" s="28" t="n">
        <f aca="false">Assumptions!$C$20*E7</f>
        <v>1748.87981874612</v>
      </c>
      <c r="F10" s="28" t="n">
        <f aca="false">Assumptions!$C$20*F7</f>
        <v>1826.87288516449</v>
      </c>
      <c r="G10" s="28" t="n">
        <f aca="false">Assumptions!$C$20*G7</f>
        <v>1895.69029671012</v>
      </c>
    </row>
    <row r="11" customFormat="false" ht="15" hidden="false" customHeight="false" outlineLevel="0" collapsed="false">
      <c r="A11" s="6" t="s">
        <v>252</v>
      </c>
      <c r="B11" s="18" t="n">
        <f aca="false">Assumptions!$C$21</f>
        <v>17.214</v>
      </c>
      <c r="C11" s="18" t="n">
        <f aca="false">Assumptions!$C$21</f>
        <v>17.214</v>
      </c>
      <c r="D11" s="18" t="n">
        <f aca="false">Assumptions!$C$21</f>
        <v>17.214</v>
      </c>
      <c r="E11" s="18" t="n">
        <f aca="false">Assumptions!$C$21</f>
        <v>17.214</v>
      </c>
      <c r="F11" s="18" t="n">
        <f aca="false">Assumptions!$C$21</f>
        <v>17.214</v>
      </c>
      <c r="G11" s="18" t="n">
        <f aca="false">Assumptions!$C$21</f>
        <v>17.214</v>
      </c>
    </row>
    <row r="12" customFormat="false" ht="15" hidden="false" customHeight="false" outlineLevel="0" collapsed="false">
      <c r="A12" s="14" t="s">
        <v>253</v>
      </c>
      <c r="B12" s="29" t="n">
        <f aca="false">SUM(B9:B11)</f>
        <v>3419.304</v>
      </c>
      <c r="C12" s="29" t="n">
        <f aca="false">SUM(C9:C11)</f>
        <v>3502.78358167598</v>
      </c>
      <c r="D12" s="29" t="n">
        <f aca="false">SUM(D9:D11)</f>
        <v>3841.66154189944</v>
      </c>
      <c r="E12" s="29" t="n">
        <f aca="false">SUM(E9:E11)</f>
        <v>4042.28137430168</v>
      </c>
      <c r="F12" s="29" t="n">
        <f aca="false">SUM(F9:F11)</f>
        <v>4221.78332960894</v>
      </c>
      <c r="G12" s="29" t="n">
        <f aca="false">SUM(G9:G11)</f>
        <v>4380.16740782123</v>
      </c>
    </row>
    <row r="14" customFormat="false" ht="15" hidden="false" customHeight="false" outlineLevel="0" collapsed="false">
      <c r="A14" s="5" t="s">
        <v>254</v>
      </c>
      <c r="B14" s="5" t="s">
        <v>244</v>
      </c>
      <c r="C14" s="5" t="s">
        <v>98</v>
      </c>
      <c r="D14" s="5" t="s">
        <v>99</v>
      </c>
      <c r="E14" s="5" t="s">
        <v>100</v>
      </c>
      <c r="F14" s="5" t="s">
        <v>101</v>
      </c>
      <c r="G14" s="5" t="s">
        <v>102</v>
      </c>
    </row>
    <row r="15" customFormat="false" ht="15" hidden="false" customHeight="false" outlineLevel="0" collapsed="false">
      <c r="A15" s="6" t="s">
        <v>255</v>
      </c>
      <c r="B15" s="28" t="n">
        <f aca="false">Assumptions!$C$22*B9</f>
        <v>1467.65</v>
      </c>
      <c r="C15" s="28" t="n">
        <f aca="false">Assumptions!$C$22*C9</f>
        <v>1463.08579981378</v>
      </c>
      <c r="D15" s="28" t="n">
        <f aca="false">Assumptions!$C$22*D9</f>
        <v>1649.85360024829</v>
      </c>
      <c r="E15" s="28" t="n">
        <f aca="false">Assumptions!$C$22*E9</f>
        <v>1736.40031036623</v>
      </c>
      <c r="F15" s="28" t="n">
        <f aca="false">Assumptions!$C$22*F9</f>
        <v>1813.83684047176</v>
      </c>
      <c r="G15" s="28" t="n">
        <f aca="false">Assumptions!$C$22*G9</f>
        <v>1882.16319056487</v>
      </c>
    </row>
    <row r="16" customFormat="false" ht="15" hidden="false" customHeight="false" outlineLevel="0" collapsed="false">
      <c r="A16" s="6" t="s">
        <v>256</v>
      </c>
      <c r="B16" s="18" t="n">
        <f aca="false">Assumptions!$C$23</f>
        <v>162.419</v>
      </c>
      <c r="C16" s="28" t="n">
        <f aca="false">B16*(1+Assumptions!$C$29)</f>
        <v>166.479475</v>
      </c>
      <c r="D16" s="28" t="n">
        <f aca="false">C16*(1+Assumptions!$C$29)</f>
        <v>170.641461875</v>
      </c>
      <c r="E16" s="28" t="n">
        <f aca="false">D16*(1+Assumptions!$C$29)</f>
        <v>174.907498421875</v>
      </c>
      <c r="F16" s="28" t="n">
        <f aca="false">E16*(1+Assumptions!$C$29)</f>
        <v>179.280185882422</v>
      </c>
      <c r="G16" s="28" t="n">
        <f aca="false">F16*(1+Assumptions!$C$29)</f>
        <v>183.762190529482</v>
      </c>
    </row>
    <row r="17" customFormat="false" ht="15" hidden="false" customHeight="false" outlineLevel="0" collapsed="false">
      <c r="A17" s="6" t="s">
        <v>257</v>
      </c>
      <c r="B17" s="18" t="n">
        <f aca="false">Assumptions!$C$24</f>
        <v>236.074</v>
      </c>
      <c r="C17" s="28" t="n">
        <f aca="false">B17*(1+Assumptions!$C$29)</f>
        <v>241.97585</v>
      </c>
      <c r="D17" s="28" t="n">
        <f aca="false">C17*(1+Assumptions!$C$29)</f>
        <v>248.02524625</v>
      </c>
      <c r="E17" s="28" t="n">
        <f aca="false">D17*(1+Assumptions!$C$29)</f>
        <v>254.22587740625</v>
      </c>
      <c r="F17" s="28" t="n">
        <f aca="false">E17*(1+Assumptions!$C$29)</f>
        <v>260.581524341406</v>
      </c>
      <c r="G17" s="28" t="n">
        <f aca="false">F17*(1+Assumptions!$C$29)</f>
        <v>267.096062449941</v>
      </c>
    </row>
    <row r="18" customFormat="false" ht="15" hidden="false" customHeight="false" outlineLevel="0" collapsed="false">
      <c r="A18" s="6" t="s">
        <v>258</v>
      </c>
      <c r="B18" s="18" t="n">
        <f aca="false">Assumptions!$C$27</f>
        <v>58.307</v>
      </c>
      <c r="C18" s="28" t="n">
        <f aca="false">B18*(1-Assumptions!$C$28)</f>
        <v>56.55779</v>
      </c>
      <c r="D18" s="28" t="n">
        <f aca="false">C18*(1-Assumptions!$C$28)</f>
        <v>54.8610563</v>
      </c>
      <c r="E18" s="28" t="n">
        <f aca="false">D18*(1-Assumptions!$C$28)</f>
        <v>53.215224611</v>
      </c>
      <c r="F18" s="28" t="n">
        <f aca="false">E18*(1-Assumptions!$C$28)</f>
        <v>51.61876787267</v>
      </c>
      <c r="G18" s="28" t="n">
        <f aca="false">F18*(1-Assumptions!$C$28)</f>
        <v>50.0702048364899</v>
      </c>
    </row>
    <row r="19" customFormat="false" ht="15" hidden="false" customHeight="false" outlineLevel="0" collapsed="false">
      <c r="A19" s="6" t="s">
        <v>259</v>
      </c>
      <c r="B19" s="18" t="n">
        <f aca="false">Assumptions!$C$25</f>
        <v>14.624</v>
      </c>
      <c r="C19" s="18" t="n">
        <f aca="false">Assumptions!$C$25</f>
        <v>14.624</v>
      </c>
      <c r="D19" s="18" t="n">
        <f aca="false">Assumptions!$C$25</f>
        <v>14.624</v>
      </c>
      <c r="E19" s="18" t="n">
        <f aca="false">Assumptions!$C$25</f>
        <v>14.624</v>
      </c>
      <c r="F19" s="18" t="n">
        <f aca="false">Assumptions!$C$25</f>
        <v>14.624</v>
      </c>
      <c r="G19" s="18" t="n">
        <f aca="false">Assumptions!$C$25</f>
        <v>14.624</v>
      </c>
    </row>
    <row r="20" customFormat="false" ht="15" hidden="false" customHeight="false" outlineLevel="0" collapsed="false">
      <c r="A20" s="6" t="s">
        <v>260</v>
      </c>
      <c r="B20" s="18" t="n">
        <f aca="false">Assumptions!$C$26</f>
        <v>16.137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</row>
    <row r="21" customFormat="false" ht="15" hidden="false" customHeight="false" outlineLevel="0" collapsed="false">
      <c r="A21" s="14" t="s">
        <v>261</v>
      </c>
      <c r="B21" s="29" t="n">
        <f aca="false">B12+B18-B15-B16-B17+B19+B20</f>
        <v>1642.229</v>
      </c>
      <c r="C21" s="29" t="n">
        <f aca="false">C12+C18-C15-C16-C17+C19+C20</f>
        <v>1702.4242468622</v>
      </c>
      <c r="D21" s="29" t="n">
        <f aca="false">D12+D18-D15-D16-D17+D19+D20</f>
        <v>1842.62628982615</v>
      </c>
      <c r="E21" s="29" t="n">
        <f aca="false">E12+E18-E15-E16-E17+E19+E20</f>
        <v>1944.58691271832</v>
      </c>
      <c r="F21" s="29" t="n">
        <f aca="false">F12+F18-F15-F16-F17+F19+F20</f>
        <v>2034.32754678602</v>
      </c>
      <c r="G21" s="29" t="n">
        <f aca="false">G12+G18-G15-G16-G17+G19+G20</f>
        <v>2111.84016911343</v>
      </c>
    </row>
    <row r="22" customFormat="false" ht="15" hidden="false" customHeight="false" outlineLevel="0" collapsed="false">
      <c r="A22" s="6" t="s">
        <v>262</v>
      </c>
      <c r="B22" s="10" t="n">
        <f aca="false">B21/B12</f>
        <v>0.480281659659393</v>
      </c>
      <c r="C22" s="10" t="n">
        <f aca="false">C21/C12</f>
        <v>0.486020391259125</v>
      </c>
      <c r="D22" s="10" t="n">
        <f aca="false">D21/D12</f>
        <v>0.479643058017832</v>
      </c>
      <c r="E22" s="10" t="n">
        <f aca="false">E21/E12</f>
        <v>0.481061740303582</v>
      </c>
      <c r="F22" s="10" t="n">
        <f aca="false">F21/F12</f>
        <v>0.481864507948224</v>
      </c>
      <c r="G22" s="10" t="n">
        <f aca="false">G21/G12</f>
        <v>0.482136862016398</v>
      </c>
    </row>
    <row r="24" customFormat="false" ht="15" hidden="false" customHeight="false" outlineLevel="0" collapsed="false">
      <c r="A24" s="4" t="s">
        <v>263</v>
      </c>
    </row>
    <row r="25" customFormat="false" ht="15" hidden="false" customHeight="false" outlineLevel="0" collapsed="false">
      <c r="A25" s="4" t="s">
        <v>264</v>
      </c>
    </row>
    <row r="26" customFormat="false" ht="15" hidden="false" customHeight="false" outlineLevel="0" collapsed="false">
      <c r="A26" s="4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6" min="2" style="0" width="15"/>
  </cols>
  <sheetData>
    <row r="1" customFormat="false" ht="16.15" hidden="false" customHeight="false" outlineLevel="0" collapsed="false">
      <c r="A1" s="1" t="s">
        <v>266</v>
      </c>
      <c r="B1" s="2"/>
      <c r="C1" s="2"/>
      <c r="D1" s="2"/>
      <c r="E1" s="2"/>
      <c r="F1" s="2"/>
    </row>
    <row r="4" customFormat="false" ht="15" hidden="false" customHeight="false" outlineLevel="0" collapsed="false">
      <c r="A4" s="5" t="s">
        <v>267</v>
      </c>
      <c r="B4" s="5" t="s">
        <v>62</v>
      </c>
    </row>
    <row r="5" customFormat="false" ht="15" hidden="false" customHeight="false" outlineLevel="0" collapsed="false">
      <c r="A5" s="6" t="s">
        <v>268</v>
      </c>
      <c r="C5" s="18" t="n">
        <f aca="false">DCF!B6</f>
        <v>1702.4242468622</v>
      </c>
    </row>
    <row r="6" customFormat="false" ht="15" hidden="false" customHeight="false" outlineLevel="0" collapsed="false">
      <c r="A6" s="6" t="s">
        <v>269</v>
      </c>
      <c r="C6" s="35" t="n">
        <f aca="false">Assumptions!$C$66</f>
        <v>10.7</v>
      </c>
    </row>
    <row r="7" customFormat="false" ht="15" hidden="false" customHeight="false" outlineLevel="0" collapsed="false">
      <c r="A7" s="6" t="s">
        <v>270</v>
      </c>
      <c r="C7" s="28" t="n">
        <f aca="false">C5*C6</f>
        <v>18215.9394414255</v>
      </c>
    </row>
    <row r="8" customFormat="false" ht="15" hidden="false" customHeight="false" outlineLevel="0" collapsed="false">
      <c r="A8" s="6" t="s">
        <v>271</v>
      </c>
      <c r="C8" s="18" t="n">
        <f aca="false">-DCF!$C$47</f>
        <v>-2991.493</v>
      </c>
    </row>
    <row r="9" customFormat="false" ht="15" hidden="false" customHeight="false" outlineLevel="0" collapsed="false">
      <c r="A9" s="6" t="s">
        <v>272</v>
      </c>
      <c r="C9" s="18" t="n">
        <f aca="false">Assumptions!$C$56+Assumptions!$C$57+Assumptions!$C$58</f>
        <v>296.691</v>
      </c>
    </row>
    <row r="10" customFormat="false" ht="15" hidden="false" customHeight="false" outlineLevel="0" collapsed="false">
      <c r="A10" s="6" t="s">
        <v>273</v>
      </c>
      <c r="C10" s="28" t="n">
        <f aca="false">C7+C8+C9</f>
        <v>15521.1374414255</v>
      </c>
    </row>
    <row r="11" customFormat="false" ht="15" hidden="false" customHeight="false" outlineLevel="0" collapsed="false">
      <c r="A11" s="14" t="s">
        <v>274</v>
      </c>
      <c r="B11" s="14"/>
      <c r="C11" s="30" t="n">
        <f aca="false">C10*(1-'SOTP Bridge'!$C$14)/Assumptions!$C$6</f>
        <v>1.53567480592298</v>
      </c>
    </row>
    <row r="12" customFormat="false" ht="15" hidden="false" customHeight="false" outlineLevel="0" collapsed="false">
      <c r="A12" s="6" t="s">
        <v>275</v>
      </c>
      <c r="C12" s="9" t="n">
        <f aca="false">Assumptions!$C$67*'Income Statement'!E17/Assumptions!$C$6</f>
        <v>1.70149303941813</v>
      </c>
    </row>
    <row r="14" customFormat="false" ht="15" hidden="false" customHeight="false" outlineLevel="0" collapsed="false">
      <c r="A14" s="5" t="s">
        <v>276</v>
      </c>
      <c r="B14" s="5" t="s">
        <v>62</v>
      </c>
    </row>
    <row r="15" customFormat="false" ht="15" hidden="false" customHeight="false" outlineLevel="0" collapsed="false">
      <c r="A15" s="6" t="s">
        <v>277</v>
      </c>
      <c r="C15" s="36" t="n">
        <f aca="false">(Assumptions!$C$5*Assumptions!$C$6+DCF!$C$47)/'Income Statement'!D8</f>
        <v>10.95553238921</v>
      </c>
    </row>
    <row r="16" customFormat="false" ht="15" hidden="false" customHeight="false" outlineLevel="0" collapsed="false">
      <c r="A16" s="6" t="s">
        <v>278</v>
      </c>
      <c r="C16" s="36" t="n">
        <f aca="false">Assumptions!$C$5/'Income Statement'!D18</f>
        <v>15.1011474858603</v>
      </c>
    </row>
    <row r="17" customFormat="false" ht="15" hidden="false" customHeight="false" outlineLevel="0" collapsed="false">
      <c r="A17" s="6" t="s">
        <v>279</v>
      </c>
      <c r="C17" s="36" t="n">
        <f aca="false">Assumptions!$C$5/C32</f>
        <v>4.49426756172502</v>
      </c>
    </row>
    <row r="18" customFormat="false" ht="15" hidden="false" customHeight="false" outlineLevel="0" collapsed="false">
      <c r="A18" s="6" t="s">
        <v>280</v>
      </c>
      <c r="C18" s="36" t="n">
        <f aca="false">DCF!$C$47/'Income Statement'!D8</f>
        <v>1.82160526942345</v>
      </c>
    </row>
    <row r="20" customFormat="false" ht="15" hidden="false" customHeight="false" outlineLevel="0" collapsed="false">
      <c r="A20" s="5" t="s">
        <v>281</v>
      </c>
      <c r="B20" s="5" t="s">
        <v>62</v>
      </c>
    </row>
    <row r="21" customFormat="false" ht="15" hidden="false" customHeight="false" outlineLevel="0" collapsed="false">
      <c r="A21" s="6" t="s">
        <v>282</v>
      </c>
      <c r="C21" s="18" t="n">
        <f aca="false">Assumptions!$C$17*Segments!C7+Segments!C10+Assumptions!$C$21</f>
        <v>3625.20330167598</v>
      </c>
    </row>
    <row r="22" customFormat="false" ht="15" hidden="false" customHeight="false" outlineLevel="0" collapsed="false">
      <c r="A22" s="6" t="s">
        <v>283</v>
      </c>
      <c r="C22" s="18" t="n">
        <f aca="false">C21+Segments!C18-Assumptions!$C$22*Assumptions!$C$17*Segments!C7-Segments!C16-Segments!C17+Assumptions!$C$25</f>
        <v>1731.45551155494</v>
      </c>
    </row>
    <row r="23" customFormat="false" ht="15" hidden="false" customHeight="false" outlineLevel="0" collapsed="false">
      <c r="A23" s="6" t="s">
        <v>284</v>
      </c>
      <c r="C23" s="18" t="n">
        <f aca="false">-DCF!B12</f>
        <v>-379.778231790266</v>
      </c>
    </row>
    <row r="24" customFormat="false" ht="15" hidden="false" customHeight="false" outlineLevel="0" collapsed="false">
      <c r="A24" s="6" t="s">
        <v>285</v>
      </c>
      <c r="C24" s="18" t="n">
        <f aca="false">'Income Statement'!E12</f>
        <v>-184.219554</v>
      </c>
    </row>
    <row r="25" customFormat="false" ht="15" hidden="false" customHeight="false" outlineLevel="0" collapsed="false">
      <c r="A25" s="6" t="s">
        <v>286</v>
      </c>
      <c r="C25" s="28" t="n">
        <f aca="false">(C22+C23+C24)*(1-Assumptions!$C$7)*(1-'SOTP Bridge'!$C$14)</f>
        <v>1051.13445139867</v>
      </c>
    </row>
    <row r="26" customFormat="false" ht="15" hidden="false" customHeight="false" outlineLevel="0" collapsed="false">
      <c r="A26" s="6" t="s">
        <v>287</v>
      </c>
      <c r="C26" s="9" t="n">
        <f aca="false">C25/Assumptions!$C$6</f>
        <v>0.105113445139867</v>
      </c>
    </row>
    <row r="27" customFormat="false" ht="15" hidden="false" customHeight="false" outlineLevel="0" collapsed="false">
      <c r="A27" s="6" t="s">
        <v>288</v>
      </c>
      <c r="C27" s="10" t="n">
        <f aca="false">Assumptions!$C$11/((Assumptions!$C$60+Assumptions!$C$61)/2)</f>
        <v>0.305231156131737</v>
      </c>
    </row>
    <row r="28" customFormat="false" ht="15" hidden="false" customHeight="false" outlineLevel="0" collapsed="false">
      <c r="A28" s="6" t="s">
        <v>289</v>
      </c>
      <c r="C28" s="35" t="n">
        <f aca="false">(1-Assumptions!$C$49/C27)*(1+Assumptions!$C$49)/(DCF!$C$44-Assumptions!$C$49)</f>
        <v>19.9215210520751</v>
      </c>
    </row>
    <row r="29" customFormat="false" ht="15" hidden="false" customHeight="false" outlineLevel="0" collapsed="false">
      <c r="A29" s="14" t="s">
        <v>274</v>
      </c>
      <c r="B29" s="14"/>
      <c r="C29" s="30" t="n">
        <f aca="false">C26*C28</f>
        <v>2.09401971021</v>
      </c>
    </row>
    <row r="31" customFormat="false" ht="15" hidden="false" customHeight="false" outlineLevel="0" collapsed="false">
      <c r="A31" s="5" t="s">
        <v>51</v>
      </c>
      <c r="B31" s="5" t="s">
        <v>62</v>
      </c>
    </row>
    <row r="32" customFormat="false" ht="15" hidden="false" customHeight="false" outlineLevel="0" collapsed="false">
      <c r="A32" s="6" t="s">
        <v>290</v>
      </c>
      <c r="C32" s="9" t="n">
        <f aca="false">Assumptions!$C$59/Assumptions!$C$6</f>
        <v>0.3337585</v>
      </c>
    </row>
    <row r="33" customFormat="false" ht="15" hidden="false" customHeight="false" outlineLevel="0" collapsed="false">
      <c r="A33" s="6" t="s">
        <v>291</v>
      </c>
      <c r="C33" s="35" t="n">
        <f aca="false">(C27-Assumptions!$C$49)/(DCF!$C$44-Assumptions!$C$49)</f>
        <v>5.93235990500254</v>
      </c>
    </row>
    <row r="34" customFormat="false" ht="15" hidden="false" customHeight="false" outlineLevel="0" collapsed="false">
      <c r="A34" s="14" t="s">
        <v>274</v>
      </c>
      <c r="B34" s="14"/>
      <c r="C34" s="30" t="n">
        <f aca="false">C32*C33</f>
        <v>1.97997554335379</v>
      </c>
    </row>
    <row r="36" customFormat="false" ht="15" hidden="false" customHeight="false" outlineLevel="0" collapsed="false">
      <c r="A36" s="5" t="s">
        <v>56</v>
      </c>
      <c r="B36" s="5" t="s">
        <v>62</v>
      </c>
    </row>
    <row r="37" customFormat="false" ht="15" hidden="false" customHeight="false" outlineLevel="0" collapsed="false">
      <c r="A37" s="6" t="s">
        <v>292</v>
      </c>
      <c r="C37" s="9" t="n">
        <f aca="false">Assumptions!$C$63/Assumptions!$C$6</f>
        <v>0.0875</v>
      </c>
    </row>
    <row r="38" customFormat="false" ht="15" hidden="false" customHeight="false" outlineLevel="0" collapsed="false">
      <c r="A38" s="6" t="s">
        <v>293</v>
      </c>
      <c r="C38" s="7" t="n">
        <f aca="false">C37*(1+Assumptions!$C$49)/(DCF!$C$44-Assumptions!$C$49)</f>
        <v>1.89864159404815</v>
      </c>
    </row>
    <row r="40" customFormat="false" ht="15" hidden="false" customHeight="false" outlineLevel="0" collapsed="false">
      <c r="A40" s="4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295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296</v>
      </c>
    </row>
    <row r="4" customFormat="false" ht="15" hidden="false" customHeight="false" outlineLevel="0" collapsed="false">
      <c r="A4" s="5" t="s">
        <v>297</v>
      </c>
      <c r="B4" s="5" t="s">
        <v>98</v>
      </c>
      <c r="C4" s="5" t="s">
        <v>99</v>
      </c>
      <c r="D4" s="5" t="s">
        <v>100</v>
      </c>
      <c r="E4" s="5" t="s">
        <v>101</v>
      </c>
      <c r="F4" s="5" t="s">
        <v>102</v>
      </c>
    </row>
    <row r="5" customFormat="false" ht="15" hidden="false" customHeight="false" outlineLevel="0" collapsed="false">
      <c r="A5" s="6" t="s">
        <v>298</v>
      </c>
      <c r="B5" s="18" t="n">
        <f aca="false">Segments!C12</f>
        <v>3502.78358167598</v>
      </c>
      <c r="C5" s="18" t="n">
        <f aca="false">Segments!D12</f>
        <v>3841.66154189944</v>
      </c>
      <c r="D5" s="18" t="n">
        <f aca="false">Segments!E12</f>
        <v>4042.28137430168</v>
      </c>
      <c r="E5" s="18" t="n">
        <f aca="false">Segments!F12</f>
        <v>4221.78332960894</v>
      </c>
      <c r="F5" s="18" t="n">
        <f aca="false">Segments!G12</f>
        <v>4380.16740782123</v>
      </c>
    </row>
    <row r="6" customFormat="false" ht="15" hidden="false" customHeight="false" outlineLevel="0" collapsed="false">
      <c r="A6" s="20" t="s">
        <v>261</v>
      </c>
      <c r="B6" s="37" t="n">
        <f aca="false">Segments!C21</f>
        <v>1702.4242468622</v>
      </c>
      <c r="C6" s="37" t="n">
        <f aca="false">Segments!D21</f>
        <v>1842.62628982615</v>
      </c>
      <c r="D6" s="37" t="n">
        <f aca="false">Segments!E21</f>
        <v>1944.58691271832</v>
      </c>
      <c r="E6" s="37" t="n">
        <f aca="false">Segments!F21</f>
        <v>2034.32754678602</v>
      </c>
      <c r="F6" s="37" t="n">
        <f aca="false">Segments!G21</f>
        <v>2111.84016911343</v>
      </c>
    </row>
    <row r="7" customFormat="false" ht="15" hidden="false" customHeight="false" outlineLevel="0" collapsed="false">
      <c r="A7" s="6" t="s">
        <v>262</v>
      </c>
      <c r="B7" s="10" t="n">
        <f aca="false">B6/B5</f>
        <v>0.486020391259125</v>
      </c>
      <c r="C7" s="10" t="n">
        <f aca="false">C6/C5</f>
        <v>0.479643058017832</v>
      </c>
      <c r="D7" s="10" t="n">
        <f aca="false">D6/D5</f>
        <v>0.481061740303582</v>
      </c>
      <c r="E7" s="10" t="n">
        <f aca="false">E6/E5</f>
        <v>0.481864507948224</v>
      </c>
      <c r="F7" s="10" t="n">
        <f aca="false">F6/F5</f>
        <v>0.482136862016398</v>
      </c>
    </row>
    <row r="8" customFormat="false" ht="15" hidden="false" customHeight="false" outlineLevel="0" collapsed="false">
      <c r="A8" s="6" t="s">
        <v>299</v>
      </c>
      <c r="B8" s="18" t="n">
        <f aca="false">Assumptions!$C$34</f>
        <v>7194.99</v>
      </c>
      <c r="C8" s="28" t="n">
        <f aca="false">B11</f>
        <v>7403.66852154307</v>
      </c>
      <c r="D8" s="28" t="n">
        <f aca="false">C11</f>
        <v>7579.06311453913</v>
      </c>
      <c r="E8" s="28" t="n">
        <f aca="false">D11</f>
        <v>7698.13670748808</v>
      </c>
      <c r="F8" s="28" t="n">
        <f aca="false">E11</f>
        <v>7763.27443591823</v>
      </c>
    </row>
    <row r="9" customFormat="false" ht="15" hidden="false" customHeight="false" outlineLevel="0" collapsed="false">
      <c r="A9" s="6" t="s">
        <v>300</v>
      </c>
      <c r="B9" s="28" t="n">
        <f aca="false">Assumptions!$C$32*Segments!C5+Assumptions!$C$33*B8</f>
        <v>570.938753333333</v>
      </c>
      <c r="C9" s="28" t="n">
        <f aca="false">Assumptions!$C$32*Segments!D5+Assumptions!$C$33*C8</f>
        <v>548.161570394567</v>
      </c>
      <c r="D9" s="28" t="n">
        <f aca="false">Assumptions!$C$32*Segments!E5+Assumptions!$C$33*D8</f>
        <v>500.671504916313</v>
      </c>
      <c r="E9" s="28" t="n">
        <f aca="false">Assumptions!$C$32*Segments!F5+Assumptions!$C$33*E8</f>
        <v>452.730871437682</v>
      </c>
      <c r="F9" s="28" t="n">
        <f aca="false">Assumptions!$C$32*Segments!G5+Assumptions!$C$33*F8</f>
        <v>404.358751042901</v>
      </c>
    </row>
    <row r="10" customFormat="false" ht="15" hidden="false" customHeight="false" outlineLevel="0" collapsed="false">
      <c r="A10" s="6" t="s">
        <v>301</v>
      </c>
      <c r="B10" s="28" t="n">
        <f aca="false">Assumptions!$C$35*B8</f>
        <v>362.260231790266</v>
      </c>
      <c r="C10" s="28" t="n">
        <f aca="false">Assumptions!$C$35*C8</f>
        <v>372.766977398508</v>
      </c>
      <c r="D10" s="28" t="n">
        <f aca="false">Assumptions!$C$35*D8</f>
        <v>381.597911967355</v>
      </c>
      <c r="E10" s="28" t="n">
        <f aca="false">Assumptions!$C$35*E8</f>
        <v>387.593143007536</v>
      </c>
      <c r="F10" s="28" t="n">
        <f aca="false">Assumptions!$C$35*F8</f>
        <v>390.872759601777</v>
      </c>
    </row>
    <row r="11" customFormat="false" ht="15" hidden="false" customHeight="false" outlineLevel="0" collapsed="false">
      <c r="A11" s="6" t="s">
        <v>302</v>
      </c>
      <c r="B11" s="28" t="n">
        <f aca="false">B8+B9-B10</f>
        <v>7403.66852154307</v>
      </c>
      <c r="C11" s="28" t="n">
        <f aca="false">C8+C9-C10</f>
        <v>7579.06311453913</v>
      </c>
      <c r="D11" s="28" t="n">
        <f aca="false">D8+D9-D10</f>
        <v>7698.13670748808</v>
      </c>
      <c r="E11" s="28" t="n">
        <f aca="false">E8+E9-E10</f>
        <v>7763.27443591823</v>
      </c>
      <c r="F11" s="28" t="n">
        <f aca="false">F8+F9-F10</f>
        <v>7776.76042735935</v>
      </c>
    </row>
    <row r="12" customFormat="false" ht="15" hidden="false" customHeight="false" outlineLevel="0" collapsed="false">
      <c r="A12" s="6" t="s">
        <v>303</v>
      </c>
      <c r="B12" s="28" t="n">
        <f aca="false">B10+Assumptions!$C$36</f>
        <v>379.778231790266</v>
      </c>
      <c r="C12" s="28" t="n">
        <f aca="false">C10+Assumptions!$C$36</f>
        <v>390.284977398508</v>
      </c>
      <c r="D12" s="28" t="n">
        <f aca="false">D10+Assumptions!$C$36</f>
        <v>399.115911967355</v>
      </c>
      <c r="E12" s="28" t="n">
        <f aca="false">E10+Assumptions!$C$36</f>
        <v>405.111143007536</v>
      </c>
      <c r="F12" s="28" t="n">
        <f aca="false">F10+Assumptions!$C$36</f>
        <v>408.390759601777</v>
      </c>
    </row>
    <row r="13" customFormat="false" ht="15" hidden="false" customHeight="false" outlineLevel="0" collapsed="false">
      <c r="A13" s="14" t="s">
        <v>304</v>
      </c>
      <c r="B13" s="29" t="n">
        <f aca="false">B6-B12</f>
        <v>1322.64601507193</v>
      </c>
      <c r="C13" s="29" t="n">
        <f aca="false">C6-C12</f>
        <v>1452.34131242764</v>
      </c>
      <c r="D13" s="29" t="n">
        <f aca="false">D6-D12</f>
        <v>1545.47100075096</v>
      </c>
      <c r="E13" s="29" t="n">
        <f aca="false">E6-E12</f>
        <v>1629.21640377849</v>
      </c>
      <c r="F13" s="29" t="n">
        <f aca="false">F6-F12</f>
        <v>1703.44940951165</v>
      </c>
      <c r="G13" s="14"/>
    </row>
    <row r="14" customFormat="false" ht="15" hidden="false" customHeight="false" outlineLevel="0" collapsed="false">
      <c r="A14" s="6" t="s">
        <v>305</v>
      </c>
      <c r="B14" s="28" t="n">
        <f aca="false">B13*(1-Assumptions!$C$7)</f>
        <v>1203.60787371546</v>
      </c>
      <c r="C14" s="28" t="n">
        <f aca="false">C13*(1-Assumptions!$C$7)</f>
        <v>1321.63059430915</v>
      </c>
      <c r="D14" s="28" t="n">
        <f aca="false">D13*(1-Assumptions!$C$7)</f>
        <v>1406.37861068338</v>
      </c>
      <c r="E14" s="28" t="n">
        <f aca="false">E13*(1-Assumptions!$C$7)</f>
        <v>1482.58692743842</v>
      </c>
      <c r="F14" s="28" t="n">
        <f aca="false">F13*(1-Assumptions!$C$7)</f>
        <v>1550.1389626556</v>
      </c>
    </row>
    <row r="15" customFormat="false" ht="15" hidden="false" customHeight="false" outlineLevel="0" collapsed="false">
      <c r="A15" s="6" t="s">
        <v>306</v>
      </c>
      <c r="B15" s="28" t="n">
        <f aca="false">B12</f>
        <v>379.778231790266</v>
      </c>
      <c r="C15" s="28" t="n">
        <f aca="false">C12</f>
        <v>390.284977398508</v>
      </c>
      <c r="D15" s="28" t="n">
        <f aca="false">D12</f>
        <v>399.115911967355</v>
      </c>
      <c r="E15" s="28" t="n">
        <f aca="false">E12</f>
        <v>405.111143007536</v>
      </c>
      <c r="F15" s="28" t="n">
        <f aca="false">F12</f>
        <v>408.390759601777</v>
      </c>
    </row>
    <row r="16" customFormat="false" ht="15" hidden="false" customHeight="false" outlineLevel="0" collapsed="false">
      <c r="A16" s="6" t="s">
        <v>307</v>
      </c>
      <c r="B16" s="28" t="n">
        <f aca="false">-B9</f>
        <v>-570.938753333333</v>
      </c>
      <c r="C16" s="28" t="n">
        <f aca="false">-C9</f>
        <v>-548.161570394567</v>
      </c>
      <c r="D16" s="28" t="n">
        <f aca="false">-D9</f>
        <v>-500.671504916313</v>
      </c>
      <c r="E16" s="28" t="n">
        <f aca="false">-E9</f>
        <v>-452.730871437682</v>
      </c>
      <c r="F16" s="28" t="n">
        <f aca="false">-F9</f>
        <v>-404.358751042901</v>
      </c>
    </row>
    <row r="17" customFormat="false" ht="15" hidden="false" customHeight="false" outlineLevel="0" collapsed="false">
      <c r="A17" s="6" t="s">
        <v>308</v>
      </c>
      <c r="B17" s="28" t="n">
        <f aca="false">-(Assumptions!$C$38*B5-Assumptions!$C$37)</f>
        <v>42.8896997951736</v>
      </c>
      <c r="C17" s="28" t="n">
        <f aca="false">-Assumptions!$C$38*(C5-B5)</f>
        <v>174.106933568495</v>
      </c>
      <c r="D17" s="28" t="n">
        <f aca="false">-Assumptions!$C$38*(D5-C5)</f>
        <v>103.073400847743</v>
      </c>
      <c r="E17" s="28" t="n">
        <f aca="false">-Assumptions!$C$38*(E5-D5)</f>
        <v>92.2235691795594</v>
      </c>
      <c r="F17" s="28" t="n">
        <f aca="false">-Assumptions!$C$38*(F5-E5)</f>
        <v>81.373737511376</v>
      </c>
    </row>
    <row r="18" customFormat="false" ht="15" hidden="false" customHeight="false" outlineLevel="0" collapsed="false">
      <c r="A18" s="14" t="s">
        <v>309</v>
      </c>
      <c r="B18" s="29" t="n">
        <f aca="false">B14+B15+B16+B17</f>
        <v>1055.33705196756</v>
      </c>
      <c r="C18" s="29" t="n">
        <f aca="false">C14+C15+C16+C17</f>
        <v>1337.86093488159</v>
      </c>
      <c r="D18" s="29" t="n">
        <f aca="false">D14+D15+D16+D17</f>
        <v>1407.89641858216</v>
      </c>
      <c r="E18" s="29" t="n">
        <f aca="false">E14+E15+E16+E17</f>
        <v>1527.19076818784</v>
      </c>
      <c r="F18" s="29" t="n">
        <f aca="false">F14+F15+F16+F17</f>
        <v>1635.54470872586</v>
      </c>
      <c r="G18" s="14"/>
    </row>
    <row r="19" customFormat="false" ht="15" hidden="false" customHeight="false" outlineLevel="0" collapsed="false">
      <c r="A19" s="6" t="s">
        <v>310</v>
      </c>
      <c r="B19" s="34" t="n">
        <f aca="false">1/(1+$C$50)</f>
        <v>0.936618183681288</v>
      </c>
      <c r="C19" s="34" t="n">
        <f aca="false">B19/(1+$C$50)</f>
        <v>0.877253622002435</v>
      </c>
      <c r="D19" s="34" t="n">
        <f aca="false">C19/(1+$C$50)</f>
        <v>0.821651694067752</v>
      </c>
      <c r="E19" s="34" t="n">
        <f aca="false">D19/(1+$C$50)</f>
        <v>0.769573917316391</v>
      </c>
      <c r="F19" s="34" t="n">
        <f aca="false">E19/(1+$C$50)</f>
        <v>0.720796924645372</v>
      </c>
    </row>
    <row r="20" customFormat="false" ht="15" hidden="false" customHeight="false" outlineLevel="0" collapsed="false">
      <c r="A20" s="20" t="s">
        <v>311</v>
      </c>
      <c r="B20" s="38" t="n">
        <f aca="false">B18*B19</f>
        <v>988.447872785424</v>
      </c>
      <c r="C20" s="38" t="n">
        <f aca="false">C18*C19</f>
        <v>1173.64335086044</v>
      </c>
      <c r="D20" s="38" t="n">
        <f aca="false">D18*D19</f>
        <v>1156.80047739995</v>
      </c>
      <c r="E20" s="38" t="n">
        <f aca="false">E18*E19</f>
        <v>1175.28618196374</v>
      </c>
      <c r="F20" s="38" t="n">
        <f aca="false">F18*F19</f>
        <v>1178.89559616961</v>
      </c>
    </row>
    <row r="22" customFormat="false" ht="15" hidden="false" customHeight="false" outlineLevel="0" collapsed="false">
      <c r="A22" s="20" t="s">
        <v>312</v>
      </c>
    </row>
    <row r="23" customFormat="false" ht="15" hidden="false" customHeight="false" outlineLevel="0" collapsed="false">
      <c r="A23" s="6" t="s">
        <v>313</v>
      </c>
      <c r="C23" s="28" t="n">
        <f aca="false">Assumptions!$C$38*F5</f>
        <v>-2250.41934090235</v>
      </c>
    </row>
    <row r="24" customFormat="false" ht="15" hidden="false" customHeight="false" outlineLevel="0" collapsed="false">
      <c r="A24" s="6" t="s">
        <v>314</v>
      </c>
      <c r="C24" s="28" t="n">
        <f aca="false">F11+Assumptions!$C$39+C23</f>
        <v>6676.34108645701</v>
      </c>
    </row>
    <row r="25" customFormat="false" ht="15" hidden="false" customHeight="false" outlineLevel="0" collapsed="false">
      <c r="A25" s="6" t="s">
        <v>315</v>
      </c>
      <c r="C25" s="10" t="n">
        <f aca="false">F14/C24</f>
        <v>0.232183907709579</v>
      </c>
    </row>
    <row r="26" customFormat="false" ht="15" hidden="false" customHeight="false" outlineLevel="0" collapsed="false">
      <c r="A26" s="6" t="s">
        <v>316</v>
      </c>
      <c r="C26" s="10" t="n">
        <f aca="false">Assumptions!$C$49/C25</f>
        <v>0.107673267482734</v>
      </c>
    </row>
    <row r="27" customFormat="false" ht="15" hidden="false" customHeight="false" outlineLevel="0" collapsed="false">
      <c r="A27" s="6" t="s">
        <v>317</v>
      </c>
      <c r="C27" s="28" t="n">
        <f aca="false">F14*(1+Assumptions!$C$49)</f>
        <v>1588.89243672199</v>
      </c>
    </row>
    <row r="28" customFormat="false" ht="15" hidden="false" customHeight="false" outlineLevel="0" collapsed="false">
      <c r="A28" s="6" t="s">
        <v>318</v>
      </c>
      <c r="C28" s="28" t="n">
        <f aca="false">C27*(1-C26)</f>
        <v>1417.81119638153</v>
      </c>
    </row>
    <row r="29" customFormat="false" ht="15" hidden="false" customHeight="false" outlineLevel="0" collapsed="false">
      <c r="A29" s="6" t="s">
        <v>319</v>
      </c>
      <c r="C29" s="28" t="n">
        <f aca="false">C28/($C$50-Assumptions!$C$49)</f>
        <v>33226.6358554069</v>
      </c>
    </row>
    <row r="30" customFormat="false" ht="15" hidden="false" customHeight="false" outlineLevel="0" collapsed="false">
      <c r="A30" s="6" t="s">
        <v>320</v>
      </c>
      <c r="C30" s="28" t="n">
        <f aca="false">C29*F19</f>
        <v>23949.656940889</v>
      </c>
    </row>
    <row r="31" customFormat="false" ht="15" hidden="false" customHeight="false" outlineLevel="0" collapsed="false">
      <c r="A31" s="6" t="s">
        <v>321</v>
      </c>
      <c r="C31" s="28" t="n">
        <f aca="false">SUM(B20:F20)</f>
        <v>5673.07347917917</v>
      </c>
    </row>
    <row r="32" customFormat="false" ht="15" hidden="false" customHeight="false" outlineLevel="0" collapsed="false">
      <c r="A32" s="14" t="s">
        <v>229</v>
      </c>
      <c r="B32" s="14"/>
      <c r="C32" s="29" t="n">
        <f aca="false">C30+C31</f>
        <v>29622.7304200681</v>
      </c>
      <c r="D32" s="14"/>
    </row>
    <row r="33" customFormat="false" ht="15" hidden="false" customHeight="false" outlineLevel="0" collapsed="false">
      <c r="A33" s="6" t="s">
        <v>239</v>
      </c>
      <c r="C33" s="10" t="n">
        <f aca="false">C30/C32</f>
        <v>0.808489177103813</v>
      </c>
    </row>
    <row r="35" customFormat="false" ht="15" hidden="false" customHeight="false" outlineLevel="0" collapsed="false">
      <c r="A35" s="20" t="s">
        <v>322</v>
      </c>
      <c r="C35" s="39" t="n">
        <f aca="false">'SOTP Bridge'!C13</f>
        <v>2.6642726028588</v>
      </c>
    </row>
    <row r="37" customFormat="false" ht="15" hidden="false" customHeight="false" outlineLevel="0" collapsed="false">
      <c r="A37" s="20" t="s">
        <v>323</v>
      </c>
    </row>
    <row r="38" customFormat="false" ht="15" hidden="false" customHeight="false" outlineLevel="0" collapsed="false">
      <c r="A38" s="5" t="s">
        <v>324</v>
      </c>
      <c r="B38" s="5"/>
      <c r="C38" s="5" t="s">
        <v>325</v>
      </c>
      <c r="D38" s="5" t="s">
        <v>228</v>
      </c>
    </row>
    <row r="39" customFormat="false" ht="15" hidden="false" customHeight="false" outlineLevel="0" collapsed="false">
      <c r="A39" s="6" t="s">
        <v>168</v>
      </c>
      <c r="C39" s="19" t="n">
        <f aca="false">Assumptions!$C$42</f>
        <v>0.0448</v>
      </c>
      <c r="D39" s="19" t="n">
        <f aca="false">Assumptions!$C$42</f>
        <v>0.0448</v>
      </c>
    </row>
    <row r="40" customFormat="false" ht="15" hidden="false" customHeight="false" outlineLevel="0" collapsed="false">
      <c r="A40" s="6" t="s">
        <v>326</v>
      </c>
      <c r="C40" s="19" t="n">
        <f aca="false">Assumptions!$C$43</f>
        <v>0.00393</v>
      </c>
      <c r="D40" s="19" t="n">
        <f aca="false">Assumptions!$C$44</f>
        <v>0.0052</v>
      </c>
    </row>
    <row r="41" customFormat="false" ht="15" hidden="false" customHeight="false" outlineLevel="0" collapsed="false">
      <c r="A41" s="6" t="s">
        <v>327</v>
      </c>
      <c r="C41" s="31" t="n">
        <f aca="false">C39-C40</f>
        <v>0.04087</v>
      </c>
      <c r="D41" s="31" t="n">
        <f aca="false">D39-D40</f>
        <v>0.0396</v>
      </c>
    </row>
    <row r="42" customFormat="false" ht="15" hidden="false" customHeight="false" outlineLevel="0" collapsed="false">
      <c r="A42" s="6" t="s">
        <v>328</v>
      </c>
      <c r="C42" s="40" t="n">
        <f aca="false">Assumptions!$C$47</f>
        <v>0.652</v>
      </c>
      <c r="D42" s="40" t="n">
        <f aca="false">Assumptions!$C$47</f>
        <v>0.652</v>
      </c>
    </row>
    <row r="43" customFormat="false" ht="15" hidden="false" customHeight="false" outlineLevel="0" collapsed="false">
      <c r="A43" s="6" t="s">
        <v>329</v>
      </c>
      <c r="C43" s="19" t="n">
        <f aca="false">Assumptions!$C$45</f>
        <v>0.04811</v>
      </c>
      <c r="D43" s="19" t="n">
        <f aca="false">Assumptions!$C$46</f>
        <v>0.050083</v>
      </c>
    </row>
    <row r="44" customFormat="false" ht="15" hidden="false" customHeight="false" outlineLevel="0" collapsed="false">
      <c r="A44" s="6" t="s">
        <v>330</v>
      </c>
      <c r="C44" s="31" t="n">
        <f aca="false">C41+C42*C43</f>
        <v>0.07223772</v>
      </c>
      <c r="D44" s="31" t="n">
        <f aca="false">D41+D42*D43</f>
        <v>0.072254116</v>
      </c>
    </row>
    <row r="45" customFormat="false" ht="15" hidden="false" customHeight="false" outlineLevel="0" collapsed="false">
      <c r="A45" s="6" t="s">
        <v>180</v>
      </c>
      <c r="C45" s="19" t="n">
        <f aca="false">Assumptions!$C$48</f>
        <v>0.0492</v>
      </c>
    </row>
    <row r="46" customFormat="false" ht="15" hidden="false" customHeight="false" outlineLevel="0" collapsed="false">
      <c r="A46" s="6" t="s">
        <v>331</v>
      </c>
      <c r="C46" s="18" t="n">
        <f aca="false">Assumptions!$C$5*Assumptions!$C$6</f>
        <v>15000</v>
      </c>
    </row>
    <row r="47" customFormat="false" ht="15" hidden="false" customHeight="false" outlineLevel="0" collapsed="false">
      <c r="A47" s="6" t="s">
        <v>332</v>
      </c>
      <c r="C47" s="18" t="n">
        <f aca="false">Assumptions!$C$52+Assumptions!$C$53-Assumptions!$C$54-Assumptions!$C$55</f>
        <v>2991.493</v>
      </c>
    </row>
    <row r="48" customFormat="false" ht="15" hidden="false" customHeight="false" outlineLevel="0" collapsed="false">
      <c r="A48" s="6" t="s">
        <v>333</v>
      </c>
      <c r="C48" s="31" t="n">
        <f aca="false">C47/(C47+C46)</f>
        <v>0.166272637851678</v>
      </c>
    </row>
    <row r="49" customFormat="false" ht="15" hidden="false" customHeight="false" outlineLevel="0" collapsed="false">
      <c r="A49" s="6" t="s">
        <v>334</v>
      </c>
      <c r="C49" s="31" t="n">
        <f aca="false">1-C48</f>
        <v>0.833727362148322</v>
      </c>
    </row>
    <row r="50" customFormat="false" ht="15" hidden="false" customHeight="false" outlineLevel="0" collapsed="false">
      <c r="A50" s="14" t="s">
        <v>335</v>
      </c>
      <c r="B50" s="14"/>
      <c r="C50" s="41" t="n">
        <f aca="false">C49*C44+C48*C45*(1-Assumptions!$C$7)</f>
        <v>0.0676709222851044</v>
      </c>
      <c r="D50" s="41" t="n">
        <f aca="false">C49*D44+C48*C45*(1-Assumptions!$C$7)</f>
        <v>0.0676845920789342</v>
      </c>
      <c r="E50" s="14"/>
    </row>
    <row r="51" customFormat="false" ht="15" hidden="false" customHeight="false" outlineLevel="0" collapsed="false">
      <c r="A51" s="14" t="s">
        <v>336</v>
      </c>
      <c r="B51" s="14"/>
      <c r="C51" s="41" t="n">
        <f aca="false">C49*C44+C48*C45*(1-Assumptions!$C$8)</f>
        <v>0.0671800854581663</v>
      </c>
      <c r="D51" s="41" t="n">
        <f aca="false">C49*D44+C48*C45*(1-Assumptions!$C$8)</f>
        <v>0.0671937552519961</v>
      </c>
      <c r="E51" s="14"/>
    </row>
    <row r="52" customFormat="false" ht="15" hidden="false" customHeight="false" outlineLevel="0" collapsed="false">
      <c r="A52" s="4" t="s">
        <v>337</v>
      </c>
    </row>
    <row r="54" customFormat="false" ht="15" hidden="false" customHeight="false" outlineLevel="0" collapsed="false">
      <c r="A54" s="20" t="s">
        <v>338</v>
      </c>
    </row>
    <row r="55" customFormat="false" ht="15" hidden="false" customHeight="false" outlineLevel="0" collapsed="false">
      <c r="A55" s="6" t="s">
        <v>339</v>
      </c>
      <c r="B55" s="28" t="n">
        <f aca="false">B13*(1-Assumptions!$C$8)</f>
        <v>1124.24911281114</v>
      </c>
      <c r="C55" s="28" t="n">
        <f aca="false">C13*(1-Assumptions!$C$8)</f>
        <v>1234.4901155635</v>
      </c>
      <c r="D55" s="28" t="n">
        <f aca="false">D13*(1-Assumptions!$C$8)</f>
        <v>1313.65035063832</v>
      </c>
      <c r="E55" s="28" t="n">
        <f aca="false">E13*(1-Assumptions!$C$8)</f>
        <v>1384.83394321172</v>
      </c>
      <c r="F55" s="28" t="n">
        <f aca="false">F13*(1-Assumptions!$C$8)</f>
        <v>1447.9319980849</v>
      </c>
    </row>
    <row r="56" customFormat="false" ht="15" hidden="false" customHeight="false" outlineLevel="0" collapsed="false">
      <c r="A56" s="6" t="s">
        <v>340</v>
      </c>
      <c r="B56" s="28" t="n">
        <f aca="false">B55+B15+B16+B17</f>
        <v>975.978291063248</v>
      </c>
      <c r="C56" s="28" t="n">
        <f aca="false">C55+C15+C16+C17</f>
        <v>1250.72045613593</v>
      </c>
      <c r="D56" s="28" t="n">
        <f aca="false">D55+D15+D16+D17</f>
        <v>1315.1681585371</v>
      </c>
      <c r="E56" s="28" t="n">
        <f aca="false">E55+E15+E16+E17</f>
        <v>1429.43778396113</v>
      </c>
      <c r="F56" s="28" t="n">
        <f aca="false">F55+F15+F16+F17</f>
        <v>1533.33774415516</v>
      </c>
    </row>
    <row r="57" customFormat="false" ht="15" hidden="false" customHeight="false" outlineLevel="0" collapsed="false">
      <c r="A57" s="6" t="s">
        <v>341</v>
      </c>
      <c r="B57" s="34" t="n">
        <f aca="false">1/(1+$C$51)</f>
        <v>0.937048970109554</v>
      </c>
      <c r="C57" s="34" t="n">
        <f aca="false">B57/(1+$C$51)</f>
        <v>0.878060772383375</v>
      </c>
      <c r="D57" s="34" t="n">
        <f aca="false">C57/(1+$C$51)</f>
        <v>0.82278594245544</v>
      </c>
      <c r="E57" s="34" t="n">
        <f aca="false">D57/(1+$C$51)</f>
        <v>0.770990719998489</v>
      </c>
      <c r="F57" s="34" t="n">
        <f aca="false">E57/(1+$C$51)</f>
        <v>0.722456060138607</v>
      </c>
    </row>
    <row r="58" customFormat="false" ht="15" hidden="false" customHeight="false" outlineLevel="0" collapsed="false">
      <c r="A58" s="6" t="s">
        <v>342</v>
      </c>
      <c r="B58" s="28" t="n">
        <f aca="false">B56*B57</f>
        <v>914.539452490098</v>
      </c>
      <c r="C58" s="28" t="n">
        <f aca="false">C56*C57</f>
        <v>1098.2085697504</v>
      </c>
      <c r="D58" s="28" t="n">
        <f aca="false">D56*D57</f>
        <v>1082.10187280934</v>
      </c>
      <c r="E58" s="28" t="n">
        <f aca="false">E56*E57</f>
        <v>1102.08326624923</v>
      </c>
      <c r="F58" s="28" t="n">
        <f aca="false">F56*F57</f>
        <v>1107.76914550415</v>
      </c>
    </row>
    <row r="59" customFormat="false" ht="15" hidden="false" customHeight="false" outlineLevel="0" collapsed="false">
      <c r="A59" s="6" t="s">
        <v>343</v>
      </c>
      <c r="C59" s="28" t="n">
        <f aca="false">SUM(B58:F58)</f>
        <v>5304.70230680323</v>
      </c>
    </row>
    <row r="60" customFormat="false" ht="15" hidden="false" customHeight="false" outlineLevel="0" collapsed="false">
      <c r="A60" s="6" t="s">
        <v>344</v>
      </c>
      <c r="C60" s="10" t="n">
        <f aca="false">F55/C24</f>
        <v>0.216875078629827</v>
      </c>
    </row>
    <row r="61" customFormat="false" ht="15" hidden="false" customHeight="false" outlineLevel="0" collapsed="false">
      <c r="A61" s="6" t="s">
        <v>345</v>
      </c>
      <c r="C61" s="10" t="n">
        <f aca="false">Assumptions!$C$49/C60</f>
        <v>0.115273733422692</v>
      </c>
    </row>
    <row r="62" customFormat="false" ht="15" hidden="false" customHeight="false" outlineLevel="0" collapsed="false">
      <c r="A62" s="6" t="s">
        <v>346</v>
      </c>
      <c r="C62" s="28" t="n">
        <f aca="false">F55*(1+Assumptions!$C$49)*(1-C61)</f>
        <v>1313.04905769657</v>
      </c>
    </row>
    <row r="63" customFormat="false" ht="15" hidden="false" customHeight="false" outlineLevel="0" collapsed="false">
      <c r="A63" s="6" t="s">
        <v>347</v>
      </c>
      <c r="C63" s="28" t="n">
        <f aca="false">C62/($C$51-Assumptions!$C$49)</f>
        <v>31129.5969041797</v>
      </c>
    </row>
    <row r="64" customFormat="false" ht="15" hidden="false" customHeight="false" outlineLevel="0" collapsed="false">
      <c r="A64" s="6" t="s">
        <v>348</v>
      </c>
      <c r="C64" s="28" t="n">
        <f aca="false">C63*F57</f>
        <v>22489.7659330966</v>
      </c>
    </row>
    <row r="65" customFormat="false" ht="15" hidden="false" customHeight="false" outlineLevel="0" collapsed="false">
      <c r="A65" s="6" t="s">
        <v>349</v>
      </c>
      <c r="C65" s="38" t="n">
        <f aca="false">C59+C64</f>
        <v>27794.4682398998</v>
      </c>
    </row>
    <row r="66" customFormat="false" ht="15" hidden="false" customHeight="false" outlineLevel="0" collapsed="false">
      <c r="A66" s="20" t="s">
        <v>350</v>
      </c>
      <c r="C66" s="39" t="n">
        <f aca="false">'SOTP Bridge'!D13</f>
        <v>2.48338275639608</v>
      </c>
    </row>
    <row r="68" customFormat="false" ht="15" hidden="false" customHeight="false" outlineLevel="0" collapsed="false">
      <c r="A68" s="20" t="s">
        <v>351</v>
      </c>
    </row>
    <row r="69" customFormat="false" ht="15" hidden="false" customHeight="false" outlineLevel="0" collapsed="false">
      <c r="A69" s="6" t="s">
        <v>352</v>
      </c>
      <c r="B69" s="34" t="n">
        <f aca="false">1/(1+$D$50)</f>
        <v>0.936606191958673</v>
      </c>
      <c r="C69" s="34" t="n">
        <f aca="false">B69/(1+$D$50)</f>
        <v>0.877231158815327</v>
      </c>
      <c r="D69" s="34" t="n">
        <f aca="false">C69/(1+$D$50)</f>
        <v>0.821620135125518</v>
      </c>
      <c r="E69" s="34" t="n">
        <f aca="false">D69/(1+$D$50)</f>
        <v>0.769534505996482</v>
      </c>
      <c r="F69" s="34" t="n">
        <f aca="false">E69/(1+$D$50)</f>
        <v>0.720750783242164</v>
      </c>
    </row>
    <row r="70" customFormat="false" ht="15" hidden="false" customHeight="false" outlineLevel="0" collapsed="false">
      <c r="A70" s="6" t="s">
        <v>353</v>
      </c>
      <c r="B70" s="28" t="n">
        <f aca="false">B18*B69</f>
        <v>988.435217476232</v>
      </c>
      <c r="C70" s="28" t="n">
        <f aca="false">C18*C69</f>
        <v>1173.61329823993</v>
      </c>
      <c r="D70" s="28" t="n">
        <f aca="false">D18*D69</f>
        <v>1156.75604567821</v>
      </c>
      <c r="E70" s="28" t="n">
        <f aca="false">E18*E69</f>
        <v>1175.22599335981</v>
      </c>
      <c r="F70" s="28" t="n">
        <f aca="false">F18*F69</f>
        <v>1178.82012984174</v>
      </c>
    </row>
    <row r="71" customFormat="false" ht="15" hidden="false" customHeight="false" outlineLevel="0" collapsed="false">
      <c r="A71" s="6" t="s">
        <v>354</v>
      </c>
      <c r="C71" s="28" t="n">
        <f aca="false">SUM(B70:F70)</f>
        <v>5672.85068459593</v>
      </c>
    </row>
    <row r="72" customFormat="false" ht="15" hidden="false" customHeight="false" outlineLevel="0" collapsed="false">
      <c r="A72" s="6" t="s">
        <v>355</v>
      </c>
      <c r="C72" s="28" t="n">
        <f aca="false">C28/($D$50-Assumptions!$C$49)</f>
        <v>33215.9949838493</v>
      </c>
    </row>
    <row r="73" customFormat="false" ht="15" hidden="false" customHeight="false" outlineLevel="0" collapsed="false">
      <c r="A73" s="6" t="s">
        <v>356</v>
      </c>
      <c r="C73" s="28" t="n">
        <f aca="false">C72*F69</f>
        <v>23940.4544007772</v>
      </c>
    </row>
    <row r="74" customFormat="false" ht="15" hidden="false" customHeight="false" outlineLevel="0" collapsed="false">
      <c r="A74" s="6" t="s">
        <v>357</v>
      </c>
      <c r="C74" s="38" t="n">
        <f aca="false">C71+C73</f>
        <v>29613.3050853731</v>
      </c>
    </row>
    <row r="75" customFormat="false" ht="15" hidden="false" customHeight="false" outlineLevel="0" collapsed="false">
      <c r="A75" s="6" t="s">
        <v>358</v>
      </c>
      <c r="C75" s="7" t="n">
        <f aca="false">'SOTP Bridge'!E13</f>
        <v>2.66334005206585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359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360</v>
      </c>
    </row>
    <row r="4" customFormat="false" ht="15" hidden="false" customHeight="false" outlineLevel="0" collapsed="false">
      <c r="A4" s="5" t="s">
        <v>297</v>
      </c>
      <c r="B4" s="5" t="s">
        <v>361</v>
      </c>
      <c r="C4" s="5" t="s">
        <v>362</v>
      </c>
      <c r="D4" s="5" t="s">
        <v>244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14" t="s">
        <v>298</v>
      </c>
      <c r="B5" s="29" t="n">
        <v>3035.203</v>
      </c>
      <c r="C5" s="29" t="n">
        <v>3260.489</v>
      </c>
      <c r="D5" s="29" t="n">
        <v>3419.304</v>
      </c>
      <c r="E5" s="29" t="n">
        <f aca="false">DCF!B5</f>
        <v>3502.78358167598</v>
      </c>
      <c r="F5" s="29" t="n">
        <f aca="false">DCF!C5</f>
        <v>3841.66154189944</v>
      </c>
      <c r="G5" s="29" t="n">
        <f aca="false">DCF!D5</f>
        <v>4042.28137430168</v>
      </c>
      <c r="H5" s="29" t="n">
        <f aca="false">DCF!E5</f>
        <v>4221.78332960894</v>
      </c>
      <c r="I5" s="29" t="n">
        <f aca="false">DCF!F5</f>
        <v>4380.16740782123</v>
      </c>
    </row>
    <row r="6" customFormat="false" ht="15" hidden="false" customHeight="false" outlineLevel="0" collapsed="false">
      <c r="A6" s="6" t="s">
        <v>363</v>
      </c>
      <c r="B6" s="23" t="n">
        <v>38.711</v>
      </c>
      <c r="C6" s="23" t="n">
        <v>59.151</v>
      </c>
      <c r="D6" s="23" t="n">
        <v>58.307</v>
      </c>
      <c r="E6" s="18" t="n">
        <f aca="false">Segments!C18</f>
        <v>56.55779</v>
      </c>
      <c r="F6" s="18" t="n">
        <f aca="false">Segments!D18</f>
        <v>54.8610563</v>
      </c>
      <c r="G6" s="18" t="n">
        <f aca="false">Segments!E18</f>
        <v>53.215224611</v>
      </c>
      <c r="H6" s="18" t="n">
        <f aca="false">Segments!F18</f>
        <v>51.61876787267</v>
      </c>
      <c r="I6" s="18" t="n">
        <f aca="false">Segments!G18</f>
        <v>50.0702048364899</v>
      </c>
    </row>
    <row r="7" customFormat="false" ht="15" hidden="false" customHeight="false" outlineLevel="0" collapsed="false">
      <c r="A7" s="6" t="s">
        <v>364</v>
      </c>
      <c r="B7" s="23" t="n">
        <v>1333.036</v>
      </c>
      <c r="C7" s="23" t="n">
        <v>1402.143</v>
      </c>
      <c r="D7" s="23" t="n">
        <v>1488.328</v>
      </c>
      <c r="E7" s="28" t="s">
        <v>246</v>
      </c>
      <c r="F7" s="28" t="s">
        <v>246</v>
      </c>
      <c r="G7" s="28" t="s">
        <v>246</v>
      </c>
      <c r="H7" s="28" t="s">
        <v>246</v>
      </c>
      <c r="I7" s="28" t="s">
        <v>246</v>
      </c>
    </row>
    <row r="8" customFormat="false" ht="15" hidden="false" customHeight="false" outlineLevel="0" collapsed="false">
      <c r="A8" s="14" t="s">
        <v>261</v>
      </c>
      <c r="B8" s="29" t="n">
        <f aca="false">B11-B10</f>
        <v>1468.07</v>
      </c>
      <c r="C8" s="29" t="n">
        <f aca="false">C11-C10</f>
        <v>1551.525</v>
      </c>
      <c r="D8" s="29" t="n">
        <f aca="false">D11-D10</f>
        <v>1642.229</v>
      </c>
      <c r="E8" s="29" t="n">
        <f aca="false">DCF!B6</f>
        <v>1702.4242468622</v>
      </c>
      <c r="F8" s="29" t="n">
        <f aca="false">DCF!C6</f>
        <v>1842.62628982615</v>
      </c>
      <c r="G8" s="29" t="n">
        <f aca="false">DCF!D6</f>
        <v>1944.58691271832</v>
      </c>
      <c r="H8" s="29" t="n">
        <f aca="false">DCF!E6</f>
        <v>2034.32754678602</v>
      </c>
      <c r="I8" s="29" t="n">
        <f aca="false">DCF!F6</f>
        <v>2111.84016911343</v>
      </c>
    </row>
    <row r="9" customFormat="false" ht="15" hidden="false" customHeight="false" outlineLevel="0" collapsed="false">
      <c r="A9" s="6" t="s">
        <v>262</v>
      </c>
      <c r="B9" s="10" t="n">
        <f aca="false">B8/B5</f>
        <v>0.48368099267166</v>
      </c>
      <c r="C9" s="10" t="n">
        <f aca="false">C8/C5</f>
        <v>0.475856535630085</v>
      </c>
      <c r="D9" s="10" t="n">
        <f aca="false">D8/D5</f>
        <v>0.480281659659393</v>
      </c>
      <c r="E9" s="10" t="n">
        <f aca="false">E8/E5</f>
        <v>0.486020391259125</v>
      </c>
      <c r="F9" s="10" t="n">
        <f aca="false">F8/F5</f>
        <v>0.479643058017832</v>
      </c>
      <c r="G9" s="10" t="n">
        <f aca="false">G8/G5</f>
        <v>0.481061740303582</v>
      </c>
      <c r="H9" s="10" t="n">
        <f aca="false">H8/H5</f>
        <v>0.481864507948224</v>
      </c>
      <c r="I9" s="10" t="n">
        <f aca="false">I8/I5</f>
        <v>0.482136862016398</v>
      </c>
    </row>
    <row r="10" customFormat="false" ht="15" hidden="false" customHeight="false" outlineLevel="0" collapsed="false">
      <c r="A10" s="6" t="s">
        <v>365</v>
      </c>
      <c r="B10" s="23" t="n">
        <v>-348.199</v>
      </c>
      <c r="C10" s="23" t="n">
        <v>-359.081</v>
      </c>
      <c r="D10" s="23" t="n">
        <v>-369.717</v>
      </c>
      <c r="E10" s="18" t="n">
        <f aca="false">-DCF!B12</f>
        <v>-379.778231790266</v>
      </c>
      <c r="F10" s="18" t="n">
        <f aca="false">-DCF!C12</f>
        <v>-390.284977398508</v>
      </c>
      <c r="G10" s="18" t="n">
        <f aca="false">-DCF!D12</f>
        <v>-399.115911967355</v>
      </c>
      <c r="H10" s="18" t="n">
        <f aca="false">-DCF!E12</f>
        <v>-405.111143007536</v>
      </c>
      <c r="I10" s="18" t="n">
        <f aca="false">-DCF!F12</f>
        <v>-408.390759601777</v>
      </c>
    </row>
    <row r="11" customFormat="false" ht="15" hidden="false" customHeight="false" outlineLevel="0" collapsed="false">
      <c r="A11" s="6" t="s">
        <v>366</v>
      </c>
      <c r="B11" s="23" t="n">
        <v>1119.871</v>
      </c>
      <c r="C11" s="23" t="n">
        <v>1192.444</v>
      </c>
      <c r="D11" s="23" t="n">
        <v>1272.512</v>
      </c>
      <c r="E11" s="28" t="n">
        <f aca="false">E8+E10</f>
        <v>1322.64601507193</v>
      </c>
      <c r="F11" s="28" t="n">
        <f aca="false">F8+F10</f>
        <v>1452.34131242764</v>
      </c>
      <c r="G11" s="28" t="n">
        <f aca="false">G8+G10</f>
        <v>1545.47100075096</v>
      </c>
      <c r="H11" s="28" t="n">
        <f aca="false">H8+H10</f>
        <v>1629.21640377849</v>
      </c>
      <c r="I11" s="28" t="n">
        <f aca="false">I8+I10</f>
        <v>1703.44940951165</v>
      </c>
    </row>
    <row r="12" customFormat="false" ht="15" hidden="false" customHeight="false" outlineLevel="0" collapsed="false">
      <c r="A12" s="6" t="s">
        <v>367</v>
      </c>
      <c r="B12" s="28" t="n">
        <f aca="false">B13-B11</f>
        <v>-177.24</v>
      </c>
      <c r="C12" s="28" t="n">
        <f aca="false">C13-C11</f>
        <v>-194.112</v>
      </c>
      <c r="D12" s="28" t="n">
        <f aca="false">D13-D11</f>
        <v>-169.351</v>
      </c>
      <c r="E12" s="28" t="n">
        <f aca="false">-(Assumptions!$C$48*Assumptions!$C$52-Assumptions!$C$62*Assumptions!$C$54)</f>
        <v>-184.219554</v>
      </c>
      <c r="F12" s="28" t="n">
        <f aca="false">-(Assumptions!$C$48*Assumptions!$C$52-Assumptions!$C$62*Assumptions!$C$54)</f>
        <v>-184.219554</v>
      </c>
      <c r="G12" s="28" t="n">
        <f aca="false">-(Assumptions!$C$48*Assumptions!$C$52-Assumptions!$C$62*Assumptions!$C$54)</f>
        <v>-184.219554</v>
      </c>
      <c r="H12" s="28" t="n">
        <f aca="false">-(Assumptions!$C$48*Assumptions!$C$52-Assumptions!$C$62*Assumptions!$C$54)</f>
        <v>-184.219554</v>
      </c>
      <c r="I12" s="28" t="n">
        <f aca="false">-(Assumptions!$C$48*Assumptions!$C$52-Assumptions!$C$62*Assumptions!$C$54)</f>
        <v>-184.219554</v>
      </c>
    </row>
    <row r="13" customFormat="false" ht="15" hidden="false" customHeight="false" outlineLevel="0" collapsed="false">
      <c r="A13" s="6" t="s">
        <v>368</v>
      </c>
      <c r="B13" s="23" t="n">
        <v>942.631</v>
      </c>
      <c r="C13" s="23" t="n">
        <v>998.332</v>
      </c>
      <c r="D13" s="23" t="n">
        <v>1103.161</v>
      </c>
      <c r="E13" s="28" t="n">
        <f aca="false">E11+E12</f>
        <v>1138.42646107193</v>
      </c>
      <c r="F13" s="28" t="n">
        <f aca="false">F11+F12</f>
        <v>1268.12175842764</v>
      </c>
      <c r="G13" s="28" t="n">
        <f aca="false">G11+G12</f>
        <v>1361.25144675096</v>
      </c>
      <c r="H13" s="28" t="n">
        <f aca="false">H11+H12</f>
        <v>1444.99684977849</v>
      </c>
      <c r="I13" s="28" t="n">
        <f aca="false">I11+I12</f>
        <v>1519.22985551165</v>
      </c>
    </row>
    <row r="14" customFormat="false" ht="15" hidden="false" customHeight="false" outlineLevel="0" collapsed="false">
      <c r="A14" s="6" t="s">
        <v>369</v>
      </c>
      <c r="B14" s="23" t="n">
        <v>17.454</v>
      </c>
      <c r="C14" s="23" t="n">
        <v>-90.097</v>
      </c>
      <c r="D14" s="23" t="n">
        <v>-99.226</v>
      </c>
      <c r="E14" s="28" t="n">
        <f aca="false">-E13*Assumptions!$C$7</f>
        <v>-102.458381496474</v>
      </c>
      <c r="F14" s="28" t="n">
        <f aca="false">-F13*Assumptions!$C$7</f>
        <v>-114.130958258488</v>
      </c>
      <c r="G14" s="28" t="n">
        <f aca="false">-G13*Assumptions!$C$7</f>
        <v>-122.512630207587</v>
      </c>
      <c r="H14" s="28" t="n">
        <f aca="false">-H13*Assumptions!$C$7</f>
        <v>-130.049716480064</v>
      </c>
      <c r="I14" s="28" t="n">
        <f aca="false">-I13*Assumptions!$C$7</f>
        <v>-136.730686996049</v>
      </c>
    </row>
    <row r="15" customFormat="false" ht="15" hidden="false" customHeight="false" outlineLevel="0" collapsed="false">
      <c r="A15" s="6" t="s">
        <v>370</v>
      </c>
      <c r="B15" s="23" t="n">
        <v>960.085</v>
      </c>
      <c r="C15" s="23" t="n">
        <v>908.235</v>
      </c>
      <c r="D15" s="23" t="n">
        <v>1003.935</v>
      </c>
      <c r="E15" s="28" t="n">
        <f aca="false">E13+E14</f>
        <v>1035.96807957546</v>
      </c>
      <c r="F15" s="28" t="n">
        <f aca="false">F13+F14</f>
        <v>1153.99080016915</v>
      </c>
      <c r="G15" s="28" t="n">
        <f aca="false">G13+G14</f>
        <v>1238.73881654338</v>
      </c>
      <c r="H15" s="28" t="n">
        <f aca="false">H13+H14</f>
        <v>1314.94713329842</v>
      </c>
      <c r="I15" s="28" t="n">
        <f aca="false">I13+I14</f>
        <v>1382.4991685156</v>
      </c>
    </row>
    <row r="16" customFormat="false" ht="15" hidden="false" customHeight="false" outlineLevel="0" collapsed="false">
      <c r="A16" s="6" t="s">
        <v>371</v>
      </c>
      <c r="B16" s="28" t="n">
        <f aca="false">B17-B15</f>
        <v>-7.15800000000002</v>
      </c>
      <c r="C16" s="28" t="n">
        <f aca="false">C17-C15</f>
        <v>-11.481</v>
      </c>
      <c r="D16" s="28" t="n">
        <f aca="false">D17-D15</f>
        <v>-10.6329999999999</v>
      </c>
      <c r="E16" s="28" t="n">
        <f aca="false">-E15*'SOTP Bridge'!$C$14</f>
        <v>-10.9722726970629</v>
      </c>
      <c r="F16" s="28" t="n">
        <f aca="false">-F15*'SOTP Bridge'!$C$14</f>
        <v>-12.2222894691376</v>
      </c>
      <c r="G16" s="28" t="n">
        <f aca="false">-G15*'SOTP Bridge'!$C$14</f>
        <v>-13.1198830963217</v>
      </c>
      <c r="H16" s="28" t="n">
        <f aca="false">-H15*'SOTP Bridge'!$C$14</f>
        <v>-13.9270300052913</v>
      </c>
      <c r="I16" s="28" t="n">
        <f aca="false">-I15*'SOTP Bridge'!$C$14</f>
        <v>-14.6424954392729</v>
      </c>
    </row>
    <row r="17" customFormat="false" ht="15" hidden="false" customHeight="false" outlineLevel="0" collapsed="false">
      <c r="A17" s="14" t="s">
        <v>372</v>
      </c>
      <c r="B17" s="29" t="n">
        <v>952.927</v>
      </c>
      <c r="C17" s="29" t="n">
        <v>896.754</v>
      </c>
      <c r="D17" s="29" t="n">
        <v>993.302</v>
      </c>
      <c r="E17" s="29" t="n">
        <f aca="false">E15+E16</f>
        <v>1024.99580687839</v>
      </c>
      <c r="F17" s="29" t="n">
        <f aca="false">F15+F16</f>
        <v>1141.76851070002</v>
      </c>
      <c r="G17" s="29" t="n">
        <f aca="false">G15+G16</f>
        <v>1225.61893344706</v>
      </c>
      <c r="H17" s="29" t="n">
        <f aca="false">H15+H16</f>
        <v>1301.02010329313</v>
      </c>
      <c r="I17" s="29" t="n">
        <f aca="false">I15+I16</f>
        <v>1367.85667307633</v>
      </c>
    </row>
    <row r="18" customFormat="false" ht="15" hidden="false" customHeight="false" outlineLevel="0" collapsed="false">
      <c r="A18" s="6" t="s">
        <v>373</v>
      </c>
      <c r="B18" s="9" t="n">
        <f aca="false">B17/Assumptions!$C$6</f>
        <v>0.0952927</v>
      </c>
      <c r="C18" s="9" t="n">
        <f aca="false">C17/Assumptions!$C$6</f>
        <v>0.0896754</v>
      </c>
      <c r="D18" s="9" t="n">
        <f aca="false">D17/Assumptions!$C$6</f>
        <v>0.0993302</v>
      </c>
      <c r="E18" s="9" t="n">
        <f aca="false">E17/Assumptions!$C$6</f>
        <v>0.102499580687839</v>
      </c>
      <c r="F18" s="9" t="n">
        <f aca="false">F17/Assumptions!$C$6</f>
        <v>0.114176851070002</v>
      </c>
      <c r="G18" s="9" t="n">
        <f aca="false">G17/Assumptions!$C$6</f>
        <v>0.122561893344706</v>
      </c>
      <c r="H18" s="9" t="n">
        <f aca="false">H17/Assumptions!$C$6</f>
        <v>0.130102010329313</v>
      </c>
      <c r="I18" s="9" t="n">
        <f aca="false">I17/Assumptions!$C$6</f>
        <v>0.136785667307633</v>
      </c>
    </row>
    <row r="20" customFormat="false" ht="15" hidden="false" customHeight="false" outlineLevel="0" collapsed="false">
      <c r="A20" s="4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375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376</v>
      </c>
    </row>
    <row r="4" customFormat="false" ht="15" hidden="false" customHeight="false" outlineLevel="0" collapsed="false">
      <c r="A4" s="5" t="s">
        <v>297</v>
      </c>
      <c r="B4" s="5" t="s">
        <v>362</v>
      </c>
      <c r="C4" s="5" t="s">
        <v>244</v>
      </c>
      <c r="D4" s="5" t="s">
        <v>377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6" t="s">
        <v>378</v>
      </c>
      <c r="B5" s="23" t="n">
        <v>6995.16</v>
      </c>
      <c r="C5" s="23" t="n">
        <v>7194.99</v>
      </c>
      <c r="D5" s="23" t="n">
        <v>7274.608</v>
      </c>
      <c r="E5" s="18" t="n">
        <f aca="false">DCF!B11</f>
        <v>7403.66852154307</v>
      </c>
      <c r="F5" s="18" t="n">
        <f aca="false">DCF!C11</f>
        <v>7579.06311453913</v>
      </c>
      <c r="G5" s="18" t="n">
        <f aca="false">DCF!D11</f>
        <v>7698.13670748808</v>
      </c>
      <c r="H5" s="18" t="n">
        <f aca="false">DCF!E11</f>
        <v>7763.27443591823</v>
      </c>
      <c r="I5" s="18" t="n">
        <f aca="false">DCF!F11</f>
        <v>7776.76042735935</v>
      </c>
    </row>
    <row r="6" customFormat="false" ht="15" hidden="false" customHeight="false" outlineLevel="0" collapsed="false">
      <c r="A6" s="6" t="s">
        <v>379</v>
      </c>
      <c r="B6" s="23" t="n">
        <v>118.015</v>
      </c>
      <c r="C6" s="23" t="n">
        <v>170.793</v>
      </c>
      <c r="D6" s="23" t="n">
        <v>168.716</v>
      </c>
      <c r="E6" s="28" t="n">
        <f aca="false">$D6</f>
        <v>168.716</v>
      </c>
      <c r="F6" s="28" t="n">
        <f aca="false">$D6</f>
        <v>168.716</v>
      </c>
      <c r="G6" s="28" t="n">
        <f aca="false">$D6</f>
        <v>168.716</v>
      </c>
      <c r="H6" s="28" t="n">
        <f aca="false">$D6</f>
        <v>168.716</v>
      </c>
      <c r="I6" s="28" t="n">
        <f aca="false">$D6</f>
        <v>168.716</v>
      </c>
    </row>
    <row r="7" customFormat="false" ht="15" hidden="false" customHeight="false" outlineLevel="0" collapsed="false">
      <c r="A7" s="6" t="s">
        <v>380</v>
      </c>
      <c r="B7" s="23" t="n">
        <v>1324.787</v>
      </c>
      <c r="C7" s="23" t="n">
        <v>1304.839</v>
      </c>
      <c r="D7" s="23" t="n">
        <v>1294.442</v>
      </c>
      <c r="E7" s="28" t="n">
        <f aca="false">$D7</f>
        <v>1294.442</v>
      </c>
      <c r="F7" s="28" t="n">
        <f aca="false">$D7</f>
        <v>1294.442</v>
      </c>
      <c r="G7" s="28" t="n">
        <f aca="false">$D7</f>
        <v>1294.442</v>
      </c>
      <c r="H7" s="28" t="n">
        <f aca="false">$D7</f>
        <v>1294.442</v>
      </c>
      <c r="I7" s="28" t="n">
        <f aca="false">$D7</f>
        <v>1294.442</v>
      </c>
    </row>
    <row r="8" customFormat="false" ht="15" hidden="false" customHeight="false" outlineLevel="0" collapsed="false">
      <c r="A8" s="6" t="s">
        <v>381</v>
      </c>
      <c r="B8" s="23" t="n">
        <v>81.175</v>
      </c>
      <c r="C8" s="23" t="n">
        <v>101.239</v>
      </c>
      <c r="D8" s="23" t="n">
        <v>127.975</v>
      </c>
      <c r="E8" s="28" t="n">
        <f aca="false">$D8</f>
        <v>127.975</v>
      </c>
      <c r="F8" s="28" t="n">
        <f aca="false">$D8</f>
        <v>127.975</v>
      </c>
      <c r="G8" s="28" t="n">
        <f aca="false">$D8</f>
        <v>127.975</v>
      </c>
      <c r="H8" s="28" t="n">
        <f aca="false">$D8</f>
        <v>127.975</v>
      </c>
      <c r="I8" s="28" t="n">
        <f aca="false">$D8</f>
        <v>127.975</v>
      </c>
    </row>
    <row r="9" customFormat="false" ht="15" hidden="false" customHeight="false" outlineLevel="0" collapsed="false">
      <c r="A9" s="6" t="s">
        <v>382</v>
      </c>
      <c r="B9" s="23" t="n">
        <v>1966.891</v>
      </c>
      <c r="C9" s="23" t="n">
        <v>2313.449</v>
      </c>
      <c r="D9" s="23" t="n">
        <v>2512.224</v>
      </c>
      <c r="E9" s="28" t="n">
        <f aca="false">(Assumptions!$C$52+Assumptions!$C$53)-E16</f>
        <v>2524.92125782756</v>
      </c>
      <c r="F9" s="28" t="n">
        <f aca="false">(Assumptions!$C$52+Assumptions!$C$53)-F16</f>
        <v>2820.14239856916</v>
      </c>
      <c r="G9" s="28" t="n">
        <f aca="false">(Assumptions!$C$52+Assumptions!$C$53)-G16</f>
        <v>3185.39902301132</v>
      </c>
      <c r="H9" s="28" t="n">
        <f aca="false">(Assumptions!$C$52+Assumptions!$C$53)-H16</f>
        <v>3669.94999705915</v>
      </c>
      <c r="I9" s="28" t="n">
        <f aca="false">(Assumptions!$C$52+Assumptions!$C$53)-I16</f>
        <v>4262.85491164501</v>
      </c>
    </row>
    <row r="10" customFormat="false" ht="15" hidden="false" customHeight="false" outlineLevel="0" collapsed="false">
      <c r="A10" s="6" t="s">
        <v>383</v>
      </c>
      <c r="B10" s="23" t="n">
        <v>11183.046</v>
      </c>
      <c r="C10" s="23" t="n">
        <v>11816.822</v>
      </c>
      <c r="D10" s="23" t="n">
        <v>12267.233</v>
      </c>
      <c r="E10" s="28" t="s">
        <v>246</v>
      </c>
      <c r="F10" s="28" t="s">
        <v>246</v>
      </c>
      <c r="G10" s="28" t="s">
        <v>246</v>
      </c>
      <c r="H10" s="28" t="s">
        <v>246</v>
      </c>
      <c r="I10" s="28" t="s">
        <v>246</v>
      </c>
    </row>
    <row r="11" customFormat="false" ht="15" hidden="false" customHeight="false" outlineLevel="0" collapsed="false">
      <c r="A11" s="6" t="s">
        <v>384</v>
      </c>
      <c r="B11" s="23" t="n">
        <v>5498.415</v>
      </c>
      <c r="C11" s="23" t="n">
        <v>5505.304</v>
      </c>
      <c r="D11" s="23" t="n">
        <v>5503.717</v>
      </c>
      <c r="E11" s="28" t="n">
        <f aca="false">Assumptions!$C$52+Assumptions!$C$53</f>
        <v>5503.717</v>
      </c>
      <c r="F11" s="28" t="n">
        <f aca="false">Assumptions!$C$52+Assumptions!$C$53</f>
        <v>5503.717</v>
      </c>
      <c r="G11" s="28" t="n">
        <f aca="false">Assumptions!$C$52+Assumptions!$C$53</f>
        <v>5503.717</v>
      </c>
      <c r="H11" s="28" t="n">
        <f aca="false">Assumptions!$C$52+Assumptions!$C$53</f>
        <v>5503.717</v>
      </c>
      <c r="I11" s="28" t="n">
        <f aca="false">Assumptions!$C$52+Assumptions!$C$53</f>
        <v>5503.717</v>
      </c>
    </row>
    <row r="12" customFormat="false" ht="15" hidden="false" customHeight="false" outlineLevel="0" collapsed="false">
      <c r="A12" s="6" t="s">
        <v>385</v>
      </c>
      <c r="B12" s="23" t="n">
        <v>1677.637</v>
      </c>
      <c r="C12" s="23" t="n">
        <v>2165.056</v>
      </c>
      <c r="D12" s="23" t="n">
        <v>2458.563</v>
      </c>
      <c r="E12" s="28" t="s">
        <v>246</v>
      </c>
      <c r="F12" s="28" t="s">
        <v>246</v>
      </c>
      <c r="G12" s="28" t="s">
        <v>246</v>
      </c>
      <c r="H12" s="28" t="s">
        <v>246</v>
      </c>
      <c r="I12" s="28" t="s">
        <v>246</v>
      </c>
    </row>
    <row r="13" customFormat="false" ht="15" hidden="false" customHeight="false" outlineLevel="0" collapsed="false">
      <c r="A13" s="14" t="s">
        <v>236</v>
      </c>
      <c r="B13" s="29" t="n">
        <v>3197.59</v>
      </c>
      <c r="C13" s="29" t="n">
        <v>3310.933</v>
      </c>
      <c r="D13" s="29" t="n">
        <v>3337.585</v>
      </c>
      <c r="E13" s="29" t="n">
        <f aca="false">C13+'Income Statement'!E17-Assumptions!$C$63</f>
        <v>3460.92880687839</v>
      </c>
      <c r="F13" s="29" t="n">
        <f aca="false">E13+'Income Statement'!F17-Assumptions!$C$63</f>
        <v>3727.69731757841</v>
      </c>
      <c r="G13" s="29" t="n">
        <f aca="false">F13+'Income Statement'!G17-Assumptions!$C$63</f>
        <v>4078.31625102547</v>
      </c>
      <c r="H13" s="29" t="n">
        <f aca="false">G13+'Income Statement'!H17-Assumptions!$C$63</f>
        <v>4504.3363543186</v>
      </c>
      <c r="I13" s="29" t="n">
        <f aca="false">H13+'Income Statement'!I17-Assumptions!$C$63</f>
        <v>4997.19302739493</v>
      </c>
    </row>
    <row r="14" customFormat="false" ht="15" hidden="false" customHeight="false" outlineLevel="0" collapsed="false">
      <c r="A14" s="6" t="s">
        <v>371</v>
      </c>
      <c r="B14" s="23" t="n">
        <v>175.745</v>
      </c>
      <c r="C14" s="23" t="n">
        <v>186.378</v>
      </c>
      <c r="D14" s="23" t="n">
        <v>190.745</v>
      </c>
      <c r="E14" s="28" t="n">
        <f aca="false">C14-'Income Statement'!E16</f>
        <v>197.350272697063</v>
      </c>
      <c r="F14" s="28" t="n">
        <f aca="false">E14-'Income Statement'!F16</f>
        <v>209.5725621662</v>
      </c>
      <c r="G14" s="28" t="n">
        <f aca="false">F14-'Income Statement'!G16</f>
        <v>222.692445262522</v>
      </c>
      <c r="H14" s="28" t="n">
        <f aca="false">G14-'Income Statement'!H16</f>
        <v>236.619475267813</v>
      </c>
      <c r="I14" s="28" t="n">
        <f aca="false">H14-'Income Statement'!I16</f>
        <v>251.261970707086</v>
      </c>
    </row>
    <row r="15" customFormat="false" ht="15" hidden="false" customHeight="false" outlineLevel="0" collapsed="false">
      <c r="A15" s="6" t="s">
        <v>386</v>
      </c>
      <c r="B15" s="28" t="s">
        <v>246</v>
      </c>
      <c r="C15" s="18" t="n">
        <f aca="false">Assumptions!$C$37</f>
        <v>-1756.752</v>
      </c>
      <c r="D15" s="28" t="s">
        <v>246</v>
      </c>
      <c r="E15" s="28" t="n">
        <f aca="false">Assumptions!$C$38*'Income Statement'!E5</f>
        <v>-1799.64169979517</v>
      </c>
      <c r="F15" s="28" t="n">
        <f aca="false">Assumptions!$C$38*'Income Statement'!F5</f>
        <v>-1973.74863336367</v>
      </c>
      <c r="G15" s="28" t="n">
        <f aca="false">Assumptions!$C$38*'Income Statement'!G5</f>
        <v>-2076.82203421141</v>
      </c>
      <c r="H15" s="28" t="n">
        <f aca="false">Assumptions!$C$38*'Income Statement'!H5</f>
        <v>-2169.04560339097</v>
      </c>
      <c r="I15" s="28" t="n">
        <f aca="false">Assumptions!$C$38*'Income Statement'!I5</f>
        <v>-2250.41934090235</v>
      </c>
    </row>
    <row r="16" customFormat="false" ht="15" hidden="false" customHeight="false" outlineLevel="0" collapsed="false">
      <c r="A16" s="14" t="s">
        <v>387</v>
      </c>
      <c r="B16" s="29" t="n">
        <f aca="false">B11-B9</f>
        <v>3531.524</v>
      </c>
      <c r="C16" s="29" t="n">
        <f aca="false">C11-C9</f>
        <v>3191.855</v>
      </c>
      <c r="D16" s="29" t="n">
        <f aca="false">D11-D9</f>
        <v>2991.493</v>
      </c>
      <c r="E16" s="29" t="n">
        <f aca="false">D16-(DCF!B18+'Income Statement'!E12*(1-Assumptions!$C$7))+Assumptions!$C$63</f>
        <v>2978.79574217244</v>
      </c>
      <c r="F16" s="29" t="n">
        <f aca="false">E16-(DCF!C18+'Income Statement'!F12*(1-Assumptions!$C$7))+Assumptions!$C$63</f>
        <v>2683.57460143085</v>
      </c>
      <c r="G16" s="29" t="n">
        <f aca="false">F16-(DCF!D18+'Income Statement'!G12*(1-Assumptions!$C$7))+Assumptions!$C$63</f>
        <v>2318.31797698868</v>
      </c>
      <c r="H16" s="29" t="n">
        <f aca="false">G16-(DCF!E18+'Income Statement'!H12*(1-Assumptions!$C$7))+Assumptions!$C$63</f>
        <v>1833.76700294085</v>
      </c>
      <c r="I16" s="29" t="n">
        <f aca="false">H16-(DCF!F18+'Income Statement'!I12*(1-Assumptions!$C$7))+Assumptions!$C$63</f>
        <v>1240.86208835499</v>
      </c>
    </row>
    <row r="17" customFormat="false" ht="15" hidden="false" customHeight="false" outlineLevel="0" collapsed="false">
      <c r="A17" s="6" t="s">
        <v>388</v>
      </c>
      <c r="B17" s="36" t="s">
        <v>246</v>
      </c>
      <c r="C17" s="36" t="n">
        <f aca="false">C16/'Income Statement'!D8</f>
        <v>1.94361139646176</v>
      </c>
      <c r="D17" s="36" t="s">
        <v>246</v>
      </c>
      <c r="E17" s="36" t="n">
        <f aca="false">E16/'Income Statement'!E8</f>
        <v>1.74973761544032</v>
      </c>
      <c r="F17" s="36" t="n">
        <f aca="false">F16/'Income Statement'!F8</f>
        <v>1.45638571220214</v>
      </c>
      <c r="G17" s="36" t="n">
        <f aca="false">G16/'Income Statement'!G8</f>
        <v>1.19219046565933</v>
      </c>
      <c r="H17" s="36" t="n">
        <f aca="false">H16/'Income Statement'!H8</f>
        <v>0.901411872359474</v>
      </c>
      <c r="I17" s="36" t="n">
        <f aca="false">I16/'Income Statement'!I8</f>
        <v>0.587573864018278</v>
      </c>
    </row>
    <row r="19" customFormat="false" ht="15" hidden="false" customHeight="false" outlineLevel="0" collapsed="false">
      <c r="A19" s="4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8" min="2" style="0" width="12"/>
  </cols>
  <sheetData>
    <row r="1" customFormat="false" ht="16.15" hidden="false" customHeight="false" outlineLevel="0" collapsed="false">
      <c r="A1" s="1" t="s">
        <v>390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391</v>
      </c>
    </row>
    <row r="4" customFormat="false" ht="15" hidden="false" customHeight="false" outlineLevel="0" collapsed="false">
      <c r="A4" s="5" t="s">
        <v>297</v>
      </c>
      <c r="B4" s="5" t="s">
        <v>362</v>
      </c>
      <c r="C4" s="5" t="s">
        <v>244</v>
      </c>
      <c r="D4" s="5" t="s">
        <v>98</v>
      </c>
      <c r="E4" s="5" t="s">
        <v>99</v>
      </c>
      <c r="F4" s="5" t="s">
        <v>100</v>
      </c>
      <c r="G4" s="5" t="s">
        <v>101</v>
      </c>
      <c r="H4" s="5" t="s">
        <v>102</v>
      </c>
    </row>
    <row r="5" customFormat="false" ht="15" hidden="false" customHeight="false" outlineLevel="0" collapsed="false">
      <c r="A5" s="6" t="s">
        <v>261</v>
      </c>
      <c r="B5" s="18" t="n">
        <f aca="false">'Income Statement'!C8</f>
        <v>1551.525</v>
      </c>
      <c r="C5" s="18" t="n">
        <f aca="false">'Income Statement'!D8</f>
        <v>1642.229</v>
      </c>
      <c r="D5" s="18" t="n">
        <f aca="false">'Income Statement'!E8</f>
        <v>1702.4242468622</v>
      </c>
      <c r="E5" s="18" t="n">
        <f aca="false">'Income Statement'!F8</f>
        <v>1842.62628982615</v>
      </c>
      <c r="F5" s="18" t="n">
        <f aca="false">'Income Statement'!G8</f>
        <v>1944.58691271832</v>
      </c>
      <c r="G5" s="18" t="n">
        <f aca="false">'Income Statement'!H8</f>
        <v>2034.32754678602</v>
      </c>
      <c r="H5" s="18" t="n">
        <f aca="false">'Income Statement'!I8</f>
        <v>2111.84016911343</v>
      </c>
    </row>
    <row r="6" customFormat="false" ht="15" hidden="false" customHeight="false" outlineLevel="0" collapsed="false">
      <c r="A6" s="6" t="s">
        <v>392</v>
      </c>
      <c r="B6" s="23" t="n">
        <v>1824.402</v>
      </c>
      <c r="C6" s="23" t="n">
        <v>1862.042</v>
      </c>
      <c r="D6" s="28" t="s">
        <v>246</v>
      </c>
      <c r="E6" s="28" t="s">
        <v>246</v>
      </c>
      <c r="F6" s="28" t="s">
        <v>246</v>
      </c>
      <c r="G6" s="28" t="s">
        <v>246</v>
      </c>
      <c r="H6" s="28" t="s">
        <v>246</v>
      </c>
    </row>
    <row r="7" customFormat="false" ht="15" hidden="false" customHeight="false" outlineLevel="0" collapsed="false">
      <c r="A7" s="6" t="s">
        <v>393</v>
      </c>
      <c r="B7" s="28" t="s">
        <v>246</v>
      </c>
      <c r="C7" s="28" t="s">
        <v>246</v>
      </c>
      <c r="D7" s="18" t="n">
        <f aca="false">DCF!B14</f>
        <v>1203.60787371546</v>
      </c>
      <c r="E7" s="18" t="n">
        <f aca="false">DCF!C14</f>
        <v>1321.63059430915</v>
      </c>
      <c r="F7" s="18" t="n">
        <f aca="false">DCF!D14</f>
        <v>1406.37861068338</v>
      </c>
      <c r="G7" s="18" t="n">
        <f aca="false">DCF!E14</f>
        <v>1482.58692743842</v>
      </c>
      <c r="H7" s="18" t="n">
        <f aca="false">DCF!F14</f>
        <v>1550.1389626556</v>
      </c>
    </row>
    <row r="8" customFormat="false" ht="15" hidden="false" customHeight="false" outlineLevel="0" collapsed="false">
      <c r="A8" s="6" t="s">
        <v>306</v>
      </c>
      <c r="B8" s="28" t="s">
        <v>246</v>
      </c>
      <c r="C8" s="28" t="s">
        <v>246</v>
      </c>
      <c r="D8" s="18" t="n">
        <f aca="false">DCF!B15</f>
        <v>379.778231790266</v>
      </c>
      <c r="E8" s="18" t="n">
        <f aca="false">DCF!C15</f>
        <v>390.284977398508</v>
      </c>
      <c r="F8" s="18" t="n">
        <f aca="false">DCF!D15</f>
        <v>399.115911967355</v>
      </c>
      <c r="G8" s="18" t="n">
        <f aca="false">DCF!E15</f>
        <v>405.111143007536</v>
      </c>
      <c r="H8" s="18" t="n">
        <f aca="false">DCF!F15</f>
        <v>408.390759601777</v>
      </c>
    </row>
    <row r="9" customFormat="false" ht="15" hidden="false" customHeight="false" outlineLevel="0" collapsed="false">
      <c r="A9" s="6" t="s">
        <v>394</v>
      </c>
      <c r="B9" s="23" t="n">
        <v>-306.781</v>
      </c>
      <c r="C9" s="23" t="n">
        <v>-440.039</v>
      </c>
      <c r="D9" s="18" t="n">
        <f aca="false">DCF!B16</f>
        <v>-570.938753333333</v>
      </c>
      <c r="E9" s="18" t="n">
        <f aca="false">DCF!C16</f>
        <v>-548.161570394567</v>
      </c>
      <c r="F9" s="18" t="n">
        <f aca="false">DCF!D16</f>
        <v>-500.671504916313</v>
      </c>
      <c r="G9" s="18" t="n">
        <f aca="false">DCF!E16</f>
        <v>-452.730871437682</v>
      </c>
      <c r="H9" s="18" t="n">
        <f aca="false">DCF!F16</f>
        <v>-404.358751042901</v>
      </c>
    </row>
    <row r="10" customFormat="false" ht="15" hidden="false" customHeight="false" outlineLevel="0" collapsed="false">
      <c r="A10" s="6" t="s">
        <v>395</v>
      </c>
      <c r="B10" s="28" t="s">
        <v>246</v>
      </c>
      <c r="C10" s="28" t="s">
        <v>246</v>
      </c>
      <c r="D10" s="18" t="n">
        <f aca="false">DCF!B17</f>
        <v>42.8896997951736</v>
      </c>
      <c r="E10" s="18" t="n">
        <f aca="false">DCF!C17</f>
        <v>174.106933568495</v>
      </c>
      <c r="F10" s="18" t="n">
        <f aca="false">DCF!D17</f>
        <v>103.073400847743</v>
      </c>
      <c r="G10" s="18" t="n">
        <f aca="false">DCF!E17</f>
        <v>92.2235691795594</v>
      </c>
      <c r="H10" s="18" t="n">
        <f aca="false">DCF!F17</f>
        <v>81.373737511376</v>
      </c>
    </row>
    <row r="11" customFormat="false" ht="15" hidden="false" customHeight="false" outlineLevel="0" collapsed="false">
      <c r="A11" s="14" t="s">
        <v>309</v>
      </c>
      <c r="B11" s="29" t="s">
        <v>246</v>
      </c>
      <c r="C11" s="29" t="s">
        <v>246</v>
      </c>
      <c r="D11" s="29" t="n">
        <f aca="false">D7+D8+D9+D10</f>
        <v>1055.33705196756</v>
      </c>
      <c r="E11" s="29" t="n">
        <f aca="false">E7+E8+E9+E10</f>
        <v>1337.86093488159</v>
      </c>
      <c r="F11" s="29" t="n">
        <f aca="false">F7+F8+F9+F10</f>
        <v>1407.89641858216</v>
      </c>
      <c r="G11" s="29" t="n">
        <f aca="false">G7+G8+G9+G10</f>
        <v>1527.19076818784</v>
      </c>
      <c r="H11" s="29" t="n">
        <f aca="false">H7+H8+H9+H10</f>
        <v>1635.54470872586</v>
      </c>
    </row>
    <row r="12" customFormat="false" ht="15" hidden="false" customHeight="false" outlineLevel="0" collapsed="false">
      <c r="A12" s="6" t="s">
        <v>396</v>
      </c>
      <c r="B12" s="28" t="s">
        <v>246</v>
      </c>
      <c r="C12" s="28" t="s">
        <v>246</v>
      </c>
      <c r="D12" s="28" t="n">
        <f aca="false">'Income Statement'!E12*(1-Assumptions!$C$7)</f>
        <v>-167.63979414</v>
      </c>
      <c r="E12" s="28" t="n">
        <f aca="false">'Income Statement'!F12*(1-Assumptions!$C$7)</f>
        <v>-167.63979414</v>
      </c>
      <c r="F12" s="28" t="n">
        <f aca="false">'Income Statement'!G12*(1-Assumptions!$C$7)</f>
        <v>-167.63979414</v>
      </c>
      <c r="G12" s="28" t="n">
        <f aca="false">'Income Statement'!H12*(1-Assumptions!$C$7)</f>
        <v>-167.63979414</v>
      </c>
      <c r="H12" s="28" t="n">
        <f aca="false">'Income Statement'!I12*(1-Assumptions!$C$7)</f>
        <v>-167.63979414</v>
      </c>
    </row>
    <row r="13" customFormat="false" ht="15" hidden="false" customHeight="false" outlineLevel="0" collapsed="false">
      <c r="A13" s="6" t="s">
        <v>397</v>
      </c>
      <c r="B13" s="28" t="s">
        <v>246</v>
      </c>
      <c r="C13" s="28" t="s">
        <v>246</v>
      </c>
      <c r="D13" s="28" t="n">
        <f aca="false">D11+D12</f>
        <v>887.697257827564</v>
      </c>
      <c r="E13" s="28" t="n">
        <f aca="false">E11+E12</f>
        <v>1170.22114074159</v>
      </c>
      <c r="F13" s="28" t="n">
        <f aca="false">F11+F12</f>
        <v>1240.25662444216</v>
      </c>
      <c r="G13" s="28" t="n">
        <f aca="false">G11+G12</f>
        <v>1359.55097404784</v>
      </c>
      <c r="H13" s="28" t="n">
        <f aca="false">H11+H12</f>
        <v>1467.90491458586</v>
      </c>
    </row>
    <row r="14" customFormat="false" ht="15" hidden="false" customHeight="false" outlineLevel="0" collapsed="false">
      <c r="A14" s="6" t="s">
        <v>398</v>
      </c>
      <c r="B14" s="23" t="n">
        <v>-850</v>
      </c>
      <c r="C14" s="23" t="n">
        <v>-875</v>
      </c>
      <c r="D14" s="18" t="n">
        <f aca="false">-Assumptions!$C$63</f>
        <v>-875</v>
      </c>
      <c r="E14" s="18" t="n">
        <f aca="false">-Assumptions!$C$63</f>
        <v>-875</v>
      </c>
      <c r="F14" s="18" t="n">
        <f aca="false">-Assumptions!$C$63</f>
        <v>-875</v>
      </c>
      <c r="G14" s="18" t="n">
        <f aca="false">-Assumptions!$C$63</f>
        <v>-875</v>
      </c>
      <c r="H14" s="18" t="n">
        <f aca="false">-Assumptions!$C$63</f>
        <v>-875</v>
      </c>
    </row>
    <row r="15" customFormat="false" ht="15" hidden="false" customHeight="false" outlineLevel="0" collapsed="false">
      <c r="A15" s="6" t="s">
        <v>399</v>
      </c>
      <c r="B15" s="28" t="s">
        <v>246</v>
      </c>
      <c r="C15" s="28" t="s">
        <v>246</v>
      </c>
      <c r="D15" s="28" t="n">
        <f aca="false">-D13-D14</f>
        <v>-12.6972578275636</v>
      </c>
      <c r="E15" s="28" t="n">
        <f aca="false">-E13-E14</f>
        <v>-295.22114074159</v>
      </c>
      <c r="F15" s="28" t="n">
        <f aca="false">-F13-F14</f>
        <v>-365.256624442163</v>
      </c>
      <c r="G15" s="28" t="n">
        <f aca="false">-G13-G14</f>
        <v>-484.550974047837</v>
      </c>
      <c r="H15" s="28" t="n">
        <f aca="false">-H13-H14</f>
        <v>-592.904914585855</v>
      </c>
    </row>
    <row r="16" customFormat="false" ht="15" hidden="false" customHeight="false" outlineLevel="0" collapsed="false">
      <c r="A16" s="6" t="s">
        <v>400</v>
      </c>
      <c r="B16" s="28" t="s">
        <v>246</v>
      </c>
      <c r="C16" s="28" t="s">
        <v>246</v>
      </c>
      <c r="D16" s="18" t="n">
        <f aca="false">'Balance Sheet'!E16</f>
        <v>2978.79574217244</v>
      </c>
      <c r="E16" s="18" t="n">
        <f aca="false">'Balance Sheet'!F16</f>
        <v>2683.57460143085</v>
      </c>
      <c r="F16" s="18" t="n">
        <f aca="false">'Balance Sheet'!G16</f>
        <v>2318.31797698868</v>
      </c>
      <c r="G16" s="18" t="n">
        <f aca="false">'Balance Sheet'!H16</f>
        <v>1833.76700294085</v>
      </c>
      <c r="H16" s="18" t="n">
        <f aca="false">'Balance Sheet'!I16</f>
        <v>1240.86208835499</v>
      </c>
    </row>
    <row r="18" customFormat="false" ht="15" hidden="false" customHeight="false" outlineLevel="0" collapsed="false">
      <c r="A18" s="4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402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403</v>
      </c>
    </row>
    <row r="4" customFormat="false" ht="15" hidden="false" customHeight="false" outlineLevel="0" collapsed="false">
      <c r="A4" s="5" t="s">
        <v>297</v>
      </c>
      <c r="B4" s="5" t="s">
        <v>361</v>
      </c>
      <c r="C4" s="5" t="s">
        <v>362</v>
      </c>
      <c r="D4" s="5" t="s">
        <v>244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6" t="s">
        <v>298</v>
      </c>
      <c r="B5" s="18" t="n">
        <f aca="false">'Income Statement'!B5</f>
        <v>3035.203</v>
      </c>
      <c r="C5" s="18" t="n">
        <f aca="false">'Income Statement'!C5</f>
        <v>3260.489</v>
      </c>
      <c r="D5" s="18" t="n">
        <f aca="false">'Income Statement'!D5</f>
        <v>3419.304</v>
      </c>
      <c r="E5" s="18" t="n">
        <f aca="false">'Income Statement'!E5</f>
        <v>3502.78358167598</v>
      </c>
      <c r="F5" s="18" t="n">
        <f aca="false">'Income Statement'!F5</f>
        <v>3841.66154189944</v>
      </c>
      <c r="G5" s="18" t="n">
        <f aca="false">'Income Statement'!G5</f>
        <v>4042.28137430168</v>
      </c>
      <c r="H5" s="18" t="n">
        <f aca="false">'Income Statement'!H5</f>
        <v>4221.78332960894</v>
      </c>
      <c r="I5" s="18" t="n">
        <f aca="false">'Income Statement'!I5</f>
        <v>4380.16740782123</v>
      </c>
    </row>
    <row r="6" customFormat="false" ht="15" hidden="false" customHeight="false" outlineLevel="0" collapsed="false">
      <c r="A6" s="6" t="s">
        <v>404</v>
      </c>
      <c r="B6" s="10" t="s">
        <v>246</v>
      </c>
      <c r="C6" s="10" t="n">
        <f aca="false">C5/B5-1</f>
        <v>0.074224359952201</v>
      </c>
      <c r="D6" s="10" t="n">
        <f aca="false">D5/C5-1</f>
        <v>0.0487089513260128</v>
      </c>
      <c r="E6" s="10" t="n">
        <f aca="false">E5/D5-1</f>
        <v>0.0244142029126329</v>
      </c>
      <c r="F6" s="10" t="n">
        <f aca="false">F5/E5-1</f>
        <v>0.0967453319115197</v>
      </c>
      <c r="G6" s="10" t="n">
        <f aca="false">G5/F5-1</f>
        <v>0.0522221518512642</v>
      </c>
      <c r="H6" s="10" t="n">
        <f aca="false">H5/G5-1</f>
        <v>0.0444061010815391</v>
      </c>
      <c r="I6" s="10" t="n">
        <f aca="false">I5/H5-1</f>
        <v>0.0375159182380309</v>
      </c>
    </row>
    <row r="7" customFormat="false" ht="15" hidden="false" customHeight="false" outlineLevel="0" collapsed="false">
      <c r="A7" s="6" t="s">
        <v>261</v>
      </c>
      <c r="B7" s="18" t="n">
        <f aca="false">'Income Statement'!B8</f>
        <v>1468.07</v>
      </c>
      <c r="C7" s="18" t="n">
        <f aca="false">'Income Statement'!C8</f>
        <v>1551.525</v>
      </c>
      <c r="D7" s="18" t="n">
        <f aca="false">'Income Statement'!D8</f>
        <v>1642.229</v>
      </c>
      <c r="E7" s="18" t="n">
        <f aca="false">'Income Statement'!E8</f>
        <v>1702.4242468622</v>
      </c>
      <c r="F7" s="18" t="n">
        <f aca="false">'Income Statement'!F8</f>
        <v>1842.62628982615</v>
      </c>
      <c r="G7" s="18" t="n">
        <f aca="false">'Income Statement'!G8</f>
        <v>1944.58691271832</v>
      </c>
      <c r="H7" s="18" t="n">
        <f aca="false">'Income Statement'!H8</f>
        <v>2034.32754678602</v>
      </c>
      <c r="I7" s="18" t="n">
        <f aca="false">'Income Statement'!I8</f>
        <v>2111.84016911343</v>
      </c>
    </row>
    <row r="8" customFormat="false" ht="15" hidden="false" customHeight="false" outlineLevel="0" collapsed="false">
      <c r="A8" s="6" t="s">
        <v>262</v>
      </c>
      <c r="B8" s="10" t="n">
        <f aca="false">B7/B5</f>
        <v>0.48368099267166</v>
      </c>
      <c r="C8" s="10" t="n">
        <f aca="false">C7/C5</f>
        <v>0.475856535630085</v>
      </c>
      <c r="D8" s="10" t="n">
        <f aca="false">D7/D5</f>
        <v>0.480281659659393</v>
      </c>
      <c r="E8" s="10" t="n">
        <f aca="false">E7/E5</f>
        <v>0.486020391259125</v>
      </c>
      <c r="F8" s="10" t="n">
        <f aca="false">F7/F5</f>
        <v>0.479643058017832</v>
      </c>
      <c r="G8" s="10" t="n">
        <f aca="false">G7/G5</f>
        <v>0.481061740303582</v>
      </c>
      <c r="H8" s="10" t="n">
        <f aca="false">H7/H5</f>
        <v>0.481864507948224</v>
      </c>
      <c r="I8" s="10" t="n">
        <f aca="false">I7/I5</f>
        <v>0.482136862016398</v>
      </c>
    </row>
    <row r="9" customFormat="false" ht="15" hidden="false" customHeight="false" outlineLevel="0" collapsed="false">
      <c r="A9" s="6" t="s">
        <v>366</v>
      </c>
      <c r="B9" s="18" t="n">
        <f aca="false">'Income Statement'!B11</f>
        <v>1119.871</v>
      </c>
      <c r="C9" s="18" t="n">
        <f aca="false">'Income Statement'!C11</f>
        <v>1192.444</v>
      </c>
      <c r="D9" s="18" t="n">
        <f aca="false">'Income Statement'!D11</f>
        <v>1272.512</v>
      </c>
      <c r="E9" s="18" t="n">
        <f aca="false">'Income Statement'!E11</f>
        <v>1322.64601507193</v>
      </c>
      <c r="F9" s="18" t="n">
        <f aca="false">'Income Statement'!F11</f>
        <v>1452.34131242764</v>
      </c>
      <c r="G9" s="18" t="n">
        <f aca="false">'Income Statement'!G11</f>
        <v>1545.47100075096</v>
      </c>
      <c r="H9" s="18" t="n">
        <f aca="false">'Income Statement'!H11</f>
        <v>1629.21640377849</v>
      </c>
      <c r="I9" s="18" t="n">
        <f aca="false">'Income Statement'!I11</f>
        <v>1703.44940951165</v>
      </c>
    </row>
    <row r="10" customFormat="false" ht="15" hidden="false" customHeight="false" outlineLevel="0" collapsed="false">
      <c r="A10" s="6" t="s">
        <v>405</v>
      </c>
      <c r="B10" s="18" t="n">
        <f aca="false">'Income Statement'!B17</f>
        <v>952.927</v>
      </c>
      <c r="C10" s="18" t="n">
        <f aca="false">'Income Statement'!C17</f>
        <v>896.754</v>
      </c>
      <c r="D10" s="18" t="n">
        <f aca="false">'Income Statement'!D17</f>
        <v>993.302</v>
      </c>
      <c r="E10" s="18" t="n">
        <f aca="false">'Income Statement'!E17</f>
        <v>1024.99580687839</v>
      </c>
      <c r="F10" s="18" t="n">
        <f aca="false">'Income Statement'!F17</f>
        <v>1141.76851070002</v>
      </c>
      <c r="G10" s="18" t="n">
        <f aca="false">'Income Statement'!G17</f>
        <v>1225.61893344706</v>
      </c>
      <c r="H10" s="18" t="n">
        <f aca="false">'Income Statement'!H17</f>
        <v>1301.02010329313</v>
      </c>
      <c r="I10" s="18" t="n">
        <f aca="false">'Income Statement'!I17</f>
        <v>1367.85667307633</v>
      </c>
    </row>
    <row r="11" customFormat="false" ht="15" hidden="false" customHeight="false" outlineLevel="0" collapsed="false">
      <c r="A11" s="6" t="s">
        <v>309</v>
      </c>
      <c r="B11" s="28" t="s">
        <v>246</v>
      </c>
      <c r="C11" s="28" t="s">
        <v>246</v>
      </c>
      <c r="D11" s="28" t="s">
        <v>246</v>
      </c>
      <c r="E11" s="18" t="n">
        <f aca="false">'Cash Flow'!D11</f>
        <v>1055.33705196756</v>
      </c>
      <c r="F11" s="18" t="n">
        <f aca="false">'Cash Flow'!E11</f>
        <v>1337.86093488159</v>
      </c>
      <c r="G11" s="18" t="n">
        <f aca="false">'Cash Flow'!F11</f>
        <v>1407.89641858216</v>
      </c>
      <c r="H11" s="18" t="n">
        <f aca="false">'Cash Flow'!G11</f>
        <v>1527.19076818784</v>
      </c>
      <c r="I11" s="18" t="n">
        <f aca="false">'Cash Flow'!H11</f>
        <v>1635.54470872586</v>
      </c>
    </row>
    <row r="12" customFormat="false" ht="15" hidden="false" customHeight="false" outlineLevel="0" collapsed="false">
      <c r="A12" s="6" t="s">
        <v>406</v>
      </c>
      <c r="B12" s="28" t="s">
        <v>246</v>
      </c>
      <c r="C12" s="18" t="n">
        <f aca="false">'Balance Sheet'!B16</f>
        <v>3531.524</v>
      </c>
      <c r="D12" s="18" t="n">
        <f aca="false">'Balance Sheet'!C16</f>
        <v>3191.855</v>
      </c>
      <c r="E12" s="18" t="n">
        <f aca="false">'Balance Sheet'!E16</f>
        <v>2978.79574217244</v>
      </c>
      <c r="F12" s="18" t="n">
        <f aca="false">'Balance Sheet'!F16</f>
        <v>2683.57460143085</v>
      </c>
      <c r="G12" s="18" t="n">
        <f aca="false">'Balance Sheet'!G16</f>
        <v>2318.31797698868</v>
      </c>
      <c r="H12" s="18" t="n">
        <f aca="false">'Balance Sheet'!H16</f>
        <v>1833.76700294085</v>
      </c>
      <c r="I12" s="18" t="n">
        <f aca="false">'Balance Sheet'!I16</f>
        <v>1240.86208835499</v>
      </c>
    </row>
    <row r="13" customFormat="false" ht="15" hidden="false" customHeight="false" outlineLevel="0" collapsed="false">
      <c r="A13" s="6" t="s">
        <v>407</v>
      </c>
      <c r="B13" s="28" t="s">
        <v>246</v>
      </c>
      <c r="C13" s="28" t="s">
        <v>246</v>
      </c>
      <c r="D13" s="28" t="s">
        <v>246</v>
      </c>
      <c r="E13" s="18" t="n">
        <f aca="false">DCF!B11+Assumptions!$C$39+'Balance Sheet'!E15</f>
        <v>6754.02682174789</v>
      </c>
      <c r="F13" s="18" t="n">
        <f aca="false">DCF!C11+Assumptions!$C$39+'Balance Sheet'!F15</f>
        <v>6755.31448117546</v>
      </c>
      <c r="G13" s="18" t="n">
        <f aca="false">DCF!D11+Assumptions!$C$39+'Balance Sheet'!G15</f>
        <v>6771.31467327667</v>
      </c>
      <c r="H13" s="18" t="n">
        <f aca="false">DCF!E11+Assumptions!$C$39+'Balance Sheet'!H15</f>
        <v>6744.22883252726</v>
      </c>
      <c r="I13" s="18" t="n">
        <f aca="false">DCF!F11+Assumptions!$C$39+'Balance Sheet'!I15</f>
        <v>6676.34108645701</v>
      </c>
    </row>
    <row r="14" customFormat="false" ht="15" hidden="false" customHeight="false" outlineLevel="0" collapsed="false">
      <c r="A14" s="6" t="s">
        <v>408</v>
      </c>
      <c r="B14" s="10" t="s">
        <v>246</v>
      </c>
      <c r="C14" s="10" t="s">
        <v>246</v>
      </c>
      <c r="D14" s="10" t="s">
        <v>246</v>
      </c>
      <c r="E14" s="8" t="n">
        <f aca="false">DCF!B14/E13</f>
        <v>0.178205965934256</v>
      </c>
      <c r="F14" s="8" t="n">
        <f aca="false">DCF!C14/F13</f>
        <v>0.195643089302807</v>
      </c>
      <c r="G14" s="8" t="n">
        <f aca="false">DCF!D14/G13</f>
        <v>0.207696537311096</v>
      </c>
      <c r="H14" s="8" t="n">
        <f aca="false">DCF!E14/H13</f>
        <v>0.219830460124357</v>
      </c>
      <c r="I14" s="8" t="n">
        <f aca="false">DCF!F14/I13</f>
        <v>0.232183907709579</v>
      </c>
    </row>
    <row r="16" customFormat="false" ht="15" hidden="false" customHeight="false" outlineLevel="0" collapsed="false">
      <c r="A16" s="4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3"/>
  </cols>
  <sheetData>
    <row r="1" customFormat="false" ht="16.15" hidden="false" customHeight="false" outlineLevel="0" collapsed="false">
      <c r="A1" s="1" t="s">
        <v>410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411</v>
      </c>
    </row>
    <row r="4" customFormat="false" ht="15" hidden="false" customHeight="false" outlineLevel="0" collapsed="false">
      <c r="A4" s="5" t="s">
        <v>412</v>
      </c>
      <c r="B4" s="5" t="s">
        <v>413</v>
      </c>
      <c r="C4" s="5" t="s">
        <v>414</v>
      </c>
      <c r="D4" s="5" t="s">
        <v>415</v>
      </c>
      <c r="E4" s="5" t="s">
        <v>416</v>
      </c>
      <c r="F4" s="5" t="s">
        <v>417</v>
      </c>
      <c r="G4" s="5" t="s">
        <v>418</v>
      </c>
    </row>
    <row r="5" customFormat="false" ht="15" hidden="false" customHeight="false" outlineLevel="0" collapsed="false">
      <c r="A5" s="6" t="s">
        <v>419</v>
      </c>
      <c r="B5" s="15" t="n">
        <v>1.30777835353396</v>
      </c>
      <c r="C5" s="15" t="n">
        <v>1.42146390790704</v>
      </c>
      <c r="D5" s="15" t="n">
        <v>1.49730469839803</v>
      </c>
      <c r="E5" s="15" t="n">
        <v>1.57760850878423</v>
      </c>
      <c r="F5" s="15" t="n">
        <v>1.71059621171514</v>
      </c>
      <c r="G5" s="22" t="n">
        <v>0.49096</v>
      </c>
    </row>
    <row r="6" customFormat="false" ht="15" hidden="false" customHeight="false" outlineLevel="0" collapsed="false">
      <c r="A6" s="6" t="s">
        <v>420</v>
      </c>
      <c r="B6" s="15" t="n">
        <v>1.1631291473183</v>
      </c>
      <c r="C6" s="15" t="n">
        <v>1.35692883345013</v>
      </c>
      <c r="D6" s="15" t="n">
        <v>1.49359006291286</v>
      </c>
      <c r="E6" s="15" t="n">
        <v>1.64348007721334</v>
      </c>
      <c r="F6" s="15" t="n">
        <v>1.92040959773459</v>
      </c>
      <c r="G6" s="22" t="n">
        <v>0.48788</v>
      </c>
    </row>
    <row r="8" customFormat="false" ht="15" hidden="false" customHeight="false" outlineLevel="0" collapsed="false">
      <c r="A8" s="5" t="s">
        <v>421</v>
      </c>
      <c r="B8" s="5" t="s">
        <v>422</v>
      </c>
      <c r="C8" s="5" t="s">
        <v>423</v>
      </c>
    </row>
    <row r="9" customFormat="false" ht="15" hidden="false" customHeight="false" outlineLevel="0" collapsed="false">
      <c r="A9" s="6" t="s">
        <v>424</v>
      </c>
      <c r="B9" s="22" t="n">
        <v>0.10862</v>
      </c>
      <c r="C9" s="22" t="n">
        <v>0.2411</v>
      </c>
    </row>
    <row r="10" customFormat="false" ht="15" hidden="false" customHeight="false" outlineLevel="0" collapsed="false">
      <c r="A10" s="6" t="s">
        <v>425</v>
      </c>
      <c r="B10" s="22" t="n">
        <v>0.09634</v>
      </c>
      <c r="C10" s="22" t="n">
        <v>0.23902</v>
      </c>
    </row>
    <row r="11" customFormat="false" ht="15" hidden="false" customHeight="false" outlineLevel="0" collapsed="false">
      <c r="A11" s="6" t="s">
        <v>426</v>
      </c>
      <c r="B11" s="22" t="n">
        <v>0.18294</v>
      </c>
      <c r="C11" s="22" t="n">
        <v>0.45114</v>
      </c>
    </row>
    <row r="12" customFormat="false" ht="15" hidden="false" customHeight="false" outlineLevel="0" collapsed="false">
      <c r="A12" s="6" t="s">
        <v>427</v>
      </c>
      <c r="B12" s="22" t="n">
        <v>0.15638</v>
      </c>
      <c r="C12" s="22" t="n">
        <v>0.4303</v>
      </c>
    </row>
    <row r="14" customFormat="false" ht="15" hidden="false" customHeight="false" outlineLevel="0" collapsed="false">
      <c r="A14" s="5" t="s">
        <v>428</v>
      </c>
      <c r="B14" s="5" t="s">
        <v>62</v>
      </c>
    </row>
    <row r="15" customFormat="false" ht="15" hidden="false" customHeight="false" outlineLevel="0" collapsed="false">
      <c r="A15" s="6" t="s">
        <v>429</v>
      </c>
      <c r="C15" s="42" t="s">
        <v>430</v>
      </c>
    </row>
    <row r="16" customFormat="false" ht="15" hidden="false" customHeight="false" outlineLevel="0" collapsed="false">
      <c r="A16" s="6" t="s">
        <v>431</v>
      </c>
      <c r="C16" s="7" t="n">
        <f aca="false">Assumptions!$C$5</f>
        <v>1.5</v>
      </c>
    </row>
    <row r="17" customFormat="false" ht="15" hidden="false" customHeight="false" outlineLevel="0" collapsed="false">
      <c r="A17" s="6" t="s">
        <v>432</v>
      </c>
      <c r="C17" s="22" t="n">
        <v>0.316385041363649</v>
      </c>
    </row>
    <row r="18" customFormat="false" ht="15" hidden="false" customHeight="false" outlineLevel="0" collapsed="false">
      <c r="A18" s="6" t="s">
        <v>433</v>
      </c>
      <c r="C18" s="21" t="n">
        <v>50000</v>
      </c>
    </row>
    <row r="20" customFormat="false" ht="69.75" hidden="false" customHeight="true" outlineLevel="0" collapsed="false">
      <c r="A20" s="43" t="s">
        <v>434</v>
      </c>
      <c r="B20" s="43"/>
      <c r="C20" s="43"/>
      <c r="D20" s="43"/>
      <c r="E20" s="43"/>
      <c r="F20" s="43"/>
      <c r="G20" s="43"/>
      <c r="H20" s="43"/>
    </row>
  </sheetData>
  <mergeCells count="1"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6.15" hidden="false" customHeight="false" outlineLevel="0" collapsed="false">
      <c r="A1" s="1" t="s">
        <v>435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4" t="s">
        <v>436</v>
      </c>
    </row>
    <row r="4" customFormat="false" ht="15" hidden="false" customHeight="false" outlineLevel="0" collapsed="false">
      <c r="A4" s="20" t="s">
        <v>437</v>
      </c>
    </row>
    <row r="5" customFormat="false" ht="15" hidden="false" customHeight="false" outlineLevel="0" collapsed="false">
      <c r="A5" s="5"/>
      <c r="B5" s="5" t="s">
        <v>438</v>
      </c>
      <c r="C5" s="5" t="s">
        <v>439</v>
      </c>
      <c r="D5" s="5" t="s">
        <v>440</v>
      </c>
      <c r="E5" s="5" t="s">
        <v>441</v>
      </c>
      <c r="F5" s="5" t="s">
        <v>442</v>
      </c>
    </row>
    <row r="6" customFormat="false" ht="15" hidden="false" customHeight="false" outlineLevel="0" collapsed="false">
      <c r="A6" s="6" t="s">
        <v>443</v>
      </c>
      <c r="B6" s="15" t="n">
        <v>2.88939894317408</v>
      </c>
      <c r="C6" s="15" t="n">
        <v>3.17842517795405</v>
      </c>
      <c r="D6" s="15" t="n">
        <v>3.55515352368464</v>
      </c>
      <c r="E6" s="15" t="n">
        <v>4.06712600483127</v>
      </c>
      <c r="F6" s="15" t="n">
        <v>4.80382561664787</v>
      </c>
    </row>
    <row r="7" customFormat="false" ht="15" hidden="false" customHeight="false" outlineLevel="0" collapsed="false">
      <c r="A7" s="6" t="s">
        <v>444</v>
      </c>
      <c r="B7" s="15" t="n">
        <v>2.55685896262202</v>
      </c>
      <c r="C7" s="15" t="n">
        <v>2.77512348591738</v>
      </c>
      <c r="D7" s="15" t="n">
        <v>3.05068082695324</v>
      </c>
      <c r="E7" s="15" t="n">
        <v>3.40983548544984</v>
      </c>
      <c r="F7" s="15" t="n">
        <v>3.89790433769306</v>
      </c>
    </row>
    <row r="8" customFormat="false" ht="15" hidden="false" customHeight="false" outlineLevel="0" collapsed="false">
      <c r="A8" s="6" t="s">
        <v>445</v>
      </c>
      <c r="B8" s="15" t="n">
        <v>2.28740945884597</v>
      </c>
      <c r="C8" s="15" t="n">
        <v>2.45632694299072</v>
      </c>
      <c r="D8" s="15" t="n">
        <v>2.6642726028588</v>
      </c>
      <c r="E8" s="15" t="n">
        <v>2.92678687654777</v>
      </c>
      <c r="F8" s="15" t="n">
        <v>3.26892351675462</v>
      </c>
    </row>
    <row r="9" customFormat="false" ht="15" hidden="false" customHeight="false" outlineLevel="0" collapsed="false">
      <c r="A9" s="6" t="s">
        <v>446</v>
      </c>
      <c r="B9" s="15" t="n">
        <v>2.06464321165387</v>
      </c>
      <c r="C9" s="15" t="n">
        <v>2.19797346509592</v>
      </c>
      <c r="D9" s="15" t="n">
        <v>2.35878474006237</v>
      </c>
      <c r="E9" s="15" t="n">
        <v>2.55673736965108</v>
      </c>
      <c r="F9" s="15" t="n">
        <v>2.80662048790864</v>
      </c>
    </row>
    <row r="10" customFormat="false" ht="15" hidden="false" customHeight="false" outlineLevel="0" collapsed="false">
      <c r="A10" s="6" t="s">
        <v>447</v>
      </c>
      <c r="B10" s="15" t="n">
        <v>1.87738889147694</v>
      </c>
      <c r="C10" s="15" t="n">
        <v>1.98434543298134</v>
      </c>
      <c r="D10" s="15" t="n">
        <v>2.11117713540871</v>
      </c>
      <c r="E10" s="15" t="n">
        <v>2.26413786169169</v>
      </c>
      <c r="F10" s="15" t="n">
        <v>2.45241268065106</v>
      </c>
    </row>
    <row r="12" customFormat="false" ht="15" hidden="false" customHeight="false" outlineLevel="0" collapsed="false">
      <c r="A12" s="20" t="s">
        <v>448</v>
      </c>
    </row>
    <row r="13" customFormat="false" ht="15" hidden="false" customHeight="false" outlineLevel="0" collapsed="false">
      <c r="A13" s="5" t="s">
        <v>449</v>
      </c>
      <c r="B13" s="5" t="s">
        <v>450</v>
      </c>
    </row>
    <row r="14" customFormat="false" ht="15" hidden="false" customHeight="false" outlineLevel="0" collapsed="false">
      <c r="A14" s="22" t="n">
        <v>0.9</v>
      </c>
      <c r="B14" s="15" t="n">
        <v>2.54646867163161</v>
      </c>
    </row>
    <row r="15" customFormat="false" ht="15" hidden="false" customHeight="false" outlineLevel="0" collapsed="false">
      <c r="A15" s="22" t="n">
        <v>0.94</v>
      </c>
      <c r="B15" s="15" t="n">
        <v>2.59359024412249</v>
      </c>
    </row>
    <row r="16" customFormat="false" ht="15" hidden="false" customHeight="false" outlineLevel="0" collapsed="false">
      <c r="A16" s="22" t="n">
        <v>0.97</v>
      </c>
      <c r="B16" s="15" t="n">
        <v>2.62893142349064</v>
      </c>
    </row>
    <row r="17" customFormat="false" ht="15" hidden="false" customHeight="false" outlineLevel="0" collapsed="false">
      <c r="A17" s="22" t="n">
        <v>1</v>
      </c>
      <c r="B17" s="15" t="n">
        <v>2.6642726028588</v>
      </c>
    </row>
    <row r="18" customFormat="false" ht="15" hidden="false" customHeight="false" outlineLevel="0" collapsed="false">
      <c r="A18" s="22" t="n">
        <v>1.03</v>
      </c>
      <c r="B18" s="15" t="n">
        <v>2.69961378222696</v>
      </c>
    </row>
    <row r="19" customFormat="false" ht="15" hidden="false" customHeight="false" outlineLevel="0" collapsed="false">
      <c r="A19" s="6" t="s">
        <v>451</v>
      </c>
      <c r="B19" s="15" t="n">
        <v>2.59359024412249</v>
      </c>
      <c r="C19" s="15" t="n">
        <v>2.41619719088074</v>
      </c>
      <c r="D19" s="6" t="s">
        <v>452</v>
      </c>
    </row>
    <row r="21" customFormat="false" ht="15" hidden="false" customHeight="false" outlineLevel="0" collapsed="false">
      <c r="A21" s="20" t="s">
        <v>453</v>
      </c>
    </row>
    <row r="22" customFormat="false" ht="15" hidden="false" customHeight="false" outlineLevel="0" collapsed="false">
      <c r="A22" s="6" t="s">
        <v>72</v>
      </c>
      <c r="B22" s="22" t="n">
        <v>0.015</v>
      </c>
      <c r="C22" s="22" t="n">
        <v>0.02</v>
      </c>
      <c r="D22" s="22" t="n">
        <v>0.025</v>
      </c>
      <c r="E22" s="22" t="n">
        <v>0.03</v>
      </c>
      <c r="F22" s="22" t="n">
        <v>0.035</v>
      </c>
    </row>
    <row r="23" customFormat="false" ht="15" hidden="false" customHeight="false" outlineLevel="0" collapsed="false">
      <c r="A23" s="6" t="s">
        <v>454</v>
      </c>
      <c r="B23" s="9" t="n">
        <f aca="false">((DCF!$C$31+DCF!$F$14*(1+B22)*(1-B22/DCF!$C$25)/(DCF!$C$50-B22)*DCF!$F$19)-DCF!$C$47+Assumptions!$C$56+Assumptions!$C$57+Assumptions!$C$58)*(1-'SOTP Bridge'!$C$14)/Assumptions!$C$6</f>
        <v>2.28740945884597</v>
      </c>
      <c r="C23" s="9" t="n">
        <f aca="false">((DCF!$C$31+DCF!$F$14*(1+C22)*(1-C22/DCF!$C$25)/(DCF!$C$50-C22)*DCF!$F$19)-DCF!$C$47+Assumptions!$C$56+Assumptions!$C$57+Assumptions!$C$58)*(1-'SOTP Bridge'!$C$14)/Assumptions!$C$6</f>
        <v>2.45632694299072</v>
      </c>
      <c r="D23" s="9" t="n">
        <f aca="false">((DCF!$C$31+DCF!$F$14*(1+D22)*(1-D22/DCF!$C$25)/(DCF!$C$50-D22)*DCF!$F$19)-DCF!$C$47+Assumptions!$C$56+Assumptions!$C$57+Assumptions!$C$58)*(1-'SOTP Bridge'!$C$14)/Assumptions!$C$6</f>
        <v>2.6642726028588</v>
      </c>
      <c r="E23" s="9" t="n">
        <f aca="false">((DCF!$C$31+DCF!$F$14*(1+E22)*(1-E22/DCF!$C$25)/(DCF!$C$50-E22)*DCF!$F$19)-DCF!$C$47+Assumptions!$C$56+Assumptions!$C$57+Assumptions!$C$58)*(1-'SOTP Bridge'!$C$14)/Assumptions!$C$6</f>
        <v>2.92678687654777</v>
      </c>
      <c r="F23" s="9" t="n">
        <f aca="false">((DCF!$C$31+DCF!$F$14*(1+F22)*(1-F22/DCF!$C$25)/(DCF!$C$50-F22)*DCF!$F$19)-DCF!$C$47+Assumptions!$C$56+Assumptions!$C$57+Assumptions!$C$58)*(1-'SOTP Bridge'!$C$14)/Assumptions!$C$6</f>
        <v>3.26892351675462</v>
      </c>
      <c r="G23" s="6" t="s">
        <v>455</v>
      </c>
      <c r="H23" s="9" t="n">
        <f aca="false">MAX(B23:F23)-MIN(B23:F23)</f>
        <v>0.981514057908655</v>
      </c>
    </row>
    <row r="25" customFormat="false" ht="15" hidden="false" customHeight="false" outlineLevel="0" collapsed="false">
      <c r="A25" s="4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2"/>
  </cols>
  <sheetData>
    <row r="1" customFormat="false" ht="16.15" hidden="false" customHeight="false" outlineLevel="0" collapsed="false">
      <c r="A1" s="1" t="s">
        <v>457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458</v>
      </c>
    </row>
    <row r="4" customFormat="false" ht="15" hidden="false" customHeight="false" outlineLevel="0" collapsed="false">
      <c r="A4" s="5" t="s">
        <v>459</v>
      </c>
      <c r="B4" s="5" t="s">
        <v>361</v>
      </c>
      <c r="C4" s="5" t="s">
        <v>362</v>
      </c>
      <c r="D4" s="5" t="s">
        <v>244</v>
      </c>
      <c r="E4" s="5" t="s">
        <v>98</v>
      </c>
      <c r="F4" s="5" t="s">
        <v>99</v>
      </c>
      <c r="G4" s="5" t="s">
        <v>100</v>
      </c>
      <c r="H4" s="5" t="s">
        <v>101</v>
      </c>
      <c r="I4" s="5" t="s">
        <v>102</v>
      </c>
    </row>
    <row r="5" customFormat="false" ht="15" hidden="false" customHeight="false" outlineLevel="0" collapsed="false">
      <c r="A5" s="6" t="s">
        <v>373</v>
      </c>
      <c r="B5" s="9" t="n">
        <f aca="false">'Income Statement'!B18</f>
        <v>0.0952927</v>
      </c>
      <c r="C5" s="9" t="n">
        <f aca="false">'Income Statement'!C18</f>
        <v>0.0896754</v>
      </c>
      <c r="D5" s="9" t="n">
        <f aca="false">'Income Statement'!D18</f>
        <v>0.0993302</v>
      </c>
      <c r="E5" s="9" t="n">
        <f aca="false">'Income Statement'!E18</f>
        <v>0.102499580687839</v>
      </c>
      <c r="F5" s="9" t="n">
        <f aca="false">'Income Statement'!F18</f>
        <v>0.114176851070002</v>
      </c>
      <c r="G5" s="9" t="n">
        <f aca="false">'Income Statement'!G18</f>
        <v>0.122561893344706</v>
      </c>
      <c r="H5" s="9" t="n">
        <f aca="false">'Income Statement'!H18</f>
        <v>0.130102010329313</v>
      </c>
      <c r="I5" s="9" t="n">
        <f aca="false">'Income Statement'!I18</f>
        <v>0.136785667307633</v>
      </c>
    </row>
    <row r="6" customFormat="false" ht="15" hidden="false" customHeight="false" outlineLevel="0" collapsed="false">
      <c r="A6" s="6" t="s">
        <v>460</v>
      </c>
      <c r="B6" s="9" t="s">
        <v>246</v>
      </c>
      <c r="C6" s="9" t="s">
        <v>246</v>
      </c>
      <c r="D6" s="9" t="n">
        <f aca="false">Assumptions!$C$63/Assumptions!$C$6</f>
        <v>0.0875</v>
      </c>
      <c r="E6" s="9" t="n">
        <f aca="false">Assumptions!$C$63/Assumptions!$C$6</f>
        <v>0.0875</v>
      </c>
      <c r="F6" s="9" t="n">
        <f aca="false">Assumptions!$C$63/Assumptions!$C$6</f>
        <v>0.0875</v>
      </c>
      <c r="G6" s="9" t="n">
        <f aca="false">Assumptions!$C$63/Assumptions!$C$6</f>
        <v>0.0875</v>
      </c>
      <c r="H6" s="9" t="n">
        <f aca="false">Assumptions!$C$63/Assumptions!$C$6</f>
        <v>0.0875</v>
      </c>
      <c r="I6" s="9" t="n">
        <f aca="false">Assumptions!$C$63/Assumptions!$C$6</f>
        <v>0.0875</v>
      </c>
    </row>
    <row r="7" customFormat="false" ht="15" hidden="false" customHeight="false" outlineLevel="0" collapsed="false">
      <c r="A7" s="6" t="s">
        <v>461</v>
      </c>
      <c r="B7" s="36" t="s">
        <v>246</v>
      </c>
      <c r="C7" s="36" t="s">
        <v>246</v>
      </c>
      <c r="D7" s="36" t="n">
        <f aca="false">'Income Statement'!D17/Assumptions!$C$63</f>
        <v>1.13520228571429</v>
      </c>
      <c r="E7" s="36" t="n">
        <f aca="false">'Income Statement'!E17/Assumptions!$C$63</f>
        <v>1.17142377928959</v>
      </c>
      <c r="F7" s="36" t="n">
        <f aca="false">'Income Statement'!F17/Assumptions!$C$63</f>
        <v>1.30487829794288</v>
      </c>
      <c r="G7" s="36" t="n">
        <f aca="false">'Income Statement'!G17/Assumptions!$C$63</f>
        <v>1.40070735251092</v>
      </c>
      <c r="H7" s="36" t="n">
        <f aca="false">'Income Statement'!H17/Assumptions!$C$63</f>
        <v>1.48688011804929</v>
      </c>
      <c r="I7" s="36" t="n">
        <f aca="false">'Income Statement'!I17/Assumptions!$C$63</f>
        <v>1.56326476923009</v>
      </c>
    </row>
    <row r="8" customFormat="false" ht="15" hidden="false" customHeight="false" outlineLevel="0" collapsed="false">
      <c r="A8" s="6" t="s">
        <v>462</v>
      </c>
      <c r="B8" s="9" t="s">
        <v>246</v>
      </c>
      <c r="C8" s="9" t="n">
        <f aca="false">'Balance Sheet'!B13/Assumptions!$C$6</f>
        <v>0.319759</v>
      </c>
      <c r="D8" s="9" t="n">
        <f aca="false">'Balance Sheet'!C13/Assumptions!$C$6</f>
        <v>0.3310933</v>
      </c>
      <c r="E8" s="9" t="n">
        <f aca="false">'Balance Sheet'!E13/Assumptions!$C$6</f>
        <v>0.346092880687839</v>
      </c>
      <c r="F8" s="9" t="n">
        <f aca="false">'Balance Sheet'!F13/Assumptions!$C$6</f>
        <v>0.372769731757841</v>
      </c>
      <c r="G8" s="9" t="n">
        <f aca="false">'Balance Sheet'!G13/Assumptions!$C$6</f>
        <v>0.407831625102547</v>
      </c>
      <c r="H8" s="9" t="n">
        <f aca="false">'Balance Sheet'!H13/Assumptions!$C$6</f>
        <v>0.45043363543186</v>
      </c>
      <c r="I8" s="9" t="n">
        <f aca="false">'Balance Sheet'!I13/Assumptions!$C$6</f>
        <v>0.499719302739493</v>
      </c>
    </row>
    <row r="9" customFormat="false" ht="15" hidden="false" customHeight="false" outlineLevel="0" collapsed="false">
      <c r="A9" s="6" t="s">
        <v>463</v>
      </c>
      <c r="B9" s="9" t="s">
        <v>246</v>
      </c>
      <c r="C9" s="9" t="s">
        <v>246</v>
      </c>
      <c r="D9" s="9" t="s">
        <v>246</v>
      </c>
      <c r="E9" s="9" t="n">
        <f aca="false">'Cash Flow'!D11/Assumptions!$C$6</f>
        <v>0.105533705196756</v>
      </c>
      <c r="F9" s="9" t="n">
        <f aca="false">'Cash Flow'!E11/Assumptions!$C$6</f>
        <v>0.133786093488159</v>
      </c>
      <c r="G9" s="9" t="n">
        <f aca="false">'Cash Flow'!F11/Assumptions!$C$6</f>
        <v>0.140789641858216</v>
      </c>
      <c r="H9" s="9" t="n">
        <f aca="false">'Cash Flow'!G11/Assumptions!$C$6</f>
        <v>0.152719076818784</v>
      </c>
      <c r="I9" s="9" t="n">
        <f aca="false">'Cash Flow'!H11/Assumptions!$C$6</f>
        <v>0.163554470872586</v>
      </c>
    </row>
    <row r="10" customFormat="false" ht="15" hidden="false" customHeight="false" outlineLevel="0" collapsed="false">
      <c r="A10" s="6" t="s">
        <v>464</v>
      </c>
      <c r="B10" s="10" t="n">
        <f aca="false">'Income Statement'!B7/'Income Statement'!B5</f>
        <v>0.439191711394592</v>
      </c>
      <c r="C10" s="10" t="n">
        <f aca="false">'Income Statement'!C7/'Income Statement'!C5</f>
        <v>0.430040708617634</v>
      </c>
      <c r="D10" s="10" t="n">
        <f aca="false">'Income Statement'!D7/'Income Statement'!D5</f>
        <v>0.435272207443386</v>
      </c>
      <c r="E10" s="10" t="s">
        <v>246</v>
      </c>
      <c r="F10" s="10" t="s">
        <v>246</v>
      </c>
      <c r="G10" s="10" t="s">
        <v>246</v>
      </c>
      <c r="H10" s="10" t="s">
        <v>246</v>
      </c>
      <c r="I10" s="10" t="s">
        <v>246</v>
      </c>
    </row>
    <row r="11" customFormat="false" ht="15" hidden="false" customHeight="false" outlineLevel="0" collapsed="false">
      <c r="A11" s="6" t="s">
        <v>262</v>
      </c>
      <c r="B11" s="10" t="n">
        <f aca="false">'Income Statement'!B9</f>
        <v>0.48368099267166</v>
      </c>
      <c r="C11" s="10" t="n">
        <f aca="false">'Income Statement'!C9</f>
        <v>0.475856535630085</v>
      </c>
      <c r="D11" s="10" t="n">
        <f aca="false">'Income Statement'!D9</f>
        <v>0.480281659659393</v>
      </c>
      <c r="E11" s="10" t="n">
        <f aca="false">'Income Statement'!E9</f>
        <v>0.486020391259125</v>
      </c>
      <c r="F11" s="10" t="n">
        <f aca="false">'Income Statement'!F9</f>
        <v>0.479643058017832</v>
      </c>
      <c r="G11" s="10" t="n">
        <f aca="false">'Income Statement'!G9</f>
        <v>0.481061740303582</v>
      </c>
      <c r="H11" s="10" t="n">
        <f aca="false">'Income Statement'!H9</f>
        <v>0.481864507948224</v>
      </c>
      <c r="I11" s="10" t="n">
        <f aca="false">'Income Statement'!I9</f>
        <v>0.482136862016398</v>
      </c>
    </row>
    <row r="12" customFormat="false" ht="15" hidden="false" customHeight="false" outlineLevel="0" collapsed="false">
      <c r="A12" s="6" t="s">
        <v>465</v>
      </c>
      <c r="B12" s="10" t="n">
        <f aca="false">'Income Statement'!B11/'Income Statement'!B5</f>
        <v>0.36896082403714</v>
      </c>
      <c r="C12" s="10" t="n">
        <f aca="false">'Income Statement'!C11/'Income Statement'!C5</f>
        <v>0.365725509271769</v>
      </c>
      <c r="D12" s="10" t="n">
        <f aca="false">'Income Statement'!D11/'Income Statement'!D5</f>
        <v>0.372155269025509</v>
      </c>
      <c r="E12" s="10" t="n">
        <f aca="false">'Income Statement'!E11/'Income Statement'!E5</f>
        <v>0.377598553901833</v>
      </c>
      <c r="F12" s="10" t="n">
        <f aca="false">'Income Statement'!F11/'Income Statement'!F5</f>
        <v>0.378050303647925</v>
      </c>
      <c r="G12" s="10" t="n">
        <f aca="false">'Income Statement'!G11/'Income Statement'!G5</f>
        <v>0.382326428480737</v>
      </c>
      <c r="H12" s="10" t="n">
        <f aca="false">'Income Statement'!H11/'Income Statement'!H5</f>
        <v>0.385907157374038</v>
      </c>
      <c r="I12" s="10" t="n">
        <f aca="false">'Income Statement'!I11/'Income Statement'!I5</f>
        <v>0.388900526146551</v>
      </c>
    </row>
    <row r="13" customFormat="false" ht="15" hidden="false" customHeight="false" outlineLevel="0" collapsed="false">
      <c r="A13" s="6" t="s">
        <v>466</v>
      </c>
      <c r="B13" s="10" t="n">
        <f aca="false">'Income Statement'!B17/'Income Statement'!B5</f>
        <v>0.313958242661199</v>
      </c>
      <c r="C13" s="10" t="n">
        <f aca="false">'Income Statement'!C17/'Income Statement'!C5</f>
        <v>0.275036658611638</v>
      </c>
      <c r="D13" s="10" t="n">
        <f aca="false">'Income Statement'!D17/'Income Statement'!D5</f>
        <v>0.290498300238879</v>
      </c>
      <c r="E13" s="10" t="n">
        <f aca="false">'Income Statement'!E17/'Income Statement'!E5</f>
        <v>0.292623218928063</v>
      </c>
      <c r="F13" s="10" t="n">
        <f aca="false">'Income Statement'!F17/'Income Statement'!F5</f>
        <v>0.297206950234218</v>
      </c>
      <c r="G13" s="10" t="n">
        <f aca="false">'Income Statement'!G17/'Income Statement'!G5</f>
        <v>0.30319980722737</v>
      </c>
      <c r="H13" s="10" t="n">
        <f aca="false">'Income Statement'!H17/'Income Statement'!H5</f>
        <v>0.308168373816959</v>
      </c>
      <c r="I13" s="10" t="n">
        <f aca="false">'Income Statement'!I17/'Income Statement'!I5</f>
        <v>0.312284108281771</v>
      </c>
    </row>
    <row r="14" customFormat="false" ht="15" hidden="false" customHeight="false" outlineLevel="0" collapsed="false">
      <c r="A14" s="6" t="s">
        <v>467</v>
      </c>
      <c r="B14" s="10" t="s">
        <v>246</v>
      </c>
      <c r="C14" s="10" t="s">
        <v>246</v>
      </c>
      <c r="D14" s="10" t="n">
        <f aca="false">'Income Statement'!D17/(('Balance Sheet'!B13+'Balance Sheet'!C13)/2)</f>
        <v>0.305231156131737</v>
      </c>
      <c r="E14" s="10" t="n">
        <f aca="false">'Income Statement'!E17/(('Balance Sheet'!C13+'Balance Sheet'!E13)/2)</f>
        <v>0.302722009429452</v>
      </c>
      <c r="F14" s="10" t="n">
        <f aca="false">'Income Statement'!F17/(('Balance Sheet'!E13+'Balance Sheet'!F13)/2)</f>
        <v>0.317659728279802</v>
      </c>
      <c r="G14" s="10" t="n">
        <f aca="false">'Income Statement'!G17/(('Balance Sheet'!F13+'Balance Sheet'!G13)/2)</f>
        <v>0.31401916552555</v>
      </c>
      <c r="H14" s="10" t="n">
        <f aca="false">'Income Statement'!H17/(('Balance Sheet'!G13+'Balance Sheet'!H13)/2)</f>
        <v>0.303174359517486</v>
      </c>
      <c r="I14" s="10" t="n">
        <f aca="false">'Income Statement'!I17/(('Balance Sheet'!H13+'Balance Sheet'!I13)/2)</f>
        <v>0.287923473816517</v>
      </c>
    </row>
    <row r="15" customFormat="false" ht="15" hidden="false" customHeight="false" outlineLevel="0" collapsed="false">
      <c r="A15" s="6" t="s">
        <v>388</v>
      </c>
      <c r="B15" s="36" t="s">
        <v>246</v>
      </c>
      <c r="C15" s="36" t="n">
        <f aca="false">'Balance Sheet'!B16/'Income Statement'!C8</f>
        <v>2.27616312982388</v>
      </c>
      <c r="D15" s="36" t="n">
        <f aca="false">'Balance Sheet'!C16/'Income Statement'!D8</f>
        <v>1.94361139646176</v>
      </c>
      <c r="E15" s="36" t="n">
        <f aca="false">'Balance Sheet'!E16/'Income Statement'!E8</f>
        <v>1.74973761544032</v>
      </c>
      <c r="F15" s="36" t="n">
        <f aca="false">'Balance Sheet'!F16/'Income Statement'!F8</f>
        <v>1.45638571220214</v>
      </c>
      <c r="G15" s="36" t="n">
        <f aca="false">'Balance Sheet'!G16/'Income Statement'!G8</f>
        <v>1.19219046565933</v>
      </c>
      <c r="H15" s="36" t="n">
        <f aca="false">'Balance Sheet'!H16/'Income Statement'!H8</f>
        <v>0.901411872359474</v>
      </c>
      <c r="I15" s="36" t="n">
        <f aca="false">'Balance Sheet'!I16/'Income Statement'!I8</f>
        <v>0.587573864018278</v>
      </c>
    </row>
    <row r="16" customFormat="false" ht="15" hidden="false" customHeight="false" outlineLevel="0" collapsed="false">
      <c r="A16" s="6" t="s">
        <v>468</v>
      </c>
      <c r="B16" s="10" t="s">
        <v>246</v>
      </c>
      <c r="C16" s="10" t="n">
        <f aca="false">-'Cash Flow'!B9/'Income Statement'!C5</f>
        <v>0.0940904876538458</v>
      </c>
      <c r="D16" s="10" t="n">
        <f aca="false">-'Cash Flow'!C9/'Income Statement'!D5</f>
        <v>0.12869256433473</v>
      </c>
      <c r="E16" s="10" t="n">
        <f aca="false">-'Cash Flow'!D9/'Income Statement'!E5</f>
        <v>0.162995726119099</v>
      </c>
      <c r="F16" s="10" t="n">
        <f aca="false">-'Cash Flow'!E9/'Income Statement'!F5</f>
        <v>0.142688668539899</v>
      </c>
      <c r="G16" s="10" t="n">
        <f aca="false">-'Cash Flow'!F9/'Income Statement'!G5</f>
        <v>0.12385864776739</v>
      </c>
      <c r="H16" s="10" t="n">
        <f aca="false">-'Cash Flow'!G9/'Income Statement'!H5</f>
        <v>0.10723687979497</v>
      </c>
      <c r="I16" s="10" t="n">
        <f aca="false">-'Cash Flow'!H9/'Income Statement'!I5</f>
        <v>0.0923158211535199</v>
      </c>
    </row>
    <row r="17" customFormat="false" ht="15" hidden="false" customHeight="false" outlineLevel="0" collapsed="false">
      <c r="A17" s="6" t="s">
        <v>469</v>
      </c>
      <c r="B17" s="10" t="s">
        <v>246</v>
      </c>
      <c r="C17" s="10" t="s">
        <v>246</v>
      </c>
      <c r="D17" s="10" t="n">
        <f aca="false">Assumptions!$C$63/'Income Statement'!D17</f>
        <v>0.880900270008517</v>
      </c>
      <c r="E17" s="10" t="n">
        <f aca="false">Assumptions!$C$63/'Income Statement'!E17</f>
        <v>0.853662028788973</v>
      </c>
      <c r="F17" s="10" t="n">
        <f aca="false">Assumptions!$C$63/'Income Statement'!F17</f>
        <v>0.766354993853823</v>
      </c>
      <c r="G17" s="10" t="n">
        <f aca="false">Assumptions!$C$63/'Income Statement'!G17</f>
        <v>0.713925002397818</v>
      </c>
      <c r="H17" s="10" t="n">
        <f aca="false">Assumptions!$C$63/'Income Statement'!H17</f>
        <v>0.672549177207336</v>
      </c>
      <c r="I17" s="10" t="n">
        <f aca="false">Assumptions!$C$63/'Income Statement'!I17</f>
        <v>0.639686903769027</v>
      </c>
    </row>
    <row r="19" customFormat="false" ht="15" hidden="false" customHeight="false" outlineLevel="0" collapsed="false">
      <c r="A19" s="4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0"/>
    <col collapsed="false" customWidth="true" hidden="false" outlineLevel="0" max="3" min="3" style="0" width="44"/>
    <col collapsed="false" customWidth="true" hidden="false" outlineLevel="0" max="4" min="4" style="0" width="48"/>
    <col collapsed="false" customWidth="true" hidden="false" outlineLevel="0" max="6" min="5" style="0" width="20"/>
  </cols>
  <sheetData>
    <row r="1" customFormat="false" ht="16.15" hidden="false" customHeight="false" outlineLevel="0" collapsed="false">
      <c r="A1" s="1" t="s">
        <v>471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4" t="s">
        <v>472</v>
      </c>
    </row>
    <row r="4" customFormat="false" ht="15" hidden="false" customHeight="false" outlineLevel="0" collapsed="false">
      <c r="A4" s="5" t="s">
        <v>473</v>
      </c>
      <c r="B4" s="5" t="s">
        <v>474</v>
      </c>
      <c r="C4" s="5" t="s">
        <v>475</v>
      </c>
      <c r="D4" s="5" t="s">
        <v>476</v>
      </c>
    </row>
    <row r="5" customFormat="false" ht="39.75" hidden="false" customHeight="true" outlineLevel="0" collapsed="false">
      <c r="A5" s="6" t="s">
        <v>477</v>
      </c>
      <c r="B5" s="6" t="s">
        <v>478</v>
      </c>
      <c r="C5" s="44" t="s">
        <v>479</v>
      </c>
      <c r="D5" s="44" t="s">
        <v>480</v>
      </c>
    </row>
    <row r="6" customFormat="false" ht="39.75" hidden="false" customHeight="true" outlineLevel="0" collapsed="false">
      <c r="A6" s="6" t="s">
        <v>481</v>
      </c>
      <c r="B6" s="6" t="s">
        <v>478</v>
      </c>
      <c r="C6" s="44" t="s">
        <v>482</v>
      </c>
      <c r="D6" s="44" t="s">
        <v>483</v>
      </c>
    </row>
    <row r="7" customFormat="false" ht="39.75" hidden="false" customHeight="true" outlineLevel="0" collapsed="false">
      <c r="A7" s="6" t="s">
        <v>484</v>
      </c>
      <c r="B7" s="6" t="s">
        <v>485</v>
      </c>
      <c r="C7" s="44" t="s">
        <v>486</v>
      </c>
      <c r="D7" s="44" t="s">
        <v>487</v>
      </c>
    </row>
    <row r="9" customFormat="false" ht="15" hidden="false" customHeight="false" outlineLevel="0" collapsed="false">
      <c r="A9" s="5" t="s">
        <v>488</v>
      </c>
      <c r="B9" s="5" t="s">
        <v>489</v>
      </c>
      <c r="C9" s="5" t="s">
        <v>490</v>
      </c>
    </row>
    <row r="10" customFormat="false" ht="15" hidden="false" customHeight="false" outlineLevel="0" collapsed="false">
      <c r="A10" s="6" t="s">
        <v>491</v>
      </c>
      <c r="B10" s="35" t="n">
        <f aca="false">Assumptions!$C$66</f>
        <v>10.7</v>
      </c>
      <c r="C10" s="35" t="n">
        <f aca="false">'Relative &amp; Normalized'!C15</f>
        <v>10.95553238921</v>
      </c>
    </row>
    <row r="11" customFormat="false" ht="15" hidden="false" customHeight="false" outlineLevel="0" collapsed="false">
      <c r="A11" s="6" t="s">
        <v>492</v>
      </c>
      <c r="B11" s="35" t="n">
        <f aca="false">Assumptions!$C$67</f>
        <v>16.6</v>
      </c>
      <c r="C11" s="35" t="n">
        <f aca="false">'Relative &amp; Normalized'!C16</f>
        <v>15.1011474858603</v>
      </c>
    </row>
    <row r="12" customFormat="false" ht="15" hidden="false" customHeight="false" outlineLevel="0" collapsed="false">
      <c r="A12" s="6" t="s">
        <v>493</v>
      </c>
      <c r="B12" s="35" t="n">
        <f aca="false">Assumptions!$C$68</f>
        <v>16.8</v>
      </c>
      <c r="C12" s="35" t="n">
        <f aca="false">'Relative &amp; Normalized'!C16</f>
        <v>15.1011474858603</v>
      </c>
    </row>
    <row r="13" customFormat="false" ht="15" hidden="false" customHeight="false" outlineLevel="0" collapsed="false">
      <c r="A13" s="6" t="s">
        <v>494</v>
      </c>
      <c r="C13" s="10" t="n">
        <f aca="false">Assumptions!$C$63/Assumptions!$C$6/Assumptions!$C$5</f>
        <v>0.0583333333333333</v>
      </c>
    </row>
    <row r="15" customFormat="false" ht="15" hidden="false" customHeight="false" outlineLevel="0" collapsed="false">
      <c r="A15" s="4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2026-08-09T15:38:11Z</dcterms:created>
  <dc:creator>openpyxl</dc:creator>
  <dc:description/>
  <dc:language>en-US</dc:language>
  <cp:lastModifiedBy/>
  <dcterms:modified xsi:type="dcterms:W3CDTF">2026-08-09T15:38:11Z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