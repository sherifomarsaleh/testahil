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;(0.000);&quot;-&quot;"/>
    <numFmt numFmtId="165" formatCode="#,##0;(#,##0);&quot;-&quot;"/>
    <numFmt numFmtId="166" formatCode="0.0%;(0.0%);&quot;-&quot;"/>
    <numFmt numFmtId="167" formatCode="#,##0.0;(#,##0.0);&quot;-&quot;"/>
    <numFmt numFmtId="168" formatCode="0.0000"/>
    <numFmt numFmtId="169" formatCode="0.000"/>
    <numFmt numFmtId="170" formatCode="0.00x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color rgb="006E7B77"/>
      <sz val="9"/>
    </font>
    <font>
      <b val="1"/>
    </font>
    <font>
      <b val="1"/>
      <color rgb="00000000"/>
    </font>
    <font>
      <color rgb="00000000"/>
    </font>
    <font>
      <color rgb="000000FF"/>
    </font>
    <font>
      <color rgb="00008000"/>
    </font>
    <font>
      <b val="1"/>
      <color rgb="00008000"/>
    </font>
    <font>
      <b val="1"/>
      <color rgb="000000FF"/>
    </font>
    <font>
      <sz val="1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5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164" fontId="5" fillId="0" borderId="0" pivotButton="0" quotePrefix="0" xfId="0"/>
    <xf numFmtId="166" fontId="5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166" fontId="4" fillId="4" borderId="0" pivotButton="0" quotePrefix="0" xfId="0"/>
    <xf numFmtId="0" fontId="3" fillId="4" borderId="0" pivotButton="0" quotePrefix="0" xfId="0"/>
    <xf numFmtId="164" fontId="6" fillId="0" borderId="0" pivotButton="0" quotePrefix="0" xfId="0"/>
    <xf numFmtId="164" fontId="8" fillId="4" borderId="0" pivotButton="0" quotePrefix="0" xfId="0"/>
    <xf numFmtId="165" fontId="7" fillId="0" borderId="0" pivotButton="0" quotePrefix="0" xfId="0"/>
    <xf numFmtId="167" fontId="7" fillId="0" borderId="0" pivotButton="0" quotePrefix="0" xfId="0"/>
    <xf numFmtId="10" fontId="7" fillId="0" borderId="0" pivotButton="0" quotePrefix="0" xfId="0"/>
    <xf numFmtId="0" fontId="4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0" fontId="6" fillId="0" borderId="0" pivotButton="0" quotePrefix="0" xfId="0"/>
    <xf numFmtId="169" fontId="6" fillId="0" borderId="0" pivotButton="0" quotePrefix="0" xfId="0"/>
    <xf numFmtId="170" fontId="6" fillId="0" borderId="0" pivotButton="0" quotePrefix="0" xfId="0"/>
    <xf numFmtId="167" fontId="5" fillId="0" borderId="0" pivotButton="0" quotePrefix="0" xfId="0"/>
    <xf numFmtId="167" fontId="3" fillId="4" borderId="0" pivotButton="0" quotePrefix="0" xfId="0"/>
    <xf numFmtId="164" fontId="3" fillId="4" borderId="0" pivotButton="0" quotePrefix="0" xfId="0"/>
    <xf numFmtId="10" fontId="5" fillId="0" borderId="0" pivotButton="0" quotePrefix="0" xfId="0"/>
    <xf numFmtId="165" fontId="5" fillId="0" borderId="0" pivotButton="0" quotePrefix="0" xfId="0"/>
    <xf numFmtId="168" fontId="7" fillId="0" borderId="0" pivotButton="0" quotePrefix="0" xfId="0"/>
    <xf numFmtId="168" fontId="5" fillId="0" borderId="0" pivotButton="0" quotePrefix="0" xfId="0"/>
    <xf numFmtId="170" fontId="7" fillId="0" borderId="0" pivotButton="0" quotePrefix="0" xfId="0"/>
    <xf numFmtId="170" fontId="5" fillId="0" borderId="0" pivotButton="0" quotePrefix="0" xfId="0"/>
    <xf numFmtId="167" fontId="8" fillId="0" borderId="0" pivotButton="0" quotePrefix="0" xfId="0"/>
    <xf numFmtId="167" fontId="4" fillId="0" borderId="0" pivotButton="0" quotePrefix="0" xfId="0"/>
    <xf numFmtId="164" fontId="8" fillId="0" borderId="0" pivotButton="0" quotePrefix="0" xfId="0"/>
    <xf numFmtId="169" fontId="7" fillId="0" borderId="0" pivotButton="0" quotePrefix="0" xfId="0"/>
    <xf numFmtId="10" fontId="3" fillId="4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Emirates Central Cooling Systems Corporation PJSC (DFM: EMPOWER)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Empower valuation study. Every blue cell is an</t>
        </is>
      </c>
    </row>
    <row r="6">
      <c r="A6" s="3" t="inlineStr">
        <is>
          <t>input; every black cell is a formula; green cells link across sheets.</t>
        </is>
      </c>
    </row>
    <row r="7">
      <c r="A7" s="3" t="inlineStr"/>
    </row>
    <row r="8">
      <c r="A8" s="3" t="inlineStr">
        <is>
          <t>IT IS FORMULA-DRIVEN. Every figure that can be derived arithmetically from a driver is a live formula,</t>
        </is>
      </c>
    </row>
    <row r="9">
      <c r="A9" s="3" t="inlineStr">
        <is>
          <t>so you can change a blue cell on Assumptions and watch the model reprice: the cost of capital is built</t>
        </is>
      </c>
    </row>
    <row r="10">
      <c r="A10" s="3" t="inlineStr">
        <is>
          <t>from the risk-free rate, beta and the premium rather than pasted; the revenue engine multiplies</t>
        </is>
      </c>
    </row>
    <row r="11">
      <c r="A11" s="3" t="inlineStr">
        <is>
          <t>per-refrigeration-ton rates by the connected-capacity path; and the income statement, balance sheet,</t>
        </is>
      </c>
    </row>
    <row r="12">
      <c r="A12" s="3" t="inlineStr">
        <is>
          <t>cash flow, ratios and all four lenses chain off the same cells.</t>
        </is>
      </c>
    </row>
    <row r="13">
      <c r="A13" s="3" t="inlineStr"/>
    </row>
    <row r="14">
      <c r="A14" s="3" t="inlineStr">
        <is>
          <t>EXACTLY THREE THINGS ARE PASTED VALUES, and it is worth knowing which:</t>
        </is>
      </c>
    </row>
    <row r="15">
      <c r="A15" s="3" t="inlineStr"/>
    </row>
    <row r="16">
      <c r="A16" s="3" t="inlineStr">
        <is>
          <t xml:space="preserve">  1. AUDITED AND DISCLOSED HISTORY — the FY2023-25 statement lines, the 30-Jun-2026 reviewed balance</t>
        </is>
      </c>
    </row>
    <row r="17">
      <c r="A17" s="3" t="inlineStr">
        <is>
          <t xml:space="preserve">     sheet, disclosed connected capacity, and the consumption revenue disclosed in the auditor's</t>
        </is>
      </c>
    </row>
    <row r="18">
      <c r="A18" s="3" t="inlineStr">
        <is>
          <t xml:space="preserve">     key-audit-matter section. Where a line is both disclosed and derivable, the workbook carries the</t>
        </is>
      </c>
    </row>
    <row r="19">
      <c r="A19" s="3" t="inlineStr">
        <is>
          <t xml:space="preserve">     DISCLOSED figure: the primary record is not a calculation.</t>
        </is>
      </c>
    </row>
    <row r="20">
      <c r="A20" s="3" t="inlineStr">
        <is>
          <t xml:space="preserve">  2. THE UNIT BUILD'S BASE ANCHORS — the per-RT revenue rates, the electricity-and-water pass-through</t>
        </is>
      </c>
    </row>
    <row r="21">
      <c r="A21" s="3" t="inlineStr">
        <is>
          <t xml:space="preserve">     ratio, the cash cost bases, the depreciation rate, capex per added RT and the working-capital</t>
        </is>
      </c>
    </row>
    <row r="22">
      <c r="A22" s="3" t="inlineStr">
        <is>
          <t xml:space="preserve">     ratio. Each anchor is pasted once on the Assumptions sheet with its source, and everything</t>
        </is>
      </c>
    </row>
    <row r="23">
      <c r="A23" s="3" t="inlineStr">
        <is>
          <t xml:space="preserve">     downstream of it is a formula.</t>
        </is>
      </c>
    </row>
    <row r="24">
      <c r="A24" s="3" t="inlineStr">
        <is>
          <t xml:space="preserve">  3. WHOLE-MODEL RE-RUN GRIDS — the probabilistic price map, the discount-rate x growth grid, the</t>
        </is>
      </c>
    </row>
    <row r="25">
      <c r="A25" s="3" t="inlineStr">
        <is>
          <t xml:space="preserve">     consumption-recovery grid, the consumption-persists framing and the bear/bull cases. Each such</t>
        </is>
      </c>
    </row>
    <row r="26">
      <c r="A26" s="3" t="inlineStr">
        <is>
          <t xml:space="preserve">     cell is a complete revaluation of the entire model, so it cannot be a single formula. THESE GRIDS</t>
        </is>
      </c>
    </row>
    <row r="27">
      <c r="A27" s="3" t="inlineStr">
        <is>
          <t xml:space="preserve">     DO NOT REDRAW WHEN A DRIVER IS CHANGED — the live one-way row on the Sensitivity sheet does.</t>
        </is>
      </c>
    </row>
    <row r="28">
      <c r="A28" s="3" t="inlineStr"/>
    </row>
    <row r="29">
      <c r="A29" s="3" t="inlineStr">
        <is>
          <t>How revenue is built. Not as one growth rate. Consumption revenue is a per-RT rate times average</t>
        </is>
      </c>
    </row>
    <row r="30">
      <c r="A30" s="3" t="inlineStr">
        <is>
          <t>connected refrigeration tons, with the FY2026 warm-winter shock and its recovery as explicit, separate</t>
        </is>
      </c>
    </row>
    <row r="31">
      <c r="A31" s="3" t="inlineStr">
        <is>
          <t>drivers; capacity and connection revenue is its own per-RT rate on the same capacity path; pipes are</t>
        </is>
      </c>
    </row>
    <row r="32">
      <c r="A32" s="3" t="inlineStr">
        <is>
          <t>carried flat. Costs escalate each on their own driver: DEWA electricity and water follows the</t>
        </is>
      </c>
    </row>
    <row r="33">
      <c r="A33" s="3" t="inlineStr">
        <is>
          <t>consumption leg, wage-class lines follow the wage escalator, the concession interest amortises.</t>
        </is>
      </c>
    </row>
    <row r="34">
      <c r="A34" s="3" t="inlineStr"/>
    </row>
    <row r="35">
      <c r="A35" s="3" t="inlineStr">
        <is>
          <t>The two contested judgements are shown BOTH WAYS, never averaged: the 9% corporate-tax and 15%</t>
        </is>
      </c>
    </row>
    <row r="36">
      <c r="A36" s="3" t="inlineStr">
        <is>
          <t>top-up-tax framings run as parallel columns through the cost of capital, the DCF and the bridge; and</t>
        </is>
      </c>
    </row>
    <row r="37">
      <c r="A37" s="3" t="inlineStr">
        <is>
          <t>the consumption-recovers and consumption-persists cases are both on the Fundamental Valuation sheet.</t>
        </is>
      </c>
    </row>
    <row r="38">
      <c r="A38" s="3" t="inlineStr"/>
    </row>
    <row r="39">
      <c r="A39" s="3" t="inlineStr">
        <is>
          <t>What it is not. Not investment advice, a recommendation, or a price target. Values are model outputs</t>
        </is>
      </c>
    </row>
    <row r="40">
      <c r="A40" s="3" t="inlineStr">
        <is>
          <t>shown as ranges. The probabilistic price map is dispersion, not a forecast of value.</t>
        </is>
      </c>
    </row>
    <row r="41">
      <c r="A41" s="3" t="inlineStr"/>
    </row>
    <row r="42">
      <c r="A42" s="3" t="inlineStr">
        <is>
          <t>Sourcing. FY2023, FY2024 and FY2025 statement lines come from the company's own audited consolidated</t>
        </is>
      </c>
    </row>
    <row r="43">
      <c r="A43" s="3" t="inlineStr">
        <is>
          <t>financial statements; the 30-Jun-2026 position from the reviewed interim statements; capacity and</t>
        </is>
      </c>
    </row>
    <row r="44">
      <c r="A44" s="3" t="inlineStr">
        <is>
          <t>guidance from the company's H1-2026 earnings materials. Every input on the Assumptions sheet carries</t>
        </is>
      </c>
    </row>
    <row r="45">
      <c r="A45" s="3" t="inlineStr">
        <is>
          <t>its source and date in column H.</t>
        </is>
      </c>
    </row>
    <row r="46">
      <c r="A46" s="3" t="inlineStr"/>
    </row>
    <row r="47">
      <c r="A47" s="3" t="inlineStr">
        <is>
          <t>Currency. AED million unless stated. Spot AED 1.50 (07-Aug-2026 close). Sheets: READ FIRST ·</t>
        </is>
      </c>
    </row>
    <row r="48">
      <c r="A48" s="3" t="inlineStr">
        <is>
          <t>Summary · Fundamental Valuation · Assumptions · SOTP Bridge · Segments · Relative &amp; Normalized · DCF ·</t>
        </is>
      </c>
    </row>
    <row r="49">
      <c r="A49" s="3" t="inlineStr">
        <is>
          <t>Income Statement · Balance Sheet · Cash Flow · Summary Financials · Monte Carlo · Sensitivity ·</t>
        </is>
      </c>
    </row>
    <row r="50">
      <c r="A50" s="3" t="inlineStr">
        <is>
          <t>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</cols>
  <sheetData>
    <row r="1">
      <c r="A1" s="1" t="inlineStr">
        <is>
          <t>Summary — valuation at a glance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sheets; the weights are visible inputs. Two tax framings are shown side by side, never averaged.</t>
        </is>
      </c>
    </row>
    <row r="4">
      <c r="A4" s="5" t="inlineStr">
        <is>
          <t>Lens</t>
        </is>
      </c>
      <c r="B4" s="5" t="inlineStr">
        <is>
          <t>AED/share</t>
        </is>
      </c>
      <c r="C4" s="5" t="inlineStr">
        <is>
          <t>Weight</t>
        </is>
      </c>
      <c r="D4" s="5" t="inlineStr">
        <is>
          <t>Contribution</t>
        </is>
      </c>
      <c r="E4" s="5" t="inlineStr">
        <is>
          <t>vs spot</t>
        </is>
      </c>
      <c r="F4" s="5" t="inlineStr"/>
      <c r="G4" s="5" t="inlineStr">
        <is>
          <t>Terminal value share of EV</t>
        </is>
      </c>
    </row>
    <row r="5">
      <c r="A5" s="6" t="inlineStr">
        <is>
          <t>Discounted cash flow (9% framing)</t>
        </is>
      </c>
      <c r="B5" s="7">
        <f>'SOTP Bridge'!C13</f>
        <v/>
      </c>
      <c r="C5" s="8">
        <f>Assumptions!$C$69</f>
        <v/>
      </c>
      <c r="D5" s="9">
        <f>B5*C5</f>
        <v/>
      </c>
      <c r="E5" s="10">
        <f>B5/Assumptions!$C$5-1</f>
        <v/>
      </c>
      <c r="G5" s="8">
        <f>'SOTP Bridge'!C15</f>
        <v/>
      </c>
    </row>
    <row r="6">
      <c r="A6" s="6" t="inlineStr">
        <is>
          <t>Relative multiples (peer EV/EBITDA)</t>
        </is>
      </c>
      <c r="B6" s="7">
        <f>'Relative &amp; Normalized'!C11</f>
        <v/>
      </c>
      <c r="C6" s="8">
        <f>Assumptions!$C$70</f>
        <v/>
      </c>
      <c r="D6" s="9">
        <f>B6*C6</f>
        <v/>
      </c>
      <c r="E6" s="10">
        <f>B6/Assumptions!$C$5-1</f>
        <v/>
      </c>
    </row>
    <row r="7">
      <c r="A7" s="6" t="inlineStr">
        <is>
          <t>Normalised earnings power</t>
        </is>
      </c>
      <c r="B7" s="7">
        <f>'Relative &amp; Normalized'!C29</f>
        <v/>
      </c>
      <c r="C7" s="8">
        <f>Assumptions!$C$71</f>
        <v/>
      </c>
      <c r="D7" s="9">
        <f>B7*C7</f>
        <v/>
      </c>
      <c r="E7" s="10">
        <f>B7/Assumptions!$C$5-1</f>
        <v/>
      </c>
    </row>
    <row r="8">
      <c r="A8" s="6" t="inlineStr">
        <is>
          <t>Book value and sustainable return</t>
        </is>
      </c>
      <c r="B8" s="7">
        <f>'Relative &amp; Normalized'!C34</f>
        <v/>
      </c>
      <c r="C8" s="8">
        <f>Assumptions!$C$72</f>
        <v/>
      </c>
      <c r="D8" s="9">
        <f>B8*C8</f>
        <v/>
      </c>
      <c r="E8" s="10">
        <f>B8/Assumptions!$C$5-1</f>
        <v/>
      </c>
    </row>
    <row r="9">
      <c r="A9" s="11" t="inlineStr">
        <is>
          <t>Central fair value (9% framing) — weighted blend</t>
        </is>
      </c>
      <c r="B9" s="12">
        <f>SUM(D5:D8)</f>
        <v/>
      </c>
      <c r="C9" s="13">
        <f>SUM(C5:C8)</f>
        <v/>
      </c>
      <c r="D9" s="14" t="n"/>
      <c r="E9" s="13">
        <f>B9/Assumptions!$C$5-1</f>
        <v/>
      </c>
      <c r="F9" s="14" t="n"/>
      <c r="G9" s="14" t="n"/>
    </row>
    <row r="10">
      <c r="A10" s="6" t="inlineStr">
        <is>
          <t>Central fair value (15% framing) — same weights, top-up tax throughout</t>
        </is>
      </c>
      <c r="B10" s="9">
        <f>Assumptions!$C$69*'SOTP Bridge'!D13+Assumptions!$C$70*B6+Assumptions!$C$71*B7*(1-Assumptions!$C$73)+Assumptions!$C$72*B8</f>
        <v/>
      </c>
      <c r="E10" s="10">
        <f>B10/Assumptions!$C$5-1</f>
        <v/>
      </c>
    </row>
    <row r="11">
      <c r="A11" s="6" t="inlineStr">
        <is>
          <t>Bear case — full model re-run (does not redraw with drivers)</t>
        </is>
      </c>
      <c r="B11" s="15" t="n">
        <v>1.461491701595775</v>
      </c>
      <c r="E11" s="10">
        <f>B11/Assumptions!$C$5-1</f>
        <v/>
      </c>
    </row>
    <row r="12">
      <c r="A12" s="6" t="inlineStr">
        <is>
          <t>Bull case — full model re-run (does not redraw with drivers)</t>
        </is>
      </c>
      <c r="B12" s="15" t="n">
        <v>2.220795727734505</v>
      </c>
      <c r="E12" s="10">
        <f>B12/Assumptions!$C$5-1</f>
        <v/>
      </c>
    </row>
    <row r="13">
      <c r="A13" s="6" t="inlineStr">
        <is>
          <t>Dividend cross-check</t>
        </is>
      </c>
      <c r="B13" s="7">
        <f>'Relative &amp; Normalized'!C38</f>
        <v/>
      </c>
      <c r="E13" s="10">
        <f>B13/Assumptions!$C$5-1</f>
        <v/>
      </c>
    </row>
    <row r="14">
      <c r="A14" s="6" t="inlineStr">
        <is>
          <t>Discounted cash flow on the CDS premium basis</t>
        </is>
      </c>
      <c r="B14" s="7">
        <f>'SOTP Bridge'!E13</f>
        <v/>
      </c>
    </row>
    <row r="15">
      <c r="A15" s="11" t="inlineStr">
        <is>
          <t>Market price (anchor, 07-Aug-2026)</t>
        </is>
      </c>
      <c r="B15" s="16">
        <f>Assumptions!$C$5</f>
        <v/>
      </c>
      <c r="C15" s="14" t="n"/>
      <c r="D15" s="14" t="n"/>
      <c r="E15" s="14" t="n"/>
      <c r="F15" s="14" t="n"/>
      <c r="G15" s="14" t="n"/>
    </row>
    <row r="16">
      <c r="A16" s="6" t="inlineStr">
        <is>
          <t>DEWA control-transaction price, Feb-2026 (reference point, not fair value)</t>
        </is>
      </c>
      <c r="B16" s="7">
        <f>Assumptions!$C$74</f>
        <v/>
      </c>
    </row>
    <row r="17">
      <c r="A17" s="4" t="inlineStr">
        <is>
          <t>The Feb-2026 DEWA purchase of Dubai Holding's 24% at AED 2.16 was a related-party CONTROL transaction — a disclosed reference point above every lens here, never a fair-value estimate for minority shares.</t>
        </is>
      </c>
    </row>
    <row r="19">
      <c r="A19" s="5" t="inlineStr">
        <is>
          <t>Key figure</t>
        </is>
      </c>
      <c r="B19" s="5" t="inlineStr">
        <is>
          <t>Value</t>
        </is>
      </c>
    </row>
    <row r="20">
      <c r="A20" s="6" t="inlineStr">
        <is>
          <t>Shares outstanding (mn)</t>
        </is>
      </c>
      <c r="B20" s="17">
        <f>Assumptions!$C$6</f>
        <v/>
      </c>
    </row>
    <row r="21">
      <c r="A21" s="6" t="inlineStr">
        <is>
          <t>Market capitalisation (AED mn)</t>
        </is>
      </c>
      <c r="B21" s="18">
        <f>DCF!C46</f>
        <v/>
      </c>
    </row>
    <row r="22">
      <c r="A22" s="6" t="inlineStr">
        <is>
          <t>Net debt, 30-Jun-2026 (AED mn)</t>
        </is>
      </c>
      <c r="B22" s="18">
        <f>DCF!C47</f>
        <v/>
      </c>
    </row>
    <row r="23">
      <c r="A23" s="6" t="inlineStr">
        <is>
          <t>FY2025 revenue (AED mn)</t>
        </is>
      </c>
      <c r="B23" s="18">
        <f>'Income Statement'!D5</f>
        <v/>
      </c>
    </row>
    <row r="24">
      <c r="A24" s="6" t="inlineStr">
        <is>
          <t>FY2025 EBITDA (AED mn)</t>
        </is>
      </c>
      <c r="B24" s="18">
        <f>'Income Statement'!D8</f>
        <v/>
      </c>
    </row>
    <row r="25">
      <c r="A25" s="6" t="inlineStr">
        <is>
          <t>FY2025 attributable profit (AED mn)</t>
        </is>
      </c>
      <c r="B25" s="18">
        <f>'Income Statement'!D17</f>
        <v/>
      </c>
    </row>
    <row r="26">
      <c r="A26" s="6" t="inlineStr">
        <is>
          <t>Cost of equity (rating basis)</t>
        </is>
      </c>
      <c r="B26" s="19">
        <f>DCF!C44</f>
        <v/>
      </c>
    </row>
    <row r="27">
      <c r="A27" s="6" t="inlineStr">
        <is>
          <t>Cost of capital (9% framing, rating basis)</t>
        </is>
      </c>
      <c r="B27" s="19">
        <f>DCF!C50</f>
        <v/>
      </c>
    </row>
    <row r="28">
      <c r="A28" s="6" t="inlineStr">
        <is>
          <t>Cost of capital (15% framing, rating basis)</t>
        </is>
      </c>
      <c r="B28" s="19">
        <f>DCF!C51</f>
        <v/>
      </c>
    </row>
    <row r="29">
      <c r="A29" s="6" t="inlineStr">
        <is>
          <t>Terminal growth</t>
        </is>
      </c>
      <c r="B29" s="8">
        <f>Assumptions!$C$49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6" customWidth="1" min="1" max="1"/>
    <col width="6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Fundamental valuation — four lenses, two framings, one field</t>
        </is>
      </c>
      <c r="B1" s="2" t="n"/>
      <c r="C1" s="2" t="n"/>
      <c r="D1" s="2" t="n"/>
      <c r="E1" s="2" t="n"/>
      <c r="F1" s="2" t="n"/>
    </row>
    <row r="4">
      <c r="A4" s="5" t="inlineStr">
        <is>
          <t>Lens</t>
        </is>
      </c>
      <c r="B4" s="5" t="inlineStr">
        <is>
          <t>Basis</t>
        </is>
      </c>
      <c r="C4" s="5" t="inlineStr">
        <is>
          <t>AED per share</t>
        </is>
      </c>
    </row>
    <row r="5">
      <c r="A5" s="6" t="inlineStr">
        <is>
          <t>Discounted cash flow</t>
        </is>
      </c>
      <c r="B5" s="6" t="inlineStr">
        <is>
          <t>five-year free-cash-flow build, reinvestment-consistent terminal value</t>
        </is>
      </c>
      <c r="C5" s="7">
        <f>'SOTP Bridge'!C13</f>
        <v/>
      </c>
    </row>
    <row r="6">
      <c r="A6" s="6" t="inlineStr">
        <is>
          <t>Relative multiples</t>
        </is>
      </c>
      <c r="B6" s="6" t="inlineStr">
        <is>
          <t>peer EV/EBITDA on FY2026E EBITDA</t>
        </is>
      </c>
      <c r="C6" s="7">
        <f>'Relative &amp; Normalized'!C11</f>
        <v/>
      </c>
    </row>
    <row r="7">
      <c r="A7" s="6" t="inlineStr">
        <is>
          <t>Normalised earnings power</t>
        </is>
      </c>
      <c r="B7" s="6" t="inlineStr">
        <is>
          <t>unshocked year one x justified price/earnings</t>
        </is>
      </c>
      <c r="C7" s="7">
        <f>'Relative &amp; Normalized'!C29</f>
        <v/>
      </c>
    </row>
    <row r="8">
      <c r="A8" s="6" t="inlineStr">
        <is>
          <t>Book value and sustainable return</t>
        </is>
      </c>
      <c r="B8" s="6" t="inlineStr">
        <is>
          <t>justified price/book on sustainable return</t>
        </is>
      </c>
      <c r="C8" s="7">
        <f>'Relative &amp; Normalized'!C34</f>
        <v/>
      </c>
    </row>
    <row r="9">
      <c r="A9" s="11" t="inlineStr">
        <is>
          <t>Weighted central (9% framing)</t>
        </is>
      </c>
      <c r="B9" s="14" t="n"/>
      <c r="C9" s="16">
        <f>Summary!B9</f>
        <v/>
      </c>
    </row>
    <row r="11">
      <c r="A11" s="20" t="inlineStr">
        <is>
          <t>THE TWO CONTESTED JUDGEMENTS — PUBLISHED BOTH WAYS, NEVER AVERAGED</t>
        </is>
      </c>
    </row>
    <row r="12">
      <c r="A12" s="5" t="inlineStr">
        <is>
          <t>Discounted cash flow per share</t>
        </is>
      </c>
      <c r="B12" s="5" t="inlineStr">
        <is>
          <t>9% corporate tax</t>
        </is>
      </c>
      <c r="C12" s="5" t="inlineStr">
        <is>
          <t>15% top-up tax</t>
        </is>
      </c>
    </row>
    <row r="13">
      <c r="A13" s="6" t="inlineStr">
        <is>
          <t>Consumption per-RT RECOVERS to the FY2025 level (base)</t>
        </is>
      </c>
      <c r="B13" s="7">
        <f>'SOTP Bridge'!C13</f>
        <v/>
      </c>
      <c r="C13" s="7">
        <f>'SOTP Bridge'!D13</f>
        <v/>
      </c>
    </row>
    <row r="14">
      <c r="A14" s="6" t="inlineStr">
        <is>
          <t>Consumption per-RT never recovers (full model re-run; does not redraw)</t>
        </is>
      </c>
      <c r="B14" s="15" t="n">
        <v>2.122644491676588</v>
      </c>
      <c r="C14" s="15" t="n">
        <v>1.970692155093933</v>
      </c>
    </row>
    <row r="16">
      <c r="A16" s="20" t="inlineStr">
        <is>
          <t>Scenario field (full model re-runs; do not redraw with drivers)</t>
        </is>
      </c>
    </row>
    <row r="17">
      <c r="A17" s="6" t="inlineStr">
        <is>
          <t>Bear — demand re-escalation, halved connections, 15% tax, repriced risk</t>
        </is>
      </c>
      <c r="C17" s="15" t="n">
        <v>1.461491701595775</v>
      </c>
    </row>
    <row r="18">
      <c r="A18" s="6" t="inlineStr">
        <is>
          <t>Central (9% framing)</t>
        </is>
      </c>
      <c r="C18" s="7">
        <f>Summary!B9</f>
        <v/>
      </c>
    </row>
    <row r="19">
      <c r="A19" s="6" t="inlineStr">
        <is>
          <t>Bull — clean recovery, top-of-guidance connections, 9% tax</t>
        </is>
      </c>
      <c r="C19" s="15" t="n">
        <v>2.220795727734505</v>
      </c>
    </row>
    <row r="21">
      <c r="A21" s="6" t="inlineStr">
        <is>
          <t>Market price</t>
        </is>
      </c>
      <c r="C21" s="7">
        <f>Summary!B15</f>
        <v/>
      </c>
    </row>
    <row r="22">
      <c r="A22" s="6" t="inlineStr">
        <is>
          <t>DEWA control-transaction price (reference only)</t>
        </is>
      </c>
      <c r="C22" s="7">
        <f>Assumptions!$C$74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5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90" customWidth="1" min="8" max="8"/>
  </cols>
  <sheetData>
    <row r="1">
      <c r="A1" s="1" t="inlineStr">
        <is>
          <t>Assumptions — every input in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Blue cells are inputs; change one and the model reprices. Column H gives the source and date of each input.</t>
        </is>
      </c>
    </row>
    <row r="3">
      <c r="A3" s="5" t="inlineStr">
        <is>
          <t>Input</t>
        </is>
      </c>
      <c r="B3" s="5" t="inlineStr">
        <is>
          <t>FY2026E</t>
        </is>
      </c>
      <c r="C3" s="5" t="inlineStr">
        <is>
          <t>FY2027E</t>
        </is>
      </c>
      <c r="D3" s="5" t="inlineStr">
        <is>
          <t>FY2028E</t>
        </is>
      </c>
      <c r="E3" s="5" t="inlineStr">
        <is>
          <t>FY2029E</t>
        </is>
      </c>
      <c r="F3" s="5" t="inlineStr">
        <is>
          <t>FY2030E</t>
        </is>
      </c>
      <c r="G3" s="5" t="inlineStr"/>
      <c r="H3" s="5" t="inlineStr">
        <is>
          <t>Source</t>
        </is>
      </c>
    </row>
    <row r="4">
      <c r="A4" s="11" t="inlineStr">
        <is>
          <t>Anchors</t>
        </is>
      </c>
      <c r="B4" s="14" t="n"/>
      <c r="C4" s="14" t="n"/>
      <c r="D4" s="14" t="n"/>
      <c r="E4" s="14" t="n"/>
      <c r="F4" s="14" t="n"/>
      <c r="G4" s="14" t="n"/>
      <c r="H4" s="14" t="n"/>
    </row>
    <row r="5">
      <c r="A5" s="6" t="inlineStr">
        <is>
          <t>Spot price (AED)</t>
        </is>
      </c>
      <c r="C5" s="15" t="n">
        <v>1.5</v>
      </c>
      <c r="H5" s="4" t="inlineStr">
        <is>
          <t>Uploaded DFM daily price history, last close (2026-08-07)</t>
        </is>
      </c>
    </row>
    <row r="6">
      <c r="A6" s="6" t="inlineStr">
        <is>
          <t>Shares outstanding (mn)</t>
        </is>
      </c>
      <c r="C6" s="21" t="n">
        <v>10000</v>
      </c>
      <c r="H6" s="4" t="inlineStr">
        <is>
          <t>Share capital note 16: AED 1,000,000k at AED 0.10 par = 10,000,000,000 shares, unchanged since the Nov-2022 IPO (EPS note 35 cross-check: 896,754k / 0.090 = 9,964mn wtd) (2026-02-09)</t>
        </is>
      </c>
    </row>
    <row r="7">
      <c r="A7" s="6" t="inlineStr">
        <is>
          <t>Corporate tax rate (headline framing)</t>
        </is>
      </c>
      <c r="C7" s="22" t="n">
        <v>0.09</v>
      </c>
      <c r="H7" s="4" t="inlineStr">
        <is>
          <t>UAE federal corporate tax 9% (FY2025 audited effective rate exactly 9.0%: 99,226k tax on 1,103,161k PBT; note 28) (2026-02-09)</t>
        </is>
      </c>
    </row>
    <row r="8">
      <c r="A8" s="6" t="inlineStr">
        <is>
          <t>Top-up tax rate (alternative framing)</t>
        </is>
      </c>
      <c r="C8" s="22" t="n">
        <v>0.15</v>
      </c>
      <c r="H8" s="4" t="inlineStr">
        <is>
          <t>OECD Pillar-Two UAE domestic minimum top-up tax 15% for groups &gt;= EUR 750m revenue — whether DEWA-level (80%) consolidation sweeps Empower in is CONTESTED; computed as the full alternative framing (2026-08-09)</t>
        </is>
      </c>
    </row>
    <row r="9">
      <c r="A9" s="6" t="inlineStr">
        <is>
          <t>Profit for the year, FY2025 (AED mn)</t>
        </is>
      </c>
      <c r="C9" s="23" t="n">
        <v>1003.935</v>
      </c>
      <c r="H9" s="4" t="inlineStr">
        <is>
          <t>Profit after tax, FY2025 audited FS (2026-02-09)</t>
        </is>
      </c>
    </row>
    <row r="10">
      <c r="A10" s="6" t="inlineStr">
        <is>
          <t>Profit attributable to non-controlling interests, FY2025 (AED mn)</t>
        </is>
      </c>
      <c r="C10" s="23" t="n">
        <v>10.633</v>
      </c>
      <c r="H10" s="4" t="inlineStr">
        <is>
          <t>Profit attributable to NCI, FY2025 audited FS (2026-02-09)</t>
        </is>
      </c>
    </row>
    <row r="11">
      <c r="A11" s="6" t="inlineStr">
        <is>
          <t>Profit attributable to shareholders, FY2025 (AED mn)</t>
        </is>
      </c>
      <c r="C11" s="23" t="n">
        <v>993.302</v>
      </c>
      <c r="H11" s="4" t="inlineStr">
        <is>
          <t>Profit attributable to equity holders, FY2025 (2026-02-09)</t>
        </is>
      </c>
    </row>
    <row r="13">
      <c r="A13" s="11" t="inlineStr">
        <is>
          <t>Unit build — the two-leg revenue build (pasted anchors; everything downstream is formula)</t>
        </is>
      </c>
      <c r="B13" s="14" t="n"/>
      <c r="C13" s="14" t="n"/>
      <c r="D13" s="14" t="n"/>
      <c r="E13" s="14" t="n"/>
      <c r="F13" s="14" t="n"/>
      <c r="G13" s="14" t="n"/>
      <c r="H13" s="14" t="n"/>
    </row>
    <row r="14">
      <c r="A14" s="6" t="inlineStr">
        <is>
          <t>Connected capacity, end-FY2024 (k RT)</t>
        </is>
      </c>
      <c r="C14" s="21" t="n">
        <v>1566</v>
      </c>
      <c r="H14" s="4" t="inlineStr">
        <is>
          <t>Connected capacity history, k RT, H1-2026 earnings deck p13 (2023 not charted; interpolation never used — growth is computed 2024-&gt;2025) (2026-08-05)</t>
        </is>
      </c>
    </row>
    <row r="15">
      <c r="A15" s="6" t="inlineStr">
        <is>
          <t>Connected capacity, end-FY2025 (k RT)</t>
        </is>
      </c>
      <c r="C15" s="21" t="n">
        <v>1656</v>
      </c>
      <c r="H15" s="4" t="inlineStr">
        <is>
          <t>Connected capacity history, k RT, H1-2026 earnings deck p13 (2023 not charted; interpolation never used — growth is computed 2024-&gt;2025) (2026-08-05)</t>
        </is>
      </c>
    </row>
    <row r="16">
      <c r="A16" s="6" t="inlineStr">
        <is>
          <t>New connections by year (k RT)</t>
        </is>
      </c>
      <c r="B16" s="21" t="n">
        <v>105</v>
      </c>
      <c r="C16" s="21" t="n">
        <v>100</v>
      </c>
      <c r="D16" s="21" t="n">
        <v>90</v>
      </c>
      <c r="E16" s="21" t="n">
        <v>80</v>
      </c>
      <c r="F16" s="21" t="n">
        <v>70</v>
      </c>
      <c r="H16" s="4" t="inlineStr">
        <is>
          <t>FY2026 = guidance midpoint (100-110k, H1-2026 earnings deck p13); then the contracted backlog (2,018k at Jun-26) tapering 100/90/80/70k as the pipeline matures</t>
        </is>
      </c>
    </row>
    <row r="17">
      <c r="A17" s="6" t="inlineStr">
        <is>
          <t>Consumption revenue per average connected RT, FY2025 (AED k)</t>
        </is>
      </c>
      <c r="C17" s="24" t="n">
        <v>1.194222222222222</v>
      </c>
      <c r="H17" s="4" t="inlineStr">
        <is>
          <t>Consumption revenue (auditor key-audit-matter figure, FY2025 audited FS) / average connected RT ((1,566+1,656)/2)</t>
        </is>
      </c>
    </row>
    <row r="18">
      <c r="A18" s="6" t="inlineStr">
        <is>
          <t>FY2026 consumption shock (per-RT, full year)</t>
        </is>
      </c>
      <c r="C18" s="22" t="n">
        <v>-0.06</v>
      </c>
      <c r="H18" s="4" t="inlineStr">
        <is>
          <t>H1-2026 equivalent full-load hours -9.0% y/y (deck p4); full-year effect smaller as H2-2025 was itself soft</t>
        </is>
      </c>
    </row>
    <row r="19">
      <c r="A19" s="6" t="inlineStr">
        <is>
          <t>Consumption per-RT recovery level from FY2027 (share of FY2025)</t>
        </is>
      </c>
      <c r="C19" s="22" t="n">
        <v>1</v>
      </c>
      <c r="H19" s="4" t="inlineStr">
        <is>
          <t>Base case: full recovery to the FY2025 level; the recovery grid on the Sensitivity sheet re-runs the whole model at other levels</t>
        </is>
      </c>
    </row>
    <row r="20">
      <c r="A20" s="6" t="inlineStr">
        <is>
          <t>Capacity and connection revenue per average connected RT, FY2025 (AED k)</t>
        </is>
      </c>
      <c r="C20" s="24" t="n">
        <v>0.9175654872749845</v>
      </c>
      <c r="H20" s="4" t="inlineStr">
        <is>
          <t>Implied: (revenue - consumption - pipes) / average connected RT; no per-RT tariff schedule is published — flagged</t>
        </is>
      </c>
    </row>
    <row r="21">
      <c r="A21" s="6" t="inlineStr">
        <is>
          <t>Pre-insulated pipes revenue (AED mn, held flat)</t>
        </is>
      </c>
      <c r="C21" s="23" t="n">
        <v>17.214</v>
      </c>
      <c r="H21" s="4" t="inlineStr">
        <is>
          <t>Sale of pre-insulated pipes (Logstor), revenue note 23, FY2025 audited FS (2026-02-09)</t>
        </is>
      </c>
    </row>
    <row r="22">
      <c r="A22" s="6" t="inlineStr">
        <is>
          <t>Electricity and water cost as a share of consumption revenue</t>
        </is>
      </c>
      <c r="C22" s="25" t="n">
        <v>0.7628546716759569</v>
      </c>
      <c r="H22" s="4" t="inlineStr">
        <is>
          <t>DEWA purchases (related-party note 12) / consumption revenue, FY2025; FY2024 prints 72.5% on the same basis</t>
        </is>
      </c>
    </row>
    <row r="23">
      <c r="A23" s="6" t="inlineStr">
        <is>
          <t>Other cash cost of sales, FY2025 (AED mn)</t>
        </is>
      </c>
      <c r="C23" s="23" t="n">
        <v>162.4189999999998</v>
      </c>
      <c r="H23" s="4" t="inlineStr">
        <is>
          <t>Cost of sales less DEWA purchases less the depreciation and amortisation inside cost of sales (FY2025 audited FS notes)</t>
        </is>
      </c>
    </row>
    <row r="24">
      <c r="A24" s="6" t="inlineStr">
        <is>
          <t>General and administrative cash cost, FY2025 (AED mn)</t>
        </is>
      </c>
      <c r="C24" s="23" t="n">
        <v>236.074</v>
      </c>
      <c r="H24" s="4" t="inlineStr">
        <is>
          <t>G&amp;A expenses less the depreciation inside G&amp;A (FY2025 audited FS)</t>
        </is>
      </c>
    </row>
    <row r="25">
      <c r="A25" s="6" t="inlineStr">
        <is>
          <t>Other income (AED mn, held flat)</t>
        </is>
      </c>
      <c r="C25" s="23" t="n">
        <v>14.624</v>
      </c>
      <c r="H25" s="4" t="inlineStr">
        <is>
          <t>Other income, FY2025 audited FS (2026-02-09)</t>
        </is>
      </c>
    </row>
    <row r="26">
      <c r="A26" s="6" t="inlineStr">
        <is>
          <t>Reversal of credit-loss allowance, FY2025 (AED mn; not forecast)</t>
        </is>
      </c>
      <c r="C26" s="23" t="n">
        <v>16.137</v>
      </c>
      <c r="H26" s="4" t="inlineStr">
        <is>
          <t>Reversal of expected credit losses, FY2025 audited FS (2026-02-09)</t>
        </is>
      </c>
    </row>
    <row r="27">
      <c r="A27" s="6" t="inlineStr">
        <is>
          <t>Concession interest income, FY2025 (AED mn)</t>
        </is>
      </c>
      <c r="C27" s="23" t="n">
        <v>58.307</v>
      </c>
      <c r="H27" s="4" t="inlineStr">
        <is>
          <t>Interest income on financial assets at amortised cost, FY2025 audited FS (2026-02-09)</t>
        </is>
      </c>
    </row>
    <row r="28">
      <c r="A28" s="6" t="inlineStr">
        <is>
          <t>Concession interest annual decay</t>
        </is>
      </c>
      <c r="C28" s="22" t="n">
        <v>0.03000000000000014</v>
      </c>
      <c r="H28" s="4" t="inlineStr">
        <is>
          <t>Amortising concession receivable — interest income runs off as the asset amortises</t>
        </is>
      </c>
    </row>
    <row r="29">
      <c r="A29" s="6" t="inlineStr">
        <is>
          <t>Wage and services cost escalator</t>
        </is>
      </c>
      <c r="C29" s="22" t="n">
        <v>0.02499999999999991</v>
      </c>
      <c r="H29" s="4" t="inlineStr">
        <is>
          <t>UAE CPI / wage class; applied to cash cost of sales and cash G&amp;A only</t>
        </is>
      </c>
    </row>
    <row r="31">
      <c r="A31" s="11" t="inlineStr">
        <is>
          <t>Capital intensity and working capital</t>
        </is>
      </c>
      <c r="B31" s="14" t="n"/>
      <c r="C31" s="14" t="n"/>
      <c r="D31" s="14" t="n"/>
      <c r="E31" s="14" t="n"/>
      <c r="F31" s="14" t="n"/>
      <c r="G31" s="14" t="n"/>
      <c r="H31" s="14" t="n"/>
    </row>
    <row r="32">
      <c r="A32" s="6" t="inlineStr">
        <is>
          <t>Capital expenditure per added RT (AED mn per k RT)</t>
        </is>
      </c>
      <c r="C32" s="24" t="n">
        <v>4.889322222222222</v>
      </c>
      <c r="H32" s="4" t="inlineStr">
        <is>
          <t>FY2025 capital expenditure / FY2025 net connections added (90k RT)</t>
        </is>
      </c>
    </row>
    <row r="33">
      <c r="A33" s="6" t="inlineStr">
        <is>
          <t>Maintenance capital expenditure (share of opening plant)</t>
        </is>
      </c>
      <c r="C33" s="22" t="n">
        <v>0.008</v>
      </c>
      <c r="H33" s="4" t="inlineStr">
        <is>
          <t>House assumption for a young plant fleet; flagged as an estimate</t>
        </is>
      </c>
    </row>
    <row r="34">
      <c r="A34" s="6" t="inlineStr">
        <is>
          <t>Net property, plant and equipment, end-FY2025 (AED mn)</t>
        </is>
      </c>
      <c r="C34" s="23" t="n">
        <v>7194.99</v>
      </c>
      <c r="H34" s="4" t="inlineStr">
        <is>
          <t>FY2025 audited balance sheet</t>
        </is>
      </c>
    </row>
    <row r="35">
      <c r="A35" s="6" t="inlineStr">
        <is>
          <t>Depreciation rate on opening plant</t>
        </is>
      </c>
      <c r="C35" s="25" t="n">
        <v>0.05034895556356109</v>
      </c>
      <c r="H35" s="4" t="inlineStr">
        <is>
          <t>FY2025 plant depreciation / opening net plant (FY2025 audited cash-flow note)</t>
        </is>
      </c>
    </row>
    <row r="36">
      <c r="A36" s="6" t="inlineStr">
        <is>
          <t>Amortisation and right-of-use depreciation (AED mn, flat)</t>
        </is>
      </c>
      <c r="C36" s="23" t="n">
        <v>17.51799999999997</v>
      </c>
      <c r="H36" s="4" t="inlineStr">
        <is>
          <t>FY2025 intangibles amortisation + right-of-use depreciation</t>
        </is>
      </c>
    </row>
    <row r="37">
      <c r="A37" s="6" t="inlineStr">
        <is>
          <t>Net working capital, end-FY2025 (AED mn)</t>
        </is>
      </c>
      <c r="C37" s="23" t="n">
        <v>-1756.752</v>
      </c>
      <c r="H37" s="4" t="inlineStr">
        <is>
          <t>Inventories + receivables + due from related parties - payables (ex capex accruals) - due to related parties, FY2025 audited balance sheet</t>
        </is>
      </c>
    </row>
    <row r="38">
      <c r="A38" s="6" t="inlineStr">
        <is>
          <t>Net working capital as a share of revenue</t>
        </is>
      </c>
      <c r="C38" s="25" t="n">
        <v>-0.5137747331035789</v>
      </c>
      <c r="H38" s="4" t="inlineStr">
        <is>
          <t>End-FY2025 net working capital / FY2025 revenue (negative: customer deposits and payables fund the cycle)</t>
        </is>
      </c>
    </row>
    <row r="39">
      <c r="A39" s="6" t="inlineStr">
        <is>
          <t>Terminal invested-capital addition — concession financial asset (AED mn)</t>
        </is>
      </c>
      <c r="C39" s="23" t="n">
        <v>1150</v>
      </c>
      <c r="H39" s="4" t="inlineStr">
        <is>
          <t>Airport concession receivable at amortised cost, carried in terminal invested capital at approximate book value</t>
        </is>
      </c>
    </row>
    <row r="41">
      <c r="A41" s="11" t="inlineStr">
        <is>
          <t>Cost of capital</t>
        </is>
      </c>
      <c r="B41" s="14" t="n"/>
      <c r="C41" s="14" t="n"/>
      <c r="D41" s="14" t="n"/>
      <c r="E41" s="14" t="n"/>
      <c r="F41" s="14" t="n"/>
      <c r="G41" s="14" t="n"/>
      <c r="H41" s="14" t="n"/>
    </row>
    <row r="42">
      <c r="A42" s="6" t="inlineStr">
        <is>
          <t>Risk-free rate (AED sovereign)</t>
        </is>
      </c>
      <c r="C42" s="25" t="n">
        <v>0.0448</v>
      </c>
      <c r="H42" s="4" t="inlineStr">
        <is>
          <t>UAE dirham T-Bond, Jan-2031 tranche, auction YTM 30-Jul-2026 — the longest AED sovereign print (4.4y tenor; the 5y+ tenor gap vs the cash-flow horizon is flagged, spread over UST was ~4bp at issue) (2026-07-30)</t>
        </is>
      </c>
    </row>
    <row r="43">
      <c r="A43" s="6" t="inlineStr">
        <is>
          <t>Sovereign default spread — rating basis</t>
        </is>
      </c>
      <c r="C43" s="25" t="n">
        <v>0.00393</v>
      </c>
      <c r="H43" s="4" t="inlineStr">
        <is>
          <t>UAE adjusted default spread, rating basis (Aa2), Damodaran ctryprem July-2026 edition (data 30-Jun-2026) (2026-07-01)</t>
        </is>
      </c>
    </row>
    <row r="44">
      <c r="A44" s="6" t="inlineStr">
        <is>
          <t>Sovereign default spread — CDS basis</t>
        </is>
      </c>
      <c r="C44" s="25" t="n">
        <v>0.0052</v>
      </c>
      <c r="H44" s="4" t="inlineStr">
        <is>
          <t>Abu Dhabi 10y sovereign CDS adj. for Switzerland, 30-Jun-2026, Damodaran July-2026 (the UAE federal CDS row is n/a; Abu Dhabi is the quoted UAE sovereign CDS — proxy flagged) (2026-07-01)</t>
        </is>
      </c>
    </row>
    <row r="45">
      <c r="A45" s="6" t="inlineStr">
        <is>
          <t>Equity risk premium — rating basis</t>
        </is>
      </c>
      <c r="C45" s="25" t="n">
        <v>0.04811</v>
      </c>
      <c r="H45" s="4" t="inlineStr">
        <is>
          <t>UAE total equity risk premium, rating basis, Damodaran July-2026 (2026-07-01)</t>
        </is>
      </c>
    </row>
    <row r="46">
      <c r="A46" s="6" t="inlineStr">
        <is>
          <t>Equity risk premium — CDS basis</t>
        </is>
      </c>
      <c r="C46" s="25" t="n">
        <v>0.050083</v>
      </c>
      <c r="H46" s="4" t="inlineStr">
        <is>
          <t>UAE total ERP, sovereign-CDS basis (via Abu Dhabi CDS), Damodaran July-2026 (2026-07-01)</t>
        </is>
      </c>
    </row>
    <row r="47">
      <c r="A47" s="6" t="inlineStr">
        <is>
          <t>Beta (own-stock weekly regression vs the Dubai index)</t>
        </is>
      </c>
      <c r="C47" s="26" t="n">
        <v>0.863</v>
      </c>
      <c r="H47" s="4" t="inlineStr">
        <is>
          <t>Own-stock weekly regression vs FADGI (FTSE ADX General Index), per instruction, 2022-11-25 to 2026-07-24 (3.66 years, 189 weeks): R-squared 0.10, standard error 0.19, 90% interval [0.56, 1.17] (2026-08-10)</t>
        </is>
      </c>
    </row>
    <row r="48">
      <c r="A48" s="6" t="inlineStr">
        <is>
          <t>Marginal cost of debt</t>
        </is>
      </c>
      <c r="C48" s="25" t="n">
        <v>0.0492</v>
      </c>
      <c r="H48" s="4" t="inlineStr">
        <is>
          <t>Marginal cost of debt = the company's OWN FY2025 borrowing-cost capitalisation rate (note 30), struck on the 2025 full refinance of both AED 2.75bn RCFs at EIBOR + a REDUCED margin; sits above the 4.48% AED sovereign as a same-currency corporate must (2024 comparison: 5.993%; spot 3M EIBOR 3.66% + implied margin ~0.9-1.3%) (2026-02-09)</t>
        </is>
      </c>
    </row>
    <row r="49">
      <c r="A49" s="6" t="inlineStr">
        <is>
          <t>Terminal growth</t>
        </is>
      </c>
      <c r="C49" s="22" t="n">
        <v>0.025</v>
      </c>
      <c r="H49" s="4" t="inlineStr">
        <is>
          <t>Terminal growth: long-run UAE nominal-GDP-consistent 2.5% under a flat regulated tariff — bounded by Dubai build-out saturation (connected 1.7m of ~2.0m RT contracted; sensitised 1.5-3.5%) (2026-08-09)</t>
        </is>
      </c>
    </row>
    <row r="51">
      <c r="A51" s="11" t="inlineStr">
        <is>
          <t>Bridge — 30-Jun-2026 reviewed balance sheet</t>
        </is>
      </c>
      <c r="B51" s="14" t="n"/>
      <c r="C51" s="14" t="n"/>
      <c r="D51" s="14" t="n"/>
      <c r="E51" s="14" t="n"/>
      <c r="F51" s="14" t="n"/>
      <c r="G51" s="14" t="n"/>
      <c r="H51" s="14" t="n"/>
    </row>
    <row r="52">
      <c r="A52" s="6" t="inlineStr">
        <is>
          <t>Bank borrowings (AED mn)</t>
        </is>
      </c>
      <c r="C52" s="23" t="n">
        <v>5502.845</v>
      </c>
      <c r="H52" s="4" t="inlineStr">
        <is>
          <t>Bank borrowings 30-Jun-2026: current 2.845 + non-current 5,500.000, reviewed interim BS (2026-08-05)</t>
        </is>
      </c>
    </row>
    <row r="53">
      <c r="A53" s="6" t="inlineStr">
        <is>
          <t>Lease liabilities (AED mn)</t>
        </is>
      </c>
      <c r="C53" s="23" t="n">
        <v>0.872</v>
      </c>
      <c r="H53" s="4" t="inlineStr">
        <is>
          <t>Lease liabilities 30-Jun-2026 (2026-08-05)</t>
        </is>
      </c>
    </row>
    <row r="54">
      <c r="A54" s="6" t="inlineStr">
        <is>
          <t>Cash and cash equivalents (AED mn)</t>
        </is>
      </c>
      <c r="C54" s="23" t="n">
        <v>2472.012</v>
      </c>
      <c r="H54" s="4" t="inlineStr">
        <is>
          <t>Cash and cash equivalents 30-Jun-2026 (2026-08-05)</t>
        </is>
      </c>
    </row>
    <row r="55">
      <c r="A55" s="6" t="inlineStr">
        <is>
          <t>Term deposits (AED mn)</t>
        </is>
      </c>
      <c r="C55" s="23" t="n">
        <v>40.212</v>
      </c>
      <c r="H55" s="4" t="inlineStr">
        <is>
          <t>Term deposits (&gt;3m) 30-Jun-2026 (2026-08-05)</t>
        </is>
      </c>
    </row>
    <row r="56">
      <c r="A56" s="6" t="inlineStr">
        <is>
          <t>Investment properties (AED mn)</t>
        </is>
      </c>
      <c r="C56" s="23" t="n">
        <v>168.716</v>
      </c>
      <c r="H56" s="4" t="inlineStr">
        <is>
          <t>Investment properties 30-Jun-2026 (non-operating side pocket, added in the bridge at book) (2026-08-05)</t>
        </is>
      </c>
    </row>
    <row r="57">
      <c r="A57" s="6" t="inlineStr">
        <is>
          <t>Financial assets at fair value through profit or loss (AED mn)</t>
        </is>
      </c>
      <c r="C57" s="23" t="n">
        <v>53.411</v>
      </c>
      <c r="H57" s="4" t="inlineStr">
        <is>
          <t>Financial assets at FVTPL 30-Jun-2026 (cash-like, added in the bridge) (2026-08-05)</t>
        </is>
      </c>
    </row>
    <row r="58">
      <c r="A58" s="6" t="inlineStr">
        <is>
          <t>Financial assets at fair value through OCI (AED mn)</t>
        </is>
      </c>
      <c r="C58" s="23" t="n">
        <v>74.56399999999999</v>
      </c>
      <c r="H58" s="4" t="inlineStr">
        <is>
          <t>Financial assets at FVOCI 30-Jun-2026 (added at book) (2026-08-05)</t>
        </is>
      </c>
    </row>
    <row r="59">
      <c r="A59" s="6" t="inlineStr">
        <is>
          <t>Equity attributable to shareholders, 30-Jun-2026 (AED mn)</t>
        </is>
      </c>
      <c r="C59" s="23" t="n">
        <v>3337.585</v>
      </c>
      <c r="H59" s="4" t="inlineStr">
        <is>
          <t>Equity attributable to holders, 30-Jun-2026 reviewed BS (2026-08-05)</t>
        </is>
      </c>
    </row>
    <row r="60">
      <c r="A60" s="6" t="inlineStr">
        <is>
          <t>Equity attributable to shareholders, end-FY2025 (AED mn)</t>
        </is>
      </c>
      <c r="C60" s="23" t="n">
        <v>3310.933</v>
      </c>
      <c r="H60" s="4" t="inlineStr">
        <is>
          <t>Equity attributable to holders, 31-Dec-2025 audited BS (2026-02-09)</t>
        </is>
      </c>
    </row>
    <row r="61">
      <c r="A61" s="6" t="inlineStr">
        <is>
          <t>Equity attributable to shareholders, end-FY2024 (AED mn)</t>
        </is>
      </c>
      <c r="C61" s="23" t="n">
        <v>3197.59</v>
      </c>
      <c r="H61" s="4" t="inlineStr">
        <is>
          <t>FY2024 audited balance sheet (FY2025 filing comparative)</t>
        </is>
      </c>
    </row>
    <row r="62">
      <c r="A62" s="6" t="inlineStr">
        <is>
          <t>Yield earned on cash balances</t>
        </is>
      </c>
      <c r="C62" s="25" t="n">
        <v>0.035</v>
      </c>
      <c r="H62" s="4" t="inlineStr">
        <is>
          <t>Deposit-rate assumption used in the forecast finance line; flagged as an estimate</t>
        </is>
      </c>
    </row>
    <row r="63">
      <c r="A63" s="6" t="inlineStr">
        <is>
          <t>Committed annual dividend (AED mn)</t>
        </is>
      </c>
      <c r="C63" s="23" t="n">
        <v>875</v>
      </c>
      <c r="H63" s="4" t="inlineStr">
        <is>
          <t>Dividend AED 875m/yr committed for 2025 AND 2026 (2 x 437.5m, Oct/Apr), deck p12; FY2025 FS note 39: 875.0 paid in 2025 (2026-08-05)</t>
        </is>
      </c>
    </row>
    <row r="65">
      <c r="A65" s="11" t="inlineStr">
        <is>
          <t>Valuation lenses</t>
        </is>
      </c>
      <c r="B65" s="14" t="n"/>
      <c r="C65" s="14" t="n"/>
      <c r="D65" s="14" t="n"/>
      <c r="E65" s="14" t="n"/>
      <c r="F65" s="14" t="n"/>
      <c r="G65" s="14" t="n"/>
      <c r="H65" s="14" t="n"/>
    </row>
    <row r="66">
      <c r="A66" s="6" t="inlineStr">
        <is>
          <t>Peer EV/EBITDA — Tabreed</t>
        </is>
      </c>
      <c r="C66" s="27" t="n">
        <v>10.7</v>
      </c>
      <c r="H66" s="4" t="inlineStr">
        <is>
          <t>Tabreed (DFM) FY2025 results and market prices, Aug-2026 — cross-check input only</t>
        </is>
      </c>
    </row>
    <row r="67">
      <c r="A67" s="6" t="inlineStr">
        <is>
          <t>Peer price/earnings — Tabreed</t>
        </is>
      </c>
      <c r="C67" s="27" t="n">
        <v>16.6</v>
      </c>
      <c r="H67" s="4" t="inlineStr">
        <is>
          <t>Tabreed (DFM), Aug-2026 — cross-check input only</t>
        </is>
      </c>
    </row>
    <row r="68">
      <c r="A68" s="6" t="inlineStr">
        <is>
          <t>Peer price/earnings — DEWA (parent)</t>
        </is>
      </c>
      <c r="C68" s="27" t="n">
        <v>16.8</v>
      </c>
      <c r="H68" s="4" t="inlineStr">
        <is>
          <t>DEWA (DFM), Aug-2026 — context only, majority owner</t>
        </is>
      </c>
    </row>
    <row r="69">
      <c r="A69" s="6" t="inlineStr">
        <is>
          <t>Weight — discounted cash flow</t>
        </is>
      </c>
      <c r="C69" s="22" t="n">
        <v>0.5</v>
      </c>
    </row>
    <row r="70">
      <c r="A70" s="6" t="inlineStr">
        <is>
          <t>Weight — relative multiples</t>
        </is>
      </c>
      <c r="C70" s="22" t="n">
        <v>0.2</v>
      </c>
    </row>
    <row r="71">
      <c r="A71" s="6" t="inlineStr">
        <is>
          <t>Weight — normalised earnings</t>
        </is>
      </c>
      <c r="C71" s="22" t="n">
        <v>0.15</v>
      </c>
    </row>
    <row r="72">
      <c r="A72" s="6" t="inlineStr">
        <is>
          <t>Weight — book value</t>
        </is>
      </c>
      <c r="C72" s="22" t="n">
        <v>0.15</v>
      </c>
    </row>
    <row r="73">
      <c r="A73" s="6" t="inlineStr">
        <is>
          <t>Normalised-lens haircut under the 15% framing</t>
        </is>
      </c>
      <c r="C73" s="22" t="n">
        <v>0.0660000000000005</v>
      </c>
      <c r="H73" s="4" t="inlineStr">
        <is>
          <t>Average burden of the top-up tax on normalised earnings</t>
        </is>
      </c>
    </row>
    <row r="74">
      <c r="A74" s="6" t="inlineStr">
        <is>
          <t>DEWA control-transaction price, Feb-2026 (AED)</t>
        </is>
      </c>
      <c r="C74" s="15" t="n">
        <v>2.16</v>
      </c>
      <c r="H74" s="4" t="inlineStr">
        <is>
          <t>Related-party CONTROL price for Dubai Holding's 24% stake — a disclosed reference point, never fair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Enterprise value to equity — the bridge</t>
        </is>
      </c>
      <c r="B1" s="2" t="n"/>
      <c r="C1" s="2" t="n"/>
      <c r="D1" s="2" t="n"/>
      <c r="E1" s="2" t="n"/>
      <c r="F1" s="2" t="n"/>
    </row>
    <row r="2">
      <c r="A2" s="4" t="inlineStr">
        <is>
          <t>Three parallel constructions: the 9% corporate-tax framing, the 15% top-up-tax framing, and the CDS premium basis. The two tax framings are published side by side, never averaged.</t>
        </is>
      </c>
    </row>
    <row r="4">
      <c r="A4" s="5" t="inlineStr">
        <is>
          <t>Step</t>
        </is>
      </c>
      <c r="B4" s="5" t="inlineStr"/>
      <c r="C4" s="5" t="inlineStr">
        <is>
          <t>9% framing</t>
        </is>
      </c>
      <c r="D4" s="5" t="inlineStr">
        <is>
          <t>15% framing</t>
        </is>
      </c>
      <c r="E4" s="5" t="inlineStr">
        <is>
          <t>CDS basis</t>
        </is>
      </c>
    </row>
    <row r="5">
      <c r="A5" s="6" t="inlineStr">
        <is>
          <t>Enterprise value</t>
        </is>
      </c>
      <c r="C5" s="18">
        <f>DCF!C32</f>
        <v/>
      </c>
      <c r="D5" s="18">
        <f>DCF!C65</f>
        <v/>
      </c>
      <c r="E5" s="18">
        <f>DCF!C74</f>
        <v/>
      </c>
    </row>
    <row r="6">
      <c r="A6" s="6" t="inlineStr">
        <is>
          <t>Less net debt (30-Jun-2026)</t>
        </is>
      </c>
      <c r="C6" s="28">
        <f>-DCF!$C$47</f>
        <v/>
      </c>
      <c r="D6" s="28">
        <f>-DCF!$C$47</f>
        <v/>
      </c>
      <c r="E6" s="28">
        <f>-DCF!$C$47</f>
        <v/>
      </c>
    </row>
    <row r="7">
      <c r="A7" s="6" t="inlineStr">
        <is>
          <t>Plus investment properties at book</t>
        </is>
      </c>
      <c r="C7" s="18">
        <f>Assumptions!$C$56</f>
        <v/>
      </c>
      <c r="D7" s="18">
        <f>Assumptions!$C$56</f>
        <v/>
      </c>
      <c r="E7" s="18">
        <f>Assumptions!$C$56</f>
        <v/>
      </c>
    </row>
    <row r="8">
      <c r="A8" s="6" t="inlineStr">
        <is>
          <t>Plus financial assets at fair value through profit or loss</t>
        </is>
      </c>
      <c r="C8" s="18">
        <f>Assumptions!$C$57</f>
        <v/>
      </c>
      <c r="D8" s="18">
        <f>Assumptions!$C$57</f>
        <v/>
      </c>
      <c r="E8" s="18">
        <f>Assumptions!$C$57</f>
        <v/>
      </c>
    </row>
    <row r="9">
      <c r="A9" s="6" t="inlineStr">
        <is>
          <t>Plus financial assets at fair value through OCI</t>
        </is>
      </c>
      <c r="C9" s="18">
        <f>Assumptions!$C$58</f>
        <v/>
      </c>
      <c r="D9" s="18">
        <f>Assumptions!$C$58</f>
        <v/>
      </c>
      <c r="E9" s="18">
        <f>Assumptions!$C$58</f>
        <v/>
      </c>
    </row>
    <row r="10">
      <c r="A10" s="6" t="inlineStr">
        <is>
          <t>Equity value</t>
        </is>
      </c>
      <c r="C10" s="28">
        <f>SUM(C5:C9)</f>
        <v/>
      </c>
      <c r="D10" s="28">
        <f>SUM(D5:D9)</f>
        <v/>
      </c>
      <c r="E10" s="28">
        <f>SUM(E5:E9)</f>
        <v/>
      </c>
    </row>
    <row r="11">
      <c r="A11" s="6" t="inlineStr">
        <is>
          <t>Less non-controlling interests (at their share of profit)</t>
        </is>
      </c>
      <c r="C11" s="28">
        <f>-C10*$C$14</f>
        <v/>
      </c>
      <c r="D11" s="28">
        <f>-D10*$C$14</f>
        <v/>
      </c>
      <c r="E11" s="28">
        <f>-E10*$C$14</f>
        <v/>
      </c>
    </row>
    <row r="12">
      <c r="A12" s="14" t="inlineStr">
        <is>
          <t>Equity attributable to shareholders</t>
        </is>
      </c>
      <c r="B12" s="14" t="n"/>
      <c r="C12" s="29">
        <f>C10+C11</f>
        <v/>
      </c>
      <c r="D12" s="29">
        <f>D10+D11</f>
        <v/>
      </c>
      <c r="E12" s="29">
        <f>E10+E11</f>
        <v/>
      </c>
    </row>
    <row r="13">
      <c r="A13" s="14" t="inlineStr">
        <is>
          <t>Fair value per share (AED)</t>
        </is>
      </c>
      <c r="B13" s="14" t="n"/>
      <c r="C13" s="30">
        <f>C12/Assumptions!$C$6</f>
        <v/>
      </c>
      <c r="D13" s="30">
        <f>D12/Assumptions!$C$6</f>
        <v/>
      </c>
      <c r="E13" s="30">
        <f>E12/Assumptions!$C$6</f>
        <v/>
      </c>
    </row>
    <row r="14">
      <c r="A14" s="6" t="inlineStr">
        <is>
          <t>Non-controlling share of group profit</t>
        </is>
      </c>
      <c r="C14" s="31">
        <f>Assumptions!$C$10/Assumptions!$C$9</f>
        <v/>
      </c>
    </row>
    <row r="15">
      <c r="A15" s="6" t="inlineStr">
        <is>
          <t>Terminal value as a share of enterprise value</t>
        </is>
      </c>
      <c r="C15" s="8">
        <f>DCF!C33</f>
        <v/>
      </c>
      <c r="D15" s="8">
        <f>DCF!C64/DCF!C65</f>
        <v/>
      </c>
      <c r="E15" s="8">
        <f>DCF!C73/DCF!C74</f>
        <v/>
      </c>
    </row>
    <row r="17">
      <c r="A17" s="4" t="inlineStr">
        <is>
          <t>The bridge is struck on the 30-Jun-2026 reviewed balance sheet — the latest statement of financial position. Investment properties and the two fair-value portfolios are non-operating and enter at book; the concession financial asset stays inside invested capital and is NOT added again here.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Segments — the two-leg unit build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Consumption (per-RT rate x average connected RT) + capacity/connection (per-RT rate x average connected RT) + pipes. Disclosed anchors are pasted; everything downstream is a formula.</t>
        </is>
      </c>
    </row>
    <row r="4">
      <c r="A4" s="5" t="inlineStr">
        <is>
          <t>k RT / AED mn</t>
        </is>
      </c>
      <c r="B4" s="5" t="inlineStr">
        <is>
          <t>FY2025</t>
        </is>
      </c>
      <c r="C4" s="5" t="inlineStr">
        <is>
          <t>FY2026E</t>
        </is>
      </c>
      <c r="D4" s="5" t="inlineStr">
        <is>
          <t>FY2027E</t>
        </is>
      </c>
      <c r="E4" s="5" t="inlineStr">
        <is>
          <t>FY2028E</t>
        </is>
      </c>
      <c r="F4" s="5" t="inlineStr">
        <is>
          <t>FY2029E</t>
        </is>
      </c>
      <c r="G4" s="5" t="inlineStr">
        <is>
          <t>FY2030E</t>
        </is>
      </c>
    </row>
    <row r="5">
      <c r="A5" s="6" t="inlineStr">
        <is>
          <t>New connections added (k RT)</t>
        </is>
      </c>
      <c r="B5" s="32" t="inlineStr">
        <is>
          <t>-</t>
        </is>
      </c>
      <c r="C5" s="17">
        <f>Assumptions!$B$16</f>
        <v/>
      </c>
      <c r="D5" s="17">
        <f>Assumptions!$C$16</f>
        <v/>
      </c>
      <c r="E5" s="17">
        <f>Assumptions!$D$16</f>
        <v/>
      </c>
      <c r="F5" s="17">
        <f>Assumptions!$E$16</f>
        <v/>
      </c>
      <c r="G5" s="17">
        <f>Assumptions!$F$16</f>
        <v/>
      </c>
    </row>
    <row r="6">
      <c r="A6" s="6" t="inlineStr">
        <is>
          <t>Connected capacity, year-end (k RT)</t>
        </is>
      </c>
      <c r="B6" s="17">
        <f>Assumptions!$C$15</f>
        <v/>
      </c>
      <c r="C6" s="32">
        <f>B6+C5</f>
        <v/>
      </c>
      <c r="D6" s="32">
        <f>C6+D5</f>
        <v/>
      </c>
      <c r="E6" s="32">
        <f>D6+E5</f>
        <v/>
      </c>
      <c r="F6" s="32">
        <f>E6+F5</f>
        <v/>
      </c>
      <c r="G6" s="32">
        <f>F6+G5</f>
        <v/>
      </c>
    </row>
    <row r="7">
      <c r="A7" s="6" t="inlineStr">
        <is>
          <t>Average connected capacity (k RT)</t>
        </is>
      </c>
      <c r="B7" s="28">
        <f>(Assumptions!$C$14+Assumptions!$C$15)/2</f>
        <v/>
      </c>
      <c r="C7" s="28">
        <f>(B6+C6)/2</f>
        <v/>
      </c>
      <c r="D7" s="28">
        <f>(C6+D6)/2</f>
        <v/>
      </c>
      <c r="E7" s="28">
        <f>(D6+E6)/2</f>
        <v/>
      </c>
      <c r="F7" s="28">
        <f>(E6+F6)/2</f>
        <v/>
      </c>
      <c r="G7" s="28">
        <f>(F6+G6)/2</f>
        <v/>
      </c>
    </row>
    <row r="8">
      <c r="A8" s="6" t="inlineStr">
        <is>
          <t>Consumption revenue per average RT (AED k)</t>
        </is>
      </c>
      <c r="B8" s="33">
        <f>Assumptions!$C$17</f>
        <v/>
      </c>
      <c r="C8" s="34">
        <f>Assumptions!$C$17*(1+Assumptions!$C$18)</f>
        <v/>
      </c>
      <c r="D8" s="34">
        <f>Assumptions!$C$17*Assumptions!$C$19</f>
        <v/>
      </c>
      <c r="E8" s="34">
        <f>Assumptions!$C$17*Assumptions!$C$19</f>
        <v/>
      </c>
      <c r="F8" s="34">
        <f>Assumptions!$C$17*Assumptions!$C$19</f>
        <v/>
      </c>
      <c r="G8" s="34">
        <f>Assumptions!$C$17*Assumptions!$C$19</f>
        <v/>
      </c>
    </row>
    <row r="9">
      <c r="A9" s="6" t="inlineStr">
        <is>
          <t>Consumption leg</t>
        </is>
      </c>
      <c r="B9" s="23" t="n">
        <v>1923.892</v>
      </c>
      <c r="C9" s="28">
        <f>C8*C7</f>
        <v/>
      </c>
      <c r="D9" s="28">
        <f>D8*D7</f>
        <v/>
      </c>
      <c r="E9" s="28">
        <f>E8*E7</f>
        <v/>
      </c>
      <c r="F9" s="28">
        <f>F8*F7</f>
        <v/>
      </c>
      <c r="G9" s="28">
        <f>G8*G7</f>
        <v/>
      </c>
    </row>
    <row r="10">
      <c r="A10" s="6" t="inlineStr">
        <is>
          <t>Capacity, connection and other services leg</t>
        </is>
      </c>
      <c r="B10" s="28">
        <f>'Income Statement'!D5-B9-Assumptions!$C$21</f>
        <v/>
      </c>
      <c r="C10" s="28">
        <f>Assumptions!$C$20*C7</f>
        <v/>
      </c>
      <c r="D10" s="28">
        <f>Assumptions!$C$20*D7</f>
        <v/>
      </c>
      <c r="E10" s="28">
        <f>Assumptions!$C$20*E7</f>
        <v/>
      </c>
      <c r="F10" s="28">
        <f>Assumptions!$C$20*F7</f>
        <v/>
      </c>
      <c r="G10" s="28">
        <f>Assumptions!$C$20*G7</f>
        <v/>
      </c>
    </row>
    <row r="11">
      <c r="A11" s="6" t="inlineStr">
        <is>
          <t>Pre-insulated pipes</t>
        </is>
      </c>
      <c r="B11" s="18">
        <f>Assumptions!$C$21</f>
        <v/>
      </c>
      <c r="C11" s="18">
        <f>Assumptions!$C$21</f>
        <v/>
      </c>
      <c r="D11" s="18">
        <f>Assumptions!$C$21</f>
        <v/>
      </c>
      <c r="E11" s="18">
        <f>Assumptions!$C$21</f>
        <v/>
      </c>
      <c r="F11" s="18">
        <f>Assumptions!$C$21</f>
        <v/>
      </c>
      <c r="G11" s="18">
        <f>Assumptions!$C$21</f>
        <v/>
      </c>
    </row>
    <row r="12">
      <c r="A12" s="14" t="inlineStr">
        <is>
          <t>Total revenue</t>
        </is>
      </c>
      <c r="B12" s="29">
        <f>SUM(B9:B11)</f>
        <v/>
      </c>
      <c r="C12" s="29">
        <f>SUM(C9:C11)</f>
        <v/>
      </c>
      <c r="D12" s="29">
        <f>SUM(D9:D11)</f>
        <v/>
      </c>
      <c r="E12" s="29">
        <f>SUM(E9:E11)</f>
        <v/>
      </c>
      <c r="F12" s="29">
        <f>SUM(F9:F11)</f>
        <v/>
      </c>
      <c r="G12" s="29">
        <f>SUM(G9:G11)</f>
        <v/>
      </c>
    </row>
    <row r="14">
      <c r="A14" s="5" t="inlineStr">
        <is>
          <t>Cost stack — one escalator per driver class</t>
        </is>
      </c>
      <c r="B14" s="5" t="inlineStr">
        <is>
          <t>FY2025</t>
        </is>
      </c>
      <c r="C14" s="5" t="inlineStr">
        <is>
          <t>FY2026E</t>
        </is>
      </c>
      <c r="D14" s="5" t="inlineStr">
        <is>
          <t>FY2027E</t>
        </is>
      </c>
      <c r="E14" s="5" t="inlineStr">
        <is>
          <t>FY2028E</t>
        </is>
      </c>
      <c r="F14" s="5" t="inlineStr">
        <is>
          <t>FY2029E</t>
        </is>
      </c>
      <c r="G14" s="5" t="inlineStr">
        <is>
          <t>FY2030E</t>
        </is>
      </c>
    </row>
    <row r="15">
      <c r="A15" s="6" t="inlineStr">
        <is>
          <t>Electricity and water purchased from DEWA</t>
        </is>
      </c>
      <c r="B15" s="28">
        <f>Assumptions!$C$22*B9</f>
        <v/>
      </c>
      <c r="C15" s="28">
        <f>Assumptions!$C$22*C9</f>
        <v/>
      </c>
      <c r="D15" s="28">
        <f>Assumptions!$C$22*D9</f>
        <v/>
      </c>
      <c r="E15" s="28">
        <f>Assumptions!$C$22*E9</f>
        <v/>
      </c>
      <c r="F15" s="28">
        <f>Assumptions!$C$22*F9</f>
        <v/>
      </c>
      <c r="G15" s="28">
        <f>Assumptions!$C$22*G9</f>
        <v/>
      </c>
    </row>
    <row r="16">
      <c r="A16" s="6" t="inlineStr">
        <is>
          <t>Other cash cost of sales (wage class)</t>
        </is>
      </c>
      <c r="B16" s="18">
        <f>Assumptions!$C$23</f>
        <v/>
      </c>
      <c r="C16" s="28">
        <f>B16*(1+Assumptions!$C$29)</f>
        <v/>
      </c>
      <c r="D16" s="28">
        <f>C16*(1+Assumptions!$C$29)</f>
        <v/>
      </c>
      <c r="E16" s="28">
        <f>D16*(1+Assumptions!$C$29)</f>
        <v/>
      </c>
      <c r="F16" s="28">
        <f>E16*(1+Assumptions!$C$29)</f>
        <v/>
      </c>
      <c r="G16" s="28">
        <f>F16*(1+Assumptions!$C$29)</f>
        <v/>
      </c>
    </row>
    <row r="17">
      <c r="A17" s="6" t="inlineStr">
        <is>
          <t>General and administrative cash cost (wage class)</t>
        </is>
      </c>
      <c r="B17" s="18">
        <f>Assumptions!$C$24</f>
        <v/>
      </c>
      <c r="C17" s="28">
        <f>B17*(1+Assumptions!$C$29)</f>
        <v/>
      </c>
      <c r="D17" s="28">
        <f>C17*(1+Assumptions!$C$29)</f>
        <v/>
      </c>
      <c r="E17" s="28">
        <f>D17*(1+Assumptions!$C$29)</f>
        <v/>
      </c>
      <c r="F17" s="28">
        <f>E17*(1+Assumptions!$C$29)</f>
        <v/>
      </c>
      <c r="G17" s="28">
        <f>F17*(1+Assumptions!$C$29)</f>
        <v/>
      </c>
    </row>
    <row r="18">
      <c r="A18" s="6" t="inlineStr">
        <is>
          <t>Concession interest income</t>
        </is>
      </c>
      <c r="B18" s="18">
        <f>Assumptions!$C$27</f>
        <v/>
      </c>
      <c r="C18" s="28">
        <f>B18*(1-Assumptions!$C$28)</f>
        <v/>
      </c>
      <c r="D18" s="28">
        <f>C18*(1-Assumptions!$C$28)</f>
        <v/>
      </c>
      <c r="E18" s="28">
        <f>D18*(1-Assumptions!$C$28)</f>
        <v/>
      </c>
      <c r="F18" s="28">
        <f>E18*(1-Assumptions!$C$28)</f>
        <v/>
      </c>
      <c r="G18" s="28">
        <f>F18*(1-Assumptions!$C$28)</f>
        <v/>
      </c>
    </row>
    <row r="19">
      <c r="A19" s="6" t="inlineStr">
        <is>
          <t>Other income</t>
        </is>
      </c>
      <c r="B19" s="18">
        <f>Assumptions!$C$25</f>
        <v/>
      </c>
      <c r="C19" s="18">
        <f>Assumptions!$C$25</f>
        <v/>
      </c>
      <c r="D19" s="18">
        <f>Assumptions!$C$25</f>
        <v/>
      </c>
      <c r="E19" s="18">
        <f>Assumptions!$C$25</f>
        <v/>
      </c>
      <c r="F19" s="18">
        <f>Assumptions!$C$25</f>
        <v/>
      </c>
      <c r="G19" s="18">
        <f>Assumptions!$C$25</f>
        <v/>
      </c>
    </row>
    <row r="20">
      <c r="A20" s="6" t="inlineStr">
        <is>
          <t>Reversal of credit-loss allowance (not forecast)</t>
        </is>
      </c>
      <c r="B20" s="18">
        <f>Assumptions!$C$26</f>
        <v/>
      </c>
      <c r="C20" s="23" t="n">
        <v>0</v>
      </c>
      <c r="D20" s="23" t="n">
        <v>0</v>
      </c>
      <c r="E20" s="23" t="n">
        <v>0</v>
      </c>
      <c r="F20" s="23" t="n">
        <v>0</v>
      </c>
      <c r="G20" s="23" t="n">
        <v>0</v>
      </c>
    </row>
    <row r="21">
      <c r="A21" s="14" t="inlineStr">
        <is>
          <t>EBITDA</t>
        </is>
      </c>
      <c r="B21" s="29">
        <f>B12+B18-B15-B16-B17+B19+B20</f>
        <v/>
      </c>
      <c r="C21" s="29">
        <f>C12+C18-C15-C16-C17+C19+C20</f>
        <v/>
      </c>
      <c r="D21" s="29">
        <f>D12+D18-D15-D16-D17+D19+D20</f>
        <v/>
      </c>
      <c r="E21" s="29">
        <f>E12+E18-E15-E16-E17+E19+E20</f>
        <v/>
      </c>
      <c r="F21" s="29">
        <f>F12+F18-F15-F16-F17+F19+F20</f>
        <v/>
      </c>
      <c r="G21" s="29">
        <f>G12+G18-G15-G16-G17+G19+G20</f>
        <v/>
      </c>
    </row>
    <row r="22">
      <c r="A22" s="6" t="inlineStr">
        <is>
          <t>EBITDA margin</t>
        </is>
      </c>
      <c r="B22" s="10">
        <f>B21/B12</f>
        <v/>
      </c>
      <c r="C22" s="10">
        <f>C21/C12</f>
        <v/>
      </c>
      <c r="D22" s="10">
        <f>D21/D12</f>
        <v/>
      </c>
      <c r="E22" s="10">
        <f>E21/E12</f>
        <v/>
      </c>
      <c r="F22" s="10">
        <f>F21/F12</f>
        <v/>
      </c>
      <c r="G22" s="10">
        <f>G21/G12</f>
        <v/>
      </c>
    </row>
    <row r="24">
      <c r="A24" s="4" t="inlineStr">
        <is>
          <t>The FY2025 column rebuilds the audited year from the same identity: it lands within note-level rounding of the audited operating profit plus depreciation (1,642.2). The capacity-leg per-RT rate is implied — no per-RT tariff schedule is published — and is flagged as such on the Assumptions sheet.</t>
        </is>
      </c>
    </row>
    <row r="25">
      <c r="A25" s="4" t="inlineStr">
        <is>
          <t>Cost classes escalate on their own drivers: DEWA purchases follow the consumption leg (pass-through ratio held at the FY2025 print), wage-class lines escalate at the wage rate, and the concession interest amortises. No blended index is applied across physically distinct cost lines.</t>
        </is>
      </c>
    </row>
    <row r="26">
      <c r="A26" s="4" t="inlineStr">
        <is>
          <t>Cross-check: H1-2026 revenue of 1,519.4 scaled by the FY2025 seasonal split implies roughly 3,575 for FY2026; the model carries 3,503, within 4% (H2 carries the summer consumption peak).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Relative multiples, normalised earnings power, book value and dividends</t>
        </is>
      </c>
      <c r="B1" s="2" t="n"/>
      <c r="C1" s="2" t="n"/>
      <c r="D1" s="2" t="n"/>
      <c r="E1" s="2" t="n"/>
      <c r="F1" s="2" t="n"/>
    </row>
    <row r="4">
      <c r="A4" s="5" t="inlineStr">
        <is>
          <t>Relative lens — peer EV/EBITDA applied to the model year one</t>
        </is>
      </c>
      <c r="B4" s="5" t="inlineStr">
        <is>
          <t>Value</t>
        </is>
      </c>
    </row>
    <row r="5">
      <c r="A5" s="6" t="inlineStr">
        <is>
          <t>FY2026E group EBITDA (AED mn)</t>
        </is>
      </c>
      <c r="C5" s="18">
        <f>DCF!B6</f>
        <v/>
      </c>
    </row>
    <row r="6">
      <c r="A6" s="6" t="inlineStr">
        <is>
          <t>Peer EV/EBITDA (Tabreed)</t>
        </is>
      </c>
      <c r="C6" s="35">
        <f>Assumptions!$C$66</f>
        <v/>
      </c>
    </row>
    <row r="7">
      <c r="A7" s="6" t="inlineStr">
        <is>
          <t>Implied enterprise value (AED mn)</t>
        </is>
      </c>
      <c r="C7" s="28">
        <f>C5*C6</f>
        <v/>
      </c>
    </row>
    <row r="8">
      <c r="A8" s="6" t="inlineStr">
        <is>
          <t>Less net debt</t>
        </is>
      </c>
      <c r="C8" s="18">
        <f>-DCF!$C$47</f>
        <v/>
      </c>
    </row>
    <row r="9">
      <c r="A9" s="6" t="inlineStr">
        <is>
          <t>Plus investment properties and fair-value assets</t>
        </is>
      </c>
      <c r="C9" s="18">
        <f>Assumptions!$C$56+Assumptions!$C$57+Assumptions!$C$58</f>
        <v/>
      </c>
    </row>
    <row r="10">
      <c r="A10" s="6" t="inlineStr">
        <is>
          <t>Equity value (AED mn)</t>
        </is>
      </c>
      <c r="C10" s="28">
        <f>C7+C8+C9</f>
        <v/>
      </c>
    </row>
    <row r="11">
      <c r="A11" s="14" t="inlineStr">
        <is>
          <t>Implied value per share (AED)</t>
        </is>
      </c>
      <c r="B11" s="14" t="n"/>
      <c r="C11" s="30">
        <f>C10*(1-'SOTP Bridge'!$C$14)/Assumptions!$C$6</f>
        <v/>
      </c>
    </row>
    <row r="12">
      <c r="A12" s="6" t="inlineStr">
        <is>
          <t>Peer price/earnings (Tabreed) on FY2026E attributable profit</t>
        </is>
      </c>
      <c r="C12" s="9">
        <f>Assumptions!$C$67*'Income Statement'!E17/Assumptions!$C$6</f>
        <v/>
      </c>
    </row>
    <row r="14">
      <c r="A14" s="5" t="inlineStr">
        <is>
          <t>Own trailing multiples</t>
        </is>
      </c>
      <c r="B14" s="5" t="inlineStr">
        <is>
          <t>Value</t>
        </is>
      </c>
    </row>
    <row r="15">
      <c r="A15" s="6" t="inlineStr">
        <is>
          <t>Trailing enterprise value / EBITDA</t>
        </is>
      </c>
      <c r="C15" s="36">
        <f>(Assumptions!$C$5*Assumptions!$C$6+DCF!$C$47)/'Income Statement'!D8</f>
        <v/>
      </c>
    </row>
    <row r="16">
      <c r="A16" s="6" t="inlineStr">
        <is>
          <t>Trailing price / earnings</t>
        </is>
      </c>
      <c r="C16" s="36">
        <f>Assumptions!$C$5/'Income Statement'!D18</f>
        <v/>
      </c>
    </row>
    <row r="17">
      <c r="A17" s="6" t="inlineStr">
        <is>
          <t>Trailing price / book (30-Jun-2026)</t>
        </is>
      </c>
      <c r="C17" s="36">
        <f>Assumptions!$C$5/C32</f>
        <v/>
      </c>
    </row>
    <row r="18">
      <c r="A18" s="6" t="inlineStr">
        <is>
          <t>Net debt / FY2025 EBITDA</t>
        </is>
      </c>
      <c r="C18" s="36">
        <f>DCF!$C$47/'Income Statement'!D8</f>
        <v/>
      </c>
    </row>
    <row r="20">
      <c r="A20" s="5" t="inlineStr">
        <is>
          <t>Normalised earnings power — FY2026E without the consumption shock</t>
        </is>
      </c>
      <c r="B20" s="5" t="inlineStr">
        <is>
          <t>Value</t>
        </is>
      </c>
    </row>
    <row r="21">
      <c r="A21" s="6" t="inlineStr">
        <is>
          <t>Revenue at the unshocked per-RT level (AED mn)</t>
        </is>
      </c>
      <c r="C21" s="18">
        <f>Assumptions!$C$17*Segments!C7+Segments!C10+Assumptions!$C$21</f>
        <v/>
      </c>
    </row>
    <row r="22">
      <c r="A22" s="6" t="inlineStr">
        <is>
          <t>Normalised EBITDA (AED mn)</t>
        </is>
      </c>
      <c r="C22" s="18">
        <f>C21+Segments!C18-Assumptions!$C$22*Assumptions!$C$17*Segments!C7-Segments!C16-Segments!C17+Assumptions!$C$25</f>
        <v/>
      </c>
    </row>
    <row r="23">
      <c r="A23" s="6" t="inlineStr">
        <is>
          <t>Less depreciation and amortisation (FY2026E)</t>
        </is>
      </c>
      <c r="C23" s="18">
        <f>-DCF!B12</f>
        <v/>
      </c>
    </row>
    <row r="24">
      <c r="A24" s="6" t="inlineStr">
        <is>
          <t>Net finance charge (FY2026E)</t>
        </is>
      </c>
      <c r="C24" s="18">
        <f>'Income Statement'!E12</f>
        <v/>
      </c>
    </row>
    <row r="25">
      <c r="A25" s="6" t="inlineStr">
        <is>
          <t>Normalised attributable profit (AED mn)</t>
        </is>
      </c>
      <c r="C25" s="28">
        <f>(C22+C23+C24)*(1-Assumptions!$C$7)*(1-'SOTP Bridge'!$C$14)</f>
        <v/>
      </c>
    </row>
    <row r="26">
      <c r="A26" s="6" t="inlineStr">
        <is>
          <t>Normalised earnings per share (AED)</t>
        </is>
      </c>
      <c r="C26" s="9">
        <f>C25/Assumptions!$C$6</f>
        <v/>
      </c>
    </row>
    <row r="27">
      <c r="A27" s="6" t="inlineStr">
        <is>
          <t>Sustainable return on equity (FY2025 profit / average equity)</t>
        </is>
      </c>
      <c r="C27" s="10">
        <f>Assumptions!$C$11/((Assumptions!$C$60+Assumptions!$C$61)/2)</f>
        <v/>
      </c>
    </row>
    <row r="28">
      <c r="A28" s="6" t="inlineStr">
        <is>
          <t>Justified price/earnings — (1 - g/return) x (1 + g) / (cost of equity - g)</t>
        </is>
      </c>
      <c r="C28" s="35">
        <f>(1-Assumptions!$C$49/C27)*(1+Assumptions!$C$49)/(DCF!$C$44-Assumptions!$C$49)</f>
        <v/>
      </c>
    </row>
    <row r="29">
      <c r="A29" s="14" t="inlineStr">
        <is>
          <t>Implied value per share (AED)</t>
        </is>
      </c>
      <c r="B29" s="14" t="n"/>
      <c r="C29" s="30">
        <f>C26*C28</f>
        <v/>
      </c>
    </row>
    <row r="31">
      <c r="A31" s="5" t="inlineStr">
        <is>
          <t>Book value and sustainable return</t>
        </is>
      </c>
      <c r="B31" s="5" t="inlineStr">
        <is>
          <t>Value</t>
        </is>
      </c>
    </row>
    <row r="32">
      <c r="A32" s="6" t="inlineStr">
        <is>
          <t>Book value per share, 30-Jun-2026 (AED)</t>
        </is>
      </c>
      <c r="C32" s="9">
        <f>Assumptions!$C$59/Assumptions!$C$6</f>
        <v/>
      </c>
    </row>
    <row r="33">
      <c r="A33" s="6" t="inlineStr">
        <is>
          <t>Justified price/book — (return - g) / (cost of equity - g)</t>
        </is>
      </c>
      <c r="C33" s="35">
        <f>(C27-Assumptions!$C$49)/(DCF!$C$44-Assumptions!$C$49)</f>
        <v/>
      </c>
    </row>
    <row r="34">
      <c r="A34" s="14" t="inlineStr">
        <is>
          <t>Implied value per share (AED)</t>
        </is>
      </c>
      <c r="B34" s="14" t="n"/>
      <c r="C34" s="30">
        <f>C32*C33</f>
        <v/>
      </c>
    </row>
    <row r="36">
      <c r="A36" s="5" t="inlineStr">
        <is>
          <t>Dividend cross-check</t>
        </is>
      </c>
      <c r="B36" s="5" t="inlineStr">
        <is>
          <t>Value</t>
        </is>
      </c>
    </row>
    <row r="37">
      <c r="A37" s="6" t="inlineStr">
        <is>
          <t>Dividend per share — committed distribution (AED)</t>
        </is>
      </c>
      <c r="C37" s="9">
        <f>Assumptions!$C$63/Assumptions!$C$6</f>
        <v/>
      </c>
    </row>
    <row r="38">
      <c r="A38" s="6" t="inlineStr">
        <is>
          <t>Dividend value — grown at terminal growth, at the cost of equity (AED)</t>
        </is>
      </c>
      <c r="C38" s="7">
        <f>C37*(1+Assumptions!$C$49)/(DCF!$C$44-Assumptions!$C$49)</f>
        <v/>
      </c>
    </row>
    <row r="40">
      <c r="A40" s="4" t="inlineStr">
        <is>
          <t>Trailing price/book references the book-value cell below it (row 32). The normalised lens re-runs year one at the FY2025 per-RT consumption level: it answers what the business earns if the warm-winter shock proves cyclical. The book-value cell rows anchor the trailing multiple above.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Discounted cash flow — the full waterfall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Every line is a live formula. The cost of capital is built below in both premium bases and both tax framings; the terminal value is reinvestment-consistent.</t>
        </is>
      </c>
    </row>
    <row r="4">
      <c r="A4" s="5" t="inlineStr">
        <is>
          <t>AED mn</t>
        </is>
      </c>
      <c r="B4" s="5" t="inlineStr">
        <is>
          <t>FY2026E</t>
        </is>
      </c>
      <c r="C4" s="5" t="inlineStr">
        <is>
          <t>FY2027E</t>
        </is>
      </c>
      <c r="D4" s="5" t="inlineStr">
        <is>
          <t>FY2028E</t>
        </is>
      </c>
      <c r="E4" s="5" t="inlineStr">
        <is>
          <t>FY2029E</t>
        </is>
      </c>
      <c r="F4" s="5" t="inlineStr">
        <is>
          <t>FY2030E</t>
        </is>
      </c>
    </row>
    <row r="5">
      <c r="A5" s="6" t="inlineStr">
        <is>
          <t>Revenue</t>
        </is>
      </c>
      <c r="B5" s="18">
        <f>Segments!C12</f>
        <v/>
      </c>
      <c r="C5" s="18">
        <f>Segments!D12</f>
        <v/>
      </c>
      <c r="D5" s="18">
        <f>Segments!E12</f>
        <v/>
      </c>
      <c r="E5" s="18">
        <f>Segments!F12</f>
        <v/>
      </c>
      <c r="F5" s="18">
        <f>Segments!G12</f>
        <v/>
      </c>
    </row>
    <row r="6">
      <c r="A6" s="20" t="inlineStr">
        <is>
          <t>EBITDA</t>
        </is>
      </c>
      <c r="B6" s="37">
        <f>Segments!C21</f>
        <v/>
      </c>
      <c r="C6" s="37">
        <f>Segments!D21</f>
        <v/>
      </c>
      <c r="D6" s="37">
        <f>Segments!E21</f>
        <v/>
      </c>
      <c r="E6" s="37">
        <f>Segments!F21</f>
        <v/>
      </c>
      <c r="F6" s="37">
        <f>Segments!G21</f>
        <v/>
      </c>
    </row>
    <row r="7">
      <c r="A7" s="6" t="inlineStr">
        <is>
          <t>EBITDA margin</t>
        </is>
      </c>
      <c r="B7" s="10">
        <f>B6/B5</f>
        <v/>
      </c>
      <c r="C7" s="10">
        <f>C6/C5</f>
        <v/>
      </c>
      <c r="D7" s="10">
        <f>D6/D5</f>
        <v/>
      </c>
      <c r="E7" s="10">
        <f>E6/E5</f>
        <v/>
      </c>
      <c r="F7" s="10">
        <f>F6/F5</f>
        <v/>
      </c>
    </row>
    <row r="8">
      <c r="A8" s="6" t="inlineStr">
        <is>
          <t>Opening net plant</t>
        </is>
      </c>
      <c r="B8" s="18">
        <f>Assumptions!$C$34</f>
        <v/>
      </c>
      <c r="C8" s="28">
        <f>B11</f>
        <v/>
      </c>
      <c r="D8" s="28">
        <f>C11</f>
        <v/>
      </c>
      <c r="E8" s="28">
        <f>D11</f>
        <v/>
      </c>
      <c r="F8" s="28">
        <f>E11</f>
        <v/>
      </c>
    </row>
    <row r="9">
      <c r="A9" s="6" t="inlineStr">
        <is>
          <t>Capital expenditure (per added RT + maintenance)</t>
        </is>
      </c>
      <c r="B9" s="28">
        <f>Assumptions!$C$32*Segments!C5+Assumptions!$C$33*B8</f>
        <v/>
      </c>
      <c r="C9" s="28">
        <f>Assumptions!$C$32*Segments!D5+Assumptions!$C$33*C8</f>
        <v/>
      </c>
      <c r="D9" s="28">
        <f>Assumptions!$C$32*Segments!E5+Assumptions!$C$33*D8</f>
        <v/>
      </c>
      <c r="E9" s="28">
        <f>Assumptions!$C$32*Segments!F5+Assumptions!$C$33*E8</f>
        <v/>
      </c>
      <c r="F9" s="28">
        <f>Assumptions!$C$32*Segments!G5+Assumptions!$C$33*F8</f>
        <v/>
      </c>
    </row>
    <row r="10">
      <c r="A10" s="6" t="inlineStr">
        <is>
          <t>Depreciation on plant</t>
        </is>
      </c>
      <c r="B10" s="28">
        <f>Assumptions!$C$35*B8</f>
        <v/>
      </c>
      <c r="C10" s="28">
        <f>Assumptions!$C$35*C8</f>
        <v/>
      </c>
      <c r="D10" s="28">
        <f>Assumptions!$C$35*D8</f>
        <v/>
      </c>
      <c r="E10" s="28">
        <f>Assumptions!$C$35*E8</f>
        <v/>
      </c>
      <c r="F10" s="28">
        <f>Assumptions!$C$35*F8</f>
        <v/>
      </c>
    </row>
    <row r="11">
      <c r="A11" s="6" t="inlineStr">
        <is>
          <t>Closing net plant</t>
        </is>
      </c>
      <c r="B11" s="28">
        <f>B8+B9-B10</f>
        <v/>
      </c>
      <c r="C11" s="28">
        <f>C8+C9-C10</f>
        <v/>
      </c>
      <c r="D11" s="28">
        <f>D8+D9-D10</f>
        <v/>
      </c>
      <c r="E11" s="28">
        <f>E8+E9-E10</f>
        <v/>
      </c>
      <c r="F11" s="28">
        <f>F8+F9-F10</f>
        <v/>
      </c>
    </row>
    <row r="12">
      <c r="A12" s="6" t="inlineStr">
        <is>
          <t>Depreciation and amortisation (incl. right-of-use and intangibles)</t>
        </is>
      </c>
      <c r="B12" s="28">
        <f>B10+Assumptions!$C$36</f>
        <v/>
      </c>
      <c r="C12" s="28">
        <f>C10+Assumptions!$C$36</f>
        <v/>
      </c>
      <c r="D12" s="28">
        <f>D10+Assumptions!$C$36</f>
        <v/>
      </c>
      <c r="E12" s="28">
        <f>E10+Assumptions!$C$36</f>
        <v/>
      </c>
      <c r="F12" s="28">
        <f>F10+Assumptions!$C$36</f>
        <v/>
      </c>
    </row>
    <row r="13">
      <c r="A13" s="14" t="inlineStr">
        <is>
          <t>EBIT</t>
        </is>
      </c>
      <c r="B13" s="29">
        <f>B6-B12</f>
        <v/>
      </c>
      <c r="C13" s="29">
        <f>C6-C12</f>
        <v/>
      </c>
      <c r="D13" s="29">
        <f>D6-D12</f>
        <v/>
      </c>
      <c r="E13" s="29">
        <f>E6-E12</f>
        <v/>
      </c>
      <c r="F13" s="29">
        <f>F6-F12</f>
        <v/>
      </c>
      <c r="G13" s="14" t="n"/>
    </row>
    <row r="14">
      <c r="A14" s="6" t="inlineStr">
        <is>
          <t>NOPAT — EBIT x (1 - corporate tax)</t>
        </is>
      </c>
      <c r="B14" s="28">
        <f>B13*(1-Assumptions!$C$7)</f>
        <v/>
      </c>
      <c r="C14" s="28">
        <f>C13*(1-Assumptions!$C$7)</f>
        <v/>
      </c>
      <c r="D14" s="28">
        <f>D13*(1-Assumptions!$C$7)</f>
        <v/>
      </c>
      <c r="E14" s="28">
        <f>E13*(1-Assumptions!$C$7)</f>
        <v/>
      </c>
      <c r="F14" s="28">
        <f>F13*(1-Assumptions!$C$7)</f>
        <v/>
      </c>
    </row>
    <row r="15">
      <c r="A15" s="6" t="inlineStr">
        <is>
          <t>Add back depreciation and amortisation</t>
        </is>
      </c>
      <c r="B15" s="28">
        <f>B12</f>
        <v/>
      </c>
      <c r="C15" s="28">
        <f>C12</f>
        <v/>
      </c>
      <c r="D15" s="28">
        <f>D12</f>
        <v/>
      </c>
      <c r="E15" s="28">
        <f>E12</f>
        <v/>
      </c>
      <c r="F15" s="28">
        <f>F12</f>
        <v/>
      </c>
    </row>
    <row r="16">
      <c r="A16" s="6" t="inlineStr">
        <is>
          <t>Less capital expenditure</t>
        </is>
      </c>
      <c r="B16" s="28">
        <f>-B9</f>
        <v/>
      </c>
      <c r="C16" s="28">
        <f>-C9</f>
        <v/>
      </c>
      <c r="D16" s="28">
        <f>-D9</f>
        <v/>
      </c>
      <c r="E16" s="28">
        <f>-E9</f>
        <v/>
      </c>
      <c r="F16" s="28">
        <f>-F9</f>
        <v/>
      </c>
    </row>
    <row r="17">
      <c r="A17" s="6" t="inlineStr">
        <is>
          <t>Less change in net working capital</t>
        </is>
      </c>
      <c r="B17" s="28">
        <f>-(Assumptions!$C$38*B5-Assumptions!$C$37)</f>
        <v/>
      </c>
      <c r="C17" s="28">
        <f>-Assumptions!$C$38*(C5-B5)</f>
        <v/>
      </c>
      <c r="D17" s="28">
        <f>-Assumptions!$C$38*(D5-C5)</f>
        <v/>
      </c>
      <c r="E17" s="28">
        <f>-Assumptions!$C$38*(E5-D5)</f>
        <v/>
      </c>
      <c r="F17" s="28">
        <f>-Assumptions!$C$38*(F5-E5)</f>
        <v/>
      </c>
    </row>
    <row r="18">
      <c r="A18" s="14" t="inlineStr">
        <is>
          <t>Free cash flow to the firm</t>
        </is>
      </c>
      <c r="B18" s="29">
        <f>B14+B15+B16+B17</f>
        <v/>
      </c>
      <c r="C18" s="29">
        <f>C14+C15+C16+C17</f>
        <v/>
      </c>
      <c r="D18" s="29">
        <f>D14+D15+D16+D17</f>
        <v/>
      </c>
      <c r="E18" s="29">
        <f>E14+E15+E16+E17</f>
        <v/>
      </c>
      <c r="F18" s="29">
        <f>F14+F15+F16+F17</f>
        <v/>
      </c>
      <c r="G18" s="14" t="n"/>
    </row>
    <row r="19">
      <c r="A19" s="6" t="inlineStr">
        <is>
          <t>Discount factor (9% framing, rating basis)</t>
        </is>
      </c>
      <c r="B19" s="34">
        <f>1/(1+$C$50)</f>
        <v/>
      </c>
      <c r="C19" s="34">
        <f>B19/(1+$C$50)</f>
        <v/>
      </c>
      <c r="D19" s="34">
        <f>C19/(1+$C$50)</f>
        <v/>
      </c>
      <c r="E19" s="34">
        <f>D19/(1+$C$50)</f>
        <v/>
      </c>
      <c r="F19" s="34">
        <f>E19/(1+$C$50)</f>
        <v/>
      </c>
    </row>
    <row r="20">
      <c r="A20" s="20" t="inlineStr">
        <is>
          <t>Present value of free cash flow</t>
        </is>
      </c>
      <c r="B20" s="38">
        <f>B18*B19</f>
        <v/>
      </c>
      <c r="C20" s="38">
        <f>C18*C19</f>
        <v/>
      </c>
      <c r="D20" s="38">
        <f>D18*D19</f>
        <v/>
      </c>
      <c r="E20" s="38">
        <f>E18*E19</f>
        <v/>
      </c>
      <c r="F20" s="38">
        <f>F18*F19</f>
        <v/>
      </c>
    </row>
    <row r="22">
      <c r="A22" s="20" t="inlineStr">
        <is>
          <t>TERMINAL VALUE — reinvestment-consistent (9% framing)</t>
        </is>
      </c>
    </row>
    <row r="23">
      <c r="A23" s="6" t="inlineStr">
        <is>
          <t>Net working capital, FY2030</t>
        </is>
      </c>
      <c r="C23" s="28">
        <f>Assumptions!$C$38*F5</f>
        <v/>
      </c>
    </row>
    <row r="24">
      <c r="A24" s="6" t="inlineStr">
        <is>
          <t>Terminal invested capital (plant + concession asset + working capital)</t>
        </is>
      </c>
      <c r="C24" s="28">
        <f>F11+Assumptions!$C$39+C23</f>
        <v/>
      </c>
    </row>
    <row r="25">
      <c r="A25" s="6" t="inlineStr">
        <is>
          <t>Terminal return on invested capital</t>
        </is>
      </c>
      <c r="C25" s="10">
        <f>F14/C24</f>
        <v/>
      </c>
    </row>
    <row r="26">
      <c r="A26" s="6" t="inlineStr">
        <is>
          <t>Reinvestment rate (growth / return on capital)</t>
        </is>
      </c>
      <c r="C26" s="10">
        <f>Assumptions!$C$49/C25</f>
        <v/>
      </c>
    </row>
    <row r="27">
      <c r="A27" s="6" t="inlineStr">
        <is>
          <t>Terminal-year NOPAT (grown one year)</t>
        </is>
      </c>
      <c r="C27" s="28">
        <f>F14*(1+Assumptions!$C$49)</f>
        <v/>
      </c>
    </row>
    <row r="28">
      <c r="A28" s="6" t="inlineStr">
        <is>
          <t>Terminal free cash flow</t>
        </is>
      </c>
      <c r="C28" s="28">
        <f>C27*(1-C26)</f>
        <v/>
      </c>
    </row>
    <row r="29">
      <c r="A29" s="6" t="inlineStr">
        <is>
          <t>Terminal value</t>
        </is>
      </c>
      <c r="C29" s="28">
        <f>C28/($C$50-Assumptions!$C$49)</f>
        <v/>
      </c>
    </row>
    <row r="30">
      <c r="A30" s="6" t="inlineStr">
        <is>
          <t>Present value of the terminal value</t>
        </is>
      </c>
      <c r="C30" s="28">
        <f>C29*F19</f>
        <v/>
      </c>
    </row>
    <row r="31">
      <c r="A31" s="6" t="inlineStr">
        <is>
          <t>Present value of the five forecast years</t>
        </is>
      </c>
      <c r="C31" s="28">
        <f>SUM(B20:F20)</f>
        <v/>
      </c>
    </row>
    <row r="32">
      <c r="A32" s="14" t="inlineStr">
        <is>
          <t>Enterprise value</t>
        </is>
      </c>
      <c r="B32" s="14" t="n"/>
      <c r="C32" s="29">
        <f>C30+C31</f>
        <v/>
      </c>
      <c r="D32" s="14" t="n"/>
    </row>
    <row r="33">
      <c r="A33" s="6" t="inlineStr">
        <is>
          <t>Terminal value as a share of enterprise value</t>
        </is>
      </c>
      <c r="C33" s="10">
        <f>C30/C32</f>
        <v/>
      </c>
    </row>
    <row r="35">
      <c r="A35" s="20" t="inlineStr">
        <is>
          <t>Fair value per share (9% framing) — from the bridge</t>
        </is>
      </c>
      <c r="C35" s="39">
        <f>'SOTP Bridge'!C13</f>
        <v/>
      </c>
    </row>
    <row r="37">
      <c r="A37" s="20" t="inlineStr">
        <is>
          <t>COST OF CAPITAL — BUILT HERE, NOT ASSUMED</t>
        </is>
      </c>
    </row>
    <row r="38">
      <c r="A38" s="5" t="inlineStr">
        <is>
          <t>Component</t>
        </is>
      </c>
      <c r="B38" s="5" t="inlineStr"/>
      <c r="C38" s="5" t="inlineStr">
        <is>
          <t>Rating basis</t>
        </is>
      </c>
      <c r="D38" s="5" t="inlineStr">
        <is>
          <t>CDS basis</t>
        </is>
      </c>
    </row>
    <row r="39">
      <c r="A39" s="6" t="inlineStr">
        <is>
          <t>Risk-free rate (AED sovereign)</t>
        </is>
      </c>
      <c r="C39" s="19">
        <f>Assumptions!$C$42</f>
        <v/>
      </c>
      <c r="D39" s="19">
        <f>Assumptions!$C$42</f>
        <v/>
      </c>
    </row>
    <row r="40">
      <c r="A40" s="6" t="inlineStr">
        <is>
          <t>Less sovereign default spread</t>
        </is>
      </c>
      <c r="C40" s="19">
        <f>Assumptions!$C$43</f>
        <v/>
      </c>
      <c r="D40" s="19">
        <f>Assumptions!$C$44</f>
        <v/>
      </c>
    </row>
    <row r="41">
      <c r="A41" s="6" t="inlineStr">
        <is>
          <t>Risk-free rate net of the sovereign spread</t>
        </is>
      </c>
      <c r="C41" s="31">
        <f>C39-C40</f>
        <v/>
      </c>
      <c r="D41" s="31">
        <f>D39-D40</f>
        <v/>
      </c>
    </row>
    <row r="42">
      <c r="A42" s="6" t="inlineStr">
        <is>
          <t>Beta</t>
        </is>
      </c>
      <c r="C42" s="40">
        <f>Assumptions!$C$47</f>
        <v/>
      </c>
      <c r="D42" s="40">
        <f>Assumptions!$C$47</f>
        <v/>
      </c>
    </row>
    <row r="43">
      <c r="A43" s="6" t="inlineStr">
        <is>
          <t>Equity risk premium</t>
        </is>
      </c>
      <c r="C43" s="19">
        <f>Assumptions!$C$45</f>
        <v/>
      </c>
      <c r="D43" s="19">
        <f>Assumptions!$C$46</f>
        <v/>
      </c>
    </row>
    <row r="44">
      <c r="A44" s="6" t="inlineStr">
        <is>
          <t>Cost of equity</t>
        </is>
      </c>
      <c r="C44" s="31">
        <f>C41+C42*C43</f>
        <v/>
      </c>
      <c r="D44" s="31">
        <f>D41+D42*D43</f>
        <v/>
      </c>
    </row>
    <row r="45">
      <c r="A45" s="6" t="inlineStr">
        <is>
          <t>Marginal cost of debt</t>
        </is>
      </c>
      <c r="C45" s="19">
        <f>Assumptions!$C$48</f>
        <v/>
      </c>
    </row>
    <row r="46">
      <c r="A46" s="6" t="inlineStr">
        <is>
          <t>Market capitalisation (spot x shares)</t>
        </is>
      </c>
      <c r="C46" s="18">
        <f>Assumptions!$C$5*Assumptions!$C$6</f>
        <v/>
      </c>
    </row>
    <row r="47">
      <c r="A47" s="6" t="inlineStr">
        <is>
          <t>Net debt (borrowings + leases - cash - deposits)</t>
        </is>
      </c>
      <c r="C47" s="18">
        <f>Assumptions!$C$52+Assumptions!$C$53-Assumptions!$C$54-Assumptions!$C$55</f>
        <v/>
      </c>
    </row>
    <row r="48">
      <c r="A48" s="6" t="inlineStr">
        <is>
          <t>Debt weight</t>
        </is>
      </c>
      <c r="C48" s="31">
        <f>C47/(C47+C46)</f>
        <v/>
      </c>
    </row>
    <row r="49">
      <c r="A49" s="6" t="inlineStr">
        <is>
          <t>Equity weight</t>
        </is>
      </c>
      <c r="C49" s="31">
        <f>1-C48</f>
        <v/>
      </c>
    </row>
    <row r="50">
      <c r="A50" s="14" t="inlineStr">
        <is>
          <t>WACC — 9% corporate-tax framing</t>
        </is>
      </c>
      <c r="B50" s="14" t="n"/>
      <c r="C50" s="41">
        <f>C49*C44+C48*C45*(1-Assumptions!$C$7)</f>
        <v/>
      </c>
      <c r="D50" s="41">
        <f>C49*D44+C48*C45*(1-Assumptions!$C$7)</f>
        <v/>
      </c>
      <c r="E50" s="14" t="n"/>
    </row>
    <row r="51">
      <c r="A51" s="14" t="inlineStr">
        <is>
          <t>WACC — 15% top-up-tax framing</t>
        </is>
      </c>
      <c r="B51" s="14" t="n"/>
      <c r="C51" s="41">
        <f>C49*C44+C48*C45*(1-Assumptions!$C$8)</f>
        <v/>
      </c>
      <c r="D51" s="41">
        <f>C49*D44+C48*C45*(1-Assumptions!$C$8)</f>
        <v/>
      </c>
      <c r="E51" s="14" t="n"/>
    </row>
    <row r="52">
      <c r="A52" s="4" t="inlineStr">
        <is>
          <t>Both premium bases strip the SAME basis of sovereign default spread as the premium adds back (rating-to-rating, CDS-to-CDS), so country risk is priced once. The two bases land within two basis points of each other; the rating basis is primary. There is no discount-rate glide: the AED curve is flat and both facilities float, so the explicit-window rate equals the terminal rate, stated openly.</t>
        </is>
      </c>
    </row>
    <row r="54">
      <c r="A54" s="20" t="inlineStr">
        <is>
          <t>PARALLEL FRAMING — 15% TOP-UP TAX (same cash-flow build, own tax and rate)</t>
        </is>
      </c>
    </row>
    <row r="55">
      <c r="A55" s="6" t="inlineStr">
        <is>
          <t>NOPAT at 15%</t>
        </is>
      </c>
      <c r="B55" s="28">
        <f>B13*(1-Assumptions!$C$8)</f>
        <v/>
      </c>
      <c r="C55" s="28">
        <f>C13*(1-Assumptions!$C$8)</f>
        <v/>
      </c>
      <c r="D55" s="28">
        <f>D13*(1-Assumptions!$C$8)</f>
        <v/>
      </c>
      <c r="E55" s="28">
        <f>E13*(1-Assumptions!$C$8)</f>
        <v/>
      </c>
      <c r="F55" s="28">
        <f>F13*(1-Assumptions!$C$8)</f>
        <v/>
      </c>
    </row>
    <row r="56">
      <c r="A56" s="6" t="inlineStr">
        <is>
          <t>Free cash flow to the firm at 15%</t>
        </is>
      </c>
      <c r="B56" s="28">
        <f>B55+B15+B16+B17</f>
        <v/>
      </c>
      <c r="C56" s="28">
        <f>C55+C15+C16+C17</f>
        <v/>
      </c>
      <c r="D56" s="28">
        <f>D55+D15+D16+D17</f>
        <v/>
      </c>
      <c r="E56" s="28">
        <f>E55+E15+E16+E17</f>
        <v/>
      </c>
      <c r="F56" s="28">
        <f>F55+F15+F16+F17</f>
        <v/>
      </c>
    </row>
    <row r="57">
      <c r="A57" s="6" t="inlineStr">
        <is>
          <t>Discount factor at the 15%-framing rate</t>
        </is>
      </c>
      <c r="B57" s="34">
        <f>1/(1+$C$51)</f>
        <v/>
      </c>
      <c r="C57" s="34">
        <f>B57/(1+$C$51)</f>
        <v/>
      </c>
      <c r="D57" s="34">
        <f>C57/(1+$C$51)</f>
        <v/>
      </c>
      <c r="E57" s="34">
        <f>D57/(1+$C$51)</f>
        <v/>
      </c>
      <c r="F57" s="34">
        <f>E57/(1+$C$51)</f>
        <v/>
      </c>
    </row>
    <row r="58">
      <c r="A58" s="6" t="inlineStr">
        <is>
          <t>Present value</t>
        </is>
      </c>
      <c r="B58" s="28">
        <f>B56*B57</f>
        <v/>
      </c>
      <c r="C58" s="28">
        <f>C56*C57</f>
        <v/>
      </c>
      <c r="D58" s="28">
        <f>D56*D57</f>
        <v/>
      </c>
      <c r="E58" s="28">
        <f>E56*E57</f>
        <v/>
      </c>
      <c r="F58" s="28">
        <f>F56*F57</f>
        <v/>
      </c>
    </row>
    <row r="59">
      <c r="A59" s="6" t="inlineStr">
        <is>
          <t>Present value of the five forecast years (15%)</t>
        </is>
      </c>
      <c r="C59" s="28">
        <f>SUM(B58:F58)</f>
        <v/>
      </c>
    </row>
    <row r="60">
      <c r="A60" s="6" t="inlineStr">
        <is>
          <t>Terminal return on invested capital (15%)</t>
        </is>
      </c>
      <c r="C60" s="10">
        <f>F55/C24</f>
        <v/>
      </c>
    </row>
    <row r="61">
      <c r="A61" s="6" t="inlineStr">
        <is>
          <t>Reinvestment rate (15%)</t>
        </is>
      </c>
      <c r="C61" s="10">
        <f>Assumptions!$C$49/C60</f>
        <v/>
      </c>
    </row>
    <row r="62">
      <c r="A62" s="6" t="inlineStr">
        <is>
          <t>Terminal free cash flow (15%)</t>
        </is>
      </c>
      <c r="C62" s="28">
        <f>F55*(1+Assumptions!$C$49)*(1-C61)</f>
        <v/>
      </c>
    </row>
    <row r="63">
      <c r="A63" s="6" t="inlineStr">
        <is>
          <t>Terminal value (15%)</t>
        </is>
      </c>
      <c r="C63" s="28">
        <f>C62/($C$51-Assumptions!$C$49)</f>
        <v/>
      </c>
    </row>
    <row r="64">
      <c r="A64" s="6" t="inlineStr">
        <is>
          <t>Present value of the terminal value (15%)</t>
        </is>
      </c>
      <c r="C64" s="28">
        <f>C63*F57</f>
        <v/>
      </c>
    </row>
    <row r="65">
      <c r="A65" s="6" t="inlineStr">
        <is>
          <t>Enterprise value (15%)</t>
        </is>
      </c>
      <c r="C65" s="38">
        <f>C59+C64</f>
        <v/>
      </c>
    </row>
    <row r="66">
      <c r="A66" s="20" t="inlineStr">
        <is>
          <t>Fair value per share (15% framing) — from the bridge</t>
        </is>
      </c>
      <c r="C66" s="39">
        <f>'SOTP Bridge'!D13</f>
        <v/>
      </c>
    </row>
    <row r="68">
      <c r="A68" s="20" t="inlineStr">
        <is>
          <t>ALTERNATIVE PREMIUM BASIS — CDS (same cash flows, CDS-basis rate)</t>
        </is>
      </c>
    </row>
    <row r="69">
      <c r="A69" s="6" t="inlineStr">
        <is>
          <t>Discount factor at the CDS-basis rate</t>
        </is>
      </c>
      <c r="B69" s="34">
        <f>1/(1+$D$50)</f>
        <v/>
      </c>
      <c r="C69" s="34">
        <f>B69/(1+$D$50)</f>
        <v/>
      </c>
      <c r="D69" s="34">
        <f>C69/(1+$D$50)</f>
        <v/>
      </c>
      <c r="E69" s="34">
        <f>D69/(1+$D$50)</f>
        <v/>
      </c>
      <c r="F69" s="34">
        <f>E69/(1+$D$50)</f>
        <v/>
      </c>
    </row>
    <row r="70">
      <c r="A70" s="6" t="inlineStr">
        <is>
          <t>Present value (CDS basis)</t>
        </is>
      </c>
      <c r="B70" s="28">
        <f>B18*B69</f>
        <v/>
      </c>
      <c r="C70" s="28">
        <f>C18*C69</f>
        <v/>
      </c>
      <c r="D70" s="28">
        <f>D18*D69</f>
        <v/>
      </c>
      <c r="E70" s="28">
        <f>E18*E69</f>
        <v/>
      </c>
      <c r="F70" s="28">
        <f>F18*F69</f>
        <v/>
      </c>
    </row>
    <row r="71">
      <c r="A71" s="6" t="inlineStr">
        <is>
          <t>Present value of the five forecast years (CDS basis)</t>
        </is>
      </c>
      <c r="C71" s="28">
        <f>SUM(B70:F70)</f>
        <v/>
      </c>
    </row>
    <row r="72">
      <c r="A72" s="6" t="inlineStr">
        <is>
          <t>Terminal value (CDS basis)</t>
        </is>
      </c>
      <c r="C72" s="28">
        <f>C28/($D$50-Assumptions!$C$49)</f>
        <v/>
      </c>
    </row>
    <row r="73">
      <c r="A73" s="6" t="inlineStr">
        <is>
          <t>Present value of the terminal value (CDS basis)</t>
        </is>
      </c>
      <c r="C73" s="28">
        <f>C72*F69</f>
        <v/>
      </c>
    </row>
    <row r="74">
      <c r="A74" s="6" t="inlineStr">
        <is>
          <t>Enterprise value (CDS basis)</t>
        </is>
      </c>
      <c r="C74" s="38">
        <f>C71+C73</f>
        <v/>
      </c>
    </row>
    <row r="75">
      <c r="A75" s="6" t="inlineStr">
        <is>
          <t>Fair value per share (CDS basis) — from the bridge</t>
        </is>
      </c>
      <c r="C75" s="7">
        <f>'SOTP Bridge'!E13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Income statement — three years audited, five years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mn, consolidated. History is the audited record; every forecast line is a formula (9% corporate-tax framing; the 15% framing runs on the DCF sheet).</t>
        </is>
      </c>
    </row>
    <row r="4">
      <c r="A4" s="5" t="inlineStr">
        <is>
          <t>AED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FY2026E</t>
        </is>
      </c>
      <c r="F4" s="5" t="inlineStr">
        <is>
          <t>FY2027E</t>
        </is>
      </c>
      <c r="G4" s="5" t="inlineStr">
        <is>
          <t>FY2028E</t>
        </is>
      </c>
      <c r="H4" s="5" t="inlineStr">
        <is>
          <t>FY2029E</t>
        </is>
      </c>
      <c r="I4" s="5" t="inlineStr">
        <is>
          <t>FY2030E</t>
        </is>
      </c>
    </row>
    <row r="5">
      <c r="A5" s="14" t="inlineStr">
        <is>
          <t>Revenue</t>
        </is>
      </c>
      <c r="B5" s="29" t="n">
        <v>3035.203</v>
      </c>
      <c r="C5" s="29" t="n">
        <v>3260.489</v>
      </c>
      <c r="D5" s="29" t="n">
        <v>3419.304</v>
      </c>
      <c r="E5" s="29">
        <f>DCF!B5</f>
        <v/>
      </c>
      <c r="F5" s="29">
        <f>DCF!C5</f>
        <v/>
      </c>
      <c r="G5" s="29">
        <f>DCF!D5</f>
        <v/>
      </c>
      <c r="H5" s="29">
        <f>DCF!E5</f>
        <v/>
      </c>
      <c r="I5" s="29">
        <f>DCF!F5</f>
        <v/>
      </c>
    </row>
    <row r="6">
      <c r="A6" s="6" t="inlineStr">
        <is>
          <t>Concession interest income (inside gross profit)</t>
        </is>
      </c>
      <c r="B6" s="23" t="n">
        <v>38.711</v>
      </c>
      <c r="C6" s="23" t="n">
        <v>59.151</v>
      </c>
      <c r="D6" s="23" t="n">
        <v>58.307</v>
      </c>
      <c r="E6" s="18">
        <f>Segments!C18</f>
        <v/>
      </c>
      <c r="F6" s="18">
        <f>Segments!D18</f>
        <v/>
      </c>
      <c r="G6" s="18">
        <f>Segments!E18</f>
        <v/>
      </c>
      <c r="H6" s="18">
        <f>Segments!F18</f>
        <v/>
      </c>
      <c r="I6" s="18">
        <f>Segments!G18</f>
        <v/>
      </c>
    </row>
    <row r="7">
      <c r="A7" s="6" t="inlineStr">
        <is>
          <t>Gross profit</t>
        </is>
      </c>
      <c r="B7" s="23" t="n">
        <v>1333.036</v>
      </c>
      <c r="C7" s="23" t="n">
        <v>1402.143</v>
      </c>
      <c r="D7" s="23" t="n">
        <v>1488.328</v>
      </c>
      <c r="E7" s="28" t="inlineStr">
        <is>
          <t>-</t>
        </is>
      </c>
      <c r="F7" s="28" t="inlineStr">
        <is>
          <t>-</t>
        </is>
      </c>
      <c r="G7" s="28" t="inlineStr">
        <is>
          <t>-</t>
        </is>
      </c>
      <c r="H7" s="28" t="inlineStr">
        <is>
          <t>-</t>
        </is>
      </c>
      <c r="I7" s="28" t="inlineStr">
        <is>
          <t>-</t>
        </is>
      </c>
    </row>
    <row r="8">
      <c r="A8" s="14" t="inlineStr">
        <is>
          <t>EBITDA</t>
        </is>
      </c>
      <c r="B8" s="29">
        <f>B11-B10</f>
        <v/>
      </c>
      <c r="C8" s="29">
        <f>C11-C10</f>
        <v/>
      </c>
      <c r="D8" s="29">
        <f>D11-D10</f>
        <v/>
      </c>
      <c r="E8" s="29">
        <f>DCF!B6</f>
        <v/>
      </c>
      <c r="F8" s="29">
        <f>DCF!C6</f>
        <v/>
      </c>
      <c r="G8" s="29">
        <f>DCF!D6</f>
        <v/>
      </c>
      <c r="H8" s="29">
        <f>DCF!E6</f>
        <v/>
      </c>
      <c r="I8" s="29">
        <f>DCF!F6</f>
        <v/>
      </c>
    </row>
    <row r="9">
      <c r="A9" s="6" t="inlineStr">
        <is>
          <t>EBITDA margin</t>
        </is>
      </c>
      <c r="B9" s="10">
        <f>B8/B5</f>
        <v/>
      </c>
      <c r="C9" s="10">
        <f>C8/C5</f>
        <v/>
      </c>
      <c r="D9" s="10">
        <f>D8/D5</f>
        <v/>
      </c>
      <c r="E9" s="10">
        <f>E8/E5</f>
        <v/>
      </c>
      <c r="F9" s="10">
        <f>F8/F5</f>
        <v/>
      </c>
      <c r="G9" s="10">
        <f>G8/G5</f>
        <v/>
      </c>
      <c r="H9" s="10">
        <f>H8/H5</f>
        <v/>
      </c>
      <c r="I9" s="10">
        <f>I8/I5</f>
        <v/>
      </c>
    </row>
    <row r="10">
      <c r="A10" s="6" t="inlineStr">
        <is>
          <t>Depreciation and amortisation</t>
        </is>
      </c>
      <c r="B10" s="23" t="n">
        <v>-348.199</v>
      </c>
      <c r="C10" s="23" t="n">
        <v>-359.081</v>
      </c>
      <c r="D10" s="23" t="n">
        <v>-369.717</v>
      </c>
      <c r="E10" s="18">
        <f>-DCF!B12</f>
        <v/>
      </c>
      <c r="F10" s="18">
        <f>-DCF!C12</f>
        <v/>
      </c>
      <c r="G10" s="18">
        <f>-DCF!D12</f>
        <v/>
      </c>
      <c r="H10" s="18">
        <f>-DCF!E12</f>
        <v/>
      </c>
      <c r="I10" s="18">
        <f>-DCF!F12</f>
        <v/>
      </c>
    </row>
    <row r="11">
      <c r="A11" s="6" t="inlineStr">
        <is>
          <t>Operating profit (EBIT)</t>
        </is>
      </c>
      <c r="B11" s="23" t="n">
        <v>1119.871</v>
      </c>
      <c r="C11" s="23" t="n">
        <v>1192.444</v>
      </c>
      <c r="D11" s="23" t="n">
        <v>1272.512</v>
      </c>
      <c r="E11" s="28">
        <f>E8+E10</f>
        <v/>
      </c>
      <c r="F11" s="28">
        <f>F8+F10</f>
        <v/>
      </c>
      <c r="G11" s="28">
        <f>G8+G10</f>
        <v/>
      </c>
      <c r="H11" s="28">
        <f>H8+H10</f>
        <v/>
      </c>
      <c r="I11" s="28">
        <f>I8+I10</f>
        <v/>
      </c>
    </row>
    <row r="12">
      <c r="A12" s="6" t="inlineStr">
        <is>
          <t>Net finance income / (costs)</t>
        </is>
      </c>
      <c r="B12" s="28">
        <f>B13-B11</f>
        <v/>
      </c>
      <c r="C12" s="28">
        <f>C13-C11</f>
        <v/>
      </c>
      <c r="D12" s="28">
        <f>D13-D11</f>
        <v/>
      </c>
      <c r="E12" s="28">
        <f>-(Assumptions!$C$48*Assumptions!$C$52-Assumptions!$C$62*Assumptions!$C$54)</f>
        <v/>
      </c>
      <c r="F12" s="28">
        <f>-(Assumptions!$C$48*Assumptions!$C$52-Assumptions!$C$62*Assumptions!$C$54)</f>
        <v/>
      </c>
      <c r="G12" s="28">
        <f>-(Assumptions!$C$48*Assumptions!$C$52-Assumptions!$C$62*Assumptions!$C$54)</f>
        <v/>
      </c>
      <c r="H12" s="28">
        <f>-(Assumptions!$C$48*Assumptions!$C$52-Assumptions!$C$62*Assumptions!$C$54)</f>
        <v/>
      </c>
      <c r="I12" s="28">
        <f>-(Assumptions!$C$48*Assumptions!$C$52-Assumptions!$C$62*Assumptions!$C$54)</f>
        <v/>
      </c>
    </row>
    <row r="13">
      <c r="A13" s="6" t="inlineStr">
        <is>
          <t>Profit before tax</t>
        </is>
      </c>
      <c r="B13" s="23" t="n">
        <v>942.631</v>
      </c>
      <c r="C13" s="23" t="n">
        <v>998.332</v>
      </c>
      <c r="D13" s="23" t="n">
        <v>1103.161</v>
      </c>
      <c r="E13" s="28">
        <f>E11+E12</f>
        <v/>
      </c>
      <c r="F13" s="28">
        <f>F11+F12</f>
        <v/>
      </c>
      <c r="G13" s="28">
        <f>G11+G12</f>
        <v/>
      </c>
      <c r="H13" s="28">
        <f>H11+H12</f>
        <v/>
      </c>
      <c r="I13" s="28">
        <f>I11+I12</f>
        <v/>
      </c>
    </row>
    <row r="14">
      <c r="A14" s="6" t="inlineStr">
        <is>
          <t>Income tax</t>
        </is>
      </c>
      <c r="B14" s="23" t="n">
        <v>17.454</v>
      </c>
      <c r="C14" s="23" t="n">
        <v>-90.09699999999999</v>
      </c>
      <c r="D14" s="23" t="n">
        <v>-99.226</v>
      </c>
      <c r="E14" s="28">
        <f>-E13*Assumptions!$C$7</f>
        <v/>
      </c>
      <c r="F14" s="28">
        <f>-F13*Assumptions!$C$7</f>
        <v/>
      </c>
      <c r="G14" s="28">
        <f>-G13*Assumptions!$C$7</f>
        <v/>
      </c>
      <c r="H14" s="28">
        <f>-H13*Assumptions!$C$7</f>
        <v/>
      </c>
      <c r="I14" s="28">
        <f>-I13*Assumptions!$C$7</f>
        <v/>
      </c>
    </row>
    <row r="15">
      <c r="A15" s="6" t="inlineStr">
        <is>
          <t>Profit for the year</t>
        </is>
      </c>
      <c r="B15" s="23" t="n">
        <v>960.085</v>
      </c>
      <c r="C15" s="23" t="n">
        <v>908.235</v>
      </c>
      <c r="D15" s="23" t="n">
        <v>1003.935</v>
      </c>
      <c r="E15" s="28">
        <f>E13+E14</f>
        <v/>
      </c>
      <c r="F15" s="28">
        <f>F13+F14</f>
        <v/>
      </c>
      <c r="G15" s="28">
        <f>G13+G14</f>
        <v/>
      </c>
      <c r="H15" s="28">
        <f>H13+H14</f>
        <v/>
      </c>
      <c r="I15" s="28">
        <f>I13+I14</f>
        <v/>
      </c>
    </row>
    <row r="16">
      <c r="A16" s="6" t="inlineStr">
        <is>
          <t>Non-controlling interests</t>
        </is>
      </c>
      <c r="B16" s="28">
        <f>B17-B15</f>
        <v/>
      </c>
      <c r="C16" s="28">
        <f>C17-C15</f>
        <v/>
      </c>
      <c r="D16" s="28">
        <f>D17-D15</f>
        <v/>
      </c>
      <c r="E16" s="28">
        <f>-E15*'SOTP Bridge'!$C$14</f>
        <v/>
      </c>
      <c r="F16" s="28">
        <f>-F15*'SOTP Bridge'!$C$14</f>
        <v/>
      </c>
      <c r="G16" s="28">
        <f>-G15*'SOTP Bridge'!$C$14</f>
        <v/>
      </c>
      <c r="H16" s="28">
        <f>-H15*'SOTP Bridge'!$C$14</f>
        <v/>
      </c>
      <c r="I16" s="28">
        <f>-I15*'SOTP Bridge'!$C$14</f>
        <v/>
      </c>
    </row>
    <row r="17">
      <c r="A17" s="14" t="inlineStr">
        <is>
          <t>Profit attributable to shareholders</t>
        </is>
      </c>
      <c r="B17" s="29" t="n">
        <v>952.927</v>
      </c>
      <c r="C17" s="29" t="n">
        <v>896.754</v>
      </c>
      <c r="D17" s="29" t="n">
        <v>993.302</v>
      </c>
      <c r="E17" s="29">
        <f>E15+E16</f>
        <v/>
      </c>
      <c r="F17" s="29">
        <f>F15+F16</f>
        <v/>
      </c>
      <c r="G17" s="29">
        <f>G15+G16</f>
        <v/>
      </c>
      <c r="H17" s="29">
        <f>H15+H16</f>
        <v/>
      </c>
      <c r="I17" s="29">
        <f>I15+I16</f>
        <v/>
      </c>
    </row>
    <row r="18">
      <c r="A18" s="6" t="inlineStr">
        <is>
          <t>Earnings per share (AED)</t>
        </is>
      </c>
      <c r="B18" s="9">
        <f>B17/Assumptions!$C$6</f>
        <v/>
      </c>
      <c r="C18" s="9">
        <f>C17/Assumptions!$C$6</f>
        <v/>
      </c>
      <c r="D18" s="9">
        <f>D17/Assumptions!$C$6</f>
        <v/>
      </c>
      <c r="E18" s="9">
        <f>E17/Assumptions!$C$6</f>
        <v/>
      </c>
      <c r="F18" s="9">
        <f>F17/Assumptions!$C$6</f>
        <v/>
      </c>
      <c r="G18" s="9">
        <f>G17/Assumptions!$C$6</f>
        <v/>
      </c>
      <c r="H18" s="9">
        <f>H17/Assumptions!$C$6</f>
        <v/>
      </c>
      <c r="I18" s="9">
        <f>I17/Assumptions!$C$6</f>
        <v/>
      </c>
    </row>
    <row r="20">
      <c r="A20" s="4" t="inlineStr">
        <is>
          <t>Every FY2023-25 line is the audited figure (the EBITDA, net-finance and non-controlling rows are arithmetic identities of audited lines). The forecast finance line holds the 30-Jun-2026 debt book and cash balance flat at the marginal cost of debt and deposit yield; the FY2023 tax line is a credit (first recognition of deferred tax ahead of UAE corporate tax).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Balance sheet — condensed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mn. FY2024 and FY2025 are audited closing figures; 30-Jun-2026 is the reviewed interim. The forecast rolls forward from the model: plant from the capex/depreciation chain, equity from retained profit less the committed dividend, net debt from free cash flow.</t>
        </is>
      </c>
    </row>
    <row r="4">
      <c r="A4" s="5" t="inlineStr">
        <is>
          <t>AED mn</t>
        </is>
      </c>
      <c r="B4" s="5" t="inlineStr">
        <is>
          <t>FY2024</t>
        </is>
      </c>
      <c r="C4" s="5" t="inlineStr">
        <is>
          <t>FY2025</t>
        </is>
      </c>
      <c r="D4" s="5" t="inlineStr">
        <is>
          <t>30-Jun-26</t>
        </is>
      </c>
      <c r="E4" s="5" t="inlineStr">
        <is>
          <t>FY2026E</t>
        </is>
      </c>
      <c r="F4" s="5" t="inlineStr">
        <is>
          <t>FY2027E</t>
        </is>
      </c>
      <c r="G4" s="5" t="inlineStr">
        <is>
          <t>FY2028E</t>
        </is>
      </c>
      <c r="H4" s="5" t="inlineStr">
        <is>
          <t>FY2029E</t>
        </is>
      </c>
      <c r="I4" s="5" t="inlineStr">
        <is>
          <t>FY2030E</t>
        </is>
      </c>
    </row>
    <row r="5">
      <c r="A5" s="6" t="inlineStr">
        <is>
          <t>Property, plant and equipment (net)</t>
        </is>
      </c>
      <c r="B5" s="23" t="n">
        <v>6995.16</v>
      </c>
      <c r="C5" s="23" t="n">
        <v>7194.99</v>
      </c>
      <c r="D5" s="23" t="n">
        <v>7274.608</v>
      </c>
      <c r="E5" s="18">
        <f>DCF!B11</f>
        <v/>
      </c>
      <c r="F5" s="18">
        <f>DCF!C11</f>
        <v/>
      </c>
      <c r="G5" s="18">
        <f>DCF!D11</f>
        <v/>
      </c>
      <c r="H5" s="18">
        <f>DCF!E11</f>
        <v/>
      </c>
      <c r="I5" s="18">
        <f>DCF!F11</f>
        <v/>
      </c>
    </row>
    <row r="6">
      <c r="A6" s="6" t="inlineStr">
        <is>
          <t>Investment properties</t>
        </is>
      </c>
      <c r="B6" s="23" t="n">
        <v>118.015</v>
      </c>
      <c r="C6" s="23" t="n">
        <v>170.793</v>
      </c>
      <c r="D6" s="23" t="n">
        <v>168.716</v>
      </c>
      <c r="E6" s="28">
        <f>$D6</f>
        <v/>
      </c>
      <c r="F6" s="28">
        <f>$D6</f>
        <v/>
      </c>
      <c r="G6" s="28">
        <f>$D6</f>
        <v/>
      </c>
      <c r="H6" s="28">
        <f>$D6</f>
        <v/>
      </c>
      <c r="I6" s="28">
        <f>$D6</f>
        <v/>
      </c>
    </row>
    <row r="7">
      <c r="A7" s="6" t="inlineStr">
        <is>
          <t>Concession financial asset (current + non-current)</t>
        </is>
      </c>
      <c r="B7" s="23" t="n">
        <v>1324.787</v>
      </c>
      <c r="C7" s="23" t="n">
        <v>1304.839</v>
      </c>
      <c r="D7" s="23" t="n">
        <v>1294.442</v>
      </c>
      <c r="E7" s="28">
        <f>$D7</f>
        <v/>
      </c>
      <c r="F7" s="28">
        <f>$D7</f>
        <v/>
      </c>
      <c r="G7" s="28">
        <f>$D7</f>
        <v/>
      </c>
      <c r="H7" s="28">
        <f>$D7</f>
        <v/>
      </c>
      <c r="I7" s="28">
        <f>$D7</f>
        <v/>
      </c>
    </row>
    <row r="8">
      <c r="A8" s="6" t="inlineStr">
        <is>
          <t>Financial assets at fair value (through P&amp;L and OCI)</t>
        </is>
      </c>
      <c r="B8" s="23" t="n">
        <v>81.17500000000001</v>
      </c>
      <c r="C8" s="23" t="n">
        <v>101.239</v>
      </c>
      <c r="D8" s="23" t="n">
        <v>127.975</v>
      </c>
      <c r="E8" s="28">
        <f>$D8</f>
        <v/>
      </c>
      <c r="F8" s="28">
        <f>$D8</f>
        <v/>
      </c>
      <c r="G8" s="28">
        <f>$D8</f>
        <v/>
      </c>
      <c r="H8" s="28">
        <f>$D8</f>
        <v/>
      </c>
      <c r="I8" s="28">
        <f>$D8</f>
        <v/>
      </c>
    </row>
    <row r="9">
      <c r="A9" s="6" t="inlineStr">
        <is>
          <t>Cash, equivalents and term deposits</t>
        </is>
      </c>
      <c r="B9" s="23" t="n">
        <v>1966.891</v>
      </c>
      <c r="C9" s="23" t="n">
        <v>2313.449</v>
      </c>
      <c r="D9" s="23" t="n">
        <v>2512.224</v>
      </c>
      <c r="E9" s="28">
        <f>(Assumptions!$C$52+Assumptions!$C$53)-E16</f>
        <v/>
      </c>
      <c r="F9" s="28">
        <f>(Assumptions!$C$52+Assumptions!$C$53)-F16</f>
        <v/>
      </c>
      <c r="G9" s="28">
        <f>(Assumptions!$C$52+Assumptions!$C$53)-G16</f>
        <v/>
      </c>
      <c r="H9" s="28">
        <f>(Assumptions!$C$52+Assumptions!$C$53)-H16</f>
        <v/>
      </c>
      <c r="I9" s="28">
        <f>(Assumptions!$C$52+Assumptions!$C$53)-I16</f>
        <v/>
      </c>
    </row>
    <row r="10">
      <c r="A10" s="6" t="inlineStr">
        <is>
          <t>Total assets (as reported)</t>
        </is>
      </c>
      <c r="B10" s="23" t="n">
        <v>11183.046</v>
      </c>
      <c r="C10" s="23" t="n">
        <v>11816.822</v>
      </c>
      <c r="D10" s="23" t="n">
        <v>12267.233</v>
      </c>
      <c r="E10" s="28" t="inlineStr">
        <is>
          <t>-</t>
        </is>
      </c>
      <c r="F10" s="28" t="inlineStr">
        <is>
          <t>-</t>
        </is>
      </c>
      <c r="G10" s="28" t="inlineStr">
        <is>
          <t>-</t>
        </is>
      </c>
      <c r="H10" s="28" t="inlineStr">
        <is>
          <t>-</t>
        </is>
      </c>
      <c r="I10" s="28" t="inlineStr">
        <is>
          <t>-</t>
        </is>
      </c>
    </row>
    <row r="11">
      <c r="A11" s="6" t="inlineStr">
        <is>
          <t>Borrowings and lease liabilities (gross debt)</t>
        </is>
      </c>
      <c r="B11" s="23" t="n">
        <v>5498.415</v>
      </c>
      <c r="C11" s="23" t="n">
        <v>5505.304</v>
      </c>
      <c r="D11" s="23" t="n">
        <v>5503.717</v>
      </c>
      <c r="E11" s="28">
        <f>Assumptions!$C$52+Assumptions!$C$53</f>
        <v/>
      </c>
      <c r="F11" s="28">
        <f>Assumptions!$C$52+Assumptions!$C$53</f>
        <v/>
      </c>
      <c r="G11" s="28">
        <f>Assumptions!$C$52+Assumptions!$C$53</f>
        <v/>
      </c>
      <c r="H11" s="28">
        <f>Assumptions!$C$52+Assumptions!$C$53</f>
        <v/>
      </c>
      <c r="I11" s="28">
        <f>Assumptions!$C$52+Assumptions!$C$53</f>
        <v/>
      </c>
    </row>
    <row r="12">
      <c r="A12" s="6" t="inlineStr">
        <is>
          <t>Trade and other payables</t>
        </is>
      </c>
      <c r="B12" s="23" t="n">
        <v>1677.637</v>
      </c>
      <c r="C12" s="23" t="n">
        <v>2165.056</v>
      </c>
      <c r="D12" s="23" t="n">
        <v>2458.563</v>
      </c>
      <c r="E12" s="28" t="inlineStr">
        <is>
          <t>-</t>
        </is>
      </c>
      <c r="F12" s="28" t="inlineStr">
        <is>
          <t>-</t>
        </is>
      </c>
      <c r="G12" s="28" t="inlineStr">
        <is>
          <t>-</t>
        </is>
      </c>
      <c r="H12" s="28" t="inlineStr">
        <is>
          <t>-</t>
        </is>
      </c>
      <c r="I12" s="28" t="inlineStr">
        <is>
          <t>-</t>
        </is>
      </c>
    </row>
    <row r="13">
      <c r="A13" s="14" t="inlineStr">
        <is>
          <t>Equity attributable to shareholders</t>
        </is>
      </c>
      <c r="B13" s="29" t="n">
        <v>3197.59</v>
      </c>
      <c r="C13" s="29" t="n">
        <v>3310.933</v>
      </c>
      <c r="D13" s="29" t="n">
        <v>3337.585</v>
      </c>
      <c r="E13" s="29">
        <f>C13+'Income Statement'!E17-Assumptions!$C$63</f>
        <v/>
      </c>
      <c r="F13" s="29">
        <f>E13+'Income Statement'!F17-Assumptions!$C$63</f>
        <v/>
      </c>
      <c r="G13" s="29">
        <f>F13+'Income Statement'!G17-Assumptions!$C$63</f>
        <v/>
      </c>
      <c r="H13" s="29">
        <f>G13+'Income Statement'!H17-Assumptions!$C$63</f>
        <v/>
      </c>
      <c r="I13" s="29">
        <f>H13+'Income Statement'!I17-Assumptions!$C$63</f>
        <v/>
      </c>
    </row>
    <row r="14">
      <c r="A14" s="6" t="inlineStr">
        <is>
          <t>Non-controlling interests</t>
        </is>
      </c>
      <c r="B14" s="23" t="n">
        <v>175.745</v>
      </c>
      <c r="C14" s="23" t="n">
        <v>186.378</v>
      </c>
      <c r="D14" s="23" t="n">
        <v>190.745</v>
      </c>
      <c r="E14" s="28">
        <f>C14-'Income Statement'!E16</f>
        <v/>
      </c>
      <c r="F14" s="28">
        <f>E14-'Income Statement'!F16</f>
        <v/>
      </c>
      <c r="G14" s="28">
        <f>F14-'Income Statement'!G16</f>
        <v/>
      </c>
      <c r="H14" s="28">
        <f>G14-'Income Statement'!H16</f>
        <v/>
      </c>
      <c r="I14" s="28">
        <f>H14-'Income Statement'!I16</f>
        <v/>
      </c>
    </row>
    <row r="15">
      <c r="A15" s="6" t="inlineStr">
        <is>
          <t>Net working capital (model definition)</t>
        </is>
      </c>
      <c r="B15" s="28" t="inlineStr">
        <is>
          <t>-</t>
        </is>
      </c>
      <c r="C15" s="18">
        <f>Assumptions!$C$37</f>
        <v/>
      </c>
      <c r="D15" s="28" t="inlineStr">
        <is>
          <t>-</t>
        </is>
      </c>
      <c r="E15" s="28">
        <f>Assumptions!$C$38*'Income Statement'!E5</f>
        <v/>
      </c>
      <c r="F15" s="28">
        <f>Assumptions!$C$38*'Income Statement'!F5</f>
        <v/>
      </c>
      <c r="G15" s="28">
        <f>Assumptions!$C$38*'Income Statement'!G5</f>
        <v/>
      </c>
      <c r="H15" s="28">
        <f>Assumptions!$C$38*'Income Statement'!H5</f>
        <v/>
      </c>
      <c r="I15" s="28">
        <f>Assumptions!$C$38*'Income Statement'!I5</f>
        <v/>
      </c>
    </row>
    <row r="16">
      <c r="A16" s="14" t="inlineStr">
        <is>
          <t>Net debt (gross debt - cash and deposits)</t>
        </is>
      </c>
      <c r="B16" s="29">
        <f>B11-B9</f>
        <v/>
      </c>
      <c r="C16" s="29">
        <f>C11-C9</f>
        <v/>
      </c>
      <c r="D16" s="29">
        <f>D11-D9</f>
        <v/>
      </c>
      <c r="E16" s="29">
        <f>D16-(DCF!B18+'Income Statement'!E12*(1-Assumptions!$C$7))+Assumptions!$C$63</f>
        <v/>
      </c>
      <c r="F16" s="29">
        <f>E16-(DCF!C18+'Income Statement'!F12*(1-Assumptions!$C$7))+Assumptions!$C$63</f>
        <v/>
      </c>
      <c r="G16" s="29">
        <f>F16-(DCF!D18+'Income Statement'!G12*(1-Assumptions!$C$7))+Assumptions!$C$63</f>
        <v/>
      </c>
      <c r="H16" s="29">
        <f>G16-(DCF!E18+'Income Statement'!H12*(1-Assumptions!$C$7))+Assumptions!$C$63</f>
        <v/>
      </c>
      <c r="I16" s="29">
        <f>H16-(DCF!F18+'Income Statement'!I12*(1-Assumptions!$C$7))+Assumptions!$C$63</f>
        <v/>
      </c>
    </row>
    <row r="17">
      <c r="A17" s="6" t="inlineStr">
        <is>
          <t>Net debt / EBITDA</t>
        </is>
      </c>
      <c r="B17" s="36" t="inlineStr">
        <is>
          <t>-</t>
        </is>
      </c>
      <c r="C17" s="36">
        <f>C16/'Income Statement'!D8</f>
        <v/>
      </c>
      <c r="D17" s="36" t="inlineStr">
        <is>
          <t>-</t>
        </is>
      </c>
      <c r="E17" s="36">
        <f>E16/'Income Statement'!E8</f>
        <v/>
      </c>
      <c r="F17" s="36">
        <f>F16/'Income Statement'!F8</f>
        <v/>
      </c>
      <c r="G17" s="36">
        <f>G16/'Income Statement'!G8</f>
        <v/>
      </c>
      <c r="H17" s="36">
        <f>H16/'Income Statement'!H8</f>
        <v/>
      </c>
      <c r="I17" s="36">
        <f>I16/'Income Statement'!I8</f>
        <v/>
      </c>
    </row>
    <row r="19">
      <c r="A19" s="4" t="inlineStr">
        <is>
          <t>This is a CONDENSED layout and does not foot to zero: government grants, end-of-service benefits, tax liabilities, retentions and the remaining current items are not shown separately. The forecast net-debt roll starts from the 30-Jun-2026 reviewed position (the bridge anchor), charges the committed dividend, and credits each year's free cash flow after the after-tax finance charge. The forecast equity roll starts from the FY2025 audited closing equity.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flow — historical markers and the forecast waterfall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AED mn. The forecast links line-for-line to the DCF waterfall.</t>
        </is>
      </c>
    </row>
    <row r="4">
      <c r="A4" s="5" t="inlineStr">
        <is>
          <t>AED mn</t>
        </is>
      </c>
      <c r="B4" s="5" t="inlineStr">
        <is>
          <t>FY2024</t>
        </is>
      </c>
      <c r="C4" s="5" t="inlineStr">
        <is>
          <t>FY2025</t>
        </is>
      </c>
      <c r="D4" s="5" t="inlineStr">
        <is>
          <t>FY2026E</t>
        </is>
      </c>
      <c r="E4" s="5" t="inlineStr">
        <is>
          <t>FY2027E</t>
        </is>
      </c>
      <c r="F4" s="5" t="inlineStr">
        <is>
          <t>FY2028E</t>
        </is>
      </c>
      <c r="G4" s="5" t="inlineStr">
        <is>
          <t>FY2029E</t>
        </is>
      </c>
      <c r="H4" s="5" t="inlineStr">
        <is>
          <t>FY2030E</t>
        </is>
      </c>
    </row>
    <row r="5">
      <c r="A5" s="6" t="inlineStr">
        <is>
          <t>EBITDA</t>
        </is>
      </c>
      <c r="B5" s="18">
        <f>'Income Statement'!C8</f>
        <v/>
      </c>
      <c r="C5" s="18">
        <f>'Income Statement'!D8</f>
        <v/>
      </c>
      <c r="D5" s="18">
        <f>'Income Statement'!E8</f>
        <v/>
      </c>
      <c r="E5" s="18">
        <f>'Income Statement'!F8</f>
        <v/>
      </c>
      <c r="F5" s="18">
        <f>'Income Statement'!G8</f>
        <v/>
      </c>
      <c r="G5" s="18">
        <f>'Income Statement'!H8</f>
        <v/>
      </c>
      <c r="H5" s="18">
        <f>'Income Statement'!I8</f>
        <v/>
      </c>
    </row>
    <row r="6">
      <c r="A6" s="6" t="inlineStr">
        <is>
          <t>Net cash from operating activities (as reported)</t>
        </is>
      </c>
      <c r="B6" s="23" t="n">
        <v>1824.402</v>
      </c>
      <c r="C6" s="23" t="n">
        <v>1862.042</v>
      </c>
      <c r="D6" s="28" t="inlineStr">
        <is>
          <t>-</t>
        </is>
      </c>
      <c r="E6" s="28" t="inlineStr">
        <is>
          <t>-</t>
        </is>
      </c>
      <c r="F6" s="28" t="inlineStr">
        <is>
          <t>-</t>
        </is>
      </c>
      <c r="G6" s="28" t="inlineStr">
        <is>
          <t>-</t>
        </is>
      </c>
      <c r="H6" s="28" t="inlineStr">
        <is>
          <t>-</t>
        </is>
      </c>
    </row>
    <row r="7">
      <c r="A7" s="6" t="inlineStr">
        <is>
          <t>NOPAT</t>
        </is>
      </c>
      <c r="B7" s="28" t="inlineStr">
        <is>
          <t>-</t>
        </is>
      </c>
      <c r="C7" s="28" t="inlineStr">
        <is>
          <t>-</t>
        </is>
      </c>
      <c r="D7" s="18">
        <f>DCF!B14</f>
        <v/>
      </c>
      <c r="E7" s="18">
        <f>DCF!C14</f>
        <v/>
      </c>
      <c r="F7" s="18">
        <f>DCF!D14</f>
        <v/>
      </c>
      <c r="G7" s="18">
        <f>DCF!E14</f>
        <v/>
      </c>
      <c r="H7" s="18">
        <f>DCF!F14</f>
        <v/>
      </c>
    </row>
    <row r="8">
      <c r="A8" s="6" t="inlineStr">
        <is>
          <t>Add back depreciation and amortisation</t>
        </is>
      </c>
      <c r="B8" s="28" t="inlineStr">
        <is>
          <t>-</t>
        </is>
      </c>
      <c r="C8" s="28" t="inlineStr">
        <is>
          <t>-</t>
        </is>
      </c>
      <c r="D8" s="18">
        <f>DCF!B15</f>
        <v/>
      </c>
      <c r="E8" s="18">
        <f>DCF!C15</f>
        <v/>
      </c>
      <c r="F8" s="18">
        <f>DCF!D15</f>
        <v/>
      </c>
      <c r="G8" s="18">
        <f>DCF!E15</f>
        <v/>
      </c>
      <c r="H8" s="18">
        <f>DCF!F15</f>
        <v/>
      </c>
    </row>
    <row r="9">
      <c r="A9" s="6" t="inlineStr">
        <is>
          <t>Capital expenditure</t>
        </is>
      </c>
      <c r="B9" s="23" t="n">
        <v>-306.781</v>
      </c>
      <c r="C9" s="23" t="n">
        <v>-440.039</v>
      </c>
      <c r="D9" s="18">
        <f>DCF!B16</f>
        <v/>
      </c>
      <c r="E9" s="18">
        <f>DCF!C16</f>
        <v/>
      </c>
      <c r="F9" s="18">
        <f>DCF!D16</f>
        <v/>
      </c>
      <c r="G9" s="18">
        <f>DCF!E16</f>
        <v/>
      </c>
      <c r="H9" s="18">
        <f>DCF!F16</f>
        <v/>
      </c>
    </row>
    <row r="10">
      <c r="A10" s="6" t="inlineStr">
        <is>
          <t>Change in net working capital</t>
        </is>
      </c>
      <c r="B10" s="28" t="inlineStr">
        <is>
          <t>-</t>
        </is>
      </c>
      <c r="C10" s="28" t="inlineStr">
        <is>
          <t>-</t>
        </is>
      </c>
      <c r="D10" s="18">
        <f>DCF!B17</f>
        <v/>
      </c>
      <c r="E10" s="18">
        <f>DCF!C17</f>
        <v/>
      </c>
      <c r="F10" s="18">
        <f>DCF!D17</f>
        <v/>
      </c>
      <c r="G10" s="18">
        <f>DCF!E17</f>
        <v/>
      </c>
      <c r="H10" s="18">
        <f>DCF!F17</f>
        <v/>
      </c>
    </row>
    <row r="11">
      <c r="A11" s="14" t="inlineStr">
        <is>
          <t>Free cash flow to the firm</t>
        </is>
      </c>
      <c r="B11" s="29" t="inlineStr">
        <is>
          <t>-</t>
        </is>
      </c>
      <c r="C11" s="29" t="inlineStr">
        <is>
          <t>-</t>
        </is>
      </c>
      <c r="D11" s="29">
        <f>D7+D8+D9+D10</f>
        <v/>
      </c>
      <c r="E11" s="29">
        <f>E7+E8+E9+E10</f>
        <v/>
      </c>
      <c r="F11" s="29">
        <f>F7+F8+F9+F10</f>
        <v/>
      </c>
      <c r="G11" s="29">
        <f>G7+G8+G9+G10</f>
        <v/>
      </c>
      <c r="H11" s="29">
        <f>H7+H8+H9+H10</f>
        <v/>
      </c>
    </row>
    <row r="12">
      <c r="A12" s="6" t="inlineStr">
        <is>
          <t>Net finance charge after tax</t>
        </is>
      </c>
      <c r="B12" s="28" t="inlineStr">
        <is>
          <t>-</t>
        </is>
      </c>
      <c r="C12" s="28" t="inlineStr">
        <is>
          <t>-</t>
        </is>
      </c>
      <c r="D12" s="28">
        <f>'Income Statement'!E12*(1-Assumptions!$C$7)</f>
        <v/>
      </c>
      <c r="E12" s="28">
        <f>'Income Statement'!F12*(1-Assumptions!$C$7)</f>
        <v/>
      </c>
      <c r="F12" s="28">
        <f>'Income Statement'!G12*(1-Assumptions!$C$7)</f>
        <v/>
      </c>
      <c r="G12" s="28">
        <f>'Income Statement'!H12*(1-Assumptions!$C$7)</f>
        <v/>
      </c>
      <c r="H12" s="28">
        <f>'Income Statement'!I12*(1-Assumptions!$C$7)</f>
        <v/>
      </c>
    </row>
    <row r="13">
      <c r="A13" s="6" t="inlineStr">
        <is>
          <t>Free cash flow to equity</t>
        </is>
      </c>
      <c r="B13" s="28" t="inlineStr">
        <is>
          <t>-</t>
        </is>
      </c>
      <c r="C13" s="28" t="inlineStr">
        <is>
          <t>-</t>
        </is>
      </c>
      <c r="D13" s="28">
        <f>D11+D12</f>
        <v/>
      </c>
      <c r="E13" s="28">
        <f>E11+E12</f>
        <v/>
      </c>
      <c r="F13" s="28">
        <f>F11+F12</f>
        <v/>
      </c>
      <c r="G13" s="28">
        <f>G11+G12</f>
        <v/>
      </c>
      <c r="H13" s="28">
        <f>H11+H12</f>
        <v/>
      </c>
    </row>
    <row r="14">
      <c r="A14" s="6" t="inlineStr">
        <is>
          <t>Dividends paid</t>
        </is>
      </c>
      <c r="B14" s="23" t="n">
        <v>-850</v>
      </c>
      <c r="C14" s="23" t="n">
        <v>-875</v>
      </c>
      <c r="D14" s="18">
        <f>-Assumptions!$C$63</f>
        <v/>
      </c>
      <c r="E14" s="18">
        <f>-Assumptions!$C$63</f>
        <v/>
      </c>
      <c r="F14" s="18">
        <f>-Assumptions!$C$63</f>
        <v/>
      </c>
      <c r="G14" s="18">
        <f>-Assumptions!$C$63</f>
        <v/>
      </c>
      <c r="H14" s="18">
        <f>-Assumptions!$C$63</f>
        <v/>
      </c>
    </row>
    <row r="15">
      <c r="A15" s="6" t="inlineStr">
        <is>
          <t>Change in net debt (dividend less equity free cash flow)</t>
        </is>
      </c>
      <c r="B15" s="28" t="inlineStr">
        <is>
          <t>-</t>
        </is>
      </c>
      <c r="C15" s="28" t="inlineStr">
        <is>
          <t>-</t>
        </is>
      </c>
      <c r="D15" s="28">
        <f>-D13-D14</f>
        <v/>
      </c>
      <c r="E15" s="28">
        <f>-E13-E14</f>
        <v/>
      </c>
      <c r="F15" s="28">
        <f>-F13-F14</f>
        <v/>
      </c>
      <c r="G15" s="28">
        <f>-G13-G14</f>
        <v/>
      </c>
      <c r="H15" s="28">
        <f>-H13-H14</f>
        <v/>
      </c>
    </row>
    <row r="16">
      <c r="A16" s="6" t="inlineStr">
        <is>
          <t>Closing net debt</t>
        </is>
      </c>
      <c r="B16" s="28" t="inlineStr">
        <is>
          <t>-</t>
        </is>
      </c>
      <c r="C16" s="28" t="inlineStr">
        <is>
          <t>-</t>
        </is>
      </c>
      <c r="D16" s="18">
        <f>'Balance Sheet'!E16</f>
        <v/>
      </c>
      <c r="E16" s="18">
        <f>'Balance Sheet'!F16</f>
        <v/>
      </c>
      <c r="F16" s="18">
        <f>'Balance Sheet'!G16</f>
        <v/>
      </c>
      <c r="G16" s="18">
        <f>'Balance Sheet'!H16</f>
        <v/>
      </c>
      <c r="H16" s="18">
        <f>'Balance Sheet'!I16</f>
        <v/>
      </c>
    </row>
    <row r="18">
      <c r="A18" s="4" t="inlineStr">
        <is>
          <t>The company converts EBITDA to operating cash at a high rate — the negative working-capital cycle (customer deposits and long payables) funds growth. The committed dividend exceeds equity free cash flow in the first forecast year by design; the net-debt roll on the Balance Sheet carries the difference.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Summary financials — the eight-year picture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AED mn unless stated. Every cell on this sheet is a link or a ratio; nothing is typed twice.</t>
        </is>
      </c>
    </row>
    <row r="4">
      <c r="A4" s="5" t="inlineStr">
        <is>
          <t>AED mn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FY2026E</t>
        </is>
      </c>
      <c r="F4" s="5" t="inlineStr">
        <is>
          <t>FY2027E</t>
        </is>
      </c>
      <c r="G4" s="5" t="inlineStr">
        <is>
          <t>FY2028E</t>
        </is>
      </c>
      <c r="H4" s="5" t="inlineStr">
        <is>
          <t>FY2029E</t>
        </is>
      </c>
      <c r="I4" s="5" t="inlineStr">
        <is>
          <t>FY2030E</t>
        </is>
      </c>
    </row>
    <row r="5">
      <c r="A5" s="6" t="inlineStr">
        <is>
          <t>Revenue</t>
        </is>
      </c>
      <c r="B5" s="18">
        <f>'Income Statement'!B5</f>
        <v/>
      </c>
      <c r="C5" s="18">
        <f>'Income Statement'!C5</f>
        <v/>
      </c>
      <c r="D5" s="18">
        <f>'Income Statement'!D5</f>
        <v/>
      </c>
      <c r="E5" s="18">
        <f>'Income Statement'!E5</f>
        <v/>
      </c>
      <c r="F5" s="18">
        <f>'Income Statement'!F5</f>
        <v/>
      </c>
      <c r="G5" s="18">
        <f>'Income Statement'!G5</f>
        <v/>
      </c>
      <c r="H5" s="18">
        <f>'Income Statement'!H5</f>
        <v/>
      </c>
      <c r="I5" s="18">
        <f>'Income Statement'!I5</f>
        <v/>
      </c>
    </row>
    <row r="6">
      <c r="A6" s="6" t="inlineStr">
        <is>
          <t>Revenue growth</t>
        </is>
      </c>
      <c r="B6" s="10" t="inlineStr">
        <is>
          <t>-</t>
        </is>
      </c>
      <c r="C6" s="10">
        <f>C5/B5-1</f>
        <v/>
      </c>
      <c r="D6" s="10">
        <f>D5/C5-1</f>
        <v/>
      </c>
      <c r="E6" s="10">
        <f>E5/D5-1</f>
        <v/>
      </c>
      <c r="F6" s="10">
        <f>F5/E5-1</f>
        <v/>
      </c>
      <c r="G6" s="10">
        <f>G5/F5-1</f>
        <v/>
      </c>
      <c r="H6" s="10">
        <f>H5/G5-1</f>
        <v/>
      </c>
      <c r="I6" s="10">
        <f>I5/H5-1</f>
        <v/>
      </c>
    </row>
    <row r="7">
      <c r="A7" s="6" t="inlineStr">
        <is>
          <t>EBITDA</t>
        </is>
      </c>
      <c r="B7" s="18">
        <f>'Income Statement'!B8</f>
        <v/>
      </c>
      <c r="C7" s="18">
        <f>'Income Statement'!C8</f>
        <v/>
      </c>
      <c r="D7" s="18">
        <f>'Income Statement'!D8</f>
        <v/>
      </c>
      <c r="E7" s="18">
        <f>'Income Statement'!E8</f>
        <v/>
      </c>
      <c r="F7" s="18">
        <f>'Income Statement'!F8</f>
        <v/>
      </c>
      <c r="G7" s="18">
        <f>'Income Statement'!G8</f>
        <v/>
      </c>
      <c r="H7" s="18">
        <f>'Income Statement'!H8</f>
        <v/>
      </c>
      <c r="I7" s="18">
        <f>'Income Statement'!I8</f>
        <v/>
      </c>
    </row>
    <row r="8">
      <c r="A8" s="6" t="inlineStr">
        <is>
          <t>EBITDA margin</t>
        </is>
      </c>
      <c r="B8" s="10">
        <f>B7/B5</f>
        <v/>
      </c>
      <c r="C8" s="10">
        <f>C7/C5</f>
        <v/>
      </c>
      <c r="D8" s="10">
        <f>D7/D5</f>
        <v/>
      </c>
      <c r="E8" s="10">
        <f>E7/E5</f>
        <v/>
      </c>
      <c r="F8" s="10">
        <f>F7/F5</f>
        <v/>
      </c>
      <c r="G8" s="10">
        <f>G7/G5</f>
        <v/>
      </c>
      <c r="H8" s="10">
        <f>H7/H5</f>
        <v/>
      </c>
      <c r="I8" s="10">
        <f>I7/I5</f>
        <v/>
      </c>
    </row>
    <row r="9">
      <c r="A9" s="6" t="inlineStr">
        <is>
          <t>Operating profit (EBIT)</t>
        </is>
      </c>
      <c r="B9" s="18">
        <f>'Income Statement'!B11</f>
        <v/>
      </c>
      <c r="C9" s="18">
        <f>'Income Statement'!C11</f>
        <v/>
      </c>
      <c r="D9" s="18">
        <f>'Income Statement'!D11</f>
        <v/>
      </c>
      <c r="E9" s="18">
        <f>'Income Statement'!E11</f>
        <v/>
      </c>
      <c r="F9" s="18">
        <f>'Income Statement'!F11</f>
        <v/>
      </c>
      <c r="G9" s="18">
        <f>'Income Statement'!G11</f>
        <v/>
      </c>
      <c r="H9" s="18">
        <f>'Income Statement'!H11</f>
        <v/>
      </c>
      <c r="I9" s="18">
        <f>'Income Statement'!I11</f>
        <v/>
      </c>
    </row>
    <row r="10">
      <c r="A10" s="6" t="inlineStr">
        <is>
          <t>Attributable profit</t>
        </is>
      </c>
      <c r="B10" s="18">
        <f>'Income Statement'!B17</f>
        <v/>
      </c>
      <c r="C10" s="18">
        <f>'Income Statement'!C17</f>
        <v/>
      </c>
      <c r="D10" s="18">
        <f>'Income Statement'!D17</f>
        <v/>
      </c>
      <c r="E10" s="18">
        <f>'Income Statement'!E17</f>
        <v/>
      </c>
      <c r="F10" s="18">
        <f>'Income Statement'!F17</f>
        <v/>
      </c>
      <c r="G10" s="18">
        <f>'Income Statement'!G17</f>
        <v/>
      </c>
      <c r="H10" s="18">
        <f>'Income Statement'!H17</f>
        <v/>
      </c>
      <c r="I10" s="18">
        <f>'Income Statement'!I17</f>
        <v/>
      </c>
    </row>
    <row r="11">
      <c r="A11" s="6" t="inlineStr">
        <is>
          <t>Free cash flow to the firm</t>
        </is>
      </c>
      <c r="B11" s="28" t="inlineStr">
        <is>
          <t>-</t>
        </is>
      </c>
      <c r="C11" s="28" t="inlineStr">
        <is>
          <t>-</t>
        </is>
      </c>
      <c r="D11" s="28" t="inlineStr">
        <is>
          <t>-</t>
        </is>
      </c>
      <c r="E11" s="18">
        <f>'Cash Flow'!D11</f>
        <v/>
      </c>
      <c r="F11" s="18">
        <f>'Cash Flow'!E11</f>
        <v/>
      </c>
      <c r="G11" s="18">
        <f>'Cash Flow'!F11</f>
        <v/>
      </c>
      <c r="H11" s="18">
        <f>'Cash Flow'!G11</f>
        <v/>
      </c>
      <c r="I11" s="18">
        <f>'Cash Flow'!H11</f>
        <v/>
      </c>
    </row>
    <row r="12">
      <c r="A12" s="6" t="inlineStr">
        <is>
          <t>Net debt</t>
        </is>
      </c>
      <c r="B12" s="28" t="inlineStr">
        <is>
          <t>-</t>
        </is>
      </c>
      <c r="C12" s="18">
        <f>'Balance Sheet'!B16</f>
        <v/>
      </c>
      <c r="D12" s="18">
        <f>'Balance Sheet'!C16</f>
        <v/>
      </c>
      <c r="E12" s="18">
        <f>'Balance Sheet'!E16</f>
        <v/>
      </c>
      <c r="F12" s="18">
        <f>'Balance Sheet'!F16</f>
        <v/>
      </c>
      <c r="G12" s="18">
        <f>'Balance Sheet'!G16</f>
        <v/>
      </c>
      <c r="H12" s="18">
        <f>'Balance Sheet'!H16</f>
        <v/>
      </c>
      <c r="I12" s="18">
        <f>'Balance Sheet'!I16</f>
        <v/>
      </c>
    </row>
    <row r="13">
      <c r="A13" s="6" t="inlineStr">
        <is>
          <t>Invested capital (plant + concession + working capital)</t>
        </is>
      </c>
      <c r="B13" s="28" t="inlineStr">
        <is>
          <t>-</t>
        </is>
      </c>
      <c r="C13" s="28" t="inlineStr">
        <is>
          <t>-</t>
        </is>
      </c>
      <c r="D13" s="28" t="inlineStr">
        <is>
          <t>-</t>
        </is>
      </c>
      <c r="E13" s="18">
        <f>DCF!B11+Assumptions!$C$39+'Balance Sheet'!E15</f>
        <v/>
      </c>
      <c r="F13" s="18">
        <f>DCF!C11+Assumptions!$C$39+'Balance Sheet'!F15</f>
        <v/>
      </c>
      <c r="G13" s="18">
        <f>DCF!D11+Assumptions!$C$39+'Balance Sheet'!G15</f>
        <v/>
      </c>
      <c r="H13" s="18">
        <f>DCF!E11+Assumptions!$C$39+'Balance Sheet'!H15</f>
        <v/>
      </c>
      <c r="I13" s="18">
        <f>DCF!F11+Assumptions!$C$39+'Balance Sheet'!I15</f>
        <v/>
      </c>
    </row>
    <row r="14">
      <c r="A14" s="6" t="inlineStr">
        <is>
          <t>Return on invested capital (NOPAT / same-year capital)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8">
        <f>DCF!B14/E13</f>
        <v/>
      </c>
      <c r="F14" s="8">
        <f>DCF!C14/F13</f>
        <v/>
      </c>
      <c r="G14" s="8">
        <f>DCF!D14/G13</f>
        <v/>
      </c>
      <c r="H14" s="8">
        <f>DCF!E14/H13</f>
        <v/>
      </c>
      <c r="I14" s="8">
        <f>DCF!F14/I13</f>
        <v/>
      </c>
    </row>
    <row r="16">
      <c r="A16" s="4" t="inlineStr">
        <is>
          <t>Return on invested capital comfortably clears the cost of capital across the forecast — the economics of a regulated district-cooling monopoly with a negative working-capital cycle. The terminal reinvestment rate on the DCF sheet is set from exactly this capital base.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Probabilistic price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A map of price dispersion around the market price. It carries no view on value and is never blended with the valuation. Each figure is a complete simulation output, not a formula, and does not redraw when a driver changes.</t>
        </is>
      </c>
    </row>
    <row r="4">
      <c r="A4" s="5" t="inlineStr">
        <is>
          <t>Horizon</t>
        </is>
      </c>
      <c r="B4" s="5" t="inlineStr">
        <is>
          <t>5th</t>
        </is>
      </c>
      <c r="C4" s="5" t="inlineStr">
        <is>
          <t>25th</t>
        </is>
      </c>
      <c r="D4" s="5" t="inlineStr">
        <is>
          <t>Median</t>
        </is>
      </c>
      <c r="E4" s="5" t="inlineStr">
        <is>
          <t>75th</t>
        </is>
      </c>
      <c r="F4" s="5" t="inlineStr">
        <is>
          <t>95th</t>
        </is>
      </c>
      <c r="G4" s="5" t="inlineStr">
        <is>
          <t>P(above spot)</t>
        </is>
      </c>
    </row>
    <row r="5">
      <c r="A5" s="6" t="inlineStr">
        <is>
          <t>One month — to 2026-09-07</t>
        </is>
      </c>
      <c r="B5" s="15" t="n">
        <v>1.307778353533964</v>
      </c>
      <c r="C5" s="15" t="n">
        <v>1.421463907907037</v>
      </c>
      <c r="D5" s="15" t="n">
        <v>1.497304698398026</v>
      </c>
      <c r="E5" s="15" t="n">
        <v>1.577608508784234</v>
      </c>
      <c r="F5" s="15" t="n">
        <v>1.710596211715144</v>
      </c>
      <c r="G5" s="22" t="n">
        <v>0.49096</v>
      </c>
    </row>
    <row r="6">
      <c r="A6" s="6" t="inlineStr">
        <is>
          <t>Three months — to 2026-11-09</t>
        </is>
      </c>
      <c r="B6" s="15" t="n">
        <v>1.163129147318303</v>
      </c>
      <c r="C6" s="15" t="n">
        <v>1.356928833450125</v>
      </c>
      <c r="D6" s="15" t="n">
        <v>1.493590062912855</v>
      </c>
      <c r="E6" s="15" t="n">
        <v>1.643480077213343</v>
      </c>
      <c r="F6" s="15" t="n">
        <v>1.920409597734593</v>
      </c>
      <c r="G6" s="22" t="n">
        <v>0.48788</v>
      </c>
    </row>
    <row r="8">
      <c r="A8" s="5" t="inlineStr">
        <is>
          <t>Level event</t>
        </is>
      </c>
      <c r="B8" s="5" t="inlineStr">
        <is>
          <t>One month</t>
        </is>
      </c>
      <c r="C8" s="5" t="inlineStr">
        <is>
          <t>Three months</t>
        </is>
      </c>
    </row>
    <row r="9">
      <c r="A9" s="6" t="inlineStr">
        <is>
          <t>Finishes 10% or more above the market price</t>
        </is>
      </c>
      <c r="B9" s="22" t="n">
        <v>0.10862</v>
      </c>
      <c r="C9" s="22" t="n">
        <v>0.2411</v>
      </c>
    </row>
    <row r="10">
      <c r="A10" s="6" t="inlineStr">
        <is>
          <t>Finishes 10% or more below the market price</t>
        </is>
      </c>
      <c r="B10" s="22" t="n">
        <v>0.09634</v>
      </c>
      <c r="C10" s="22" t="n">
        <v>0.23902</v>
      </c>
    </row>
    <row r="11">
      <c r="A11" s="6" t="inlineStr">
        <is>
          <t>Touches 10% above at any point</t>
        </is>
      </c>
      <c r="B11" s="22" t="n">
        <v>0.18294</v>
      </c>
      <c r="C11" s="22" t="n">
        <v>0.45114</v>
      </c>
    </row>
    <row r="12">
      <c r="A12" s="6" t="inlineStr">
        <is>
          <t>Touches 10% below at any point</t>
        </is>
      </c>
      <c r="B12" s="22" t="n">
        <v>0.15638</v>
      </c>
      <c r="C12" s="22" t="n">
        <v>0.4303</v>
      </c>
    </row>
    <row r="14">
      <c r="A14" s="5" t="inlineStr">
        <is>
          <t>Simulation setting</t>
        </is>
      </c>
      <c r="B14" s="5" t="inlineStr">
        <is>
          <t>Value</t>
        </is>
      </c>
    </row>
    <row r="15">
      <c r="A15" s="6" t="inlineStr">
        <is>
          <t>Anchor date</t>
        </is>
      </c>
      <c r="C15" s="42" t="inlineStr">
        <is>
          <t>2026-08-07</t>
        </is>
      </c>
    </row>
    <row r="16">
      <c r="A16" s="6" t="inlineStr">
        <is>
          <t>Market price at the anchor (AED)</t>
        </is>
      </c>
      <c r="C16" s="7">
        <f>Assumptions!$C$5</f>
        <v/>
      </c>
    </row>
    <row r="17">
      <c r="A17" s="6" t="inlineStr">
        <is>
          <t>Annualised volatility (three-month anchor)</t>
        </is>
      </c>
      <c r="C17" s="22" t="n">
        <v>0.3163850413636488</v>
      </c>
    </row>
    <row r="18">
      <c r="A18" s="6" t="inlineStr">
        <is>
          <t>Simulated paths</t>
        </is>
      </c>
      <c r="C18" s="21" t="n">
        <v>50000</v>
      </c>
    </row>
    <row r="20" ht="70" customHeight="1">
      <c r="A20" s="43" t="inlineStr">
        <is>
          <t>Calibration backtest, in plain language: the shares listed in November 2022, so only 10 non-overlapping three-month windows exist (2023-11-30 to 2026-03-04). Over that short record the model's bands were, if anything, slightly generous: every outcome landed inside the 80% band, and the centre of the distribution sat where it should (average percentile of outcomes 0.46 against an ideal 0.50). A record this short cannot establish forecasting skill either way; read the bands as honest dispersion, not precision.</t>
        </is>
      </c>
    </row>
  </sheetData>
  <mergeCells count="1">
    <mergeCell ref="A20:H2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Sensitivity — what the valuation needs the world to do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AED per share. The two grids are complete model re-runs cell by cell — they do NOT redraw when a driver changes. The one-way growth row underneath IS live and reprices with the workbook.</t>
        </is>
      </c>
    </row>
    <row r="4">
      <c r="A4" s="20" t="inlineStr">
        <is>
          <t>Cost of capital (rows) x terminal growth (columns) — 9% framing</t>
        </is>
      </c>
    </row>
    <row r="5">
      <c r="A5" s="5" t="inlineStr"/>
      <c r="B5" s="5" t="inlineStr">
        <is>
          <t>1.5%</t>
        </is>
      </c>
      <c r="C5" s="5" t="inlineStr">
        <is>
          <t>2.0%</t>
        </is>
      </c>
      <c r="D5" s="5" t="inlineStr">
        <is>
          <t>2.5%</t>
        </is>
      </c>
      <c r="E5" s="5" t="inlineStr">
        <is>
          <t>3.0%</t>
        </is>
      </c>
      <c r="F5" s="5" t="inlineStr">
        <is>
          <t>3.5%</t>
        </is>
      </c>
    </row>
    <row r="6">
      <c r="A6" s="6" t="inlineStr">
        <is>
          <t>6.61%</t>
        </is>
      </c>
      <c r="B6" s="15" t="n">
        <v>2.364615816864616</v>
      </c>
      <c r="C6" s="15" t="n">
        <v>2.546958347504401</v>
      </c>
      <c r="D6" s="15" t="n">
        <v>2.773046565782274</v>
      </c>
      <c r="E6" s="15" t="n">
        <v>3.061040114241989</v>
      </c>
      <c r="F6" s="15" t="n">
        <v>3.440764010043602</v>
      </c>
    </row>
    <row r="7">
      <c r="A7" s="6" t="inlineStr">
        <is>
          <t>7.11%</t>
        </is>
      </c>
      <c r="B7" s="15" t="n">
        <v>2.1288864214529</v>
      </c>
      <c r="C7" s="15" t="n">
        <v>2.272004742485985</v>
      </c>
      <c r="D7" s="15" t="n">
        <v>2.445637455614757</v>
      </c>
      <c r="E7" s="15" t="n">
        <v>2.660911923745889</v>
      </c>
      <c r="F7" s="15" t="n">
        <v>2.935114408144569</v>
      </c>
    </row>
    <row r="8">
      <c r="A8" s="6" t="inlineStr">
        <is>
          <t>7.61%</t>
        </is>
      </c>
      <c r="B8" s="15" t="n">
        <v>1.931681363255752</v>
      </c>
      <c r="C8" s="15" t="n">
        <v>2.045957087976701</v>
      </c>
      <c r="D8" s="15" t="n">
        <v>2.182133434897155</v>
      </c>
      <c r="E8" s="15" t="n">
        <v>2.347331127440099</v>
      </c>
      <c r="F8" s="15" t="n">
        <v>2.55213307493464</v>
      </c>
    </row>
    <row r="9">
      <c r="A9" s="6" t="inlineStr">
        <is>
          <t>8.11%</t>
        </is>
      </c>
      <c r="B9" s="15" t="n">
        <v>1.76426480851212</v>
      </c>
      <c r="C9" s="15" t="n">
        <v>1.856818859747239</v>
      </c>
      <c r="D9" s="15" t="n">
        <v>1.965462545293094</v>
      </c>
      <c r="E9" s="15" t="n">
        <v>2.094915685024392</v>
      </c>
      <c r="F9" s="15" t="n">
        <v>2.251944222232061</v>
      </c>
    </row>
    <row r="10">
      <c r="A10" s="6" t="inlineStr">
        <is>
          <t>8.61%</t>
        </is>
      </c>
      <c r="B10" s="15" t="n">
        <v>1.620356995165304</v>
      </c>
      <c r="C10" s="15" t="n">
        <v>1.696221341883391</v>
      </c>
      <c r="D10" s="15" t="n">
        <v>1.78413773037453</v>
      </c>
      <c r="E10" s="15" t="n">
        <v>1.887326664735329</v>
      </c>
      <c r="F10" s="15" t="n">
        <v>2.010268275722081</v>
      </c>
    </row>
    <row r="12">
      <c r="A12" s="20" t="inlineStr">
        <is>
          <t>THE CRUX — consumption per-RT recovery level from FY2027 (share of FY2025); full model re-run per cell</t>
        </is>
      </c>
    </row>
    <row r="13">
      <c r="A13" s="5" t="inlineStr">
        <is>
          <t>Recovery level</t>
        </is>
      </c>
      <c r="B13" s="5" t="inlineStr">
        <is>
          <t>Fair value per share (9%)</t>
        </is>
      </c>
    </row>
    <row r="14">
      <c r="A14" s="22" t="n">
        <v>0.9</v>
      </c>
      <c r="B14" s="15" t="n">
        <v>2.082985196196211</v>
      </c>
    </row>
    <row r="15">
      <c r="A15" s="22" t="n">
        <v>0.9399999999999999</v>
      </c>
      <c r="B15" s="15" t="n">
        <v>2.122644491676588</v>
      </c>
    </row>
    <row r="16">
      <c r="A16" s="22" t="n">
        <v>0.97</v>
      </c>
      <c r="B16" s="15" t="n">
        <v>2.15238896328687</v>
      </c>
    </row>
    <row r="17">
      <c r="A17" s="22" t="n">
        <v>1</v>
      </c>
      <c r="B17" s="15" t="n">
        <v>2.182133434897155</v>
      </c>
    </row>
    <row r="18">
      <c r="A18" s="22" t="n">
        <v>1.03</v>
      </c>
      <c r="B18" s="15" t="n">
        <v>2.211877906507438</v>
      </c>
    </row>
    <row r="19">
      <c r="A19" s="6" t="inlineStr">
        <is>
          <t>Never recovers (persists at the FY2026 level)</t>
        </is>
      </c>
      <c r="B19" s="15" t="n">
        <v>2.122644491676588</v>
      </c>
      <c r="C19" s="15" t="n">
        <v>1.970692155093933</v>
      </c>
      <c r="D19" s="6" t="inlineStr">
        <is>
          <t>at 15% top-up tax</t>
        </is>
      </c>
    </row>
    <row r="21">
      <c r="A21" s="20" t="inlineStr">
        <is>
          <t>LIVE one-way sensitivity — terminal growth at the base cost of capital (each cell a formula off the DCF sheet)</t>
        </is>
      </c>
    </row>
    <row r="22">
      <c r="A22" s="6" t="inlineStr">
        <is>
          <t>Terminal growth</t>
        </is>
      </c>
      <c r="B22" s="22" t="n">
        <v>0.015</v>
      </c>
      <c r="C22" s="22" t="n">
        <v>0.02</v>
      </c>
      <c r="D22" s="22" t="n">
        <v>0.025</v>
      </c>
      <c r="E22" s="22" t="n">
        <v>0.03</v>
      </c>
      <c r="F22" s="22" t="n">
        <v>0.035</v>
      </c>
    </row>
    <row r="23">
      <c r="A23" s="6" t="inlineStr">
        <is>
          <t>Fair value per share (AED, live formula)</t>
        </is>
      </c>
      <c r="B23" s="9">
        <f>((DCF!$C$31+DCF!$F$14*(1+B22)*(1-B22/DCF!$C$25)/(DCF!$C$50-B22)*DCF!$F$19)-DCF!$C$47+Assumptions!$C$56+Assumptions!$C$57+Assumptions!$C$58)*(1-'SOTP Bridge'!$C$14)/Assumptions!$C$6</f>
        <v/>
      </c>
      <c r="C23" s="9">
        <f>((DCF!$C$31+DCF!$F$14*(1+C22)*(1-C22/DCF!$C$25)/(DCF!$C$50-C22)*DCF!$F$19)-DCF!$C$47+Assumptions!$C$56+Assumptions!$C$57+Assumptions!$C$58)*(1-'SOTP Bridge'!$C$14)/Assumptions!$C$6</f>
        <v/>
      </c>
      <c r="D23" s="9">
        <f>((DCF!$C$31+DCF!$F$14*(1+D22)*(1-D22/DCF!$C$25)/(DCF!$C$50-D22)*DCF!$F$19)-DCF!$C$47+Assumptions!$C$56+Assumptions!$C$57+Assumptions!$C$58)*(1-'SOTP Bridge'!$C$14)/Assumptions!$C$6</f>
        <v/>
      </c>
      <c r="E23" s="9">
        <f>((DCF!$C$31+DCF!$F$14*(1+E22)*(1-E22/DCF!$C$25)/(DCF!$C$50-E22)*DCF!$F$19)-DCF!$C$47+Assumptions!$C$56+Assumptions!$C$57+Assumptions!$C$58)*(1-'SOTP Bridge'!$C$14)/Assumptions!$C$6</f>
        <v/>
      </c>
      <c r="F23" s="9">
        <f>((DCF!$C$31+DCF!$F$14*(1+F22)*(1-F22/DCF!$C$25)/(DCF!$C$50-F22)*DCF!$F$19)-DCF!$C$47+Assumptions!$C$56+Assumptions!$C$57+Assumptions!$C$58)*(1-'SOTP Bridge'!$C$14)/Assumptions!$C$6</f>
        <v/>
      </c>
      <c r="G23" s="6" t="inlineStr">
        <is>
          <t>Swing:</t>
        </is>
      </c>
      <c r="H23" s="9">
        <f>MAX(B23:F23)-MIN(B23:F23)</f>
        <v/>
      </c>
    </row>
    <row r="25">
      <c r="A25" s="4" t="inlineStr">
        <is>
          <t>The live row reproduces the middle row of the pasted grid at the moment of writing; if a driver is changed on the Assumptions sheet the live row will move and the pasted grids will not — that difference is intentional and is the quickest way to see that a driver change has repriced the model.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Per-share and ratio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The indicator set for a regulated utility with a concession asset. Every cell is a formula off the statements.</t>
        </is>
      </c>
    </row>
    <row r="4">
      <c r="A4" s="5" t="inlineStr">
        <is>
          <t>Measure</t>
        </is>
      </c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FY2026E</t>
        </is>
      </c>
      <c r="F4" s="5" t="inlineStr">
        <is>
          <t>FY2027E</t>
        </is>
      </c>
      <c r="G4" s="5" t="inlineStr">
        <is>
          <t>FY2028E</t>
        </is>
      </c>
      <c r="H4" s="5" t="inlineStr">
        <is>
          <t>FY2029E</t>
        </is>
      </c>
      <c r="I4" s="5" t="inlineStr">
        <is>
          <t>FY2030E</t>
        </is>
      </c>
    </row>
    <row r="5">
      <c r="A5" s="6" t="inlineStr">
        <is>
          <t>Earnings per share (AED)</t>
        </is>
      </c>
      <c r="B5" s="9">
        <f>'Income Statement'!B18</f>
        <v/>
      </c>
      <c r="C5" s="9">
        <f>'Income Statement'!C18</f>
        <v/>
      </c>
      <c r="D5" s="9">
        <f>'Income Statement'!D18</f>
        <v/>
      </c>
      <c r="E5" s="9">
        <f>'Income Statement'!E18</f>
        <v/>
      </c>
      <c r="F5" s="9">
        <f>'Income Statement'!F18</f>
        <v/>
      </c>
      <c r="G5" s="9">
        <f>'Income Statement'!G18</f>
        <v/>
      </c>
      <c r="H5" s="9">
        <f>'Income Statement'!H18</f>
        <v/>
      </c>
      <c r="I5" s="9">
        <f>'Income Statement'!I18</f>
        <v/>
      </c>
    </row>
    <row r="6">
      <c r="A6" s="6" t="inlineStr">
        <is>
          <t>Dividend per share (AED)</t>
        </is>
      </c>
      <c r="B6" s="9" t="inlineStr">
        <is>
          <t>-</t>
        </is>
      </c>
      <c r="C6" s="9" t="inlineStr">
        <is>
          <t>-</t>
        </is>
      </c>
      <c r="D6" s="9">
        <f>Assumptions!$C$63/Assumptions!$C$6</f>
        <v/>
      </c>
      <c r="E6" s="9">
        <f>Assumptions!$C$63/Assumptions!$C$6</f>
        <v/>
      </c>
      <c r="F6" s="9">
        <f>Assumptions!$C$63/Assumptions!$C$6</f>
        <v/>
      </c>
      <c r="G6" s="9">
        <f>Assumptions!$C$63/Assumptions!$C$6</f>
        <v/>
      </c>
      <c r="H6" s="9">
        <f>Assumptions!$C$63/Assumptions!$C$6</f>
        <v/>
      </c>
      <c r="I6" s="9">
        <f>Assumptions!$C$63/Assumptions!$C$6</f>
        <v/>
      </c>
    </row>
    <row r="7">
      <c r="A7" s="6" t="inlineStr">
        <is>
          <t>Dividend cover (attributable profit / dividend)</t>
        </is>
      </c>
      <c r="B7" s="36" t="inlineStr">
        <is>
          <t>-</t>
        </is>
      </c>
      <c r="C7" s="36" t="inlineStr">
        <is>
          <t>-</t>
        </is>
      </c>
      <c r="D7" s="36">
        <f>'Income Statement'!D17/Assumptions!$C$63</f>
        <v/>
      </c>
      <c r="E7" s="36">
        <f>'Income Statement'!E17/Assumptions!$C$63</f>
        <v/>
      </c>
      <c r="F7" s="36">
        <f>'Income Statement'!F17/Assumptions!$C$63</f>
        <v/>
      </c>
      <c r="G7" s="36">
        <f>'Income Statement'!G17/Assumptions!$C$63</f>
        <v/>
      </c>
      <c r="H7" s="36">
        <f>'Income Statement'!H17/Assumptions!$C$63</f>
        <v/>
      </c>
      <c r="I7" s="36">
        <f>'Income Statement'!I17/Assumptions!$C$63</f>
        <v/>
      </c>
    </row>
    <row r="8">
      <c r="A8" s="6" t="inlineStr">
        <is>
          <t>Book value per share (AED)</t>
        </is>
      </c>
      <c r="B8" s="9" t="inlineStr">
        <is>
          <t>-</t>
        </is>
      </c>
      <c r="C8" s="9">
        <f>'Balance Sheet'!B13/Assumptions!$C$6</f>
        <v/>
      </c>
      <c r="D8" s="9">
        <f>'Balance Sheet'!C13/Assumptions!$C$6</f>
        <v/>
      </c>
      <c r="E8" s="9">
        <f>'Balance Sheet'!E13/Assumptions!$C$6</f>
        <v/>
      </c>
      <c r="F8" s="9">
        <f>'Balance Sheet'!F13/Assumptions!$C$6</f>
        <v/>
      </c>
      <c r="G8" s="9">
        <f>'Balance Sheet'!G13/Assumptions!$C$6</f>
        <v/>
      </c>
      <c r="H8" s="9">
        <f>'Balance Sheet'!H13/Assumptions!$C$6</f>
        <v/>
      </c>
      <c r="I8" s="9">
        <f>'Balance Sheet'!I13/Assumptions!$C$6</f>
        <v/>
      </c>
    </row>
    <row r="9">
      <c r="A9" s="6" t="inlineStr">
        <is>
          <t>Free cash flow to the firm per share (AED)</t>
        </is>
      </c>
      <c r="B9" s="9" t="inlineStr">
        <is>
          <t>-</t>
        </is>
      </c>
      <c r="C9" s="9" t="inlineStr">
        <is>
          <t>-</t>
        </is>
      </c>
      <c r="D9" s="9" t="inlineStr">
        <is>
          <t>-</t>
        </is>
      </c>
      <c r="E9" s="9">
        <f>'Cash Flow'!D11/Assumptions!$C$6</f>
        <v/>
      </c>
      <c r="F9" s="9">
        <f>'Cash Flow'!E11/Assumptions!$C$6</f>
        <v/>
      </c>
      <c r="G9" s="9">
        <f>'Cash Flow'!F11/Assumptions!$C$6</f>
        <v/>
      </c>
      <c r="H9" s="9">
        <f>'Cash Flow'!G11/Assumptions!$C$6</f>
        <v/>
      </c>
      <c r="I9" s="9">
        <f>'Cash Flow'!H11/Assumptions!$C$6</f>
        <v/>
      </c>
    </row>
    <row r="10">
      <c r="A10" s="6" t="inlineStr">
        <is>
          <t>Gross margin</t>
        </is>
      </c>
      <c r="B10" s="10">
        <f>'Income Statement'!B7/'Income Statement'!B5</f>
        <v/>
      </c>
      <c r="C10" s="10">
        <f>'Income Statement'!C7/'Income Statement'!C5</f>
        <v/>
      </c>
      <c r="D10" s="10">
        <f>'Income Statement'!D7/'Income Statement'!D5</f>
        <v/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</row>
    <row r="11">
      <c r="A11" s="6" t="inlineStr">
        <is>
          <t>EBITDA margin</t>
        </is>
      </c>
      <c r="B11" s="10">
        <f>'Income Statement'!B9</f>
        <v/>
      </c>
      <c r="C11" s="10">
        <f>'Income Statement'!C9</f>
        <v/>
      </c>
      <c r="D11" s="10">
        <f>'Income Statement'!D9</f>
        <v/>
      </c>
      <c r="E11" s="10">
        <f>'Income Statement'!E9</f>
        <v/>
      </c>
      <c r="F11" s="10">
        <f>'Income Statement'!F9</f>
        <v/>
      </c>
      <c r="G11" s="10">
        <f>'Income Statement'!G9</f>
        <v/>
      </c>
      <c r="H11" s="10">
        <f>'Income Statement'!H9</f>
        <v/>
      </c>
      <c r="I11" s="10">
        <f>'Income Statement'!I9</f>
        <v/>
      </c>
    </row>
    <row r="12">
      <c r="A12" s="6" t="inlineStr">
        <is>
          <t>Operating margin</t>
        </is>
      </c>
      <c r="B12" s="10">
        <f>'Income Statement'!B11/'Income Statement'!B5</f>
        <v/>
      </c>
      <c r="C12" s="10">
        <f>'Income Statement'!C11/'Income Statement'!C5</f>
        <v/>
      </c>
      <c r="D12" s="10">
        <f>'Income Statement'!D11/'Income Statement'!D5</f>
        <v/>
      </c>
      <c r="E12" s="10">
        <f>'Income Statement'!E11/'Income Statement'!E5</f>
        <v/>
      </c>
      <c r="F12" s="10">
        <f>'Income Statement'!F11/'Income Statement'!F5</f>
        <v/>
      </c>
      <c r="G12" s="10">
        <f>'Income Statement'!G11/'Income Statement'!G5</f>
        <v/>
      </c>
      <c r="H12" s="10">
        <f>'Income Statement'!H11/'Income Statement'!H5</f>
        <v/>
      </c>
      <c r="I12" s="10">
        <f>'Income Statement'!I11/'Income Statement'!I5</f>
        <v/>
      </c>
    </row>
    <row r="13">
      <c r="A13" s="6" t="inlineStr">
        <is>
          <t>Net margin (attributable)</t>
        </is>
      </c>
      <c r="B13" s="10">
        <f>'Income Statement'!B17/'Income Statement'!B5</f>
        <v/>
      </c>
      <c r="C13" s="10">
        <f>'Income Statement'!C17/'Income Statement'!C5</f>
        <v/>
      </c>
      <c r="D13" s="10">
        <f>'Income Statement'!D17/'Income Statement'!D5</f>
        <v/>
      </c>
      <c r="E13" s="10">
        <f>'Income Statement'!E17/'Income Statement'!E5</f>
        <v/>
      </c>
      <c r="F13" s="10">
        <f>'Income Statement'!F17/'Income Statement'!F5</f>
        <v/>
      </c>
      <c r="G13" s="10">
        <f>'Income Statement'!G17/'Income Statement'!G5</f>
        <v/>
      </c>
      <c r="H13" s="10">
        <f>'Income Statement'!H17/'Income Statement'!H5</f>
        <v/>
      </c>
      <c r="I13" s="10">
        <f>'Income Statement'!I17/'Income Statement'!I5</f>
        <v/>
      </c>
    </row>
    <row r="14">
      <c r="A14" s="6" t="inlineStr">
        <is>
          <t>Return on equity (average base)</t>
        </is>
      </c>
      <c r="B14" s="10" t="inlineStr">
        <is>
          <t>-</t>
        </is>
      </c>
      <c r="C14" s="10" t="inlineStr">
        <is>
          <t>-</t>
        </is>
      </c>
      <c r="D14" s="10">
        <f>'Income Statement'!D17/(('Balance Sheet'!B13+'Balance Sheet'!C13)/2)</f>
        <v/>
      </c>
      <c r="E14" s="10">
        <f>'Income Statement'!E17/(('Balance Sheet'!C13+'Balance Sheet'!E13)/2)</f>
        <v/>
      </c>
      <c r="F14" s="10">
        <f>'Income Statement'!F17/(('Balance Sheet'!E13+'Balance Sheet'!F13)/2)</f>
        <v/>
      </c>
      <c r="G14" s="10">
        <f>'Income Statement'!G17/(('Balance Sheet'!F13+'Balance Sheet'!G13)/2)</f>
        <v/>
      </c>
      <c r="H14" s="10">
        <f>'Income Statement'!H17/(('Balance Sheet'!G13+'Balance Sheet'!H13)/2)</f>
        <v/>
      </c>
      <c r="I14" s="10">
        <f>'Income Statement'!I17/(('Balance Sheet'!H13+'Balance Sheet'!I13)/2)</f>
        <v/>
      </c>
    </row>
    <row r="15">
      <c r="A15" s="6" t="inlineStr">
        <is>
          <t>Net debt / EBITDA</t>
        </is>
      </c>
      <c r="B15" s="36" t="inlineStr">
        <is>
          <t>-</t>
        </is>
      </c>
      <c r="C15" s="36">
        <f>'Balance Sheet'!B16/'Income Statement'!C8</f>
        <v/>
      </c>
      <c r="D15" s="36">
        <f>'Balance Sheet'!C16/'Income Statement'!D8</f>
        <v/>
      </c>
      <c r="E15" s="36">
        <f>'Balance Sheet'!E16/'Income Statement'!E8</f>
        <v/>
      </c>
      <c r="F15" s="36">
        <f>'Balance Sheet'!F16/'Income Statement'!F8</f>
        <v/>
      </c>
      <c r="G15" s="36">
        <f>'Balance Sheet'!G16/'Income Statement'!G8</f>
        <v/>
      </c>
      <c r="H15" s="36">
        <f>'Balance Sheet'!H16/'Income Statement'!H8</f>
        <v/>
      </c>
      <c r="I15" s="36">
        <f>'Balance Sheet'!I16/'Income Statement'!I8</f>
        <v/>
      </c>
    </row>
    <row r="16">
      <c r="A16" s="6" t="inlineStr">
        <is>
          <t>Capital expenditure / revenue</t>
        </is>
      </c>
      <c r="B16" s="10" t="inlineStr">
        <is>
          <t>-</t>
        </is>
      </c>
      <c r="C16" s="10">
        <f>-'Cash Flow'!B9/'Income Statement'!C5</f>
        <v/>
      </c>
      <c r="D16" s="10">
        <f>-'Cash Flow'!C9/'Income Statement'!D5</f>
        <v/>
      </c>
      <c r="E16" s="10">
        <f>-'Cash Flow'!D9/'Income Statement'!E5</f>
        <v/>
      </c>
      <c r="F16" s="10">
        <f>-'Cash Flow'!E9/'Income Statement'!F5</f>
        <v/>
      </c>
      <c r="G16" s="10">
        <f>-'Cash Flow'!F9/'Income Statement'!G5</f>
        <v/>
      </c>
      <c r="H16" s="10">
        <f>-'Cash Flow'!G9/'Income Statement'!H5</f>
        <v/>
      </c>
      <c r="I16" s="10">
        <f>-'Cash Flow'!H9/'Income Statement'!I5</f>
        <v/>
      </c>
    </row>
    <row r="17">
      <c r="A17" s="6" t="inlineStr">
        <is>
          <t>Payout ratio (dividend / attributable profit)</t>
        </is>
      </c>
      <c r="B17" s="10" t="inlineStr">
        <is>
          <t>-</t>
        </is>
      </c>
      <c r="C17" s="10" t="inlineStr">
        <is>
          <t>-</t>
        </is>
      </c>
      <c r="D17" s="10">
        <f>Assumptions!$C$63/'Income Statement'!D17</f>
        <v/>
      </c>
      <c r="E17" s="10">
        <f>Assumptions!$C$63/'Income Statement'!E17</f>
        <v/>
      </c>
      <c r="F17" s="10">
        <f>Assumptions!$C$63/'Income Statement'!F17</f>
        <v/>
      </c>
      <c r="G17" s="10">
        <f>Assumptions!$C$63/'Income Statement'!G17</f>
        <v/>
      </c>
      <c r="H17" s="10">
        <f>Assumptions!$C$63/'Income Statement'!H17</f>
        <v/>
      </c>
      <c r="I17" s="10">
        <f>Assumptions!$C$63/'Income Statement'!I17</f>
        <v/>
      </c>
    </row>
    <row r="19">
      <c r="A19" s="4" t="inlineStr">
        <is>
          <t>The dividend exceeds attributable profit in the near years by design — the committed AED 875m distribution is funded by the negative working-capital cycle and the balance sheet, and the net-debt roll on the Balance Sheet carries it explicitly.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44" customWidth="1" min="3" max="3"/>
    <col width="48" customWidth="1" min="4" max="4"/>
    <col width="20" customWidth="1" min="5" max="5"/>
    <col width="20" customWidth="1" min="6" max="6"/>
  </cols>
  <sheetData>
    <row r="1">
      <c r="A1" s="1" t="inlineStr">
        <is>
          <t>Peer frame and sector context</t>
        </is>
      </c>
      <c r="B1" s="2" t="n"/>
      <c r="C1" s="2" t="n"/>
      <c r="D1" s="2" t="n"/>
      <c r="E1" s="2" t="n"/>
      <c r="F1" s="2" t="n"/>
    </row>
    <row r="2">
      <c r="A2" s="4" t="inlineStr">
        <is>
          <t>One close listed peer exists; the parent is context, not a comparable. Cross-check inputs only, never a source for the company's own numbers.</t>
        </is>
      </c>
    </row>
    <row r="4">
      <c r="A4" s="5" t="inlineStr">
        <is>
          <t>Company / frame</t>
        </is>
      </c>
      <c r="B4" s="5" t="inlineStr">
        <is>
          <t>Market</t>
        </is>
      </c>
      <c r="C4" s="5" t="inlineStr">
        <is>
          <t>Relevance</t>
        </is>
      </c>
      <c r="D4" s="5" t="inlineStr">
        <is>
          <t>Caution</t>
        </is>
      </c>
    </row>
    <row r="5" ht="40" customHeight="1">
      <c r="A5" s="6" t="inlineStr">
        <is>
          <t>Tabreed (National Central Cooling Co)</t>
        </is>
      </c>
      <c r="B5" s="6" t="inlineStr">
        <is>
          <t>Dubai (DFM)</t>
        </is>
      </c>
      <c r="C5" s="44" t="inlineStr">
        <is>
          <t>the only other listed GCC district-cooling pure play — the primary multiple cross-check</t>
        </is>
      </c>
      <c r="D5" s="44" t="inlineStr">
        <is>
          <t>roughly 4.6x net debt / EBITDA against Empower's 1.8x, and a concession mix that skews the EV multiple</t>
        </is>
      </c>
    </row>
    <row r="6" ht="40" customHeight="1">
      <c r="A6" s="6" t="inlineStr">
        <is>
          <t>DEWA (parent, 80% owner)</t>
        </is>
      </c>
      <c r="B6" s="6" t="inlineStr">
        <is>
          <t>Dubai (DFM)</t>
        </is>
      </c>
      <c r="C6" s="44" t="inlineStr">
        <is>
          <t>majority owner since Feb-2026; its multiple frames how Dubai prices regulated utility earnings</t>
        </is>
      </c>
      <c r="D6" s="44" t="inlineStr">
        <is>
          <t>a vertically-integrated generation and distribution utility, not a district-cooling comparable</t>
        </is>
      </c>
    </row>
    <row r="7" ht="40" customHeight="1">
      <c r="A7" s="6" t="inlineStr">
        <is>
          <t>Regional listed utilities</t>
        </is>
      </c>
      <c r="B7" s="6" t="inlineStr">
        <is>
          <t>GCC</t>
        </is>
      </c>
      <c r="C7" s="44" t="inlineStr">
        <is>
          <t>the broad frame for regulated-return infrastructure in pegged-currency markets</t>
        </is>
      </c>
      <c r="D7" s="44" t="inlineStr">
        <is>
          <t>tariff regimes and concession structures differ materially by emirate and state</t>
        </is>
      </c>
    </row>
    <row r="9">
      <c r="A9" s="5" t="inlineStr">
        <is>
          <t>Multiple</t>
        </is>
      </c>
      <c r="B9" s="5" t="inlineStr">
        <is>
          <t>Peer</t>
        </is>
      </c>
      <c r="C9" s="5" t="inlineStr">
        <is>
          <t>Empower (model)</t>
        </is>
      </c>
    </row>
    <row r="10">
      <c r="A10" s="6" t="inlineStr">
        <is>
          <t>EV / EBITDA (Tabreed, FY2025; priced Aug-2026)</t>
        </is>
      </c>
      <c r="B10" s="35">
        <f>Assumptions!$C$66</f>
        <v/>
      </c>
      <c r="C10" s="35">
        <f>'Relative &amp; Normalized'!C15</f>
        <v/>
      </c>
    </row>
    <row r="11">
      <c r="A11" s="6" t="inlineStr">
        <is>
          <t>Price / earnings (Tabreed, trailing; priced Aug-2026)</t>
        </is>
      </c>
      <c r="B11" s="35">
        <f>Assumptions!$C$67</f>
        <v/>
      </c>
      <c r="C11" s="35">
        <f>'Relative &amp; Normalized'!C16</f>
        <v/>
      </c>
    </row>
    <row r="12">
      <c r="A12" s="6" t="inlineStr">
        <is>
          <t>Price / earnings (DEWA, trailing; priced Aug-2026)</t>
        </is>
      </c>
      <c r="B12" s="35">
        <f>Assumptions!$C$68</f>
        <v/>
      </c>
      <c r="C12" s="35">
        <f>'Relative &amp; Normalized'!C16</f>
        <v/>
      </c>
    </row>
    <row r="13">
      <c r="A13" s="6" t="inlineStr">
        <is>
          <t>Dividend yield at the market price</t>
        </is>
      </c>
      <c r="C13" s="10">
        <f>Assumptions!$C$63/Assumptions!$C$6/Assumptions!$C$5</f>
        <v/>
      </c>
    </row>
    <row r="15">
      <c r="A15" s="4" t="inlineStr">
        <is>
          <t>Peer multiples are dated, disclosed cross-check inputs (see the Assumptions sheet for source and date). Empower trades at a discount to Tabreed on EV/EBITDA with less than half the leverage; the model's relative lens applies the peer multiple to Empower's own forecast EBITDA rather than endorsing either price.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2026-08-17T11:36:45Z</dcterms:created>
  <dcterms:modified xmlns:dcterms="http://purl.org/dc/terms/" xmlns:xsi="http://www.w3.org/2001/XMLSchema-instance" xsi:type="dcterms:W3CDTF">2026-08-17T11:36:45Z</dcterms:modified>
</cp:coreProperties>
</file>