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00);&quot;-&quot;"/>
    <numFmt numFmtId="165" formatCode="#,##0;(#,##0);&quot;-&quot;"/>
    <numFmt numFmtId="166" formatCode="0.0%;(0.0%);&quot;-&quot;"/>
    <numFmt numFmtId="167" formatCode="#,##0.0;(#,##0.0);&quot;-&quot;"/>
    <numFmt numFmtId="168" formatCode="0.0000"/>
    <numFmt numFmtId="169" formatCode="0.000"/>
    <numFmt numFmtId="170" formatCode="0.0"/>
    <numFmt numFmtId="171" formatCode="0.00x"/>
  </numFmts>
  <fonts count="11">
    <font>
      <name val="Calibri"/>
      <family val="2"/>
      <color theme="1"/>
      <sz val="11"/>
      <scheme val="minor"/>
    </font>
    <font>
      <b val="1"/>
      <color rgb="00F6F1E6"/>
      <sz val="13"/>
    </font>
    <font>
      <color rgb="006E7B77"/>
      <sz val="9"/>
    </font>
    <font>
      <b val="1"/>
    </font>
    <font>
      <b val="1"/>
      <color rgb="00000000"/>
    </font>
    <font>
      <color rgb="00000000"/>
    </font>
    <font>
      <color rgb="000000FF"/>
    </font>
    <font>
      <color rgb="00008000"/>
    </font>
    <font>
      <b val="1"/>
      <color rgb="00008000"/>
    </font>
    <font>
      <b val="1"/>
      <color rgb="000000FF"/>
    </font>
    <font>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10" fillId="0" borderId="0" pivotButton="0" quotePrefix="0" xfId="0"/>
    <xf numFmtId="0" fontId="2" fillId="0" borderId="0" pivotButton="0" quotePrefix="0" xfId="0"/>
    <xf numFmtId="0" fontId="3" fillId="3" borderId="0" pivotButton="0" quotePrefix="0" xfId="0"/>
    <xf numFmtId="0" fontId="5" fillId="0" borderId="0" pivotButton="0" quotePrefix="0" xfId="0"/>
    <xf numFmtId="164" fontId="7" fillId="0" borderId="0" pivotButton="0" quotePrefix="0" xfId="0"/>
    <xf numFmtId="166" fontId="7" fillId="0" borderId="0" pivotButton="0" quotePrefix="0" xfId="0"/>
    <xf numFmtId="164" fontId="5" fillId="0" borderId="0" pivotButton="0" quotePrefix="0" xfId="0"/>
    <xf numFmtId="166" fontId="5" fillId="0" borderId="0" pivotButton="0" quotePrefix="0" xfId="0"/>
    <xf numFmtId="0" fontId="4" fillId="4" borderId="0" pivotButton="0" quotePrefix="0" xfId="0"/>
    <xf numFmtId="164" fontId="4" fillId="4" borderId="0" pivotButton="0" quotePrefix="0" xfId="0"/>
    <xf numFmtId="166" fontId="4" fillId="4" borderId="0" pivotButton="0" quotePrefix="0" xfId="0"/>
    <xf numFmtId="0" fontId="3" fillId="4" borderId="0" pivotButton="0" quotePrefix="0" xfId="0"/>
    <xf numFmtId="0" fontId="4" fillId="0" borderId="0" pivotButton="0" quotePrefix="0" xfId="0"/>
    <xf numFmtId="164" fontId="4" fillId="0" borderId="0" pivotButton="0" quotePrefix="0" xfId="0"/>
    <xf numFmtId="164" fontId="8" fillId="4" borderId="0" pivotButton="0" quotePrefix="0" xfId="0"/>
    <xf numFmtId="165" fontId="7" fillId="0" borderId="0" pivotButton="0" quotePrefix="0" xfId="0"/>
    <xf numFmtId="167" fontId="7" fillId="0" borderId="0" pivotButton="0" quotePrefix="0" xfId="0"/>
    <xf numFmtId="10" fontId="7" fillId="0" borderId="0" pivotButton="0" quotePrefix="0" xfId="0"/>
    <xf numFmtId="164" fontId="8"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8" fontId="5" fillId="0" borderId="0" pivotButton="0" quotePrefix="0" xfId="0"/>
    <xf numFmtId="10" fontId="5" fillId="0" borderId="0" pivotButton="0" quotePrefix="0" xfId="0"/>
    <xf numFmtId="167" fontId="5" fillId="0" borderId="0" pivotButton="0" quotePrefix="0" xfId="0"/>
    <xf numFmtId="169" fontId="6" fillId="0" borderId="0" pivotButton="0" quotePrefix="0" xfId="0"/>
    <xf numFmtId="10" fontId="6" fillId="0" borderId="0" pivotButton="0" quotePrefix="0" xfId="0"/>
    <xf numFmtId="170" fontId="6" fillId="0" borderId="0" pivotButton="0" quotePrefix="0" xfId="0"/>
    <xf numFmtId="171" fontId="6" fillId="0" borderId="0" pivotButton="0" quotePrefix="0" xfId="0"/>
    <xf numFmtId="167" fontId="3" fillId="4" borderId="0" pivotButton="0" quotePrefix="0" xfId="0"/>
    <xf numFmtId="164" fontId="3" fillId="4" borderId="0" pivotButton="0" quotePrefix="0" xfId="0"/>
    <xf numFmtId="165" fontId="5" fillId="0" borderId="0" pivotButton="0" quotePrefix="0" xfId="0"/>
    <xf numFmtId="168" fontId="7" fillId="0" borderId="0" pivotButton="0" quotePrefix="0" xfId="0"/>
    <xf numFmtId="169" fontId="5" fillId="0" borderId="0" pivotButton="0" quotePrefix="0" xfId="0"/>
    <xf numFmtId="171" fontId="7" fillId="0" borderId="0" pivotButton="0" quotePrefix="0" xfId="0"/>
    <xf numFmtId="171" fontId="5" fillId="0" borderId="0" pivotButton="0" quotePrefix="0" xfId="0"/>
    <xf numFmtId="167" fontId="8" fillId="0" borderId="0" pivotButton="0" quotePrefix="0" xfId="0"/>
    <xf numFmtId="170" fontId="7" fillId="0" borderId="0" pivotButton="0" quotePrefix="0" xfId="0"/>
    <xf numFmtId="170" fontId="5" fillId="0" borderId="0" pivotButton="0" quotePrefix="0" xfId="0"/>
    <xf numFmtId="167" fontId="4" fillId="0" borderId="0" pivotButton="0" quotePrefix="0" xfId="0"/>
    <xf numFmtId="169" fontId="7" fillId="0" borderId="0" pivotButton="0" quotePrefix="0" xfId="0"/>
    <xf numFmtId="10" fontId="3" fillId="4" borderId="0" pivotButton="0" quotePrefix="0" xfId="0"/>
    <xf numFmtId="0" fontId="6"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11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Emirates Central Cooling Systems Corporation PJSC (DFM: EMPOWER)</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Revised 17-Aug-2026 after an external audit; see the critique-response note in the study.</t>
        </is>
      </c>
    </row>
    <row r="6">
      <c r="A6" s="3" t="inlineStr"/>
    </row>
    <row r="7">
      <c r="A7" s="3" t="inlineStr">
        <is>
          <t>What this workbook is. A transparent companion to the Empower valuation study. Every blue cell is a</t>
        </is>
      </c>
    </row>
    <row r="8">
      <c r="A8" s="3" t="inlineStr">
        <is>
          <t>pasted input; every black cell is a formula; green cells link across sheets.</t>
        </is>
      </c>
    </row>
    <row r="9">
      <c r="A9" s="3" t="inlineStr"/>
    </row>
    <row r="10">
      <c r="A10" s="3" t="inlineStr">
        <is>
          <t>IT IS FORMULA-DRIVEN. Every figure that can be derived arithmetically from a pasted primary-record</t>
        </is>
      </c>
    </row>
    <row r="11">
      <c r="A11" s="3" t="inlineStr">
        <is>
          <t>cell is a live formula: the modelling rates (per-RT revenue rates, the DEWA pass-through, capex per</t>
        </is>
      </c>
    </row>
    <row r="12">
      <c r="A12" s="3" t="inlineStr">
        <is>
          <t>added RT, the depreciation rate, the working-capital ratio) are FORMULAS off the audited anchors on</t>
        </is>
      </c>
    </row>
    <row r="13">
      <c r="A13" s="3" t="inlineStr">
        <is>
          <t>the Assumptions sheet; the cost of capital is built from the risk-free rate, beta and the premium;</t>
        </is>
      </c>
    </row>
    <row r="14">
      <c r="A14" s="3" t="inlineStr">
        <is>
          <t>the revenue build multiplies per-refrigeration-ton rates by the connected-capacity path; and the</t>
        </is>
      </c>
    </row>
    <row r="15">
      <c r="A15" s="3" t="inlineStr">
        <is>
          <t>income statement, balance sheet, cash flow, ratios, all four lenses, the recovery ladder, the bear</t>
        </is>
      </c>
    </row>
    <row r="16">
      <c r="A16" s="3" t="inlineStr">
        <is>
          <t>and bull cases and the three cost-of-capital constructions all chain off the same cells.</t>
        </is>
      </c>
    </row>
    <row r="17">
      <c r="A17" s="3" t="inlineStr"/>
    </row>
    <row r="18">
      <c r="A18" s="3" t="inlineStr">
        <is>
          <t>EXACTLY TWO THINGS ARE PASTED VALUES, and it is worth knowing which:</t>
        </is>
      </c>
    </row>
    <row r="19">
      <c r="A19" s="3" t="inlineStr"/>
    </row>
    <row r="20">
      <c r="A20" s="3" t="inlineStr">
        <is>
          <t xml:space="preserve">  1. AUDITED AND DISCLOSED HISTORY AND EXTERNAL FACTS — the FY2023-25 statement lines, the</t>
        </is>
      </c>
    </row>
    <row r="21">
      <c r="A21" s="3" t="inlineStr">
        <is>
          <t xml:space="preserve">     30-Jun-2026 reviewed balance sheet, disclosed connected capacity, the consumption revenue from</t>
        </is>
      </c>
    </row>
    <row r="22">
      <c r="A22" s="3" t="inlineStr">
        <is>
          <t xml:space="preserve">     the auditor's key-audit-matter section, deck physical figures (1,174m RTh; 698 EFLH hours),</t>
        </is>
      </c>
    </row>
    <row r="23">
      <c r="A23" s="3" t="inlineStr">
        <is>
          <t xml:space="preserve">     the RD10 v1.3 tariff cap, peer marks and the committed dividend. Where a line is both disclosed</t>
        </is>
      </c>
    </row>
    <row r="24">
      <c r="A24" s="3" t="inlineStr">
        <is>
          <t xml:space="preserve">     and derivable, the workbook carries the DISCLOSED figure: the primary record is not a</t>
        </is>
      </c>
    </row>
    <row r="25">
      <c r="A25" s="3" t="inlineStr">
        <is>
          <t xml:space="preserve">     calculation. Each is pasted ONCE (on Assumptions wherever it drives the model).</t>
        </is>
      </c>
    </row>
    <row r="26">
      <c r="A26" s="3" t="inlineStr">
        <is>
          <t xml:space="preserve">  2. WHOLE-MODEL SIMULATION OUTPUTS — the probabilistic price map and the 5x5 discount-rate x growth</t>
        </is>
      </c>
    </row>
    <row r="27">
      <c r="A27" s="3" t="inlineStr">
        <is>
          <t xml:space="preserve">     grid. Each such cell is a complete standalone solution, so it cannot be one formula. THESE DO</t>
        </is>
      </c>
    </row>
    <row r="28">
      <c r="A28" s="3" t="inlineStr">
        <is>
          <t xml:space="preserve">     NOT REDRAW WHEN A DRIVER IS CHANGED — everything else does, including the live recovery ladder,</t>
        </is>
      </c>
    </row>
    <row r="29">
      <c r="A29" s="3" t="inlineStr">
        <is>
          <t xml:space="preserve">     bear, bull and the construction columns on the Sensitivity sheet.</t>
        </is>
      </c>
    </row>
    <row r="30">
      <c r="A30" s="3" t="inlineStr"/>
    </row>
    <row r="31">
      <c r="A31" s="3" t="inlineStr">
        <is>
          <t>CONVENTIONS ADOPTED 17-AUG-2026 (the external audit's accepted findings):</t>
        </is>
      </c>
    </row>
    <row r="32">
      <c r="A32" s="3" t="inlineStr"/>
    </row>
    <row r="33">
      <c r="A33" s="3" t="inlineStr">
        <is>
          <t xml:space="preserve">  · THE CLOCK: the bridge and the cash-flow clock share the same 30-Jun-2026 date. FY2026 contributes</t>
        </is>
      </c>
    </row>
    <row r="34">
      <c r="A34" s="3" t="inlineStr">
        <is>
          <t xml:space="preserve">    only its second half (a half-year stub discounted at t=0.5); later year-ends sit at 1.5-4.5 years</t>
        </is>
      </c>
    </row>
    <row r="35">
      <c r="A35" s="3" t="inlineStr">
        <is>
          <t xml:space="preserve">    and the terminal discounts from t=4.5. The previous full-year convention double-counted H1-2026</t>
        </is>
      </c>
    </row>
    <row r="36">
      <c r="A36" s="3" t="inlineStr">
        <is>
          <t xml:space="preserve">    cash already inside the June net debt.</t>
        </is>
      </c>
    </row>
    <row r="37">
      <c r="A37" s="3" t="inlineStr">
        <is>
          <t xml:space="preserve">  · OPERATING EBITDA excludes BOTH the interest on the related-party acquisition receivables AND the</t>
        </is>
      </c>
    </row>
    <row r="38">
      <c r="A38" s="3" t="inlineStr">
        <is>
          <t xml:space="preserve">    rental income on investment properties. Both assets enter the EV-to-equity bridge at book</t>
        </is>
      </c>
    </row>
    <row r="39">
      <c r="A39" s="3" t="inlineStr">
        <is>
          <t xml:space="preserve">    (Note 8: 1,005.0 Dubai Aviation City + 289.4 Nakheel; investment properties 168.7), so counting</t>
        </is>
      </c>
    </row>
    <row r="40">
      <c r="A40" s="3" t="inlineStr">
        <is>
          <t xml:space="preserve">    their income in operating cash flow would double count. Earnings-based lenses keep both — they</t>
        </is>
      </c>
    </row>
    <row r="41">
      <c r="A41" s="3" t="inlineStr">
        <is>
          <t xml:space="preserve">    are real income. FY2025 identity: operating EBITDA + interest + rental = audited EBITDA.</t>
        </is>
      </c>
    </row>
    <row r="42">
      <c r="A42" s="3" t="inlineStr">
        <is>
          <t xml:space="preserve">  · TWO-STAGE TERMINAL: FY2031-40 grows at the Dubai-2040 window rate, then a long-run perpetuity</t>
        </is>
      </c>
    </row>
    <row r="43">
      <c r="A43" s="3" t="inlineStr">
        <is>
          <t xml:space="preserve">    at a lower fade rate, each with return-consistent reinvestment.</t>
        </is>
      </c>
    </row>
    <row r="44">
      <c r="A44" s="3" t="inlineStr">
        <is>
          <t xml:space="preserve">  · TWO MACRO FRAMINGS: recovery (de-escalation) and continuation are published side by side, like</t>
        </is>
      </c>
    </row>
    <row r="45">
      <c r="A45" s="3" t="inlineStr">
        <is>
          <t xml:space="preserve">    the two tax framings; neither is privileged as the single answer.</t>
        </is>
      </c>
    </row>
    <row r="46">
      <c r="A46" s="3" t="inlineStr"/>
    </row>
    <row r="47">
      <c r="A47" s="3" t="inlineStr">
        <is>
          <t>How revenue is built. Not as one growth rate. Consumption revenue is a per-RT rate times average</t>
        </is>
      </c>
    </row>
    <row r="48">
      <c r="A48" s="3" t="inlineStr">
        <is>
          <t>connected refrigeration tons — decomposed further on the Segments sheet to connected RT x equivalent</t>
        </is>
      </c>
    </row>
    <row r="49">
      <c r="A49" s="3" t="inlineStr">
        <is>
          <t>full-load hours x an AED-per-RTh tariff that sits 1.4% below the RD10 regulated cap. The FY2026</t>
        </is>
      </c>
    </row>
    <row r="50">
      <c r="A50" s="3" t="inlineStr">
        <is>
          <t>consumption shock (hospitality-occupancy-led ~80% per the company's H1-2026 attribution; weather a</t>
        </is>
      </c>
    </row>
    <row r="51">
      <c r="A51" s="3" t="inlineStr">
        <is>
          <t>minor factor) and its recovery are explicit, separate drivers; capacity and connection revenue is</t>
        </is>
      </c>
    </row>
    <row r="52">
      <c r="A52" s="3" t="inlineStr">
        <is>
          <t>its own per-RT rate on the same capacity path; pipes are carried flat. Costs escalate each on their</t>
        </is>
      </c>
    </row>
    <row r="53">
      <c r="A53" s="3" t="inlineStr">
        <is>
          <t>own driver: DEWA electricity and water follows the consumption leg, wage-class lines follow the wage</t>
        </is>
      </c>
    </row>
    <row r="54">
      <c r="A54" s="3" t="inlineStr">
        <is>
          <t>escalator, the receivable interest amortises.</t>
        </is>
      </c>
    </row>
    <row r="55">
      <c r="A55" s="3" t="inlineStr"/>
    </row>
    <row r="56">
      <c r="A56" s="3" t="inlineStr">
        <is>
          <t>What it is not. Not investment advice, a recommendation, or a price target. Values are model outputs</t>
        </is>
      </c>
    </row>
    <row r="57">
      <c r="A57" s="3" t="inlineStr">
        <is>
          <t>shown as ranges. The probabilistic price map is dispersion, not a forecast of value.</t>
        </is>
      </c>
    </row>
    <row r="58">
      <c r="A58" s="3" t="inlineStr"/>
    </row>
    <row r="59">
      <c r="A59" s="3" t="inlineStr">
        <is>
          <t>Sourcing. FY2023, FY2024 and FY2025 statement lines come from the company's own audited consolidated</t>
        </is>
      </c>
    </row>
    <row r="60">
      <c r="A60" s="3" t="inlineStr">
        <is>
          <t>financial statements; the 30-Jun-2026 position from the reviewed interim statements; capacity and</t>
        </is>
      </c>
    </row>
    <row r="61">
      <c r="A61" s="3" t="inlineStr">
        <is>
          <t>guidance from the company's H1-2026 earnings materials; the tariff cap from the Dubai regulator's</t>
        </is>
      </c>
    </row>
    <row r="62">
      <c r="A62" s="3" t="inlineStr">
        <is>
          <t>published RD10 document. Every input on the Assumptions sheet carries its source and date in column H.</t>
        </is>
      </c>
    </row>
    <row r="63">
      <c r="A63" s="3" t="inlineStr"/>
    </row>
    <row r="64">
      <c r="A64" s="3" t="inlineStr">
        <is>
          <t>Currency. AED million unless stated. Spot AED 1.57 (07-Aug-2026 close). Sheets: READ FIRST ·</t>
        </is>
      </c>
    </row>
    <row r="65">
      <c r="A65" s="3" t="inlineStr">
        <is>
          <t>Summary · Fundamental Valuation · Assumptions · SOTP Bridge · Segments · Relative &amp; Normalized · DCF ·</t>
        </is>
      </c>
    </row>
    <row r="66">
      <c r="A66" s="3" t="inlineStr">
        <is>
          <t>Income Statement · Balance Sheet · Cash Flow · Summary Financials · Monte Carlo · Sensitivity ·</t>
        </is>
      </c>
    </row>
    <row r="67">
      <c r="A67"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26" customWidth="1" min="7" max="7"/>
  </cols>
  <sheetData>
    <row r="1">
      <c r="A1" s="1" t="inlineStr">
        <is>
          <t>Summary — valuation at a glance</t>
        </is>
      </c>
      <c r="B1" s="2" t="n"/>
      <c r="C1" s="2" t="n"/>
      <c r="D1" s="2" t="n"/>
      <c r="E1" s="2" t="n"/>
      <c r="F1" s="2" t="n"/>
      <c r="G1" s="2" t="n"/>
    </row>
    <row r="2">
      <c r="A2" s="4" t="inlineStr">
        <is>
          <t>All values link live to their source sheets; the weights are visible inputs. Two tax framings AND two macro framings (recovery / continuation) are shown side by side, never averaged.</t>
        </is>
      </c>
    </row>
    <row r="4">
      <c r="A4" s="5" t="inlineStr">
        <is>
          <t>Lens</t>
        </is>
      </c>
      <c r="B4" s="5" t="inlineStr">
        <is>
          <t>AED/share</t>
        </is>
      </c>
      <c r="C4" s="5" t="inlineStr">
        <is>
          <t>Weight</t>
        </is>
      </c>
      <c r="D4" s="5" t="inlineStr">
        <is>
          <t>Contribution</t>
        </is>
      </c>
      <c r="E4" s="5" t="inlineStr">
        <is>
          <t>vs spot</t>
        </is>
      </c>
      <c r="F4" s="5" t="inlineStr"/>
      <c r="G4" s="5" t="inlineStr">
        <is>
          <t>Terminal value share of EV</t>
        </is>
      </c>
    </row>
    <row r="5">
      <c r="A5" s="6" t="inlineStr">
        <is>
          <t>Discounted cash flow (recovery, 9% framing)</t>
        </is>
      </c>
      <c r="B5" s="7">
        <f>'SOTP Bridge'!C14</f>
        <v/>
      </c>
      <c r="C5" s="8">
        <f>Assumptions!$C$102</f>
        <v/>
      </c>
      <c r="D5" s="9">
        <f>B5*C5</f>
        <v/>
      </c>
      <c r="E5" s="10">
        <f>B5/Assumptions!$C$5-1</f>
        <v/>
      </c>
      <c r="G5" s="8">
        <f>'SOTP Bridge'!C16</f>
        <v/>
      </c>
    </row>
    <row r="6">
      <c r="A6" s="6" t="inlineStr">
        <is>
          <t>Relative multiples (peer EV/EBITDA)</t>
        </is>
      </c>
      <c r="B6" s="7">
        <f>'Relative &amp; Normalized'!C12</f>
        <v/>
      </c>
      <c r="C6" s="8">
        <f>Assumptions!$C$103</f>
        <v/>
      </c>
      <c r="D6" s="9">
        <f>B6*C6</f>
        <v/>
      </c>
      <c r="E6" s="10">
        <f>B6/Assumptions!$C$5-1</f>
        <v/>
      </c>
    </row>
    <row r="7">
      <c r="A7" s="6" t="inlineStr">
        <is>
          <t>Normalised earnings power</t>
        </is>
      </c>
      <c r="B7" s="7">
        <f>'Relative &amp; Normalized'!C31</f>
        <v/>
      </c>
      <c r="C7" s="8">
        <f>Assumptions!$C$104</f>
        <v/>
      </c>
      <c r="D7" s="9">
        <f>B7*C7</f>
        <v/>
      </c>
      <c r="E7" s="10">
        <f>B7/Assumptions!$C$5-1</f>
        <v/>
      </c>
    </row>
    <row r="8">
      <c r="A8" s="6" t="inlineStr">
        <is>
          <t>Book value and sustainable return</t>
        </is>
      </c>
      <c r="B8" s="7">
        <f>'Relative &amp; Normalized'!C39</f>
        <v/>
      </c>
      <c r="C8" s="8">
        <f>Assumptions!$C$105</f>
        <v/>
      </c>
      <c r="D8" s="9">
        <f>B8*C8</f>
        <v/>
      </c>
      <c r="E8" s="10">
        <f>B8/Assumptions!$C$5-1</f>
        <v/>
      </c>
    </row>
    <row r="9">
      <c r="A9" s="11" t="inlineStr">
        <is>
          <t>Central fair value — RECOVERY (de-escalation), 9% framing</t>
        </is>
      </c>
      <c r="B9" s="12">
        <f>SUM(D5:D8)</f>
        <v/>
      </c>
      <c r="C9" s="13">
        <f>SUM(C5:C8)</f>
        <v/>
      </c>
      <c r="D9" s="14" t="n"/>
      <c r="E9" s="13">
        <f>B9/Assumptions!$C$5-1</f>
        <v/>
      </c>
      <c r="F9" s="14" t="n"/>
      <c r="G9" s="14" t="n"/>
    </row>
    <row r="10">
      <c r="A10" s="15" t="inlineStr">
        <is>
          <t>Central fair value — CONTINUATION (the consumption shock persists), 9% framing</t>
        </is>
      </c>
      <c r="B10" s="16">
        <f>Assumptions!$C$102*Sensitivity!C50+Assumptions!$C$103*B6+Assumptions!$C$104*B7+Assumptions!$C$105*B8</f>
        <v/>
      </c>
      <c r="E10" s="10">
        <f>B10/Assumptions!$C$5-1</f>
        <v/>
      </c>
    </row>
    <row r="11">
      <c r="A11" s="6" t="inlineStr">
        <is>
          <t>Central fair value — recovery, 15% top-up framing (tax-consistent lens set)</t>
        </is>
      </c>
      <c r="B11" s="9">
        <f>Assumptions!$C$102*'SOTP Bridge'!D14+Assumptions!$C$103*B6+Assumptions!$C$104*'Relative &amp; Normalized'!C34+Assumptions!$C$105*'Relative &amp; Normalized'!C41</f>
        <v/>
      </c>
      <c r="E11" s="10">
        <f>B11/Assumptions!$C$5-1</f>
        <v/>
      </c>
    </row>
    <row r="12">
      <c r="A12" s="6" t="inlineStr">
        <is>
          <t>Central fair value — continuation, 15% top-up framing</t>
        </is>
      </c>
      <c r="B12" s="9">
        <f>Assumptions!$C$102*Sensitivity!C72+Assumptions!$C$103*B6+Assumptions!$C$104*'Relative &amp; Normalized'!C34+Assumptions!$C$105*'Relative &amp; Normalized'!C41</f>
        <v/>
      </c>
      <c r="E12" s="10">
        <f>B12/Assumptions!$C$5-1</f>
        <v/>
      </c>
    </row>
    <row r="13">
      <c r="A13" s="6" t="inlineStr">
        <is>
          <t>Bear case — re-escalation, connections at 50/50/45/40/35k RT, 15% tax, +100bp (live scenario)</t>
        </is>
      </c>
      <c r="B13" s="7">
        <f>Sensitivity!C102</f>
        <v/>
      </c>
      <c r="E13" s="10">
        <f>B13/Assumptions!$C$5-1</f>
        <v/>
      </c>
    </row>
    <row r="14">
      <c r="A14" s="6" t="inlineStr">
        <is>
          <t>Bull case — clean recovery, connections at 110/110/100/90/80k RT, 9% tax (live scenario)</t>
        </is>
      </c>
      <c r="B14" s="7">
        <f>Sensitivity!C127</f>
        <v/>
      </c>
      <c r="E14" s="10">
        <f>B14/Assumptions!$C$5-1</f>
        <v/>
      </c>
    </row>
    <row r="15">
      <c r="A15" s="6" t="inlineStr">
        <is>
          <t>Dividend cross-check</t>
        </is>
      </c>
      <c r="B15" s="7">
        <f>'Relative &amp; Normalized'!C45</f>
        <v/>
      </c>
      <c r="E15" s="10">
        <f>B15/Assumptions!$C$5-1</f>
        <v/>
      </c>
    </row>
    <row r="16">
      <c r="A16" s="6" t="inlineStr">
        <is>
          <t>Discounted cash flow on the CDS premium basis</t>
        </is>
      </c>
      <c r="B16" s="7">
        <f>'SOTP Bridge'!E14</f>
        <v/>
      </c>
      <c r="E16" s="10">
        <f>B16/Assumptions!$C$5-1</f>
        <v/>
      </c>
    </row>
    <row r="17">
      <c r="A17" s="6" t="inlineStr">
        <is>
          <t>Reference construction — gross-debt WACC weights</t>
        </is>
      </c>
      <c r="B17" s="7">
        <f>DCF!C91</f>
        <v/>
      </c>
      <c r="E17" s="10">
        <f>B17/Assumptions!$C$5-1</f>
        <v/>
      </c>
    </row>
    <row r="18">
      <c r="A18" s="6" t="inlineStr">
        <is>
          <t>Reference construction — negative-carry net-debt cost</t>
        </is>
      </c>
      <c r="B18" s="7">
        <f>DCF!C92</f>
        <v/>
      </c>
      <c r="E18" s="10">
        <f>B18/Assumptions!$C$5-1</f>
        <v/>
      </c>
    </row>
    <row r="19">
      <c r="A19" s="6" t="inlineStr">
        <is>
          <t>Reference construction — DFM-index beta</t>
        </is>
      </c>
      <c r="B19" s="7">
        <f>DCF!C93</f>
        <v/>
      </c>
      <c r="E19" s="10">
        <f>B19/Assumptions!$C$5-1</f>
        <v/>
      </c>
    </row>
    <row r="20">
      <c r="A20" s="11" t="inlineStr">
        <is>
          <t>Market price (anchor, 07-Aug-2026)</t>
        </is>
      </c>
      <c r="B20" s="17">
        <f>Assumptions!$C$5</f>
        <v/>
      </c>
      <c r="C20" s="14" t="n"/>
      <c r="D20" s="14" t="n"/>
      <c r="E20" s="14" t="n"/>
      <c r="F20" s="14" t="n"/>
      <c r="G20" s="14" t="n"/>
    </row>
    <row r="21">
      <c r="A21" s="6" t="inlineStr">
        <is>
          <t>DEWA control-transaction price, Feb-2026 (reference point, not fair value)</t>
        </is>
      </c>
      <c r="B21" s="7">
        <f>Assumptions!$C$106</f>
        <v/>
      </c>
    </row>
    <row r="22">
      <c r="A22" s="4" t="inlineStr">
        <is>
          <t>The Feb-2026 DEWA purchase of Dubai Holding's 24% at AED 2.16 was a related-party CONTROL transaction — a disclosed reference point above every lens here, never a fair-value estimate for minority shares. Recovery and continuation are published side by side like the tax framings; neither is privileged as the single answer.</t>
        </is>
      </c>
    </row>
    <row r="24">
      <c r="A24" s="5" t="inlineStr">
        <is>
          <t>Key figure</t>
        </is>
      </c>
      <c r="B24" s="5" t="inlineStr">
        <is>
          <t>Value</t>
        </is>
      </c>
    </row>
    <row r="25">
      <c r="A25" s="6" t="inlineStr">
        <is>
          <t>Shares outstanding (mn)</t>
        </is>
      </c>
      <c r="B25" s="18">
        <f>Assumptions!$C$6</f>
        <v/>
      </c>
    </row>
    <row r="26">
      <c r="A26" s="6" t="inlineStr">
        <is>
          <t>Market capitalisation (AED mn)</t>
        </is>
      </c>
      <c r="B26" s="19">
        <f>DCF!C52</f>
        <v/>
      </c>
    </row>
    <row r="27">
      <c r="A27" s="6" t="inlineStr">
        <is>
          <t>Net debt, 30-Jun-2026 (AED mn)</t>
        </is>
      </c>
      <c r="B27" s="19">
        <f>DCF!C53</f>
        <v/>
      </c>
    </row>
    <row r="28">
      <c r="A28" s="6" t="inlineStr">
        <is>
          <t>FY2025 revenue (AED mn)</t>
        </is>
      </c>
      <c r="B28" s="19">
        <f>'Income Statement'!D5</f>
        <v/>
      </c>
    </row>
    <row r="29">
      <c r="A29" s="6" t="inlineStr">
        <is>
          <t>FY2025 operating EBITDA (AED mn)</t>
        </is>
      </c>
      <c r="B29" s="19">
        <f>'Income Statement'!D9</f>
        <v/>
      </c>
    </row>
    <row r="30">
      <c r="A30" s="6" t="inlineStr">
        <is>
          <t>FY2025 attributable profit (AED mn)</t>
        </is>
      </c>
      <c r="B30" s="19">
        <f>'Income Statement'!D18</f>
        <v/>
      </c>
    </row>
    <row r="31">
      <c r="A31" s="6" t="inlineStr">
        <is>
          <t>Cost of equity (rating basis)</t>
        </is>
      </c>
      <c r="B31" s="20">
        <f>DCF!C50</f>
        <v/>
      </c>
    </row>
    <row r="32">
      <c r="A32" s="6" t="inlineStr">
        <is>
          <t>Cost of capital (9% framing, rating basis)</t>
        </is>
      </c>
      <c r="B32" s="20">
        <f>DCF!C56</f>
        <v/>
      </c>
    </row>
    <row r="33">
      <c r="A33" s="6" t="inlineStr">
        <is>
          <t>Cost of capital (15% framing — same rate, shield stays at 9%)</t>
        </is>
      </c>
      <c r="B33" s="20">
        <f>DCF!C57</f>
        <v/>
      </c>
    </row>
    <row r="34">
      <c r="A34" s="6" t="inlineStr">
        <is>
          <t>Growth, FY2031-40 window</t>
        </is>
      </c>
      <c r="B34" s="8">
        <f>Assumptions!$C$80</f>
        <v/>
      </c>
    </row>
    <row r="35">
      <c r="A35" s="6" t="inlineStr">
        <is>
          <t>Growth beyond FY2040</t>
        </is>
      </c>
      <c r="B35" s="8">
        <f>Assumptions!$C$81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6" customWidth="1" min="1" max="1"/>
    <col width="62" customWidth="1" min="2" max="2"/>
    <col width="15" customWidth="1" min="3" max="3"/>
    <col width="15" customWidth="1" min="4" max="4"/>
    <col width="15" customWidth="1" min="5" max="5"/>
    <col width="15" customWidth="1" min="6" max="6"/>
  </cols>
  <sheetData>
    <row r="1">
      <c r="A1" s="1" t="inlineStr">
        <is>
          <t>Fundamental valuation — four lenses, two tax framings, two macro framings</t>
        </is>
      </c>
      <c r="B1" s="2" t="n"/>
      <c r="C1" s="2" t="n"/>
      <c r="D1" s="2" t="n"/>
      <c r="E1" s="2" t="n"/>
      <c r="F1" s="2" t="n"/>
    </row>
    <row r="4">
      <c r="A4" s="5" t="inlineStr">
        <is>
          <t>Lens</t>
        </is>
      </c>
      <c r="B4" s="5" t="inlineStr">
        <is>
          <t>Basis</t>
        </is>
      </c>
      <c r="C4" s="5" t="inlineStr">
        <is>
          <t>AED per share</t>
        </is>
      </c>
    </row>
    <row r="5">
      <c r="A5" s="6" t="inlineStr">
        <is>
          <t>Discounted cash flow</t>
        </is>
      </c>
      <c r="B5" s="6" t="inlineStr">
        <is>
          <t>five-year free-cash-flow build, two-stage reinvestment-consistent terminal</t>
        </is>
      </c>
      <c r="C5" s="7">
        <f>'SOTP Bridge'!C14</f>
        <v/>
      </c>
    </row>
    <row r="6">
      <c r="A6" s="6" t="inlineStr">
        <is>
          <t>Relative multiples</t>
        </is>
      </c>
      <c r="B6" s="6" t="inlineStr">
        <is>
          <t>trailing peer EV/EBITDA on trailing operating EBITDA</t>
        </is>
      </c>
      <c r="C6" s="7">
        <f>'Relative &amp; Normalized'!C12</f>
        <v/>
      </c>
    </row>
    <row r="7">
      <c r="A7" s="6" t="inlineStr">
        <is>
          <t>Normalised earnings power</t>
        </is>
      </c>
      <c r="B7" s="6" t="inlineStr">
        <is>
          <t>unshocked year one x justified forward price/earnings</t>
        </is>
      </c>
      <c r="C7" s="7">
        <f>'Relative &amp; Normalized'!C31</f>
        <v/>
      </c>
    </row>
    <row r="8">
      <c r="A8" s="6" t="inlineStr">
        <is>
          <t>Book value and sustainable return</t>
        </is>
      </c>
      <c r="B8" s="6" t="inlineStr">
        <is>
          <t>justified price/book on sustainable return</t>
        </is>
      </c>
      <c r="C8" s="7">
        <f>'Relative &amp; Normalized'!C39</f>
        <v/>
      </c>
    </row>
    <row r="9">
      <c r="A9" s="11" t="inlineStr">
        <is>
          <t>Weighted central — recovery (9%)</t>
        </is>
      </c>
      <c r="B9" s="14" t="n"/>
      <c r="C9" s="17">
        <f>Summary!B9</f>
        <v/>
      </c>
    </row>
    <row r="10">
      <c r="A10" s="15" t="inlineStr">
        <is>
          <t>Weighted central — continuation (9%)</t>
        </is>
      </c>
      <c r="C10" s="21">
        <f>Summary!B10</f>
        <v/>
      </c>
    </row>
    <row r="12">
      <c r="A12" s="15" t="inlineStr">
        <is>
          <t>THE TWO CONTESTED JUDGEMENTS — PUBLISHED BOTH WAYS, NEVER AVERAGED</t>
        </is>
      </c>
    </row>
    <row r="13">
      <c r="A13" s="5" t="inlineStr">
        <is>
          <t>Discounted cash flow per share</t>
        </is>
      </c>
      <c r="B13" s="5" t="inlineStr">
        <is>
          <t>9% corporate tax</t>
        </is>
      </c>
      <c r="C13" s="5" t="inlineStr">
        <is>
          <t>15% top-up tax</t>
        </is>
      </c>
    </row>
    <row r="14">
      <c r="A14" s="6" t="inlineStr">
        <is>
          <t>Consumption per-RT RECOVERS to the FY2025 level (de-escalation)</t>
        </is>
      </c>
      <c r="B14" s="7">
        <f>'SOTP Bridge'!C14</f>
        <v/>
      </c>
      <c r="C14" s="7">
        <f>'SOTP Bridge'!D14</f>
        <v/>
      </c>
    </row>
    <row r="15">
      <c r="A15" s="6" t="inlineStr">
        <is>
          <t>Consumption per-RT never recovers (continuation — live model, the 94% column of the recovery ladder)</t>
        </is>
      </c>
      <c r="B15" s="7">
        <f>Sensitivity!C50</f>
        <v/>
      </c>
      <c r="C15" s="7">
        <f>Sensitivity!C72</f>
        <v/>
      </c>
    </row>
    <row r="17">
      <c r="A17" s="15" t="inlineStr">
        <is>
          <t>Scenario field (all live models on the Sensitivity sheet)</t>
        </is>
      </c>
    </row>
    <row r="18">
      <c r="A18" s="6" t="inlineStr">
        <is>
          <t>Bear — re-escalation, halved connections, 15% tax, repriced risk</t>
        </is>
      </c>
      <c r="C18" s="7">
        <f>Sensitivity!C102</f>
        <v/>
      </c>
    </row>
    <row r="19">
      <c r="A19" s="6" t="inlineStr">
        <is>
          <t>Central — recovery (9%)</t>
        </is>
      </c>
      <c r="C19" s="7">
        <f>Summary!B9</f>
        <v/>
      </c>
    </row>
    <row r="20">
      <c r="A20" s="6" t="inlineStr">
        <is>
          <t>Central — continuation (9%)</t>
        </is>
      </c>
      <c r="C20" s="7">
        <f>Summary!B10</f>
        <v/>
      </c>
    </row>
    <row r="21">
      <c r="A21" s="6" t="inlineStr">
        <is>
          <t>Bull — clean recovery, top-of-guidance connections, 9% tax</t>
        </is>
      </c>
      <c r="C21" s="7">
        <f>Sensitivity!C127</f>
        <v/>
      </c>
    </row>
    <row r="23">
      <c r="A23" s="6" t="inlineStr">
        <is>
          <t>Market price</t>
        </is>
      </c>
      <c r="C23" s="7">
        <f>Summary!B20</f>
        <v/>
      </c>
    </row>
    <row r="24">
      <c r="A24" s="6" t="inlineStr">
        <is>
          <t>DEWA control-transaction price (reference only)</t>
        </is>
      </c>
      <c r="C24" s="7">
        <f>Assumptions!$C$106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8" defaultRowHeight="15"/>
  <cols>
    <col width="56" customWidth="1" min="1" max="1"/>
    <col width="11" customWidth="1" min="2" max="2"/>
    <col width="11" customWidth="1" min="3" max="3"/>
    <col width="11" customWidth="1" min="4" max="4"/>
    <col width="11" customWidth="1" min="5" max="5"/>
    <col width="11" customWidth="1" min="6" max="6"/>
    <col width="11" customWidth="1" min="7" max="7"/>
    <col width="90" customWidth="1" min="8" max="8"/>
  </cols>
  <sheetData>
    <row r="1">
      <c r="A1" s="1" t="inlineStr">
        <is>
          <t>Assumptions — every input in the model</t>
        </is>
      </c>
      <c r="B1" s="2" t="n"/>
      <c r="C1" s="2" t="n"/>
      <c r="D1" s="2" t="n"/>
      <c r="E1" s="2" t="n"/>
      <c r="F1" s="2" t="n"/>
      <c r="G1" s="2" t="n"/>
      <c r="H1" s="2" t="n"/>
    </row>
    <row r="2">
      <c r="A2" s="4" t="inlineStr">
        <is>
          <t>Blue cells are pasted primary-record inputs; BLACK cells in this column are formulas deriving each modelling rate from those inputs — change an audited anchor and the whole model reprices. Column H gives the source and date of each input.</t>
        </is>
      </c>
    </row>
    <row r="3">
      <c r="A3" s="5" t="inlineStr">
        <is>
          <t>Input</t>
        </is>
      </c>
      <c r="B3" s="5" t="inlineStr">
        <is>
          <t>FY2026E</t>
        </is>
      </c>
      <c r="C3" s="5" t="inlineStr">
        <is>
          <t>FY2027E</t>
        </is>
      </c>
      <c r="D3" s="5" t="inlineStr">
        <is>
          <t>FY2028E</t>
        </is>
      </c>
      <c r="E3" s="5" t="inlineStr">
        <is>
          <t>FY2029E</t>
        </is>
      </c>
      <c r="F3" s="5" t="inlineStr">
        <is>
          <t>FY2030E</t>
        </is>
      </c>
      <c r="G3" s="5" t="inlineStr"/>
      <c r="H3" s="5" t="inlineStr">
        <is>
          <t>Source</t>
        </is>
      </c>
    </row>
    <row r="4">
      <c r="A4" s="11" t="inlineStr">
        <is>
          <t>Anchors</t>
        </is>
      </c>
      <c r="B4" s="14" t="n"/>
      <c r="C4" s="14" t="n"/>
      <c r="D4" s="14" t="n"/>
      <c r="E4" s="14" t="n"/>
      <c r="F4" s="14" t="n"/>
      <c r="G4" s="14" t="n"/>
      <c r="H4" s="14" t="n"/>
    </row>
    <row r="5">
      <c r="A5" s="6" t="inlineStr">
        <is>
          <t>Spot price (AED)</t>
        </is>
      </c>
      <c r="C5" s="22" t="n">
        <v>1.57</v>
      </c>
      <c r="H5" s="4" t="inlineStr">
        <is>
          <t>DFM close for EMPOWER, 3 September 2026, from the price file the principal supplied that day and committed to the repository. THE STUDY IS RE-STRUCK ON IT because no study is delivered against a stale price: the prior edition stood on the 7-August close of 1.50, and the stock has since risen 4.7% (2026-09-03)</t>
        </is>
      </c>
    </row>
    <row r="6">
      <c r="A6" s="6" t="inlineStr">
        <is>
          <t>Shares outstanding (mn)</t>
        </is>
      </c>
      <c r="C6" s="23" t="n">
        <v>10000</v>
      </c>
      <c r="H6" s="4" t="inlineStr">
        <is>
          <t>Share capital note 16: AED 1,000,000k at AED 0.10 par = 10,000,000,000 shares, unchanged since the Nov-2022 IPO (EPS note 35 cross-check: 896,754k / 0.090 = 9,964mn wtd) (2026-02-09)</t>
        </is>
      </c>
    </row>
    <row r="7">
      <c r="A7" s="6" t="inlineStr">
        <is>
          <t>Corporate tax rate (headline framing)</t>
        </is>
      </c>
      <c r="C7" s="24" t="n">
        <v>0.09</v>
      </c>
      <c r="H7" s="4" t="inlineStr">
        <is>
          <t>UAE federal corporate tax 9% (FY2025 audited effective rate exactly 9.0%: 99,226k tax on 1,103,161k PBT; note 28) (2026-02-09)</t>
        </is>
      </c>
    </row>
    <row r="8">
      <c r="A8" s="6" t="inlineStr">
        <is>
          <t>Top-up tax rate (alternative framing)</t>
        </is>
      </c>
      <c r="C8" s="24" t="n">
        <v>0.15</v>
      </c>
      <c r="H8" s="4" t="inlineStr">
        <is>
          <t>OECD Pillar-Two UAE domestic minimum top-up tax 15% for groups &gt;= EUR 750m revenue — whether DEWA-level (80%) consolidation sweeps Empower in is CONTESTED; computed as the full alternative framing (2026-08-09)</t>
        </is>
      </c>
    </row>
    <row r="9">
      <c r="A9" s="6" t="inlineStr">
        <is>
          <t>Profit for the year, FY2025 (AED mn)</t>
        </is>
      </c>
      <c r="C9" s="25" t="n">
        <v>1003.935</v>
      </c>
      <c r="H9" s="4" t="inlineStr">
        <is>
          <t>Profit after tax, FY2025 audited FS (2026-02-09)</t>
        </is>
      </c>
    </row>
    <row r="10">
      <c r="A10" s="6" t="inlineStr">
        <is>
          <t>Profit attributable to non-controlling interests, FY2025 (AED mn)</t>
        </is>
      </c>
      <c r="C10" s="25" t="n">
        <v>10.633</v>
      </c>
      <c r="H10" s="4" t="inlineStr">
        <is>
          <t>Profit attributable to NCI, FY2025 audited FS (2026-02-09)</t>
        </is>
      </c>
    </row>
    <row r="11">
      <c r="A11" s="6" t="inlineStr">
        <is>
          <t>Profit attributable to shareholders, FY2025 (AED mn)</t>
        </is>
      </c>
      <c r="C11" s="25" t="n">
        <v>993.302</v>
      </c>
      <c r="H11" s="4" t="inlineStr">
        <is>
          <t>Profit attributable to equity holders, FY2025 (2026-02-09)</t>
        </is>
      </c>
    </row>
    <row r="13">
      <c r="A13" s="11" t="inlineStr">
        <is>
          <t>Audited FY2025 record — pasted once here; every derived rate below is a formula off these cells</t>
        </is>
      </c>
      <c r="B13" s="14" t="n"/>
      <c r="C13" s="14" t="n"/>
      <c r="D13" s="14" t="n"/>
      <c r="E13" s="14" t="n"/>
      <c r="F13" s="14" t="n"/>
      <c r="G13" s="14" t="n"/>
      <c r="H13" s="14" t="n"/>
    </row>
    <row r="14">
      <c r="A14" s="6" t="inlineStr">
        <is>
          <t>Revenue, FY2025 (AED mn)</t>
        </is>
      </c>
      <c r="C14" s="25" t="n">
        <v>3419.304</v>
      </c>
      <c r="H14" s="4" t="inlineStr">
        <is>
          <t>Consolidated statement of comprehensive income, FY2025 audited FS (2026-02-09)</t>
        </is>
      </c>
    </row>
    <row r="15">
      <c r="A15" s="6" t="inlineStr">
        <is>
          <t>Consumption revenue, FY2025 (AED mn)</t>
        </is>
      </c>
      <c r="C15" s="25" t="n">
        <v>1923.892</v>
      </c>
      <c r="H15" s="4" t="inlineStr">
        <is>
          <t>Consumption revenue, auditor's key-audit-matter section of each audited FS FY2022-FY2025 (the only disclosed AED split of the revenue streams) (2026-02-09)</t>
        </is>
      </c>
    </row>
    <row r="16">
      <c r="A16" s="6" t="inlineStr">
        <is>
          <t>Electricity and water purchased from DEWA, FY2025 (AED mn)</t>
        </is>
      </c>
      <c r="C16" s="25" t="n">
        <v>1467.65</v>
      </c>
      <c r="H16" s="4" t="inlineStr">
        <is>
          <t>Electricity &amp; water purchased from DEWA (related-party note 12), FY2025 audited FS (2026-02-09)</t>
        </is>
      </c>
    </row>
    <row r="17">
      <c r="A17" s="6" t="inlineStr">
        <is>
          <t>Capital expenditure (cash), FY2025 (AED mn)</t>
        </is>
      </c>
      <c r="C17" s="25" t="n">
        <v>440.039</v>
      </c>
      <c r="H17" s="4" t="inlineStr">
        <is>
          <t>FY2025 CF: capital expenditure net of project-cost accruals (a further 171.085 was non-cash accrual movement, note 36) (2026-02-09)</t>
        </is>
      </c>
    </row>
    <row r="18">
      <c r="A18" s="6" t="inlineStr">
        <is>
          <t>Depreciation of plant, FY2025 (AED mn)</t>
        </is>
      </c>
      <c r="C18" s="25" t="n">
        <v>352.199</v>
      </c>
      <c r="H18" s="4" t="inlineStr">
        <is>
          <t>FY2025 audited cash-flow note: depreciation of property, plant and equipment</t>
        </is>
      </c>
    </row>
    <row r="19">
      <c r="A19" s="6" t="inlineStr">
        <is>
          <t>Total depreciation and amortisation, FY2025 (AED mn)</t>
        </is>
      </c>
      <c r="C19" s="25" t="n">
        <v>369.717</v>
      </c>
      <c r="H19" s="4" t="inlineStr">
        <is>
          <t>FY2025 CF: PPE dep 352.199 + RoU 5.361 + intangibles 12.157 (investment-property dep 6.317 excluded — investment properties are a non-operating side pocket in the bridge) (2026-02-09)</t>
        </is>
      </c>
    </row>
    <row r="20">
      <c r="A20" s="6" t="inlineStr">
        <is>
          <t>Net property, plant and equipment, end-FY2024 (AED mn)</t>
        </is>
      </c>
      <c r="C20" s="25" t="n">
        <v>6995.16</v>
      </c>
      <c r="H20" s="4" t="inlineStr">
        <is>
          <t>FY2024 audited balance sheet (FY2025 filing comparative)</t>
        </is>
      </c>
    </row>
    <row r="21">
      <c r="A21" s="6" t="inlineStr">
        <is>
          <t>Net property, plant and equipment, end-FY2025 (AED mn)</t>
        </is>
      </c>
      <c r="C21" s="25" t="n">
        <v>7194.99</v>
      </c>
      <c r="H21" s="4" t="inlineStr">
        <is>
          <t>FY2025 audited balance sheet</t>
        </is>
      </c>
    </row>
    <row r="22">
      <c r="A22" s="6" t="inlineStr">
        <is>
          <t>Inventories, end-FY2025 (AED mn)</t>
        </is>
      </c>
      <c r="C22" s="25" t="n">
        <v>55.718</v>
      </c>
      <c r="H22" s="4" t="inlineStr">
        <is>
          <t>FY2025 audited balance sheet</t>
        </is>
      </c>
    </row>
    <row r="23">
      <c r="A23" s="6" t="inlineStr">
        <is>
          <t>Trade and other receivables, end-FY2025 (AED mn)</t>
        </is>
      </c>
      <c r="C23" s="25" t="n">
        <v>303.818</v>
      </c>
      <c r="H23" s="4" t="inlineStr">
        <is>
          <t>FY2025 audited balance sheet</t>
        </is>
      </c>
    </row>
    <row r="24">
      <c r="A24" s="6" t="inlineStr">
        <is>
          <t>Due from related parties, end-FY2025 (AED mn)</t>
        </is>
      </c>
      <c r="C24" s="25" t="n">
        <v>39.353</v>
      </c>
      <c r="H24" s="4" t="inlineStr">
        <is>
          <t>FY2025 audited balance sheet</t>
        </is>
      </c>
    </row>
    <row r="25">
      <c r="A25" s="6" t="inlineStr">
        <is>
          <t>Trade and other payables, end-FY2025 (AED mn)</t>
        </is>
      </c>
      <c r="C25" s="25" t="n">
        <v>2165.056</v>
      </c>
      <c r="H25" s="4" t="inlineStr">
        <is>
          <t>FY2025 audited balance sheet</t>
        </is>
      </c>
    </row>
    <row r="26">
      <c r="A26" s="6" t="inlineStr">
        <is>
          <t>Project-cost accruals inside payables, end-FY2025 (AED mn)</t>
        </is>
      </c>
      <c r="C26" s="25" t="n">
        <v>171.0850000000002</v>
      </c>
      <c r="H26" s="4" t="inlineStr">
        <is>
          <t>FY2025 audited FS note 36 (non-cash capital accrual movement) — excluded from the operating cycle</t>
        </is>
      </c>
    </row>
    <row r="27">
      <c r="A27" s="6" t="inlineStr">
        <is>
          <t>Due to related parties, end-FY2025 (AED mn)</t>
        </is>
      </c>
      <c r="C27" s="25" t="n">
        <v>161.67</v>
      </c>
      <c r="H27" s="4" t="inlineStr">
        <is>
          <t>FY2025 audited balance sheet</t>
        </is>
      </c>
    </row>
    <row r="28">
      <c r="A28" s="6" t="inlineStr">
        <is>
          <t>Equity attributable to shareholders, end-FY2024 (AED mn)</t>
        </is>
      </c>
      <c r="C28" s="25" t="n">
        <v>3197.59</v>
      </c>
      <c r="H28" s="4" t="inlineStr">
        <is>
          <t>FY2024 audited balance sheet (FY2025 filing comparative)</t>
        </is>
      </c>
    </row>
    <row r="29">
      <c r="A29" s="6" t="inlineStr">
        <is>
          <t>Equity attributable to shareholders, end-FY2025 (AED mn)</t>
        </is>
      </c>
      <c r="C29" s="25" t="n">
        <v>3310.933</v>
      </c>
      <c r="H29" s="4" t="inlineStr">
        <is>
          <t>Equity attributable to holders, 31-Dec-2025 audited BS (2026-02-09)</t>
        </is>
      </c>
    </row>
    <row r="31">
      <c r="A31" s="11" t="inlineStr">
        <is>
          <t>Unit build — physical inputs and forecast drivers</t>
        </is>
      </c>
      <c r="B31" s="14" t="n"/>
      <c r="C31" s="14" t="n"/>
      <c r="D31" s="14" t="n"/>
      <c r="E31" s="14" t="n"/>
      <c r="F31" s="14" t="n"/>
      <c r="G31" s="14" t="n"/>
      <c r="H31" s="14" t="n"/>
    </row>
    <row r="32">
      <c r="A32" s="6" t="inlineStr">
        <is>
          <t>Connected capacity, end-FY2024 (k RT)</t>
        </is>
      </c>
      <c r="C32" s="23" t="n">
        <v>1566</v>
      </c>
      <c r="H32" s="4" t="inlineStr">
        <is>
          <t>Connected capacity history, k RT, H1-2026 earnings deck p13 (2023 not charted; interpolation never used — growth is computed 2024-&gt;2025) (2026-08-05)</t>
        </is>
      </c>
    </row>
    <row r="33">
      <c r="A33" s="6" t="inlineStr">
        <is>
          <t>Connected capacity, end-FY2025 (k RT)</t>
        </is>
      </c>
      <c r="C33" s="23" t="n">
        <v>1656</v>
      </c>
      <c r="H33" s="4" t="inlineStr">
        <is>
          <t>Connected capacity history, k RT, H1-2026 earnings deck p13 (2023 not charted; interpolation never used — growth is computed 2024-&gt;2025) (2026-08-05)</t>
        </is>
      </c>
    </row>
    <row r="34">
      <c r="A34" s="6" t="inlineStr">
        <is>
          <t>New connections by year (k RT)</t>
        </is>
      </c>
      <c r="B34" s="23" t="n">
        <v>105</v>
      </c>
      <c r="C34" s="23" t="n">
        <v>100</v>
      </c>
      <c r="D34" s="23" t="n">
        <v>90</v>
      </c>
      <c r="E34" s="23" t="n">
        <v>80</v>
      </c>
      <c r="F34" s="23" t="n">
        <v>70</v>
      </c>
      <c r="H34" s="4" t="inlineStr">
        <is>
          <t>FY2026 = guidance midpoint (100-110k, H1-2026 earnings deck p13); then the contracted backlog (2,018k at Jun-26) tapering 100/90/80/70k as the pipeline matures</t>
        </is>
      </c>
    </row>
    <row r="35">
      <c r="A35" s="6" t="inlineStr">
        <is>
          <t>FY2026 consumption shock (per-RT, full year)</t>
        </is>
      </c>
      <c r="C35" s="24" t="n">
        <v>-0.06</v>
      </c>
      <c r="H35" s="4" t="inlineStr">
        <is>
          <t>H1-2026 equivalent full-load hours -9.0% y/y (deck p4) — hospitality-occupancy-led ~80% per the company's own H1-2026 attribution, weather a minor factor; full-year effect smaller as H2-2025 was itself soft</t>
        </is>
      </c>
    </row>
    <row r="36">
      <c r="A36" s="6" t="inlineStr">
        <is>
          <t>Consumption per-RT recovery level from FY2027 (share of FY2025)</t>
        </is>
      </c>
      <c r="C36" s="24" t="n">
        <v>1</v>
      </c>
      <c r="H36" s="4" t="inlineStr">
        <is>
          <t>Recovery (de-escalation) framing: full return to the FY2025 level; the live recovery columns on the Sensitivity sheet run the same model at 90-103% and feed the continuation central</t>
        </is>
      </c>
    </row>
    <row r="37">
      <c r="A37" s="6" t="inlineStr">
        <is>
          <t>Pre-insulated pipes revenue (AED mn, held flat)</t>
        </is>
      </c>
      <c r="C37" s="25" t="n">
        <v>17.214</v>
      </c>
      <c r="H37" s="4" t="inlineStr">
        <is>
          <t>Sale of pre-insulated pipes (Logstor), revenue note 23, FY2025 audited FS (2026-02-09)</t>
        </is>
      </c>
    </row>
    <row r="38">
      <c r="A38" s="6" t="inlineStr">
        <is>
          <t>Other cash cost of sales, FY2025 (AED mn)</t>
        </is>
      </c>
      <c r="C38" s="25" t="n">
        <v>162.4189999999998</v>
      </c>
      <c r="H38" s="4" t="inlineStr">
        <is>
          <t>Cost of sales less DEWA purchases less the depreciation and amortisation inside cost of sales (FY2025 audited FS notes)</t>
        </is>
      </c>
    </row>
    <row r="39">
      <c r="A39" s="6" t="inlineStr">
        <is>
          <t>General and administrative cash cost, FY2025 (AED mn)</t>
        </is>
      </c>
      <c r="C39" s="25" t="n">
        <v>245.88</v>
      </c>
      <c r="H39" s="4" t="inlineStr">
        <is>
          <t>G&amp;A expenses (statement face 256.383, corrected 17-Aug-2026) less the depreciation inside G&amp;A (FY2025 audited FS)</t>
        </is>
      </c>
    </row>
    <row r="40">
      <c r="A40" s="6" t="inlineStr">
        <is>
          <t>Other income, FY2025 (AED mn, statement face)</t>
        </is>
      </c>
      <c r="C40" s="25" t="n">
        <v>24.43</v>
      </c>
      <c r="H40" s="4" t="inlineStr">
        <is>
          <t>Other income, FY2025 audited FS statement face; note 29 composition: rental income 18.094 + government grant 2.780 + scrap 1.482 + others 2.074 (CORRECTED 17-Aug-2026 from a first-pass 14.624) (2026-02-09)</t>
        </is>
      </c>
    </row>
    <row r="41">
      <c r="A41" s="6" t="inlineStr">
        <is>
          <t>Rental income inside other income, FY2025 (AED mn)</t>
        </is>
      </c>
      <c r="C41" s="25" t="n">
        <v>18.094</v>
      </c>
      <c r="H41" s="4" t="inlineStr">
        <is>
          <t>Rental income inside other income, FY2025 note 29 — the return on the investment properties the bridge adds at book, so it is EXCLUDED from operating EBITDA (double-count fix, critique CCU6 confirmed against the note) (2026-02-09)</t>
        </is>
      </c>
    </row>
    <row r="42">
      <c r="A42" s="6" t="inlineStr">
        <is>
          <t>Reversal of credit-loss allowance, FY2025 (AED mn; not forecast)</t>
        </is>
      </c>
      <c r="C42" s="25" t="n">
        <v>16.137</v>
      </c>
      <c r="H42" s="4" t="inlineStr">
        <is>
          <t>Reversal of expected credit losses, FY2025 audited FS (2026-02-09)</t>
        </is>
      </c>
    </row>
    <row r="43">
      <c r="A43" s="6" t="inlineStr">
        <is>
          <t>Interest on related-party acquisition receivables, FY2025 (AED mn)</t>
        </is>
      </c>
      <c r="C43" s="25" t="n">
        <v>58.307</v>
      </c>
      <c r="H43" s="4" t="inlineStr">
        <is>
          <t>Interest income on financial assets at amortised cost, FY2025 audited FS (2026-02-09)</t>
        </is>
      </c>
    </row>
    <row r="44">
      <c r="A44" s="6" t="inlineStr">
        <is>
          <t>Receivable interest annual decay</t>
        </is>
      </c>
      <c r="C44" s="24" t="n">
        <v>0.03000000000000014</v>
      </c>
      <c r="H44" s="4" t="inlineStr">
        <is>
          <t>Amortising related-party acquisition receivables — interest income runs off as the balances amortise</t>
        </is>
      </c>
    </row>
    <row r="45">
      <c r="A45" s="6" t="inlineStr">
        <is>
          <t>Wage and services cost escalator</t>
        </is>
      </c>
      <c r="C45" s="24" t="n">
        <v>0.02499999999999991</v>
      </c>
      <c r="H45" s="4" t="inlineStr">
        <is>
          <t>UAE CPI / wage class; applied to cash cost of sales and cash G&amp;A only</t>
        </is>
      </c>
    </row>
    <row r="46">
      <c r="A46" s="6" t="inlineStr">
        <is>
          <t>Maintenance capital expenditure (share of opening plant)</t>
        </is>
      </c>
      <c r="C46" s="24" t="n">
        <v>0.008</v>
      </c>
      <c r="H46" s="4" t="inlineStr">
        <is>
          <t>House assumption for a young plant fleet; flagged as an estimate</t>
        </is>
      </c>
    </row>
    <row r="48">
      <c r="A48" s="11" t="inlineStr">
        <is>
          <t>Derived rates — LIVE formulas off the audited anchors above (black = formula)</t>
        </is>
      </c>
      <c r="B48" s="14" t="n"/>
      <c r="C48" s="14" t="n"/>
      <c r="D48" s="14" t="n"/>
      <c r="E48" s="14" t="n"/>
      <c r="F48" s="14" t="n"/>
      <c r="G48" s="14" t="n"/>
      <c r="H48" s="14" t="n"/>
    </row>
    <row r="49">
      <c r="A49" s="6" t="inlineStr">
        <is>
          <t>Consumption revenue per average connected RT, FY2025 (AED k)</t>
        </is>
      </c>
      <c r="C49" s="26">
        <f>Assumptions!$C$15/((Assumptions!$C$32+Assumptions!$C$33)/2)</f>
        <v/>
      </c>
      <c r="H49" s="4" t="inlineStr">
        <is>
          <t>KAM consumption revenue / average connected RT — a formula, not a paste</t>
        </is>
      </c>
    </row>
    <row r="50">
      <c r="A50" s="6" t="inlineStr">
        <is>
          <t>Capacity and connection revenue per average connected RT (AED k)</t>
        </is>
      </c>
      <c r="C50" s="26">
        <f>(Assumptions!$C$14-Assumptions!$C$15-Assumptions!$C$37)/((Assumptions!$C$32+Assumptions!$C$33)/2)</f>
        <v/>
      </c>
      <c r="H50" s="4" t="inlineStr">
        <is>
          <t>Implied: (revenue - consumption - pipes) / average RT; no per-RT tariff schedule is published — flagged</t>
        </is>
      </c>
    </row>
    <row r="51">
      <c r="A51" s="6" t="inlineStr">
        <is>
          <t>Electricity and water cost as a share of consumption revenue</t>
        </is>
      </c>
      <c r="C51" s="27">
        <f>Assumptions!$C$16/Assumptions!$C$15</f>
        <v/>
      </c>
      <c r="H51" s="4" t="inlineStr">
        <is>
          <t>DEWA purchases / consumption revenue, FY2025; FY2024 prints 72.5% on the same basis</t>
        </is>
      </c>
    </row>
    <row r="52">
      <c r="A52" s="6" t="inlineStr">
        <is>
          <t>Capital expenditure per added RT (AED mn per k RT)</t>
        </is>
      </c>
      <c r="C52" s="26">
        <f>Assumptions!$C$17/(Assumptions!$C$33-Assumptions!$C$32)</f>
        <v/>
      </c>
      <c r="H52" s="4" t="inlineStr">
        <is>
          <t>FY2025 cash capital expenditure / FY2025 net connections added (90k RT)</t>
        </is>
      </c>
    </row>
    <row r="53">
      <c r="A53" s="6" t="inlineStr">
        <is>
          <t>Depreciation rate on opening plant</t>
        </is>
      </c>
      <c r="C53" s="27">
        <f>Assumptions!$C$18/Assumptions!$C$20</f>
        <v/>
      </c>
      <c r="H53" s="4" t="inlineStr">
        <is>
          <t>FY2025 plant depreciation / opening net plant</t>
        </is>
      </c>
    </row>
    <row r="54">
      <c r="A54" s="6" t="inlineStr">
        <is>
          <t>Amortisation and right-of-use depreciation (AED mn, flat)</t>
        </is>
      </c>
      <c r="C54" s="28">
        <f>Assumptions!$C$19-Assumptions!$C$18</f>
        <v/>
      </c>
      <c r="H54" s="4" t="inlineStr">
        <is>
          <t>Total D&amp;A less plant depreciation (intangibles + right-of-use)</t>
        </is>
      </c>
    </row>
    <row r="55">
      <c r="A55" s="6" t="inlineStr">
        <is>
          <t>Net working capital, end-FY2025 (AED mn)</t>
        </is>
      </c>
      <c r="C55" s="28">
        <f>Assumptions!$C$22+Assumptions!$C$23+Assumptions!$C$24-(Assumptions!$C$25-Assumptions!$C$26)-Assumptions!$C$27</f>
        <v/>
      </c>
      <c r="H55" s="4" t="inlineStr">
        <is>
          <t>Inventories + receivables + due from related parties - payables (ex capex accruals) - due to related parties</t>
        </is>
      </c>
    </row>
    <row r="56">
      <c r="A56" s="6" t="inlineStr">
        <is>
          <t>Net working capital as a share of revenue</t>
        </is>
      </c>
      <c r="C56" s="27">
        <f>Assumptions!$C$55/Assumptions!$C$14</f>
        <v/>
      </c>
      <c r="H56" s="4" t="inlineStr">
        <is>
          <t>End-FY2025 net working capital / FY2025 revenue (negative: customer deposits and payables fund the cycle)</t>
        </is>
      </c>
    </row>
    <row r="57">
      <c r="A57" s="6" t="inlineStr">
        <is>
          <t>Operating other income (AED mn, held flat)</t>
        </is>
      </c>
      <c r="C57" s="28">
        <f>Assumptions!$C$40-Assumptions!$C$41</f>
        <v/>
      </c>
      <c r="H57" s="4" t="inlineStr">
        <is>
          <t>Other income less rental income (note 29: grant + scrap + others) — the rental is the return on the investment properties the bridge adds at book, so it is excluded from operating EBITDA</t>
        </is>
      </c>
    </row>
    <row r="59">
      <c r="A59" s="11" t="inlineStr">
        <is>
          <t>Physical decomposition — H1-2026 deck facts and the regulated tariff cap</t>
        </is>
      </c>
      <c r="B59" s="14" t="n"/>
      <c r="C59" s="14" t="n"/>
      <c r="D59" s="14" t="n"/>
      <c r="E59" s="14" t="n"/>
      <c r="F59" s="14" t="n"/>
      <c r="G59" s="14" t="n"/>
      <c r="H59" s="14" t="n"/>
    </row>
    <row r="60">
      <c r="A60" s="6" t="inlineStr">
        <is>
          <t>Revenue, H1-2026 (AED mn)</t>
        </is>
      </c>
      <c r="C60" s="25" t="n">
        <v>1519.415</v>
      </c>
      <c r="H60" s="4" t="inlineStr">
        <is>
          <t>Revenue, H1-2026 reviewed interim FS (2026-08-05)</t>
        </is>
      </c>
    </row>
    <row r="61">
      <c r="A61" s="6" t="inlineStr">
        <is>
          <t>Cooling delivered, H1-2026 (m RTh)</t>
        </is>
      </c>
      <c r="C61" s="23" t="n">
        <v>1174</v>
      </c>
      <c r="H61" s="4" t="inlineStr">
        <is>
          <t>H1-2026 earnings deck p4</t>
        </is>
      </c>
    </row>
    <row r="62">
      <c r="A62" s="6" t="inlineStr">
        <is>
          <t>Consumption share of revenue, H1-2026</t>
        </is>
      </c>
      <c r="C62" s="24" t="n">
        <v>0.49</v>
      </c>
      <c r="H62" s="4" t="inlineStr">
        <is>
          <t>H1-2026 earnings deck revenue mix</t>
        </is>
      </c>
    </row>
    <row r="63">
      <c r="A63" s="6" t="inlineStr">
        <is>
          <t>RD10 v1.3 consumption tariff cap (AED/TRh, incl. fuel surcharge)</t>
        </is>
      </c>
      <c r="C63" s="29" t="n">
        <v>0.643</v>
      </c>
      <c r="H63" s="4" t="inlineStr">
        <is>
          <t>Dubai RSB regulation RD10 v1.3 (17-Sep-2025), section 7 table; carried unchanged into v1.4 (Feb-2026) — external regulatory fact</t>
        </is>
      </c>
    </row>
    <row r="64">
      <c r="A64" s="6" t="inlineStr">
        <is>
          <t>Equivalent full-load hours, H1-2026 (hrs)</t>
        </is>
      </c>
      <c r="C64" s="23" t="n">
        <v>698</v>
      </c>
      <c r="H64" s="4" t="inlineStr">
        <is>
          <t>Equivalent full-load hours H1-2026: 698 hrs, -9.0% y/y (consumption -42m RTh), deck p4; interim note 30 ties the fall partly to conflict impact on hospitality occupancy (2026-08-05)</t>
        </is>
      </c>
    </row>
    <row r="66">
      <c r="A66" s="11" t="inlineStr">
        <is>
          <t>Cost of capital</t>
        </is>
      </c>
      <c r="B66" s="14" t="n"/>
      <c r="C66" s="14" t="n"/>
      <c r="D66" s="14" t="n"/>
      <c r="E66" s="14" t="n"/>
      <c r="F66" s="14" t="n"/>
      <c r="G66" s="14" t="n"/>
      <c r="H66" s="14" t="n"/>
    </row>
    <row r="67">
      <c r="A67" s="6" t="inlineStr">
        <is>
          <t>Risk-free rate (AED sovereign)</t>
        </is>
      </c>
      <c r="C67" s="30" t="n">
        <v>0.0448</v>
      </c>
      <c r="H67" s="4" t="inlineStr">
        <is>
          <t>UAE dirham T-Bond, Jan-2031 tranche, auction YTM 30-Jul-2026 — the longest AED sovereign print (4.4y tenor; the 5y+ tenor gap vs the cash-flow horizon is flagged, spread over UST was ~4bp at issue) (2026-07-30)</t>
        </is>
      </c>
    </row>
    <row r="68">
      <c r="A68" s="6" t="inlineStr">
        <is>
          <t>Sovereign default spread — rating basis</t>
        </is>
      </c>
      <c r="C68" s="30" t="n">
        <v>0.00393</v>
      </c>
      <c r="H68" s="4" t="inlineStr">
        <is>
          <t>UAE adjusted default spread, rating basis (Aa2), Damodaran ctryprem July-2026 edition (data 30-Jun-2026) (2026-07-01)</t>
        </is>
      </c>
    </row>
    <row r="69">
      <c r="A69" s="6" t="inlineStr">
        <is>
          <t>Sovereign default spread — CDS basis</t>
        </is>
      </c>
      <c r="C69" s="30" t="n">
        <v>0.0052</v>
      </c>
      <c r="H69" s="4" t="inlineStr">
        <is>
          <t>Abu Dhabi 10y sovereign CDS adj. for Switzerland, 30-Jun-2026, Damodaran July-2026 (the UAE federal CDS row is n/a; Abu Dhabi is the quoted UAE sovereign CDS — proxy flagged) (2026-07-01)</t>
        </is>
      </c>
    </row>
    <row r="70">
      <c r="A70" s="6" t="inlineStr">
        <is>
          <t>Equity risk premium — rating basis</t>
        </is>
      </c>
      <c r="C70" s="30" t="n">
        <v>0.04811</v>
      </c>
      <c r="H70" s="4" t="inlineStr">
        <is>
          <t>UAE total equity risk premium, rating basis, Damodaran July-2026 (2026-07-01)</t>
        </is>
      </c>
    </row>
    <row r="71">
      <c r="A71" s="6" t="inlineStr">
        <is>
          <t>Equity risk premium — CDS basis</t>
        </is>
      </c>
      <c r="C71" s="30" t="n">
        <v>0.050083</v>
      </c>
      <c r="H71" s="4" t="inlineStr">
        <is>
          <t>UAE total ERP, sovereign-CDS basis (via Abu Dhabi CDS), Damodaran July-2026 (2026-07-01)</t>
        </is>
      </c>
    </row>
    <row r="72">
      <c r="A72" s="6" t="inlineStr">
        <is>
          <t>Beta (own-stock weekly regression vs the FTSE ADX index)</t>
        </is>
      </c>
      <c r="C72" s="29" t="n">
        <v>0.863</v>
      </c>
      <c r="H72" s="4" t="inlineStr">
        <is>
          <t>Own-stock weekly regression vs FADGI (FTSE ADX General Index), 2022-11-25 to 2026-07-24 (3.66 years, 189 weeks): R-squared 0.10, standard error 0.19, 90% interval [0.56, 1.17] (2026-08-10)</t>
        </is>
      </c>
    </row>
    <row r="73">
      <c r="A73" s="6" t="inlineStr">
        <is>
          <t>Beta — DFM General Index regression (comparison construction)</t>
        </is>
      </c>
      <c r="C73" s="29" t="n">
        <v>0.6520000000000001</v>
      </c>
      <c r="H73" s="4" t="inlineStr">
        <is>
          <t>Own-stock weekly regression vs the listing exchange's DFM General Index, retained as a comparison; the primary beta regresses against the FTSE ADX General Index</t>
        </is>
      </c>
    </row>
    <row r="74">
      <c r="A74" s="6" t="inlineStr">
        <is>
          <t>Marginal cost of debt</t>
        </is>
      </c>
      <c r="C74" s="30" t="n">
        <v>0.0492</v>
      </c>
      <c r="H74" s="4" t="inlineStr">
        <is>
          <t>Marginal cost of debt = the company's OWN FY2025 borrowing-cost capitalisation rate (note 30), struck on the 2025 full refinance of both AED 2.75bn RCFs at EIBOR + a REDUCED margin; sits above the 4.48% AED sovereign as a same-currency corporate must (2024 comparison: 5.993%; spot 3M EIBOR 3.66% + implied margin ~0.9-1.3%) (2026-02-09)</t>
        </is>
      </c>
    </row>
    <row r="75">
      <c r="A75" s="6" t="inlineStr">
        <is>
          <t>Terminal inflation — UAE house macro path</t>
        </is>
      </c>
      <c r="C75" s="30" t="n">
        <v>0.02</v>
      </c>
      <c r="H75" s="4" t="inlineStr">
        <is>
          <t>The house long-run inflation for this market; this study carries no inflation number of its own</t>
        </is>
      </c>
    </row>
    <row r="76">
      <c r="A76" s="6" t="inlineStr">
        <is>
          <t>REAL growth, FY2031-FY2040 window (stage one)</t>
        </is>
      </c>
      <c r="C76" s="30" t="n">
        <v>0.004901960784313725</v>
      </c>
      <c r="H76" s="4" t="inlineStr">
        <is>
          <t>Stage-one REAL growth, and it is the RESIDUE of a volume assumption rather than a rate anybody set: this company's tariff is REGULATED AND NOT INDEXED, so nominal revenue growth IS volume growth. The previous edition typed 2.5% nominal as the Dubai build-out rate (connected 1.7m of ~2.0m RT contracted), and on the house terminal inflation of 2.0% that is +0.49% real. STORING IT THIS WAY MOVES NO NUMBER HERE, which is the point worth recording: on a frozen-tariff business a typed nominal rate carries a meaning it does not carry elsewhere, and the storage rule makes that visible instead of leaving a reader to compute it (2026-08-09)</t>
        </is>
      </c>
    </row>
    <row r="77">
      <c r="A77" s="6" t="inlineStr">
        <is>
          <t>REAL growth beyond FY2040 (stage two) — NEGATIVE</t>
        </is>
      </c>
      <c r="C77" s="30" t="n">
        <v>-0.004901960784313725</v>
      </c>
      <c r="H77" s="4" t="inlineStr">
        <is>
          <t>Stage-two REAL growth, and it is NEGATIVE — written down as the real number it is rather than left inside a nominal 1.5%. The previous edition set stage two at 1.5% nominal for 'long-run densification with about zero real tariff growth', and against 2.0% inflation that is a real DECLINE of 0.49% a year for ever. Under a tariff the regulator does not index, a business whose volume grows more slowly than prices shrinks in real terms by construction, and this rate says so (2026-08-09)</t>
        </is>
      </c>
    </row>
    <row r="78">
      <c r="A78" s="6" t="inlineStr">
        <is>
          <t>Weighted asset life, DERIVED from notes 5, 6 and 7 (years)</t>
        </is>
      </c>
      <c r="C78" s="25" t="n">
        <v>28.09842122488282</v>
      </c>
      <c r="H78" s="4" t="inlineStr">
        <is>
          <t>Audited consolidated financial statements for the year ended 31 December 2025, signed 9 February 2026, obtained from the company's own investor-relations page, notes 5, 6 and 7, DERIVED BY IDENTITY from those notes' own cost and charge columns and LABELLED as derived, and READ BY OCR OFF THE RENDERED PIXELS because the filing carries no usable text layer (85 bytes across 85 pages) and its property note is printed landscape, so the page was rotated before it could be read. ARITHMETIC IS THE ARBITER AND THE EXTRACTION FOOTS FOUR WAYS: the cost columns sum to the printed total of 10,929,327; the accumulated-depreciation columns to 3,734,337; cost less accumulated reproduces the balance sheet's 7,194,990; and the year's charge of 352,199 splits to the 341,696 in cost of sales and 10,503 in general and administrative expenses the notes state separately. Property, plant and equipment 10,001,105 (total less land, which is never depreciated, and less capital work in progress, whose accumulated column is impairment rather than depreciation) over 352,199 gives 28.40 years; right-of-use 22,649 over 5,361 gives 4.22; intangibles are DISCLOSED at 30 years outright and their gross cost follows from the flat charge. Blended, 28.10 years, cross-checked at 27.88 on FY2024's own columns. The right-of-use figure does NOT match the 15-year equipment lease the note names, and the note explains why rather than contradicting it: the book is 19,997 of buildings against 2,652 of equipment, and the buildings are a head office and labour accommodation on ONE-YEAR terms (2026-02-09)</t>
        </is>
      </c>
    </row>
    <row r="79">
      <c r="A79" s="6" t="inlineStr">
        <is>
          <t>Invested capital per unit of real growth (AED mn)</t>
        </is>
      </c>
      <c r="C79" s="25" t="n">
        <v>5526.341086457007</v>
      </c>
      <c r="H79" s="4" t="inlineStr">
        <is>
          <t>One per cent of real growth costs one per cent of the invested capital the business operates on. The marginal reading across the explicit window is NEGATIVE here, because the plant is written down faster than capex replaces it over those five years, and a negative capital requirement would credit this company for growing</t>
        </is>
      </c>
    </row>
    <row r="80">
      <c r="A80" s="6" t="inlineStr">
        <is>
          <t>Growth, FY2031-FY2040 window — (1+inflation)(1+real)-1</t>
        </is>
      </c>
      <c r="C80" s="10">
        <f>(1+$C$75)*(1+$C$76)-1</f>
        <v/>
      </c>
      <c r="H80" s="4" t="inlineStr">
        <is>
          <t>DERIVED from the two rows above, never typed. It reproduces the previous edition's 2.50% to the basis point, because under a tariff the regulator does not index a nominal growth rate IS a volume assumption</t>
        </is>
      </c>
    </row>
    <row r="81">
      <c r="A81" s="6" t="inlineStr">
        <is>
          <t>Growth beyond FY2040 — the same identity on the stage-two real rate</t>
        </is>
      </c>
      <c r="C81" s="10">
        <f>(1+$C$75)*(1+$C$77)-1</f>
        <v/>
      </c>
      <c r="H81" s="4" t="inlineStr">
        <is>
          <t>DERIVED. Reproduces the previous edition's 1.50%, and makes visible that it is a real DECLINE of half a point a year</t>
        </is>
      </c>
    </row>
    <row r="82">
      <c r="A82" s="6" t="inlineStr">
        <is>
          <t>Stub period — 30-Jun-2026 anchor to end-FY2026 (years)</t>
        </is>
      </c>
      <c r="C82" s="31" t="n">
        <v>0.4999999999999997</v>
      </c>
      <c r="H82" s="4" t="inlineStr">
        <is>
          <t>The bridge is struck on the 30-Jun-2026 reviewed balance sheet, so the cash-flow clock starts there too: FY2026 contributes its second half only and later year-ends sit at 1.5 to 4.5 years</t>
        </is>
      </c>
    </row>
    <row r="84">
      <c r="A84" s="11" t="inlineStr">
        <is>
          <t>Bridge — 30-Jun-2026 reviewed balance sheet</t>
        </is>
      </c>
      <c r="B84" s="14" t="n"/>
      <c r="C84" s="14" t="n"/>
      <c r="D84" s="14" t="n"/>
      <c r="E84" s="14" t="n"/>
      <c r="F84" s="14" t="n"/>
      <c r="G84" s="14" t="n"/>
      <c r="H84" s="14" t="n"/>
    </row>
    <row r="85">
      <c r="A85" s="6" t="inlineStr">
        <is>
          <t>Bank borrowings (AED mn)</t>
        </is>
      </c>
      <c r="C85" s="25" t="n">
        <v>5502.845</v>
      </c>
      <c r="H85" s="4" t="inlineStr">
        <is>
          <t>Bank borrowings 30-Jun-2026: current 2.845 + non-current 5,500.000, reviewed interim BS (2026-08-05)</t>
        </is>
      </c>
    </row>
    <row r="86">
      <c r="A86" s="6" t="inlineStr">
        <is>
          <t>Lease liabilities (AED mn)</t>
        </is>
      </c>
      <c r="C86" s="25" t="n">
        <v>0.872</v>
      </c>
      <c r="H86" s="4" t="inlineStr">
        <is>
          <t>Lease liabilities 30-Jun-2026 (2026-08-05)</t>
        </is>
      </c>
    </row>
    <row r="87">
      <c r="A87" s="6" t="inlineStr">
        <is>
          <t>Cash and cash equivalents (AED mn)</t>
        </is>
      </c>
      <c r="C87" s="25" t="n">
        <v>2472.012</v>
      </c>
      <c r="H87" s="4" t="inlineStr">
        <is>
          <t>Cash and cash equivalents 30-Jun-2026 (2026-08-05)</t>
        </is>
      </c>
    </row>
    <row r="88">
      <c r="A88" s="6" t="inlineStr">
        <is>
          <t>Term deposits (AED mn)</t>
        </is>
      </c>
      <c r="C88" s="25" t="n">
        <v>40.212</v>
      </c>
      <c r="H88" s="4" t="inlineStr">
        <is>
          <t>Term deposits (&gt;3m) 30-Jun-2026 (2026-08-05)</t>
        </is>
      </c>
    </row>
    <row r="89">
      <c r="A89" s="6" t="inlineStr">
        <is>
          <t>Related-party acquisition receivables at book (Note 8: 1,005.0 Dubai Aviation City + 289.4 Nakheel) (AED mn)</t>
        </is>
      </c>
      <c r="C89" s="25" t="n">
        <v>1294.442</v>
      </c>
      <c r="H89" s="4" t="inlineStr">
        <is>
          <t>Financial assets at amortised cost, 30-Jun-2026 reviewed BS: non-current 1,273.130 + current 21.312. Note 8 composition: AED 1,005.030 from Dubai Aviation City Corporation (DXB CoolCo acquisition, 2023) + AED 289.412 from Nakheel PJSC (Empower Snow acquisition, 2021) — related-party acquisition receivables under common control, NOT an operating concession asset. Clean financial-asset treatment adopted per critique (17-Aug-2026): interest income excluded from operating EBITDA/FCFF, asset added at book in the EV-to-equity bridge, and excluded from terminal invested capital (2026-08-05)</t>
        </is>
      </c>
    </row>
    <row r="90">
      <c r="A90" s="6" t="inlineStr">
        <is>
          <t>Investment properties (AED mn)</t>
        </is>
      </c>
      <c r="C90" s="25" t="n">
        <v>168.716</v>
      </c>
      <c r="H90" s="4" t="inlineStr">
        <is>
          <t>Investment properties 30-Jun-2026 (non-operating side pocket, added in the bridge at book) (2026-08-05)</t>
        </is>
      </c>
    </row>
    <row r="91">
      <c r="A91" s="6" t="inlineStr">
        <is>
          <t>Financial assets at fair value through profit or loss (AED mn)</t>
        </is>
      </c>
      <c r="C91" s="25" t="n">
        <v>53.411</v>
      </c>
      <c r="H91" s="4" t="inlineStr">
        <is>
          <t>Financial assets at FVTPL 30-Jun-2026 (cash-like, added in the bridge) (2026-08-05)</t>
        </is>
      </c>
    </row>
    <row r="92">
      <c r="A92" s="6" t="inlineStr">
        <is>
          <t>Financial assets at fair value through OCI (AED mn)</t>
        </is>
      </c>
      <c r="C92" s="25" t="n">
        <v>74.56399999999999</v>
      </c>
      <c r="H92" s="4" t="inlineStr">
        <is>
          <t>Financial assets at FVOCI 30-Jun-2026 (added at book) (2026-08-05)</t>
        </is>
      </c>
    </row>
    <row r="93">
      <c r="A93" s="6" t="inlineStr">
        <is>
          <t>Equity attributable to shareholders, 30-Jun-2026 (AED mn)</t>
        </is>
      </c>
      <c r="C93" s="25" t="n">
        <v>3337.585</v>
      </c>
      <c r="H93" s="4" t="inlineStr">
        <is>
          <t>Equity attributable to holders, 30-Jun-2026 reviewed BS (2026-08-05)</t>
        </is>
      </c>
    </row>
    <row r="94">
      <c r="A94" s="6" t="inlineStr">
        <is>
          <t>Non-controlling interests, 30-Jun-2026 (AED mn)</t>
        </is>
      </c>
      <c r="C94" s="25" t="n">
        <v>190.745</v>
      </c>
      <c r="H94" s="4" t="inlineStr">
        <is>
          <t>Non-controlling interests (15% of DXB CoolCo et al. — the H1-2026 subsidiary note shows Dxb CoolCo FZCO at 85%/85%), 30-Jun-2026 reviewed BS (2026-08-05)</t>
        </is>
      </c>
    </row>
    <row r="95">
      <c r="A95" s="6" t="inlineStr">
        <is>
          <t>Yield earned on cash balances</t>
        </is>
      </c>
      <c r="C95" s="30" t="n">
        <v>0.03500000000000009</v>
      </c>
      <c r="H95" s="4" t="inlineStr">
        <is>
          <t>Deposit-rate assumption used in the forecast finance line; flagged as an estimate</t>
        </is>
      </c>
    </row>
    <row r="96">
      <c r="A96" s="6" t="inlineStr">
        <is>
          <t>Committed annual dividend (AED mn)</t>
        </is>
      </c>
      <c r="C96" s="25" t="n">
        <v>875</v>
      </c>
      <c r="H96" s="4" t="inlineStr">
        <is>
          <t>Dividend AED 875m/yr committed for 2025 AND 2026 (2 x 437.5m, Oct/Apr), deck p12; FY2025 FS note 39: 875.0 paid in 2025 (2026-08-05)</t>
        </is>
      </c>
    </row>
    <row r="98">
      <c r="A98" s="11" t="inlineStr">
        <is>
          <t>Valuation lenses</t>
        </is>
      </c>
      <c r="B98" s="14" t="n"/>
      <c r="C98" s="14" t="n"/>
      <c r="D98" s="14" t="n"/>
      <c r="E98" s="14" t="n"/>
      <c r="F98" s="14" t="n"/>
      <c r="G98" s="14" t="n"/>
      <c r="H98" s="14" t="n"/>
    </row>
    <row r="99">
      <c r="A99" s="6" t="inlineStr">
        <is>
          <t>Peer EV/EBITDA — Tabreed (trailing, restruck at the anchor)</t>
        </is>
      </c>
      <c r="C99" s="32" t="n">
        <v>10.1</v>
      </c>
      <c r="H99" s="4" t="inlineStr">
        <is>
          <t>Tabreed (DFM) FY2025 results at the 2026-08-07 anchor (restruck: Tabreed 2.46 on 6/7-Aug; 0.5x of multiple = AED 0.078/share on this lens)</t>
        </is>
      </c>
    </row>
    <row r="100">
      <c r="A100" s="6" t="inlineStr">
        <is>
          <t>Peer price/earnings — Tabreed (trailing, restruck at the anchor)</t>
        </is>
      </c>
      <c r="C100" s="32" t="n">
        <v>15</v>
      </c>
      <c r="H100" s="4" t="inlineStr">
        <is>
          <t>Tabreed (DFM), close 2.46 on 6/7-Aug-2026 — cross-check input only</t>
        </is>
      </c>
    </row>
    <row r="101">
      <c r="A101" s="6" t="inlineStr">
        <is>
          <t>Peer price/earnings — DEWA (parent)</t>
        </is>
      </c>
      <c r="C101" s="32" t="n">
        <v>16.8</v>
      </c>
      <c r="H101" s="4" t="inlineStr">
        <is>
          <t>DEWA (DFM), Aug-2026 — context only, majority owner</t>
        </is>
      </c>
    </row>
    <row r="102">
      <c r="A102" s="6" t="inlineStr">
        <is>
          <t>Weight — discounted cash flow</t>
        </is>
      </c>
      <c r="C102" s="24" t="n">
        <v>0.5</v>
      </c>
    </row>
    <row r="103">
      <c r="A103" s="6" t="inlineStr">
        <is>
          <t>Weight — relative multiples</t>
        </is>
      </c>
      <c r="C103" s="24" t="n">
        <v>0.2</v>
      </c>
    </row>
    <row r="104">
      <c r="A104" s="6" t="inlineStr">
        <is>
          <t>Weight — normalised earnings</t>
        </is>
      </c>
      <c r="C104" s="24" t="n">
        <v>0.15</v>
      </c>
    </row>
    <row r="105">
      <c r="A105" s="6" t="inlineStr">
        <is>
          <t>Weight — book value</t>
        </is>
      </c>
      <c r="C105" s="24" t="n">
        <v>0.15</v>
      </c>
    </row>
    <row r="106">
      <c r="A106" s="6" t="inlineStr">
        <is>
          <t>DEWA control-transaction price, Feb-2026 (AED)</t>
        </is>
      </c>
      <c r="C106" s="22" t="n">
        <v>2.16</v>
      </c>
      <c r="H106" s="4" t="inlineStr">
        <is>
          <t>Related-party CONTROL price for Dubai Holding's 24% stake — a disclosed reference point, never fair value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t>
        </is>
      </c>
      <c r="B1" s="2" t="n"/>
      <c r="C1" s="2" t="n"/>
      <c r="D1" s="2" t="n"/>
      <c r="E1" s="2" t="n"/>
      <c r="F1" s="2" t="n"/>
    </row>
    <row r="2">
      <c r="A2" s="4" t="inlineStr">
        <is>
          <t>Three parallel constructions: the 9% corporate-tax framing, the 15% top-up-tax framing, and the CDS premium basis. The two tax framings are published side by side, never averaged.</t>
        </is>
      </c>
    </row>
    <row r="4">
      <c r="A4" s="5" t="inlineStr">
        <is>
          <t>Step</t>
        </is>
      </c>
      <c r="B4" s="5" t="inlineStr"/>
      <c r="C4" s="5" t="inlineStr">
        <is>
          <t>9% framing</t>
        </is>
      </c>
      <c r="D4" s="5" t="inlineStr">
        <is>
          <t>15% framing</t>
        </is>
      </c>
      <c r="E4" s="5" t="inlineStr">
        <is>
          <t>CDS basis</t>
        </is>
      </c>
    </row>
    <row r="5">
      <c r="A5" s="6" t="inlineStr">
        <is>
          <t>Enterprise value</t>
        </is>
      </c>
      <c r="C5" s="19">
        <f>DCF!C38</f>
        <v/>
      </c>
      <c r="D5" s="19">
        <f>DCF!C74</f>
        <v/>
      </c>
      <c r="E5" s="19">
        <f>DCF!C86</f>
        <v/>
      </c>
    </row>
    <row r="6">
      <c r="A6" s="6" t="inlineStr">
        <is>
          <t>Less net debt (30-Jun-2026)</t>
        </is>
      </c>
      <c r="C6" s="28">
        <f>-DCF!$C$53</f>
        <v/>
      </c>
      <c r="D6" s="28">
        <f>-DCF!$C$53</f>
        <v/>
      </c>
      <c r="E6" s="28">
        <f>-DCF!$C$53</f>
        <v/>
      </c>
    </row>
    <row r="7">
      <c r="A7" s="6" t="inlineStr">
        <is>
          <t>Plus related-party acquisition receivables at book (Note 8: 1,005.0 Dubai Aviation City + 289.4 Nakheel)</t>
        </is>
      </c>
      <c r="C7" s="19">
        <f>Assumptions!$C$89</f>
        <v/>
      </c>
      <c r="D7" s="19">
        <f>Assumptions!$C$89</f>
        <v/>
      </c>
      <c r="E7" s="19">
        <f>Assumptions!$C$89</f>
        <v/>
      </c>
    </row>
    <row r="8">
      <c r="A8" s="6" t="inlineStr">
        <is>
          <t>Plus investment properties at book</t>
        </is>
      </c>
      <c r="C8" s="19">
        <f>Assumptions!$C$90</f>
        <v/>
      </c>
      <c r="D8" s="19">
        <f>Assumptions!$C$90</f>
        <v/>
      </c>
      <c r="E8" s="19">
        <f>Assumptions!$C$90</f>
        <v/>
      </c>
    </row>
    <row r="9">
      <c r="A9" s="6" t="inlineStr">
        <is>
          <t>Plus financial assets at fair value through profit or loss</t>
        </is>
      </c>
      <c r="C9" s="19">
        <f>Assumptions!$C$91</f>
        <v/>
      </c>
      <c r="D9" s="19">
        <f>Assumptions!$C$91</f>
        <v/>
      </c>
      <c r="E9" s="19">
        <f>Assumptions!$C$91</f>
        <v/>
      </c>
    </row>
    <row r="10">
      <c r="A10" s="6" t="inlineStr">
        <is>
          <t>Plus financial assets at fair value through OCI</t>
        </is>
      </c>
      <c r="C10" s="19">
        <f>Assumptions!$C$92</f>
        <v/>
      </c>
      <c r="D10" s="19">
        <f>Assumptions!$C$92</f>
        <v/>
      </c>
      <c r="E10" s="19">
        <f>Assumptions!$C$92</f>
        <v/>
      </c>
    </row>
    <row r="11">
      <c r="A11" s="6" t="inlineStr">
        <is>
          <t>Equity value</t>
        </is>
      </c>
      <c r="C11" s="28">
        <f>SUM(C5:C10)</f>
        <v/>
      </c>
      <c r="D11" s="28">
        <f>SUM(D5:D10)</f>
        <v/>
      </c>
      <c r="E11" s="28">
        <f>SUM(E5:E10)</f>
        <v/>
      </c>
    </row>
    <row r="12">
      <c r="A12" s="6" t="inlineStr">
        <is>
          <t>Less non-controlling interests (at their share of profit)</t>
        </is>
      </c>
      <c r="C12" s="28">
        <f>-C11*$C$15</f>
        <v/>
      </c>
      <c r="D12" s="28">
        <f>-D11*$C$15</f>
        <v/>
      </c>
      <c r="E12" s="28">
        <f>-E11*$C$15</f>
        <v/>
      </c>
    </row>
    <row r="13">
      <c r="A13" s="14" t="inlineStr">
        <is>
          <t>Equity attributable to shareholders</t>
        </is>
      </c>
      <c r="B13" s="14" t="n"/>
      <c r="C13" s="33">
        <f>C11+C12</f>
        <v/>
      </c>
      <c r="D13" s="33">
        <f>D11+D12</f>
        <v/>
      </c>
      <c r="E13" s="33">
        <f>E11+E12</f>
        <v/>
      </c>
    </row>
    <row r="14">
      <c r="A14" s="14" t="inlineStr">
        <is>
          <t>Fair value per share (AED)</t>
        </is>
      </c>
      <c r="B14" s="14" t="n"/>
      <c r="C14" s="34">
        <f>C13/Assumptions!$C$6</f>
        <v/>
      </c>
      <c r="D14" s="34">
        <f>D13/Assumptions!$C$6</f>
        <v/>
      </c>
      <c r="E14" s="34">
        <f>E13/Assumptions!$C$6</f>
        <v/>
      </c>
    </row>
    <row r="15">
      <c r="A15" s="6" t="inlineStr">
        <is>
          <t>Non-controlling share of group profit</t>
        </is>
      </c>
      <c r="C15" s="27">
        <f>Assumptions!$C$10/Assumptions!$C$9</f>
        <v/>
      </c>
    </row>
    <row r="16">
      <c r="A16" s="6" t="inlineStr">
        <is>
          <t>Terminal value as a share of enterprise value</t>
        </is>
      </c>
      <c r="C16" s="8">
        <f>DCF!C39</f>
        <v/>
      </c>
      <c r="D16" s="8">
        <f>DCF!C73/DCF!C74</f>
        <v/>
      </c>
      <c r="E16" s="8">
        <f>DCF!C85/DCF!C86</f>
        <v/>
      </c>
    </row>
    <row r="18">
      <c r="A18" s="4" t="inlineStr">
        <is>
          <t>The bridge is struck on the 30-Jun-2026 reviewed balance sheet — the same date the cash-flow clock starts. The related-party acquisition receivables enter at book (their interest is outside operating profit and they are outside terminal invested capital); investment properties enter at book (their rental is likewise outside operating EBITDA); the two fair-value portfolios add at book.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Segments — the two-leg unit build, decomposed to physical units</t>
        </is>
      </c>
      <c r="B1" s="2" t="n"/>
      <c r="C1" s="2" t="n"/>
      <c r="D1" s="2" t="n"/>
      <c r="E1" s="2" t="n"/>
      <c r="F1" s="2" t="n"/>
      <c r="G1" s="2" t="n"/>
    </row>
    <row r="2">
      <c r="A2" s="4" t="inlineStr">
        <is>
          <t>Consumption (per-RT rate x average connected RT) + capacity/connection (per-RT rate x average connected RT) + pipes. The disclosed anchors are pasted ONCE on the Assumptions sheet; every cell here is a formula.</t>
        </is>
      </c>
    </row>
    <row r="4">
      <c r="A4" s="5" t="inlineStr">
        <is>
          <t>k RT / AED mn</t>
        </is>
      </c>
      <c r="B4" s="5" t="inlineStr">
        <is>
          <t>FY2025</t>
        </is>
      </c>
      <c r="C4" s="5" t="inlineStr">
        <is>
          <t>FY2026E</t>
        </is>
      </c>
      <c r="D4" s="5" t="inlineStr">
        <is>
          <t>FY2027E</t>
        </is>
      </c>
      <c r="E4" s="5" t="inlineStr">
        <is>
          <t>FY2028E</t>
        </is>
      </c>
      <c r="F4" s="5" t="inlineStr">
        <is>
          <t>FY2029E</t>
        </is>
      </c>
      <c r="G4" s="5" t="inlineStr">
        <is>
          <t>FY2030E</t>
        </is>
      </c>
    </row>
    <row r="5">
      <c r="A5" s="6" t="inlineStr">
        <is>
          <t>New connections added (k RT)</t>
        </is>
      </c>
      <c r="B5" s="35" t="inlineStr">
        <is>
          <t>-</t>
        </is>
      </c>
      <c r="C5" s="18">
        <f>Assumptions!$B$34</f>
        <v/>
      </c>
      <c r="D5" s="18">
        <f>Assumptions!$C$34</f>
        <v/>
      </c>
      <c r="E5" s="18">
        <f>Assumptions!$D$34</f>
        <v/>
      </c>
      <c r="F5" s="18">
        <f>Assumptions!$E$34</f>
        <v/>
      </c>
      <c r="G5" s="18">
        <f>Assumptions!$F$34</f>
        <v/>
      </c>
    </row>
    <row r="6">
      <c r="A6" s="6" t="inlineStr">
        <is>
          <t>Connected capacity, year-end (k RT)</t>
        </is>
      </c>
      <c r="B6" s="18">
        <f>Assumptions!$C$33</f>
        <v/>
      </c>
      <c r="C6" s="35">
        <f>B6+C5</f>
        <v/>
      </c>
      <c r="D6" s="35">
        <f>C6+D5</f>
        <v/>
      </c>
      <c r="E6" s="35">
        <f>D6+E5</f>
        <v/>
      </c>
      <c r="F6" s="35">
        <f>E6+F5</f>
        <v/>
      </c>
      <c r="G6" s="35">
        <f>F6+G5</f>
        <v/>
      </c>
    </row>
    <row r="7">
      <c r="A7" s="6" t="inlineStr">
        <is>
          <t>Average connected capacity (k RT)</t>
        </is>
      </c>
      <c r="B7" s="28">
        <f>(Assumptions!$C$32+Assumptions!$C$33)/2</f>
        <v/>
      </c>
      <c r="C7" s="28">
        <f>(B6+C6)/2</f>
        <v/>
      </c>
      <c r="D7" s="28">
        <f>(C6+D6)/2</f>
        <v/>
      </c>
      <c r="E7" s="28">
        <f>(D6+E6)/2</f>
        <v/>
      </c>
      <c r="F7" s="28">
        <f>(E6+F6)/2</f>
        <v/>
      </c>
      <c r="G7" s="28">
        <f>(F6+G6)/2</f>
        <v/>
      </c>
    </row>
    <row r="8">
      <c r="A8" s="6" t="inlineStr">
        <is>
          <t>Consumption revenue per average RT (AED k)</t>
        </is>
      </c>
      <c r="B8" s="36">
        <f>Assumptions!$C$49</f>
        <v/>
      </c>
      <c r="C8" s="26">
        <f>Assumptions!$C$49*(1+Assumptions!$C$35)</f>
        <v/>
      </c>
      <c r="D8" s="26">
        <f>Assumptions!$C$49*Assumptions!$C$36</f>
        <v/>
      </c>
      <c r="E8" s="26">
        <f>Assumptions!$C$49*Assumptions!$C$36</f>
        <v/>
      </c>
      <c r="F8" s="26">
        <f>Assumptions!$C$49*Assumptions!$C$36</f>
        <v/>
      </c>
      <c r="G8" s="26">
        <f>Assumptions!$C$49*Assumptions!$C$36</f>
        <v/>
      </c>
    </row>
    <row r="9">
      <c r="A9" s="6" t="inlineStr">
        <is>
          <t>Consumption leg</t>
        </is>
      </c>
      <c r="B9" s="19">
        <f>Assumptions!$C$15</f>
        <v/>
      </c>
      <c r="C9" s="28">
        <f>C8*C7</f>
        <v/>
      </c>
      <c r="D9" s="28">
        <f>D8*D7</f>
        <v/>
      </c>
      <c r="E9" s="28">
        <f>E8*E7</f>
        <v/>
      </c>
      <c r="F9" s="28">
        <f>F8*F7</f>
        <v/>
      </c>
      <c r="G9" s="28">
        <f>G8*G7</f>
        <v/>
      </c>
    </row>
    <row r="10">
      <c r="A10" s="6" t="inlineStr">
        <is>
          <t>Capacity, connection and other services leg</t>
        </is>
      </c>
      <c r="B10" s="28">
        <f>Assumptions!$C$14-B9-Assumptions!$C$37</f>
        <v/>
      </c>
      <c r="C10" s="28">
        <f>Assumptions!$C$50*C7</f>
        <v/>
      </c>
      <c r="D10" s="28">
        <f>Assumptions!$C$50*D7</f>
        <v/>
      </c>
      <c r="E10" s="28">
        <f>Assumptions!$C$50*E7</f>
        <v/>
      </c>
      <c r="F10" s="28">
        <f>Assumptions!$C$50*F7</f>
        <v/>
      </c>
      <c r="G10" s="28">
        <f>Assumptions!$C$50*G7</f>
        <v/>
      </c>
    </row>
    <row r="11">
      <c r="A11" s="6" t="inlineStr">
        <is>
          <t>Pre-insulated pipes</t>
        </is>
      </c>
      <c r="B11" s="19">
        <f>Assumptions!$C$37</f>
        <v/>
      </c>
      <c r="C11" s="19">
        <f>Assumptions!$C$37</f>
        <v/>
      </c>
      <c r="D11" s="19">
        <f>Assumptions!$C$37</f>
        <v/>
      </c>
      <c r="E11" s="19">
        <f>Assumptions!$C$37</f>
        <v/>
      </c>
      <c r="F11" s="19">
        <f>Assumptions!$C$37</f>
        <v/>
      </c>
      <c r="G11" s="19">
        <f>Assumptions!$C$37</f>
        <v/>
      </c>
    </row>
    <row r="12">
      <c r="A12" s="14" t="inlineStr">
        <is>
          <t>Total revenue</t>
        </is>
      </c>
      <c r="B12" s="33">
        <f>SUM(B9:B11)</f>
        <v/>
      </c>
      <c r="C12" s="33">
        <f>SUM(C9:C11)</f>
        <v/>
      </c>
      <c r="D12" s="33">
        <f>SUM(D9:D11)</f>
        <v/>
      </c>
      <c r="E12" s="33">
        <f>SUM(E9:E11)</f>
        <v/>
      </c>
      <c r="F12" s="33">
        <f>SUM(F9:F11)</f>
        <v/>
      </c>
      <c r="G12" s="33">
        <f>SUM(G9:G11)</f>
        <v/>
      </c>
    </row>
    <row r="14">
      <c r="A14" s="5" t="inlineStr">
        <is>
          <t>Cost stack — one escalator per driver class</t>
        </is>
      </c>
      <c r="B14" s="5" t="inlineStr">
        <is>
          <t>FY2025</t>
        </is>
      </c>
      <c r="C14" s="5" t="inlineStr">
        <is>
          <t>FY2026E</t>
        </is>
      </c>
      <c r="D14" s="5" t="inlineStr">
        <is>
          <t>FY2027E</t>
        </is>
      </c>
      <c r="E14" s="5" t="inlineStr">
        <is>
          <t>FY2028E</t>
        </is>
      </c>
      <c r="F14" s="5" t="inlineStr">
        <is>
          <t>FY2029E</t>
        </is>
      </c>
      <c r="G14" s="5" t="inlineStr">
        <is>
          <t>FY2030E</t>
        </is>
      </c>
    </row>
    <row r="15">
      <c r="A15" s="6" t="inlineStr">
        <is>
          <t>Electricity and water purchased from DEWA</t>
        </is>
      </c>
      <c r="B15" s="19">
        <f>Assumptions!$C$16</f>
        <v/>
      </c>
      <c r="C15" s="28">
        <f>Assumptions!$C$51*C9</f>
        <v/>
      </c>
      <c r="D15" s="28">
        <f>Assumptions!$C$51*D9</f>
        <v/>
      </c>
      <c r="E15" s="28">
        <f>Assumptions!$C$51*E9</f>
        <v/>
      </c>
      <c r="F15" s="28">
        <f>Assumptions!$C$51*F9</f>
        <v/>
      </c>
      <c r="G15" s="28">
        <f>Assumptions!$C$51*G9</f>
        <v/>
      </c>
    </row>
    <row r="16">
      <c r="A16" s="6" t="inlineStr">
        <is>
          <t>Other cash cost of sales (wage class)</t>
        </is>
      </c>
      <c r="B16" s="19">
        <f>Assumptions!$C$38</f>
        <v/>
      </c>
      <c r="C16" s="28">
        <f>B16*(1+Assumptions!$C$45)</f>
        <v/>
      </c>
      <c r="D16" s="28">
        <f>C16*(1+Assumptions!$C$45)</f>
        <v/>
      </c>
      <c r="E16" s="28">
        <f>D16*(1+Assumptions!$C$45)</f>
        <v/>
      </c>
      <c r="F16" s="28">
        <f>E16*(1+Assumptions!$C$45)</f>
        <v/>
      </c>
      <c r="G16" s="28">
        <f>F16*(1+Assumptions!$C$45)</f>
        <v/>
      </c>
    </row>
    <row r="17">
      <c r="A17" s="6" t="inlineStr">
        <is>
          <t>General and administrative cash cost (wage class)</t>
        </is>
      </c>
      <c r="B17" s="19">
        <f>Assumptions!$C$39</f>
        <v/>
      </c>
      <c r="C17" s="28">
        <f>B17*(1+Assumptions!$C$45)</f>
        <v/>
      </c>
      <c r="D17" s="28">
        <f>C17*(1+Assumptions!$C$45)</f>
        <v/>
      </c>
      <c r="E17" s="28">
        <f>D17*(1+Assumptions!$C$45)</f>
        <v/>
      </c>
      <c r="F17" s="28">
        <f>E17*(1+Assumptions!$C$45)</f>
        <v/>
      </c>
      <c r="G17" s="28">
        <f>F17*(1+Assumptions!$C$45)</f>
        <v/>
      </c>
    </row>
    <row r="18">
      <c r="A18" s="6" t="inlineStr">
        <is>
          <t>Interest on related-party acquisition receivables (excluded from operating EBITDA)</t>
        </is>
      </c>
      <c r="B18" s="19">
        <f>Assumptions!$C$43</f>
        <v/>
      </c>
      <c r="C18" s="28">
        <f>B18*(1-Assumptions!$C$44)</f>
        <v/>
      </c>
      <c r="D18" s="28">
        <f>C18*(1-Assumptions!$C$44)</f>
        <v/>
      </c>
      <c r="E18" s="28">
        <f>D18*(1-Assumptions!$C$44)</f>
        <v/>
      </c>
      <c r="F18" s="28">
        <f>E18*(1-Assumptions!$C$44)</f>
        <v/>
      </c>
      <c r="G18" s="28">
        <f>F18*(1-Assumptions!$C$44)</f>
        <v/>
      </c>
    </row>
    <row r="19">
      <c r="A19" s="6" t="inlineStr">
        <is>
          <t>Rental income on investment properties (excluded from operating EBITDA)</t>
        </is>
      </c>
      <c r="B19" s="19">
        <f>Assumptions!$C$41</f>
        <v/>
      </c>
      <c r="C19" s="19">
        <f>Assumptions!$C$41</f>
        <v/>
      </c>
      <c r="D19" s="19">
        <f>Assumptions!$C$41</f>
        <v/>
      </c>
      <c r="E19" s="19">
        <f>Assumptions!$C$41</f>
        <v/>
      </c>
      <c r="F19" s="19">
        <f>Assumptions!$C$41</f>
        <v/>
      </c>
      <c r="G19" s="19">
        <f>Assumptions!$C$41</f>
        <v/>
      </c>
    </row>
    <row r="20">
      <c r="A20" s="6" t="inlineStr">
        <is>
          <t>Operating other income (grant, scrap, others)</t>
        </is>
      </c>
      <c r="B20" s="19">
        <f>Assumptions!$C$57</f>
        <v/>
      </c>
      <c r="C20" s="19">
        <f>Assumptions!$C$57</f>
        <v/>
      </c>
      <c r="D20" s="19">
        <f>Assumptions!$C$57</f>
        <v/>
      </c>
      <c r="E20" s="19">
        <f>Assumptions!$C$57</f>
        <v/>
      </c>
      <c r="F20" s="19">
        <f>Assumptions!$C$57</f>
        <v/>
      </c>
      <c r="G20" s="19">
        <f>Assumptions!$C$57</f>
        <v/>
      </c>
    </row>
    <row r="21">
      <c r="A21" s="6" t="inlineStr">
        <is>
          <t>Reversal of credit-loss allowance (not forecast)</t>
        </is>
      </c>
      <c r="B21" s="19">
        <f>Assumptions!$C$42</f>
        <v/>
      </c>
      <c r="C21" s="25" t="n">
        <v>0</v>
      </c>
      <c r="D21" s="25" t="n">
        <v>0</v>
      </c>
      <c r="E21" s="25" t="n">
        <v>0</v>
      </c>
      <c r="F21" s="25" t="n">
        <v>0</v>
      </c>
      <c r="G21" s="25" t="n">
        <v>0</v>
      </c>
    </row>
    <row r="22">
      <c r="A22" s="14" t="inlineStr">
        <is>
          <t>Operating EBITDA (excludes receivable interest and rental income)</t>
        </is>
      </c>
      <c r="B22" s="33">
        <f>B12-B15-B16-B17+B20+B21</f>
        <v/>
      </c>
      <c r="C22" s="33">
        <f>C12-C15-C16-C17+C20+C21</f>
        <v/>
      </c>
      <c r="D22" s="33">
        <f>D12-D15-D16-D17+D20+D21</f>
        <v/>
      </c>
      <c r="E22" s="33">
        <f>E12-E15-E16-E17+E20+E21</f>
        <v/>
      </c>
      <c r="F22" s="33">
        <f>F12-F15-F16-F17+F20+F21</f>
        <v/>
      </c>
      <c r="G22" s="33">
        <f>G12-G15-G16-G17+G20+G21</f>
        <v/>
      </c>
    </row>
    <row r="23">
      <c r="A23" s="6" t="inlineStr">
        <is>
          <t>Operating EBITDA margin</t>
        </is>
      </c>
      <c r="B23" s="10">
        <f>B22/B12</f>
        <v/>
      </c>
      <c r="C23" s="10">
        <f>C22/C12</f>
        <v/>
      </c>
      <c r="D23" s="10">
        <f>D22/D12</f>
        <v/>
      </c>
      <c r="E23" s="10">
        <f>E22/E12</f>
        <v/>
      </c>
      <c r="F23" s="10">
        <f>F22/F12</f>
        <v/>
      </c>
      <c r="G23" s="10">
        <f>G22/G12</f>
        <v/>
      </c>
    </row>
    <row r="24">
      <c r="A24" s="6" t="inlineStr">
        <is>
          <t>Reconciliation: operating EBITDA + receivable interest + rental = audited operating profit + depreciation (FY2025)</t>
        </is>
      </c>
      <c r="B24" s="28">
        <f>B22+B18+B19</f>
        <v/>
      </c>
    </row>
    <row r="26">
      <c r="A26" s="5" t="inlineStr">
        <is>
          <t>Physical decomposition — consumption = connected RT x hours x tariff</t>
        </is>
      </c>
      <c r="B26" s="5" t="inlineStr"/>
      <c r="C26" s="5" t="inlineStr">
        <is>
          <t>Value</t>
        </is>
      </c>
    </row>
    <row r="27">
      <c r="A27" s="6" t="inlineStr">
        <is>
          <t>Realised consumption tariff, H1-2026 (AED/RTh)</t>
        </is>
      </c>
      <c r="C27" s="37">
        <f>Assumptions!$C$62*Assumptions!$C$60/Assumptions!$C$61</f>
        <v/>
      </c>
    </row>
    <row r="28">
      <c r="A28" s="6" t="inlineStr">
        <is>
          <t>Headroom vs the RD10 v1.3 regulated cap (0.643 incl. fuel surcharge)</t>
        </is>
      </c>
      <c r="C28" s="10">
        <f>C27/Assumptions!$C$63-1</f>
        <v/>
      </c>
    </row>
    <row r="29">
      <c r="A29" s="6" t="inlineStr">
        <is>
          <t>Implied cooling delivered, FY2025 (m RTh)</t>
        </is>
      </c>
      <c r="C29" s="35">
        <f>B9/C27</f>
        <v/>
      </c>
    </row>
    <row r="30">
      <c r="A30" s="6" t="inlineStr">
        <is>
          <t>Implied equivalent full-load hours, FY2025 (hrs per connected RT)</t>
        </is>
      </c>
      <c r="C30" s="35">
        <f>C29*1000/B7</f>
        <v/>
      </c>
    </row>
    <row r="31">
      <c r="A31" s="6" t="inlineStr">
        <is>
          <t>Equivalent full-load hours, H1-2026 (hrs)</t>
        </is>
      </c>
      <c r="C31" s="18">
        <f>Assumptions!$C$64</f>
        <v/>
      </c>
    </row>
    <row r="33">
      <c r="A33" s="4" t="inlineStr">
        <is>
          <t>The FY2025 column rebuilds the audited year from the same identity; row 24 shows the reconciliation to the audited operating profit plus depreciation (1,642.2): operating EBITDA (which includes the credit-loss reversal) plus the receivable interest plus the rental income. The FY2023-24 rental split is not disclosed, so only FY2025 carries the full split.</t>
        </is>
      </c>
    </row>
    <row r="34">
      <c r="A34" s="4" t="inlineStr">
        <is>
          <t>Cost classes escalate on their own drivers: DEWA purchases follow the consumption leg (pass-through ratio held at the FY2025 print), wage-class lines escalate at the wage rate, and the receivable interest amortises. No blended index is applied across physically distinct cost lines.</t>
        </is>
      </c>
    </row>
    <row r="35">
      <c r="A35" s="4" t="inlineStr">
        <is>
          <t>Cross-check: H1-2026 revenue of 1,519.4 scaled by the FY2025 seasonal split implies roughly 3,575 for FY2026; the model carries 3,503, within 4% (H2 carries the summer consumption peak). The realised tariff sits 1.4% below the regulated cap: Empower already prices at the cap, so the flat-tariff assumption is the regulation, not a house guess.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Relative multiples, normalised earnings power, book value and dividends</t>
        </is>
      </c>
      <c r="B1" s="2" t="n"/>
      <c r="C1" s="2" t="n"/>
      <c r="D1" s="2" t="n"/>
      <c r="E1" s="2" t="n"/>
      <c r="F1" s="2" t="n"/>
    </row>
    <row r="4">
      <c r="A4" s="5" t="inlineStr">
        <is>
          <t>Relative lens — trailing peer EV/EBITDA on trailing operating EBITDA</t>
        </is>
      </c>
      <c r="B4" s="5" t="inlineStr"/>
      <c r="C4" s="5" t="inlineStr">
        <is>
          <t>Value</t>
        </is>
      </c>
    </row>
    <row r="5">
      <c r="A5" s="6" t="inlineStr">
        <is>
          <t>FY2025A EBITDA excluding receivable interest (operating EBITDA + rental; AED mn)</t>
        </is>
      </c>
      <c r="C5" s="19">
        <f>Assumptions!$C$14-Assumptions!$C$16-Assumptions!$C$38-Assumptions!$C$39+Assumptions!$C$57+Assumptions!$C$42+Assumptions!$C$41</f>
        <v/>
      </c>
    </row>
    <row r="6">
      <c r="A6" s="6" t="inlineStr">
        <is>
          <t>Peer EV/EBITDA (Tabreed, trailing; restruck at the 07-Aug-2026 anchor)</t>
        </is>
      </c>
      <c r="C6" s="38">
        <f>Assumptions!$C$99</f>
        <v/>
      </c>
    </row>
    <row r="7">
      <c r="A7" s="6" t="inlineStr">
        <is>
          <t>Implied enterprise value (AED mn)</t>
        </is>
      </c>
      <c r="C7" s="28">
        <f>C5*C6</f>
        <v/>
      </c>
    </row>
    <row r="8">
      <c r="A8" s="6" t="inlineStr">
        <is>
          <t>Less net debt</t>
        </is>
      </c>
      <c r="C8" s="19">
        <f>-DCF!$C$53</f>
        <v/>
      </c>
    </row>
    <row r="9">
      <c r="A9" s="6" t="inlineStr">
        <is>
          <t>Plus related-party acquisition receivables at book</t>
        </is>
      </c>
      <c r="C9" s="19">
        <f>Assumptions!$C$89</f>
        <v/>
      </c>
    </row>
    <row r="10">
      <c r="A10" s="6" t="inlineStr">
        <is>
          <t>Plus investment properties and fair-value assets</t>
        </is>
      </c>
      <c r="C10" s="19">
        <f>Assumptions!$C$90+Assumptions!$C$91+Assumptions!$C$92</f>
        <v/>
      </c>
    </row>
    <row r="11">
      <c r="A11" s="6" t="inlineStr">
        <is>
          <t>Equity value (AED mn)</t>
        </is>
      </c>
      <c r="C11" s="28">
        <f>SUM(C7:C10)</f>
        <v/>
      </c>
    </row>
    <row r="12">
      <c r="A12" s="14" t="inlineStr">
        <is>
          <t>Implied value per share (AED)</t>
        </is>
      </c>
      <c r="B12" s="14" t="n"/>
      <c r="C12" s="34">
        <f>C11*(1-'SOTP Bridge'!$C$15)/Assumptions!$C$6</f>
        <v/>
      </c>
    </row>
    <row r="13">
      <c r="A13" s="6" t="inlineStr">
        <is>
          <t>Sensitivity: each 0.5x on the peer multiple moves this lens by (AED/share)</t>
        </is>
      </c>
      <c r="C13" s="9">
        <f>0.5*C5*(1-'SOTP Bridge'!$C$15)/Assumptions!$C$6</f>
        <v/>
      </c>
    </row>
    <row r="14">
      <c r="A14" s="6" t="inlineStr">
        <is>
          <t>Peer price/earnings (Tabreed) on FY2026E attributable profit</t>
        </is>
      </c>
      <c r="C14" s="9">
        <f>Assumptions!$C$100*'Income Statement'!E18/Assumptions!$C$6</f>
        <v/>
      </c>
    </row>
    <row r="16">
      <c r="A16" s="5" t="inlineStr">
        <is>
          <t>Own trailing multiples</t>
        </is>
      </c>
      <c r="B16" s="5" t="inlineStr"/>
      <c r="C16" s="5" t="inlineStr">
        <is>
          <t>Value</t>
        </is>
      </c>
    </row>
    <row r="17">
      <c r="A17" s="6" t="inlineStr">
        <is>
          <t>Trailing enterprise value / EBITDA (audited-definition EBITDA)</t>
        </is>
      </c>
      <c r="C17" s="39">
        <f>(Assumptions!$C$5*Assumptions!$C$6+DCF!$C$53)/('Income Statement'!D9+'Income Statement'!D6+'Income Statement'!D7)</f>
        <v/>
      </c>
    </row>
    <row r="18">
      <c r="A18" s="6" t="inlineStr">
        <is>
          <t>Trailing price / earnings</t>
        </is>
      </c>
      <c r="C18" s="39">
        <f>Assumptions!$C$5/'Income Statement'!D19</f>
        <v/>
      </c>
    </row>
    <row r="19">
      <c r="A19" s="6" t="inlineStr">
        <is>
          <t>Trailing price / book (30-Jun-2026)</t>
        </is>
      </c>
      <c r="C19" s="39">
        <f>Assumptions!$C$5/C37</f>
        <v/>
      </c>
    </row>
    <row r="20">
      <c r="A20" s="6" t="inlineStr">
        <is>
          <t>Net debt / FY2025 EBITDA (audited definition)</t>
        </is>
      </c>
      <c r="C20" s="39">
        <f>DCF!$C$53/('Income Statement'!D9+'Income Statement'!D6+'Income Statement'!D7)</f>
        <v/>
      </c>
    </row>
    <row r="22">
      <c r="A22" s="5" t="inlineStr">
        <is>
          <t>Normalised earnings power — FY2026E without the consumption shock</t>
        </is>
      </c>
      <c r="B22" s="5" t="inlineStr"/>
      <c r="C22" s="5" t="inlineStr">
        <is>
          <t>Value</t>
        </is>
      </c>
    </row>
    <row r="23">
      <c r="A23" s="6" t="inlineStr">
        <is>
          <t>Revenue at the unshocked per-RT level (AED mn)</t>
        </is>
      </c>
      <c r="C23" s="19">
        <f>Assumptions!$C$49*Segments!C7+Segments!C10+Assumptions!$C$37</f>
        <v/>
      </c>
    </row>
    <row r="24">
      <c r="A24" s="6" t="inlineStr">
        <is>
          <t>Normalised EBITDA incl. receivable interest and rental (the earnings lens keeps both; AED mn)</t>
        </is>
      </c>
      <c r="C24" s="19">
        <f>C23+Segments!C18+Segments!C19-Assumptions!$C$51*Assumptions!$C$49*Segments!C7-Segments!C16-Segments!C17+Assumptions!$C$57</f>
        <v/>
      </c>
    </row>
    <row r="25">
      <c r="A25" s="6" t="inlineStr">
        <is>
          <t>Less depreciation and amortisation (FY2026E)</t>
        </is>
      </c>
      <c r="C25" s="19">
        <f>-DCF!B12</f>
        <v/>
      </c>
    </row>
    <row r="26">
      <c r="A26" s="6" t="inlineStr">
        <is>
          <t>Net finance charge (FY2026E)</t>
        </is>
      </c>
      <c r="C26" s="19">
        <f>'Income Statement'!E13</f>
        <v/>
      </c>
    </row>
    <row r="27">
      <c r="A27" s="6" t="inlineStr">
        <is>
          <t>Normalised attributable profit (AED mn)</t>
        </is>
      </c>
      <c r="C27" s="28">
        <f>(C24+C25+C26)*(1-Assumptions!$C$7)*(1-'SOTP Bridge'!$C$15)</f>
        <v/>
      </c>
    </row>
    <row r="28">
      <c r="A28" s="6" t="inlineStr">
        <is>
          <t>Normalised earnings per share (AED)</t>
        </is>
      </c>
      <c r="C28" s="9">
        <f>C27/Assumptions!$C$6</f>
        <v/>
      </c>
    </row>
    <row r="29">
      <c r="A29" s="6" t="inlineStr">
        <is>
          <t>Sustainable return on equity (FY2025 profit / average equity)</t>
        </is>
      </c>
      <c r="C29" s="10">
        <f>Assumptions!$C$11/((Assumptions!$C$29+Assumptions!$C$28)/2)</f>
        <v/>
      </c>
    </row>
    <row r="30">
      <c r="A30" s="6" t="inlineStr">
        <is>
          <t>Justified FORWARD price/earnings — (1 - growth/return) / (cost of equity - growth)</t>
        </is>
      </c>
      <c r="C30" s="38">
        <f>(1-Assumptions!$C$80/C29)/(DCF!$C$50-Assumptions!$C$80)</f>
        <v/>
      </c>
    </row>
    <row r="31">
      <c r="A31" s="14" t="inlineStr">
        <is>
          <t>Implied value per share (AED)</t>
        </is>
      </c>
      <c r="B31" s="14" t="n"/>
      <c r="C31" s="34">
        <f>C28*C30</f>
        <v/>
      </c>
    </row>
    <row r="32">
      <c r="A32" s="6" t="inlineStr">
        <is>
          <t>15% framing: sustainable return re-taxed</t>
        </is>
      </c>
      <c r="C32" s="10">
        <f>C29*(1-Assumptions!$C$8)/(1-Assumptions!$C$7)</f>
        <v/>
      </c>
    </row>
    <row r="33">
      <c r="A33" s="6" t="inlineStr">
        <is>
          <t>15% framing: justified forward price/earnings</t>
        </is>
      </c>
      <c r="C33" s="38">
        <f>(1-Assumptions!$C$80/C32)/(DCF!$C$50-Assumptions!$C$80)</f>
        <v/>
      </c>
    </row>
    <row r="34">
      <c r="A34" s="6" t="inlineStr">
        <is>
          <t>15% framing: implied value per share (re-taxed earnings AND return)</t>
        </is>
      </c>
      <c r="C34" s="9">
        <f>C28*(1-Assumptions!$C$8)/(1-Assumptions!$C$7)*C33</f>
        <v/>
      </c>
    </row>
    <row r="36">
      <c r="A36" s="5" t="inlineStr">
        <is>
          <t>Book value and sustainable return</t>
        </is>
      </c>
      <c r="B36" s="5" t="inlineStr"/>
      <c r="C36" s="5" t="inlineStr">
        <is>
          <t>Value</t>
        </is>
      </c>
    </row>
    <row r="37">
      <c r="A37" s="6" t="inlineStr">
        <is>
          <t>Book value per share, 30-Jun-2026 (AED)</t>
        </is>
      </c>
      <c r="C37" s="9">
        <f>Assumptions!$C$93/Assumptions!$C$6</f>
        <v/>
      </c>
    </row>
    <row r="38">
      <c r="A38" s="6" t="inlineStr">
        <is>
          <t>Justified price/book — (return - g) / (cost of equity - g)</t>
        </is>
      </c>
      <c r="C38" s="38">
        <f>(C29-Assumptions!$C$80)/(DCF!$C$50-Assumptions!$C$80)</f>
        <v/>
      </c>
    </row>
    <row r="39">
      <c r="A39" s="14" t="inlineStr">
        <is>
          <t>Implied value per share (AED)</t>
        </is>
      </c>
      <c r="B39" s="14" t="n"/>
      <c r="C39" s="34">
        <f>C37*C38</f>
        <v/>
      </c>
    </row>
    <row r="40">
      <c r="A40" s="6" t="inlineStr">
        <is>
          <t>15% framing: justified price/book on the re-taxed return</t>
        </is>
      </c>
      <c r="C40" s="38">
        <f>(C32-Assumptions!$C$80)/(DCF!$C$50-Assumptions!$C$80)</f>
        <v/>
      </c>
    </row>
    <row r="41">
      <c r="A41" s="6" t="inlineStr">
        <is>
          <t>15% framing: implied value per share</t>
        </is>
      </c>
      <c r="C41" s="9">
        <f>C37*C40</f>
        <v/>
      </c>
    </row>
    <row r="43">
      <c r="A43" s="5" t="inlineStr">
        <is>
          <t>Dividend cross-check</t>
        </is>
      </c>
      <c r="B43" s="5" t="inlineStr"/>
      <c r="C43" s="5" t="inlineStr">
        <is>
          <t>Value</t>
        </is>
      </c>
    </row>
    <row r="44">
      <c r="A44" s="6" t="inlineStr">
        <is>
          <t>Dividend per share — committed distribution (AED)</t>
        </is>
      </c>
      <c r="C44" s="9">
        <f>Assumptions!$C$96/Assumptions!$C$6</f>
        <v/>
      </c>
    </row>
    <row r="45">
      <c r="A45" s="6" t="inlineStr">
        <is>
          <t>Dividend value — grown at stage-one growth, at the cost of equity (AED)</t>
        </is>
      </c>
      <c r="C45" s="7">
        <f>C44*(1+Assumptions!$C$80)/(DCF!$C$50-Assumptions!$C$80)</f>
        <v/>
      </c>
    </row>
    <row r="47">
      <c r="A47" s="4" t="inlineStr">
        <is>
          <t>The trailing multiples use the audited-definition EBITDA (operating EBITDA plus the receivable interest plus rental) so they compare like-for-like with peer marks computed off reported statements. The normalised lens re-runs year one at the FY2025 per-RT consumption level: it answers what the business earns if the consumption shock (hospitality-occupancy-led ~80% per the company's H1-2026 attribution; weather a minor factor) proves cyclical. Both earnings-based lenses keep the receivable interest and rental in profit — they are real income; only operating EBITDA and free cash flow exclude them.</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80" customWidth="1" min="8" max="8"/>
  </cols>
  <sheetData>
    <row r="1">
      <c r="A1" s="1" t="inlineStr">
        <is>
          <t>Discounted cash flow — the full waterfall</t>
        </is>
      </c>
      <c r="B1" s="2" t="n"/>
      <c r="C1" s="2" t="n"/>
      <c r="D1" s="2" t="n"/>
      <c r="E1" s="2" t="n"/>
      <c r="F1" s="2" t="n"/>
      <c r="G1" s="2" t="n"/>
    </row>
    <row r="2">
      <c r="A2" s="4" t="inlineStr">
        <is>
          <t>Every line is a live formula. The clock starts at the 30-Jun-2026 balance-sheet anchor (FY2026 is a half-year stub); the terminal is a two-stage fade: a FY2031-40 build-out window, then a long-run perpetuity.</t>
        </is>
      </c>
    </row>
    <row r="4">
      <c r="A4" s="5" t="inlineStr">
        <is>
          <t>AED mn</t>
        </is>
      </c>
      <c r="B4" s="5" t="inlineStr">
        <is>
          <t>FY2026E</t>
        </is>
      </c>
      <c r="C4" s="5" t="inlineStr">
        <is>
          <t>FY2027E</t>
        </is>
      </c>
      <c r="D4" s="5" t="inlineStr">
        <is>
          <t>FY2028E</t>
        </is>
      </c>
      <c r="E4" s="5" t="inlineStr">
        <is>
          <t>FY2029E</t>
        </is>
      </c>
      <c r="F4" s="5" t="inlineStr">
        <is>
          <t>FY2030E</t>
        </is>
      </c>
    </row>
    <row r="5">
      <c r="A5" s="6" t="inlineStr">
        <is>
          <t>Revenue</t>
        </is>
      </c>
      <c r="B5" s="19">
        <f>Segments!C12</f>
        <v/>
      </c>
      <c r="C5" s="19">
        <f>Segments!D12</f>
        <v/>
      </c>
      <c r="D5" s="19">
        <f>Segments!E12</f>
        <v/>
      </c>
      <c r="E5" s="19">
        <f>Segments!F12</f>
        <v/>
      </c>
      <c r="F5" s="19">
        <f>Segments!G12</f>
        <v/>
      </c>
    </row>
    <row r="6">
      <c r="A6" s="15" t="inlineStr">
        <is>
          <t>Operating EBITDA</t>
        </is>
      </c>
      <c r="B6" s="40">
        <f>Segments!C22</f>
        <v/>
      </c>
      <c r="C6" s="40">
        <f>Segments!D22</f>
        <v/>
      </c>
      <c r="D6" s="40">
        <f>Segments!E22</f>
        <v/>
      </c>
      <c r="E6" s="40">
        <f>Segments!F22</f>
        <v/>
      </c>
      <c r="F6" s="40">
        <f>Segments!G22</f>
        <v/>
      </c>
    </row>
    <row r="7">
      <c r="A7" s="6" t="inlineStr">
        <is>
          <t>Operating EBITDA margin</t>
        </is>
      </c>
      <c r="B7" s="10">
        <f>B6/B5</f>
        <v/>
      </c>
      <c r="C7" s="10">
        <f>C6/C5</f>
        <v/>
      </c>
      <c r="D7" s="10">
        <f>D6/D5</f>
        <v/>
      </c>
      <c r="E7" s="10">
        <f>E6/E5</f>
        <v/>
      </c>
      <c r="F7" s="10">
        <f>F6/F5</f>
        <v/>
      </c>
    </row>
    <row r="8">
      <c r="A8" s="6" t="inlineStr">
        <is>
          <t>Opening net plant</t>
        </is>
      </c>
      <c r="B8" s="19">
        <f>Assumptions!$C$21</f>
        <v/>
      </c>
      <c r="C8" s="28">
        <f>B11</f>
        <v/>
      </c>
      <c r="D8" s="28">
        <f>C11</f>
        <v/>
      </c>
      <c r="E8" s="28">
        <f>D11</f>
        <v/>
      </c>
      <c r="F8" s="28">
        <f>E11</f>
        <v/>
      </c>
    </row>
    <row r="9">
      <c r="A9" s="6" t="inlineStr">
        <is>
          <t>Capital expenditure (per added RT + maintenance)</t>
        </is>
      </c>
      <c r="B9" s="28">
        <f>Assumptions!$C$52*Segments!C5+Assumptions!$C$46*B8</f>
        <v/>
      </c>
      <c r="C9" s="28">
        <f>Assumptions!$C$52*Segments!D5+Assumptions!$C$46*C8</f>
        <v/>
      </c>
      <c r="D9" s="28">
        <f>Assumptions!$C$52*Segments!E5+Assumptions!$C$46*D8</f>
        <v/>
      </c>
      <c r="E9" s="28">
        <f>Assumptions!$C$52*Segments!F5+Assumptions!$C$46*E8</f>
        <v/>
      </c>
      <c r="F9" s="28">
        <f>Assumptions!$C$52*Segments!G5+Assumptions!$C$46*F8</f>
        <v/>
      </c>
    </row>
    <row r="10">
      <c r="A10" s="6" t="inlineStr">
        <is>
          <t>Depreciation on plant</t>
        </is>
      </c>
      <c r="B10" s="28">
        <f>Assumptions!$C$53*B8</f>
        <v/>
      </c>
      <c r="C10" s="28">
        <f>Assumptions!$C$53*C8</f>
        <v/>
      </c>
      <c r="D10" s="28">
        <f>Assumptions!$C$53*D8</f>
        <v/>
      </c>
      <c r="E10" s="28">
        <f>Assumptions!$C$53*E8</f>
        <v/>
      </c>
      <c r="F10" s="28">
        <f>Assumptions!$C$53*F8</f>
        <v/>
      </c>
    </row>
    <row r="11">
      <c r="A11" s="6" t="inlineStr">
        <is>
          <t>Closing net plant</t>
        </is>
      </c>
      <c r="B11" s="28">
        <f>B8+B9-B10</f>
        <v/>
      </c>
      <c r="C11" s="28">
        <f>C8+C9-C10</f>
        <v/>
      </c>
      <c r="D11" s="28">
        <f>D8+D9-D10</f>
        <v/>
      </c>
      <c r="E11" s="28">
        <f>E8+E9-E10</f>
        <v/>
      </c>
      <c r="F11" s="28">
        <f>F8+F9-F10</f>
        <v/>
      </c>
    </row>
    <row r="12">
      <c r="A12" s="6" t="inlineStr">
        <is>
          <t>Depreciation and amortisation (incl. right-of-use and intangibles)</t>
        </is>
      </c>
      <c r="B12" s="28">
        <f>B10+Assumptions!$C$54</f>
        <v/>
      </c>
      <c r="C12" s="28">
        <f>C10+Assumptions!$C$54</f>
        <v/>
      </c>
      <c r="D12" s="28">
        <f>D10+Assumptions!$C$54</f>
        <v/>
      </c>
      <c r="E12" s="28">
        <f>E10+Assumptions!$C$54</f>
        <v/>
      </c>
      <c r="F12" s="28">
        <f>F10+Assumptions!$C$54</f>
        <v/>
      </c>
    </row>
    <row r="13">
      <c r="A13" s="14" t="inlineStr">
        <is>
          <t>EBIT (operating)</t>
        </is>
      </c>
      <c r="B13" s="33">
        <f>B6-B12</f>
        <v/>
      </c>
      <c r="C13" s="33">
        <f>C6-C12</f>
        <v/>
      </c>
      <c r="D13" s="33">
        <f>D6-D12</f>
        <v/>
      </c>
      <c r="E13" s="33">
        <f>E6-E12</f>
        <v/>
      </c>
      <c r="F13" s="33">
        <f>F6-F12</f>
        <v/>
      </c>
      <c r="G13" s="14" t="n"/>
    </row>
    <row r="14">
      <c r="A14" s="6" t="inlineStr">
        <is>
          <t>NOPAT — EBIT x (1 - corporate tax)</t>
        </is>
      </c>
      <c r="B14" s="28">
        <f>B13*(1-Assumptions!$C$7)</f>
        <v/>
      </c>
      <c r="C14" s="28">
        <f>C13*(1-Assumptions!$C$7)</f>
        <v/>
      </c>
      <c r="D14" s="28">
        <f>D13*(1-Assumptions!$C$7)</f>
        <v/>
      </c>
      <c r="E14" s="28">
        <f>E13*(1-Assumptions!$C$7)</f>
        <v/>
      </c>
      <c r="F14" s="28">
        <f>F13*(1-Assumptions!$C$7)</f>
        <v/>
      </c>
    </row>
    <row r="15">
      <c r="A15" s="6" t="inlineStr">
        <is>
          <t>Add back depreciation and amortisation</t>
        </is>
      </c>
      <c r="B15" s="28">
        <f>B12</f>
        <v/>
      </c>
      <c r="C15" s="28">
        <f>C12</f>
        <v/>
      </c>
      <c r="D15" s="28">
        <f>D12</f>
        <v/>
      </c>
      <c r="E15" s="28">
        <f>E12</f>
        <v/>
      </c>
      <c r="F15" s="28">
        <f>F12</f>
        <v/>
      </c>
    </row>
    <row r="16">
      <c r="A16" s="6" t="inlineStr">
        <is>
          <t>Less capital expenditure</t>
        </is>
      </c>
      <c r="B16" s="28">
        <f>-B9</f>
        <v/>
      </c>
      <c r="C16" s="28">
        <f>-C9</f>
        <v/>
      </c>
      <c r="D16" s="28">
        <f>-D9</f>
        <v/>
      </c>
      <c r="E16" s="28">
        <f>-E9</f>
        <v/>
      </c>
      <c r="F16" s="28">
        <f>-F9</f>
        <v/>
      </c>
    </row>
    <row r="17">
      <c r="A17" s="6" t="inlineStr">
        <is>
          <t>Less change in net working capital</t>
        </is>
      </c>
      <c r="B17" s="28">
        <f>-(Assumptions!$C$56*B5-Assumptions!$C$55)</f>
        <v/>
      </c>
      <c r="C17" s="28">
        <f>-Assumptions!$C$56*(C5-B5)</f>
        <v/>
      </c>
      <c r="D17" s="28">
        <f>-Assumptions!$C$56*(D5-C5)</f>
        <v/>
      </c>
      <c r="E17" s="28">
        <f>-Assumptions!$C$56*(E5-D5)</f>
        <v/>
      </c>
      <c r="F17" s="28">
        <f>-Assumptions!$C$56*(F5-E5)</f>
        <v/>
      </c>
    </row>
    <row r="18">
      <c r="A18" s="14" t="inlineStr">
        <is>
          <t>Free cash flow to the firm</t>
        </is>
      </c>
      <c r="B18" s="33">
        <f>B14+B15+B16+B17</f>
        <v/>
      </c>
      <c r="C18" s="33">
        <f>C14+C15+C16+C17</f>
        <v/>
      </c>
      <c r="D18" s="33">
        <f>D14+D15+D16+D17</f>
        <v/>
      </c>
      <c r="E18" s="33">
        <f>E14+E15+E16+E17</f>
        <v/>
      </c>
      <c r="F18" s="33">
        <f>F14+F15+F16+F17</f>
        <v/>
      </c>
      <c r="G18" s="14" t="n"/>
    </row>
    <row r="19">
      <c r="A19" s="6" t="inlineStr">
        <is>
          <t>Years from the 30-Jun-2026 anchor (t)</t>
        </is>
      </c>
      <c r="B19" s="41">
        <f>Assumptions!$C$82</f>
        <v/>
      </c>
      <c r="C19" s="42">
        <f>B19+1</f>
        <v/>
      </c>
      <c r="D19" s="42">
        <f>C19+1</f>
        <v/>
      </c>
      <c r="E19" s="42">
        <f>D19+1</f>
        <v/>
      </c>
      <c r="F19" s="42">
        <f>E19+1</f>
        <v/>
      </c>
    </row>
    <row r="20">
      <c r="A20" s="6" t="inlineStr">
        <is>
          <t>Discount factor — 1/(1+WACC)^t (9% framing, rating basis)</t>
        </is>
      </c>
      <c r="B20" s="26">
        <f>1/(1+$C$56)^B19</f>
        <v/>
      </c>
      <c r="C20" s="26">
        <f>1/(1+$C$56)^C19</f>
        <v/>
      </c>
      <c r="D20" s="26">
        <f>1/(1+$C$56)^D19</f>
        <v/>
      </c>
      <c r="E20" s="26">
        <f>1/(1+$C$56)^E19</f>
        <v/>
      </c>
      <c r="F20" s="26">
        <f>1/(1+$C$56)^F19</f>
        <v/>
      </c>
    </row>
    <row r="21">
      <c r="A21" s="15" t="inlineStr">
        <is>
          <t>Present value of free cash flow (FY2026: half-year stub)</t>
        </is>
      </c>
      <c r="B21" s="43">
        <f>B18*B20*Assumptions!$C$82</f>
        <v/>
      </c>
      <c r="C21" s="43">
        <f>C18*C20</f>
        <v/>
      </c>
      <c r="D21" s="43">
        <f>D18*D20</f>
        <v/>
      </c>
      <c r="E21" s="43">
        <f>E18*E20</f>
        <v/>
      </c>
      <c r="F21" s="43">
        <f>F18*F20</f>
        <v/>
      </c>
    </row>
    <row r="22">
      <c r="A22" s="4" t="inlineStr">
        <is>
          <t>The bridge and the cash-flow clock share the same 30-Jun-2026 date: FY2026 contributes only its second half (the stub), discounted at t=0.5, and the terminal discounts at t=4.5. The previous full-year convention double-counted H1-2026 cash already inside the June net debt.</t>
        </is>
      </c>
    </row>
    <row r="23">
      <c r="A23" s="15" t="inlineStr">
        <is>
          <t>TERMINAL VALUE — TWO-STAGE, REINVESTMENT-CONSISTENT (9% framing)</t>
        </is>
      </c>
    </row>
    <row r="24">
      <c r="A24" s="6" t="inlineStr">
        <is>
          <t>Net working capital, FY2030</t>
        </is>
      </c>
      <c r="C24" s="19">
        <f>Assumptions!$C$56*F5</f>
        <v/>
      </c>
    </row>
    <row r="25">
      <c r="A25" s="6" t="inlineStr">
        <is>
          <t>Terminal invested capital (plant + net working capital only)</t>
        </is>
      </c>
      <c r="C25" s="28">
        <f>F11+C24</f>
        <v/>
      </c>
    </row>
    <row r="26">
      <c r="A26" s="6" t="inlineStr">
        <is>
          <t>Terminal return on invested capital (published; the terminal no longer uses it)</t>
        </is>
      </c>
      <c r="C26" s="10">
        <f>F14/C25</f>
        <v/>
      </c>
    </row>
    <row r="27">
      <c r="A27" s="6" t="inlineStr">
        <is>
          <t>Stage-one growth, FY2031-40 (Dubai 2040 build-out window)</t>
        </is>
      </c>
      <c r="C27" s="8">
        <f>Assumptions!$C$80</f>
        <v/>
      </c>
    </row>
    <row r="28">
      <c r="A28" s="6" t="inlineStr">
        <is>
          <t>Stage-one free cash flow, FY2031 — the waterfall is at rows 93-101</t>
        </is>
      </c>
      <c r="C28" s="28">
        <f>C99</f>
        <v/>
      </c>
    </row>
    <row r="29">
      <c r="A29" s="6" t="inlineStr">
        <is>
          <t>Stage-two growth beyond FY2040 (densification; a REAL decline)</t>
        </is>
      </c>
      <c r="C29" s="8">
        <f>Assumptions!$C$81</f>
        <v/>
      </c>
    </row>
    <row r="30">
      <c r="A30" s="6" t="inlineStr">
        <is>
          <t>Stage-two free cash flow, FY2041 — the waterfall is at rows 102-110</t>
        </is>
      </c>
      <c r="C30" s="28">
        <f>C108</f>
        <v/>
      </c>
    </row>
    <row r="31">
      <c r="A31" s="6" t="inlineStr">
        <is>
          <t>Growth/discount ratio, stage one</t>
        </is>
      </c>
      <c r="C31" s="26">
        <f>(1+C27)/(1+$C$56)</f>
        <v/>
      </c>
    </row>
    <row r="32">
      <c r="A32" s="6" t="inlineStr">
        <is>
          <t>Value of the FY2031-40 window (at FY2030)</t>
        </is>
      </c>
      <c r="C32" s="28">
        <f>C28/(1+$C$56)*(1-C31^10)/(1-C31)</f>
        <v/>
      </c>
    </row>
    <row r="33">
      <c r="A33" s="6" t="inlineStr">
        <is>
          <t>Stage-one free cash flow as a share of terminal profit</t>
        </is>
      </c>
      <c r="C33" s="10">
        <f>C28/(F14*(1+C27))</f>
        <v/>
      </c>
    </row>
    <row r="34">
      <c r="A34" s="6" t="inlineStr">
        <is>
          <t>Value beyond FY2040 (perpetuity, discounted to FY2030)</t>
        </is>
      </c>
      <c r="C34" s="28">
        <f>C30*(1+C29)/(($C$56-C29)*(1+$C$56)^10)</f>
        <v/>
      </c>
    </row>
    <row r="35">
      <c r="A35" s="6" t="inlineStr">
        <is>
          <t>Terminal value at FY2030 (both stages)</t>
        </is>
      </c>
      <c r="C35" s="28">
        <f>C32+C34</f>
        <v/>
      </c>
    </row>
    <row r="36">
      <c r="A36" s="6" t="inlineStr">
        <is>
          <t>Present value of the terminal value</t>
        </is>
      </c>
      <c r="C36" s="28">
        <f>C35*F20</f>
        <v/>
      </c>
    </row>
    <row r="37">
      <c r="A37" s="6" t="inlineStr">
        <is>
          <t>Present value of the five forecast years</t>
        </is>
      </c>
      <c r="C37" s="28">
        <f>SUM(B21:F21)</f>
        <v/>
      </c>
    </row>
    <row r="38">
      <c r="A38" s="14" t="inlineStr">
        <is>
          <t>Enterprise value</t>
        </is>
      </c>
      <c r="B38" s="14" t="n"/>
      <c r="C38" s="33">
        <f>C36+C37</f>
        <v/>
      </c>
      <c r="D38" s="14" t="n"/>
    </row>
    <row r="39">
      <c r="A39" s="6" t="inlineStr">
        <is>
          <t>Terminal value as a share of enterprise value</t>
        </is>
      </c>
      <c r="C39" s="10">
        <f>C36/C38</f>
        <v/>
      </c>
    </row>
    <row r="41">
      <c r="A41" s="15" t="inlineStr">
        <is>
          <t>Fair value per share (9% framing) — from the bridge</t>
        </is>
      </c>
      <c r="C41" s="21">
        <f>'SOTP Bridge'!C14</f>
        <v/>
      </c>
    </row>
    <row r="43">
      <c r="A43" s="15" t="inlineStr">
        <is>
          <t>COST OF CAPITAL — BUILT HERE, NOT ASSUMED</t>
        </is>
      </c>
    </row>
    <row r="44">
      <c r="A44" s="5" t="inlineStr">
        <is>
          <t>Component</t>
        </is>
      </c>
      <c r="B44" s="5" t="inlineStr"/>
      <c r="C44" s="5" t="inlineStr">
        <is>
          <t>Rating basis</t>
        </is>
      </c>
      <c r="D44" s="5" t="inlineStr">
        <is>
          <t>CDS basis</t>
        </is>
      </c>
    </row>
    <row r="45">
      <c r="A45" s="6" t="inlineStr">
        <is>
          <t>Risk-free rate (AED sovereign)</t>
        </is>
      </c>
      <c r="C45" s="20">
        <f>Assumptions!$C$67</f>
        <v/>
      </c>
      <c r="D45" s="20">
        <f>Assumptions!$C$67</f>
        <v/>
      </c>
    </row>
    <row r="46">
      <c r="A46" s="6" t="inlineStr">
        <is>
          <t>Less sovereign default spread</t>
        </is>
      </c>
      <c r="C46" s="20">
        <f>Assumptions!$C$68</f>
        <v/>
      </c>
      <c r="D46" s="20">
        <f>Assumptions!$C$69</f>
        <v/>
      </c>
    </row>
    <row r="47">
      <c r="A47" s="6" t="inlineStr">
        <is>
          <t>Risk-free rate net of the sovereign spread</t>
        </is>
      </c>
      <c r="C47" s="27">
        <f>C45-C46</f>
        <v/>
      </c>
      <c r="D47" s="27">
        <f>D45-D46</f>
        <v/>
      </c>
    </row>
    <row r="48">
      <c r="A48" s="6" t="inlineStr">
        <is>
          <t>Beta</t>
        </is>
      </c>
      <c r="C48" s="44">
        <f>Assumptions!$C$72</f>
        <v/>
      </c>
      <c r="D48" s="44">
        <f>Assumptions!$C$72</f>
        <v/>
      </c>
    </row>
    <row r="49">
      <c r="A49" s="6" t="inlineStr">
        <is>
          <t>Equity risk premium</t>
        </is>
      </c>
      <c r="C49" s="20">
        <f>Assumptions!$C$70</f>
        <v/>
      </c>
      <c r="D49" s="20">
        <f>Assumptions!$C$71</f>
        <v/>
      </c>
    </row>
    <row r="50">
      <c r="A50" s="6" t="inlineStr">
        <is>
          <t>Cost of equity</t>
        </is>
      </c>
      <c r="C50" s="27">
        <f>C47+C48*C49</f>
        <v/>
      </c>
      <c r="D50" s="27">
        <f>D47+D48*D49</f>
        <v/>
      </c>
    </row>
    <row r="51">
      <c r="A51" s="6" t="inlineStr">
        <is>
          <t>Marginal cost of debt</t>
        </is>
      </c>
      <c r="C51" s="20">
        <f>Assumptions!$C$74</f>
        <v/>
      </c>
    </row>
    <row r="52">
      <c r="A52" s="6" t="inlineStr">
        <is>
          <t>Market capitalisation (spot x shares)</t>
        </is>
      </c>
      <c r="C52" s="19">
        <f>Assumptions!$C$5*Assumptions!$C$6</f>
        <v/>
      </c>
    </row>
    <row r="53">
      <c r="A53" s="6" t="inlineStr">
        <is>
          <t>Net debt (borrowings + leases - cash - deposits)</t>
        </is>
      </c>
      <c r="C53" s="19">
        <f>Assumptions!$C$85+Assumptions!$C$86-Assumptions!$C$87-Assumptions!$C$88</f>
        <v/>
      </c>
    </row>
    <row r="54">
      <c r="A54" s="6" t="inlineStr">
        <is>
          <t>Debt weight</t>
        </is>
      </c>
      <c r="C54" s="27">
        <f>C53/(C53+C52)</f>
        <v/>
      </c>
    </row>
    <row r="55">
      <c r="A55" s="6" t="inlineStr">
        <is>
          <t>Equity weight</t>
        </is>
      </c>
      <c r="C55" s="27">
        <f>1-C54</f>
        <v/>
      </c>
    </row>
    <row r="56">
      <c r="A56" s="14" t="inlineStr">
        <is>
          <t>WACC — 9% corporate-tax framing</t>
        </is>
      </c>
      <c r="B56" s="14" t="n"/>
      <c r="C56" s="45">
        <f>C55*C50+C54*C51*(1-Assumptions!$C$7)</f>
        <v/>
      </c>
      <c r="D56" s="45">
        <f>C55*D50+C54*C51*(1-Assumptions!$C$7)</f>
        <v/>
      </c>
      <c r="E56" s="14" t="n"/>
    </row>
    <row r="57">
      <c r="A57" s="14" t="inlineStr">
        <is>
          <t>WACC — 15% top-up-tax framing (interest shield stays at 9%: the top-up does not enlarge interest deductibility)</t>
        </is>
      </c>
      <c r="B57" s="14" t="n"/>
      <c r="C57" s="45">
        <f>C55*C50+C54*C51*(1-Assumptions!$C$7)</f>
        <v/>
      </c>
      <c r="D57" s="45">
        <f>C55*D50+C54*C51*(1-Assumptions!$C$7)</f>
        <v/>
      </c>
      <c r="E57" s="14" t="n"/>
    </row>
    <row r="58">
      <c r="A58" s="4" t="inlineStr">
        <is>
          <t>Both premium bases strip the SAME basis of sovereign default spread as the premium adds back (rating-to-rating, CDS-to-CDS), so country risk is priced once. The Pillar-Two top-up is a minimum-effective-rate charge on profits, not a higher statutory rate on the interest deduction, so BOTH framings keep the 9% debt shield and discount at the same rate — they differ only in after-tax operating profit. There is no discount-rate glide: the AED curve is flat and both facilities float.</t>
        </is>
      </c>
    </row>
    <row r="61">
      <c r="A61" s="15" t="inlineStr">
        <is>
          <t>PARALLEL FRAMING — 15% TOP-UP TAX (same cash-flow build and discount rate, own tax)</t>
        </is>
      </c>
    </row>
    <row r="62">
      <c r="A62" s="6" t="inlineStr">
        <is>
          <t>NOPAT at 15%</t>
        </is>
      </c>
      <c r="B62" s="28">
        <f>B13*(1-Assumptions!$C$8)</f>
        <v/>
      </c>
      <c r="C62" s="28">
        <f>C13*(1-Assumptions!$C$8)</f>
        <v/>
      </c>
      <c r="D62" s="28">
        <f>D13*(1-Assumptions!$C$8)</f>
        <v/>
      </c>
      <c r="E62" s="28">
        <f>E13*(1-Assumptions!$C$8)</f>
        <v/>
      </c>
      <c r="F62" s="28">
        <f>F13*(1-Assumptions!$C$8)</f>
        <v/>
      </c>
    </row>
    <row r="63">
      <c r="A63" s="6" t="inlineStr">
        <is>
          <t>Free cash flow to the firm at 15%</t>
        </is>
      </c>
      <c r="B63" s="28">
        <f>B62+B15+B16+B17</f>
        <v/>
      </c>
      <c r="C63" s="28">
        <f>C62+C15+C16+C17</f>
        <v/>
      </c>
      <c r="D63" s="28">
        <f>D62+D15+D16+D17</f>
        <v/>
      </c>
      <c r="E63" s="28">
        <f>E62+E15+E16+E17</f>
        <v/>
      </c>
      <c r="F63" s="28">
        <f>F62+F15+F16+F17</f>
        <v/>
      </c>
    </row>
    <row r="64">
      <c r="A64" s="6" t="inlineStr">
        <is>
          <t>Present value (same discount factors; FY2026 stub)</t>
        </is>
      </c>
      <c r="B64" s="28">
        <f>B63*B20*Assumptions!$C$82</f>
        <v/>
      </c>
      <c r="C64" s="28">
        <f>C63*C20</f>
        <v/>
      </c>
      <c r="D64" s="28">
        <f>D63*D20</f>
        <v/>
      </c>
      <c r="E64" s="28">
        <f>E63*E20</f>
        <v/>
      </c>
      <c r="F64" s="28">
        <f>F63*F20</f>
        <v/>
      </c>
    </row>
    <row r="65">
      <c r="A65" s="6" t="inlineStr">
        <is>
          <t>Present value of the five forecast years (15%)</t>
        </is>
      </c>
      <c r="C65" s="28">
        <f>SUM(B64:F64)</f>
        <v/>
      </c>
    </row>
    <row r="66">
      <c r="A66" s="6" t="inlineStr">
        <is>
          <t>Terminal return on invested capital (15%; published, no longer used)</t>
        </is>
      </c>
      <c r="C66" s="10">
        <f>F62/C25</f>
        <v/>
      </c>
    </row>
    <row r="67">
      <c r="A67" s="6" t="inlineStr">
        <is>
          <t>Stage-one free cash flow at 15% — the waterfall is at rows 94-99</t>
        </is>
      </c>
      <c r="C67" s="28">
        <f>G99</f>
        <v/>
      </c>
    </row>
    <row r="68">
      <c r="A68" s="6" t="inlineStr">
        <is>
          <t>Stage-two free cash flow at 15% — the waterfall is at rows 103-108</t>
        </is>
      </c>
      <c r="C68" s="28">
        <f>G108</f>
        <v/>
      </c>
    </row>
    <row r="69">
      <c r="A69" s="6" t="inlineStr">
        <is>
          <t>Value of the FY2031-40 window (15%)</t>
        </is>
      </c>
      <c r="C69" s="28">
        <f>C67/(1+$C$56)*(1-C31^10)/(1-C31)</f>
        <v/>
      </c>
    </row>
    <row r="70">
      <c r="A70" s="6" t="inlineStr">
        <is>
          <t>Stage-one free cash flow as a share of terminal profit (15%)</t>
        </is>
      </c>
      <c r="C70" s="10">
        <f>C67/(F62*(1+C27))</f>
        <v/>
      </c>
    </row>
    <row r="71">
      <c r="A71" s="6" t="inlineStr">
        <is>
          <t>Value beyond FY2040 (15%)</t>
        </is>
      </c>
      <c r="C71" s="28">
        <f>C68*(1+C29)/(($C$56-C29)*(1+$C$56)^10)</f>
        <v/>
      </c>
    </row>
    <row r="72">
      <c r="A72" s="6" t="inlineStr">
        <is>
          <t>Terminal value at FY2030 (15%)</t>
        </is>
      </c>
      <c r="C72" s="28">
        <f>C69+C71</f>
        <v/>
      </c>
    </row>
    <row r="73">
      <c r="A73" s="6" t="inlineStr">
        <is>
          <t>Present value of the terminal value (15%)</t>
        </is>
      </c>
      <c r="C73" s="28">
        <f>C72*F20</f>
        <v/>
      </c>
    </row>
    <row r="74">
      <c r="A74" s="6" t="inlineStr">
        <is>
          <t>Enterprise value (15%)</t>
        </is>
      </c>
      <c r="C74" s="43">
        <f>C65+C73</f>
        <v/>
      </c>
    </row>
    <row r="75">
      <c r="A75" s="15" t="inlineStr">
        <is>
          <t>Fair value per share (15% framing) — from the bridge</t>
        </is>
      </c>
      <c r="C75" s="21">
        <f>'SOTP Bridge'!D14</f>
        <v/>
      </c>
    </row>
    <row r="77">
      <c r="A77" s="15" t="inlineStr">
        <is>
          <t>ALTERNATIVE PREMIUM BASIS — CDS (same cash flows, CDS-basis rate)</t>
        </is>
      </c>
    </row>
    <row r="78">
      <c r="A78" s="6" t="inlineStr">
        <is>
          <t>Present value at the CDS-basis rate (FY2026 stub)</t>
        </is>
      </c>
      <c r="B78" s="28">
        <f>B18/(1+$D$56)^B19*Assumptions!$C$82</f>
        <v/>
      </c>
      <c r="C78" s="28">
        <f>C18/(1+$D$56)^C19</f>
        <v/>
      </c>
      <c r="D78" s="28">
        <f>D18/(1+$D$56)^D19</f>
        <v/>
      </c>
      <c r="E78" s="28">
        <f>E18/(1+$D$56)^E19</f>
        <v/>
      </c>
      <c r="F78" s="28">
        <f>F18/(1+$D$56)^F19</f>
        <v/>
      </c>
    </row>
    <row r="79">
      <c r="A79" s="6" t="inlineStr">
        <is>
          <t>Present value of the five forecast years (CDS basis)</t>
        </is>
      </c>
      <c r="C79" s="28">
        <f>SUM(B78:F78)</f>
        <v/>
      </c>
    </row>
    <row r="80">
      <c r="A80" s="6" t="inlineStr">
        <is>
          <t>Growth/discount ratio, stage one (CDS basis)</t>
        </is>
      </c>
      <c r="C80" s="26">
        <f>(1+C27)/(1+$D$56)</f>
        <v/>
      </c>
    </row>
    <row r="81">
      <c r="A81" s="6" t="inlineStr">
        <is>
          <t>Stage-one free cash flow at the CDS-basis rate (its own maintenance charge)</t>
        </is>
      </c>
      <c r="C81" s="28">
        <f>1408.881541</f>
        <v/>
      </c>
    </row>
    <row r="82">
      <c r="A82" s="6" t="inlineStr">
        <is>
          <t>Value of the FY2031-40 window (CDS basis)</t>
        </is>
      </c>
      <c r="C82" s="28">
        <f>C81/(1+$D$56)*(1-C80^10)/(1-C80)</f>
        <v/>
      </c>
    </row>
    <row r="83">
      <c r="A83" s="6" t="inlineStr">
        <is>
          <t>Value beyond FY2040 (CDS basis)</t>
        </is>
      </c>
      <c r="C83" s="28">
        <f>1820.231542*(1+C29)/(($D$56-C29)*(1+$D$56)^10)</f>
        <v/>
      </c>
    </row>
    <row r="84">
      <c r="A84" s="6" t="inlineStr">
        <is>
          <t>Terminal value (CDS basis)</t>
        </is>
      </c>
      <c r="C84" s="28">
        <f>C82+C83</f>
        <v/>
      </c>
    </row>
    <row r="85">
      <c r="A85" s="6" t="inlineStr">
        <is>
          <t>Present value of the terminal value (CDS basis)</t>
        </is>
      </c>
      <c r="C85" s="28">
        <f>C84/(1+$D$56)^F19</f>
        <v/>
      </c>
    </row>
    <row r="86">
      <c r="A86" s="6" t="inlineStr">
        <is>
          <t>Enterprise value (CDS basis)</t>
        </is>
      </c>
      <c r="C86" s="43">
        <f>C79+C85</f>
        <v/>
      </c>
    </row>
    <row r="87">
      <c r="A87" s="6" t="inlineStr">
        <is>
          <t>Fair value per share (CDS basis) — from the bridge</t>
        </is>
      </c>
      <c r="C87" s="7">
        <f>'SOTP Bridge'!E14</f>
        <v/>
      </c>
    </row>
    <row r="88">
      <c r="A88" s="15" t="inlineStr">
        <is>
          <t>WACC CONSTRUCTIONS — ALL PRICED (each per-share is a live parallel model on the Sensitivity sheet)</t>
        </is>
      </c>
    </row>
    <row r="89">
      <c r="A89" s="5" t="inlineStr">
        <is>
          <t>Construction</t>
        </is>
      </c>
      <c r="B89" s="5" t="inlineStr">
        <is>
          <t>WACC</t>
        </is>
      </c>
      <c r="C89" s="5" t="inlineStr">
        <is>
          <t>AED/share</t>
        </is>
      </c>
      <c r="H89" s="5" t="inlineStr">
        <is>
          <t>Why it is or is not the primary</t>
        </is>
      </c>
    </row>
    <row r="90">
      <c r="A90" s="6" t="inlineStr">
        <is>
          <t>Target net-debt weights (primary)</t>
        </is>
      </c>
      <c r="B90" s="20">
        <f>C56</f>
        <v/>
      </c>
      <c r="C90" s="7">
        <f>'SOTP Bridge'!C14</f>
        <v/>
      </c>
      <c r="H90" s="4" t="inlineStr">
        <is>
          <t>Company policy holds ~2x net debt/EBITDA and the payout roughly equals equity free cash flow, so surplus cash is transient — net weights match the target structure.</t>
        </is>
      </c>
    </row>
    <row r="91">
      <c r="A91" s="6" t="inlineStr">
        <is>
          <t>Gross-debt weights</t>
        </is>
      </c>
      <c r="B91" s="27">
        <f>(C52*C50+(Assumptions!$C$85+Assumptions!$C$86)*C51*(1-Assumptions!$C$7))/(C52+Assumptions!$C$85+Assumptions!$C$86)</f>
        <v/>
      </c>
      <c r="C91" s="7">
        <f>Sensitivity!B144</f>
        <v/>
      </c>
      <c r="H91" s="4" t="inlineStr">
        <is>
          <t>The textbook frame: debt at gross, cash valued in the bridge. Overweights debt while the June cash pile persists.</t>
        </is>
      </c>
    </row>
    <row r="92">
      <c r="A92" s="6" t="inlineStr">
        <is>
          <t>Net weights, negative-carry net-debt cost</t>
        </is>
      </c>
      <c r="B92" s="27">
        <f>C55*C50+C54*(((Assumptions!$C$85+Assumptions!$C$86)*C51*(1-Assumptions!$C$7)-(Assumptions!$C$87+Assumptions!$C$88)*Assumptions!$C$95*(1-Assumptions!$C$7))/C53)</f>
        <v/>
      </c>
      <c r="C92" s="7">
        <f>Sensitivity!C144</f>
        <v/>
      </c>
      <c r="H92" s="4" t="inlineStr">
        <is>
          <t>Prices the negative carry: cash earns 3.5% against 4.92% debt, so net debt costs more than the facility rate.</t>
        </is>
      </c>
    </row>
    <row r="93">
      <c r="A93" s="6" t="inlineStr">
        <is>
          <t>DFM-index beta (comparison regression)</t>
        </is>
      </c>
      <c r="B93" s="27">
        <f>C55*(C47+Assumptions!$C$73*C49)+C54*C51*(1-Assumptions!$C$7)</f>
        <v/>
      </c>
      <c r="C93" s="7">
        <f>Sensitivity!D144</f>
        <v/>
      </c>
      <c r="H93" s="4" t="inlineStr">
        <is>
          <t>The listing exchange's own index gives beta 0.652; the FTSE ADX base-market regression (0.863) is primary per the house market definition.</t>
        </is>
      </c>
    </row>
    <row r="94">
      <c r="A94" s="6" t="inlineStr">
        <is>
          <t>Stage one, FY2031 — operating profit after tax, grown one year</t>
        </is>
      </c>
      <c r="C94" s="28">
        <f>1486.936920*(1+0.0250000000)</f>
        <v/>
      </c>
      <c r="G94" s="28">
        <f>1388.897123*(1+0.0250000000)</f>
        <v/>
      </c>
    </row>
    <row r="95">
      <c r="A95" s="6" t="inlineStr">
        <is>
          <t>Stage one, FY2031 — plus the book depreciation and amortisation charge, grown</t>
        </is>
      </c>
      <c r="C95" s="28">
        <f>408.390760*(1+0.0250000000)</f>
        <v/>
      </c>
      <c r="G95" s="28">
        <f>408.390760*(1+0.0250000000)</f>
        <v/>
      </c>
    </row>
    <row r="96">
      <c r="A96" s="6" t="inlineStr">
        <is>
          <t>Stage one, FY2031 — less capital maintenance at replacement cost, that charge escalated over half the derived life</t>
        </is>
      </c>
      <c r="C96" s="28">
        <f>-C95*(1+Assumptions!$C$75)^(Assumptions!$C$78/2)</f>
        <v/>
      </c>
      <c r="G96" s="28">
        <f>-G95*(1+Assumptions!$C$75)^(Assumptions!$C$78/2)</f>
        <v/>
      </c>
    </row>
    <row r="97">
      <c r="A97" s="6" t="inlineStr">
        <is>
          <t>Stage one, FY2031 — less the capital real growth consumes</t>
        </is>
      </c>
      <c r="C97" s="28">
        <f>-0.0049019608*5526.341086</f>
        <v/>
      </c>
      <c r="G97" s="28">
        <f>-0.0049019608*5526.341086</f>
        <v/>
      </c>
    </row>
    <row r="98">
      <c r="A98" s="6" t="inlineStr">
        <is>
          <t>Stage one, FY2031 — less inflation on working capital (a CREDIT here: this company is funded by its own customers)</t>
        </is>
      </c>
      <c r="C98" s="28">
        <f>-Assumptions!$C$75*-2250.419341*(1+0.0250000000)</f>
        <v/>
      </c>
      <c r="G98" s="28">
        <f>-Assumptions!$C$75*-2250.419341*(1+0.0250000000)</f>
        <v/>
      </c>
    </row>
    <row r="99">
      <c r="A99" s="6" t="inlineStr">
        <is>
          <t>Stage one, FY2031 — FREE CASH FLOW</t>
        </is>
      </c>
      <c r="C99" s="43">
        <f>SUM(C94:C98)</f>
        <v/>
      </c>
      <c r="G99" s="43">
        <f>SUM(G94:G98)</f>
        <v/>
      </c>
    </row>
    <row r="103">
      <c r="A103" s="6" t="inlineStr">
        <is>
          <t>Stage two, FY2041 — operating profit after tax, grown one year</t>
        </is>
      </c>
      <c r="C103" s="28">
        <f>1903.404970*(1+0.0150000000)</f>
        <v/>
      </c>
      <c r="G103" s="28">
        <f>1777.905741*(1+0.0150000000)</f>
        <v/>
      </c>
    </row>
    <row r="104">
      <c r="A104" s="6" t="inlineStr">
        <is>
          <t>Stage two, FY2041 — plus the book depreciation and amortisation charge, grown</t>
        </is>
      </c>
      <c r="C104" s="28">
        <f>522.774699*(1+0.0150000000)</f>
        <v/>
      </c>
      <c r="G104" s="28">
        <f>522.774699*(1+0.0150000000)</f>
        <v/>
      </c>
    </row>
    <row r="105">
      <c r="A105" s="6" t="inlineStr">
        <is>
          <t>Stage two, FY2041 — less capital maintenance at replacement cost, that charge escalated over half the derived life</t>
        </is>
      </c>
      <c r="C105" s="28">
        <f>-C104*(1+Assumptions!$C$75)^(Assumptions!$C$78/2)</f>
        <v/>
      </c>
      <c r="G105" s="28">
        <f>-G104*(1+Assumptions!$C$75)^(Assumptions!$C$78/2)</f>
        <v/>
      </c>
    </row>
    <row r="106">
      <c r="A106" s="6" t="inlineStr">
        <is>
          <t>Stage two, FY2041 — less the capital real growth consumes</t>
        </is>
      </c>
      <c r="C106" s="28">
        <f>--0.0049019608*0.000000</f>
        <v/>
      </c>
      <c r="G106" s="28">
        <f>--0.0049019608*0.000000</f>
        <v/>
      </c>
    </row>
    <row r="107">
      <c r="A107" s="6" t="inlineStr">
        <is>
          <t>Stage two, FY2041 — less inflation on working capital (a CREDIT here: this company is funded by its own customers)</t>
        </is>
      </c>
      <c r="C107" s="28">
        <f>-Assumptions!$C$75*-2880.727016*(1+0.0150000000)</f>
        <v/>
      </c>
      <c r="G107" s="28">
        <f>-Assumptions!$C$75*-2880.727016*(1+0.0150000000)</f>
        <v/>
      </c>
    </row>
    <row r="108">
      <c r="A108" s="6" t="inlineStr">
        <is>
          <t>Stage two, FY2041 — FREE CASH FLOW</t>
        </is>
      </c>
      <c r="C108" s="43">
        <f>SUM(C103:C107)</f>
        <v/>
      </c>
      <c r="G108" s="43">
        <f>SUM(G103:G107)</f>
        <v/>
      </c>
    </row>
    <row r="111">
      <c r="A111" s="6" t="inlineStr">
        <is>
          <t>Memo — the no-growth perpetuity at book depreciation, a diagnostic and not a bound</t>
        </is>
      </c>
      <c r="C111" s="28">
        <f>F14*(1+C27)/$C$56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audited, five years forecast</t>
        </is>
      </c>
      <c r="B1" s="2" t="n"/>
      <c r="C1" s="2" t="n"/>
      <c r="D1" s="2" t="n"/>
      <c r="E1" s="2" t="n"/>
      <c r="F1" s="2" t="n"/>
      <c r="G1" s="2" t="n"/>
      <c r="H1" s="2" t="n"/>
      <c r="I1" s="2" t="n"/>
    </row>
    <row r="2">
      <c r="A2" s="4" t="inlineStr">
        <is>
          <t>AED mn, consolidated. History is the audited record; every forecast line is a formula (9% corporate-tax framing; the 15% framing runs on the DCF sheet). The receivable interest and the investment-property rental are their own visible rows, outside operating EBITDA.</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3" t="n">
        <v>3035.203</v>
      </c>
      <c r="C5" s="33" t="n">
        <v>3260.489</v>
      </c>
      <c r="D5" s="33">
        <f>Assumptions!$C$14</f>
        <v/>
      </c>
      <c r="E5" s="33">
        <f>DCF!B5</f>
        <v/>
      </c>
      <c r="F5" s="33">
        <f>DCF!C5</f>
        <v/>
      </c>
      <c r="G5" s="33">
        <f>DCF!D5</f>
        <v/>
      </c>
      <c r="H5" s="33">
        <f>DCF!E5</f>
        <v/>
      </c>
      <c r="I5" s="33">
        <f>DCF!F5</f>
        <v/>
      </c>
    </row>
    <row r="6">
      <c r="A6" s="6" t="inlineStr">
        <is>
          <t>Interest on related-party acquisition receivables (inside gross profit)</t>
        </is>
      </c>
      <c r="B6" s="25" t="n">
        <v>38.711</v>
      </c>
      <c r="C6" s="25" t="n">
        <v>59.151</v>
      </c>
      <c r="D6" s="19">
        <f>Assumptions!$C$43</f>
        <v/>
      </c>
      <c r="E6" s="19">
        <f>Segments!C18</f>
        <v/>
      </c>
      <c r="F6" s="19">
        <f>Segments!D18</f>
        <v/>
      </c>
      <c r="G6" s="19">
        <f>Segments!E18</f>
        <v/>
      </c>
      <c r="H6" s="19">
        <f>Segments!F18</f>
        <v/>
      </c>
      <c r="I6" s="19">
        <f>Segments!G18</f>
        <v/>
      </c>
    </row>
    <row r="7">
      <c r="A7" s="6" t="inlineStr">
        <is>
          <t>Rental income on investment properties (inside other income)</t>
        </is>
      </c>
      <c r="B7" s="28" t="inlineStr">
        <is>
          <t>-</t>
        </is>
      </c>
      <c r="C7" s="28" t="inlineStr">
        <is>
          <t>-</t>
        </is>
      </c>
      <c r="D7" s="19">
        <f>Assumptions!$C$41</f>
        <v/>
      </c>
      <c r="E7" s="19">
        <f>Segments!C19</f>
        <v/>
      </c>
      <c r="F7" s="19">
        <f>Segments!D19</f>
        <v/>
      </c>
      <c r="G7" s="19">
        <f>Segments!E19</f>
        <v/>
      </c>
      <c r="H7" s="19">
        <f>Segments!F19</f>
        <v/>
      </c>
      <c r="I7" s="19">
        <f>Segments!G19</f>
        <v/>
      </c>
    </row>
    <row r="8">
      <c r="A8" s="6" t="inlineStr">
        <is>
          <t>Gross profit</t>
        </is>
      </c>
      <c r="B8" s="25" t="n">
        <v>1333.036</v>
      </c>
      <c r="C8" s="25" t="n">
        <v>1402.143</v>
      </c>
      <c r="D8" s="25" t="n">
        <v>1488.328</v>
      </c>
      <c r="E8" s="28" t="inlineStr">
        <is>
          <t>-</t>
        </is>
      </c>
      <c r="F8" s="28" t="inlineStr">
        <is>
          <t>-</t>
        </is>
      </c>
      <c r="G8" s="28" t="inlineStr">
        <is>
          <t>-</t>
        </is>
      </c>
      <c r="H8" s="28" t="inlineStr">
        <is>
          <t>-</t>
        </is>
      </c>
      <c r="I8" s="28" t="inlineStr">
        <is>
          <t>-</t>
        </is>
      </c>
    </row>
    <row r="9">
      <c r="A9" s="14" t="inlineStr">
        <is>
          <t>Operating EBITDA (ex receivable interest and rental)</t>
        </is>
      </c>
      <c r="B9" s="33">
        <f>B12-B11-B6</f>
        <v/>
      </c>
      <c r="C9" s="33">
        <f>C12-C11-C6</f>
        <v/>
      </c>
      <c r="D9" s="33">
        <f>D12-D11-D6-D7</f>
        <v/>
      </c>
      <c r="E9" s="33">
        <f>DCF!B6</f>
        <v/>
      </c>
      <c r="F9" s="33">
        <f>DCF!C6</f>
        <v/>
      </c>
      <c r="G9" s="33">
        <f>DCF!D6</f>
        <v/>
      </c>
      <c r="H9" s="33">
        <f>DCF!E6</f>
        <v/>
      </c>
      <c r="I9" s="33">
        <f>DCF!F6</f>
        <v/>
      </c>
    </row>
    <row r="10">
      <c r="A10" s="6" t="inlineStr">
        <is>
          <t>Operating EBITDA margin</t>
        </is>
      </c>
      <c r="B10" s="10">
        <f>B9/B5</f>
        <v/>
      </c>
      <c r="C10" s="10">
        <f>C9/C5</f>
        <v/>
      </c>
      <c r="D10" s="10">
        <f>D9/D5</f>
        <v/>
      </c>
      <c r="E10" s="10">
        <f>E9/E5</f>
        <v/>
      </c>
      <c r="F10" s="10">
        <f>F9/F5</f>
        <v/>
      </c>
      <c r="G10" s="10">
        <f>G9/G5</f>
        <v/>
      </c>
      <c r="H10" s="10">
        <f>H9/H5</f>
        <v/>
      </c>
      <c r="I10" s="10">
        <f>I9/I5</f>
        <v/>
      </c>
    </row>
    <row r="11">
      <c r="A11" s="6" t="inlineStr">
        <is>
          <t>Depreciation and amortisation</t>
        </is>
      </c>
      <c r="B11" s="25" t="n">
        <v>-348.199</v>
      </c>
      <c r="C11" s="25" t="n">
        <v>-359.081</v>
      </c>
      <c r="D11" s="19">
        <f>-Assumptions!$C$19</f>
        <v/>
      </c>
      <c r="E11" s="19">
        <f>-DCF!B12</f>
        <v/>
      </c>
      <c r="F11" s="19">
        <f>-DCF!C12</f>
        <v/>
      </c>
      <c r="G11" s="19">
        <f>-DCF!D12</f>
        <v/>
      </c>
      <c r="H11" s="19">
        <f>-DCF!E12</f>
        <v/>
      </c>
      <c r="I11" s="19">
        <f>-DCF!F12</f>
        <v/>
      </c>
    </row>
    <row r="12">
      <c r="A12" s="6" t="inlineStr">
        <is>
          <t>Operating profit (EBIT; audited years include the interest and rental above)</t>
        </is>
      </c>
      <c r="B12" s="25" t="n">
        <v>1119.871</v>
      </c>
      <c r="C12" s="25" t="n">
        <v>1192.444</v>
      </c>
      <c r="D12" s="25" t="n">
        <v>1272.512</v>
      </c>
      <c r="E12" s="28">
        <f>E9+E11</f>
        <v/>
      </c>
      <c r="F12" s="28">
        <f>F9+F11</f>
        <v/>
      </c>
      <c r="G12" s="28">
        <f>G9+G11</f>
        <v/>
      </c>
      <c r="H12" s="28">
        <f>H9+H11</f>
        <v/>
      </c>
      <c r="I12" s="28">
        <f>I9+I11</f>
        <v/>
      </c>
    </row>
    <row r="13">
      <c r="A13" s="6" t="inlineStr">
        <is>
          <t>Net finance income / (costs) — deposit yield on the ROLLING cash balance</t>
        </is>
      </c>
      <c r="B13" s="28">
        <f>B14-B12</f>
        <v/>
      </c>
      <c r="C13" s="28">
        <f>C14-C12</f>
        <v/>
      </c>
      <c r="D13" s="28">
        <f>D14-D12</f>
        <v/>
      </c>
      <c r="E13" s="28">
        <f>-(Assumptions!$C$74*Assumptions!$C$85-Assumptions!$C$95*Assumptions!$C$87)</f>
        <v/>
      </c>
      <c r="F13" s="28">
        <f>-(Assumptions!$C$74*Assumptions!$C$85-Assumptions!$C$95*'Balance Sheet'!E9)</f>
        <v/>
      </c>
      <c r="G13" s="28">
        <f>-(Assumptions!$C$74*Assumptions!$C$85-Assumptions!$C$95*'Balance Sheet'!F9)</f>
        <v/>
      </c>
      <c r="H13" s="28">
        <f>-(Assumptions!$C$74*Assumptions!$C$85-Assumptions!$C$95*'Balance Sheet'!G9)</f>
        <v/>
      </c>
      <c r="I13" s="28">
        <f>-(Assumptions!$C$74*Assumptions!$C$85-Assumptions!$C$95*'Balance Sheet'!H9)</f>
        <v/>
      </c>
    </row>
    <row r="14">
      <c r="A14" s="6" t="inlineStr">
        <is>
          <t>Profit before tax</t>
        </is>
      </c>
      <c r="B14" s="25" t="n">
        <v>942.631</v>
      </c>
      <c r="C14" s="25" t="n">
        <v>998.332</v>
      </c>
      <c r="D14" s="25" t="n">
        <v>1103.161</v>
      </c>
      <c r="E14" s="28">
        <f>E12+E6+E7+E13</f>
        <v/>
      </c>
      <c r="F14" s="28">
        <f>F12+F6+F7+F13</f>
        <v/>
      </c>
      <c r="G14" s="28">
        <f>G12+G6+G7+G13</f>
        <v/>
      </c>
      <c r="H14" s="28">
        <f>H12+H6+H7+H13</f>
        <v/>
      </c>
      <c r="I14" s="28">
        <f>I12+I6+I7+I13</f>
        <v/>
      </c>
    </row>
    <row r="15">
      <c r="A15" s="6" t="inlineStr">
        <is>
          <t>Income tax</t>
        </is>
      </c>
      <c r="B15" s="25" t="n">
        <v>17.454</v>
      </c>
      <c r="C15" s="25" t="n">
        <v>-90.09699999999999</v>
      </c>
      <c r="D15" s="25" t="n">
        <v>-99.226</v>
      </c>
      <c r="E15" s="28">
        <f>-E14*Assumptions!$C$7</f>
        <v/>
      </c>
      <c r="F15" s="28">
        <f>-F14*Assumptions!$C$7</f>
        <v/>
      </c>
      <c r="G15" s="28">
        <f>-G14*Assumptions!$C$7</f>
        <v/>
      </c>
      <c r="H15" s="28">
        <f>-H14*Assumptions!$C$7</f>
        <v/>
      </c>
      <c r="I15" s="28">
        <f>-I14*Assumptions!$C$7</f>
        <v/>
      </c>
    </row>
    <row r="16">
      <c r="A16" s="6" t="inlineStr">
        <is>
          <t>Profit for the year</t>
        </is>
      </c>
      <c r="B16" s="25" t="n">
        <v>960.085</v>
      </c>
      <c r="C16" s="25" t="n">
        <v>908.235</v>
      </c>
      <c r="D16" s="25" t="n">
        <v>1003.935</v>
      </c>
      <c r="E16" s="28">
        <f>E14+E15</f>
        <v/>
      </c>
      <c r="F16" s="28">
        <f>F14+F15</f>
        <v/>
      </c>
      <c r="G16" s="28">
        <f>G14+G15</f>
        <v/>
      </c>
      <c r="H16" s="28">
        <f>H14+H15</f>
        <v/>
      </c>
      <c r="I16" s="28">
        <f>I14+I15</f>
        <v/>
      </c>
    </row>
    <row r="17">
      <c r="A17" s="6" t="inlineStr">
        <is>
          <t>Non-controlling interests</t>
        </is>
      </c>
      <c r="B17" s="28">
        <f>B18-B16</f>
        <v/>
      </c>
      <c r="C17" s="28">
        <f>C18-C16</f>
        <v/>
      </c>
      <c r="D17" s="28">
        <f>D18-D16</f>
        <v/>
      </c>
      <c r="E17" s="28">
        <f>-E16*'SOTP Bridge'!$C$15</f>
        <v/>
      </c>
      <c r="F17" s="28">
        <f>-F16*'SOTP Bridge'!$C$15</f>
        <v/>
      </c>
      <c r="G17" s="28">
        <f>-G16*'SOTP Bridge'!$C$15</f>
        <v/>
      </c>
      <c r="H17" s="28">
        <f>-H16*'SOTP Bridge'!$C$15</f>
        <v/>
      </c>
      <c r="I17" s="28">
        <f>-I16*'SOTP Bridge'!$C$15</f>
        <v/>
      </c>
    </row>
    <row r="18">
      <c r="A18" s="14" t="inlineStr">
        <is>
          <t>Profit attributable to shareholders</t>
        </is>
      </c>
      <c r="B18" s="33" t="n">
        <v>952.927</v>
      </c>
      <c r="C18" s="33" t="n">
        <v>896.754</v>
      </c>
      <c r="D18" s="33" t="n">
        <v>993.302</v>
      </c>
      <c r="E18" s="33">
        <f>E16+E17</f>
        <v/>
      </c>
      <c r="F18" s="33">
        <f>F16+F17</f>
        <v/>
      </c>
      <c r="G18" s="33">
        <f>G16+G17</f>
        <v/>
      </c>
      <c r="H18" s="33">
        <f>H16+H17</f>
        <v/>
      </c>
      <c r="I18" s="33">
        <f>I16+I17</f>
        <v/>
      </c>
    </row>
    <row r="19">
      <c r="A19" s="6" t="inlineStr">
        <is>
          <t>Earnings per share (AED)</t>
        </is>
      </c>
      <c r="B19" s="9">
        <f>B18/Assumptions!$C$6</f>
        <v/>
      </c>
      <c r="C19" s="9">
        <f>C18/Assumptions!$C$6</f>
        <v/>
      </c>
      <c r="D19" s="9">
        <f>D18/Assumptions!$C$6</f>
        <v/>
      </c>
      <c r="E19" s="9">
        <f>E18/Assumptions!$C$6</f>
        <v/>
      </c>
      <c r="F19" s="9">
        <f>F18/Assumptions!$C$6</f>
        <v/>
      </c>
      <c r="G19" s="9">
        <f>G18/Assumptions!$C$6</f>
        <v/>
      </c>
      <c r="H19" s="9">
        <f>H18/Assumptions!$C$6</f>
        <v/>
      </c>
      <c r="I19" s="9">
        <f>I18/Assumptions!$C$6</f>
        <v/>
      </c>
    </row>
    <row r="21">
      <c r="A21" s="4" t="inlineStr">
        <is>
          <t>Every FY2023-25 line is the audited figure (the operating-EBITDA, net-finance and non-controlling rows are arithmetic identities of audited lines; the FY2023-24 rental split inside other income is not disclosed, so those two operating-EBITDA columns exclude the receivable interest only). The forecast finance line holds the 30-Jun-2026 debt book flat at the marginal cost of debt and earns the deposit yield on the ROLLING cash balance from the Balance Sheet — FY2026 on the 30-Jun-2026 print itself, later years on the prior year-end balance. The FY2023 tax line is a credit (first recognition of deferred tax ahead of UAE corporate tax).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AED mn. FY2024 and FY2025 are audited closing figures; 30-Jun-2026 is the reviewed interim. BOTH forward rolls — equity and net debt — start from the SAME 30-Jun-2026 position: FY2026 carries only the second-half stub of profit and cash and only the October dividend instalment.</t>
        </is>
      </c>
    </row>
    <row r="4">
      <c r="A4" s="5" t="inlineStr">
        <is>
          <t>AED mn</t>
        </is>
      </c>
      <c r="B4" s="5" t="inlineStr">
        <is>
          <t>FY2024</t>
        </is>
      </c>
      <c r="C4" s="5" t="inlineStr">
        <is>
          <t>FY2025</t>
        </is>
      </c>
      <c r="D4" s="5" t="inlineStr">
        <is>
          <t>30-Jun-26</t>
        </is>
      </c>
      <c r="E4" s="5" t="inlineStr">
        <is>
          <t>FY2026E</t>
        </is>
      </c>
      <c r="F4" s="5" t="inlineStr">
        <is>
          <t>FY2027E</t>
        </is>
      </c>
      <c r="G4" s="5" t="inlineStr">
        <is>
          <t>FY2028E</t>
        </is>
      </c>
      <c r="H4" s="5" t="inlineStr">
        <is>
          <t>FY2029E</t>
        </is>
      </c>
      <c r="I4" s="5" t="inlineStr">
        <is>
          <t>FY2030E</t>
        </is>
      </c>
    </row>
    <row r="5">
      <c r="A5" s="6" t="inlineStr">
        <is>
          <t>Property, plant and equipment (net)</t>
        </is>
      </c>
      <c r="B5" s="19">
        <f>Assumptions!$C$20</f>
        <v/>
      </c>
      <c r="C5" s="19">
        <f>Assumptions!$C$21</f>
        <v/>
      </c>
      <c r="D5" s="25" t="n">
        <v>7274.608</v>
      </c>
      <c r="E5" s="19">
        <f>DCF!B11</f>
        <v/>
      </c>
      <c r="F5" s="19">
        <f>DCF!C11</f>
        <v/>
      </c>
      <c r="G5" s="19">
        <f>DCF!D11</f>
        <v/>
      </c>
      <c r="H5" s="19">
        <f>DCF!E11</f>
        <v/>
      </c>
      <c r="I5" s="19">
        <f>DCF!F11</f>
        <v/>
      </c>
    </row>
    <row r="6">
      <c r="A6" s="6" t="inlineStr">
        <is>
          <t>Investment properties</t>
        </is>
      </c>
      <c r="B6" s="25" t="n">
        <v>118.015</v>
      </c>
      <c r="C6" s="25" t="n">
        <v>170.793</v>
      </c>
      <c r="D6" s="25" t="n">
        <v>168.716</v>
      </c>
      <c r="E6" s="28">
        <f>$D6</f>
        <v/>
      </c>
      <c r="F6" s="28">
        <f>$D6</f>
        <v/>
      </c>
      <c r="G6" s="28">
        <f>$D6</f>
        <v/>
      </c>
      <c r="H6" s="28">
        <f>$D6</f>
        <v/>
      </c>
      <c r="I6" s="28">
        <f>$D6</f>
        <v/>
      </c>
    </row>
    <row r="7">
      <c r="A7" s="6" t="inlineStr">
        <is>
          <t>Related-party acquisition receivables (current + non-current)</t>
        </is>
      </c>
      <c r="B7" s="25" t="n">
        <v>1324.787</v>
      </c>
      <c r="C7" s="25" t="n">
        <v>1304.839</v>
      </c>
      <c r="D7" s="25" t="n">
        <v>1294.442</v>
      </c>
      <c r="E7" s="28">
        <f>$D7</f>
        <v/>
      </c>
      <c r="F7" s="28">
        <f>$D7</f>
        <v/>
      </c>
      <c r="G7" s="28">
        <f>$D7</f>
        <v/>
      </c>
      <c r="H7" s="28">
        <f>$D7</f>
        <v/>
      </c>
      <c r="I7" s="28">
        <f>$D7</f>
        <v/>
      </c>
    </row>
    <row r="8">
      <c r="A8" s="6" t="inlineStr">
        <is>
          <t>Financial assets at fair value (through P&amp;L and OCI)</t>
        </is>
      </c>
      <c r="B8" s="25" t="n">
        <v>81.17500000000001</v>
      </c>
      <c r="C8" s="25" t="n">
        <v>101.239</v>
      </c>
      <c r="D8" s="25" t="n">
        <v>127.975</v>
      </c>
      <c r="E8" s="28">
        <f>$D8</f>
        <v/>
      </c>
      <c r="F8" s="28">
        <f>$D8</f>
        <v/>
      </c>
      <c r="G8" s="28">
        <f>$D8</f>
        <v/>
      </c>
      <c r="H8" s="28">
        <f>$D8</f>
        <v/>
      </c>
      <c r="I8" s="28">
        <f>$D8</f>
        <v/>
      </c>
    </row>
    <row r="9">
      <c r="A9" s="6" t="inlineStr">
        <is>
          <t>Cash, equivalents and term deposits</t>
        </is>
      </c>
      <c r="B9" s="25" t="n">
        <v>1966.891</v>
      </c>
      <c r="C9" s="25" t="n">
        <v>2313.449</v>
      </c>
      <c r="D9" s="25" t="n">
        <v>2512.224</v>
      </c>
      <c r="E9" s="28">
        <f>(Assumptions!$C$85+Assumptions!$C$86)-E16</f>
        <v/>
      </c>
      <c r="F9" s="28">
        <f>(Assumptions!$C$85+Assumptions!$C$86)-F16</f>
        <v/>
      </c>
      <c r="G9" s="28">
        <f>(Assumptions!$C$85+Assumptions!$C$86)-G16</f>
        <v/>
      </c>
      <c r="H9" s="28">
        <f>(Assumptions!$C$85+Assumptions!$C$86)-H16</f>
        <v/>
      </c>
      <c r="I9" s="28">
        <f>(Assumptions!$C$85+Assumptions!$C$86)-I16</f>
        <v/>
      </c>
    </row>
    <row r="10">
      <c r="A10" s="6" t="inlineStr">
        <is>
          <t>Total assets (as reported)</t>
        </is>
      </c>
      <c r="B10" s="25" t="n">
        <v>11183.046</v>
      </c>
      <c r="C10" s="25" t="n">
        <v>11816.822</v>
      </c>
      <c r="D10" s="25" t="n">
        <v>12267.233</v>
      </c>
      <c r="E10" s="28" t="inlineStr">
        <is>
          <t>-</t>
        </is>
      </c>
      <c r="F10" s="28" t="inlineStr">
        <is>
          <t>-</t>
        </is>
      </c>
      <c r="G10" s="28" t="inlineStr">
        <is>
          <t>-</t>
        </is>
      </c>
      <c r="H10" s="28" t="inlineStr">
        <is>
          <t>-</t>
        </is>
      </c>
      <c r="I10" s="28" t="inlineStr">
        <is>
          <t>-</t>
        </is>
      </c>
    </row>
    <row r="11">
      <c r="A11" s="6" t="inlineStr">
        <is>
          <t>Borrowings and lease liabilities (gross debt — held flat)</t>
        </is>
      </c>
      <c r="B11" s="25" t="n">
        <v>5498.415</v>
      </c>
      <c r="C11" s="25" t="n">
        <v>5505.304</v>
      </c>
      <c r="D11" s="25" t="n">
        <v>5503.717</v>
      </c>
      <c r="E11" s="28">
        <f>Assumptions!$C$85+Assumptions!$C$86</f>
        <v/>
      </c>
      <c r="F11" s="28">
        <f>Assumptions!$C$85+Assumptions!$C$86</f>
        <v/>
      </c>
      <c r="G11" s="28">
        <f>Assumptions!$C$85+Assumptions!$C$86</f>
        <v/>
      </c>
      <c r="H11" s="28">
        <f>Assumptions!$C$85+Assumptions!$C$86</f>
        <v/>
      </c>
      <c r="I11" s="28">
        <f>Assumptions!$C$85+Assumptions!$C$86</f>
        <v/>
      </c>
    </row>
    <row r="12">
      <c r="A12" s="6" t="inlineStr">
        <is>
          <t>Trade and other payables</t>
        </is>
      </c>
      <c r="B12" s="25" t="n">
        <v>1677.637</v>
      </c>
      <c r="C12" s="25" t="n">
        <v>2165.056</v>
      </c>
      <c r="D12" s="25" t="n">
        <v>2458.563</v>
      </c>
      <c r="E12" s="28" t="inlineStr">
        <is>
          <t>-</t>
        </is>
      </c>
      <c r="F12" s="28" t="inlineStr">
        <is>
          <t>-</t>
        </is>
      </c>
      <c r="G12" s="28" t="inlineStr">
        <is>
          <t>-</t>
        </is>
      </c>
      <c r="H12" s="28" t="inlineStr">
        <is>
          <t>-</t>
        </is>
      </c>
      <c r="I12" s="28" t="inlineStr">
        <is>
          <t>-</t>
        </is>
      </c>
    </row>
    <row r="13">
      <c r="A13" s="14" t="inlineStr">
        <is>
          <t>Equity attributable to shareholders</t>
        </is>
      </c>
      <c r="B13" s="33">
        <f>Assumptions!$C$28</f>
        <v/>
      </c>
      <c r="C13" s="33">
        <f>Assumptions!$C$29</f>
        <v/>
      </c>
      <c r="D13" s="33">
        <f>Assumptions!$C$93</f>
        <v/>
      </c>
      <c r="E13" s="33">
        <f>$D13+Assumptions!$C$82*('Income Statement'!E18-Assumptions!$C$96)</f>
        <v/>
      </c>
      <c r="F13" s="33">
        <f>E13+'Income Statement'!F18-Assumptions!$C$96</f>
        <v/>
      </c>
      <c r="G13" s="33">
        <f>F13+'Income Statement'!G18-Assumptions!$C$96</f>
        <v/>
      </c>
      <c r="H13" s="33">
        <f>G13+'Income Statement'!H18-Assumptions!$C$96</f>
        <v/>
      </c>
      <c r="I13" s="33">
        <f>H13+'Income Statement'!I18-Assumptions!$C$96</f>
        <v/>
      </c>
    </row>
    <row r="14">
      <c r="A14" s="6" t="inlineStr">
        <is>
          <t>Non-controlling interests</t>
        </is>
      </c>
      <c r="B14" s="25" t="n">
        <v>175.745</v>
      </c>
      <c r="C14" s="25" t="n">
        <v>186.378</v>
      </c>
      <c r="D14" s="19">
        <f>Assumptions!$C$94</f>
        <v/>
      </c>
      <c r="E14" s="28">
        <f>$D14-Assumptions!$C$82*'Income Statement'!E17</f>
        <v/>
      </c>
      <c r="F14" s="28">
        <f>E14-'Income Statement'!F17</f>
        <v/>
      </c>
      <c r="G14" s="28">
        <f>F14-'Income Statement'!G17</f>
        <v/>
      </c>
      <c r="H14" s="28">
        <f>G14-'Income Statement'!H17</f>
        <v/>
      </c>
      <c r="I14" s="28">
        <f>H14-'Income Statement'!I17</f>
        <v/>
      </c>
    </row>
    <row r="15">
      <c r="A15" s="6" t="inlineStr">
        <is>
          <t>Net working capital (model definition)</t>
        </is>
      </c>
      <c r="B15" s="28" t="inlineStr">
        <is>
          <t>-</t>
        </is>
      </c>
      <c r="C15" s="19">
        <f>Assumptions!$C$55</f>
        <v/>
      </c>
      <c r="D15" s="28" t="inlineStr">
        <is>
          <t>-</t>
        </is>
      </c>
      <c r="E15" s="28">
        <f>Assumptions!$C$56*'Income Statement'!E5</f>
        <v/>
      </c>
      <c r="F15" s="28">
        <f>Assumptions!$C$56*'Income Statement'!F5</f>
        <v/>
      </c>
      <c r="G15" s="28">
        <f>Assumptions!$C$56*'Income Statement'!G5</f>
        <v/>
      </c>
      <c r="H15" s="28">
        <f>Assumptions!$C$56*'Income Statement'!H5</f>
        <v/>
      </c>
      <c r="I15" s="28">
        <f>Assumptions!$C$56*'Income Statement'!I5</f>
        <v/>
      </c>
    </row>
    <row r="16">
      <c r="A16" s="14" t="inlineStr">
        <is>
          <t>Net debt (gross debt - cash and deposits)</t>
        </is>
      </c>
      <c r="B16" s="33">
        <f>B11-B9</f>
        <v/>
      </c>
      <c r="C16" s="33">
        <f>C11-C9</f>
        <v/>
      </c>
      <c r="D16" s="33">
        <f>D11-D9</f>
        <v/>
      </c>
      <c r="E16" s="33">
        <f>$D16-Assumptions!$C$82*(DCF!B18+('Income Statement'!E13+'Income Statement'!E6+'Income Statement'!E7)*(1-Assumptions!$C$7)-Assumptions!$C$96)</f>
        <v/>
      </c>
      <c r="F16" s="33">
        <f>E16-(DCF!C18+('Income Statement'!F13+'Income Statement'!F6+'Income Statement'!F7)*(1-Assumptions!$C$7))+Assumptions!$C$96</f>
        <v/>
      </c>
      <c r="G16" s="33">
        <f>F16-(DCF!D18+('Income Statement'!G13+'Income Statement'!G6+'Income Statement'!G7)*(1-Assumptions!$C$7))+Assumptions!$C$96</f>
        <v/>
      </c>
      <c r="H16" s="33">
        <f>G16-(DCF!E18+('Income Statement'!H13+'Income Statement'!H6+'Income Statement'!H7)*(1-Assumptions!$C$7))+Assumptions!$C$96</f>
        <v/>
      </c>
      <c r="I16" s="33">
        <f>H16-(DCF!F18+('Income Statement'!I13+'Income Statement'!I6+'Income Statement'!I7)*(1-Assumptions!$C$7))+Assumptions!$C$96</f>
        <v/>
      </c>
    </row>
    <row r="17">
      <c r="A17" s="6" t="inlineStr">
        <is>
          <t>Net debt / EBITDA (audited-definition EBITDA)</t>
        </is>
      </c>
      <c r="B17" s="39" t="inlineStr">
        <is>
          <t>-</t>
        </is>
      </c>
      <c r="C17" s="39">
        <f>C16/('Income Statement'!D9+'Income Statement'!D6+'Income Statement'!D7)</f>
        <v/>
      </c>
      <c r="D17" s="39" t="inlineStr">
        <is>
          <t>-</t>
        </is>
      </c>
      <c r="E17" s="39">
        <f>E16/('Income Statement'!E9+'Income Statement'!E6+'Income Statement'!E7)</f>
        <v/>
      </c>
      <c r="F17" s="39">
        <f>F16/('Income Statement'!F9+'Income Statement'!F6+'Income Statement'!F7)</f>
        <v/>
      </c>
      <c r="G17" s="39">
        <f>G16/('Income Statement'!G9+'Income Statement'!G6+'Income Statement'!G7)</f>
        <v/>
      </c>
      <c r="H17" s="39">
        <f>H16/('Income Statement'!H9+'Income Statement'!H6+'Income Statement'!H7)</f>
        <v/>
      </c>
      <c r="I17" s="39">
        <f>I16/('Income Statement'!I9+'Income Statement'!I6+'Income Statement'!I7)</f>
        <v/>
      </c>
    </row>
    <row r="19">
      <c r="A19" s="4" t="inlineStr">
        <is>
          <t>This is a CONDENSED layout and does not foot to zero: government grants, end-of-service benefits, tax liabilities, retentions and the remaining current items are not shown separately. GROSS borrowings are held flat at the 30-Jun-2026 book; NET debt falls as cash builds — the roll credits each year's equity free cash flow and charges the committed dividend. Both the equity roll and the net-debt roll are anchored on the 30-Jun-2026 reviewed position (equity 3,337.6): FY2026 adds the second-half stub of attributable profit and pays only the October instalment.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Cash flow — historical markers and the forecast waterfall</t>
        </is>
      </c>
      <c r="B1" s="2" t="n"/>
      <c r="C1" s="2" t="n"/>
      <c r="D1" s="2" t="n"/>
      <c r="E1" s="2" t="n"/>
      <c r="F1" s="2" t="n"/>
      <c r="G1" s="2" t="n"/>
      <c r="H1" s="2" t="n"/>
    </row>
    <row r="2">
      <c r="A2" s="4" t="inlineStr">
        <is>
          <t>AED mn. The forecast links line-for-line to the DCF waterfall; the FY2026 column shows the full model year, and the balance-sheet roll takes its second-half stub.</t>
        </is>
      </c>
    </row>
    <row r="4">
      <c r="A4" s="5" t="inlineStr">
        <is>
          <t>AED mn</t>
        </is>
      </c>
      <c r="B4" s="5" t="inlineStr">
        <is>
          <t>FY2024</t>
        </is>
      </c>
      <c r="C4" s="5" t="inlineStr">
        <is>
          <t>FY2025</t>
        </is>
      </c>
      <c r="D4" s="5" t="inlineStr">
        <is>
          <t>FY2026E</t>
        </is>
      </c>
      <c r="E4" s="5" t="inlineStr">
        <is>
          <t>FY2027E</t>
        </is>
      </c>
      <c r="F4" s="5" t="inlineStr">
        <is>
          <t>FY2028E</t>
        </is>
      </c>
      <c r="G4" s="5" t="inlineStr">
        <is>
          <t>FY2029E</t>
        </is>
      </c>
      <c r="H4" s="5" t="inlineStr">
        <is>
          <t>FY2030E</t>
        </is>
      </c>
    </row>
    <row r="5">
      <c r="A5" s="6" t="inlineStr">
        <is>
          <t>Operating EBITDA</t>
        </is>
      </c>
      <c r="B5" s="19">
        <f>'Income Statement'!C9</f>
        <v/>
      </c>
      <c r="C5" s="19">
        <f>'Income Statement'!D9</f>
        <v/>
      </c>
      <c r="D5" s="19">
        <f>'Income Statement'!E9</f>
        <v/>
      </c>
      <c r="E5" s="19">
        <f>'Income Statement'!F9</f>
        <v/>
      </c>
      <c r="F5" s="19">
        <f>'Income Statement'!G9</f>
        <v/>
      </c>
      <c r="G5" s="19">
        <f>'Income Statement'!H9</f>
        <v/>
      </c>
      <c r="H5" s="19">
        <f>'Income Statement'!I9</f>
        <v/>
      </c>
    </row>
    <row r="6">
      <c r="A6" s="6" t="inlineStr">
        <is>
          <t>Net cash from operating activities (as reported)</t>
        </is>
      </c>
      <c r="B6" s="25" t="n">
        <v>1824.402</v>
      </c>
      <c r="C6" s="25" t="n">
        <v>1862.042</v>
      </c>
      <c r="D6" s="28" t="inlineStr">
        <is>
          <t>-</t>
        </is>
      </c>
      <c r="E6" s="28" t="inlineStr">
        <is>
          <t>-</t>
        </is>
      </c>
      <c r="F6" s="28" t="inlineStr">
        <is>
          <t>-</t>
        </is>
      </c>
      <c r="G6" s="28" t="inlineStr">
        <is>
          <t>-</t>
        </is>
      </c>
      <c r="H6" s="28" t="inlineStr">
        <is>
          <t>-</t>
        </is>
      </c>
    </row>
    <row r="7">
      <c r="A7" s="6" t="inlineStr">
        <is>
          <t>NOPAT</t>
        </is>
      </c>
      <c r="B7" s="28" t="inlineStr">
        <is>
          <t>-</t>
        </is>
      </c>
      <c r="C7" s="28" t="inlineStr">
        <is>
          <t>-</t>
        </is>
      </c>
      <c r="D7" s="19">
        <f>DCF!B14</f>
        <v/>
      </c>
      <c r="E7" s="19">
        <f>DCF!C14</f>
        <v/>
      </c>
      <c r="F7" s="19">
        <f>DCF!D14</f>
        <v/>
      </c>
      <c r="G7" s="19">
        <f>DCF!E14</f>
        <v/>
      </c>
      <c r="H7" s="19">
        <f>DCF!F14</f>
        <v/>
      </c>
    </row>
    <row r="8">
      <c r="A8" s="6" t="inlineStr">
        <is>
          <t>Add back depreciation and amortisation</t>
        </is>
      </c>
      <c r="B8" s="28" t="inlineStr">
        <is>
          <t>-</t>
        </is>
      </c>
      <c r="C8" s="28" t="inlineStr">
        <is>
          <t>-</t>
        </is>
      </c>
      <c r="D8" s="19">
        <f>DCF!B15</f>
        <v/>
      </c>
      <c r="E8" s="19">
        <f>DCF!C15</f>
        <v/>
      </c>
      <c r="F8" s="19">
        <f>DCF!D15</f>
        <v/>
      </c>
      <c r="G8" s="19">
        <f>DCF!E15</f>
        <v/>
      </c>
      <c r="H8" s="19">
        <f>DCF!F15</f>
        <v/>
      </c>
    </row>
    <row r="9">
      <c r="A9" s="6" t="inlineStr">
        <is>
          <t>Capital expenditure</t>
        </is>
      </c>
      <c r="B9" s="25" t="n">
        <v>-306.781</v>
      </c>
      <c r="C9" s="19">
        <f>-Assumptions!$C$17</f>
        <v/>
      </c>
      <c r="D9" s="19">
        <f>DCF!B16</f>
        <v/>
      </c>
      <c r="E9" s="19">
        <f>DCF!C16</f>
        <v/>
      </c>
      <c r="F9" s="19">
        <f>DCF!D16</f>
        <v/>
      </c>
      <c r="G9" s="19">
        <f>DCF!E16</f>
        <v/>
      </c>
      <c r="H9" s="19">
        <f>DCF!F16</f>
        <v/>
      </c>
    </row>
    <row r="10">
      <c r="A10" s="6" t="inlineStr">
        <is>
          <t>Change in net working capital</t>
        </is>
      </c>
      <c r="B10" s="28" t="inlineStr">
        <is>
          <t>-</t>
        </is>
      </c>
      <c r="C10" s="28" t="inlineStr">
        <is>
          <t>-</t>
        </is>
      </c>
      <c r="D10" s="19">
        <f>DCF!B17</f>
        <v/>
      </c>
      <c r="E10" s="19">
        <f>DCF!C17</f>
        <v/>
      </c>
      <c r="F10" s="19">
        <f>DCF!D17</f>
        <v/>
      </c>
      <c r="G10" s="19">
        <f>DCF!E17</f>
        <v/>
      </c>
      <c r="H10" s="19">
        <f>DCF!F17</f>
        <v/>
      </c>
    </row>
    <row r="11">
      <c r="A11" s="14" t="inlineStr">
        <is>
          <t>Free cash flow to the firm</t>
        </is>
      </c>
      <c r="B11" s="33" t="inlineStr">
        <is>
          <t>-</t>
        </is>
      </c>
      <c r="C11" s="33" t="inlineStr">
        <is>
          <t>-</t>
        </is>
      </c>
      <c r="D11" s="33">
        <f>D7+D8+D9+D10</f>
        <v/>
      </c>
      <c r="E11" s="33">
        <f>E7+E8+E9+E10</f>
        <v/>
      </c>
      <c r="F11" s="33">
        <f>F7+F8+F9+F10</f>
        <v/>
      </c>
      <c r="G11" s="33">
        <f>G7+G8+G9+G10</f>
        <v/>
      </c>
      <c r="H11" s="33">
        <f>H7+H8+H9+H10</f>
        <v/>
      </c>
    </row>
    <row r="12">
      <c r="A12" s="6" t="inlineStr">
        <is>
          <t>Net finance charge after tax</t>
        </is>
      </c>
      <c r="B12" s="28" t="inlineStr">
        <is>
          <t>-</t>
        </is>
      </c>
      <c r="C12" s="28" t="inlineStr">
        <is>
          <t>-</t>
        </is>
      </c>
      <c r="D12" s="28">
        <f>'Income Statement'!E13*(1-Assumptions!$C$7)</f>
        <v/>
      </c>
      <c r="E12" s="28">
        <f>'Income Statement'!F13*(1-Assumptions!$C$7)</f>
        <v/>
      </c>
      <c r="F12" s="28">
        <f>'Income Statement'!G13*(1-Assumptions!$C$7)</f>
        <v/>
      </c>
      <c r="G12" s="28">
        <f>'Income Statement'!H13*(1-Assumptions!$C$7)</f>
        <v/>
      </c>
      <c r="H12" s="28">
        <f>'Income Statement'!I13*(1-Assumptions!$C$7)</f>
        <v/>
      </c>
    </row>
    <row r="13">
      <c r="A13" s="6" t="inlineStr">
        <is>
          <t>Receivable interest and rental income after tax</t>
        </is>
      </c>
      <c r="B13" s="28" t="inlineStr">
        <is>
          <t>-</t>
        </is>
      </c>
      <c r="C13" s="28" t="inlineStr">
        <is>
          <t>-</t>
        </is>
      </c>
      <c r="D13" s="28">
        <f>('Income Statement'!E6+'Income Statement'!E7)*(1-Assumptions!$C$7)</f>
        <v/>
      </c>
      <c r="E13" s="28">
        <f>('Income Statement'!F6+'Income Statement'!F7)*(1-Assumptions!$C$7)</f>
        <v/>
      </c>
      <c r="F13" s="28">
        <f>('Income Statement'!G6+'Income Statement'!G7)*(1-Assumptions!$C$7)</f>
        <v/>
      </c>
      <c r="G13" s="28">
        <f>('Income Statement'!H6+'Income Statement'!H7)*(1-Assumptions!$C$7)</f>
        <v/>
      </c>
      <c r="H13" s="28">
        <f>('Income Statement'!I6+'Income Statement'!I7)*(1-Assumptions!$C$7)</f>
        <v/>
      </c>
    </row>
    <row r="14">
      <c r="A14" s="6" t="inlineStr">
        <is>
          <t>Free cash flow to equity</t>
        </is>
      </c>
      <c r="B14" s="28" t="inlineStr">
        <is>
          <t>-</t>
        </is>
      </c>
      <c r="C14" s="28" t="inlineStr">
        <is>
          <t>-</t>
        </is>
      </c>
      <c r="D14" s="28">
        <f>D11+D12+D13</f>
        <v/>
      </c>
      <c r="E14" s="28">
        <f>E11+E12+E13</f>
        <v/>
      </c>
      <c r="F14" s="28">
        <f>F11+F12+F13</f>
        <v/>
      </c>
      <c r="G14" s="28">
        <f>G11+G12+G13</f>
        <v/>
      </c>
      <c r="H14" s="28">
        <f>H11+H12+H13</f>
        <v/>
      </c>
    </row>
    <row r="15">
      <c r="A15" s="6" t="inlineStr">
        <is>
          <t>Dividends paid</t>
        </is>
      </c>
      <c r="B15" s="25" t="n">
        <v>-850</v>
      </c>
      <c r="C15" s="25" t="n">
        <v>-875</v>
      </c>
      <c r="D15" s="19">
        <f>-Assumptions!$C$96</f>
        <v/>
      </c>
      <c r="E15" s="19">
        <f>-Assumptions!$C$96</f>
        <v/>
      </c>
      <c r="F15" s="19">
        <f>-Assumptions!$C$96</f>
        <v/>
      </c>
      <c r="G15" s="19">
        <f>-Assumptions!$C$96</f>
        <v/>
      </c>
      <c r="H15" s="19">
        <f>-Assumptions!$C$96</f>
        <v/>
      </c>
    </row>
    <row r="16">
      <c r="A16" s="6" t="inlineStr">
        <is>
          <t>Change in net debt (balance-sheet roll; FY2026 = second-half stub)</t>
        </is>
      </c>
      <c r="B16" s="28" t="inlineStr">
        <is>
          <t>-</t>
        </is>
      </c>
      <c r="C16" s="28" t="inlineStr">
        <is>
          <t>-</t>
        </is>
      </c>
      <c r="D16" s="19">
        <f>'Balance Sheet'!E16-'Balance Sheet'!D16</f>
        <v/>
      </c>
      <c r="E16" s="19">
        <f>'Balance Sheet'!F16-'Balance Sheet'!E16</f>
        <v/>
      </c>
      <c r="F16" s="19">
        <f>'Balance Sheet'!G16-'Balance Sheet'!F16</f>
        <v/>
      </c>
      <c r="G16" s="19">
        <f>'Balance Sheet'!H16-'Balance Sheet'!G16</f>
        <v/>
      </c>
      <c r="H16" s="19">
        <f>'Balance Sheet'!I16-'Balance Sheet'!H16</f>
        <v/>
      </c>
    </row>
    <row r="17">
      <c r="A17" s="6" t="inlineStr">
        <is>
          <t>Closing net debt</t>
        </is>
      </c>
      <c r="B17" s="28" t="inlineStr">
        <is>
          <t>-</t>
        </is>
      </c>
      <c r="C17" s="28" t="inlineStr">
        <is>
          <t>-</t>
        </is>
      </c>
      <c r="D17" s="19">
        <f>'Balance Sheet'!E16</f>
        <v/>
      </c>
      <c r="E17" s="19">
        <f>'Balance Sheet'!F16</f>
        <v/>
      </c>
      <c r="F17" s="19">
        <f>'Balance Sheet'!G16</f>
        <v/>
      </c>
      <c r="G17" s="19">
        <f>'Balance Sheet'!H16</f>
        <v/>
      </c>
      <c r="H17" s="19">
        <f>'Balance Sheet'!I16</f>
        <v/>
      </c>
    </row>
    <row r="19">
      <c r="A19" s="4" t="inlineStr">
        <is>
          <t>The company converts EBITDA to operating cash at a high rate — the negative working-capital cycle (customer deposits and long payables) funds growth. The committed dividend exceeds equity free cash flow in the first forecast year by design; the net-debt roll on the Balance Sheet carries the difference, starting at the 30-Jun-2026 anchor with only the second half of FY2026.</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AED mn unless stated. Every cell on this sheet is a link or a ratio; nothing is typed twice.</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Operating EBITDA (ex receivable interest and rental)</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6" t="inlineStr">
        <is>
          <t>Operating EBITDA margin</t>
        </is>
      </c>
      <c r="B8" s="10">
        <f>B7/B5</f>
        <v/>
      </c>
      <c r="C8" s="10">
        <f>C7/C5</f>
        <v/>
      </c>
      <c r="D8" s="10">
        <f>D7/D5</f>
        <v/>
      </c>
      <c r="E8" s="10">
        <f>E7/E5</f>
        <v/>
      </c>
      <c r="F8" s="10">
        <f>F7/F5</f>
        <v/>
      </c>
      <c r="G8" s="10">
        <f>G7/G5</f>
        <v/>
      </c>
      <c r="H8" s="10">
        <f>H7/H5</f>
        <v/>
      </c>
      <c r="I8" s="10">
        <f>I7/I5</f>
        <v/>
      </c>
    </row>
    <row r="9">
      <c r="A9" s="6" t="inlineStr">
        <is>
          <t>Operating profit (EBIT)</t>
        </is>
      </c>
      <c r="B9" s="19">
        <f>'Income Statement'!B12</f>
        <v/>
      </c>
      <c r="C9" s="19">
        <f>'Income Statement'!C12</f>
        <v/>
      </c>
      <c r="D9" s="19">
        <f>'Income Statement'!D12</f>
        <v/>
      </c>
      <c r="E9" s="19">
        <f>'Income Statement'!E12</f>
        <v/>
      </c>
      <c r="F9" s="19">
        <f>'Income Statement'!F12</f>
        <v/>
      </c>
      <c r="G9" s="19">
        <f>'Income Statement'!G12</f>
        <v/>
      </c>
      <c r="H9" s="19">
        <f>'Income Statement'!H12</f>
        <v/>
      </c>
      <c r="I9" s="19">
        <f>'Income Statement'!I12</f>
        <v/>
      </c>
    </row>
    <row r="10">
      <c r="A10" s="6" t="inlineStr">
        <is>
          <t>Attributable profit</t>
        </is>
      </c>
      <c r="B10" s="19">
        <f>'Income Statement'!B18</f>
        <v/>
      </c>
      <c r="C10" s="19">
        <f>'Income Statement'!C18</f>
        <v/>
      </c>
      <c r="D10" s="19">
        <f>'Income Statement'!D18</f>
        <v/>
      </c>
      <c r="E10" s="19">
        <f>'Income Statement'!E18</f>
        <v/>
      </c>
      <c r="F10" s="19">
        <f>'Income Statement'!F18</f>
        <v/>
      </c>
      <c r="G10" s="19">
        <f>'Income Statement'!G18</f>
        <v/>
      </c>
      <c r="H10" s="19">
        <f>'Income Statement'!H18</f>
        <v/>
      </c>
      <c r="I10" s="19">
        <f>'Income Statement'!I18</f>
        <v/>
      </c>
    </row>
    <row r="11">
      <c r="A11" s="6" t="inlineStr">
        <is>
          <t>Free cash flow to the firm</t>
        </is>
      </c>
      <c r="B11" s="28" t="inlineStr">
        <is>
          <t>-</t>
        </is>
      </c>
      <c r="C11" s="28" t="inlineStr">
        <is>
          <t>-</t>
        </is>
      </c>
      <c r="D11" s="28" t="inlineStr">
        <is>
          <t>-</t>
        </is>
      </c>
      <c r="E11" s="19">
        <f>'Cash Flow'!D11</f>
        <v/>
      </c>
      <c r="F11" s="19">
        <f>'Cash Flow'!E11</f>
        <v/>
      </c>
      <c r="G11" s="19">
        <f>'Cash Flow'!F11</f>
        <v/>
      </c>
      <c r="H11" s="19">
        <f>'Cash Flow'!G11</f>
        <v/>
      </c>
      <c r="I11" s="19">
        <f>'Cash Flow'!H11</f>
        <v/>
      </c>
    </row>
    <row r="12">
      <c r="A12" s="6" t="inlineStr">
        <is>
          <t>Net debt</t>
        </is>
      </c>
      <c r="B12" s="28" t="inlineStr">
        <is>
          <t>-</t>
        </is>
      </c>
      <c r="C12" s="19">
        <f>'Balance Sheet'!B16</f>
        <v/>
      </c>
      <c r="D12" s="19">
        <f>'Balance Sheet'!C16</f>
        <v/>
      </c>
      <c r="E12" s="19">
        <f>'Balance Sheet'!E16</f>
        <v/>
      </c>
      <c r="F12" s="19">
        <f>'Balance Sheet'!F16</f>
        <v/>
      </c>
      <c r="G12" s="19">
        <f>'Balance Sheet'!G16</f>
        <v/>
      </c>
      <c r="H12" s="19">
        <f>'Balance Sheet'!H16</f>
        <v/>
      </c>
      <c r="I12" s="19">
        <f>'Balance Sheet'!I16</f>
        <v/>
      </c>
    </row>
    <row r="13">
      <c r="A13" s="6" t="inlineStr">
        <is>
          <t>Invested capital (plant + net working capital)</t>
        </is>
      </c>
      <c r="B13" s="28" t="inlineStr">
        <is>
          <t>-</t>
        </is>
      </c>
      <c r="C13" s="28" t="inlineStr">
        <is>
          <t>-</t>
        </is>
      </c>
      <c r="D13" s="28" t="inlineStr">
        <is>
          <t>-</t>
        </is>
      </c>
      <c r="E13" s="19">
        <f>DCF!B11+'Balance Sheet'!E15</f>
        <v/>
      </c>
      <c r="F13" s="19">
        <f>DCF!C11+'Balance Sheet'!F15</f>
        <v/>
      </c>
      <c r="G13" s="19">
        <f>DCF!D11+'Balance Sheet'!G15</f>
        <v/>
      </c>
      <c r="H13" s="19">
        <f>DCF!E11+'Balance Sheet'!H15</f>
        <v/>
      </c>
      <c r="I13" s="19">
        <f>DCF!F11+'Balance Sheet'!I15</f>
        <v/>
      </c>
    </row>
    <row r="14">
      <c r="A14" s="6" t="inlineStr">
        <is>
          <t>Return on invested capital (NOPAT / same-year capital)</t>
        </is>
      </c>
      <c r="B14" s="10" t="inlineStr">
        <is>
          <t>-</t>
        </is>
      </c>
      <c r="C14" s="10" t="inlineStr">
        <is>
          <t>-</t>
        </is>
      </c>
      <c r="D14" s="10" t="inlineStr">
        <is>
          <t>-</t>
        </is>
      </c>
      <c r="E14" s="8">
        <f>DCF!B14/E13</f>
        <v/>
      </c>
      <c r="F14" s="8">
        <f>DCF!C14/F13</f>
        <v/>
      </c>
      <c r="G14" s="8">
        <f>DCF!D14/G13</f>
        <v/>
      </c>
      <c r="H14" s="8">
        <f>DCF!E14/H13</f>
        <v/>
      </c>
      <c r="I14" s="8">
        <f>DCF!F14/I13</f>
        <v/>
      </c>
    </row>
    <row r="16">
      <c r="A16" s="4" t="inlineStr">
        <is>
          <t>Return on invested capital comfortably clears the cost of capital across the forecast — the economics of a regulated district-cooling monopoly with a negative working-capital cycle. Invested capital is plant plus net working capital only: the related-party acquisition receivables are valued at book in the bridge, so they sit outside operating capital, and the two-stage terminal on the DCF sheet reinvests from exactly this base.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simulation output, not a formula, and does not redraw when a driver changes.</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2026-09-07</t>
        </is>
      </c>
      <c r="B5" s="22" t="n">
        <v>1.307778353533964</v>
      </c>
      <c r="C5" s="22" t="n">
        <v>1.421463907907037</v>
      </c>
      <c r="D5" s="22" t="n">
        <v>1.497304698398026</v>
      </c>
      <c r="E5" s="22" t="n">
        <v>1.577608508784234</v>
      </c>
      <c r="F5" s="22" t="n">
        <v>1.710596211715144</v>
      </c>
      <c r="G5" s="24" t="n">
        <v>0.49096</v>
      </c>
    </row>
    <row r="6">
      <c r="A6" s="6" t="inlineStr">
        <is>
          <t>Three months — to 2026-11-09</t>
        </is>
      </c>
      <c r="B6" s="22" t="n">
        <v>1.163129147318303</v>
      </c>
      <c r="C6" s="22" t="n">
        <v>1.356928833450125</v>
      </c>
      <c r="D6" s="22" t="n">
        <v>1.493590062912855</v>
      </c>
      <c r="E6" s="22" t="n">
        <v>1.643480077213343</v>
      </c>
      <c r="F6" s="22" t="n">
        <v>1.920409597734593</v>
      </c>
      <c r="G6" s="24" t="n">
        <v>0.48788</v>
      </c>
    </row>
    <row r="8">
      <c r="A8" s="5" t="inlineStr">
        <is>
          <t>Level event</t>
        </is>
      </c>
      <c r="B8" s="5" t="inlineStr">
        <is>
          <t>One month</t>
        </is>
      </c>
      <c r="C8" s="5" t="inlineStr">
        <is>
          <t>Three months</t>
        </is>
      </c>
    </row>
    <row r="9">
      <c r="A9" s="6" t="inlineStr">
        <is>
          <t>Finishes 10% or more above the market price</t>
        </is>
      </c>
      <c r="B9" s="24" t="n">
        <v>0.10862</v>
      </c>
      <c r="C9" s="24" t="n">
        <v>0.2411</v>
      </c>
    </row>
    <row r="10">
      <c r="A10" s="6" t="inlineStr">
        <is>
          <t>Finishes 10% or more below the market price</t>
        </is>
      </c>
      <c r="B10" s="24" t="n">
        <v>0.09634</v>
      </c>
      <c r="C10" s="24" t="n">
        <v>0.23902</v>
      </c>
    </row>
    <row r="11">
      <c r="A11" s="6" t="inlineStr">
        <is>
          <t>Touches 10% above at any point</t>
        </is>
      </c>
      <c r="B11" s="24" t="n">
        <v>0.18294</v>
      </c>
      <c r="C11" s="24" t="n">
        <v>0.45114</v>
      </c>
    </row>
    <row r="12">
      <c r="A12" s="6" t="inlineStr">
        <is>
          <t>Touches 10% below at any point</t>
        </is>
      </c>
      <c r="B12" s="24" t="n">
        <v>0.15638</v>
      </c>
      <c r="C12" s="24" t="n">
        <v>0.4303</v>
      </c>
    </row>
    <row r="14">
      <c r="A14" s="5" t="inlineStr">
        <is>
          <t>Simulation setting</t>
        </is>
      </c>
      <c r="B14" s="5" t="inlineStr">
        <is>
          <t>Value</t>
        </is>
      </c>
    </row>
    <row r="15">
      <c r="A15" s="6" t="inlineStr">
        <is>
          <t>Anchor date</t>
        </is>
      </c>
      <c r="C15" s="46" t="inlineStr">
        <is>
          <t>2026-08-07</t>
        </is>
      </c>
    </row>
    <row r="16">
      <c r="A16" s="6" t="inlineStr">
        <is>
          <t>Market price at the anchor (AED)</t>
        </is>
      </c>
      <c r="C16" s="7">
        <f>Assumptions!$C$5</f>
        <v/>
      </c>
    </row>
    <row r="17">
      <c r="A17" s="6" t="inlineStr">
        <is>
          <t>Annualised volatility (three-month anchor)</t>
        </is>
      </c>
      <c r="C17" s="24" t="n">
        <v>0.3163850413636488</v>
      </c>
    </row>
    <row r="18">
      <c r="A18" s="6" t="inlineStr">
        <is>
          <t>Simulated paths</t>
        </is>
      </c>
      <c r="C18" s="23" t="n">
        <v>50000</v>
      </c>
    </row>
    <row r="20" ht="70" customHeight="1">
      <c r="A20" s="47" t="inlineStr">
        <is>
          <t>Calibration backtest, in plain language: the shares listed in November 2022, so only 10 non-overlapping three-month windows exist (2023-11-30 to 2026-03-04). Over that short record the model's bands were, if anything, slightly generous: every outcome landed inside the 80% band, and the centre of the distribution sat where it should (average percentile of outcomes 0.46 against an ideal 0.50). A record this short cannot establish forecasting skill either way; read the bands as honest dispersion, not precision.</t>
        </is>
      </c>
    </row>
  </sheetData>
  <mergeCells count="1">
    <mergeCell ref="A20:H2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6"/>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Sensitivity — what the valuation needs the world to do</t>
        </is>
      </c>
      <c r="B1" s="2" t="n"/>
      <c r="C1" s="2" t="n"/>
      <c r="D1" s="2" t="n"/>
      <c r="E1" s="2" t="n"/>
      <c r="F1" s="2" t="n"/>
      <c r="G1" s="2" t="n"/>
      <c r="H1" s="2" t="n"/>
    </row>
    <row r="2">
      <c r="A2" s="4" t="inlineStr">
        <is>
          <t>AED per share. The 5x5 discount-rate x growth grid is the ONE pasted table left (25 whole-model solutions); every other scenario on this sheet — the recovery ladder, bear, bull and the three cost-of-capital constructions — is a LIVE parallel model that redraws when a driver changes.</t>
        </is>
      </c>
    </row>
    <row r="4">
      <c r="A4" s="15" t="inlineStr">
        <is>
          <t>Cost of capital (rows) x FY2031-40 growth (columns) — 9% framing; growth spans 0.0% (flat-tariff floor) to 3.0%; pasted whole-model solutions</t>
        </is>
      </c>
    </row>
    <row r="5">
      <c r="A5" s="5" t="inlineStr"/>
      <c r="B5" s="5" t="inlineStr">
        <is>
          <t>0.0%</t>
        </is>
      </c>
      <c r="C5" s="5" t="inlineStr">
        <is>
          <t>1.0%</t>
        </is>
      </c>
      <c r="D5" s="5" t="inlineStr">
        <is>
          <t>2.0%</t>
        </is>
      </c>
      <c r="E5" s="5" t="inlineStr">
        <is>
          <t>2.5%</t>
        </is>
      </c>
      <c r="F5" s="5" t="inlineStr">
        <is>
          <t>3.0%</t>
        </is>
      </c>
    </row>
    <row r="6">
      <c r="A6" s="6" t="inlineStr">
        <is>
          <t>6.64%</t>
        </is>
      </c>
      <c r="B6" s="22" t="n">
        <v>2.028184513471483</v>
      </c>
      <c r="C6" s="22" t="n">
        <v>2.268861693266772</v>
      </c>
      <c r="D6" s="22" t="n">
        <v>2.491157603672834</v>
      </c>
      <c r="E6" s="22" t="n">
        <v>2.561178372859042</v>
      </c>
      <c r="F6" s="22" t="n">
        <v>2.633899818509498</v>
      </c>
    </row>
    <row r="7">
      <c r="A7" s="6" t="inlineStr">
        <is>
          <t>7.14%</t>
        </is>
      </c>
      <c r="B7" s="22" t="n">
        <v>1.87319793838376</v>
      </c>
      <c r="C7" s="22" t="n">
        <v>2.071104387653169</v>
      </c>
      <c r="D7" s="22" t="n">
        <v>2.253560299465886</v>
      </c>
      <c r="E7" s="22" t="n">
        <v>2.313456332733911</v>
      </c>
      <c r="F7" s="22" t="n">
        <v>2.375623676455303</v>
      </c>
    </row>
    <row r="8">
      <c r="A8" s="6" t="inlineStr">
        <is>
          <t>7.64%</t>
        </is>
      </c>
      <c r="B8" s="22" t="n">
        <v>1.738544569942591</v>
      </c>
      <c r="C8" s="22" t="n">
        <v>1.903144406851903</v>
      </c>
      <c r="D8" s="22" t="n">
        <v>2.054867499874844</v>
      </c>
      <c r="E8" s="22" t="n">
        <v>2.106512251969375</v>
      </c>
      <c r="F8" s="22" t="n">
        <v>2.1600815122252</v>
      </c>
    </row>
    <row r="9">
      <c r="A9" s="6" t="inlineStr">
        <is>
          <t>8.14%</t>
        </is>
      </c>
      <c r="B9" s="22" t="n">
        <v>1.620475629041504</v>
      </c>
      <c r="C9" s="22" t="n">
        <v>1.758719711547268</v>
      </c>
      <c r="D9" s="22" t="n">
        <v>1.886274729863313</v>
      </c>
      <c r="E9" s="22" t="n">
        <v>1.931104434285562</v>
      </c>
      <c r="F9" s="22" t="n">
        <v>1.977574884837772</v>
      </c>
    </row>
    <row r="10">
      <c r="A10" s="6" t="inlineStr">
        <is>
          <t>8.64%</t>
        </is>
      </c>
      <c r="B10" s="22" t="n">
        <v>1.516110427892894</v>
      </c>
      <c r="C10" s="22" t="n">
        <v>1.633208182647881</v>
      </c>
      <c r="D10" s="22" t="n">
        <v>1.741445650749952</v>
      </c>
      <c r="E10" s="22" t="n">
        <v>1.780582767038071</v>
      </c>
      <c r="F10" s="22" t="n">
        <v>1.82112591758426</v>
      </c>
    </row>
    <row r="12">
      <c r="A12" s="15" t="inlineStr">
        <is>
          <t>LIVE one-way sensitivity — FY2031-40 growth at the base cost of capital (reproduces the grid's middle row; stage-two growth capped at the stage-one rate)</t>
        </is>
      </c>
    </row>
    <row r="13">
      <c r="A13" s="6" t="inlineStr">
        <is>
          <t>Growth, FY2031-40 window</t>
        </is>
      </c>
      <c r="B13" s="24" t="n">
        <v>0</v>
      </c>
      <c r="C13" s="24" t="n">
        <v>0.01</v>
      </c>
      <c r="D13" s="24" t="n">
        <v>0.02</v>
      </c>
      <c r="E13" s="24" t="n">
        <v>0.02499999999999991</v>
      </c>
      <c r="F13" s="24" t="n">
        <v>0.03</v>
      </c>
    </row>
    <row r="14">
      <c r="A14" s="6" t="inlineStr">
        <is>
          <t>Fair value per share (AED, live formula)</t>
        </is>
      </c>
      <c r="B14" s="9">
        <f>((DCF!$C$37+(DCF!$F$14*(1-B13/DCF!$C$26)*((1+B13)/(1+DCF!$C$56))*(1-((1+B13)/(1+DCF!$C$56))^10)/(1-((1+B13)/(1+DCF!$C$56)))+DCF!$F$14*(1+B13)^10*(1+MIN(Assumptions!$C$81,B13))*(1-MIN(Assumptions!$C$81,B13)/DCF!$C$26)/((DCF!$C$56-MIN(Assumptions!$C$81,B13))*(1+DCF!$C$56)^10))*DCF!$F$20)-DCF!$C$53+Assumptions!$C$89+Assumptions!$C$90+Assumptions!$C$91+Assumptions!$C$92)*(1-'SOTP Bridge'!$C$15)/Assumptions!$C$6</f>
        <v/>
      </c>
      <c r="C14" s="9">
        <f>((DCF!$C$37+(DCF!$F$14*(1-C13/DCF!$C$26)*((1+C13)/(1+DCF!$C$56))*(1-((1+C13)/(1+DCF!$C$56))^10)/(1-((1+C13)/(1+DCF!$C$56)))+DCF!$F$14*(1+C13)^10*(1+MIN(Assumptions!$C$81,C13))*(1-MIN(Assumptions!$C$81,C13)/DCF!$C$26)/((DCF!$C$56-MIN(Assumptions!$C$81,C13))*(1+DCF!$C$56)^10))*DCF!$F$20)-DCF!$C$53+Assumptions!$C$89+Assumptions!$C$90+Assumptions!$C$91+Assumptions!$C$92)*(1-'SOTP Bridge'!$C$15)/Assumptions!$C$6</f>
        <v/>
      </c>
      <c r="D14" s="9">
        <f>((DCF!$C$37+(DCF!$F$14*(1-D13/DCF!$C$26)*((1+D13)/(1+DCF!$C$56))*(1-((1+D13)/(1+DCF!$C$56))^10)/(1-((1+D13)/(1+DCF!$C$56)))+DCF!$F$14*(1+D13)^10*(1+MIN(Assumptions!$C$81,D13))*(1-MIN(Assumptions!$C$81,D13)/DCF!$C$26)/((DCF!$C$56-MIN(Assumptions!$C$81,D13))*(1+DCF!$C$56)^10))*DCF!$F$20)-DCF!$C$53+Assumptions!$C$89+Assumptions!$C$90+Assumptions!$C$91+Assumptions!$C$92)*(1-'SOTP Bridge'!$C$15)/Assumptions!$C$6</f>
        <v/>
      </c>
      <c r="E14" s="9">
        <f>((DCF!$C$37+(DCF!$F$14*(1-E13/DCF!$C$26)*((1+E13)/(1+DCF!$C$56))*(1-((1+E13)/(1+DCF!$C$56))^10)/(1-((1+E13)/(1+DCF!$C$56)))+DCF!$F$14*(1+E13)^10*(1+MIN(Assumptions!$C$81,E13))*(1-MIN(Assumptions!$C$81,E13)/DCF!$C$26)/((DCF!$C$56-MIN(Assumptions!$C$81,E13))*(1+DCF!$C$56)^10))*DCF!$F$20)-DCF!$C$53+Assumptions!$C$89+Assumptions!$C$90+Assumptions!$C$91+Assumptions!$C$92)*(1-'SOTP Bridge'!$C$15)/Assumptions!$C$6</f>
        <v/>
      </c>
      <c r="F14" s="9">
        <f>((DCF!$C$37+(DCF!$F$14*(1-F13/DCF!$C$26)*((1+F13)/(1+DCF!$C$56))*(1-((1+F13)/(1+DCF!$C$56))^10)/(1-((1+F13)/(1+DCF!$C$56)))+DCF!$F$14*(1+F13)^10*(1+MIN(Assumptions!$C$81,F13))*(1-MIN(Assumptions!$C$81,F13)/DCF!$C$26)/((DCF!$C$56-MIN(Assumptions!$C$81,F13))*(1+DCF!$C$56)^10))*DCF!$F$20)-DCF!$C$53+Assumptions!$C$89+Assumptions!$C$90+Assumptions!$C$91+Assumptions!$C$92)*(1-'SOTP Bridge'!$C$15)/Assumptions!$C$6</f>
        <v/>
      </c>
      <c r="G14" s="6" t="inlineStr">
        <is>
          <t>Swing:</t>
        </is>
      </c>
      <c r="H14" s="9">
        <f>MAX(B14:F14)-MIN(B14:F14)</f>
        <v/>
      </c>
    </row>
    <row r="16">
      <c r="A16" s="4" t="inlineStr">
        <is>
          <t>The live row reproduces the middle row of the pasted grid; if a driver is changed on the Assumptions sheet the live row and every block below will move and the pasted grid will not — that difference is the quickest way to see that a driver change has repriced the model.</t>
        </is>
      </c>
    </row>
    <row r="18">
      <c r="A18" s="15" t="inlineStr">
        <is>
          <t>THE CRUX — LIVE RECOVERY LADDER: consumption per-RT from FY2027 as a share of FY2025 (blue level cells are inputs; every other cell is a formula)</t>
        </is>
      </c>
    </row>
    <row r="19">
      <c r="A19" s="6" t="inlineStr">
        <is>
          <t>Recovery level (share of FY2025 per-RT consumption)</t>
        </is>
      </c>
      <c r="B19" s="24" t="n">
        <v>0.9</v>
      </c>
      <c r="C19" s="24" t="n">
        <v>0.9399999999999999</v>
      </c>
      <c r="D19" s="24" t="n">
        <v>0.97</v>
      </c>
      <c r="E19" s="24" t="n">
        <v>1</v>
      </c>
      <c r="F19" s="24" t="n">
        <v>1.03</v>
      </c>
    </row>
    <row r="20">
      <c r="A20" s="6" t="inlineStr">
        <is>
          <t>Revenue FY2026E</t>
        </is>
      </c>
      <c r="B20" s="19">
        <f>Segments!$C$12</f>
        <v/>
      </c>
      <c r="C20" s="19">
        <f>Segments!$C$12</f>
        <v/>
      </c>
      <c r="D20" s="19">
        <f>Segments!$C$12</f>
        <v/>
      </c>
      <c r="E20" s="19">
        <f>Segments!$C$12</f>
        <v/>
      </c>
      <c r="F20" s="19">
        <f>Segments!$C$12</f>
        <v/>
      </c>
    </row>
    <row r="21">
      <c r="A21" s="6" t="inlineStr">
        <is>
          <t>Revenue FY2027E</t>
        </is>
      </c>
      <c r="B21" s="28">
        <f>(Assumptions!$C$49*B$19+Assumptions!$C$50)*Segments!$D$7+Assumptions!$C$37</f>
        <v/>
      </c>
      <c r="C21" s="28">
        <f>(Assumptions!$C$49*C$19+Assumptions!$C$50)*Segments!$D$7+Assumptions!$C$37</f>
        <v/>
      </c>
      <c r="D21" s="28">
        <f>(Assumptions!$C$49*D$19+Assumptions!$C$50)*Segments!$D$7+Assumptions!$C$37</f>
        <v/>
      </c>
      <c r="E21" s="28">
        <f>(Assumptions!$C$49*E$19+Assumptions!$C$50)*Segments!$D$7+Assumptions!$C$37</f>
        <v/>
      </c>
      <c r="F21" s="28">
        <f>(Assumptions!$C$49*F$19+Assumptions!$C$50)*Segments!$D$7+Assumptions!$C$37</f>
        <v/>
      </c>
    </row>
    <row r="22">
      <c r="A22" s="6" t="inlineStr">
        <is>
          <t>Revenue FY2028E</t>
        </is>
      </c>
      <c r="B22" s="28">
        <f>(Assumptions!$C$49*B$19+Assumptions!$C$50)*Segments!$E$7+Assumptions!$C$37</f>
        <v/>
      </c>
      <c r="C22" s="28">
        <f>(Assumptions!$C$49*C$19+Assumptions!$C$50)*Segments!$E$7+Assumptions!$C$37</f>
        <v/>
      </c>
      <c r="D22" s="28">
        <f>(Assumptions!$C$49*D$19+Assumptions!$C$50)*Segments!$E$7+Assumptions!$C$37</f>
        <v/>
      </c>
      <c r="E22" s="28">
        <f>(Assumptions!$C$49*E$19+Assumptions!$C$50)*Segments!$E$7+Assumptions!$C$37</f>
        <v/>
      </c>
      <c r="F22" s="28">
        <f>(Assumptions!$C$49*F$19+Assumptions!$C$50)*Segments!$E$7+Assumptions!$C$37</f>
        <v/>
      </c>
    </row>
    <row r="23">
      <c r="A23" s="6" t="inlineStr">
        <is>
          <t>Revenue FY2029E</t>
        </is>
      </c>
      <c r="B23" s="28">
        <f>(Assumptions!$C$49*B$19+Assumptions!$C$50)*Segments!$F$7+Assumptions!$C$37</f>
        <v/>
      </c>
      <c r="C23" s="28">
        <f>(Assumptions!$C$49*C$19+Assumptions!$C$50)*Segments!$F$7+Assumptions!$C$37</f>
        <v/>
      </c>
      <c r="D23" s="28">
        <f>(Assumptions!$C$49*D$19+Assumptions!$C$50)*Segments!$F$7+Assumptions!$C$37</f>
        <v/>
      </c>
      <c r="E23" s="28">
        <f>(Assumptions!$C$49*E$19+Assumptions!$C$50)*Segments!$F$7+Assumptions!$C$37</f>
        <v/>
      </c>
      <c r="F23" s="28">
        <f>(Assumptions!$C$49*F$19+Assumptions!$C$50)*Segments!$F$7+Assumptions!$C$37</f>
        <v/>
      </c>
    </row>
    <row r="24">
      <c r="A24" s="6" t="inlineStr">
        <is>
          <t>Revenue FY2030E</t>
        </is>
      </c>
      <c r="B24" s="28">
        <f>(Assumptions!$C$49*B$19+Assumptions!$C$50)*Segments!$G$7+Assumptions!$C$37</f>
        <v/>
      </c>
      <c r="C24" s="28">
        <f>(Assumptions!$C$49*C$19+Assumptions!$C$50)*Segments!$G$7+Assumptions!$C$37</f>
        <v/>
      </c>
      <c r="D24" s="28">
        <f>(Assumptions!$C$49*D$19+Assumptions!$C$50)*Segments!$G$7+Assumptions!$C$37</f>
        <v/>
      </c>
      <c r="E24" s="28">
        <f>(Assumptions!$C$49*E$19+Assumptions!$C$50)*Segments!$G$7+Assumptions!$C$37</f>
        <v/>
      </c>
      <c r="F24" s="28">
        <f>(Assumptions!$C$49*F$19+Assumptions!$C$50)*Segments!$G$7+Assumptions!$C$37</f>
        <v/>
      </c>
    </row>
    <row r="25">
      <c r="A25" s="6" t="inlineStr">
        <is>
          <t>Operating EBITDA FY2026E</t>
        </is>
      </c>
      <c r="B25" s="19">
        <f>Segments!$C$22</f>
        <v/>
      </c>
      <c r="C25" s="19">
        <f>Segments!$C$22</f>
        <v/>
      </c>
      <c r="D25" s="19">
        <f>Segments!$C$22</f>
        <v/>
      </c>
      <c r="E25" s="19">
        <f>Segments!$C$22</f>
        <v/>
      </c>
      <c r="F25" s="19">
        <f>Segments!$C$22</f>
        <v/>
      </c>
    </row>
    <row r="26">
      <c r="A26" s="6" t="inlineStr">
        <is>
          <t>Operating EBITDA FY2027E</t>
        </is>
      </c>
      <c r="B26" s="28">
        <f>B21-Assumptions!$C$51*Assumptions!$C$49*B$19*Segments!$D$7-Segments!$D$16-Segments!$D$17+Assumptions!$C$57</f>
        <v/>
      </c>
      <c r="C26" s="28">
        <f>C21-Assumptions!$C$51*Assumptions!$C$49*C$19*Segments!$D$7-Segments!$D$16-Segments!$D$17+Assumptions!$C$57</f>
        <v/>
      </c>
      <c r="D26" s="28">
        <f>D21-Assumptions!$C$51*Assumptions!$C$49*D$19*Segments!$D$7-Segments!$D$16-Segments!$D$17+Assumptions!$C$57</f>
        <v/>
      </c>
      <c r="E26" s="28">
        <f>E21-Assumptions!$C$51*Assumptions!$C$49*E$19*Segments!$D$7-Segments!$D$16-Segments!$D$17+Assumptions!$C$57</f>
        <v/>
      </c>
      <c r="F26" s="28">
        <f>F21-Assumptions!$C$51*Assumptions!$C$49*F$19*Segments!$D$7-Segments!$D$16-Segments!$D$17+Assumptions!$C$57</f>
        <v/>
      </c>
    </row>
    <row r="27">
      <c r="A27" s="6" t="inlineStr">
        <is>
          <t>Operating EBITDA FY2028E</t>
        </is>
      </c>
      <c r="B27" s="28">
        <f>B22-Assumptions!$C$51*Assumptions!$C$49*B$19*Segments!$E$7-Segments!$E$16-Segments!$E$17+Assumptions!$C$57</f>
        <v/>
      </c>
      <c r="C27" s="28">
        <f>C22-Assumptions!$C$51*Assumptions!$C$49*C$19*Segments!$E$7-Segments!$E$16-Segments!$E$17+Assumptions!$C$57</f>
        <v/>
      </c>
      <c r="D27" s="28">
        <f>D22-Assumptions!$C$51*Assumptions!$C$49*D$19*Segments!$E$7-Segments!$E$16-Segments!$E$17+Assumptions!$C$57</f>
        <v/>
      </c>
      <c r="E27" s="28">
        <f>E22-Assumptions!$C$51*Assumptions!$C$49*E$19*Segments!$E$7-Segments!$E$16-Segments!$E$17+Assumptions!$C$57</f>
        <v/>
      </c>
      <c r="F27" s="28">
        <f>F22-Assumptions!$C$51*Assumptions!$C$49*F$19*Segments!$E$7-Segments!$E$16-Segments!$E$17+Assumptions!$C$57</f>
        <v/>
      </c>
    </row>
    <row r="28">
      <c r="A28" s="6" t="inlineStr">
        <is>
          <t>Operating EBITDA FY2029E</t>
        </is>
      </c>
      <c r="B28" s="28">
        <f>B23-Assumptions!$C$51*Assumptions!$C$49*B$19*Segments!$F$7-Segments!$F$16-Segments!$F$17+Assumptions!$C$57</f>
        <v/>
      </c>
      <c r="C28" s="28">
        <f>C23-Assumptions!$C$51*Assumptions!$C$49*C$19*Segments!$F$7-Segments!$F$16-Segments!$F$17+Assumptions!$C$57</f>
        <v/>
      </c>
      <c r="D28" s="28">
        <f>D23-Assumptions!$C$51*Assumptions!$C$49*D$19*Segments!$F$7-Segments!$F$16-Segments!$F$17+Assumptions!$C$57</f>
        <v/>
      </c>
      <c r="E28" s="28">
        <f>E23-Assumptions!$C$51*Assumptions!$C$49*E$19*Segments!$F$7-Segments!$F$16-Segments!$F$17+Assumptions!$C$57</f>
        <v/>
      </c>
      <c r="F28" s="28">
        <f>F23-Assumptions!$C$51*Assumptions!$C$49*F$19*Segments!$F$7-Segments!$F$16-Segments!$F$17+Assumptions!$C$57</f>
        <v/>
      </c>
    </row>
    <row r="29">
      <c r="A29" s="6" t="inlineStr">
        <is>
          <t>Operating EBITDA FY2030E</t>
        </is>
      </c>
      <c r="B29" s="28">
        <f>B24-Assumptions!$C$51*Assumptions!$C$49*B$19*Segments!$G$7-Segments!$G$16-Segments!$G$17+Assumptions!$C$57</f>
        <v/>
      </c>
      <c r="C29" s="28">
        <f>C24-Assumptions!$C$51*Assumptions!$C$49*C$19*Segments!$G$7-Segments!$G$16-Segments!$G$17+Assumptions!$C$57</f>
        <v/>
      </c>
      <c r="D29" s="28">
        <f>D24-Assumptions!$C$51*Assumptions!$C$49*D$19*Segments!$G$7-Segments!$G$16-Segments!$G$17+Assumptions!$C$57</f>
        <v/>
      </c>
      <c r="E29" s="28">
        <f>E24-Assumptions!$C$51*Assumptions!$C$49*E$19*Segments!$G$7-Segments!$G$16-Segments!$G$17+Assumptions!$C$57</f>
        <v/>
      </c>
      <c r="F29" s="28">
        <f>F24-Assumptions!$C$51*Assumptions!$C$49*F$19*Segments!$G$7-Segments!$G$16-Segments!$G$17+Assumptions!$C$57</f>
        <v/>
      </c>
    </row>
    <row r="30">
      <c r="A30" s="6" t="inlineStr">
        <is>
          <t>Free cash flow FY2026E</t>
        </is>
      </c>
      <c r="B30" s="28">
        <f>(B25-DCF!$B$12)*(1-Assumptions!$C$7)+DCF!$B$12-DCF!$B$9-(Assumptions!$C$56*B20-Assumptions!$C$55)</f>
        <v/>
      </c>
      <c r="C30" s="28">
        <f>(C25-DCF!$B$12)*(1-Assumptions!$C$7)+DCF!$B$12-DCF!$B$9-(Assumptions!$C$56*C20-Assumptions!$C$55)</f>
        <v/>
      </c>
      <c r="D30" s="28">
        <f>(D25-DCF!$B$12)*(1-Assumptions!$C$7)+DCF!$B$12-DCF!$B$9-(Assumptions!$C$56*D20-Assumptions!$C$55)</f>
        <v/>
      </c>
      <c r="E30" s="28">
        <f>(E25-DCF!$B$12)*(1-Assumptions!$C$7)+DCF!$B$12-DCF!$B$9-(Assumptions!$C$56*E20-Assumptions!$C$55)</f>
        <v/>
      </c>
      <c r="F30" s="28">
        <f>(F25-DCF!$B$12)*(1-Assumptions!$C$7)+DCF!$B$12-DCF!$B$9-(Assumptions!$C$56*F20-Assumptions!$C$55)</f>
        <v/>
      </c>
    </row>
    <row r="31">
      <c r="A31" s="6" t="inlineStr">
        <is>
          <t>Free cash flow FY2027E</t>
        </is>
      </c>
      <c r="B31" s="28">
        <f>(B26-DCF!$C$12)*(1-Assumptions!$C$7)+DCF!$C$12-DCF!$C$9-Assumptions!$C$56*(B21-B20)</f>
        <v/>
      </c>
      <c r="C31" s="28">
        <f>(C26-DCF!$C$12)*(1-Assumptions!$C$7)+DCF!$C$12-DCF!$C$9-Assumptions!$C$56*(C21-C20)</f>
        <v/>
      </c>
      <c r="D31" s="28">
        <f>(D26-DCF!$C$12)*(1-Assumptions!$C$7)+DCF!$C$12-DCF!$C$9-Assumptions!$C$56*(D21-D20)</f>
        <v/>
      </c>
      <c r="E31" s="28">
        <f>(E26-DCF!$C$12)*(1-Assumptions!$C$7)+DCF!$C$12-DCF!$C$9-Assumptions!$C$56*(E21-E20)</f>
        <v/>
      </c>
      <c r="F31" s="28">
        <f>(F26-DCF!$C$12)*(1-Assumptions!$C$7)+DCF!$C$12-DCF!$C$9-Assumptions!$C$56*(F21-F20)</f>
        <v/>
      </c>
    </row>
    <row r="32">
      <c r="A32" s="6" t="inlineStr">
        <is>
          <t>Free cash flow FY2028E</t>
        </is>
      </c>
      <c r="B32" s="28">
        <f>(B27-DCF!$D$12)*(1-Assumptions!$C$7)+DCF!$D$12-DCF!$D$9-Assumptions!$C$56*(B22-B21)</f>
        <v/>
      </c>
      <c r="C32" s="28">
        <f>(C27-DCF!$D$12)*(1-Assumptions!$C$7)+DCF!$D$12-DCF!$D$9-Assumptions!$C$56*(C22-C21)</f>
        <v/>
      </c>
      <c r="D32" s="28">
        <f>(D27-DCF!$D$12)*(1-Assumptions!$C$7)+DCF!$D$12-DCF!$D$9-Assumptions!$C$56*(D22-D21)</f>
        <v/>
      </c>
      <c r="E32" s="28">
        <f>(E27-DCF!$D$12)*(1-Assumptions!$C$7)+DCF!$D$12-DCF!$D$9-Assumptions!$C$56*(E22-E21)</f>
        <v/>
      </c>
      <c r="F32" s="28">
        <f>(F27-DCF!$D$12)*(1-Assumptions!$C$7)+DCF!$D$12-DCF!$D$9-Assumptions!$C$56*(F22-F21)</f>
        <v/>
      </c>
    </row>
    <row r="33">
      <c r="A33" s="6" t="inlineStr">
        <is>
          <t>Free cash flow FY2029E</t>
        </is>
      </c>
      <c r="B33" s="28">
        <f>(B28-DCF!$E$12)*(1-Assumptions!$C$7)+DCF!$E$12-DCF!$E$9-Assumptions!$C$56*(B23-B22)</f>
        <v/>
      </c>
      <c r="C33" s="28">
        <f>(C28-DCF!$E$12)*(1-Assumptions!$C$7)+DCF!$E$12-DCF!$E$9-Assumptions!$C$56*(C23-C22)</f>
        <v/>
      </c>
      <c r="D33" s="28">
        <f>(D28-DCF!$E$12)*(1-Assumptions!$C$7)+DCF!$E$12-DCF!$E$9-Assumptions!$C$56*(D23-D22)</f>
        <v/>
      </c>
      <c r="E33" s="28">
        <f>(E28-DCF!$E$12)*(1-Assumptions!$C$7)+DCF!$E$12-DCF!$E$9-Assumptions!$C$56*(E23-E22)</f>
        <v/>
      </c>
      <c r="F33" s="28">
        <f>(F28-DCF!$E$12)*(1-Assumptions!$C$7)+DCF!$E$12-DCF!$E$9-Assumptions!$C$56*(F23-F22)</f>
        <v/>
      </c>
    </row>
    <row r="34">
      <c r="A34" s="6" t="inlineStr">
        <is>
          <t>Free cash flow FY2030E</t>
        </is>
      </c>
      <c r="B34" s="28">
        <f>(B29-DCF!$F$12)*(1-Assumptions!$C$7)+DCF!$F$12-DCF!$F$9-Assumptions!$C$56*(B24-B23)</f>
        <v/>
      </c>
      <c r="C34" s="28">
        <f>(C29-DCF!$F$12)*(1-Assumptions!$C$7)+DCF!$F$12-DCF!$F$9-Assumptions!$C$56*(C24-C23)</f>
        <v/>
      </c>
      <c r="D34" s="28">
        <f>(D29-DCF!$F$12)*(1-Assumptions!$C$7)+DCF!$F$12-DCF!$F$9-Assumptions!$C$56*(D24-D23)</f>
        <v/>
      </c>
      <c r="E34" s="28">
        <f>(E29-DCF!$F$12)*(1-Assumptions!$C$7)+DCF!$F$12-DCF!$F$9-Assumptions!$C$56*(E24-E23)</f>
        <v/>
      </c>
      <c r="F34" s="28">
        <f>(F29-DCF!$F$12)*(1-Assumptions!$C$7)+DCF!$F$12-DCF!$F$9-Assumptions!$C$56*(F24-F23)</f>
        <v/>
      </c>
    </row>
    <row r="35">
      <c r="A35" s="6" t="inlineStr">
        <is>
          <t>Present value FY2026E (stub)</t>
        </is>
      </c>
      <c r="B35" s="28">
        <f>B30*Assumptions!$C$82/(1+DCF!$C$56)^DCF!$B$19</f>
        <v/>
      </c>
      <c r="C35" s="28">
        <f>C30*Assumptions!$C$82/(1+DCF!$C$56)^DCF!$B$19</f>
        <v/>
      </c>
      <c r="D35" s="28">
        <f>D30*Assumptions!$C$82/(1+DCF!$C$56)^DCF!$B$19</f>
        <v/>
      </c>
      <c r="E35" s="28">
        <f>E30*Assumptions!$C$82/(1+DCF!$C$56)^DCF!$B$19</f>
        <v/>
      </c>
      <c r="F35" s="28">
        <f>F30*Assumptions!$C$82/(1+DCF!$C$56)^DCF!$B$19</f>
        <v/>
      </c>
    </row>
    <row r="36">
      <c r="A36" s="6" t="inlineStr">
        <is>
          <t>Present value FY2027E</t>
        </is>
      </c>
      <c r="B36" s="28">
        <f>B31/(1+DCF!$C$56)^DCF!$C$19</f>
        <v/>
      </c>
      <c r="C36" s="28">
        <f>C31/(1+DCF!$C$56)^DCF!$C$19</f>
        <v/>
      </c>
      <c r="D36" s="28">
        <f>D31/(1+DCF!$C$56)^DCF!$C$19</f>
        <v/>
      </c>
      <c r="E36" s="28">
        <f>E31/(1+DCF!$C$56)^DCF!$C$19</f>
        <v/>
      </c>
      <c r="F36" s="28">
        <f>F31/(1+DCF!$C$56)^DCF!$C$19</f>
        <v/>
      </c>
    </row>
    <row r="37">
      <c r="A37" s="6" t="inlineStr">
        <is>
          <t>Present value FY2028E</t>
        </is>
      </c>
      <c r="B37" s="28">
        <f>B32/(1+DCF!$C$56)^DCF!$D$19</f>
        <v/>
      </c>
      <c r="C37" s="28">
        <f>C32/(1+DCF!$C$56)^DCF!$D$19</f>
        <v/>
      </c>
      <c r="D37" s="28">
        <f>D32/(1+DCF!$C$56)^DCF!$D$19</f>
        <v/>
      </c>
      <c r="E37" s="28">
        <f>E32/(1+DCF!$C$56)^DCF!$D$19</f>
        <v/>
      </c>
      <c r="F37" s="28">
        <f>F32/(1+DCF!$C$56)^DCF!$D$19</f>
        <v/>
      </c>
    </row>
    <row r="38">
      <c r="A38" s="6" t="inlineStr">
        <is>
          <t>Present value FY2029E</t>
        </is>
      </c>
      <c r="B38" s="28">
        <f>B33/(1+DCF!$C$56)^DCF!$E$19</f>
        <v/>
      </c>
      <c r="C38" s="28">
        <f>C33/(1+DCF!$C$56)^DCF!$E$19</f>
        <v/>
      </c>
      <c r="D38" s="28">
        <f>D33/(1+DCF!$C$56)^DCF!$E$19</f>
        <v/>
      </c>
      <c r="E38" s="28">
        <f>E33/(1+DCF!$C$56)^DCF!$E$19</f>
        <v/>
      </c>
      <c r="F38" s="28">
        <f>F33/(1+DCF!$C$56)^DCF!$E$19</f>
        <v/>
      </c>
    </row>
    <row r="39">
      <c r="A39" s="6" t="inlineStr">
        <is>
          <t>Present value FY2030E</t>
        </is>
      </c>
      <c r="B39" s="28">
        <f>B34/(1+DCF!$C$56)^DCF!$F$19</f>
        <v/>
      </c>
      <c r="C39" s="28">
        <f>C34/(1+DCF!$C$56)^DCF!$F$19</f>
        <v/>
      </c>
      <c r="D39" s="28">
        <f>D34/(1+DCF!$C$56)^DCF!$F$19</f>
        <v/>
      </c>
      <c r="E39" s="28">
        <f>E34/(1+DCF!$C$56)^DCF!$F$19</f>
        <v/>
      </c>
      <c r="F39" s="28">
        <f>F34/(1+DCF!$C$56)^DCF!$F$19</f>
        <v/>
      </c>
    </row>
    <row r="40">
      <c r="A40" s="6" t="inlineStr">
        <is>
          <t>Present value, five years</t>
        </is>
      </c>
      <c r="B40" s="28">
        <f>SUM(B35:B39)</f>
        <v/>
      </c>
      <c r="C40" s="28">
        <f>SUM(C35:C39)</f>
        <v/>
      </c>
      <c r="D40" s="28">
        <f>SUM(D35:D39)</f>
        <v/>
      </c>
      <c r="E40" s="28">
        <f>SUM(E35:E39)</f>
        <v/>
      </c>
      <c r="F40" s="28">
        <f>SUM(F35:F39)</f>
        <v/>
      </c>
    </row>
    <row r="41">
      <c r="A41" s="6" t="inlineStr">
        <is>
          <t>NOPAT FY2030E</t>
        </is>
      </c>
      <c r="B41" s="28">
        <f>(B29-DCF!$F$12)*(1-Assumptions!$C$7)</f>
        <v/>
      </c>
      <c r="C41" s="28">
        <f>(C29-DCF!$F$12)*(1-Assumptions!$C$7)</f>
        <v/>
      </c>
      <c r="D41" s="28">
        <f>(D29-DCF!$F$12)*(1-Assumptions!$C$7)</f>
        <v/>
      </c>
      <c r="E41" s="28">
        <f>(E29-DCF!$F$12)*(1-Assumptions!$C$7)</f>
        <v/>
      </c>
      <c r="F41" s="28">
        <f>(F29-DCF!$F$12)*(1-Assumptions!$C$7)</f>
        <v/>
      </c>
    </row>
    <row r="42">
      <c r="A42" s="6" t="inlineStr">
        <is>
          <t>Stage-one free cash flow, FY2031 (the waterfall is on the DCF sheet)</t>
        </is>
      </c>
      <c r="B42" s="28">
        <f>1351.086349</f>
        <v/>
      </c>
      <c r="C42" s="28">
        <f>1374.204426</f>
        <v/>
      </c>
      <c r="D42" s="28">
        <f>1391.542984</f>
        <v/>
      </c>
      <c r="E42" s="28">
        <f>1408.881541</f>
        <v/>
      </c>
      <c r="F42" s="28">
        <f>1426.220099</f>
        <v/>
      </c>
    </row>
    <row r="43">
      <c r="A43" s="6" t="inlineStr">
        <is>
          <t>Growth/discount ratio</t>
        </is>
      </c>
      <c r="B43" s="26">
        <f>(1+Assumptions!$C$80)/(1+DCF!$C$56)</f>
        <v/>
      </c>
      <c r="C43" s="26">
        <f>(1+Assumptions!$C$80)/(1+DCF!$C$56)</f>
        <v/>
      </c>
      <c r="D43" s="26">
        <f>(1+Assumptions!$C$80)/(1+DCF!$C$56)</f>
        <v/>
      </c>
      <c r="E43" s="26">
        <f>(1+Assumptions!$C$80)/(1+DCF!$C$56)</f>
        <v/>
      </c>
      <c r="F43" s="26">
        <f>(1+Assumptions!$C$80)/(1+DCF!$C$56)</f>
        <v/>
      </c>
    </row>
    <row r="44">
      <c r="A44" s="6" t="inlineStr">
        <is>
          <t>Value of the FY2031-40 window</t>
        </is>
      </c>
      <c r="B44" s="28">
        <f>B42/(1+DCF!$C$56)*(1-B43^10)/(1-B43)</f>
        <v/>
      </c>
      <c r="C44" s="28">
        <f>C42/(1+DCF!$C$56)*(1-C43^10)/(1-C43)</f>
        <v/>
      </c>
      <c r="D44" s="28">
        <f>D42/(1+DCF!$C$56)*(1-D43^10)/(1-D43)</f>
        <v/>
      </c>
      <c r="E44" s="28">
        <f>E42/(1+DCF!$C$56)*(1-E43^10)/(1-E43)</f>
        <v/>
      </c>
      <c r="F44" s="28">
        <f>F42/(1+DCF!$C$56)*(1-F43^10)/(1-F43)</f>
        <v/>
      </c>
    </row>
    <row r="45">
      <c r="A45" s="6" t="inlineStr">
        <is>
          <t>Stage-two free cash flow, FY2041</t>
        </is>
      </c>
      <c r="B45" s="28">
        <f>1747.758253</f>
        <v/>
      </c>
      <c r="C45" s="28">
        <f>1776.747568</f>
        <v/>
      </c>
      <c r="D45" s="28">
        <f>1798.489555</f>
        <v/>
      </c>
      <c r="E45" s="28">
        <f>1820.231542</f>
        <v/>
      </c>
      <c r="F45" s="28">
        <f>1841.973528</f>
        <v/>
      </c>
    </row>
    <row r="46">
      <c r="A46" s="6" t="inlineStr">
        <is>
          <t>Value beyond FY2040</t>
        </is>
      </c>
      <c r="B46" s="28">
        <f>B45*(1+Assumptions!$C$81)/((DCF!$C$56-Assumptions!$C$81)*(1+DCF!$C$56)^10)</f>
        <v/>
      </c>
      <c r="C46" s="28">
        <f>C45*(1+Assumptions!$C$81)/((DCF!$C$56-Assumptions!$C$81)*(1+DCF!$C$56)^10)</f>
        <v/>
      </c>
      <c r="D46" s="28">
        <f>D45*(1+Assumptions!$C$81)/((DCF!$C$56-Assumptions!$C$81)*(1+DCF!$C$56)^10)</f>
        <v/>
      </c>
      <c r="E46" s="28">
        <f>E45*(1+Assumptions!$C$81)/((DCF!$C$56-Assumptions!$C$81)*(1+DCF!$C$56)^10)</f>
        <v/>
      </c>
      <c r="F46" s="28">
        <f>F45*(1+Assumptions!$C$81)/((DCF!$C$56-Assumptions!$C$81)*(1+DCF!$C$56)^10)</f>
        <v/>
      </c>
    </row>
    <row r="47">
      <c r="A47" s="6" t="inlineStr">
        <is>
          <t>Terminal value at FY2030</t>
        </is>
      </c>
      <c r="B47" s="28">
        <f>B44+B46</f>
        <v/>
      </c>
      <c r="C47" s="28">
        <f>C44+C46</f>
        <v/>
      </c>
      <c r="D47" s="28">
        <f>D44+D46</f>
        <v/>
      </c>
      <c r="E47" s="28">
        <f>E44+E46</f>
        <v/>
      </c>
      <c r="F47" s="28">
        <f>F44+F46</f>
        <v/>
      </c>
    </row>
    <row r="48">
      <c r="A48" s="6" t="inlineStr">
        <is>
          <t>Present value of the terminal</t>
        </is>
      </c>
      <c r="B48" s="28">
        <f>B47/(1+DCF!$C$56)^DCF!$F$19</f>
        <v/>
      </c>
      <c r="C48" s="28">
        <f>C47/(1+DCF!$C$56)^DCF!$F$19</f>
        <v/>
      </c>
      <c r="D48" s="28">
        <f>D47/(1+DCF!$C$56)^DCF!$F$19</f>
        <v/>
      </c>
      <c r="E48" s="28">
        <f>E47/(1+DCF!$C$56)^DCF!$F$19</f>
        <v/>
      </c>
      <c r="F48" s="28">
        <f>F47/(1+DCF!$C$56)^DCF!$F$19</f>
        <v/>
      </c>
    </row>
    <row r="49">
      <c r="A49" s="6" t="inlineStr">
        <is>
          <t>Enterprise value</t>
        </is>
      </c>
      <c r="B49" s="28">
        <f>B40+B48</f>
        <v/>
      </c>
      <c r="C49" s="28">
        <f>C40+C48</f>
        <v/>
      </c>
      <c r="D49" s="28">
        <f>D40+D48</f>
        <v/>
      </c>
      <c r="E49" s="28">
        <f>E40+E48</f>
        <v/>
      </c>
      <c r="F49" s="28">
        <f>F40+F48</f>
        <v/>
      </c>
    </row>
    <row r="50">
      <c r="A50" s="14" t="inlineStr">
        <is>
          <t>Fair value per share (AED)</t>
        </is>
      </c>
      <c r="B50" s="34">
        <f>(B49-DCF!$C$53+Assumptions!$C$89+Assumptions!$C$90+Assumptions!$C$91+Assumptions!$C$92)*(1-'SOTP Bridge'!$C$15)/Assumptions!$C$6</f>
        <v/>
      </c>
      <c r="C50" s="34">
        <f>(C49-DCF!$C$53+Assumptions!$C$89+Assumptions!$C$90+Assumptions!$C$91+Assumptions!$C$92)*(1-'SOTP Bridge'!$C$15)/Assumptions!$C$6</f>
        <v/>
      </c>
      <c r="D50" s="34">
        <f>(D49-DCF!$C$53+Assumptions!$C$89+Assumptions!$C$90+Assumptions!$C$91+Assumptions!$C$92)*(1-'SOTP Bridge'!$C$15)/Assumptions!$C$6</f>
        <v/>
      </c>
      <c r="E50" s="34">
        <f>(E49-DCF!$C$53+Assumptions!$C$89+Assumptions!$C$90+Assumptions!$C$91+Assumptions!$C$92)*(1-'SOTP Bridge'!$C$15)/Assumptions!$C$6</f>
        <v/>
      </c>
      <c r="F50" s="34">
        <f>(F49-DCF!$C$53+Assumptions!$C$89+Assumptions!$C$90+Assumptions!$C$91+Assumptions!$C$92)*(1-'SOTP Bridge'!$C$15)/Assumptions!$C$6</f>
        <v/>
      </c>
    </row>
    <row r="52">
      <c r="A52" s="15" t="inlineStr">
        <is>
          <t>CONTINUATION AT 15% TOP-UP TAX — the 94% column re-taxed (feeds the continuation central)</t>
        </is>
      </c>
    </row>
    <row r="53">
      <c r="A53" s="6" t="inlineStr">
        <is>
          <t>Free cash flow at 15% FY2026E</t>
        </is>
      </c>
      <c r="C53" s="28">
        <f>C30-(C25-DCF!$B$12)*(Assumptions!$C$8-Assumptions!$C$7)</f>
        <v/>
      </c>
    </row>
    <row r="54">
      <c r="A54" s="6" t="inlineStr">
        <is>
          <t>Free cash flow at 15% FY2027E</t>
        </is>
      </c>
      <c r="C54" s="28">
        <f>C31-(C26-DCF!$C$12)*(Assumptions!$C$8-Assumptions!$C$7)</f>
        <v/>
      </c>
    </row>
    <row r="55">
      <c r="A55" s="6" t="inlineStr">
        <is>
          <t>Free cash flow at 15% FY2028E</t>
        </is>
      </c>
      <c r="C55" s="28">
        <f>C32-(C27-DCF!$D$12)*(Assumptions!$C$8-Assumptions!$C$7)</f>
        <v/>
      </c>
    </row>
    <row r="56">
      <c r="A56" s="6" t="inlineStr">
        <is>
          <t>Free cash flow at 15% FY2029E</t>
        </is>
      </c>
      <c r="C56" s="28">
        <f>C33-(C28-DCF!$E$12)*(Assumptions!$C$8-Assumptions!$C$7)</f>
        <v/>
      </c>
    </row>
    <row r="57">
      <c r="A57" s="6" t="inlineStr">
        <is>
          <t>Free cash flow at 15% FY2030E</t>
        </is>
      </c>
      <c r="C57" s="28">
        <f>C34-(C29-DCF!$F$12)*(Assumptions!$C$8-Assumptions!$C$7)</f>
        <v/>
      </c>
    </row>
    <row r="58">
      <c r="A58" s="6" t="inlineStr">
        <is>
          <t>Present value at 15% FY2026E (stub)</t>
        </is>
      </c>
      <c r="C58" s="28">
        <f>C53*Assumptions!$C$82/(1+DCF!$C$56)^DCF!$B$19</f>
        <v/>
      </c>
    </row>
    <row r="59">
      <c r="A59" s="6" t="inlineStr">
        <is>
          <t>Present value at 15% FY2027E</t>
        </is>
      </c>
      <c r="C59" s="28">
        <f>C54/(1+DCF!$C$56)^DCF!$C$19</f>
        <v/>
      </c>
    </row>
    <row r="60">
      <c r="A60" s="6" t="inlineStr">
        <is>
          <t>Present value at 15% FY2028E</t>
        </is>
      </c>
      <c r="C60" s="28">
        <f>C55/(1+DCF!$C$56)^DCF!$D$19</f>
        <v/>
      </c>
    </row>
    <row r="61">
      <c r="A61" s="6" t="inlineStr">
        <is>
          <t>Present value at 15% FY2029E</t>
        </is>
      </c>
      <c r="C61" s="28">
        <f>C56/(1+DCF!$C$56)^DCF!$E$19</f>
        <v/>
      </c>
    </row>
    <row r="62">
      <c r="A62" s="6" t="inlineStr">
        <is>
          <t>Present value at 15% FY2030E</t>
        </is>
      </c>
      <c r="C62" s="28">
        <f>C57/(1+DCF!$C$56)^DCF!$F$19</f>
        <v/>
      </c>
    </row>
    <row r="63">
      <c r="A63" s="6" t="inlineStr">
        <is>
          <t>Present value, five years (15%)</t>
        </is>
      </c>
      <c r="C63" s="28">
        <f>SUM(C58:C62)</f>
        <v/>
      </c>
    </row>
    <row r="64">
      <c r="A64" s="6" t="inlineStr">
        <is>
          <t>NOPAT FY2030E (15%)</t>
        </is>
      </c>
      <c r="C64" s="28">
        <f>C41*(1-Assumptions!$C$8)/(1-Assumptions!$C$7)</f>
        <v/>
      </c>
    </row>
    <row r="65">
      <c r="A65" s="6" t="inlineStr">
        <is>
          <t>Stage-one free cash flow at 15% (the waterfall is on the DCF sheet)</t>
        </is>
      </c>
      <c r="C65" s="28">
        <f>1275.872653</f>
        <v/>
      </c>
    </row>
    <row r="66">
      <c r="A66" s="6" t="inlineStr">
        <is>
          <t>Value of the FY2031-40 window (15%)</t>
        </is>
      </c>
      <c r="C66" s="28">
        <f>C65/(1+DCF!$C$56)*(1-C43^10)/(1-C43)</f>
        <v/>
      </c>
    </row>
    <row r="67">
      <c r="A67" s="6" t="inlineStr">
        <is>
          <t>Stage-two free cash flow at 15%</t>
        </is>
      </c>
      <c r="C67" s="28">
        <f>1652.102614</f>
        <v/>
      </c>
    </row>
    <row r="68">
      <c r="A68" s="6" t="inlineStr">
        <is>
          <t>Value beyond FY2040 (15%)</t>
        </is>
      </c>
      <c r="C68" s="28">
        <f>C67*(1+Assumptions!$C$81)/((DCF!$C$56-Assumptions!$C$81)*(1+DCF!$C$56)^10)</f>
        <v/>
      </c>
    </row>
    <row r="69">
      <c r="A69" s="6" t="inlineStr">
        <is>
          <t>Terminal value at FY2030 (15%)</t>
        </is>
      </c>
      <c r="C69" s="28">
        <f>C66+C68</f>
        <v/>
      </c>
    </row>
    <row r="70">
      <c r="A70" s="6" t="inlineStr">
        <is>
          <t>Present value of the terminal (15%)</t>
        </is>
      </c>
      <c r="C70" s="28">
        <f>C69/(1+DCF!$C$56)^DCF!$F$19</f>
        <v/>
      </c>
    </row>
    <row r="71">
      <c r="A71" s="6" t="inlineStr">
        <is>
          <t>Enterprise value (15%)</t>
        </is>
      </c>
      <c r="C71" s="28">
        <f>C63+C70</f>
        <v/>
      </c>
    </row>
    <row r="72">
      <c r="A72" s="6" t="inlineStr">
        <is>
          <t>Fair value per share, continuation at 15% (AED)</t>
        </is>
      </c>
      <c r="C72" s="16">
        <f>(C71-DCF!$C$53+Assumptions!$C$89+Assumptions!$C$90+Assumptions!$C$91+Assumptions!$C$92)*(1-'SOTP Bridge'!$C$15)/Assumptions!$C$6</f>
        <v/>
      </c>
    </row>
    <row r="74">
      <c r="A74" s="15" t="inlineStr">
        <is>
          <t>BEAR — LIVE: re-escalation (per-RT falls a further 6% from FY2027 and never recovers, connections halve, 15% top-up tax, +100bp on the cost of equity)</t>
        </is>
      </c>
    </row>
    <row r="75">
      <c r="A75" s="6" t="inlineStr">
        <is>
          <t>Further per-RT fall from FY2027 (share retained)</t>
        </is>
      </c>
      <c r="C75" s="24" t="n">
        <v>0.9400000000000002</v>
      </c>
    </row>
    <row r="76">
      <c r="A76" s="6" t="inlineStr">
        <is>
          <t>Cost-of-equity add-on (war repricing)</t>
        </is>
      </c>
      <c r="C76" s="30" t="n">
        <v>0.009999999999999995</v>
      </c>
    </row>
    <row r="77">
      <c r="A77" s="6" t="inlineStr">
        <is>
          <t>Tax framing</t>
        </is>
      </c>
      <c r="C77" s="8">
        <f>Assumptions!$C$8</f>
        <v/>
      </c>
    </row>
    <row r="78">
      <c r="A78" s="6" t="inlineStr">
        <is>
          <t>New connections added (k RT)</t>
        </is>
      </c>
      <c r="B78" s="23" t="n">
        <v>50</v>
      </c>
      <c r="C78" s="23" t="n">
        <v>50</v>
      </c>
      <c r="D78" s="23" t="n">
        <v>45</v>
      </c>
      <c r="E78" s="23" t="n">
        <v>40</v>
      </c>
      <c r="F78" s="23" t="n">
        <v>35</v>
      </c>
    </row>
    <row r="79">
      <c r="A79" s="6" t="inlineStr">
        <is>
          <t>Connected capacity, year-end (k RT)</t>
        </is>
      </c>
      <c r="B79" s="35">
        <f>Assumptions!$C$33+B78</f>
        <v/>
      </c>
      <c r="C79" s="35">
        <f>B79+C78</f>
        <v/>
      </c>
      <c r="D79" s="35">
        <f>C79+D78</f>
        <v/>
      </c>
      <c r="E79" s="35">
        <f>D79+E78</f>
        <v/>
      </c>
      <c r="F79" s="35">
        <f>E79+F78</f>
        <v/>
      </c>
    </row>
    <row r="80">
      <c r="A80" s="6" t="inlineStr">
        <is>
          <t>Average connected capacity (k RT)</t>
        </is>
      </c>
      <c r="B80" s="28">
        <f>(Assumptions!$C$33+B79)/2</f>
        <v/>
      </c>
      <c r="C80" s="28">
        <f>(B79+C79)/2</f>
        <v/>
      </c>
      <c r="D80" s="28">
        <f>(C79+D79)/2</f>
        <v/>
      </c>
      <c r="E80" s="28">
        <f>(D79+E79)/2</f>
        <v/>
      </c>
      <c r="F80" s="28">
        <f>(E79+F79)/2</f>
        <v/>
      </c>
    </row>
    <row r="81">
      <c r="A81" s="6" t="inlineStr">
        <is>
          <t>Revenue</t>
        </is>
      </c>
      <c r="B81" s="28">
        <f>(Assumptions!$C$49*(1+Assumptions!$C$35)+Assumptions!$C$50)*B80+Assumptions!$C$37</f>
        <v/>
      </c>
      <c r="C81" s="28">
        <f>(Assumptions!$C$49*(1+Assumptions!$C$35)*$C$75+Assumptions!$C$50)*C80+Assumptions!$C$37</f>
        <v/>
      </c>
      <c r="D81" s="28">
        <f>(Assumptions!$C$49*(1+Assumptions!$C$35)*$C$75+Assumptions!$C$50)*D80+Assumptions!$C$37</f>
        <v/>
      </c>
      <c r="E81" s="28">
        <f>(Assumptions!$C$49*(1+Assumptions!$C$35)*$C$75+Assumptions!$C$50)*E80+Assumptions!$C$37</f>
        <v/>
      </c>
      <c r="F81" s="28">
        <f>(Assumptions!$C$49*(1+Assumptions!$C$35)*$C$75+Assumptions!$C$50)*F80+Assumptions!$C$37</f>
        <v/>
      </c>
    </row>
    <row r="82">
      <c r="A82" s="6" t="inlineStr">
        <is>
          <t>Operating EBITDA</t>
        </is>
      </c>
      <c r="B82" s="28">
        <f>B81-Assumptions!$C$51*Assumptions!$C$49*(1+Assumptions!$C$35)*B80-Segments!$C$16-Segments!$C$17+Assumptions!$C$57</f>
        <v/>
      </c>
      <c r="C82" s="28">
        <f>C81-Assumptions!$C$51*Assumptions!$C$49*(1+Assumptions!$C$35)*$C$75*C80-Segments!$D$16-Segments!$D$17+Assumptions!$C$57</f>
        <v/>
      </c>
      <c r="D82" s="28">
        <f>D81-Assumptions!$C$51*Assumptions!$C$49*(1+Assumptions!$C$35)*$C$75*D80-Segments!$E$16-Segments!$E$17+Assumptions!$C$57</f>
        <v/>
      </c>
      <c r="E82" s="28">
        <f>E81-Assumptions!$C$51*Assumptions!$C$49*(1+Assumptions!$C$35)*$C$75*E80-Segments!$F$16-Segments!$F$17+Assumptions!$C$57</f>
        <v/>
      </c>
      <c r="F82" s="28">
        <f>F81-Assumptions!$C$51*Assumptions!$C$49*(1+Assumptions!$C$35)*$C$75*F80-Segments!$G$16-Segments!$G$17+Assumptions!$C$57</f>
        <v/>
      </c>
    </row>
    <row r="83">
      <c r="A83" s="6" t="inlineStr">
        <is>
          <t>Opening net plant</t>
        </is>
      </c>
      <c r="B83" s="28">
        <f>Assumptions!$C$21</f>
        <v/>
      </c>
      <c r="C83" s="28">
        <f>B86</f>
        <v/>
      </c>
      <c r="D83" s="28">
        <f>C86</f>
        <v/>
      </c>
      <c r="E83" s="28">
        <f>D86</f>
        <v/>
      </c>
      <c r="F83" s="28">
        <f>E86</f>
        <v/>
      </c>
    </row>
    <row r="84">
      <c r="A84" s="6" t="inlineStr">
        <is>
          <t>Capital expenditure</t>
        </is>
      </c>
      <c r="B84" s="28">
        <f>Assumptions!$C$52*B78+Assumptions!$C$46*B83</f>
        <v/>
      </c>
      <c r="C84" s="28">
        <f>Assumptions!$C$52*C78+Assumptions!$C$46*C83</f>
        <v/>
      </c>
      <c r="D84" s="28">
        <f>Assumptions!$C$52*D78+Assumptions!$C$46*D83</f>
        <v/>
      </c>
      <c r="E84" s="28">
        <f>Assumptions!$C$52*E78+Assumptions!$C$46*E83</f>
        <v/>
      </c>
      <c r="F84" s="28">
        <f>Assumptions!$C$52*F78+Assumptions!$C$46*F83</f>
        <v/>
      </c>
    </row>
    <row r="85">
      <c r="A85" s="6" t="inlineStr">
        <is>
          <t>Depreciation and amortisation</t>
        </is>
      </c>
      <c r="B85" s="28">
        <f>Assumptions!$C$53*B83+Assumptions!$C$54</f>
        <v/>
      </c>
      <c r="C85" s="28">
        <f>Assumptions!$C$53*C83+Assumptions!$C$54</f>
        <v/>
      </c>
      <c r="D85" s="28">
        <f>Assumptions!$C$53*D83+Assumptions!$C$54</f>
        <v/>
      </c>
      <c r="E85" s="28">
        <f>Assumptions!$C$53*E83+Assumptions!$C$54</f>
        <v/>
      </c>
      <c r="F85" s="28">
        <f>Assumptions!$C$53*F83+Assumptions!$C$54</f>
        <v/>
      </c>
    </row>
    <row r="86">
      <c r="A86" s="6" t="inlineStr">
        <is>
          <t>Closing net plant</t>
        </is>
      </c>
      <c r="B86" s="28">
        <f>B83+B84-(B85-Assumptions!$C$54)</f>
        <v/>
      </c>
      <c r="C86" s="28">
        <f>C83+C84-(C85-Assumptions!$C$54)</f>
        <v/>
      </c>
      <c r="D86" s="28">
        <f>D83+D84-(D85-Assumptions!$C$54)</f>
        <v/>
      </c>
      <c r="E86" s="28">
        <f>E83+E84-(E85-Assumptions!$C$54)</f>
        <v/>
      </c>
      <c r="F86" s="28">
        <f>F83+F84-(F85-Assumptions!$C$54)</f>
        <v/>
      </c>
    </row>
    <row r="87">
      <c r="A87" s="6" t="inlineStr">
        <is>
          <t>Change in net working capital</t>
        </is>
      </c>
      <c r="B87" s="28">
        <f>Assumptions!$C$56*B81-Assumptions!$C$55</f>
        <v/>
      </c>
      <c r="C87" s="28">
        <f>Assumptions!$C$56*(C81-B81)</f>
        <v/>
      </c>
      <c r="D87" s="28">
        <f>Assumptions!$C$56*(D81-C81)</f>
        <v/>
      </c>
      <c r="E87" s="28">
        <f>Assumptions!$C$56*(E81-D81)</f>
        <v/>
      </c>
      <c r="F87" s="28">
        <f>Assumptions!$C$56*(F81-E81)</f>
        <v/>
      </c>
    </row>
    <row r="88">
      <c r="A88" s="6" t="inlineStr">
        <is>
          <t>Free cash flow to the firm</t>
        </is>
      </c>
      <c r="B88" s="28">
        <f>(B82-B85)*(1-$C$77)+B85-B84-B87</f>
        <v/>
      </c>
      <c r="C88" s="28">
        <f>(C82-C85)*(1-$C$77)+C85-C84-C87</f>
        <v/>
      </c>
      <c r="D88" s="28">
        <f>(D82-D85)*(1-$C$77)+D85-D84-D87</f>
        <v/>
      </c>
      <c r="E88" s="28">
        <f>(E82-E85)*(1-$C$77)+E85-E84-E87</f>
        <v/>
      </c>
      <c r="F88" s="28">
        <f>(F82-F85)*(1-$C$77)+F85-F84-F87</f>
        <v/>
      </c>
    </row>
    <row r="89">
      <c r="A89" s="6" t="inlineStr">
        <is>
          <t>Present value (FY2026 stub)</t>
        </is>
      </c>
      <c r="B89" s="28">
        <f>B88*Assumptions!$C$82/(1+$C$91)^DCF!$B$19</f>
        <v/>
      </c>
      <c r="C89" s="28">
        <f>C88/(1+$C$91)^DCF!$C$19</f>
        <v/>
      </c>
      <c r="D89" s="28">
        <f>D88/(1+$C$91)^DCF!$D$19</f>
        <v/>
      </c>
      <c r="E89" s="28">
        <f>E88/(1+$C$91)^DCF!$E$19</f>
        <v/>
      </c>
      <c r="F89" s="28">
        <f>F88/(1+$C$91)^DCF!$F$19</f>
        <v/>
      </c>
    </row>
    <row r="90">
      <c r="A90" s="6" t="inlineStr">
        <is>
          <t>Cost of equity, repriced</t>
        </is>
      </c>
      <c r="C90" s="27">
        <f>DCF!C50+C76</f>
        <v/>
      </c>
    </row>
    <row r="91">
      <c r="A91" s="6" t="inlineStr">
        <is>
          <t>Discount rate (interest shield stays at 9%)</t>
        </is>
      </c>
      <c r="C91" s="27">
        <f>DCF!C55*C90+DCF!C54*DCF!C51*(1-Assumptions!$C$7)</f>
        <v/>
      </c>
    </row>
    <row r="92">
      <c r="A92" s="6" t="inlineStr">
        <is>
          <t>Present value, five years</t>
        </is>
      </c>
      <c r="C92" s="28">
        <f>SUM(B89:F89)</f>
        <v/>
      </c>
    </row>
    <row r="93">
      <c r="A93" s="6" t="inlineStr">
        <is>
          <t>NOPAT FY2030E</t>
        </is>
      </c>
      <c r="C93" s="28">
        <f>(F82-F85)*(1-$C$77)</f>
        <v/>
      </c>
    </row>
    <row r="94">
      <c r="A94" s="6" t="inlineStr">
        <is>
          <t>Stage-one free cash flow, FY2031 (the waterfall is on the DCF sheet)</t>
        </is>
      </c>
      <c r="C94" s="28">
        <f>1086.112904</f>
        <v/>
      </c>
    </row>
    <row r="95">
      <c r="A95" s="6" t="inlineStr">
        <is>
          <t>Growth/discount ratio</t>
        </is>
      </c>
      <c r="C95" s="26">
        <f>(1+Assumptions!$C$80)/(1+$C$91)</f>
        <v/>
      </c>
    </row>
    <row r="96">
      <c r="A96" s="6" t="inlineStr">
        <is>
          <t>Value of the FY2031-40 window</t>
        </is>
      </c>
      <c r="C96" s="28">
        <f>C94/(1+$C$91)*(1-C95^10)/(1-C95)</f>
        <v/>
      </c>
    </row>
    <row r="97">
      <c r="A97" s="6" t="inlineStr">
        <is>
          <t>Stage-two free cash flow, FY2041</t>
        </is>
      </c>
      <c r="C97" s="28">
        <f>1407.094633</f>
        <v/>
      </c>
    </row>
    <row r="98">
      <c r="A98" s="6" t="inlineStr">
        <is>
          <t>Value beyond FY2040</t>
        </is>
      </c>
      <c r="C98" s="28">
        <f>C97*(1+Assumptions!$C$81)/(($C$91-Assumptions!$C$81)*(1+$C$91)^10)</f>
        <v/>
      </c>
    </row>
    <row r="99">
      <c r="A99" s="6" t="inlineStr">
        <is>
          <t>Terminal value at FY2030</t>
        </is>
      </c>
      <c r="C99" s="28">
        <f>C96+C98</f>
        <v/>
      </c>
    </row>
    <row r="100">
      <c r="A100" s="6" t="inlineStr">
        <is>
          <t>Present value of the terminal</t>
        </is>
      </c>
      <c r="C100" s="28">
        <f>C99/(1+$C$91)^DCF!$F$19</f>
        <v/>
      </c>
    </row>
    <row r="101">
      <c r="A101" s="6" t="inlineStr">
        <is>
          <t>Enterprise value</t>
        </is>
      </c>
      <c r="C101" s="28">
        <f>C92+C100</f>
        <v/>
      </c>
    </row>
    <row r="102">
      <c r="A102" s="14" t="inlineStr">
        <is>
          <t>Fair value per share (AED)</t>
        </is>
      </c>
      <c r="B102" s="14" t="n"/>
      <c r="C102" s="34">
        <f>(C101-DCF!$C$53+Assumptions!$C$89+Assumptions!$C$90+Assumptions!$C$91+Assumptions!$C$92)*(1-'SOTP Bridge'!$C$15)/Assumptions!$C$6</f>
        <v/>
      </c>
      <c r="D102" s="14" t="n"/>
      <c r="E102" s="14" t="n"/>
      <c r="F102" s="14" t="n"/>
    </row>
    <row r="104">
      <c r="A104" s="15" t="inlineStr">
        <is>
          <t>BULL — LIVE: clean recovery, connections at the top of guidance (110/110/100/90/80k RT), 9% corporate tax, base discount rate</t>
        </is>
      </c>
    </row>
    <row r="105">
      <c r="A105" s="6" t="inlineStr">
        <is>
          <t>New connections added (k RT)</t>
        </is>
      </c>
      <c r="B105" s="23" t="n">
        <v>110</v>
      </c>
      <c r="C105" s="23" t="n">
        <v>110</v>
      </c>
      <c r="D105" s="23" t="n">
        <v>100</v>
      </c>
      <c r="E105" s="23" t="n">
        <v>90</v>
      </c>
      <c r="F105" s="23" t="n">
        <v>80</v>
      </c>
    </row>
    <row r="106">
      <c r="A106" s="6" t="inlineStr">
        <is>
          <t>Connected capacity, year-end (k RT)</t>
        </is>
      </c>
      <c r="B106" s="35">
        <f>Assumptions!$C$33+B105</f>
        <v/>
      </c>
      <c r="C106" s="35">
        <f>B106+C105</f>
        <v/>
      </c>
      <c r="D106" s="35">
        <f>C106+D105</f>
        <v/>
      </c>
      <c r="E106" s="35">
        <f>D106+E105</f>
        <v/>
      </c>
      <c r="F106" s="35">
        <f>E106+F105</f>
        <v/>
      </c>
    </row>
    <row r="107">
      <c r="A107" s="6" t="inlineStr">
        <is>
          <t>Average connected capacity (k RT)</t>
        </is>
      </c>
      <c r="B107" s="28">
        <f>(Assumptions!$C$33+B106)/2</f>
        <v/>
      </c>
      <c r="C107" s="28">
        <f>(B106+C106)/2</f>
        <v/>
      </c>
      <c r="D107" s="28">
        <f>(C106+D106)/2</f>
        <v/>
      </c>
      <c r="E107" s="28">
        <f>(D106+E106)/2</f>
        <v/>
      </c>
      <c r="F107" s="28">
        <f>(E106+F106)/2</f>
        <v/>
      </c>
    </row>
    <row r="108">
      <c r="A108" s="6" t="inlineStr">
        <is>
          <t>Revenue</t>
        </is>
      </c>
      <c r="B108" s="28">
        <f>(Assumptions!$C$49*(1+Assumptions!$C$35)+Assumptions!$C$50)*B107+Assumptions!$C$37</f>
        <v/>
      </c>
      <c r="C108" s="28">
        <f>(Assumptions!$C$49*(1+Assumptions!$C$35)/(1+Assumptions!$C$35)*Assumptions!$C$36+Assumptions!$C$50)*C107+Assumptions!$C$37</f>
        <v/>
      </c>
      <c r="D108" s="28">
        <f>(Assumptions!$C$49*(1+Assumptions!$C$35)/(1+Assumptions!$C$35)*Assumptions!$C$36+Assumptions!$C$50)*D107+Assumptions!$C$37</f>
        <v/>
      </c>
      <c r="E108" s="28">
        <f>(Assumptions!$C$49*(1+Assumptions!$C$35)/(1+Assumptions!$C$35)*Assumptions!$C$36+Assumptions!$C$50)*E107+Assumptions!$C$37</f>
        <v/>
      </c>
      <c r="F108" s="28">
        <f>(Assumptions!$C$49*(1+Assumptions!$C$35)/(1+Assumptions!$C$35)*Assumptions!$C$36+Assumptions!$C$50)*F107+Assumptions!$C$37</f>
        <v/>
      </c>
    </row>
    <row r="109">
      <c r="A109" s="6" t="inlineStr">
        <is>
          <t>Operating EBITDA</t>
        </is>
      </c>
      <c r="B109" s="28">
        <f>B108-Assumptions!$C$51*Assumptions!$C$49*(1+Assumptions!$C$35)*B107-Segments!$C$16-Segments!$C$17+Assumptions!$C$57</f>
        <v/>
      </c>
      <c r="C109" s="28">
        <f>C108-Assumptions!$C$51*Assumptions!$C$49*(1+Assumptions!$C$35)/(1+Assumptions!$C$35)*Assumptions!$C$36*C107-Segments!$D$16-Segments!$D$17+Assumptions!$C$57</f>
        <v/>
      </c>
      <c r="D109" s="28">
        <f>D108-Assumptions!$C$51*Assumptions!$C$49*(1+Assumptions!$C$35)/(1+Assumptions!$C$35)*Assumptions!$C$36*D107-Segments!$E$16-Segments!$E$17+Assumptions!$C$57</f>
        <v/>
      </c>
      <c r="E109" s="28">
        <f>E108-Assumptions!$C$51*Assumptions!$C$49*(1+Assumptions!$C$35)/(1+Assumptions!$C$35)*Assumptions!$C$36*E107-Segments!$F$16-Segments!$F$17+Assumptions!$C$57</f>
        <v/>
      </c>
      <c r="F109" s="28">
        <f>F108-Assumptions!$C$51*Assumptions!$C$49*(1+Assumptions!$C$35)/(1+Assumptions!$C$35)*Assumptions!$C$36*F107-Segments!$G$16-Segments!$G$17+Assumptions!$C$57</f>
        <v/>
      </c>
    </row>
    <row r="110">
      <c r="A110" s="6" t="inlineStr">
        <is>
          <t>Opening net plant</t>
        </is>
      </c>
      <c r="B110" s="28">
        <f>Assumptions!$C$21</f>
        <v/>
      </c>
      <c r="C110" s="28">
        <f>B113</f>
        <v/>
      </c>
      <c r="D110" s="28">
        <f>C113</f>
        <v/>
      </c>
      <c r="E110" s="28">
        <f>D113</f>
        <v/>
      </c>
      <c r="F110" s="28">
        <f>E113</f>
        <v/>
      </c>
    </row>
    <row r="111">
      <c r="A111" s="6" t="inlineStr">
        <is>
          <t>Capital expenditure</t>
        </is>
      </c>
      <c r="B111" s="28">
        <f>Assumptions!$C$52*B105+Assumptions!$C$46*B110</f>
        <v/>
      </c>
      <c r="C111" s="28">
        <f>Assumptions!$C$52*C105+Assumptions!$C$46*C110</f>
        <v/>
      </c>
      <c r="D111" s="28">
        <f>Assumptions!$C$52*D105+Assumptions!$C$46*D110</f>
        <v/>
      </c>
      <c r="E111" s="28">
        <f>Assumptions!$C$52*E105+Assumptions!$C$46*E110</f>
        <v/>
      </c>
      <c r="F111" s="28">
        <f>Assumptions!$C$52*F105+Assumptions!$C$46*F110</f>
        <v/>
      </c>
    </row>
    <row r="112">
      <c r="A112" s="6" t="inlineStr">
        <is>
          <t>Depreciation and amortisation</t>
        </is>
      </c>
      <c r="B112" s="28">
        <f>Assumptions!$C$53*B110+Assumptions!$C$54</f>
        <v/>
      </c>
      <c r="C112" s="28">
        <f>Assumptions!$C$53*C110+Assumptions!$C$54</f>
        <v/>
      </c>
      <c r="D112" s="28">
        <f>Assumptions!$C$53*D110+Assumptions!$C$54</f>
        <v/>
      </c>
      <c r="E112" s="28">
        <f>Assumptions!$C$53*E110+Assumptions!$C$54</f>
        <v/>
      </c>
      <c r="F112" s="28">
        <f>Assumptions!$C$53*F110+Assumptions!$C$54</f>
        <v/>
      </c>
    </row>
    <row r="113">
      <c r="A113" s="6" t="inlineStr">
        <is>
          <t>Closing net plant</t>
        </is>
      </c>
      <c r="B113" s="28">
        <f>B110+B111-(B112-Assumptions!$C$54)</f>
        <v/>
      </c>
      <c r="C113" s="28">
        <f>C110+C111-(C112-Assumptions!$C$54)</f>
        <v/>
      </c>
      <c r="D113" s="28">
        <f>D110+D111-(D112-Assumptions!$C$54)</f>
        <v/>
      </c>
      <c r="E113" s="28">
        <f>E110+E111-(E112-Assumptions!$C$54)</f>
        <v/>
      </c>
      <c r="F113" s="28">
        <f>F110+F111-(F112-Assumptions!$C$54)</f>
        <v/>
      </c>
    </row>
    <row r="114">
      <c r="A114" s="6" t="inlineStr">
        <is>
          <t>Change in net working capital</t>
        </is>
      </c>
      <c r="B114" s="28">
        <f>Assumptions!$C$56*B108-Assumptions!$C$55</f>
        <v/>
      </c>
      <c r="C114" s="28">
        <f>Assumptions!$C$56*(C108-B108)</f>
        <v/>
      </c>
      <c r="D114" s="28">
        <f>Assumptions!$C$56*(D108-C108)</f>
        <v/>
      </c>
      <c r="E114" s="28">
        <f>Assumptions!$C$56*(E108-D108)</f>
        <v/>
      </c>
      <c r="F114" s="28">
        <f>Assumptions!$C$56*(F108-E108)</f>
        <v/>
      </c>
    </row>
    <row r="115">
      <c r="A115" s="6" t="inlineStr">
        <is>
          <t>Free cash flow to the firm</t>
        </is>
      </c>
      <c r="B115" s="28">
        <f>(B109-B112)*(1-Assumptions!$C$7)+B112-B111-B114</f>
        <v/>
      </c>
      <c r="C115" s="28">
        <f>(C109-C112)*(1-Assumptions!$C$7)+C112-C111-C114</f>
        <v/>
      </c>
      <c r="D115" s="28">
        <f>(D109-D112)*(1-Assumptions!$C$7)+D112-D111-D114</f>
        <v/>
      </c>
      <c r="E115" s="28">
        <f>(E109-E112)*(1-Assumptions!$C$7)+E112-E111-E114</f>
        <v/>
      </c>
      <c r="F115" s="28">
        <f>(F109-F112)*(1-Assumptions!$C$7)+F112-F111-F114</f>
        <v/>
      </c>
    </row>
    <row r="116">
      <c r="A116" s="6" t="inlineStr">
        <is>
          <t>Present value (FY2026 stub)</t>
        </is>
      </c>
      <c r="B116" s="28">
        <f>B115*Assumptions!$C$82/(1+DCF!$C$56)^DCF!$B$19</f>
        <v/>
      </c>
      <c r="C116" s="28">
        <f>C115/(1+DCF!$C$56)^DCF!$C$19</f>
        <v/>
      </c>
      <c r="D116" s="28">
        <f>D115/(1+DCF!$C$56)^DCF!$D$19</f>
        <v/>
      </c>
      <c r="E116" s="28">
        <f>E115/(1+DCF!$C$56)^DCF!$E$19</f>
        <v/>
      </c>
      <c r="F116" s="28">
        <f>F115/(1+DCF!$C$56)^DCF!$F$19</f>
        <v/>
      </c>
    </row>
    <row r="117">
      <c r="A117" s="6" t="inlineStr">
        <is>
          <t>Present value, five years</t>
        </is>
      </c>
      <c r="C117" s="28">
        <f>SUM(B116:F116)</f>
        <v/>
      </c>
    </row>
    <row r="118">
      <c r="A118" s="6" t="inlineStr">
        <is>
          <t>NOPAT FY2030E</t>
        </is>
      </c>
      <c r="C118" s="28">
        <f>(F109-F112)*(1-Assumptions!$C$7)</f>
        <v/>
      </c>
    </row>
    <row r="119">
      <c r="A119" s="6" t="inlineStr">
        <is>
          <t>Stage-one free cash flow, FY2031 (the waterfall is on the DCF sheet)</t>
        </is>
      </c>
      <c r="C119" s="28">
        <f>1443.493007</f>
        <v/>
      </c>
    </row>
    <row r="120">
      <c r="A120" s="6" t="inlineStr">
        <is>
          <t>Growth/discount ratio</t>
        </is>
      </c>
      <c r="C120" s="26">
        <f>(1+Assumptions!$C$80)/(1+DCF!$C$56)</f>
        <v/>
      </c>
    </row>
    <row r="121">
      <c r="A121" s="6" t="inlineStr">
        <is>
          <t>Value of the FY2031-40 window</t>
        </is>
      </c>
      <c r="C121" s="28">
        <f>C119/(1+DCF!$C$56)*(1-C120^10)/(1-C120)</f>
        <v/>
      </c>
    </row>
    <row r="122">
      <c r="A122" s="6" t="inlineStr">
        <is>
          <t>Stage-two free cash flow, FY2041</t>
        </is>
      </c>
      <c r="C122" s="28">
        <f>1865.103177</f>
        <v/>
      </c>
    </row>
    <row r="123">
      <c r="A123" s="6" t="inlineStr">
        <is>
          <t>Value beyond FY2040</t>
        </is>
      </c>
      <c r="C123" s="28">
        <f>C122*(1+Assumptions!$C$81)/((DCF!$C$56-Assumptions!$C$81)*(1+DCF!$C$56)^10)</f>
        <v/>
      </c>
    </row>
    <row r="124">
      <c r="A124" s="6" t="inlineStr">
        <is>
          <t>Terminal value at FY2030</t>
        </is>
      </c>
      <c r="C124" s="28">
        <f>C121+C123</f>
        <v/>
      </c>
    </row>
    <row r="125">
      <c r="A125" s="6" t="inlineStr">
        <is>
          <t>Present value of the terminal</t>
        </is>
      </c>
      <c r="C125" s="28">
        <f>C124/(1+DCF!$C$56)^DCF!$F$19</f>
        <v/>
      </c>
    </row>
    <row r="126">
      <c r="A126" s="6" t="inlineStr">
        <is>
          <t>Enterprise value</t>
        </is>
      </c>
      <c r="C126" s="28">
        <f>C117+C125</f>
        <v/>
      </c>
    </row>
    <row r="127">
      <c r="A127" s="14" t="inlineStr">
        <is>
          <t>Fair value per share (AED)</t>
        </is>
      </c>
      <c r="B127" s="14" t="n"/>
      <c r="C127" s="34">
        <f>(C126-DCF!$C$53+Assumptions!$C$89+Assumptions!$C$90+Assumptions!$C$91+Assumptions!$C$92)*(1-'SOTP Bridge'!$C$15)/Assumptions!$C$6</f>
        <v/>
      </c>
      <c r="D127" s="14" t="n"/>
      <c r="E127" s="14" t="n"/>
      <c r="F127" s="14" t="n"/>
    </row>
    <row r="129">
      <c r="A129" s="15" t="inlineStr">
        <is>
          <t>WACC CONSTRUCTIONS — LIVE: the base cash flows re-discounted at each alternative construction (rates built on the DCF sheet)</t>
        </is>
      </c>
    </row>
    <row r="130">
      <c r="A130" s="5" t="inlineStr"/>
      <c r="B130" s="5" t="inlineStr">
        <is>
          <t>Gross-debt weights</t>
        </is>
      </c>
      <c r="C130" s="5" t="inlineStr">
        <is>
          <t>Negative-carry</t>
        </is>
      </c>
      <c r="D130" s="5" t="inlineStr">
        <is>
          <t>DFM-index beta</t>
        </is>
      </c>
    </row>
    <row r="131">
      <c r="A131" s="6" t="inlineStr">
        <is>
          <t>Discount rate</t>
        </is>
      </c>
      <c r="B131" s="20">
        <f>DCF!B91</f>
        <v/>
      </c>
      <c r="C131" s="20">
        <f>DCF!B92</f>
        <v/>
      </c>
      <c r="D131" s="20">
        <f>DCF!B93</f>
        <v/>
      </c>
    </row>
    <row r="132">
      <c r="A132" s="6" t="inlineStr">
        <is>
          <t>Present value FY2026E (stub)</t>
        </is>
      </c>
      <c r="B132" s="28">
        <f>DCF!$B$18*Assumptions!$C$82/(1+B$131)^DCF!$B$19</f>
        <v/>
      </c>
      <c r="C132" s="28">
        <f>DCF!$B$18*Assumptions!$C$82/(1+C$131)^DCF!$B$19</f>
        <v/>
      </c>
      <c r="D132" s="28">
        <f>DCF!$B$18*Assumptions!$C$82/(1+D$131)^DCF!$B$19</f>
        <v/>
      </c>
    </row>
    <row r="133">
      <c r="A133" s="6" t="inlineStr">
        <is>
          <t>Present value FY2027E</t>
        </is>
      </c>
      <c r="B133" s="28">
        <f>DCF!$C$18/(1+B$131)^DCF!$C$19</f>
        <v/>
      </c>
      <c r="C133" s="28">
        <f>DCF!$C$18/(1+C$131)^DCF!$C$19</f>
        <v/>
      </c>
      <c r="D133" s="28">
        <f>DCF!$C$18/(1+D$131)^DCF!$C$19</f>
        <v/>
      </c>
    </row>
    <row r="134">
      <c r="A134" s="6" t="inlineStr">
        <is>
          <t>Present value FY2028E</t>
        </is>
      </c>
      <c r="B134" s="28">
        <f>DCF!$D$18/(1+B$131)^DCF!$D$19</f>
        <v/>
      </c>
      <c r="C134" s="28">
        <f>DCF!$D$18/(1+C$131)^DCF!$D$19</f>
        <v/>
      </c>
      <c r="D134" s="28">
        <f>DCF!$D$18/(1+D$131)^DCF!$D$19</f>
        <v/>
      </c>
    </row>
    <row r="135">
      <c r="A135" s="6" t="inlineStr">
        <is>
          <t>Present value FY2029E</t>
        </is>
      </c>
      <c r="B135" s="28">
        <f>DCF!$E$18/(1+B$131)^DCF!$E$19</f>
        <v/>
      </c>
      <c r="C135" s="28">
        <f>DCF!$E$18/(1+C$131)^DCF!$E$19</f>
        <v/>
      </c>
      <c r="D135" s="28">
        <f>DCF!$E$18/(1+D$131)^DCF!$E$19</f>
        <v/>
      </c>
    </row>
    <row r="136">
      <c r="A136" s="6" t="inlineStr">
        <is>
          <t>Present value FY2030E</t>
        </is>
      </c>
      <c r="B136" s="28">
        <f>DCF!$F$18/(1+B$131)^DCF!$F$19</f>
        <v/>
      </c>
      <c r="C136" s="28">
        <f>DCF!$F$18/(1+C$131)^DCF!$F$19</f>
        <v/>
      </c>
      <c r="D136" s="28">
        <f>DCF!$F$18/(1+D$131)^DCF!$F$19</f>
        <v/>
      </c>
    </row>
    <row r="137">
      <c r="A137" s="6" t="inlineStr">
        <is>
          <t>Present value, five years</t>
        </is>
      </c>
      <c r="B137" s="28">
        <f>SUM(B132:B136)</f>
        <v/>
      </c>
      <c r="C137" s="28">
        <f>SUM(C132:C136)</f>
        <v/>
      </c>
      <c r="D137" s="28">
        <f>SUM(D132:D136)</f>
        <v/>
      </c>
    </row>
    <row r="138">
      <c r="A138" s="6" t="inlineStr">
        <is>
          <t>Growth/discount ratio</t>
        </is>
      </c>
      <c r="B138" s="26">
        <f>(1+Assumptions!$C$80)/(1+B131)</f>
        <v/>
      </c>
      <c r="C138" s="26">
        <f>(1+Assumptions!$C$80)/(1+C131)</f>
        <v/>
      </c>
      <c r="D138" s="26">
        <f>(1+Assumptions!$C$80)/(1+D131)</f>
        <v/>
      </c>
    </row>
    <row r="139">
      <c r="A139" s="6" t="inlineStr">
        <is>
          <t>Value of the FY2031-40 window</t>
        </is>
      </c>
      <c r="B139" s="28">
        <f>1408.881541/(1+B131)*(1-B138^10)/(1-B138)</f>
        <v/>
      </c>
      <c r="C139" s="28">
        <f>1408.881541/(1+C131)*(1-C138^10)/(1-C138)</f>
        <v/>
      </c>
      <c r="D139" s="28">
        <f>1408.881541/(1+D131)*(1-D138^10)/(1-D138)</f>
        <v/>
      </c>
    </row>
    <row r="140">
      <c r="A140" s="6" t="inlineStr">
        <is>
          <t>Value beyond FY2040</t>
        </is>
      </c>
      <c r="B140" s="28">
        <f>1820.231542*(1+Assumptions!$C$81)/((B131-Assumptions!$C$81)*(1+B131)^10)</f>
        <v/>
      </c>
      <c r="C140" s="28">
        <f>1820.231542*(1+Assumptions!$C$81)/((C131-Assumptions!$C$81)*(1+C131)^10)</f>
        <v/>
      </c>
      <c r="D140" s="28">
        <f>1820.231542*(1+Assumptions!$C$81)/((D131-Assumptions!$C$81)*(1+D131)^10)</f>
        <v/>
      </c>
    </row>
    <row r="141">
      <c r="A141" s="6" t="inlineStr">
        <is>
          <t>Terminal value at FY2030</t>
        </is>
      </c>
      <c r="B141" s="28">
        <f>B139+B140</f>
        <v/>
      </c>
      <c r="C141" s="28">
        <f>C139+C140</f>
        <v/>
      </c>
      <c r="D141" s="28">
        <f>D139+D140</f>
        <v/>
      </c>
    </row>
    <row r="142">
      <c r="A142" s="6" t="inlineStr">
        <is>
          <t>Present value of the terminal</t>
        </is>
      </c>
      <c r="B142" s="28">
        <f>B141/(1+B131)^DCF!$F$19</f>
        <v/>
      </c>
      <c r="C142" s="28">
        <f>C141/(1+C131)^DCF!$F$19</f>
        <v/>
      </c>
      <c r="D142" s="28">
        <f>D141/(1+D131)^DCF!$F$19</f>
        <v/>
      </c>
    </row>
    <row r="143">
      <c r="A143" s="6" t="inlineStr">
        <is>
          <t>Enterprise value</t>
        </is>
      </c>
      <c r="B143" s="28">
        <f>B137+B142</f>
        <v/>
      </c>
      <c r="C143" s="28">
        <f>C137+C142</f>
        <v/>
      </c>
      <c r="D143" s="28">
        <f>D137+D142</f>
        <v/>
      </c>
    </row>
    <row r="144">
      <c r="A144" s="14" t="inlineStr">
        <is>
          <t>Fair value per share (AED)</t>
        </is>
      </c>
      <c r="B144" s="34">
        <f>(B143-DCF!$C$53+Assumptions!$C$89+Assumptions!$C$90+Assumptions!$C$91+Assumptions!$C$92)*(1-'SOTP Bridge'!$C$15)/Assumptions!$C$6</f>
        <v/>
      </c>
      <c r="C144" s="34">
        <f>(C143-DCF!$C$53+Assumptions!$C$89+Assumptions!$C$90+Assumptions!$C$91+Assumptions!$C$92)*(1-'SOTP Bridge'!$C$15)/Assumptions!$C$6</f>
        <v/>
      </c>
      <c r="D144" s="34">
        <f>(D143-DCF!$C$53+Assumptions!$C$89+Assumptions!$C$90+Assumptions!$C$91+Assumptions!$C$92)*(1-'SOTP Bridge'!$C$15)/Assumptions!$C$6</f>
        <v/>
      </c>
    </row>
    <row r="146">
      <c r="A146" s="4" t="inlineStr">
        <is>
          <t>Every block above except the 5x5 grid is a live parallel model: the recovery ladder varies only the per-RT level, bear varies the connection path, the per-RT floor, the tax framing and the equity repricing, bull varies the connection path, and the constructions vary only the discount rate. Change any shared driver on the Assumptions sheet and all of them redraw together with the main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regulated utility. Every cell is a formula off the statements.</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(AED)</t>
        </is>
      </c>
      <c r="B5" s="9">
        <f>'Income Statement'!B19</f>
        <v/>
      </c>
      <c r="C5" s="9">
        <f>'Income Statement'!C19</f>
        <v/>
      </c>
      <c r="D5" s="9">
        <f>'Income Statement'!D19</f>
        <v/>
      </c>
      <c r="E5" s="9">
        <f>'Income Statement'!E19</f>
        <v/>
      </c>
      <c r="F5" s="9">
        <f>'Income Statement'!F19</f>
        <v/>
      </c>
      <c r="G5" s="9">
        <f>'Income Statement'!G19</f>
        <v/>
      </c>
      <c r="H5" s="9">
        <f>'Income Statement'!H19</f>
        <v/>
      </c>
      <c r="I5" s="9">
        <f>'Income Statement'!I19</f>
        <v/>
      </c>
    </row>
    <row r="6">
      <c r="A6" s="6" t="inlineStr">
        <is>
          <t>Dividend per share (AED)</t>
        </is>
      </c>
      <c r="B6" s="9" t="inlineStr">
        <is>
          <t>-</t>
        </is>
      </c>
      <c r="C6" s="9" t="inlineStr">
        <is>
          <t>-</t>
        </is>
      </c>
      <c r="D6" s="9">
        <f>Assumptions!$C$96/Assumptions!$C$6</f>
        <v/>
      </c>
      <c r="E6" s="9">
        <f>Assumptions!$C$96/Assumptions!$C$6</f>
        <v/>
      </c>
      <c r="F6" s="9">
        <f>Assumptions!$C$96/Assumptions!$C$6</f>
        <v/>
      </c>
      <c r="G6" s="9">
        <f>Assumptions!$C$96/Assumptions!$C$6</f>
        <v/>
      </c>
      <c r="H6" s="9">
        <f>Assumptions!$C$96/Assumptions!$C$6</f>
        <v/>
      </c>
      <c r="I6" s="9">
        <f>Assumptions!$C$96/Assumptions!$C$6</f>
        <v/>
      </c>
    </row>
    <row r="7">
      <c r="A7" s="6" t="inlineStr">
        <is>
          <t>Dividend cover (attributable profit / dividend)</t>
        </is>
      </c>
      <c r="B7" s="39" t="inlineStr">
        <is>
          <t>-</t>
        </is>
      </c>
      <c r="C7" s="39" t="inlineStr">
        <is>
          <t>-</t>
        </is>
      </c>
      <c r="D7" s="39">
        <f>'Income Statement'!D18/Assumptions!$C$96</f>
        <v/>
      </c>
      <c r="E7" s="39">
        <f>'Income Statement'!E18/Assumptions!$C$96</f>
        <v/>
      </c>
      <c r="F7" s="39">
        <f>'Income Statement'!F18/Assumptions!$C$96</f>
        <v/>
      </c>
      <c r="G7" s="39">
        <f>'Income Statement'!G18/Assumptions!$C$96</f>
        <v/>
      </c>
      <c r="H7" s="39">
        <f>'Income Statement'!H18/Assumptions!$C$96</f>
        <v/>
      </c>
      <c r="I7" s="39">
        <f>'Income Statement'!I18/Assumptions!$C$96</f>
        <v/>
      </c>
    </row>
    <row r="8">
      <c r="A8" s="6" t="inlineStr">
        <is>
          <t>Book value per share (AED)</t>
        </is>
      </c>
      <c r="B8" s="9" t="inlineStr">
        <is>
          <t>-</t>
        </is>
      </c>
      <c r="C8" s="9">
        <f>'Balance Sheet'!B13/Assumptions!$C$6</f>
        <v/>
      </c>
      <c r="D8" s="9">
        <f>'Balance Sheet'!C13/Assumptions!$C$6</f>
        <v/>
      </c>
      <c r="E8" s="9">
        <f>'Balance Sheet'!E13/Assumptions!$C$6</f>
        <v/>
      </c>
      <c r="F8" s="9">
        <f>'Balance Sheet'!F13/Assumptions!$C$6</f>
        <v/>
      </c>
      <c r="G8" s="9">
        <f>'Balance Sheet'!G13/Assumptions!$C$6</f>
        <v/>
      </c>
      <c r="H8" s="9">
        <f>'Balance Sheet'!H13/Assumptions!$C$6</f>
        <v/>
      </c>
      <c r="I8" s="9">
        <f>'Balance Sheet'!I13/Assumptions!$C$6</f>
        <v/>
      </c>
    </row>
    <row r="9">
      <c r="A9" s="6" t="inlineStr">
        <is>
          <t>Free cash flow to the firm per share (AED)</t>
        </is>
      </c>
      <c r="B9" s="9" t="inlineStr">
        <is>
          <t>-</t>
        </is>
      </c>
      <c r="C9" s="9" t="inlineStr">
        <is>
          <t>-</t>
        </is>
      </c>
      <c r="D9" s="9" t="inlineStr">
        <is>
          <t>-</t>
        </is>
      </c>
      <c r="E9" s="9">
        <f>'Cash Flow'!D11/Assumptions!$C$6</f>
        <v/>
      </c>
      <c r="F9" s="9">
        <f>'Cash Flow'!E11/Assumptions!$C$6</f>
        <v/>
      </c>
      <c r="G9" s="9">
        <f>'Cash Flow'!F11/Assumptions!$C$6</f>
        <v/>
      </c>
      <c r="H9" s="9">
        <f>'Cash Flow'!G11/Assumptions!$C$6</f>
        <v/>
      </c>
      <c r="I9" s="9">
        <f>'Cash Flow'!H11/Assumptions!$C$6</f>
        <v/>
      </c>
    </row>
    <row r="10">
      <c r="A10" s="6" t="inlineStr">
        <is>
          <t>Gross margin</t>
        </is>
      </c>
      <c r="B10" s="10">
        <f>'Income Statement'!B8/'Income Statement'!B5</f>
        <v/>
      </c>
      <c r="C10" s="10">
        <f>'Income Statement'!C8/'Income Statement'!C5</f>
        <v/>
      </c>
      <c r="D10" s="10">
        <f>'Income Statement'!D8/'Income Statement'!D5</f>
        <v/>
      </c>
      <c r="E10" s="10" t="inlineStr">
        <is>
          <t>-</t>
        </is>
      </c>
      <c r="F10" s="10" t="inlineStr">
        <is>
          <t>-</t>
        </is>
      </c>
      <c r="G10" s="10" t="inlineStr">
        <is>
          <t>-</t>
        </is>
      </c>
      <c r="H10" s="10" t="inlineStr">
        <is>
          <t>-</t>
        </is>
      </c>
      <c r="I10" s="10" t="inlineStr">
        <is>
          <t>-</t>
        </is>
      </c>
    </row>
    <row r="11">
      <c r="A11" s="6" t="inlineStr">
        <is>
          <t>Operating EBITDA margin</t>
        </is>
      </c>
      <c r="B11" s="10">
        <f>'Income Statement'!B10</f>
        <v/>
      </c>
      <c r="C11" s="10">
        <f>'Income Statement'!C10</f>
        <v/>
      </c>
      <c r="D11" s="10">
        <f>'Income Statement'!D10</f>
        <v/>
      </c>
      <c r="E11" s="10">
        <f>'Income Statement'!E10</f>
        <v/>
      </c>
      <c r="F11" s="10">
        <f>'Income Statement'!F10</f>
        <v/>
      </c>
      <c r="G11" s="10">
        <f>'Income Statement'!G10</f>
        <v/>
      </c>
      <c r="H11" s="10">
        <f>'Income Statement'!H10</f>
        <v/>
      </c>
      <c r="I11" s="10">
        <f>'Income Statement'!I10</f>
        <v/>
      </c>
    </row>
    <row r="12">
      <c r="A12" s="6" t="inlineStr">
        <is>
          <t>Operating margin</t>
        </is>
      </c>
      <c r="B12" s="10">
        <f>'Income Statement'!B12/'Income Statement'!B5</f>
        <v/>
      </c>
      <c r="C12" s="10">
        <f>'Income Statement'!C12/'Income Statement'!C5</f>
        <v/>
      </c>
      <c r="D12" s="10">
        <f>'Income Statement'!D12/'Income Statement'!D5</f>
        <v/>
      </c>
      <c r="E12" s="10">
        <f>'Income Statement'!E12/'Income Statement'!E5</f>
        <v/>
      </c>
      <c r="F12" s="10">
        <f>'Income Statement'!F12/'Income Statement'!F5</f>
        <v/>
      </c>
      <c r="G12" s="10">
        <f>'Income Statement'!G12/'Income Statement'!G5</f>
        <v/>
      </c>
      <c r="H12" s="10">
        <f>'Income Statement'!H12/'Income Statement'!H5</f>
        <v/>
      </c>
      <c r="I12" s="10">
        <f>'Income Statement'!I12/'Income Statement'!I5</f>
        <v/>
      </c>
    </row>
    <row r="13">
      <c r="A13" s="6" t="inlineStr">
        <is>
          <t>Net margin (attributable)</t>
        </is>
      </c>
      <c r="B13" s="10">
        <f>'Income Statement'!B18/'Income Statement'!B5</f>
        <v/>
      </c>
      <c r="C13" s="10">
        <f>'Income Statement'!C18/'Income Statement'!C5</f>
        <v/>
      </c>
      <c r="D13" s="10">
        <f>'Income Statement'!D18/'Income Statement'!D5</f>
        <v/>
      </c>
      <c r="E13" s="10">
        <f>'Income Statement'!E18/'Income Statement'!E5</f>
        <v/>
      </c>
      <c r="F13" s="10">
        <f>'Income Statement'!F18/'Income Statement'!F5</f>
        <v/>
      </c>
      <c r="G13" s="10">
        <f>'Income Statement'!G18/'Income Statement'!G5</f>
        <v/>
      </c>
      <c r="H13" s="10">
        <f>'Income Statement'!H18/'Income Statement'!H5</f>
        <v/>
      </c>
      <c r="I13" s="10">
        <f>'Income Statement'!I18/'Income Statement'!I5</f>
        <v/>
      </c>
    </row>
    <row r="14">
      <c r="A14" s="6" t="inlineStr">
        <is>
          <t>Return on equity (average base; FY2026E from the 30-Jun-2026 anchor)</t>
        </is>
      </c>
      <c r="B14" s="10" t="inlineStr">
        <is>
          <t>-</t>
        </is>
      </c>
      <c r="C14" s="10" t="inlineStr">
        <is>
          <t>-</t>
        </is>
      </c>
      <c r="D14" s="10">
        <f>'Income Statement'!D18/(('Balance Sheet'!B13+'Balance Sheet'!C13)/2)</f>
        <v/>
      </c>
      <c r="E14" s="10">
        <f>'Income Statement'!E18/(('Balance Sheet'!D13+'Balance Sheet'!E13)/2)</f>
        <v/>
      </c>
      <c r="F14" s="10">
        <f>'Income Statement'!F18/(('Balance Sheet'!E13+'Balance Sheet'!F13)/2)</f>
        <v/>
      </c>
      <c r="G14" s="10">
        <f>'Income Statement'!G18/(('Balance Sheet'!F13+'Balance Sheet'!G13)/2)</f>
        <v/>
      </c>
      <c r="H14" s="10">
        <f>'Income Statement'!H18/(('Balance Sheet'!G13+'Balance Sheet'!H13)/2)</f>
        <v/>
      </c>
      <c r="I14" s="10">
        <f>'Income Statement'!I18/(('Balance Sheet'!H13+'Balance Sheet'!I13)/2)</f>
        <v/>
      </c>
    </row>
    <row r="15">
      <c r="A15" s="6" t="inlineStr">
        <is>
          <t>Net debt / EBITDA (audited definition)</t>
        </is>
      </c>
      <c r="B15" s="39" t="inlineStr">
        <is>
          <t>-</t>
        </is>
      </c>
      <c r="C15" s="39" t="inlineStr">
        <is>
          <t>-</t>
        </is>
      </c>
      <c r="D15" s="39">
        <f>'Balance Sheet'!C16/('Income Statement'!D9+'Income Statement'!D6+'Income Statement'!D7)</f>
        <v/>
      </c>
      <c r="E15" s="39">
        <f>'Balance Sheet'!E16/('Income Statement'!E9+'Income Statement'!E6+'Income Statement'!E7)</f>
        <v/>
      </c>
      <c r="F15" s="39">
        <f>'Balance Sheet'!F16/('Income Statement'!F9+'Income Statement'!F6+'Income Statement'!F7)</f>
        <v/>
      </c>
      <c r="G15" s="39">
        <f>'Balance Sheet'!G16/('Income Statement'!G9+'Income Statement'!G6+'Income Statement'!G7)</f>
        <v/>
      </c>
      <c r="H15" s="39">
        <f>'Balance Sheet'!H16/('Income Statement'!H9+'Income Statement'!H6+'Income Statement'!H7)</f>
        <v/>
      </c>
      <c r="I15" s="39">
        <f>'Balance Sheet'!I16/('Income Statement'!I9+'Income Statement'!I6+'Income Statement'!I7)</f>
        <v/>
      </c>
    </row>
    <row r="16">
      <c r="A16" s="6" t="inlineStr">
        <is>
          <t>Capital expenditure / revenue</t>
        </is>
      </c>
      <c r="B16" s="10" t="inlineStr">
        <is>
          <t>-</t>
        </is>
      </c>
      <c r="C16" s="10">
        <f>-'Cash Flow'!B9/'Income Statement'!C5</f>
        <v/>
      </c>
      <c r="D16" s="10">
        <f>-'Cash Flow'!C9/'Income Statement'!D5</f>
        <v/>
      </c>
      <c r="E16" s="10">
        <f>-'Cash Flow'!D9/'Income Statement'!E5</f>
        <v/>
      </c>
      <c r="F16" s="10">
        <f>-'Cash Flow'!E9/'Income Statement'!F5</f>
        <v/>
      </c>
      <c r="G16" s="10">
        <f>-'Cash Flow'!F9/'Income Statement'!G5</f>
        <v/>
      </c>
      <c r="H16" s="10">
        <f>-'Cash Flow'!G9/'Income Statement'!H5</f>
        <v/>
      </c>
      <c r="I16" s="10">
        <f>-'Cash Flow'!H9/'Income Statement'!I5</f>
        <v/>
      </c>
    </row>
    <row r="17">
      <c r="A17" s="6" t="inlineStr">
        <is>
          <t>Payout ratio (dividend / attributable profit)</t>
        </is>
      </c>
      <c r="B17" s="10" t="inlineStr">
        <is>
          <t>-</t>
        </is>
      </c>
      <c r="C17" s="10" t="inlineStr">
        <is>
          <t>-</t>
        </is>
      </c>
      <c r="D17" s="10">
        <f>Assumptions!$C$96/'Income Statement'!D18</f>
        <v/>
      </c>
      <c r="E17" s="10">
        <f>Assumptions!$C$96/'Income Statement'!E18</f>
        <v/>
      </c>
      <c r="F17" s="10">
        <f>Assumptions!$C$96/'Income Statement'!F18</f>
        <v/>
      </c>
      <c r="G17" s="10">
        <f>Assumptions!$C$96/'Income Statement'!G18</f>
        <v/>
      </c>
      <c r="H17" s="10">
        <f>Assumptions!$C$96/'Income Statement'!H18</f>
        <v/>
      </c>
      <c r="I17" s="10">
        <f>Assumptions!$C$96/'Income Statement'!I18</f>
        <v/>
      </c>
    </row>
    <row r="19">
      <c r="A19" s="4" t="inlineStr">
        <is>
          <t>The dividend exceeds attributable profit in the near years by design — the committed AED 875m distribution is funded by the negative working-capital cycle and the balance sheet, and the net-debt roll on the Balance Sheet carries it explicitly from the 30-Jun-2026 anchor.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6" customWidth="1" min="1" max="1"/>
    <col width="20" customWidth="1" min="2" max="2"/>
    <col width="44" customWidth="1" min="3" max="3"/>
    <col width="48" customWidth="1" min="4" max="4"/>
    <col width="20" customWidth="1" min="5" max="5"/>
    <col width="20" customWidth="1" min="6" max="6"/>
  </cols>
  <sheetData>
    <row r="1">
      <c r="A1" s="1" t="inlineStr">
        <is>
          <t>Peer frame and sector context</t>
        </is>
      </c>
      <c r="B1" s="2" t="n"/>
      <c r="C1" s="2" t="n"/>
      <c r="D1" s="2" t="n"/>
      <c r="E1" s="2" t="n"/>
      <c r="F1" s="2" t="n"/>
    </row>
    <row r="2">
      <c r="A2" s="4" t="inlineStr">
        <is>
          <t>One close listed peer exists; the parent is context, not a comparable. Cross-check inputs only, never a source for the company's own numbers.</t>
        </is>
      </c>
    </row>
    <row r="4">
      <c r="A4" s="5" t="inlineStr">
        <is>
          <t>Company / frame</t>
        </is>
      </c>
      <c r="B4" s="5" t="inlineStr">
        <is>
          <t>Market</t>
        </is>
      </c>
      <c r="C4" s="5" t="inlineStr">
        <is>
          <t>Relevance</t>
        </is>
      </c>
      <c r="D4" s="5" t="inlineStr">
        <is>
          <t>Caution</t>
        </is>
      </c>
    </row>
    <row r="5" ht="40" customHeight="1">
      <c r="A5" s="6" t="inlineStr">
        <is>
          <t>Tabreed (National Central Cooling Co)</t>
        </is>
      </c>
      <c r="B5" s="6" t="inlineStr">
        <is>
          <t>Dubai (DFM)</t>
        </is>
      </c>
      <c r="C5" s="48" t="inlineStr">
        <is>
          <t>the only other listed GCC district-cooling pure play — the primary multiple cross-check</t>
        </is>
      </c>
      <c r="D5" s="48" t="inlineStr">
        <is>
          <t>roughly 4.6x net debt / EBITDA against Empower's 1.8x, and a concession mix that skews the EV multiple</t>
        </is>
      </c>
    </row>
    <row r="6" ht="40" customHeight="1">
      <c r="A6" s="6" t="inlineStr">
        <is>
          <t>DEWA (parent, 80% owner)</t>
        </is>
      </c>
      <c r="B6" s="6" t="inlineStr">
        <is>
          <t>Dubai (DFM)</t>
        </is>
      </c>
      <c r="C6" s="48" t="inlineStr">
        <is>
          <t>majority owner since Feb-2026; its multiple frames how Dubai prices regulated utility earnings</t>
        </is>
      </c>
      <c r="D6" s="48" t="inlineStr">
        <is>
          <t>a vertically-integrated generation and distribution utility, not a district-cooling comparable</t>
        </is>
      </c>
    </row>
    <row r="7" ht="40" customHeight="1">
      <c r="A7" s="6" t="inlineStr">
        <is>
          <t>Regional listed utilities</t>
        </is>
      </c>
      <c r="B7" s="6" t="inlineStr">
        <is>
          <t>GCC</t>
        </is>
      </c>
      <c r="C7" s="48" t="inlineStr">
        <is>
          <t>the broad frame for regulated-return infrastructure in pegged-currency markets</t>
        </is>
      </c>
      <c r="D7" s="48" t="inlineStr">
        <is>
          <t>tariff regimes and concession structures differ materially by emirate and state</t>
        </is>
      </c>
    </row>
    <row r="9">
      <c r="A9" s="5" t="inlineStr">
        <is>
          <t>Peer figure</t>
        </is>
      </c>
      <c r="B9" s="5" t="inlineStr">
        <is>
          <t>Peer</t>
        </is>
      </c>
      <c r="C9" s="5" t="inlineStr">
        <is>
          <t>Empower (model)</t>
        </is>
      </c>
    </row>
    <row r="10">
      <c r="A10" s="6" t="inlineStr">
        <is>
          <t>EV / EBITDA (Tabreed trailing, restruck at the 07-Aug-2026 anchor)</t>
        </is>
      </c>
      <c r="B10" s="38">
        <f>Assumptions!$C$99</f>
        <v/>
      </c>
      <c r="C10" s="38">
        <f>'Relative &amp; Normalized'!C17</f>
        <v/>
      </c>
    </row>
    <row r="11">
      <c r="A11" s="6" t="inlineStr">
        <is>
          <t>Price / earnings (Tabreed trailing, restruck)</t>
        </is>
      </c>
      <c r="B11" s="38">
        <f>Assumptions!$C$100</f>
        <v/>
      </c>
      <c r="C11" s="38">
        <f>'Relative &amp; Normalized'!C18</f>
        <v/>
      </c>
    </row>
    <row r="12">
      <c r="A12" s="6" t="inlineStr">
        <is>
          <t>Price / earnings (DEWA, trailing)</t>
        </is>
      </c>
      <c r="B12" s="38">
        <f>Assumptions!$C$101</f>
        <v/>
      </c>
      <c r="C12" s="38">
        <f>'Relative &amp; Normalized'!C18</f>
        <v/>
      </c>
    </row>
    <row r="13">
      <c r="A13" s="6" t="inlineStr">
        <is>
          <t>Tabreed FY2025 revenue (AED mn, as reported)</t>
        </is>
      </c>
      <c r="B13" s="25" t="n">
        <v>2456</v>
      </c>
      <c r="D13" s="4" t="inlineStr">
        <is>
          <t>Tabreed FY2025 results — reported figure (some aggregators carry a rounded 2,460)</t>
        </is>
      </c>
    </row>
    <row r="14">
      <c r="A14" s="6" t="inlineStr">
        <is>
          <t>Dividend yield at the market price</t>
        </is>
      </c>
      <c r="C14" s="10">
        <f>Assumptions!$C$96/Assumptions!$C$6/Assumptions!$C$5</f>
        <v/>
      </c>
    </row>
    <row r="16">
      <c r="A16" s="4" t="inlineStr">
        <is>
          <t>Peer multiples are dated, disclosed cross-check inputs, restruck at the subject's own 07-Aug-2026 anchor (see the Assumptions sheet). On EV/EBITDA Empower trades at a PREMIUM to Tabreed (about 11.0x against 10.1x on audited-definition EBITDA) — with less than half the leverage; on price/earnings it is roughly in line with Tabreed (15.1x against 15.0x) and at a discount to DEWA (16.8x). The model's relative lens applies the peer multiple to Empower's own trailing operating EBITDA rather than endorsing either price.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2026-09-04T23:02:35Z</dcterms:created>
  <dcterms:modified xmlns:dcterms="http://purl.org/dc/terms/" xmlns:xsi="http://www.w3.org/2001/XMLSchema-instance" xsi:type="dcterms:W3CDTF">2026-09-04T23:02:35Z</dcterms:modified>
</cp:coreProperties>
</file>