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FIRST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Unit Build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EV Bridge" sheetId="5" state="visible" r:id="rId5"/>
    <sheet xmlns:r="http://schemas.openxmlformats.org/officeDocument/2006/relationships" name="Income Statement" sheetId="6" state="visible" r:id="rId6"/>
    <sheet xmlns:r="http://schemas.openxmlformats.org/officeDocument/2006/relationships" name="Balance Sheet" sheetId="7" state="visible" r:id="rId7"/>
    <sheet xmlns:r="http://schemas.openxmlformats.org/officeDocument/2006/relationships" name="Cash Flow" sheetId="8" state="visible" r:id="rId8"/>
    <sheet xmlns:r="http://schemas.openxmlformats.org/officeDocument/2006/relationships" name="Summary Financials" sheetId="9" state="visible" r:id="rId9"/>
    <sheet xmlns:r="http://schemas.openxmlformats.org/officeDocument/2006/relationships" name="Per-Share &amp; Ratios" sheetId="10" state="visible" r:id="rId10"/>
    <sheet xmlns:r="http://schemas.openxmlformats.org/officeDocument/2006/relationships" name="Relative &amp; Normalized" sheetId="11" state="visible" r:id="rId11"/>
    <sheet xmlns:r="http://schemas.openxmlformats.org/officeDocument/2006/relationships" name="Fundamental Valuation" sheetId="12" state="visible" r:id="rId12"/>
    <sheet xmlns:r="http://schemas.openxmlformats.org/officeDocument/2006/relationships" name="Summary" sheetId="13" state="visible" r:id="rId13"/>
    <sheet xmlns:r="http://schemas.openxmlformats.org/officeDocument/2006/relationships" name="Monte Carlo" sheetId="14" state="visible" r:id="rId14"/>
    <sheet xmlns:r="http://schemas.openxmlformats.org/officeDocument/2006/relationships" name="Sensitivity" sheetId="15" state="visible" r:id="rId15"/>
    <sheet xmlns:r="http://schemas.openxmlformats.org/officeDocument/2006/relationships" name="Peer &amp; Sector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0;(0.00);&quot;-&quot;"/>
    <numFmt numFmtId="165" formatCode="#,##0.00;(#,##0.00);&quot;-&quot;"/>
    <numFmt numFmtId="166" formatCode="0.0%;(0.0%);&quot;-&quot;"/>
    <numFmt numFmtId="167" formatCode="#,##0.0;(#,##0.0);&quot;-&quot;"/>
    <numFmt numFmtId="168" formatCode="#,##0.000"/>
    <numFmt numFmtId="169" formatCode="#,##0;(#,##0);&quot;-&quot;"/>
    <numFmt numFmtId="170" formatCode="0.00x"/>
    <numFmt numFmtId="171" formatCode="0.0000"/>
    <numFmt numFmtId="172" formatCode="0.000%"/>
    <numFmt numFmtId="173" formatCode="0.0000%"/>
  </numFmts>
  <fonts count="11">
    <font>
      <name val="Calibri"/>
      <family val="2"/>
      <color theme="1"/>
      <sz val="11"/>
      <scheme val="minor"/>
    </font>
    <font>
      <b val="1"/>
      <color rgb="00F6F1E6"/>
      <sz val="13"/>
    </font>
    <font>
      <sz val="10"/>
    </font>
    <font>
      <sz val="9"/>
    </font>
    <font>
      <color rgb="006E7B77"/>
      <sz val="9"/>
    </font>
    <font>
      <b val="1"/>
    </font>
    <font>
      <color rgb="000000FF"/>
    </font>
    <font>
      <color rgb="00008000"/>
    </font>
    <font>
      <color rgb="00000000"/>
    </font>
    <font>
      <b val="1"/>
      <color rgb="00000000"/>
    </font>
    <font>
      <b val="1"/>
      <color rgb="00008000"/>
    </font>
  </fonts>
  <fills count="5">
    <fill>
      <patternFill/>
    </fill>
    <fill>
      <patternFill patternType="gray125"/>
    </fill>
    <fill>
      <patternFill patternType="solid">
        <fgColor rgb="001C3A36"/>
      </patternFill>
    </fill>
    <fill>
      <patternFill patternType="solid">
        <fgColor rgb="00F6F1E6"/>
      </patternFill>
    </fill>
    <fill>
      <patternFill patternType="solid">
        <fgColor rgb="00EAF0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0" pivotButton="0" quotePrefix="0" xfId="0"/>
    <xf numFmtId="164" fontId="6" fillId="0" borderId="0" pivotButton="0" quotePrefix="0" xfId="0"/>
    <xf numFmtId="165" fontId="6" fillId="0" borderId="0" pivotButton="0" quotePrefix="0" xfId="0"/>
    <xf numFmtId="166" fontId="6" fillId="0" borderId="0" pivotButton="0" quotePrefix="0" xfId="0"/>
    <xf numFmtId="167" fontId="6" fillId="0" borderId="0" pivotButton="0" quotePrefix="0" xfId="0"/>
    <xf numFmtId="168" fontId="6" fillId="0" borderId="0" pivotButton="0" quotePrefix="0" xfId="0"/>
    <xf numFmtId="169" fontId="6" fillId="0" borderId="0" pivotButton="0" quotePrefix="0" xfId="0"/>
    <xf numFmtId="0" fontId="5" fillId="4" borderId="0" pivotButton="0" quotePrefix="0" xfId="0"/>
    <xf numFmtId="10" fontId="6" fillId="0" borderId="0" pivotButton="0" quotePrefix="0" xfId="0"/>
    <xf numFmtId="170" fontId="6" fillId="0" borderId="0" pivotButton="0" quotePrefix="0" xfId="0"/>
    <xf numFmtId="165" fontId="7" fillId="0" borderId="0" pivotButton="0" quotePrefix="0" xfId="0"/>
    <xf numFmtId="166" fontId="7" fillId="0" borderId="0" pivotButton="0" quotePrefix="0" xfId="0"/>
    <xf numFmtId="168" fontId="8" fillId="0" borderId="0" pivotButton="0" quotePrefix="0" xfId="0"/>
    <xf numFmtId="168" fontId="7" fillId="0" borderId="0" pivotButton="0" quotePrefix="0" xfId="0"/>
    <xf numFmtId="169" fontId="7" fillId="0" borderId="0" pivotButton="0" quotePrefix="0" xfId="0"/>
    <xf numFmtId="167" fontId="7" fillId="0" borderId="0" pivotButton="0" quotePrefix="0" xfId="0"/>
    <xf numFmtId="169" fontId="8" fillId="0" borderId="0" pivotButton="0" quotePrefix="0" xfId="0"/>
    <xf numFmtId="169" fontId="9" fillId="0" borderId="0" pivotButton="0" quotePrefix="0" xfId="0"/>
    <xf numFmtId="165" fontId="8" fillId="0" borderId="0" pivotButton="0" quotePrefix="0" xfId="0"/>
    <xf numFmtId="166" fontId="8" fillId="0" borderId="0" pivotButton="0" quotePrefix="0" xfId="0"/>
    <xf numFmtId="171" fontId="8" fillId="0" borderId="0" pivotButton="0" quotePrefix="0" xfId="0"/>
    <xf numFmtId="10" fontId="8" fillId="0" borderId="0" pivotButton="0" quotePrefix="0" xfId="0"/>
    <xf numFmtId="166" fontId="9" fillId="0" borderId="0" pivotButton="0" quotePrefix="0" xfId="0"/>
    <xf numFmtId="169" fontId="8" fillId="3" borderId="0" pivotButton="0" quotePrefix="0" xfId="0"/>
    <xf numFmtId="164" fontId="9" fillId="0" borderId="0" pivotButton="0" quotePrefix="0" xfId="0"/>
    <xf numFmtId="10" fontId="9" fillId="0" borderId="0" pivotButton="0" quotePrefix="0" xfId="0"/>
    <xf numFmtId="172" fontId="8" fillId="0" borderId="0" pivotButton="0" quotePrefix="0" xfId="0"/>
    <xf numFmtId="164" fontId="8" fillId="0" borderId="0" pivotButton="0" quotePrefix="0" xfId="0"/>
    <xf numFmtId="169" fontId="10" fillId="0" borderId="0" pivotButton="0" quotePrefix="0" xfId="0"/>
    <xf numFmtId="166" fontId="10" fillId="0" borderId="0" pivotButton="0" quotePrefix="0" xfId="0"/>
    <xf numFmtId="164" fontId="7" fillId="0" borderId="0" pivotButton="0" quotePrefix="0" xfId="0"/>
    <xf numFmtId="167" fontId="8" fillId="0" borderId="0" pivotButton="0" quotePrefix="0" xfId="0"/>
    <xf numFmtId="170" fontId="8" fillId="0" borderId="0" pivotButton="0" quotePrefix="0" xfId="0"/>
    <xf numFmtId="165" fontId="9" fillId="0" borderId="0" pivotButton="0" quotePrefix="0" xfId="0"/>
    <xf numFmtId="172" fontId="9" fillId="0" borderId="0" pivotButton="0" quotePrefix="0" xfId="0"/>
    <xf numFmtId="0" fontId="0" fillId="0" borderId="0" applyAlignment="1" pivotButton="0" quotePrefix="0" xfId="0">
      <alignment vertical="top" wrapText="1"/>
    </xf>
    <xf numFmtId="173" fontId="8" fillId="0" borderId="0" pivotButton="0" quotePrefix="0" xfId="0"/>
    <xf numFmtId="164" fontId="10" fillId="0" borderId="0" pivotButton="0" quotePrefix="0" xfId="0"/>
    <xf numFmtId="0" fontId="5" fillId="0" borderId="0" pivotButton="0" quotePrefix="0" xfId="0"/>
    <xf numFmtId="17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cols>
    <col width="12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Testahil — Arabian Cement Company S.A.E. (EGX: ARCC)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4">
      <c r="A4" s="3" t="inlineStr">
        <is>
          <t>Companion model · Independent Valuation Study · Educational analysis · Not investment advice</t>
        </is>
      </c>
    </row>
    <row r="5">
      <c r="A5" s="4" t="inlineStr"/>
    </row>
    <row r="6">
      <c r="A6" s="3" t="inlineStr">
        <is>
          <t>What this workbook is. A transparent companion to the Arabian Cement valuation study. Every blue cell is an</t>
        </is>
      </c>
    </row>
    <row r="7">
      <c r="A7" s="3" t="inlineStr">
        <is>
          <t>input; every black cell is a formula; green cells link across sheets.</t>
        </is>
      </c>
    </row>
    <row r="8">
      <c r="A8" s="4" t="inlineStr"/>
    </row>
    <row r="9">
      <c r="A9" s="3" t="inlineStr">
        <is>
          <t>IT IS FORMULA-DRIVEN, AND THAT CLAIM IS TESTED. Every figure derivable from a driver is a live formula, so</t>
        </is>
      </c>
    </row>
    <row r="10">
      <c r="A10" s="3" t="inlineStr">
        <is>
          <t>you can change a blue cell on Assumptions and watch the model reprice. The cost of equity is BUILT from the</t>
        </is>
      </c>
    </row>
    <row r="11">
      <c r="A11" s="3" t="inlineStr">
        <is>
          <t>risk-free rate NET of the sovereign default spread, beta and the premium rather than pasted; the cost of debt</t>
        </is>
      </c>
    </row>
    <row r="12">
      <c r="A12" s="3" t="inlineStr">
        <is>
          <t>is taxed in the sheet; the capital-structure weights come from debt and market capitalisation; the terminal</t>
        </is>
      </c>
    </row>
    <row r="13">
      <c r="A13" s="3" t="inlineStr">
        <is>
          <t>rate is built from its own components; the glide fractions are visibly derived from the cost-of-debt path;</t>
        </is>
      </c>
    </row>
    <row r="14">
      <c r="A14" s="3" t="inlineStr">
        <is>
          <t>the discount factors compound through that path; the cash-flow waterfall chains from margin through EBITDA,</t>
        </is>
      </c>
    </row>
    <row r="15">
      <c r="A15" s="3" t="inlineStr">
        <is>
          <t>D&amp;A, EBIT, NOPAT, capital expenditure and working capital to free cash flow and present value; the terminal</t>
        </is>
      </c>
    </row>
    <row r="16">
      <c r="A16" s="3" t="inlineStr">
        <is>
          <t>block chains from reinvestment = growth / return on capital; the statements roll property, working capital,</t>
        </is>
      </c>
    </row>
    <row r="17">
      <c r="A17" s="3" t="inlineStr">
        <is>
          <t>equity and cash forward; and every ratio and per-share figure on every sheet is a formula. A driver test</t>
        </is>
      </c>
    </row>
    <row r="18">
      <c r="A18" s="3" t="inlineStr">
        <is>
          <t>perturbs every input in place, re-evaluates the whole workbook and confirms the headline moves in the right</t>
        </is>
      </c>
    </row>
    <row r="19">
      <c r="A19" s="3" t="inlineStr">
        <is>
          <t>direction — the claim in this paragraph is only made because that test passes.</t>
        </is>
      </c>
    </row>
    <row r="20">
      <c r="A20" s="4" t="inlineStr"/>
    </row>
    <row r="21">
      <c r="A21" s="3" t="inlineStr">
        <is>
          <t>THREE CLASSES OF CELL ARE PASTED, and it is worth knowing exactly which.</t>
        </is>
      </c>
    </row>
    <row r="22">
      <c r="A22" s="3" t="inlineStr">
        <is>
          <t xml:space="preserve">  1. Audited and disclosed history — the primary record, not a calculation. Where a line is both disclosed</t>
        </is>
      </c>
    </row>
    <row r="23">
      <c r="A23" s="3" t="inlineStr">
        <is>
          <t xml:space="preserve">     and derivable, the DISCLOSED figure is carried. These sit on Assumptions and on the historical columns</t>
        </is>
      </c>
    </row>
    <row r="24">
      <c r="A24" s="3" t="inlineStr">
        <is>
          <t xml:space="preserve">     of the Income Statement and Balance Sheet, and are labelled there.</t>
        </is>
      </c>
    </row>
    <row r="25">
      <c r="A25" s="3" t="inlineStr">
        <is>
          <t xml:space="preserve">  2. The output of a unit build that cannot survive being flattened into a grid: the percentile ladder of the</t>
        </is>
      </c>
    </row>
    <row r="26">
      <c r="A26" s="3" t="inlineStr">
        <is>
          <t xml:space="preserve">     probabilistic price map on the Monte Carlo sheet, which is the output of a 50,000-path simulation of a</t>
        </is>
      </c>
    </row>
    <row r="27">
      <c r="A27" s="3" t="inlineStr">
        <is>
          <t xml:space="preserve">     separate engine. Everything downstream of it — probabilities, ranges, per-share conversions — is formula.</t>
        </is>
      </c>
    </row>
    <row r="28">
      <c r="A28" s="3" t="inlineStr">
        <is>
          <t xml:space="preserve">  3. Whole-model re-runs — the sensitivity grids on the Sensitivity sheet, where each individual cell is a</t>
        </is>
      </c>
    </row>
    <row r="29">
      <c r="A29" s="3" t="inlineStr">
        <is>
          <t xml:space="preserve">     COMPLETE revaluation of the entire model at a different pair of assumptions. THESE GRIDS DO NOT REDRAW</t>
        </is>
      </c>
    </row>
    <row r="30">
      <c r="A30" s="3" t="inlineStr">
        <is>
          <t xml:space="preserve">     WHEN A DRIVER CHANGES. If you edit an input on Assumptions, the unit build, waterfall, statements,</t>
        </is>
      </c>
    </row>
    <row r="31">
      <c r="A31" s="3" t="inlineStr">
        <is>
          <t xml:space="preserve">     ratios and all four lenses reprice, but the sensitivity tables and the price map keep the values</t>
        </is>
      </c>
    </row>
    <row r="32">
      <c r="A32" s="3" t="inlineStr">
        <is>
          <t xml:space="preserve">     printed here.</t>
        </is>
      </c>
    </row>
    <row r="33">
      <c r="A33" s="3" t="inlineStr">
        <is>
          <t xml:space="preserve">  Anything else pasted would be a defect.</t>
        </is>
      </c>
    </row>
    <row r="34">
      <c r="A34" s="4" t="inlineStr"/>
    </row>
    <row r="35">
      <c r="A35" s="3" t="inlineStr">
        <is>
          <t>HOW THE COMPANY IS VALUED, and why. Arabian Cement is a single-segment cement operating company: essentially</t>
        </is>
      </c>
    </row>
    <row r="36">
      <c r="A36" s="3" t="inlineStr">
        <is>
          <t>all revenue is grey cement and clinker from two lines in Suez governorate, about five million tonnes a year</t>
        </is>
      </c>
    </row>
    <row r="37">
      <c r="A37" s="3" t="inlineStr">
        <is>
          <t>and roughly 6% of Egypt's nominal capacity. There is no property leg, no lending book, no concession and no</t>
        </is>
      </c>
    </row>
    <row r="38">
      <c r="A38" s="3" t="inlineStr">
        <is>
          <t>portfolio of operating subsidiaries, so there is no second lens to blend and no sum of parts. It is valued</t>
        </is>
      </c>
    </row>
    <row r="39">
      <c r="A39" s="3" t="inlineStr">
        <is>
          <t>with one operating-company lens, cross-read against relative multiples, normalised earnings power and</t>
        </is>
      </c>
    </row>
    <row r="40">
      <c r="A40" s="3" t="inlineStr">
        <is>
          <t>replacement cost. With cash of about EGP 3.46bn against debt of about EGP 1.04bn it is NET CASH, and that</t>
        </is>
      </c>
    </row>
    <row r="41">
      <c r="A41" s="3" t="inlineStr">
        <is>
          <t>cash is stripped out of the discount rate and added back in the enterprise-to-equity bridge, so it is priced</t>
        </is>
      </c>
    </row>
    <row r="42">
      <c r="A42" s="3" t="inlineStr">
        <is>
          <t>once and at face value.</t>
        </is>
      </c>
    </row>
    <row r="43">
      <c r="A43" s="4" t="inlineStr"/>
    </row>
    <row r="44">
      <c r="A44" s="3" t="inlineStr">
        <is>
          <t>THREE THINGS THE READER SHOULD KNOW BEFORE READING ANY NUMBER.</t>
        </is>
      </c>
    </row>
    <row r="45">
      <c r="A45" s="3" t="inlineStr">
        <is>
          <t xml:space="preserve">  * FY2025 is a cyclical peak, not a run rate. Egypt abolished its cement production quota in May 2025;</t>
        </is>
      </c>
    </row>
    <row r="46">
      <c r="A46" s="3" t="inlineStr">
        <is>
          <t xml:space="preserve">    realised prices rose about 35% and revenue 42.6% in one year. The forecast glides the margin DOWN every</t>
        </is>
      </c>
    </row>
    <row r="47">
      <c r="A47" s="3" t="inlineStr">
        <is>
          <t xml:space="preserve">    year from that peak, and the normalised lens cuts both the margin and the revenue base.</t>
        </is>
      </c>
    </row>
    <row r="48">
      <c r="A48" s="3" t="inlineStr">
        <is>
          <t xml:space="preserve">  * Depreciation is not separately disclosed anywhere retrievable. It is triangulated by three independent</t>
        </is>
      </c>
    </row>
    <row r="49">
      <c r="A49" s="3" t="inlineStr">
        <is>
          <t xml:space="preserve">    methods on the Unit Build sheet and AVERAGED THERE, in the sheet, rather than asserted. The three methods</t>
        </is>
      </c>
    </row>
    <row r="50">
      <c r="A50" s="3" t="inlineStr">
        <is>
          <t xml:space="preserve">    disagree by a wide margin and the spread is shown.</t>
        </is>
      </c>
    </row>
    <row r="51">
      <c r="A51" s="3" t="inlineStr">
        <is>
          <t xml:space="preserve">  * Capital expenditure is set at the ECONOMIC maintenance level in dollars per tonne of capacity, not at</t>
        </is>
      </c>
    </row>
    <row r="52">
      <c r="A52" s="3" t="inlineStr">
        <is>
          <t xml:space="preserve">    book depreciation. A historic-cost asset base in a currency that has devalued several times understates</t>
        </is>
      </c>
    </row>
    <row r="53">
      <c r="A53" s="3" t="inlineStr">
        <is>
          <t xml:space="preserve">    what it costs to keep a plant running; setting capex equal to book depreciation would flatter free cash</t>
        </is>
      </c>
    </row>
    <row r="54">
      <c r="A54" s="3" t="inlineStr">
        <is>
          <t xml:space="preserve">    flow by construction. The cost of that conservatism is computed on the Fundamental Valuation sheet.</t>
        </is>
      </c>
    </row>
    <row r="55">
      <c r="A55" s="4" t="inlineStr"/>
    </row>
    <row r="56">
      <c r="A56" s="3" t="inlineStr">
        <is>
          <t>PROVENANCE LIMIT, STATED PLAINLY. NO SOURCE DOCUMENT WAS OPENED. Not the audited statements, not the annual</t>
        </is>
      </c>
    </row>
    <row r="57">
      <c r="A57" s="3" t="inlineStr">
        <is>
          <t>report, not the investor presentation, not the exchange filing, and not the press articles reporting them:</t>
        </is>
      </c>
    </row>
    <row r="58">
      <c r="A58" s="3" t="inlineStr">
        <is>
          <t>the environment's egress policy refused every external financial host at the connection stage. Revenue,</t>
        </is>
      </c>
    </row>
    <row r="59">
      <c r="A59" s="3" t="inlineStr">
        <is>
          <t>profit, operating income, the balance-sheet totals and both dividend distributions are carried as RELAYED in</t>
        </is>
      </c>
    </row>
    <row r="60">
      <c r="A60" s="3" t="inlineStr">
        <is>
          <t>web-search summaries of EGX-filing coverage and of aggregations of S&amp;P Global Market Intelligence data —</t>
        </is>
      </c>
    </row>
    <row r="61">
      <c r="A61" s="3" t="inlineStr">
        <is>
          <t>two steps from the audited print, not one. Where two aggregations disagree</t>
        </is>
      </c>
    </row>
    <row r="62">
      <c r="A62" s="3" t="inlineStr">
        <is>
          <t>— they do, on total liabilities — the disagreement is shown on the Balance Sheet sheet rather than averaged</t>
        </is>
      </c>
    </row>
    <row r="63">
      <c r="A63" s="3" t="inlineStr">
        <is>
          <t>away, and the figure that closes against total assets is the one carried.</t>
        </is>
      </c>
    </row>
    <row r="64">
      <c r="A64" s="4" t="inlineStr"/>
    </row>
    <row r="65">
      <c r="A65" s="3" t="inlineStr">
        <is>
          <t>No rating and no price target. Fair-value ranges and distributions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8"/>
  <sheetViews>
    <sheetView workbookViewId="0">
      <selection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Assumptions — every driver, including the whole cost stack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5" t="inlineStr">
        <is>
          <t>Blue cells are inputs. Nothing below a driver is typed.</t>
        </is>
      </c>
    </row>
    <row r="4">
      <c r="A4" s="6" t="inlineStr">
        <is>
          <t>MARKET</t>
        </is>
      </c>
      <c r="B4" s="6" t="n"/>
      <c r="C4" s="6" t="n"/>
      <c r="D4" s="6" t="n"/>
      <c r="E4" s="6" t="n"/>
      <c r="F4" s="6" t="n"/>
      <c r="G4" s="6" t="n"/>
      <c r="H4" s="6" t="n"/>
      <c r="I4" s="6" t="n"/>
    </row>
    <row r="5">
      <c r="A5" t="inlineStr">
        <is>
          <t>Spot price</t>
        </is>
      </c>
      <c r="B5" s="7" t="n">
        <v>59</v>
      </c>
      <c r="C5" s="5" t="inlineStr">
        <is>
          <t>EGP, close 06-Aug-2026</t>
        </is>
      </c>
    </row>
    <row r="6">
      <c r="A6" t="inlineStr">
        <is>
          <t>Shares outstanding</t>
        </is>
      </c>
      <c r="B6" s="8" t="n">
        <v>374.87</v>
      </c>
      <c r="C6" s="5" t="inlineStr">
        <is>
          <t>mn</t>
        </is>
      </c>
    </row>
    <row r="7">
      <c r="A7" t="inlineStr">
        <is>
          <t>Statutory tax rate</t>
        </is>
      </c>
      <c r="B7" s="9" t="n">
        <v>0.225</v>
      </c>
    </row>
    <row r="8">
      <c r="A8" t="inlineStr">
        <is>
          <t>USD/EGP at the valuation date</t>
        </is>
      </c>
      <c r="B8" s="10" t="n">
        <v>50.3</v>
      </c>
    </row>
    <row r="9">
      <c r="A9" t="inlineStr">
        <is>
          <t>Beta (own-stock weekly regression)</t>
        </is>
      </c>
      <c r="B9" s="11" t="n">
        <v>0.6280798261200432</v>
      </c>
    </row>
    <row r="11">
      <c r="A11" s="6" t="inlineStr">
        <is>
          <t>PLANT — PHYSICAL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t="inlineStr">
        <is>
          <t>Cement capacity</t>
        </is>
      </c>
      <c r="B12" s="8" t="n">
        <v>5</v>
      </c>
      <c r="C12" s="5" t="inlineStr">
        <is>
          <t>Mt/yr</t>
        </is>
      </c>
    </row>
    <row r="13">
      <c r="A13" t="inlineStr">
        <is>
          <t>Kiln clinker capacity</t>
        </is>
      </c>
      <c r="B13" s="8" t="n">
        <v>3.6</v>
      </c>
      <c r="C13" s="5" t="inlineStr">
        <is>
          <t>Mt/yr</t>
        </is>
      </c>
    </row>
    <row r="14">
      <c r="A14" t="inlineStr">
        <is>
          <t>Clinker factor</t>
        </is>
      </c>
      <c r="B14" s="11" t="n">
        <v>0.72</v>
      </c>
      <c r="C14" s="5" t="inlineStr">
        <is>
          <t>t clinker / t cement</t>
        </is>
      </c>
    </row>
    <row r="16">
      <c r="A16" s="6" t="inlineStr">
        <is>
          <t>COST STACK — PHYSICAL AND MARKET DRIVERS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t="inlineStr">
        <is>
          <t>Specific thermal energy</t>
        </is>
      </c>
      <c r="B17" s="8" t="n">
        <v>3.3</v>
      </c>
      <c r="C17" s="5" t="inlineStr">
        <is>
          <t>GJ/t clinker</t>
        </is>
      </c>
    </row>
    <row r="18">
      <c r="A18" t="inlineStr">
        <is>
          <t>Fossil fuel price</t>
        </is>
      </c>
      <c r="B18" s="8" t="n">
        <v>4</v>
      </c>
      <c r="C18" s="5" t="inlineStr">
        <is>
          <t>USD/GJ</t>
        </is>
      </c>
    </row>
    <row r="19">
      <c r="A19" t="inlineStr">
        <is>
          <t>Alternative fuel price</t>
        </is>
      </c>
      <c r="B19" s="8" t="n">
        <v>1.8</v>
      </c>
      <c r="C19" s="5" t="inlineStr">
        <is>
          <t>USD/GJ</t>
        </is>
      </c>
    </row>
    <row r="20">
      <c r="A20" t="inlineStr">
        <is>
          <t>Specific electrical energy</t>
        </is>
      </c>
      <c r="B20" s="10" t="n">
        <v>100</v>
      </c>
      <c r="C20" s="5" t="inlineStr">
        <is>
          <t>kWh/t cement</t>
        </is>
      </c>
    </row>
    <row r="21">
      <c r="A21" t="inlineStr">
        <is>
          <t>Industrial electricity tariff</t>
        </is>
      </c>
      <c r="B21" s="8" t="n">
        <v>2.6</v>
      </c>
      <c r="C21" s="5" t="inlineStr">
        <is>
          <t>EGP/kWh</t>
        </is>
      </c>
    </row>
    <row r="22">
      <c r="A22" t="inlineStr">
        <is>
          <t>Raw materials and quarrying</t>
        </is>
      </c>
      <c r="B22" s="12" t="n">
        <v>195</v>
      </c>
      <c r="C22" s="5" t="inlineStr">
        <is>
          <t>EGP/t cement</t>
        </is>
      </c>
    </row>
    <row r="23">
      <c r="A23" t="inlineStr">
        <is>
          <t>Packaging</t>
        </is>
      </c>
      <c r="B23" s="12" t="n">
        <v>55</v>
      </c>
      <c r="C23" s="5" t="inlineStr">
        <is>
          <t>EGP/t bagged</t>
        </is>
      </c>
    </row>
    <row r="24">
      <c r="A24" t="inlineStr">
        <is>
          <t>Bagged share of despatches</t>
        </is>
      </c>
      <c r="B24" s="9" t="n">
        <v>0.7</v>
      </c>
    </row>
    <row r="25">
      <c r="A25" t="inlineStr">
        <is>
          <t>Distribution and selling</t>
        </is>
      </c>
      <c r="B25" s="12" t="n">
        <v>190</v>
      </c>
      <c r="C25" s="5" t="inlineStr">
        <is>
          <t>EGP/t cement</t>
        </is>
      </c>
    </row>
    <row r="26">
      <c r="A26" t="inlineStr">
        <is>
          <t>Fixed cash cost</t>
        </is>
      </c>
      <c r="B26" s="8" t="n">
        <v>15.7583</v>
      </c>
      <c r="C26" s="5" t="inlineStr">
        <is>
          <t>USD/t of capacity</t>
        </is>
      </c>
    </row>
    <row r="28">
      <c r="A28" s="6" t="inlineStr">
        <is>
          <t>PATHS — FY2025A then FY2026E to FY2030E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</row>
    <row r="29">
      <c r="A29" s="13" t="inlineStr"/>
      <c r="B29" s="13" t="inlineStr">
        <is>
          <t>FY2025A</t>
        </is>
      </c>
      <c r="C29" s="13" t="inlineStr">
        <is>
          <t>FY2026E</t>
        </is>
      </c>
      <c r="D29" s="13" t="inlineStr">
        <is>
          <t>FY2027E</t>
        </is>
      </c>
      <c r="E29" s="13" t="inlineStr">
        <is>
          <t>FY2028E</t>
        </is>
      </c>
      <c r="F29" s="13" t="inlineStr">
        <is>
          <t>FY2029E</t>
        </is>
      </c>
      <c r="G29" s="13" t="inlineStr">
        <is>
          <t>FY2030E</t>
        </is>
      </c>
    </row>
    <row r="30">
      <c r="A30" t="inlineStr">
        <is>
          <t>Kiln utilisation</t>
        </is>
      </c>
      <c r="B30" s="9" t="n">
        <v>0.72</v>
      </c>
      <c r="C30" s="9" t="n">
        <v>0.768</v>
      </c>
      <c r="D30" s="9" t="n">
        <v>0.79</v>
      </c>
      <c r="E30" s="9" t="n">
        <v>0.805</v>
      </c>
      <c r="F30" s="9" t="n">
        <v>0.8149999999999999</v>
      </c>
      <c r="G30" s="9" t="n">
        <v>0.822</v>
      </c>
    </row>
    <row r="31">
      <c r="A31" t="inlineStr">
        <is>
          <t>Alternative-fuel substitution rate</t>
        </is>
      </c>
      <c r="B31" s="9" t="n">
        <v>0.52</v>
      </c>
      <c r="C31" s="9" t="n">
        <v>0.55</v>
      </c>
      <c r="D31" s="9" t="n">
        <v>0.58</v>
      </c>
      <c r="E31" s="9" t="n">
        <v>0.6</v>
      </c>
      <c r="F31" s="9" t="n">
        <v>0.62</v>
      </c>
      <c r="G31" s="9" t="n">
        <v>0.64</v>
      </c>
    </row>
    <row r="32">
      <c r="A32" t="inlineStr">
        <is>
          <t>Domestic share of despatches</t>
        </is>
      </c>
      <c r="B32" s="9" t="n">
        <v>0.88</v>
      </c>
      <c r="C32" s="9" t="n">
        <v>0.88</v>
      </c>
      <c r="D32" s="9" t="n">
        <v>0.87</v>
      </c>
      <c r="E32" s="9" t="n">
        <v>0.86</v>
      </c>
      <c r="F32" s="9" t="n">
        <v>0.85</v>
      </c>
      <c r="G32" s="9" t="n">
        <v>0.84</v>
      </c>
    </row>
    <row r="33">
      <c r="A33" t="inlineStr">
        <is>
          <t>Domestic realised price</t>
        </is>
      </c>
      <c r="B33" s="12" t="n">
        <v>3512.24</v>
      </c>
      <c r="C33" s="12" t="n">
        <v>3600</v>
      </c>
      <c r="D33" s="12" t="n">
        <v>3780</v>
      </c>
      <c r="E33" s="12" t="n">
        <v>3950</v>
      </c>
      <c r="F33" s="12" t="n">
        <v>4128</v>
      </c>
      <c r="G33" s="12" t="n">
        <v>4293</v>
      </c>
      <c r="I33" s="5" t="inlineStr">
        <is>
          <t>EGP/t</t>
        </is>
      </c>
    </row>
    <row r="34">
      <c r="A34" t="inlineStr">
        <is>
          <t>Export price</t>
        </is>
      </c>
      <c r="B34" s="10" t="n">
        <v>62</v>
      </c>
      <c r="C34" s="10" t="n">
        <v>60</v>
      </c>
      <c r="D34" s="10" t="n">
        <v>58.5</v>
      </c>
      <c r="E34" s="10" t="n">
        <v>57.5</v>
      </c>
      <c r="F34" s="10" t="n">
        <v>56.5</v>
      </c>
      <c r="G34" s="10" t="n">
        <v>55.5</v>
      </c>
      <c r="I34" s="5" t="inlineStr">
        <is>
          <t>USD/t</t>
        </is>
      </c>
    </row>
    <row r="35">
      <c r="A35" t="inlineStr">
        <is>
          <t>USD/EGP path</t>
        </is>
      </c>
      <c r="B35" s="10" t="n">
        <v>49.3</v>
      </c>
      <c r="C35" s="10" t="n">
        <v>50.6</v>
      </c>
      <c r="D35" s="10" t="n">
        <v>53.1</v>
      </c>
      <c r="E35" s="10" t="n">
        <v>55.8</v>
      </c>
      <c r="F35" s="10" t="n">
        <v>58.6</v>
      </c>
      <c r="G35" s="10" t="n">
        <v>61.5</v>
      </c>
    </row>
    <row r="36">
      <c r="A36" t="inlineStr">
        <is>
          <t>Local cost-inflation index</t>
        </is>
      </c>
      <c r="B36" s="11" t="n">
        <v>1</v>
      </c>
      <c r="C36" s="11" t="n">
        <v>1.115</v>
      </c>
      <c r="D36" s="11" t="n">
        <v>1.226</v>
      </c>
      <c r="E36" s="11" t="n">
        <v>1.336</v>
      </c>
      <c r="F36" s="11" t="n">
        <v>1.443</v>
      </c>
      <c r="G36" s="11" t="n">
        <v>1.544</v>
      </c>
      <c r="I36" s="5" t="inlineStr">
        <is>
          <t>FY2025 = 1.000</t>
        </is>
      </c>
    </row>
    <row r="38">
      <c r="A38" s="6" t="inlineStr">
        <is>
          <t>CAPITAL INTENSITY AND DISTRIBUTION — FY2026E to FY2030E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</row>
    <row r="39">
      <c r="A39" s="13" t="inlineStr"/>
      <c r="B39" s="13" t="inlineStr">
        <is>
          <t>FY2026E</t>
        </is>
      </c>
      <c r="C39" s="13" t="inlineStr">
        <is>
          <t>FY2027E</t>
        </is>
      </c>
      <c r="D39" s="13" t="inlineStr">
        <is>
          <t>FY2028E</t>
        </is>
      </c>
      <c r="E39" s="13" t="inlineStr">
        <is>
          <t>FY2029E</t>
        </is>
      </c>
      <c r="F39" s="13" t="inlineStr">
        <is>
          <t>FY2030E</t>
        </is>
      </c>
    </row>
    <row r="40">
      <c r="A40" t="inlineStr">
        <is>
          <t>Depreciation as % of revenue</t>
        </is>
      </c>
      <c r="B40" s="9" t="n">
        <v>0.025</v>
      </c>
      <c r="C40" s="9" t="n">
        <v>0.028</v>
      </c>
      <c r="D40" s="9" t="n">
        <v>0.031</v>
      </c>
      <c r="E40" s="9" t="n">
        <v>0.034</v>
      </c>
      <c r="F40" s="9" t="n">
        <v>0.036</v>
      </c>
    </row>
    <row r="41">
      <c r="A41" t="inlineStr">
        <is>
          <t>Cost-of-debt path</t>
        </is>
      </c>
      <c r="B41" s="9" t="n">
        <v>0.215</v>
      </c>
      <c r="C41" s="9" t="n">
        <v>0.19</v>
      </c>
      <c r="D41" s="9" t="n">
        <v>0.17</v>
      </c>
      <c r="E41" s="9" t="n">
        <v>0.158</v>
      </c>
      <c r="F41" s="9" t="n">
        <v>0.15</v>
      </c>
    </row>
    <row r="42">
      <c r="A42" t="inlineStr">
        <is>
          <t>Yield earned on cash</t>
        </is>
      </c>
      <c r="B42" s="9" t="n">
        <v>0.185</v>
      </c>
      <c r="C42" s="9" t="n">
        <v>0.16</v>
      </c>
      <c r="D42" s="9" t="n">
        <v>0.145</v>
      </c>
      <c r="E42" s="9" t="n">
        <v>0.135</v>
      </c>
      <c r="F42" s="9" t="n">
        <v>0.13</v>
      </c>
    </row>
    <row r="43">
      <c r="A43" t="inlineStr">
        <is>
          <t>Maintenance capital expenditure</t>
        </is>
      </c>
      <c r="B43" s="8" t="n">
        <v>4</v>
      </c>
      <c r="C43" s="5" t="inlineStr">
        <is>
          <t>USD/t of capacity</t>
        </is>
      </c>
    </row>
    <row r="44">
      <c r="A44" t="inlineStr">
        <is>
          <t>Change in working capital / change in revenue</t>
        </is>
      </c>
      <c r="B44" s="9" t="n">
        <v>0.12</v>
      </c>
    </row>
    <row r="45">
      <c r="A45" t="inlineStr">
        <is>
          <t>Dividend payout ratio</t>
        </is>
      </c>
      <c r="B45" s="9" t="n">
        <v>0.5600000000000001</v>
      </c>
    </row>
    <row r="47">
      <c r="A47" s="6" t="inlineStr">
        <is>
          <t>COST OF CAPITAL</t>
        </is>
      </c>
      <c r="B47" s="6" t="n"/>
      <c r="C47" s="6" t="n"/>
      <c r="D47" s="6" t="n"/>
      <c r="E47" s="6" t="n"/>
      <c r="F47" s="6" t="n"/>
      <c r="G47" s="6" t="n"/>
      <c r="H47" s="6" t="n"/>
      <c r="I47" s="6" t="n"/>
    </row>
    <row r="48">
      <c r="A48" t="inlineStr">
        <is>
          <t>Risk-free rate (EGP 10-year government)</t>
        </is>
      </c>
      <c r="B48" s="14" t="n">
        <v>0.2231</v>
      </c>
    </row>
    <row r="49">
      <c r="A49" t="inlineStr">
        <is>
          <t>Sovereign default spread (netted out)</t>
        </is>
      </c>
      <c r="B49" s="14" t="n">
        <v>0.034</v>
      </c>
    </row>
    <row r="50">
      <c r="A50" t="inlineStr">
        <is>
          <t>Equity risk premium</t>
        </is>
      </c>
      <c r="B50" s="14" t="n">
        <v>0.0941</v>
      </c>
    </row>
    <row r="51">
      <c r="A51" t="inlineStr">
        <is>
          <t>Cost of debt, pre-tax</t>
        </is>
      </c>
      <c r="B51" s="14" t="n">
        <v>0.215</v>
      </c>
    </row>
    <row r="52">
      <c r="A52" t="inlineStr">
        <is>
          <t>Terminal risk-free rate</t>
        </is>
      </c>
      <c r="B52" s="14" t="n">
        <v>0.125</v>
      </c>
    </row>
    <row r="53">
      <c r="A53" t="inlineStr">
        <is>
          <t>Terminal equity risk premium</t>
        </is>
      </c>
      <c r="B53" s="14" t="n">
        <v>0.07000000000000001</v>
      </c>
    </row>
    <row r="54">
      <c r="A54" t="inlineStr">
        <is>
          <t>Terminal cost of debt</t>
        </is>
      </c>
      <c r="B54" s="14" t="n">
        <v>0.15</v>
      </c>
    </row>
    <row r="55">
      <c r="A55" t="inlineStr">
        <is>
          <t>Terminal debt weight</t>
        </is>
      </c>
      <c r="B55" s="9" t="n">
        <v>0.2</v>
      </c>
    </row>
    <row r="56">
      <c r="A56" t="inlineStr">
        <is>
          <t>Terminal growth rate</t>
        </is>
      </c>
      <c r="B56" s="9" t="n">
        <v>0.05</v>
      </c>
    </row>
    <row r="57">
      <c r="A57" t="inlineStr">
        <is>
          <t>Elapsed fraction of FY2026 at the valuation date</t>
        </is>
      </c>
      <c r="B57" s="11" t="n">
        <v>0.583</v>
      </c>
    </row>
    <row r="59">
      <c r="A59" s="6" t="inlineStr">
        <is>
          <t>DISCLOSED HISTORY — PASTED CLASS 1</t>
        </is>
      </c>
      <c r="B59" s="6" t="n"/>
      <c r="C59" s="6" t="n"/>
      <c r="D59" s="6" t="n"/>
      <c r="E59" s="6" t="n"/>
      <c r="F59" s="6" t="n"/>
      <c r="G59" s="6" t="n"/>
      <c r="H59" s="6" t="n"/>
      <c r="I59" s="6" t="n"/>
    </row>
    <row r="60">
      <c r="A60" t="inlineStr">
        <is>
          <t>FY2023 revenue</t>
        </is>
      </c>
      <c r="B60" s="12" t="n">
        <v>6040</v>
      </c>
      <c r="C60" s="5" t="inlineStr">
        <is>
          <t>EGP mn</t>
        </is>
      </c>
    </row>
    <row r="61">
      <c r="A61" t="inlineStr">
        <is>
          <t>FY2024 revenue</t>
        </is>
      </c>
      <c r="B61" s="12" t="n">
        <v>8729</v>
      </c>
      <c r="C61" s="5" t="inlineStr">
        <is>
          <t>EGP mn</t>
        </is>
      </c>
    </row>
    <row r="62">
      <c r="A62" t="inlineStr">
        <is>
          <t>FY2025 revenue</t>
        </is>
      </c>
      <c r="B62" s="12" t="n">
        <v>12447</v>
      </c>
      <c r="C62" s="5" t="inlineStr">
        <is>
          <t>EGP mn</t>
        </is>
      </c>
    </row>
    <row r="63">
      <c r="A63" t="inlineStr">
        <is>
          <t>FY2023 attributable profit</t>
        </is>
      </c>
      <c r="B63" s="12" t="n">
        <v>697.49</v>
      </c>
      <c r="C63" s="5" t="inlineStr">
        <is>
          <t>EGP mn</t>
        </is>
      </c>
    </row>
    <row r="64">
      <c r="A64" t="inlineStr">
        <is>
          <t>FY2024 attributable profit</t>
        </is>
      </c>
      <c r="B64" s="12" t="n">
        <v>1160</v>
      </c>
      <c r="C64" s="5" t="inlineStr">
        <is>
          <t>EGP mn</t>
        </is>
      </c>
    </row>
    <row r="65">
      <c r="A65" t="inlineStr">
        <is>
          <t>FY2025 attributable profit</t>
        </is>
      </c>
      <c r="B65" s="12" t="n">
        <v>3599</v>
      </c>
      <c r="C65" s="5" t="inlineStr">
        <is>
          <t>EGP mn</t>
        </is>
      </c>
    </row>
    <row r="66">
      <c r="A66" t="inlineStr">
        <is>
          <t>FY2025 operating income (disclosed)</t>
        </is>
      </c>
      <c r="B66" s="12" t="n">
        <v>4595.82</v>
      </c>
      <c r="C66" s="5" t="inlineStr">
        <is>
          <t>EGP mn</t>
        </is>
      </c>
    </row>
    <row r="67">
      <c r="A67" t="inlineStr">
        <is>
          <t>Q4-2025 revenue</t>
        </is>
      </c>
      <c r="B67" s="12" t="n">
        <v>3645.6</v>
      </c>
      <c r="C67" s="5" t="inlineStr">
        <is>
          <t>EGP mn</t>
        </is>
      </c>
    </row>
    <row r="68">
      <c r="A68" t="inlineStr">
        <is>
          <t>Q4-2025 EBITDA</t>
        </is>
      </c>
      <c r="B68" s="12" t="n">
        <v>1393.01</v>
      </c>
      <c r="C68" s="5" t="inlineStr">
        <is>
          <t>EGP mn</t>
        </is>
      </c>
    </row>
    <row r="69">
      <c r="A69" t="inlineStr">
        <is>
          <t>Trailing gross margin</t>
        </is>
      </c>
      <c r="B69" s="9" t="n">
        <v>0.4077</v>
      </c>
    </row>
    <row r="70">
      <c r="A70" t="inlineStr">
        <is>
          <t>Total assets</t>
        </is>
      </c>
      <c r="B70" s="12" t="n">
        <v>8783.719999999999</v>
      </c>
      <c r="C70" s="5" t="inlineStr">
        <is>
          <t>EGP mn</t>
        </is>
      </c>
    </row>
    <row r="71">
      <c r="A71" t="inlineStr">
        <is>
          <t>Cash and equivalents</t>
        </is>
      </c>
      <c r="B71" s="12" t="n">
        <v>3459.39</v>
      </c>
      <c r="C71" s="5" t="inlineStr">
        <is>
          <t>EGP mn</t>
        </is>
      </c>
    </row>
    <row r="72">
      <c r="A72" t="inlineStr">
        <is>
          <t>Total debt</t>
        </is>
      </c>
      <c r="B72" s="12" t="n">
        <v>1035.19</v>
      </c>
      <c r="C72" s="5" t="inlineStr">
        <is>
          <t>EGP mn</t>
        </is>
      </c>
    </row>
    <row r="73">
      <c r="A73" t="inlineStr">
        <is>
          <t>Total equity (reported)</t>
        </is>
      </c>
      <c r="B73" s="12" t="n">
        <v>4642.73</v>
      </c>
      <c r="C73" s="5" t="inlineStr">
        <is>
          <t>EGP mn</t>
        </is>
      </c>
    </row>
    <row r="74">
      <c r="A74" t="inlineStr">
        <is>
          <t>Total liabilities (alternative print)</t>
        </is>
      </c>
      <c r="B74" s="12" t="n">
        <v>2894.13</v>
      </c>
      <c r="C74" s="5" t="inlineStr">
        <is>
          <t>EGP mn</t>
        </is>
      </c>
    </row>
    <row r="75">
      <c r="A75" t="inlineStr">
        <is>
          <t>Non-controlling interests</t>
        </is>
      </c>
      <c r="B75" s="12" t="n">
        <v>150</v>
      </c>
      <c r="C75" s="5" t="inlineStr">
        <is>
          <t>EGP mn</t>
        </is>
      </c>
    </row>
    <row r="76">
      <c r="A76" t="inlineStr">
        <is>
          <t>FY2024 dividend per share</t>
        </is>
      </c>
      <c r="B76" s="8" t="n">
        <v>2.94</v>
      </c>
      <c r="C76" s="5" t="inlineStr">
        <is>
          <t>EGP</t>
        </is>
      </c>
    </row>
    <row r="77">
      <c r="A77" t="inlineStr">
        <is>
          <t>FY2025 dividend per share</t>
        </is>
      </c>
      <c r="B77" s="8" t="n">
        <v>5.34</v>
      </c>
      <c r="C77" s="5" t="inlineStr">
        <is>
          <t>EGP</t>
        </is>
      </c>
    </row>
    <row r="78">
      <c r="A78" t="inlineStr">
        <is>
          <t>FY2024 total distribution</t>
        </is>
      </c>
      <c r="B78" s="12" t="n">
        <v>1100</v>
      </c>
      <c r="C78" s="5" t="inlineStr">
        <is>
          <t>EGP mn</t>
        </is>
      </c>
    </row>
    <row r="79">
      <c r="A79" t="inlineStr">
        <is>
          <t>FY2025 total distribution</t>
        </is>
      </c>
      <c r="B79" s="12" t="n">
        <v>2000</v>
      </c>
      <c r="C79" s="5" t="inlineStr">
        <is>
          <t>EGP mn</t>
        </is>
      </c>
    </row>
    <row r="80">
      <c r="A80" t="inlineStr">
        <is>
          <t>FY2023 kiln utilisation</t>
        </is>
      </c>
      <c r="B80" s="9" t="n">
        <v>0.66</v>
      </c>
    </row>
    <row r="81">
      <c r="A81" t="inlineStr">
        <is>
          <t>FY2024 kiln utilisation</t>
        </is>
      </c>
      <c r="B81" s="9" t="n">
        <v>0.6840000000000001</v>
      </c>
    </row>
    <row r="82">
      <c r="A82" t="inlineStr">
        <is>
          <t>Yield earned on cash through FY2025</t>
        </is>
      </c>
      <c r="B82" s="9" t="n">
        <v>0.21</v>
      </c>
    </row>
    <row r="83">
      <c r="A83" t="inlineStr">
        <is>
          <t>Q1-2026 revenue</t>
        </is>
      </c>
      <c r="B83" s="12" t="n">
        <v>2995</v>
      </c>
      <c r="C83" s="5" t="inlineStr">
        <is>
          <t>EGP mn</t>
        </is>
      </c>
    </row>
    <row r="84">
      <c r="A84" t="inlineStr">
        <is>
          <t>Q1-2025 revenue</t>
        </is>
      </c>
      <c r="B84" s="12" t="n">
        <v>2554</v>
      </c>
      <c r="C84" s="5" t="inlineStr">
        <is>
          <t>EGP mn</t>
        </is>
      </c>
    </row>
    <row r="85">
      <c r="A85" t="inlineStr">
        <is>
          <t>Q1-2026 attributable profit</t>
        </is>
      </c>
      <c r="B85" s="12" t="n">
        <v>943.068</v>
      </c>
      <c r="C85" s="5" t="inlineStr">
        <is>
          <t>EGP mn</t>
        </is>
      </c>
    </row>
    <row r="86">
      <c r="A86" t="inlineStr">
        <is>
          <t>FY2025 disclosed earnings per share</t>
        </is>
      </c>
      <c r="B86" s="8" t="n">
        <v>9.49</v>
      </c>
      <c r="C86" s="5" t="inlineStr">
        <is>
          <t>EGP</t>
        </is>
      </c>
    </row>
    <row r="88">
      <c r="A88" s="6" t="inlineStr">
        <is>
          <t>DEPRECIATION TRIANGULATION AND LENS INPUTS</t>
        </is>
      </c>
      <c r="B88" s="6" t="n"/>
      <c r="C88" s="6" t="n"/>
      <c r="D88" s="6" t="n"/>
      <c r="E88" s="6" t="n"/>
      <c r="F88" s="6" t="n"/>
      <c r="G88" s="6" t="n"/>
      <c r="H88" s="6" t="n"/>
      <c r="I88" s="6" t="n"/>
    </row>
    <row r="89">
      <c r="A89" t="inlineStr">
        <is>
          <t>Peer depreciation per tonne</t>
        </is>
      </c>
      <c r="B89" s="12" t="n">
        <v>155</v>
      </c>
      <c r="C89" s="5" t="inlineStr">
        <is>
          <t>EGP/t</t>
        </is>
      </c>
    </row>
    <row r="90">
      <c r="A90" t="inlineStr">
        <is>
          <t>Inventory days on cost of sales</t>
        </is>
      </c>
      <c r="B90" s="12" t="n">
        <v>60</v>
      </c>
      <c r="C90" s="5" t="inlineStr">
        <is>
          <t>days</t>
        </is>
      </c>
    </row>
    <row r="91">
      <c r="A91" t="inlineStr">
        <is>
          <t>Receivable days on revenue</t>
        </is>
      </c>
      <c r="B91" s="12" t="n">
        <v>30</v>
      </c>
      <c r="C91" s="5" t="inlineStr">
        <is>
          <t>days</t>
        </is>
      </c>
    </row>
    <row r="92">
      <c r="A92" t="inlineStr">
        <is>
          <t>Composite depreciation rate on net property</t>
        </is>
      </c>
      <c r="B92" s="9" t="n">
        <v>0.06</v>
      </c>
    </row>
    <row r="93">
      <c r="A93" t="inlineStr">
        <is>
          <t>Replacement cost per annual tonne</t>
        </is>
      </c>
      <c r="B93" s="12" t="n">
        <v>130</v>
      </c>
      <c r="C93" s="5" t="inlineStr">
        <is>
          <t>USD/t</t>
        </is>
      </c>
    </row>
    <row r="94">
      <c r="A94" t="inlineStr">
        <is>
          <t>Justified enterprise value per annual tonne</t>
        </is>
      </c>
      <c r="B94" s="12" t="n">
        <v>95</v>
      </c>
      <c r="C94" s="5" t="inlineStr">
        <is>
          <t>USD/t</t>
        </is>
      </c>
    </row>
    <row r="95">
      <c r="A95" t="inlineStr">
        <is>
          <t>Justified EV/EBITDA</t>
        </is>
      </c>
      <c r="B95" s="15" t="n">
        <v>4.5</v>
      </c>
    </row>
    <row r="96">
      <c r="A96" t="inlineStr">
        <is>
          <t>Justified price/earnings</t>
        </is>
      </c>
      <c r="B96" s="15" t="n">
        <v>7</v>
      </c>
    </row>
    <row r="97">
      <c r="A97" t="inlineStr">
        <is>
          <t>Mid-cycle EBITDA margin</t>
        </is>
      </c>
      <c r="B97" s="9" t="n">
        <v>0.308</v>
      </c>
    </row>
    <row r="98">
      <c r="A98" t="inlineStr">
        <is>
          <t>Normalised revenue haircut</t>
        </is>
      </c>
      <c r="B98" s="9" t="n">
        <v>0.9399999999999999</v>
      </c>
    </row>
    <row r="99">
      <c r="A99" t="inlineStr">
        <is>
          <t>Weight — cash-flow lens</t>
        </is>
      </c>
      <c r="B99" s="9" t="n">
        <v>0.5</v>
      </c>
    </row>
    <row r="100">
      <c r="A100" t="inlineStr">
        <is>
          <t>Weight — relative lens</t>
        </is>
      </c>
      <c r="B100" s="9" t="n">
        <v>0.2</v>
      </c>
    </row>
    <row r="101">
      <c r="A101" t="inlineStr">
        <is>
          <t>Weight — normalised lens</t>
        </is>
      </c>
      <c r="B101" s="9" t="n">
        <v>0.22</v>
      </c>
    </row>
    <row r="102">
      <c r="A102" t="inlineStr">
        <is>
          <t>Weight — asset lens</t>
        </is>
      </c>
      <c r="B102" s="9" t="n">
        <v>0.08</v>
      </c>
    </row>
    <row r="104">
      <c r="A104" s="6" t="inlineStr">
        <is>
          <t>SECTOR AND PEERS</t>
        </is>
      </c>
      <c r="B104" s="6" t="n"/>
      <c r="C104" s="6" t="n"/>
      <c r="D104" s="6" t="n"/>
      <c r="E104" s="6" t="n"/>
      <c r="F104" s="6" t="n"/>
      <c r="G104" s="6" t="n"/>
      <c r="H104" s="6" t="n"/>
      <c r="I104" s="6" t="n"/>
    </row>
    <row r="105">
      <c r="A105" t="inlineStr">
        <is>
          <t>Egyptian nameplate capacity</t>
        </is>
      </c>
      <c r="B105" s="10" t="n">
        <v>76</v>
      </c>
      <c r="C105" s="5" t="inlineStr">
        <is>
          <t>Mt</t>
        </is>
      </c>
    </row>
    <row r="106">
      <c r="A106" t="inlineStr">
        <is>
          <t>Egyptian production 2025</t>
        </is>
      </c>
      <c r="B106" s="10" t="n">
        <v>65</v>
      </c>
      <c r="C106" s="5" t="inlineStr">
        <is>
          <t>Mt</t>
        </is>
      </c>
    </row>
    <row r="107">
      <c r="A107" t="inlineStr">
        <is>
          <t>Egyptian consumption 2025</t>
        </is>
      </c>
      <c r="B107" s="10" t="n">
        <v>54</v>
      </c>
      <c r="C107" s="5" t="inlineStr">
        <is>
          <t>Mt</t>
        </is>
      </c>
    </row>
    <row r="108">
      <c r="A108" t="inlineStr">
        <is>
          <t>Egyptian exports 2025</t>
        </is>
      </c>
      <c r="B108" s="10" t="n">
        <v>18.5</v>
      </c>
      <c r="C108" s="5" t="inlineStr">
        <is>
          <t>Mt</t>
        </is>
      </c>
    </row>
    <row r="109">
      <c r="A109" t="inlineStr">
        <is>
          <t>Dormant capacity under revival</t>
        </is>
      </c>
      <c r="B109" s="10" t="n">
        <v>12.6</v>
      </c>
      <c r="C109" s="5" t="inlineStr">
        <is>
          <t>Mt</t>
        </is>
      </c>
    </row>
    <row r="110">
      <c r="A110" t="inlineStr">
        <is>
          <t>Peer — Sinai Cement revenue</t>
        </is>
      </c>
      <c r="B110" s="12" t="n">
        <v>9090</v>
      </c>
      <c r="C110" s="5" t="inlineStr">
        <is>
          <t>EGP mn</t>
        </is>
      </c>
    </row>
    <row r="111">
      <c r="A111" t="inlineStr">
        <is>
          <t>Peer — Sinai Cement profit</t>
        </is>
      </c>
      <c r="B111" s="12" t="n">
        <v>2290</v>
      </c>
      <c r="C111" s="5" t="inlineStr">
        <is>
          <t>EGP mn</t>
        </is>
      </c>
    </row>
    <row r="112">
      <c r="A112" t="inlineStr">
        <is>
          <t>Peer — Sinai Cement market capitalisation</t>
        </is>
      </c>
      <c r="B112" s="12" t="n">
        <v>20604.19</v>
      </c>
      <c r="C112" s="5" t="inlineStr">
        <is>
          <t>EGP mn</t>
        </is>
      </c>
    </row>
    <row r="113">
      <c r="A113" t="inlineStr">
        <is>
          <t>Peer — Misr Beni Suef revenue</t>
        </is>
      </c>
      <c r="B113" s="12" t="n">
        <v>5700</v>
      </c>
      <c r="C113" s="5" t="inlineStr">
        <is>
          <t>EGP mn</t>
        </is>
      </c>
    </row>
    <row r="114">
      <c r="A114" t="inlineStr">
        <is>
          <t>Peer — Misr Beni Suef profit</t>
        </is>
      </c>
      <c r="B114" s="12" t="n">
        <v>3946</v>
      </c>
      <c r="C114" s="5" t="inlineStr">
        <is>
          <t>EGP mn</t>
        </is>
      </c>
    </row>
    <row r="115">
      <c r="A115" t="inlineStr">
        <is>
          <t>Peer — Misr Beni Suef market capitalisation</t>
        </is>
      </c>
      <c r="B115" s="12" t="n">
        <v>13730</v>
      </c>
      <c r="C115" s="5" t="inlineStr">
        <is>
          <t>EGP mn</t>
        </is>
      </c>
    </row>
    <row r="117">
      <c r="A117" s="5" t="inlineStr">
        <is>
          <t>Every cell on this sheet is BLUE — an input. Nothing here is computed from anything</t>
        </is>
      </c>
    </row>
    <row r="118">
      <c r="A118" s="5" t="inlineStr">
        <is>
          <t>else here. Everything on every other sheet that can be derived from these is a formula.</t>
        </is>
      </c>
    </row>
  </sheetData>
  <mergeCells count="2">
    <mergeCell ref="A117:J117"/>
    <mergeCell ref="A118:J1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Bottom-up build — physical units in, EBITDA out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5" t="inlineStr">
        <is>
          <t>EBITDA is a RESULT of this sheet, never an input.</t>
        </is>
      </c>
    </row>
    <row r="4">
      <c r="A4" s="13" t="inlineStr"/>
      <c r="B4" s="13" t="inlineStr">
        <is>
          <t>FY2025A</t>
        </is>
      </c>
      <c r="C4" s="13" t="inlineStr">
        <is>
          <t>FY2026E</t>
        </is>
      </c>
      <c r="D4" s="13" t="inlineStr">
        <is>
          <t>FY2027E</t>
        </is>
      </c>
      <c r="E4" s="13" t="inlineStr">
        <is>
          <t>FY2028E</t>
        </is>
      </c>
      <c r="F4" s="13" t="inlineStr">
        <is>
          <t>FY2029E</t>
        </is>
      </c>
      <c r="G4" s="13" t="inlineStr">
        <is>
          <t>FY2030E</t>
        </is>
      </c>
    </row>
    <row r="5">
      <c r="A5" t="inlineStr">
        <is>
          <t>Kiln clinker capacity (Mt/yr)</t>
        </is>
      </c>
      <c r="B5" s="16">
        <f>Assumptions!$B$13</f>
        <v/>
      </c>
      <c r="C5" s="16">
        <f>Assumptions!$B$13</f>
        <v/>
      </c>
      <c r="D5" s="16">
        <f>Assumptions!$B$13</f>
        <v/>
      </c>
      <c r="E5" s="16">
        <f>Assumptions!$B$13</f>
        <v/>
      </c>
      <c r="F5" s="16">
        <f>Assumptions!$B$13</f>
        <v/>
      </c>
      <c r="G5" s="16">
        <f>Assumptions!$B$13</f>
        <v/>
      </c>
    </row>
    <row r="6">
      <c r="A6" t="inlineStr">
        <is>
          <t>Kiln utilisation</t>
        </is>
      </c>
      <c r="B6" s="17">
        <f>Assumptions!$B$30</f>
        <v/>
      </c>
      <c r="C6" s="17">
        <f>Assumptions!$C$30</f>
        <v/>
      </c>
      <c r="D6" s="17">
        <f>Assumptions!$D$30</f>
        <v/>
      </c>
      <c r="E6" s="17">
        <f>Assumptions!$E$30</f>
        <v/>
      </c>
      <c r="F6" s="17">
        <f>Assumptions!$F$30</f>
        <v/>
      </c>
      <c r="G6" s="17">
        <f>Assumptions!$G$30</f>
        <v/>
      </c>
    </row>
    <row r="7">
      <c r="A7" t="inlineStr">
        <is>
          <t>Clinker produced (Mt)</t>
        </is>
      </c>
      <c r="B7" s="18">
        <f>B5*B6</f>
        <v/>
      </c>
      <c r="C7" s="18">
        <f>C5*C6</f>
        <v/>
      </c>
      <c r="D7" s="18">
        <f>D5*D6</f>
        <v/>
      </c>
      <c r="E7" s="18">
        <f>E5*E6</f>
        <v/>
      </c>
      <c r="F7" s="18">
        <f>F5*F6</f>
        <v/>
      </c>
      <c r="G7" s="18">
        <f>G5*G6</f>
        <v/>
      </c>
    </row>
    <row r="8">
      <c r="A8" t="inlineStr">
        <is>
          <t>Cement capacity (Mt/yr)</t>
        </is>
      </c>
      <c r="B8" s="16">
        <f>Assumptions!$B$12</f>
        <v/>
      </c>
      <c r="C8" s="16">
        <f>Assumptions!$B$12</f>
        <v/>
      </c>
      <c r="D8" s="16">
        <f>Assumptions!$B$12</f>
        <v/>
      </c>
      <c r="E8" s="16">
        <f>Assumptions!$B$12</f>
        <v/>
      </c>
      <c r="F8" s="16">
        <f>Assumptions!$B$12</f>
        <v/>
      </c>
      <c r="G8" s="16">
        <f>Assumptions!$B$12</f>
        <v/>
      </c>
    </row>
    <row r="9">
      <c r="A9" t="inlineStr">
        <is>
          <t>Clinker factor (t clinker / t cement)</t>
        </is>
      </c>
      <c r="B9" s="19">
        <f>Assumptions!$B$14</f>
        <v/>
      </c>
      <c r="C9" s="19">
        <f>Assumptions!$B$14</f>
        <v/>
      </c>
      <c r="D9" s="19">
        <f>Assumptions!$B$14</f>
        <v/>
      </c>
      <c r="E9" s="19">
        <f>Assumptions!$B$14</f>
        <v/>
      </c>
      <c r="F9" s="19">
        <f>Assumptions!$B$14</f>
        <v/>
      </c>
      <c r="G9" s="19">
        <f>Assumptions!$B$14</f>
        <v/>
      </c>
    </row>
    <row r="10">
      <c r="A10" t="inlineStr">
        <is>
          <t>Cement produced (Mt)</t>
        </is>
      </c>
      <c r="B10" s="18">
        <f>B7/B9</f>
        <v/>
      </c>
      <c r="C10" s="18">
        <f>C7/C9</f>
        <v/>
      </c>
      <c r="D10" s="18">
        <f>D7/D9</f>
        <v/>
      </c>
      <c r="E10" s="18">
        <f>E7/E9</f>
        <v/>
      </c>
      <c r="F10" s="18">
        <f>F7/F9</f>
        <v/>
      </c>
      <c r="G10" s="18">
        <f>G7/G9</f>
        <v/>
      </c>
    </row>
    <row r="11">
      <c r="A11" t="inlineStr">
        <is>
          <t>Domestic share</t>
        </is>
      </c>
      <c r="B11" s="17">
        <f>Assumptions!$B$32</f>
        <v/>
      </c>
      <c r="C11" s="17">
        <f>Assumptions!$C$32</f>
        <v/>
      </c>
      <c r="D11" s="17">
        <f>Assumptions!$D$32</f>
        <v/>
      </c>
      <c r="E11" s="17">
        <f>Assumptions!$E$32</f>
        <v/>
      </c>
      <c r="F11" s="17">
        <f>Assumptions!$F$32</f>
        <v/>
      </c>
      <c r="G11" s="17">
        <f>Assumptions!$G$32</f>
        <v/>
      </c>
    </row>
    <row r="12">
      <c r="A12" t="inlineStr">
        <is>
          <t>Domestic volume (Mt)</t>
        </is>
      </c>
      <c r="B12" s="18">
        <f>B10*B11</f>
        <v/>
      </c>
      <c r="C12" s="18">
        <f>C10*C11</f>
        <v/>
      </c>
      <c r="D12" s="18">
        <f>D10*D11</f>
        <v/>
      </c>
      <c r="E12" s="18">
        <f>E10*E11</f>
        <v/>
      </c>
      <c r="F12" s="18">
        <f>F10*F11</f>
        <v/>
      </c>
      <c r="G12" s="18">
        <f>G10*G11</f>
        <v/>
      </c>
    </row>
    <row r="13">
      <c r="A13" t="inlineStr">
        <is>
          <t>Export volume (Mt)</t>
        </is>
      </c>
      <c r="B13" s="18">
        <f>B10-B12</f>
        <v/>
      </c>
      <c r="C13" s="18">
        <f>C10-C12</f>
        <v/>
      </c>
      <c r="D13" s="18">
        <f>D10-D12</f>
        <v/>
      </c>
      <c r="E13" s="18">
        <f>E10-E12</f>
        <v/>
      </c>
      <c r="F13" s="18">
        <f>F10-F12</f>
        <v/>
      </c>
      <c r="G13" s="18">
        <f>G10-G12</f>
        <v/>
      </c>
    </row>
    <row r="14">
      <c r="A14" t="inlineStr">
        <is>
          <t>Domestic price (EGP/t)</t>
        </is>
      </c>
      <c r="B14" s="20">
        <f>Assumptions!$B$33</f>
        <v/>
      </c>
      <c r="C14" s="20">
        <f>Assumptions!$C$33</f>
        <v/>
      </c>
      <c r="D14" s="20">
        <f>Assumptions!$D$33</f>
        <v/>
      </c>
      <c r="E14" s="20">
        <f>Assumptions!$E$33</f>
        <v/>
      </c>
      <c r="F14" s="20">
        <f>Assumptions!$F$33</f>
        <v/>
      </c>
      <c r="G14" s="20">
        <f>Assumptions!$G$33</f>
        <v/>
      </c>
    </row>
    <row r="15">
      <c r="A15" t="inlineStr">
        <is>
          <t>Export price (USD/t)</t>
        </is>
      </c>
      <c r="B15" s="21">
        <f>Assumptions!$B$34</f>
        <v/>
      </c>
      <c r="C15" s="21">
        <f>Assumptions!$C$34</f>
        <v/>
      </c>
      <c r="D15" s="21">
        <f>Assumptions!$D$34</f>
        <v/>
      </c>
      <c r="E15" s="21">
        <f>Assumptions!$E$34</f>
        <v/>
      </c>
      <c r="F15" s="21">
        <f>Assumptions!$F$34</f>
        <v/>
      </c>
      <c r="G15" s="21">
        <f>Assumptions!$G$34</f>
        <v/>
      </c>
    </row>
    <row r="16">
      <c r="A16" t="inlineStr">
        <is>
          <t>USD/EGP</t>
        </is>
      </c>
      <c r="B16" s="21">
        <f>Assumptions!$B$35</f>
        <v/>
      </c>
      <c r="C16" s="21">
        <f>Assumptions!$C$35</f>
        <v/>
      </c>
      <c r="D16" s="21">
        <f>Assumptions!$D$35</f>
        <v/>
      </c>
      <c r="E16" s="21">
        <f>Assumptions!$E$35</f>
        <v/>
      </c>
      <c r="F16" s="21">
        <f>Assumptions!$F$35</f>
        <v/>
      </c>
      <c r="G16" s="21">
        <f>Assumptions!$G$35</f>
        <v/>
      </c>
    </row>
    <row r="17">
      <c r="A17" t="inlineStr">
        <is>
          <t>Domestic revenue (EGP mn)</t>
        </is>
      </c>
      <c r="B17" s="22">
        <f>B12*B14</f>
        <v/>
      </c>
      <c r="C17" s="22">
        <f>C12*C14</f>
        <v/>
      </c>
      <c r="D17" s="22">
        <f>D12*D14</f>
        <v/>
      </c>
      <c r="E17" s="22">
        <f>E12*E14</f>
        <v/>
      </c>
      <c r="F17" s="22">
        <f>F12*F14</f>
        <v/>
      </c>
      <c r="G17" s="22">
        <f>G12*G14</f>
        <v/>
      </c>
    </row>
    <row r="18">
      <c r="A18" t="inlineStr">
        <is>
          <t>Export revenue (EGP mn)</t>
        </is>
      </c>
      <c r="B18" s="22">
        <f>B13*B15*B16</f>
        <v/>
      </c>
      <c r="C18" s="22">
        <f>C13*C15*C16</f>
        <v/>
      </c>
      <c r="D18" s="22">
        <f>D13*D15*D16</f>
        <v/>
      </c>
      <c r="E18" s="22">
        <f>E13*E15*E16</f>
        <v/>
      </c>
      <c r="F18" s="22">
        <f>F13*F15*F16</f>
        <v/>
      </c>
      <c r="G18" s="22">
        <f>G13*G15*G16</f>
        <v/>
      </c>
    </row>
    <row r="19">
      <c r="A19" t="inlineStr">
        <is>
          <t>REVENUE (EGP mn)</t>
        </is>
      </c>
      <c r="B19" s="23">
        <f>B17+B18</f>
        <v/>
      </c>
      <c r="C19" s="23">
        <f>C17+C18</f>
        <v/>
      </c>
      <c r="D19" s="23">
        <f>D17+D18</f>
        <v/>
      </c>
      <c r="E19" s="23">
        <f>E17+E18</f>
        <v/>
      </c>
      <c r="F19" s="23">
        <f>F17+F18</f>
        <v/>
      </c>
      <c r="G19" s="23">
        <f>G17+G18</f>
        <v/>
      </c>
    </row>
    <row r="20">
      <c r="A20" t="inlineStr">
        <is>
          <t>Blended realised price (EGP/t)</t>
        </is>
      </c>
      <c r="B20" s="22">
        <f>B19/B10</f>
        <v/>
      </c>
      <c r="C20" s="22">
        <f>C19/C10</f>
        <v/>
      </c>
      <c r="D20" s="22">
        <f>D19/D10</f>
        <v/>
      </c>
      <c r="E20" s="22">
        <f>E19/E10</f>
        <v/>
      </c>
      <c r="F20" s="22">
        <f>F19/F10</f>
        <v/>
      </c>
      <c r="G20" s="22">
        <f>G19/G10</f>
        <v/>
      </c>
    </row>
    <row r="22">
      <c r="A22" s="6" t="inlineStr">
        <is>
          <t>COST STACK — EGP PER TONNE OF CEMENT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>
      <c r="A23" t="inlineStr">
        <is>
          <t>Alternative-fuel substitution rate</t>
        </is>
      </c>
      <c r="B23" s="17">
        <f>Assumptions!$B$31</f>
        <v/>
      </c>
      <c r="C23" s="17">
        <f>Assumptions!$C$31</f>
        <v/>
      </c>
      <c r="D23" s="17">
        <f>Assumptions!$D$31</f>
        <v/>
      </c>
      <c r="E23" s="17">
        <f>Assumptions!$E$31</f>
        <v/>
      </c>
      <c r="F23" s="17">
        <f>Assumptions!$F$31</f>
        <v/>
      </c>
      <c r="G23" s="17">
        <f>Assumptions!$G$31</f>
        <v/>
      </c>
    </row>
    <row r="24">
      <c r="A24" t="inlineStr">
        <is>
          <t>Blended fuel price (USD/GJ)</t>
        </is>
      </c>
      <c r="B24" s="24">
        <f>B23*Assumptions!$B$19+(1-B23)*Assumptions!$B$18</f>
        <v/>
      </c>
      <c r="C24" s="24">
        <f>C23*Assumptions!$B$19+(1-C23)*Assumptions!$B$18</f>
        <v/>
      </c>
      <c r="D24" s="24">
        <f>D23*Assumptions!$B$19+(1-D23)*Assumptions!$B$18</f>
        <v/>
      </c>
      <c r="E24" s="24">
        <f>E23*Assumptions!$B$19+(1-E23)*Assumptions!$B$18</f>
        <v/>
      </c>
      <c r="F24" s="24">
        <f>F23*Assumptions!$B$19+(1-F23)*Assumptions!$B$18</f>
        <v/>
      </c>
      <c r="G24" s="24">
        <f>G23*Assumptions!$B$19+(1-G23)*Assumptions!$B$18</f>
        <v/>
      </c>
    </row>
    <row r="25">
      <c r="A25" t="inlineStr">
        <is>
          <t>Thermal fuel</t>
        </is>
      </c>
      <c r="B25" s="22">
        <f>Assumptions!$B$17*B9*B24*B16</f>
        <v/>
      </c>
      <c r="C25" s="22">
        <f>Assumptions!$B$17*C9*C24*C16</f>
        <v/>
      </c>
      <c r="D25" s="22">
        <f>Assumptions!$B$17*D9*D24*D16</f>
        <v/>
      </c>
      <c r="E25" s="22">
        <f>Assumptions!$B$17*E9*E24*E16</f>
        <v/>
      </c>
      <c r="F25" s="22">
        <f>Assumptions!$B$17*F9*F24*F16</f>
        <v/>
      </c>
      <c r="G25" s="22">
        <f>Assumptions!$B$17*G9*G24*G16</f>
        <v/>
      </c>
    </row>
    <row r="26">
      <c r="A26" t="inlineStr">
        <is>
          <t>Electrical power</t>
        </is>
      </c>
      <c r="B26" s="22">
        <f>Assumptions!$B$20*Assumptions!$B$21*Assumptions!$B$36</f>
        <v/>
      </c>
      <c r="C26" s="22">
        <f>Assumptions!$B$20*Assumptions!$B$21*Assumptions!$C$36</f>
        <v/>
      </c>
      <c r="D26" s="22">
        <f>Assumptions!$B$20*Assumptions!$B$21*Assumptions!$D$36</f>
        <v/>
      </c>
      <c r="E26" s="22">
        <f>Assumptions!$B$20*Assumptions!$B$21*Assumptions!$E$36</f>
        <v/>
      </c>
      <c r="F26" s="22">
        <f>Assumptions!$B$20*Assumptions!$B$21*Assumptions!$F$36</f>
        <v/>
      </c>
      <c r="G26" s="22">
        <f>Assumptions!$B$20*Assumptions!$B$21*Assumptions!$G$36</f>
        <v/>
      </c>
    </row>
    <row r="27">
      <c r="A27" t="inlineStr">
        <is>
          <t>Raw materials and quarrying</t>
        </is>
      </c>
      <c r="B27" s="22">
        <f>Assumptions!$B$22*Assumptions!$B$36</f>
        <v/>
      </c>
      <c r="C27" s="22">
        <f>Assumptions!$B$22*Assumptions!$C$36</f>
        <v/>
      </c>
      <c r="D27" s="22">
        <f>Assumptions!$B$22*Assumptions!$D$36</f>
        <v/>
      </c>
      <c r="E27" s="22">
        <f>Assumptions!$B$22*Assumptions!$E$36</f>
        <v/>
      </c>
      <c r="F27" s="22">
        <f>Assumptions!$B$22*Assumptions!$F$36</f>
        <v/>
      </c>
      <c r="G27" s="22">
        <f>Assumptions!$B$22*Assumptions!$G$36</f>
        <v/>
      </c>
    </row>
    <row r="28">
      <c r="A28" t="inlineStr">
        <is>
          <t>Packaging</t>
        </is>
      </c>
      <c r="B28" s="22">
        <f>Assumptions!$B$23*Assumptions!$B$24*Assumptions!$B$36</f>
        <v/>
      </c>
      <c r="C28" s="22">
        <f>Assumptions!$B$23*Assumptions!$B$24*Assumptions!$C$36</f>
        <v/>
      </c>
      <c r="D28" s="22">
        <f>Assumptions!$B$23*Assumptions!$B$24*Assumptions!$D$36</f>
        <v/>
      </c>
      <c r="E28" s="22">
        <f>Assumptions!$B$23*Assumptions!$B$24*Assumptions!$E$36</f>
        <v/>
      </c>
      <c r="F28" s="22">
        <f>Assumptions!$B$23*Assumptions!$B$24*Assumptions!$F$36</f>
        <v/>
      </c>
      <c r="G28" s="22">
        <f>Assumptions!$B$23*Assumptions!$B$24*Assumptions!$G$36</f>
        <v/>
      </c>
    </row>
    <row r="29">
      <c r="A29" t="inlineStr">
        <is>
          <t>Distribution and selling</t>
        </is>
      </c>
      <c r="B29" s="22">
        <f>Assumptions!$B$25*Assumptions!$B$36</f>
        <v/>
      </c>
      <c r="C29" s="22">
        <f>Assumptions!$B$25*Assumptions!$C$36</f>
        <v/>
      </c>
      <c r="D29" s="22">
        <f>Assumptions!$B$25*Assumptions!$D$36</f>
        <v/>
      </c>
      <c r="E29" s="22">
        <f>Assumptions!$B$25*Assumptions!$E$36</f>
        <v/>
      </c>
      <c r="F29" s="22">
        <f>Assumptions!$B$25*Assumptions!$F$36</f>
        <v/>
      </c>
      <c r="G29" s="22">
        <f>Assumptions!$B$25*Assumptions!$G$36</f>
        <v/>
      </c>
    </row>
    <row r="30">
      <c r="A30" t="inlineStr">
        <is>
          <t>TOTAL VARIABLE (EGP/t)</t>
        </is>
      </c>
      <c r="B30" s="23">
        <f>SUM(B25:B29)</f>
        <v/>
      </c>
      <c r="C30" s="23">
        <f>SUM(C25:C29)</f>
        <v/>
      </c>
      <c r="D30" s="23">
        <f>SUM(D25:D29)</f>
        <v/>
      </c>
      <c r="E30" s="23">
        <f>SUM(E25:E29)</f>
        <v/>
      </c>
      <c r="F30" s="23">
        <f>SUM(F25:F29)</f>
        <v/>
      </c>
      <c r="G30" s="23">
        <f>SUM(G25:G29)</f>
        <v/>
      </c>
    </row>
    <row r="32">
      <c r="A32" s="6" t="inlineStr">
        <is>
          <t>PROFIT AND LOSS — EGP MILLION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>
      <c r="A33" t="inlineStr">
        <is>
          <t>Revenue</t>
        </is>
      </c>
      <c r="B33" s="20">
        <f>B19</f>
        <v/>
      </c>
      <c r="C33" s="20">
        <f>C19</f>
        <v/>
      </c>
      <c r="D33" s="20">
        <f>D19</f>
        <v/>
      </c>
      <c r="E33" s="20">
        <f>E19</f>
        <v/>
      </c>
      <c r="F33" s="20">
        <f>F19</f>
        <v/>
      </c>
      <c r="G33" s="20">
        <f>G19</f>
        <v/>
      </c>
    </row>
    <row r="34">
      <c r="A34" t="inlineStr">
        <is>
          <t>Variable cost</t>
        </is>
      </c>
      <c r="B34" s="22">
        <f>B30*B10</f>
        <v/>
      </c>
      <c r="C34" s="22">
        <f>C30*C10</f>
        <v/>
      </c>
      <c r="D34" s="22">
        <f>D30*D10</f>
        <v/>
      </c>
      <c r="E34" s="22">
        <f>E30*E10</f>
        <v/>
      </c>
      <c r="F34" s="22">
        <f>F30*F10</f>
        <v/>
      </c>
      <c r="G34" s="22">
        <f>G30*G10</f>
        <v/>
      </c>
    </row>
    <row r="35">
      <c r="A35" t="inlineStr">
        <is>
          <t>Fixed cost</t>
        </is>
      </c>
      <c r="B35" s="22">
        <f>Assumptions!$B$26*B8*Assumptions!$B$35*Assumptions!$B$36</f>
        <v/>
      </c>
      <c r="C35" s="22">
        <f>Assumptions!$B$26*C8*Assumptions!$B$35*Assumptions!$C$36</f>
        <v/>
      </c>
      <c r="D35" s="22">
        <f>Assumptions!$B$26*D8*Assumptions!$B$35*Assumptions!$D$36</f>
        <v/>
      </c>
      <c r="E35" s="22">
        <f>Assumptions!$B$26*E8*Assumptions!$B$35*Assumptions!$E$36</f>
        <v/>
      </c>
      <c r="F35" s="22">
        <f>Assumptions!$B$26*F8*Assumptions!$B$35*Assumptions!$F$36</f>
        <v/>
      </c>
      <c r="G35" s="22">
        <f>Assumptions!$B$26*G8*Assumptions!$B$35*Assumptions!$G$36</f>
        <v/>
      </c>
    </row>
    <row r="36">
      <c r="A36" t="inlineStr">
        <is>
          <t>EBITDA  (AN OUTPUT)</t>
        </is>
      </c>
      <c r="B36" s="23">
        <f>B33-B34-B35</f>
        <v/>
      </c>
      <c r="C36" s="23">
        <f>C33-C34-C35</f>
        <v/>
      </c>
      <c r="D36" s="23">
        <f>D33-D34-D35</f>
        <v/>
      </c>
      <c r="E36" s="23">
        <f>E33-E34-E35</f>
        <v/>
      </c>
      <c r="F36" s="23">
        <f>F33-F34-F35</f>
        <v/>
      </c>
      <c r="G36" s="23">
        <f>G33-G34-G35</f>
        <v/>
      </c>
    </row>
    <row r="37">
      <c r="A37" t="inlineStr">
        <is>
          <t>EBITDA margin</t>
        </is>
      </c>
      <c r="B37" s="25">
        <f>B36/B33</f>
        <v/>
      </c>
      <c r="C37" s="25">
        <f>C36/C33</f>
        <v/>
      </c>
      <c r="D37" s="25">
        <f>D36/D33</f>
        <v/>
      </c>
      <c r="E37" s="25">
        <f>E36/E33</f>
        <v/>
      </c>
      <c r="F37" s="25">
        <f>F36/F33</f>
        <v/>
      </c>
      <c r="G37" s="25">
        <f>G36/G33</f>
        <v/>
      </c>
    </row>
    <row r="38">
      <c r="A38" t="inlineStr">
        <is>
          <t>EBITDA per tonne (EGP)</t>
        </is>
      </c>
      <c r="B38" s="22">
        <f>B36/B10</f>
        <v/>
      </c>
      <c r="C38" s="22">
        <f>C36/C10</f>
        <v/>
      </c>
      <c r="D38" s="22">
        <f>D36/D10</f>
        <v/>
      </c>
      <c r="E38" s="22">
        <f>E36/E10</f>
        <v/>
      </c>
      <c r="F38" s="22">
        <f>F36/F10</f>
        <v/>
      </c>
      <c r="G38" s="22">
        <f>G36/G10</f>
        <v/>
      </c>
    </row>
    <row r="40">
      <c r="A40" s="6" t="inlineStr">
        <is>
          <t>DEPRECIATION — THREE METHODS, AVERAGED HERE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</row>
    <row r="41">
      <c r="A41" t="inlineStr">
        <is>
          <t>Method 1 — Q4-2025 EBITDA margin applied to FY2025 revenue, less disclosed EBIT</t>
        </is>
      </c>
      <c r="B41" s="22">
        <f>Assumptions!$B$68/Assumptions!$B$67*Assumptions!$B$62-Assumptions!$B$66</f>
        <v/>
      </c>
    </row>
    <row r="42">
      <c r="A42" t="inlineStr">
        <is>
          <t>Method 2 — peer depreciation per tonne times FY2025 despatched volume</t>
        </is>
      </c>
      <c r="B42" s="22">
        <f>Assumptions!$B$89*B10</f>
        <v/>
      </c>
    </row>
    <row r="43">
      <c r="A43" t="inlineStr">
        <is>
          <t xml:space="preserve">  Cost of sales implied by the disclosed gross margin</t>
        </is>
      </c>
      <c r="B43" s="22">
        <f>Assumptions!$B$62*(1-Assumptions!$B$69)</f>
        <v/>
      </c>
    </row>
    <row r="44">
      <c r="A44" t="inlineStr">
        <is>
          <t xml:space="preserve">  Inventory implied by inventory days</t>
        </is>
      </c>
      <c r="B44" s="22">
        <f>B43*Assumptions!$B$90/365</f>
        <v/>
      </c>
    </row>
    <row r="45">
      <c r="A45" t="inlineStr">
        <is>
          <t xml:space="preserve">  Receivables implied by receivable days</t>
        </is>
      </c>
      <c r="B45" s="22">
        <f>Assumptions!$B$62*Assumptions!$B$91/365</f>
        <v/>
      </c>
    </row>
    <row r="46">
      <c r="A46" t="inlineStr">
        <is>
          <t xml:space="preserve">  Net property implied by total assets less cash and working capital</t>
        </is>
      </c>
      <c r="B46" s="22">
        <f>Assumptions!$B$70-Assumptions!$B$71-B44-B45</f>
        <v/>
      </c>
    </row>
    <row r="47">
      <c r="A47" t="inlineStr">
        <is>
          <t>Method 3 — net property times the composite depreciation rate</t>
        </is>
      </c>
      <c r="B47" s="22">
        <f>B46*Assumptions!$B$92</f>
        <v/>
      </c>
    </row>
    <row r="48">
      <c r="A48" t="inlineStr">
        <is>
          <t>ADOPTED — the average of the three methods</t>
        </is>
      </c>
      <c r="B48" s="23">
        <f>AVERAGE(B41,B42,B47)</f>
        <v/>
      </c>
    </row>
    <row r="49">
      <c r="A49" t="inlineStr">
        <is>
          <t>Adopted, as a share of FY2025 revenue</t>
        </is>
      </c>
      <c r="B49" s="25">
        <f>B48/Assumptions!$B$62</f>
        <v/>
      </c>
    </row>
    <row r="50">
      <c r="A50" t="inlineStr">
        <is>
          <t>Adopted, EGP per tonne of despatch</t>
        </is>
      </c>
      <c r="B50" s="22">
        <f>B48/B10</f>
        <v/>
      </c>
    </row>
    <row r="51">
      <c r="A51" t="inlineStr">
        <is>
          <t>Spread between the highest and lowest method</t>
        </is>
      </c>
      <c r="B51" s="25">
        <f>MAX(B41,B42,B47)/MIN(B41,B42,B47)-1</f>
        <v/>
      </c>
    </row>
    <row r="53">
      <c r="A53" s="6" t="inlineStr">
        <is>
          <t>VALIDATION — A TEST THAT CAN FAIL</t>
        </is>
      </c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</row>
    <row r="54">
      <c r="A54" t="inlineStr">
        <is>
          <t>Bottom-up FY2025 revenue</t>
        </is>
      </c>
      <c r="B54" s="22">
        <f>B19</f>
        <v/>
      </c>
    </row>
    <row r="55">
      <c r="A55" t="inlineStr">
        <is>
          <t>Disclosed FY2025 revenue</t>
        </is>
      </c>
      <c r="B55" s="20">
        <f>Assumptions!$B$62</f>
        <v/>
      </c>
    </row>
    <row r="56">
      <c r="A56" t="inlineStr">
        <is>
          <t>Difference</t>
        </is>
      </c>
      <c r="B56" s="25">
        <f>B54/B55-1</f>
        <v/>
      </c>
    </row>
    <row r="57">
      <c r="A57" t="inlineStr">
        <is>
          <t>Bottom-up FY2025 operating profit (EBITDA less adopted depreciation)</t>
        </is>
      </c>
      <c r="B57" s="22">
        <f>B36-B48</f>
        <v/>
      </c>
    </row>
    <row r="58">
      <c r="A58" t="inlineStr">
        <is>
          <t>DISCLOSED FY2025 operating income</t>
        </is>
      </c>
      <c r="B58" s="20">
        <f>Assumptions!$B$66</f>
        <v/>
      </c>
    </row>
    <row r="59">
      <c r="A59" t="inlineStr">
        <is>
          <t>Difference</t>
        </is>
      </c>
      <c r="B59" s="25">
        <f>B57/B58-1</f>
        <v/>
      </c>
    </row>
    <row r="61">
      <c r="A61" s="5" t="inlineStr">
        <is>
          <t>Nothing on this sheet is solved to force agreement. Every physical and market driver is an</t>
        </is>
      </c>
    </row>
    <row r="62">
      <c r="A62" s="5" t="inlineStr">
        <is>
          <t>independent norm, so a wrong cost stack shows up as a non-zero residual in rows 56 and 59.</t>
        </is>
      </c>
    </row>
    <row r="63">
      <c r="A63" s="5" t="inlineStr">
        <is>
          <t>The one calibrated figure is fixed cash cost per tonne of capacity, and it is disclosed as such</t>
        </is>
      </c>
    </row>
    <row r="64">
      <c r="A64" s="5" t="inlineStr">
        <is>
          <t>on Assumptions rather than presented as an observation.</t>
        </is>
      </c>
    </row>
  </sheetData>
  <mergeCells count="4">
    <mergeCell ref="A64:J64"/>
    <mergeCell ref="A63:J63"/>
    <mergeCell ref="A62:J62"/>
    <mergeCell ref="A61:J6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Discounted cash flow — the primary lens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5" t="inlineStr">
        <is>
          <t>Cost of capital built here, never pasted.</t>
        </is>
      </c>
    </row>
    <row r="4">
      <c r="A4" s="13" t="inlineStr"/>
      <c r="B4" s="13" t="inlineStr">
        <is>
          <t>FY2026E</t>
        </is>
      </c>
      <c r="C4" s="13" t="inlineStr">
        <is>
          <t>FY2027E</t>
        </is>
      </c>
      <c r="D4" s="13" t="inlineStr">
        <is>
          <t>FY2028E</t>
        </is>
      </c>
      <c r="E4" s="13" t="inlineStr">
        <is>
          <t>FY2029E</t>
        </is>
      </c>
      <c r="F4" s="13" t="inlineStr">
        <is>
          <t>FY2030E</t>
        </is>
      </c>
    </row>
    <row r="5">
      <c r="A5" t="inlineStr">
        <is>
          <t>Revenue</t>
        </is>
      </c>
      <c r="B5" s="20">
        <f>'Unit Build'!C33</f>
        <v/>
      </c>
      <c r="C5" s="20">
        <f>'Unit Build'!D33</f>
        <v/>
      </c>
      <c r="D5" s="20">
        <f>'Unit Build'!E33</f>
        <v/>
      </c>
      <c r="E5" s="20">
        <f>'Unit Build'!F33</f>
        <v/>
      </c>
      <c r="F5" s="20">
        <f>'Unit Build'!G33</f>
        <v/>
      </c>
    </row>
    <row r="6">
      <c r="A6" t="inlineStr">
        <is>
          <t>EBITDA margin</t>
        </is>
      </c>
      <c r="B6" s="25">
        <f>B7/B5</f>
        <v/>
      </c>
      <c r="C6" s="25">
        <f>C7/C5</f>
        <v/>
      </c>
      <c r="D6" s="25">
        <f>D7/D5</f>
        <v/>
      </c>
      <c r="E6" s="25">
        <f>E7/E5</f>
        <v/>
      </c>
      <c r="F6" s="25">
        <f>F7/F5</f>
        <v/>
      </c>
    </row>
    <row r="7">
      <c r="A7" t="inlineStr">
        <is>
          <t>EBITDA</t>
        </is>
      </c>
      <c r="B7" s="20">
        <f>'Unit Build'!C36</f>
        <v/>
      </c>
      <c r="C7" s="20">
        <f>'Unit Build'!D36</f>
        <v/>
      </c>
      <c r="D7" s="20">
        <f>'Unit Build'!E36</f>
        <v/>
      </c>
      <c r="E7" s="20">
        <f>'Unit Build'!F36</f>
        <v/>
      </c>
      <c r="F7" s="20">
        <f>'Unit Build'!G36</f>
        <v/>
      </c>
    </row>
    <row r="8">
      <c r="A8" t="inlineStr">
        <is>
          <t>Depreciation and amortisation</t>
        </is>
      </c>
      <c r="B8" s="22">
        <f>B5*Assumptions!$B$40</f>
        <v/>
      </c>
      <c r="C8" s="22">
        <f>C5*Assumptions!$C$40</f>
        <v/>
      </c>
      <c r="D8" s="22">
        <f>D5*Assumptions!$D$40</f>
        <v/>
      </c>
      <c r="E8" s="22">
        <f>E5*Assumptions!$E$40</f>
        <v/>
      </c>
      <c r="F8" s="22">
        <f>F5*Assumptions!$F$40</f>
        <v/>
      </c>
    </row>
    <row r="9">
      <c r="A9" t="inlineStr">
        <is>
          <t>EBIT</t>
        </is>
      </c>
      <c r="B9" s="22">
        <f>B7-B8</f>
        <v/>
      </c>
      <c r="C9" s="22">
        <f>C7-C8</f>
        <v/>
      </c>
      <c r="D9" s="22">
        <f>D7-D8</f>
        <v/>
      </c>
      <c r="E9" s="22">
        <f>E7-E8</f>
        <v/>
      </c>
      <c r="F9" s="22">
        <f>F7-F8</f>
        <v/>
      </c>
    </row>
    <row r="10">
      <c r="A10" t="inlineStr">
        <is>
          <t>Tax rate (effective)</t>
        </is>
      </c>
      <c r="B10" s="17">
        <f>$C$47</f>
        <v/>
      </c>
      <c r="C10" s="17">
        <f>$C$47</f>
        <v/>
      </c>
      <c r="D10" s="17">
        <f>$C$47</f>
        <v/>
      </c>
      <c r="E10" s="17">
        <f>$C$47</f>
        <v/>
      </c>
      <c r="F10" s="17">
        <f>$C$47</f>
        <v/>
      </c>
    </row>
    <row r="11">
      <c r="A11" t="inlineStr">
        <is>
          <t>NOPAT  (EBIT × (1 − t))</t>
        </is>
      </c>
      <c r="B11" s="22">
        <f>B9*(1-B10)</f>
        <v/>
      </c>
      <c r="C11" s="22">
        <f>C9*(1-C10)</f>
        <v/>
      </c>
      <c r="D11" s="22">
        <f>D9*(1-D10)</f>
        <v/>
      </c>
      <c r="E11" s="22">
        <f>E9*(1-E10)</f>
        <v/>
      </c>
      <c r="F11" s="22">
        <f>F9*(1-F10)</f>
        <v/>
      </c>
    </row>
    <row r="12">
      <c r="A12" t="inlineStr">
        <is>
          <t>Plus depreciation</t>
        </is>
      </c>
      <c r="B12" s="22">
        <f>B8</f>
        <v/>
      </c>
      <c r="C12" s="22">
        <f>C8</f>
        <v/>
      </c>
      <c r="D12" s="22">
        <f>D8</f>
        <v/>
      </c>
      <c r="E12" s="22">
        <f>E8</f>
        <v/>
      </c>
      <c r="F12" s="22">
        <f>F8</f>
        <v/>
      </c>
    </row>
    <row r="13">
      <c r="A13" t="inlineStr">
        <is>
          <t>Less capital expenditure</t>
        </is>
      </c>
      <c r="B13" s="22">
        <f>-Assumptions!$B$12*Assumptions!$B$43*Assumptions!$C$35</f>
        <v/>
      </c>
      <c r="C13" s="22">
        <f>-Assumptions!$B$12*Assumptions!$B$43*Assumptions!$D$35</f>
        <v/>
      </c>
      <c r="D13" s="22">
        <f>-Assumptions!$B$12*Assumptions!$B$43*Assumptions!$E$35</f>
        <v/>
      </c>
      <c r="E13" s="22">
        <f>-Assumptions!$B$12*Assumptions!$B$43*Assumptions!$F$35</f>
        <v/>
      </c>
      <c r="F13" s="22">
        <f>-Assumptions!$B$12*Assumptions!$B$43*Assumptions!$G$35</f>
        <v/>
      </c>
    </row>
    <row r="14">
      <c r="A14" t="inlineStr">
        <is>
          <t>Less change in working capital</t>
        </is>
      </c>
      <c r="B14" s="22">
        <f>-(B5-Assumptions!$B$62)*Assumptions!$B$44</f>
        <v/>
      </c>
      <c r="C14" s="22">
        <f>-(C5-B5)*Assumptions!$B$44</f>
        <v/>
      </c>
      <c r="D14" s="22">
        <f>-(D5-C5)*Assumptions!$B$44</f>
        <v/>
      </c>
      <c r="E14" s="22">
        <f>-(E5-D5)*Assumptions!$B$44</f>
        <v/>
      </c>
      <c r="F14" s="22">
        <f>-(F5-E5)*Assumptions!$B$44</f>
        <v/>
      </c>
    </row>
    <row r="15">
      <c r="A15" t="inlineStr">
        <is>
          <t>FREE CASH FLOW TO THE FIRM</t>
        </is>
      </c>
      <c r="B15" s="23">
        <f>(B11+B12+B13+B14)*(1-Assumptions!$B$57)</f>
        <v/>
      </c>
      <c r="C15" s="23">
        <f>C11+C12+C13+C14</f>
        <v/>
      </c>
      <c r="D15" s="23">
        <f>D11+D12+D13+D14</f>
        <v/>
      </c>
      <c r="E15" s="23">
        <f>E11+E12+E13+E14</f>
        <v/>
      </c>
      <c r="F15" s="23">
        <f>F11+F12+F13+F14</f>
        <v/>
      </c>
    </row>
    <row r="16">
      <c r="A16" t="inlineStr">
        <is>
          <t>Glide fraction</t>
        </is>
      </c>
      <c r="B16" s="26">
        <f>(Assumptions!$B$41-Assumptions!$B$41)/(Assumptions!$B$41-Assumptions!$F$41)</f>
        <v/>
      </c>
      <c r="C16" s="26">
        <f>(Assumptions!$B$41-Assumptions!$C$41)/(Assumptions!$B$41-Assumptions!$F$41)</f>
        <v/>
      </c>
      <c r="D16" s="26">
        <f>(Assumptions!$B$41-Assumptions!$D$41)/(Assumptions!$B$41-Assumptions!$F$41)</f>
        <v/>
      </c>
      <c r="E16" s="26">
        <f>(Assumptions!$B$41-Assumptions!$E$41)/(Assumptions!$B$41-Assumptions!$F$41)</f>
        <v/>
      </c>
      <c r="F16" s="26">
        <f>(Assumptions!$B$41-Assumptions!$F$41)/(Assumptions!$B$41-Assumptions!$F$41)</f>
        <v/>
      </c>
    </row>
    <row r="17">
      <c r="A17" t="inlineStr">
        <is>
          <t>Forward cost of capital</t>
        </is>
      </c>
      <c r="B17" s="27">
        <f>$C$40-($C$40-$C$46)*B16</f>
        <v/>
      </c>
      <c r="C17" s="27">
        <f>$C$40-($C$40-$C$46)*C16</f>
        <v/>
      </c>
      <c r="D17" s="27">
        <f>$C$40-($C$40-$C$46)*D16</f>
        <v/>
      </c>
      <c r="E17" s="27">
        <f>$C$40-($C$40-$C$46)*E16</f>
        <v/>
      </c>
      <c r="F17" s="27">
        <f>$C$40-($C$40-$C$46)*F16</f>
        <v/>
      </c>
    </row>
    <row r="18">
      <c r="A18" t="inlineStr">
        <is>
          <t>Discount factor</t>
        </is>
      </c>
      <c r="B18" s="26">
        <f>1/(1+B17)^((1-Assumptions!$B$57)/2)</f>
        <v/>
      </c>
      <c r="C18" s="26">
        <f>1/(1+B17)^(1-Assumptions!$B$57+0.5)</f>
        <v/>
      </c>
      <c r="D18" s="26">
        <f>1/((1+B17)*(1+C17)^(1-Assumptions!$B$57+0.5))</f>
        <v/>
      </c>
      <c r="E18" s="26">
        <f>1/((1+B17)*(1+C17)*(1+D17)^(1-Assumptions!$B$57+0.5))</f>
        <v/>
      </c>
      <c r="F18" s="26">
        <f>1/((1+B17)*(1+C17)*(1+D17)*(1+E17)^(1-Assumptions!$B$57+0.5))</f>
        <v/>
      </c>
    </row>
    <row r="19">
      <c r="A19" t="inlineStr">
        <is>
          <t>PRESENT VALUE OF FCFF</t>
        </is>
      </c>
      <c r="B19" s="22">
        <f>B15*B18</f>
        <v/>
      </c>
      <c r="C19" s="22">
        <f>C15*C18</f>
        <v/>
      </c>
      <c r="D19" s="22">
        <f>D15*D18</f>
        <v/>
      </c>
      <c r="E19" s="22">
        <f>E15*E18</f>
        <v/>
      </c>
      <c r="F19" s="22">
        <f>F15*F18</f>
        <v/>
      </c>
    </row>
    <row r="21">
      <c r="A21" s="6" t="inlineStr">
        <is>
          <t>TERMINAL BLOCK</t>
        </is>
      </c>
      <c r="B21" s="6" t="n"/>
      <c r="C21" s="6" t="n"/>
      <c r="D21" s="6" t="n"/>
      <c r="E21" s="6" t="n"/>
      <c r="F21" s="6" t="n"/>
      <c r="G21" s="6" t="n"/>
      <c r="H21" s="6" t="n"/>
    </row>
    <row r="22">
      <c r="A22" t="inlineStr">
        <is>
          <t>Replacement-cost invested capital (EGP mn)</t>
        </is>
      </c>
      <c r="B22" s="22">
        <f>Assumptions!$B$12*Assumptions!$B$93*Assumptions!$B$8</f>
        <v/>
      </c>
    </row>
    <row r="23">
      <c r="A23" t="inlineStr">
        <is>
          <t>Terminal NOPAT  (year 5 NOPAT grown at g)</t>
        </is>
      </c>
      <c r="B23" s="22">
        <f>F11*(1+Assumptions!$B$56)</f>
        <v/>
      </c>
    </row>
    <row r="24">
      <c r="A24" t="inlineStr">
        <is>
          <t>Terminal return on invested capital</t>
        </is>
      </c>
      <c r="B24" s="25">
        <f>B23/B22</f>
        <v/>
      </c>
    </row>
    <row r="25">
      <c r="A25" t="inlineStr">
        <is>
          <t>Reinvestment rate  (g ÷ return on capital)</t>
        </is>
      </c>
      <c r="B25" s="25">
        <f>Assumptions!$B$56/B24</f>
        <v/>
      </c>
    </row>
    <row r="26">
      <c r="A26" t="inlineStr">
        <is>
          <t>Terminal value</t>
        </is>
      </c>
      <c r="B26" s="22">
        <f>B23*(1-B25)/($C$46-Assumptions!$B$56)</f>
        <v/>
      </c>
    </row>
    <row r="27">
      <c r="A27" t="inlineStr">
        <is>
          <t>Present value of terminal value</t>
        </is>
      </c>
      <c r="B27" s="22">
        <f>B26*F18</f>
        <v/>
      </c>
    </row>
    <row r="29">
      <c r="A29" s="6" t="inlineStr">
        <is>
          <t>ENTERPRISE TO EQUITY BRIDGE</t>
        </is>
      </c>
      <c r="B29" s="6" t="n"/>
      <c r="C29" s="6" t="n"/>
      <c r="D29" s="6" t="n"/>
      <c r="E29" s="6" t="n"/>
      <c r="F29" s="6" t="n"/>
      <c r="G29" s="6" t="n"/>
      <c r="H29" s="6" t="n"/>
    </row>
    <row r="30">
      <c r="A30" t="inlineStr">
        <is>
          <t>Present value of explicit years (FY2026E-FY2030E)</t>
        </is>
      </c>
      <c r="B30" s="22">
        <f>SUM(B19:F19)</f>
        <v/>
      </c>
    </row>
    <row r="31">
      <c r="A31" t="inlineStr">
        <is>
          <t>Present value of terminal value</t>
        </is>
      </c>
      <c r="B31" s="22">
        <f>B27</f>
        <v/>
      </c>
    </row>
    <row r="32">
      <c r="A32" t="inlineStr">
        <is>
          <t>Enterprise value</t>
        </is>
      </c>
      <c r="B32" s="23">
        <f>B30+B31</f>
        <v/>
      </c>
    </row>
    <row r="33">
      <c r="A33" t="inlineStr">
        <is>
          <t>TERMINAL VALUE AS % OF ENTERPRISE VALUE</t>
        </is>
      </c>
      <c r="B33" s="28">
        <f>B31/B32</f>
        <v/>
      </c>
    </row>
    <row r="34">
      <c r="A34" s="6" t="inlineStr">
        <is>
          <t>Cash at the valuation date</t>
        </is>
      </c>
      <c r="B34" s="29">
        <f>Assumptions!$B$71+B15/(1-Assumptions!$B$57)*Assumptions!$B$57</f>
        <v/>
      </c>
      <c r="C34" s="6" t="n"/>
      <c r="D34" s="6" t="n"/>
      <c r="E34" s="6" t="n"/>
      <c r="F34" s="6" t="n"/>
      <c r="G34" s="6" t="n"/>
      <c r="H34" s="6" t="n"/>
    </row>
    <row r="35">
      <c r="A35" t="inlineStr">
        <is>
          <t>Less gross debt</t>
        </is>
      </c>
      <c r="B35" s="22">
        <f>-Assumptions!$B$72</f>
        <v/>
      </c>
    </row>
    <row r="36">
      <c r="A36" t="inlineStr">
        <is>
          <t>Risk-free rate (observed EGP 10-year)</t>
        </is>
      </c>
      <c r="B36" s="22">
        <f>B34+B35</f>
        <v/>
      </c>
      <c r="C36" s="27">
        <f>Assumptions!$B$48</f>
        <v/>
      </c>
    </row>
    <row r="37">
      <c r="A37" t="inlineStr">
        <is>
          <t>Less sovereign default spread</t>
        </is>
      </c>
      <c r="B37" s="22">
        <f>-Assumptions!$B$75</f>
        <v/>
      </c>
      <c r="C37" s="27">
        <f>-Assumptions!$B$49</f>
        <v/>
      </c>
    </row>
    <row r="38">
      <c r="A38" t="inlineStr">
        <is>
          <t>Normalised risk-free rate</t>
        </is>
      </c>
      <c r="B38" s="23">
        <f>B32+B36+B37</f>
        <v/>
      </c>
      <c r="C38" s="27">
        <f>C36+C37</f>
        <v/>
      </c>
    </row>
    <row r="39">
      <c r="A39" t="inlineStr">
        <is>
          <t>Cost of equity  (rf* + beta × premium)</t>
        </is>
      </c>
      <c r="B39" s="24">
        <f>Assumptions!$B$6</f>
        <v/>
      </c>
      <c r="C39" s="27">
        <f>C38+Assumptions!$B$9*Assumptions!$B$50</f>
        <v/>
      </c>
    </row>
    <row r="40">
      <c r="A40" t="inlineStr">
        <is>
          <t>WACC — explicit window</t>
        </is>
      </c>
      <c r="B40" s="30">
        <f>B38/B39</f>
        <v/>
      </c>
      <c r="C40" s="31">
        <f>(1-C43)*C39+C43*C41</f>
        <v/>
      </c>
    </row>
    <row r="41">
      <c r="A41" t="inlineStr">
        <is>
          <t>Cost of debt after tax</t>
        </is>
      </c>
      <c r="C41" s="27">
        <f>Assumptions!$B$51*(1-Assumptions!$B$7)</f>
        <v/>
      </c>
    </row>
    <row r="42">
      <c r="A42" s="6" t="inlineStr">
        <is>
          <t>Market capitalisation</t>
        </is>
      </c>
      <c r="B42" s="6" t="n"/>
      <c r="C42" s="29">
        <f>Assumptions!$B$5*Assumptions!$B$6</f>
        <v/>
      </c>
      <c r="D42" s="6" t="n"/>
      <c r="E42" s="6" t="n"/>
      <c r="F42" s="6" t="n"/>
      <c r="G42" s="6" t="n"/>
      <c r="H42" s="6" t="n"/>
    </row>
    <row r="43">
      <c r="A43" t="inlineStr">
        <is>
          <t>Debt weight  D/(D+E)</t>
        </is>
      </c>
      <c r="C43" s="32">
        <f>Assumptions!$B$72/(Assumptions!$B$72+C42)</f>
        <v/>
      </c>
    </row>
    <row r="44">
      <c r="A44" t="inlineStr">
        <is>
          <t>Terminal beta, RE-LEVERED to the terminal structure</t>
        </is>
      </c>
      <c r="C44" s="18">
        <f>Assumptions!$B$9*(1+(1-Assumptions!$B$7)*Assumptions!$B$55/(1-Assumptions!$B$55))</f>
        <v/>
      </c>
    </row>
    <row r="45">
      <c r="A45" t="inlineStr">
        <is>
          <t>Terminal cost of equity  (rf_term + beta_L × premium_term)</t>
        </is>
      </c>
      <c r="C45" s="27">
        <f>Assumptions!$B$52+C44*Assumptions!$B$53</f>
        <v/>
      </c>
    </row>
    <row r="46">
      <c r="A46" t="inlineStr">
        <is>
          <t>WACC — terminal</t>
        </is>
      </c>
      <c r="C46" s="31">
        <f>(1-Assumptions!$B$55)*C45+Assumptions!$B$55*Assumptions!$B$54*(1-Assumptions!$B$7)</f>
        <v/>
      </c>
    </row>
    <row r="47">
      <c r="A47" t="inlineStr">
        <is>
          <t>Effective tax rate  (built from the FY2025 closure)</t>
        </is>
      </c>
      <c r="C47" s="27">
        <f>1-Assumptions!$B$65/(Assumptions!$B$66+Assumptions!$B$71*Assumptions!$B$82-Assumptions!$B$72*Assumptions!$B$51)</f>
        <v/>
      </c>
    </row>
    <row r="48">
      <c r="A48" t="inlineStr">
        <is>
          <t>Memo: net finance income implied for FY2025</t>
        </is>
      </c>
      <c r="C48" s="22">
        <f>Assumptions!$B$71*Assumptions!$B$82-Assumptions!$B$72*Assumptions!$B$51</f>
        <v/>
      </c>
    </row>
    <row r="49">
      <c r="A49" t="inlineStr">
        <is>
          <t>Memo: retired construction, risk-free NOT netted</t>
        </is>
      </c>
      <c r="C49" s="27">
        <f>Assumptions!$B$48+Assumptions!$B$9*Assumptions!$B$50</f>
        <v/>
      </c>
    </row>
    <row r="50">
      <c r="A50" t="inlineStr">
        <is>
          <t>Memo: sovereign double-count removed (basis points)</t>
        </is>
      </c>
      <c r="C50" s="22">
        <f>(C49-C39)*10000</f>
        <v/>
      </c>
    </row>
    <row r="51">
      <c r="A51" t="inlineStr">
        <is>
          <t>Memo: WACC on NET-debt weights (alternative, not adopted)</t>
        </is>
      </c>
      <c r="C51" s="27">
        <f>(1-C52)*C39+C52*C41</f>
        <v/>
      </c>
    </row>
    <row r="52">
      <c r="A52" t="inlineStr">
        <is>
          <t>Memo: net-debt weight</t>
        </is>
      </c>
      <c r="C52" s="25">
        <f>(Assumptions!$B$72-Assumptions!$B$71)/((Assumptions!$B$72-Assumptions!$B$71)+C42)</f>
        <v/>
      </c>
    </row>
    <row r="54">
      <c r="A54" s="5" t="inlineStr">
        <is>
          <t>The glide fraction on row 16 is DERIVED from the cost-of-debt path on Assumptions, so the shape of</t>
        </is>
      </c>
    </row>
    <row r="55">
      <c r="A55" s="5" t="inlineStr">
        <is>
          <t>the discount schedule is inherited rather than invented. The terminal value is capitalised at the</t>
        </is>
      </c>
    </row>
    <row r="56">
      <c r="A56" s="5" t="inlineStr">
        <is>
          <t>terminal rate and discounted on year five's OWN cumulative factor — one date, one price of time.</t>
        </is>
      </c>
    </row>
    <row r="57">
      <c r="A57" s="5" t="inlineStr">
        <is>
          <t>Terminal return on capital is struck on REPLACEMENT-COST capacity rather than the pre-devaluation</t>
        </is>
      </c>
    </row>
    <row r="58">
      <c r="A58" s="5" t="inlineStr">
        <is>
          <t>book, which would flatter it and let terminal growth through unpaid for.</t>
        </is>
      </c>
    </row>
    <row r="60">
      <c r="A60" s="5" t="inlineStr">
        <is>
          <t>ONE COUPLING THE READER SHOULD KNOW ABOUT. The effective tax rate on row 47 is INFERRED from the</t>
        </is>
      </c>
    </row>
    <row r="61">
      <c r="A61" s="5" t="inlineStr">
        <is>
          <t>FY2025 closure: disclosed operating profit plus modelled net finance income, against DISCLOSED</t>
        </is>
      </c>
    </row>
    <row r="62">
      <c r="A62" s="5" t="inlineStr">
        <is>
          <t>profit after tax. Profit after tax is a fact, so raising the cash balance raises the imputed</t>
        </is>
      </c>
    </row>
    <row r="63">
      <c r="A63" s="5" t="inlineStr">
        <is>
          <t>finance income and therefore the imputed tax rate on the operating business. Cash and debt are</t>
        </is>
      </c>
    </row>
    <row r="64">
      <c r="A64" s="5" t="inlineStr">
        <is>
          <t>therefore NOT clean one-way bridge levers here: adding EGP 1bn of cash adds to net cash and</t>
        </is>
      </c>
    </row>
    <row r="65">
      <c r="A65" s="5" t="inlineStr">
        <is>
          <t>subtracts almost exactly as much from enterprise value. The clean net-cash sensitivity — the tax</t>
        </is>
      </c>
    </row>
    <row r="66">
      <c r="A66" s="5" t="inlineStr">
        <is>
          <t>rate held and the balance varied — is the last grid on the Sensitivity sheet.</t>
        </is>
      </c>
    </row>
  </sheetData>
  <mergeCells count="12">
    <mergeCell ref="A61:J61"/>
    <mergeCell ref="A58:J58"/>
    <mergeCell ref="A56:J56"/>
    <mergeCell ref="A62:J62"/>
    <mergeCell ref="A66:J66"/>
    <mergeCell ref="A55:J55"/>
    <mergeCell ref="A65:J65"/>
    <mergeCell ref="A57:J57"/>
    <mergeCell ref="A54:J54"/>
    <mergeCell ref="A64:J64"/>
    <mergeCell ref="A60:J60"/>
    <mergeCell ref="A63:J6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5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Enterprise value to equity bridge</t>
        </is>
      </c>
      <c r="B1" s="2" t="n"/>
      <c r="C1" s="2" t="n"/>
      <c r="D1" s="2" t="n"/>
      <c r="E1" s="2" t="n"/>
      <c r="F1" s="2" t="n"/>
    </row>
    <row r="4">
      <c r="A4" s="13" t="inlineStr"/>
      <c r="B4" s="13" t="inlineStr">
        <is>
          <t>EGP mn</t>
        </is>
      </c>
      <c r="C4" s="13" t="inlineStr">
        <is>
          <t>Per share (EGP)</t>
        </is>
      </c>
    </row>
    <row r="5">
      <c r="A5" t="inlineStr">
        <is>
          <t>Present value of explicit free cash flow</t>
        </is>
      </c>
      <c r="B5" s="20">
        <f>DCF!B30</f>
        <v/>
      </c>
      <c r="C5" s="33">
        <f>B5/Assumptions!$B$6</f>
        <v/>
      </c>
    </row>
    <row r="6">
      <c r="A6" t="inlineStr">
        <is>
          <t>Present value of terminal value</t>
        </is>
      </c>
      <c r="B6" s="20">
        <f>DCF!B31</f>
        <v/>
      </c>
      <c r="C6" s="33">
        <f>B6/Assumptions!$B$6</f>
        <v/>
      </c>
    </row>
    <row r="7">
      <c r="A7" t="inlineStr">
        <is>
          <t>Enterprise value</t>
        </is>
      </c>
      <c r="B7" s="34">
        <f>DCF!B32</f>
        <v/>
      </c>
      <c r="C7" s="30">
        <f>B7/Assumptions!$B$6</f>
        <v/>
      </c>
    </row>
    <row r="8">
      <c r="A8" t="inlineStr">
        <is>
          <t>Plus net cash</t>
        </is>
      </c>
      <c r="B8" s="20">
        <f>DCF!B36</f>
        <v/>
      </c>
      <c r="C8" s="33">
        <f>B8/Assumptions!$B$6</f>
        <v/>
      </c>
    </row>
    <row r="9">
      <c r="A9" t="inlineStr">
        <is>
          <t>Less non-controlling interests</t>
        </is>
      </c>
      <c r="B9" s="20">
        <f>DCF!B37</f>
        <v/>
      </c>
      <c r="C9" s="33">
        <f>B9/Assumptions!$B$6</f>
        <v/>
      </c>
    </row>
    <row r="10">
      <c r="A10" t="inlineStr">
        <is>
          <t>Equity value</t>
        </is>
      </c>
      <c r="B10" s="34">
        <f>DCF!B38</f>
        <v/>
      </c>
      <c r="C10" s="30">
        <f>B10/Assumptions!$B$6</f>
        <v/>
      </c>
    </row>
    <row r="12">
      <c r="A12" t="inlineStr">
        <is>
          <t>TERMINAL VALUE AS % OF ENTERPRISE VALUE</t>
        </is>
      </c>
      <c r="B12" s="35">
        <f>DCF!B33</f>
        <v/>
      </c>
    </row>
    <row r="13">
      <c r="A13" t="inlineStr">
        <is>
          <t>Memo: spot price</t>
        </is>
      </c>
      <c r="C13" s="36">
        <f>Assumptions!$B$5</f>
        <v/>
      </c>
    </row>
    <row r="14">
      <c r="A14" t="inlineStr">
        <is>
          <t>Fair value less spot</t>
        </is>
      </c>
      <c r="C14" s="33">
        <f>C10-C13</f>
        <v/>
      </c>
    </row>
    <row r="15">
      <c r="A15" t="inlineStr">
        <is>
          <t>Upside / (downside) to the cash-flow lens</t>
        </is>
      </c>
      <c r="C15" s="25">
        <f>C10/C13-1</f>
        <v/>
      </c>
    </row>
    <row r="16">
      <c r="A16" t="inlineStr">
        <is>
          <t>Memo: enterprise value per annual tonne of capacity (USD)</t>
        </is>
      </c>
      <c r="C16" s="37">
        <f>B7/Assumptions!$B$12/Assumptions!$B$8</f>
        <v/>
      </c>
    </row>
    <row r="18">
      <c r="A18" s="5" t="inlineStr">
        <is>
          <t>Terminal value share is linked live to the DCF sheet — never typed. The company is net cash, so</t>
        </is>
      </c>
    </row>
    <row r="19">
      <c r="A19" s="5" t="inlineStr">
        <is>
          <t>the bridge ADDS cash and DEDUCTS minority interests; both signs are asserted in the build.</t>
        </is>
      </c>
    </row>
  </sheetData>
  <mergeCells count="2">
    <mergeCell ref="A18:J18"/>
    <mergeCell ref="A19:J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Income statement — 3 years historical + 5-year forecast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5" t="inlineStr">
        <is>
          <t>EGP mn</t>
        </is>
      </c>
    </row>
    <row r="4">
      <c r="A4" s="13" t="inlineStr"/>
      <c r="B4" s="13" t="inlineStr">
        <is>
          <t>FY2023</t>
        </is>
      </c>
      <c r="C4" s="13" t="inlineStr">
        <is>
          <t>FY2024</t>
        </is>
      </c>
      <c r="D4" s="13" t="inlineStr">
        <is>
          <t>FY2025</t>
        </is>
      </c>
      <c r="E4" s="13" t="inlineStr">
        <is>
          <t>FY2026E</t>
        </is>
      </c>
      <c r="F4" s="13" t="inlineStr">
        <is>
          <t>FY2027E</t>
        </is>
      </c>
      <c r="G4" s="13" t="inlineStr">
        <is>
          <t>FY2028E</t>
        </is>
      </c>
      <c r="H4" s="13" t="inlineStr">
        <is>
          <t>FY2029E</t>
        </is>
      </c>
      <c r="I4" s="13" t="inlineStr">
        <is>
          <t>FY2030E</t>
        </is>
      </c>
    </row>
    <row r="5">
      <c r="A5" t="inlineStr">
        <is>
          <t>Revenue</t>
        </is>
      </c>
      <c r="B5" s="20">
        <f>Assumptions!$B$60</f>
        <v/>
      </c>
      <c r="C5" s="20">
        <f>Assumptions!$B$61</f>
        <v/>
      </c>
      <c r="D5" s="20">
        <f>Assumptions!$B$62</f>
        <v/>
      </c>
      <c r="E5" s="20">
        <f>DCF!B5</f>
        <v/>
      </c>
      <c r="F5" s="20">
        <f>DCF!C5</f>
        <v/>
      </c>
      <c r="G5" s="20">
        <f>DCF!D5</f>
        <v/>
      </c>
      <c r="H5" s="20">
        <f>DCF!E5</f>
        <v/>
      </c>
      <c r="I5" s="20">
        <f>DCF!F5</f>
        <v/>
      </c>
    </row>
    <row r="6">
      <c r="A6" t="inlineStr">
        <is>
          <t>EBITDA</t>
        </is>
      </c>
      <c r="B6" s="23">
        <f>B9+B8</f>
        <v/>
      </c>
      <c r="C6" s="23">
        <f>C9+C8</f>
        <v/>
      </c>
      <c r="D6" s="23">
        <f>D9+D8</f>
        <v/>
      </c>
      <c r="E6" s="34">
        <f>DCF!B7</f>
        <v/>
      </c>
      <c r="F6" s="34">
        <f>DCF!C7</f>
        <v/>
      </c>
      <c r="G6" s="34">
        <f>DCF!D7</f>
        <v/>
      </c>
      <c r="H6" s="34">
        <f>DCF!E7</f>
        <v/>
      </c>
      <c r="I6" s="34">
        <f>DCF!F7</f>
        <v/>
      </c>
    </row>
    <row r="7">
      <c r="A7" t="inlineStr">
        <is>
          <t>EBITDA margin</t>
        </is>
      </c>
      <c r="B7" s="25">
        <f>B6/B5</f>
        <v/>
      </c>
      <c r="C7" s="25">
        <f>C6/C5</f>
        <v/>
      </c>
      <c r="D7" s="25">
        <f>D6/D5</f>
        <v/>
      </c>
      <c r="E7" s="25">
        <f>E6/E5</f>
        <v/>
      </c>
      <c r="F7" s="25">
        <f>F6/F5</f>
        <v/>
      </c>
      <c r="G7" s="25">
        <f>G6/G5</f>
        <v/>
      </c>
      <c r="H7" s="25">
        <f>H6/H5</f>
        <v/>
      </c>
      <c r="I7" s="25">
        <f>I6/I5</f>
        <v/>
      </c>
    </row>
    <row r="8">
      <c r="A8" t="inlineStr">
        <is>
          <t>Depreciation and amortisation</t>
        </is>
      </c>
      <c r="B8" s="22">
        <f>'Unit Build'!$B$50*B16</f>
        <v/>
      </c>
      <c r="C8" s="22">
        <f>'Unit Build'!$B$50*C16</f>
        <v/>
      </c>
      <c r="D8" s="22">
        <f>'Unit Build'!$B$50*D16</f>
        <v/>
      </c>
      <c r="E8" s="20">
        <f>DCF!B8</f>
        <v/>
      </c>
      <c r="F8" s="20">
        <f>DCF!C8</f>
        <v/>
      </c>
      <c r="G8" s="20">
        <f>DCF!D8</f>
        <v/>
      </c>
      <c r="H8" s="20">
        <f>DCF!E8</f>
        <v/>
      </c>
      <c r="I8" s="20">
        <f>DCF!F8</f>
        <v/>
      </c>
    </row>
    <row r="9">
      <c r="A9" t="inlineStr">
        <is>
          <t>EBIT</t>
        </is>
      </c>
      <c r="B9" s="22">
        <f>Assumptions!$B$63/(1-DCF!$C$47)</f>
        <v/>
      </c>
      <c r="C9" s="22">
        <f>Assumptions!$B$64/(1-DCF!$C$47)</f>
        <v/>
      </c>
      <c r="D9" s="20">
        <f>Assumptions!$B$66</f>
        <v/>
      </c>
      <c r="E9" s="22">
        <f>E6-E8</f>
        <v/>
      </c>
      <c r="F9" s="22">
        <f>F6-F8</f>
        <v/>
      </c>
      <c r="G9" s="22">
        <f>G6-G8</f>
        <v/>
      </c>
      <c r="H9" s="22">
        <f>H6-H8</f>
        <v/>
      </c>
      <c r="I9" s="22">
        <f>I6-I8</f>
        <v/>
      </c>
    </row>
    <row r="10">
      <c r="A10" t="inlineStr">
        <is>
          <t>Net finance income</t>
        </is>
      </c>
      <c r="B10" s="22">
        <f>0</f>
        <v/>
      </c>
      <c r="C10" s="22">
        <f>0</f>
        <v/>
      </c>
      <c r="D10" s="20">
        <f>DCF!$C$48</f>
        <v/>
      </c>
      <c r="E10" s="22">
        <f>Assumptions!$B$71*Assumptions!$B$42-Assumptions!$B$72*Assumptions!$B$41</f>
        <v/>
      </c>
      <c r="F10" s="22">
        <f>'Balance Sheet'!E7*Assumptions!$C$42-Assumptions!$B$72*Assumptions!$C$41</f>
        <v/>
      </c>
      <c r="G10" s="22">
        <f>'Balance Sheet'!F7*Assumptions!$D$42-Assumptions!$B$72*Assumptions!$D$41</f>
        <v/>
      </c>
      <c r="H10" s="22">
        <f>'Balance Sheet'!G7*Assumptions!$E$42-Assumptions!$B$72*Assumptions!$E$41</f>
        <v/>
      </c>
      <c r="I10" s="22">
        <f>'Balance Sheet'!H7*Assumptions!$F$42-Assumptions!$B$72*Assumptions!$F$41</f>
        <v/>
      </c>
    </row>
    <row r="11">
      <c r="A11" t="inlineStr">
        <is>
          <t>Profit before tax</t>
        </is>
      </c>
      <c r="B11" s="22">
        <f>B9+B10</f>
        <v/>
      </c>
      <c r="C11" s="22">
        <f>C9+C10</f>
        <v/>
      </c>
      <c r="D11" s="22">
        <f>D9+D10</f>
        <v/>
      </c>
      <c r="E11" s="22">
        <f>E9+E10</f>
        <v/>
      </c>
      <c r="F11" s="22">
        <f>F9+F10</f>
        <v/>
      </c>
      <c r="G11" s="22">
        <f>G9+G10</f>
        <v/>
      </c>
      <c r="H11" s="22">
        <f>H9+H10</f>
        <v/>
      </c>
      <c r="I11" s="22">
        <f>I9+I10</f>
        <v/>
      </c>
    </row>
    <row r="12">
      <c r="A12" t="inlineStr">
        <is>
          <t>Tax</t>
        </is>
      </c>
      <c r="B12" s="22">
        <f>B11-B13</f>
        <v/>
      </c>
      <c r="C12" s="22">
        <f>C11-C13</f>
        <v/>
      </c>
      <c r="D12" s="22">
        <f>D11-D13</f>
        <v/>
      </c>
      <c r="E12" s="22">
        <f>E11*DCF!$C$47</f>
        <v/>
      </c>
      <c r="F12" s="22">
        <f>F11*DCF!$C$47</f>
        <v/>
      </c>
      <c r="G12" s="22">
        <f>G11*DCF!$C$47</f>
        <v/>
      </c>
      <c r="H12" s="22">
        <f>H11*DCF!$C$47</f>
        <v/>
      </c>
      <c r="I12" s="22">
        <f>I11*DCF!$C$47</f>
        <v/>
      </c>
    </row>
    <row r="13">
      <c r="A13" t="inlineStr">
        <is>
          <t>Profit after tax</t>
        </is>
      </c>
      <c r="B13" s="34">
        <f>Assumptions!$B$63</f>
        <v/>
      </c>
      <c r="C13" s="34">
        <f>Assumptions!$B$64</f>
        <v/>
      </c>
      <c r="D13" s="34">
        <f>Assumptions!$B$65</f>
        <v/>
      </c>
      <c r="E13" s="23">
        <f>E11-E12</f>
        <v/>
      </c>
      <c r="F13" s="23">
        <f>F11-F12</f>
        <v/>
      </c>
      <c r="G13" s="23">
        <f>G11-G12</f>
        <v/>
      </c>
      <c r="H13" s="23">
        <f>H11-H12</f>
        <v/>
      </c>
      <c r="I13" s="23">
        <f>I11-I12</f>
        <v/>
      </c>
    </row>
    <row r="14">
      <c r="A14" t="inlineStr">
        <is>
          <t>Earnings per share (EGP)</t>
        </is>
      </c>
      <c r="B14" s="33">
        <f>B13/Assumptions!$B$6</f>
        <v/>
      </c>
      <c r="C14" s="33">
        <f>C13/Assumptions!$B$6</f>
        <v/>
      </c>
      <c r="D14" s="33">
        <f>D13/Assumptions!$B$6</f>
        <v/>
      </c>
      <c r="E14" s="33">
        <f>E13/Assumptions!$B$6</f>
        <v/>
      </c>
      <c r="F14" s="33">
        <f>F13/Assumptions!$B$6</f>
        <v/>
      </c>
      <c r="G14" s="33">
        <f>G13/Assumptions!$B$6</f>
        <v/>
      </c>
      <c r="H14" s="33">
        <f>H13/Assumptions!$B$6</f>
        <v/>
      </c>
      <c r="I14" s="33">
        <f>I13/Assumptions!$B$6</f>
        <v/>
      </c>
    </row>
    <row r="15">
      <c r="A15" t="inlineStr">
        <is>
          <t>Dividends declared (disclosed)</t>
        </is>
      </c>
      <c r="B15" s="22" t="n"/>
      <c r="C15" s="12" t="n">
        <v>1100</v>
      </c>
      <c r="D15" s="12" t="n">
        <v>2000</v>
      </c>
      <c r="E15" s="22">
        <f>E13*Assumptions!$B$45</f>
        <v/>
      </c>
      <c r="F15" s="22">
        <f>F13*Assumptions!$B$45</f>
        <v/>
      </c>
      <c r="G15" s="22">
        <f>G13*Assumptions!$B$45</f>
        <v/>
      </c>
      <c r="H15" s="22">
        <f>H13*Assumptions!$B$45</f>
        <v/>
      </c>
      <c r="I15" s="22">
        <f>I13*Assumptions!$B$45</f>
        <v/>
      </c>
    </row>
    <row r="16">
      <c r="A16" t="inlineStr">
        <is>
          <t>Memo: despatched volume (Mt)</t>
        </is>
      </c>
      <c r="B16" s="19">
        <f>Assumptions!$B$13*Assumptions!$B$80/Assumptions!$B$14</f>
        <v/>
      </c>
      <c r="C16" s="19">
        <f>Assumptions!$B$13*Assumptions!$B$81/Assumptions!$B$14</f>
        <v/>
      </c>
      <c r="D16" s="19">
        <f>Assumptions!$B$13*Assumptions!$B$30/Assumptions!$B$14</f>
        <v/>
      </c>
      <c r="E16" s="19">
        <f>'Unit Build'!C10</f>
        <v/>
      </c>
      <c r="F16" s="19">
        <f>'Unit Build'!D10</f>
        <v/>
      </c>
      <c r="G16" s="19">
        <f>'Unit Build'!E10</f>
        <v/>
      </c>
      <c r="H16" s="19">
        <f>'Unit Build'!F10</f>
        <v/>
      </c>
      <c r="I16" s="19">
        <f>'Unit Build'!G10</f>
        <v/>
      </c>
    </row>
    <row r="17">
      <c r="A17" t="inlineStr">
        <is>
          <t>Memo: blended realised price (EGP/t)</t>
        </is>
      </c>
      <c r="B17" s="22">
        <f>B5/B16</f>
        <v/>
      </c>
      <c r="C17" s="22">
        <f>C5/C16</f>
        <v/>
      </c>
      <c r="D17" s="22">
        <f>D5/D16</f>
        <v/>
      </c>
      <c r="E17" s="22">
        <f>E5/E16</f>
        <v/>
      </c>
      <c r="F17" s="22">
        <f>F5/F16</f>
        <v/>
      </c>
      <c r="G17" s="22">
        <f>G5/G16</f>
        <v/>
      </c>
      <c r="H17" s="22">
        <f>H5/H16</f>
        <v/>
      </c>
      <c r="I17" s="22">
        <f>I5/I16</f>
        <v/>
      </c>
    </row>
    <row r="18">
      <c r="A18" t="inlineStr">
        <is>
          <t>Dividend per share (EGP)</t>
        </is>
      </c>
      <c r="C18" s="33">
        <f>C15/Assumptions!$B$6</f>
        <v/>
      </c>
      <c r="D18" s="33">
        <f>D15/Assumptions!$B$6</f>
        <v/>
      </c>
      <c r="E18" s="33">
        <f>E15/Assumptions!$B$6</f>
        <v/>
      </c>
      <c r="F18" s="33">
        <f>F15/Assumptions!$B$6</f>
        <v/>
      </c>
      <c r="G18" s="33">
        <f>G15/Assumptions!$B$6</f>
        <v/>
      </c>
      <c r="H18" s="33">
        <f>H15/Assumptions!$B$6</f>
        <v/>
      </c>
      <c r="I18" s="33">
        <f>I15/Assumptions!$B$6</f>
        <v/>
      </c>
    </row>
    <row r="20">
      <c r="A20" s="5" t="inlineStr">
        <is>
          <t>Revenue and profit after tax for FY2023-FY2025 and FY2025 operating income are DISCLOSED and</t>
        </is>
      </c>
    </row>
    <row r="21">
      <c r="A21" s="5" t="inlineStr">
        <is>
          <t>pasted on Assumptions. Every other historical line is DERIVED by closing the disclosed profit at</t>
        </is>
      </c>
    </row>
    <row r="22">
      <c r="A22" s="5" t="inlineStr">
        <is>
          <t>the effective tax rate built on the DCF sheet, and is a formula here. FY2023 and FY2024 net</t>
        </is>
      </c>
    </row>
    <row r="23">
      <c r="A23" s="5" t="inlineStr">
        <is>
          <t>finance income is set to zero: the cash pile that produces it was built during FY2025.</t>
        </is>
      </c>
    </row>
  </sheetData>
  <mergeCells count="4">
    <mergeCell ref="A22:J22"/>
    <mergeCell ref="A23:J23"/>
    <mergeCell ref="A20:J20"/>
    <mergeCell ref="A21:J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Balance sheet — 3 years historical + 5-year forecast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5" t="inlineStr">
        <is>
          <t>EGP mn</t>
        </is>
      </c>
    </row>
    <row r="4">
      <c r="A4" s="13" t="inlineStr"/>
      <c r="B4" s="13" t="inlineStr">
        <is>
          <t>FY2023</t>
        </is>
      </c>
      <c r="C4" s="13" t="inlineStr">
        <is>
          <t>FY2024</t>
        </is>
      </c>
      <c r="D4" s="13" t="inlineStr">
        <is>
          <t>FY2025</t>
        </is>
      </c>
      <c r="E4" s="13" t="inlineStr">
        <is>
          <t>FY2026E</t>
        </is>
      </c>
      <c r="F4" s="13" t="inlineStr">
        <is>
          <t>FY2027E</t>
        </is>
      </c>
      <c r="G4" s="13" t="inlineStr">
        <is>
          <t>FY2028E</t>
        </is>
      </c>
      <c r="H4" s="13" t="inlineStr">
        <is>
          <t>FY2029E</t>
        </is>
      </c>
      <c r="I4" s="13" t="inlineStr">
        <is>
          <t>FY2030E</t>
        </is>
      </c>
    </row>
    <row r="5">
      <c r="A5" t="inlineStr">
        <is>
          <t>Net property, plant and equipment</t>
        </is>
      </c>
      <c r="D5" s="20">
        <f>'Unit Build'!B46</f>
        <v/>
      </c>
      <c r="E5" s="22">
        <f>D5-DCF!B8-DCF!B13</f>
        <v/>
      </c>
      <c r="F5" s="22">
        <f>E5-DCF!C8-DCF!C13</f>
        <v/>
      </c>
      <c r="G5" s="22">
        <f>F5-DCF!D8-DCF!D13</f>
        <v/>
      </c>
      <c r="H5" s="22">
        <f>G5-DCF!E8-DCF!E13</f>
        <v/>
      </c>
      <c r="I5" s="22">
        <f>H5-DCF!F8-DCF!F13</f>
        <v/>
      </c>
    </row>
    <row r="6">
      <c r="A6" t="inlineStr">
        <is>
          <t>Working capital (inventory + receivables)</t>
        </is>
      </c>
      <c r="D6" s="20">
        <f>'Unit Build'!B44+'Unit Build'!B45</f>
        <v/>
      </c>
      <c r="E6" s="22">
        <f>D6-DCF!B14</f>
        <v/>
      </c>
      <c r="F6" s="22">
        <f>E6-DCF!C14</f>
        <v/>
      </c>
      <c r="G6" s="22">
        <f>F6-DCF!D14</f>
        <v/>
      </c>
      <c r="H6" s="22">
        <f>G6-DCF!E14</f>
        <v/>
      </c>
      <c r="I6" s="22">
        <f>H6-DCF!F14</f>
        <v/>
      </c>
    </row>
    <row r="7">
      <c r="A7" t="inlineStr">
        <is>
          <t>Cash and equivalents</t>
        </is>
      </c>
      <c r="D7" s="20">
        <f>Assumptions!$B$71</f>
        <v/>
      </c>
      <c r="E7" s="22">
        <f>D7+'Income Statement'!E13+DCF!B8+DCF!B13+DCF!B14-'Income Statement'!E15</f>
        <v/>
      </c>
      <c r="F7" s="22">
        <f>E7+'Income Statement'!F13+DCF!C8+DCF!C13+DCF!C14-'Income Statement'!F15</f>
        <v/>
      </c>
      <c r="G7" s="22">
        <f>F7+'Income Statement'!G13+DCF!D8+DCF!D13+DCF!D14-'Income Statement'!G15</f>
        <v/>
      </c>
      <c r="H7" s="22">
        <f>G7+'Income Statement'!H13+DCF!E8+DCF!E13+DCF!E14-'Income Statement'!H15</f>
        <v/>
      </c>
      <c r="I7" s="22">
        <f>H7+'Income Statement'!I13+DCF!F8+DCF!F13+DCF!F14-'Income Statement'!I15</f>
        <v/>
      </c>
    </row>
    <row r="8">
      <c r="A8" t="inlineStr">
        <is>
          <t>TOTAL ASSETS</t>
        </is>
      </c>
      <c r="D8" s="34">
        <f>Assumptions!$B$70</f>
        <v/>
      </c>
      <c r="E8" s="23">
        <f>E5+E6+E7</f>
        <v/>
      </c>
      <c r="F8" s="23">
        <f>F5+F6+F7</f>
        <v/>
      </c>
      <c r="G8" s="23">
        <f>G5+G6+G7</f>
        <v/>
      </c>
      <c r="H8" s="23">
        <f>H5+H6+H7</f>
        <v/>
      </c>
      <c r="I8" s="23">
        <f>I5+I6+I7</f>
        <v/>
      </c>
    </row>
    <row r="9">
      <c r="A9" t="inlineStr">
        <is>
          <t>Total debt</t>
        </is>
      </c>
      <c r="D9" s="20">
        <f>Assumptions!$B$72</f>
        <v/>
      </c>
      <c r="E9" s="20">
        <f>Assumptions!$B$72</f>
        <v/>
      </c>
      <c r="F9" s="20">
        <f>Assumptions!$B$72</f>
        <v/>
      </c>
      <c r="G9" s="20">
        <f>Assumptions!$B$72</f>
        <v/>
      </c>
      <c r="H9" s="20">
        <f>Assumptions!$B$72</f>
        <v/>
      </c>
      <c r="I9" s="20">
        <f>Assumptions!$B$72</f>
        <v/>
      </c>
    </row>
    <row r="10">
      <c r="A10" t="inlineStr">
        <is>
          <t>Other liabilities</t>
        </is>
      </c>
      <c r="D10" s="22">
        <f>D11-D9</f>
        <v/>
      </c>
      <c r="E10" s="22">
        <f>D10</f>
        <v/>
      </c>
      <c r="F10" s="22">
        <f>D10</f>
        <v/>
      </c>
      <c r="G10" s="22">
        <f>D10</f>
        <v/>
      </c>
      <c r="H10" s="22">
        <f>D10</f>
        <v/>
      </c>
      <c r="I10" s="22">
        <f>D10</f>
        <v/>
      </c>
    </row>
    <row r="11">
      <c r="A11" t="inlineStr">
        <is>
          <t>Total liabilities</t>
        </is>
      </c>
      <c r="D11" s="22">
        <f>D8-D12</f>
        <v/>
      </c>
      <c r="E11" s="22">
        <f>E9+E10</f>
        <v/>
      </c>
      <c r="F11" s="22">
        <f>F9+F10</f>
        <v/>
      </c>
      <c r="G11" s="22">
        <f>G9+G10</f>
        <v/>
      </c>
      <c r="H11" s="22">
        <f>H9+H10</f>
        <v/>
      </c>
      <c r="I11" s="22">
        <f>I9+I10</f>
        <v/>
      </c>
    </row>
    <row r="12">
      <c r="A12" t="inlineStr">
        <is>
          <t>Total equity</t>
        </is>
      </c>
      <c r="D12" s="34">
        <f>Assumptions!$B$73</f>
        <v/>
      </c>
      <c r="E12" s="23">
        <f>D12+'Income Statement'!E13-'Income Statement'!E15</f>
        <v/>
      </c>
      <c r="F12" s="23">
        <f>E12+'Income Statement'!F13-'Income Statement'!F15</f>
        <v/>
      </c>
      <c r="G12" s="23">
        <f>F12+'Income Statement'!G13-'Income Statement'!G15</f>
        <v/>
      </c>
      <c r="H12" s="23">
        <f>G12+'Income Statement'!H13-'Income Statement'!H15</f>
        <v/>
      </c>
      <c r="I12" s="23">
        <f>H12+'Income Statement'!I13-'Income Statement'!I15</f>
        <v/>
      </c>
    </row>
    <row r="13">
      <c r="A13" t="inlineStr">
        <is>
          <t>Net (cash) / debt</t>
        </is>
      </c>
      <c r="D13" s="22">
        <f>D9-D7</f>
        <v/>
      </c>
      <c r="E13" s="22">
        <f>E9-E7</f>
        <v/>
      </c>
      <c r="F13" s="22">
        <f>F9-F7</f>
        <v/>
      </c>
      <c r="G13" s="22">
        <f>G9-G7</f>
        <v/>
      </c>
      <c r="H13" s="22">
        <f>H9-H7</f>
        <v/>
      </c>
      <c r="I13" s="22">
        <f>I9-I7</f>
        <v/>
      </c>
    </row>
    <row r="14">
      <c r="A14" t="inlineStr">
        <is>
          <t>Book value per share (EGP)</t>
        </is>
      </c>
      <c r="D14" s="33">
        <f>D12/Assumptions!$B$6</f>
        <v/>
      </c>
      <c r="E14" s="33">
        <f>E12/Assumptions!$B$6</f>
        <v/>
      </c>
      <c r="F14" s="33">
        <f>F12/Assumptions!$B$6</f>
        <v/>
      </c>
      <c r="G14" s="33">
        <f>G12/Assumptions!$B$6</f>
        <v/>
      </c>
      <c r="H14" s="33">
        <f>H12/Assumptions!$B$6</f>
        <v/>
      </c>
      <c r="I14" s="33">
        <f>I12/Assumptions!$B$6</f>
        <v/>
      </c>
    </row>
    <row r="15">
      <c r="A15" t="inlineStr">
        <is>
          <t>Return on equity</t>
        </is>
      </c>
      <c r="D15" s="25">
        <f>Assumptions!$B$65/D12</f>
        <v/>
      </c>
      <c r="E15" s="25">
        <f>'Income Statement'!E13/E12</f>
        <v/>
      </c>
      <c r="F15" s="25">
        <f>'Income Statement'!F13/F12</f>
        <v/>
      </c>
      <c r="G15" s="25">
        <f>'Income Statement'!G13/G12</f>
        <v/>
      </c>
      <c r="H15" s="25">
        <f>'Income Statement'!H13/H12</f>
        <v/>
      </c>
      <c r="I15" s="25">
        <f>'Income Statement'!I13/I12</f>
        <v/>
      </c>
    </row>
    <row r="17">
      <c r="A17" s="6" t="inlineStr">
        <is>
          <t>BALANCE-SHEET TRIANGULATION — THE DISAGREEMENT IS SHOWN, NOT SMOOTHED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>
      <c r="A18" t="inlineStr">
        <is>
          <t>Total assets, as reported</t>
        </is>
      </c>
      <c r="B18" s="22">
        <f>Assumptions!$B$70</f>
        <v/>
      </c>
    </row>
    <row r="19">
      <c r="A19" t="inlineStr">
        <is>
          <t>Total equity, as reported</t>
        </is>
      </c>
      <c r="B19" s="22">
        <f>Assumptions!$B$73</f>
        <v/>
      </c>
    </row>
    <row r="20">
      <c r="A20" t="inlineStr">
        <is>
          <t>Total liabilities DERIVED as assets less equity — carried</t>
        </is>
      </c>
      <c r="B20" s="23">
        <f>B18-B19</f>
        <v/>
      </c>
    </row>
    <row r="21">
      <c r="A21" t="inlineStr">
        <is>
          <t>Total liabilities as printed by a second aggregation</t>
        </is>
      </c>
      <c r="B21" s="22">
        <f>Assumptions!$B$74</f>
        <v/>
      </c>
    </row>
    <row r="22">
      <c r="A22" t="inlineStr">
        <is>
          <t>Gap between the two</t>
        </is>
      </c>
      <c r="B22" s="22">
        <f>B20-B21</f>
        <v/>
      </c>
    </row>
    <row r="23">
      <c r="A23" t="inlineStr">
        <is>
          <t>Gap as a share of total assets</t>
        </is>
      </c>
      <c r="B23" s="25">
        <f>B22/B18</f>
        <v/>
      </c>
    </row>
    <row r="25">
      <c r="A25" s="5" t="inlineStr">
        <is>
          <t>FY2023 and FY2024 balance sheets are not retrievable at the evidentiary standard used elsewhere</t>
        </is>
      </c>
    </row>
    <row r="26">
      <c r="A26" s="5" t="inlineStr">
        <is>
          <t>and are therefore left blank rather than reconstructed. The FY2025 column is the disclosed</t>
        </is>
      </c>
    </row>
    <row r="27">
      <c r="A27" s="5" t="inlineStr">
        <is>
          <t>position; property and working capital within it are the estimates built on the Unit Build sheet,</t>
        </is>
      </c>
    </row>
    <row r="28">
      <c r="A28" s="5" t="inlineStr">
        <is>
          <t>and they sum to total assets by construction because cash and total assets are both disclosed.</t>
        </is>
      </c>
    </row>
  </sheetData>
  <mergeCells count="4">
    <mergeCell ref="A28:J28"/>
    <mergeCell ref="A25:J25"/>
    <mergeCell ref="A27:J27"/>
    <mergeCell ref="A26:J2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Cash flow — linked to the valuation waterfall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5" t="inlineStr">
        <is>
          <t>EGP mn</t>
        </is>
      </c>
    </row>
    <row r="4">
      <c r="A4" s="13" t="inlineStr"/>
      <c r="B4" s="13" t="inlineStr">
        <is>
          <t>FY2026E</t>
        </is>
      </c>
      <c r="C4" s="13" t="inlineStr">
        <is>
          <t>FY2027E</t>
        </is>
      </c>
      <c r="D4" s="13" t="inlineStr">
        <is>
          <t>FY2028E</t>
        </is>
      </c>
      <c r="E4" s="13" t="inlineStr">
        <is>
          <t>FY2029E</t>
        </is>
      </c>
      <c r="F4" s="13" t="inlineStr">
        <is>
          <t>FY2030E</t>
        </is>
      </c>
    </row>
    <row r="5">
      <c r="A5" t="inlineStr">
        <is>
          <t>Profit after tax</t>
        </is>
      </c>
      <c r="B5" s="20">
        <f>'Income Statement'!E13</f>
        <v/>
      </c>
      <c r="C5" s="20">
        <f>'Income Statement'!F13</f>
        <v/>
      </c>
      <c r="D5" s="20">
        <f>'Income Statement'!G13</f>
        <v/>
      </c>
      <c r="E5" s="20">
        <f>'Income Statement'!H13</f>
        <v/>
      </c>
      <c r="F5" s="20">
        <f>'Income Statement'!I13</f>
        <v/>
      </c>
    </row>
    <row r="6">
      <c r="A6" t="inlineStr">
        <is>
          <t>Add back depreciation</t>
        </is>
      </c>
      <c r="B6" s="20">
        <f>DCF!B8</f>
        <v/>
      </c>
      <c r="C6" s="20">
        <f>DCF!C8</f>
        <v/>
      </c>
      <c r="D6" s="20">
        <f>DCF!D8</f>
        <v/>
      </c>
      <c r="E6" s="20">
        <f>DCF!E8</f>
        <v/>
      </c>
      <c r="F6" s="20">
        <f>DCF!F8</f>
        <v/>
      </c>
    </row>
    <row r="7">
      <c r="A7" t="inlineStr">
        <is>
          <t>Less change in working capital</t>
        </is>
      </c>
      <c r="B7" s="20">
        <f>DCF!B14</f>
        <v/>
      </c>
      <c r="C7" s="20">
        <f>DCF!C14</f>
        <v/>
      </c>
      <c r="D7" s="20">
        <f>DCF!D14</f>
        <v/>
      </c>
      <c r="E7" s="20">
        <f>DCF!E14</f>
        <v/>
      </c>
      <c r="F7" s="20">
        <f>DCF!F14</f>
        <v/>
      </c>
    </row>
    <row r="8">
      <c r="A8" t="inlineStr">
        <is>
          <t>Cash from operations</t>
        </is>
      </c>
      <c r="B8" s="23">
        <f>B5+B6+B7</f>
        <v/>
      </c>
      <c r="C8" s="23">
        <f>C5+C6+C7</f>
        <v/>
      </c>
      <c r="D8" s="23">
        <f>D5+D6+D7</f>
        <v/>
      </c>
      <c r="E8" s="23">
        <f>E5+E6+E7</f>
        <v/>
      </c>
      <c r="F8" s="23">
        <f>F5+F6+F7</f>
        <v/>
      </c>
    </row>
    <row r="9">
      <c r="A9" t="inlineStr">
        <is>
          <t>Capital expenditure</t>
        </is>
      </c>
      <c r="B9" s="20">
        <f>DCF!B13</f>
        <v/>
      </c>
      <c r="C9" s="20">
        <f>DCF!C13</f>
        <v/>
      </c>
      <c r="D9" s="20">
        <f>DCF!D13</f>
        <v/>
      </c>
      <c r="E9" s="20">
        <f>DCF!E13</f>
        <v/>
      </c>
      <c r="F9" s="20">
        <f>DCF!F13</f>
        <v/>
      </c>
    </row>
    <row r="10">
      <c r="A10" t="inlineStr">
        <is>
          <t>Free cash flow to equity</t>
        </is>
      </c>
      <c r="B10" s="23">
        <f>B8+B9</f>
        <v/>
      </c>
      <c r="C10" s="23">
        <f>C8+C9</f>
        <v/>
      </c>
      <c r="D10" s="23">
        <f>D8+D9</f>
        <v/>
      </c>
      <c r="E10" s="23">
        <f>E8+E9</f>
        <v/>
      </c>
      <c r="F10" s="23">
        <f>F8+F9</f>
        <v/>
      </c>
    </row>
    <row r="11">
      <c r="A11" t="inlineStr">
        <is>
          <t>Dividends paid</t>
        </is>
      </c>
      <c r="B11" s="22">
        <f>-'Income Statement'!E15</f>
        <v/>
      </c>
      <c r="C11" s="22">
        <f>-'Income Statement'!F15</f>
        <v/>
      </c>
      <c r="D11" s="22">
        <f>-'Income Statement'!G15</f>
        <v/>
      </c>
      <c r="E11" s="22">
        <f>-'Income Statement'!H15</f>
        <v/>
      </c>
      <c r="F11" s="22">
        <f>-'Income Statement'!I15</f>
        <v/>
      </c>
    </row>
    <row r="12">
      <c r="A12" t="inlineStr">
        <is>
          <t>Net change in cash</t>
        </is>
      </c>
      <c r="B12" s="22">
        <f>B10+B11</f>
        <v/>
      </c>
      <c r="C12" s="22">
        <f>C10+C11</f>
        <v/>
      </c>
      <c r="D12" s="22">
        <f>D10+D11</f>
        <v/>
      </c>
      <c r="E12" s="22">
        <f>E10+E11</f>
        <v/>
      </c>
      <c r="F12" s="22">
        <f>F10+F11</f>
        <v/>
      </c>
    </row>
    <row r="13">
      <c r="A13" t="inlineStr">
        <is>
          <t>Closing cash</t>
        </is>
      </c>
      <c r="B13" s="20">
        <f>'Balance Sheet'!E7</f>
        <v/>
      </c>
      <c r="C13" s="20">
        <f>'Balance Sheet'!F7</f>
        <v/>
      </c>
      <c r="D13" s="20">
        <f>'Balance Sheet'!G7</f>
        <v/>
      </c>
      <c r="E13" s="20">
        <f>'Balance Sheet'!H7</f>
        <v/>
      </c>
      <c r="F13" s="20">
        <f>'Balance Sheet'!I7</f>
        <v/>
      </c>
    </row>
    <row r="14">
      <c r="A14" t="inlineStr">
        <is>
          <t>Memo: free cash flow to the firm (from the DCF sheet)</t>
        </is>
      </c>
      <c r="B14" s="20">
        <f>DCF!B15</f>
        <v/>
      </c>
      <c r="C14" s="20">
        <f>DCF!C15</f>
        <v/>
      </c>
      <c r="D14" s="20">
        <f>DCF!D15</f>
        <v/>
      </c>
      <c r="E14" s="20">
        <f>DCF!E15</f>
        <v/>
      </c>
      <c r="F14" s="20">
        <f>DCF!F15</f>
        <v/>
      </c>
    </row>
    <row r="16">
      <c r="A16" s="5" t="inlineStr">
        <is>
          <t>The cash flow does not restate the model — it LINKS to it. Every line here points at the DCF or</t>
        </is>
      </c>
    </row>
    <row r="17">
      <c r="A17" s="5" t="inlineStr">
        <is>
          <t>Income Statement sheet, so the statement and the valuation cannot disagree by construction.</t>
        </is>
      </c>
    </row>
    <row r="18">
      <c r="A18" s="5" t="inlineStr">
        <is>
          <t>Free cash flow to the FIRM excludes treasury income; free cash flow to EQUITY includes it through</t>
        </is>
      </c>
    </row>
    <row r="19">
      <c r="A19" s="5" t="inlineStr">
        <is>
          <t>profit after tax. The cash balance is the one on the balance sheet, and closes to it exactly.</t>
        </is>
      </c>
    </row>
  </sheetData>
  <mergeCells count="4">
    <mergeCell ref="A17:J17"/>
    <mergeCell ref="A18:J18"/>
    <mergeCell ref="A19:J19"/>
    <mergeCell ref="A16:J1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Summary financials — eight years on one screen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5" t="inlineStr">
        <is>
          <t>EGP mn</t>
        </is>
      </c>
    </row>
    <row r="4">
      <c r="A4" s="13" t="inlineStr"/>
      <c r="B4" s="13" t="inlineStr">
        <is>
          <t>FY2023</t>
        </is>
      </c>
      <c r="C4" s="13" t="inlineStr">
        <is>
          <t>FY2024</t>
        </is>
      </c>
      <c r="D4" s="13" t="inlineStr">
        <is>
          <t>FY2025</t>
        </is>
      </c>
      <c r="E4" s="13" t="inlineStr">
        <is>
          <t>FY2026E</t>
        </is>
      </c>
      <c r="F4" s="13" t="inlineStr">
        <is>
          <t>FY2027E</t>
        </is>
      </c>
      <c r="G4" s="13" t="inlineStr">
        <is>
          <t>FY2028E</t>
        </is>
      </c>
      <c r="H4" s="13" t="inlineStr">
        <is>
          <t>FY2029E</t>
        </is>
      </c>
      <c r="I4" s="13" t="inlineStr">
        <is>
          <t>FY2030E</t>
        </is>
      </c>
    </row>
    <row r="5">
      <c r="A5" t="inlineStr">
        <is>
          <t>Revenue</t>
        </is>
      </c>
      <c r="B5" s="20">
        <f>'Income Statement'!B5</f>
        <v/>
      </c>
      <c r="C5" s="20">
        <f>'Income Statement'!C5</f>
        <v/>
      </c>
      <c r="D5" s="20">
        <f>'Income Statement'!D5</f>
        <v/>
      </c>
      <c r="E5" s="20">
        <f>'Income Statement'!E5</f>
        <v/>
      </c>
      <c r="F5" s="20">
        <f>'Income Statement'!F5</f>
        <v/>
      </c>
      <c r="G5" s="20">
        <f>'Income Statement'!G5</f>
        <v/>
      </c>
      <c r="H5" s="20">
        <f>'Income Statement'!H5</f>
        <v/>
      </c>
      <c r="I5" s="20">
        <f>'Income Statement'!I5</f>
        <v/>
      </c>
    </row>
    <row r="6">
      <c r="A6" t="inlineStr">
        <is>
          <t>EBITDA</t>
        </is>
      </c>
      <c r="B6" s="20">
        <f>'Income Statement'!B6</f>
        <v/>
      </c>
      <c r="C6" s="20">
        <f>'Income Statement'!C6</f>
        <v/>
      </c>
      <c r="D6" s="20">
        <f>'Income Statement'!D6</f>
        <v/>
      </c>
      <c r="E6" s="20">
        <f>'Income Statement'!E6</f>
        <v/>
      </c>
      <c r="F6" s="20">
        <f>'Income Statement'!F6</f>
        <v/>
      </c>
      <c r="G6" s="20">
        <f>'Income Statement'!G6</f>
        <v/>
      </c>
      <c r="H6" s="20">
        <f>'Income Statement'!H6</f>
        <v/>
      </c>
      <c r="I6" s="20">
        <f>'Income Statement'!I6</f>
        <v/>
      </c>
    </row>
    <row r="7">
      <c r="A7" t="inlineStr">
        <is>
          <t>EBITDA margin</t>
        </is>
      </c>
      <c r="B7" s="17">
        <f>'Income Statement'!B7</f>
        <v/>
      </c>
      <c r="C7" s="17">
        <f>'Income Statement'!C7</f>
        <v/>
      </c>
      <c r="D7" s="17">
        <f>'Income Statement'!D7</f>
        <v/>
      </c>
      <c r="E7" s="17">
        <f>'Income Statement'!E7</f>
        <v/>
      </c>
      <c r="F7" s="17">
        <f>'Income Statement'!F7</f>
        <v/>
      </c>
      <c r="G7" s="17">
        <f>'Income Statement'!G7</f>
        <v/>
      </c>
      <c r="H7" s="17">
        <f>'Income Statement'!H7</f>
        <v/>
      </c>
      <c r="I7" s="17">
        <f>'Income Statement'!I7</f>
        <v/>
      </c>
    </row>
    <row r="8">
      <c r="A8" t="inlineStr">
        <is>
          <t>EBIT</t>
        </is>
      </c>
      <c r="B8" s="20">
        <f>'Income Statement'!B9</f>
        <v/>
      </c>
      <c r="C8" s="20">
        <f>'Income Statement'!C9</f>
        <v/>
      </c>
      <c r="D8" s="20">
        <f>'Income Statement'!D9</f>
        <v/>
      </c>
      <c r="E8" s="20">
        <f>'Income Statement'!E9</f>
        <v/>
      </c>
      <c r="F8" s="20">
        <f>'Income Statement'!F9</f>
        <v/>
      </c>
      <c r="G8" s="20">
        <f>'Income Statement'!G9</f>
        <v/>
      </c>
      <c r="H8" s="20">
        <f>'Income Statement'!H9</f>
        <v/>
      </c>
      <c r="I8" s="20">
        <f>'Income Statement'!I9</f>
        <v/>
      </c>
    </row>
    <row r="9">
      <c r="A9" t="inlineStr">
        <is>
          <t>Profit after tax</t>
        </is>
      </c>
      <c r="B9" s="20">
        <f>'Income Statement'!B13</f>
        <v/>
      </c>
      <c r="C9" s="20">
        <f>'Income Statement'!C13</f>
        <v/>
      </c>
      <c r="D9" s="20">
        <f>'Income Statement'!D13</f>
        <v/>
      </c>
      <c r="E9" s="20">
        <f>'Income Statement'!E13</f>
        <v/>
      </c>
      <c r="F9" s="20">
        <f>'Income Statement'!F13</f>
        <v/>
      </c>
      <c r="G9" s="20">
        <f>'Income Statement'!G13</f>
        <v/>
      </c>
      <c r="H9" s="20">
        <f>'Income Statement'!H13</f>
        <v/>
      </c>
      <c r="I9" s="20">
        <f>'Income Statement'!I13</f>
        <v/>
      </c>
    </row>
    <row r="10">
      <c r="A10" t="inlineStr">
        <is>
          <t>Earnings per share (EGP)</t>
        </is>
      </c>
      <c r="B10" s="36">
        <f>'Income Statement'!B14</f>
        <v/>
      </c>
      <c r="C10" s="36">
        <f>'Income Statement'!C14</f>
        <v/>
      </c>
      <c r="D10" s="36">
        <f>'Income Statement'!D14</f>
        <v/>
      </c>
      <c r="E10" s="36">
        <f>'Income Statement'!E14</f>
        <v/>
      </c>
      <c r="F10" s="36">
        <f>'Income Statement'!F14</f>
        <v/>
      </c>
      <c r="G10" s="36">
        <f>'Income Statement'!G14</f>
        <v/>
      </c>
      <c r="H10" s="36">
        <f>'Income Statement'!H14</f>
        <v/>
      </c>
      <c r="I10" s="36">
        <f>'Income Statement'!I14</f>
        <v/>
      </c>
    </row>
    <row r="11">
      <c r="A11" t="inlineStr">
        <is>
          <t>Despatched volume (Mt)</t>
        </is>
      </c>
      <c r="B11" s="19">
        <f>'Income Statement'!B16</f>
        <v/>
      </c>
      <c r="C11" s="19">
        <f>'Income Statement'!C16</f>
        <v/>
      </c>
      <c r="D11" s="19">
        <f>'Income Statement'!D16</f>
        <v/>
      </c>
      <c r="E11" s="19">
        <f>'Income Statement'!E16</f>
        <v/>
      </c>
      <c r="F11" s="19">
        <f>'Income Statement'!F16</f>
        <v/>
      </c>
      <c r="G11" s="19">
        <f>'Income Statement'!G16</f>
        <v/>
      </c>
      <c r="H11" s="19">
        <f>'Income Statement'!H16</f>
        <v/>
      </c>
      <c r="I11" s="19">
        <f>'Income Statement'!I16</f>
        <v/>
      </c>
    </row>
    <row r="12">
      <c r="A12" t="inlineStr">
        <is>
          <t>Realised price (EGP/t)</t>
        </is>
      </c>
      <c r="B12" s="20">
        <f>'Income Statement'!B17</f>
        <v/>
      </c>
      <c r="C12" s="20">
        <f>'Income Statement'!C17</f>
        <v/>
      </c>
      <c r="D12" s="20">
        <f>'Income Statement'!D17</f>
        <v/>
      </c>
      <c r="E12" s="20">
        <f>'Income Statement'!E17</f>
        <v/>
      </c>
      <c r="F12" s="20">
        <f>'Income Statement'!F17</f>
        <v/>
      </c>
      <c r="G12" s="20">
        <f>'Income Statement'!G17</f>
        <v/>
      </c>
      <c r="H12" s="20">
        <f>'Income Statement'!H17</f>
        <v/>
      </c>
      <c r="I12" s="20">
        <f>'Income Statement'!I17</f>
        <v/>
      </c>
    </row>
    <row r="14">
      <c r="A14" s="6" t="inlineStr">
        <is>
          <t>GROWTH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>
      <c r="A15" t="inlineStr">
        <is>
          <t>Revenue growth</t>
        </is>
      </c>
      <c r="C15" s="25">
        <f>C5/B5-1</f>
        <v/>
      </c>
      <c r="D15" s="25">
        <f>D5/C5-1</f>
        <v/>
      </c>
      <c r="E15" s="25">
        <f>E5/D5-1</f>
        <v/>
      </c>
      <c r="F15" s="25">
        <f>F5/E5-1</f>
        <v/>
      </c>
      <c r="G15" s="25">
        <f>G5/F5-1</f>
        <v/>
      </c>
      <c r="H15" s="25">
        <f>H5/G5-1</f>
        <v/>
      </c>
      <c r="I15" s="25">
        <f>I5/H5-1</f>
        <v/>
      </c>
    </row>
    <row r="16">
      <c r="A16" t="inlineStr">
        <is>
          <t>EBITDA growth</t>
        </is>
      </c>
      <c r="C16" s="25">
        <f>C6/B6-1</f>
        <v/>
      </c>
      <c r="D16" s="25">
        <f>D6/C6-1</f>
        <v/>
      </c>
      <c r="E16" s="25">
        <f>E6/D6-1</f>
        <v/>
      </c>
      <c r="F16" s="25">
        <f>F6/E6-1</f>
        <v/>
      </c>
      <c r="G16" s="25">
        <f>G6/F6-1</f>
        <v/>
      </c>
      <c r="H16" s="25">
        <f>H6/G6-1</f>
        <v/>
      </c>
      <c r="I16" s="25">
        <f>I6/H6-1</f>
        <v/>
      </c>
    </row>
    <row r="17">
      <c r="A17" t="inlineStr">
        <is>
          <t>Profit growth</t>
        </is>
      </c>
      <c r="C17" s="25">
        <f>C9/B9-1</f>
        <v/>
      </c>
      <c r="D17" s="25">
        <f>D9/C9-1</f>
        <v/>
      </c>
      <c r="E17" s="25">
        <f>E9/D9-1</f>
        <v/>
      </c>
      <c r="F17" s="25">
        <f>F9/E9-1</f>
        <v/>
      </c>
      <c r="G17" s="25">
        <f>G9/F9-1</f>
        <v/>
      </c>
      <c r="H17" s="25">
        <f>H9/G9-1</f>
        <v/>
      </c>
      <c r="I17" s="25">
        <f>I9/H9-1</f>
        <v/>
      </c>
    </row>
    <row r="20">
      <c r="A20" s="5" t="inlineStr">
        <is>
          <t>Every cell on this sheet is a link or a formula. Nothing is restated.</t>
        </is>
      </c>
    </row>
  </sheetData>
  <mergeCells count="1">
    <mergeCell ref="A20:J2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Per-share figures and ratios — all formulas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4">
      <c r="A4" s="13" t="inlineStr"/>
      <c r="B4" s="13" t="inlineStr">
        <is>
          <t>FY2023</t>
        </is>
      </c>
      <c r="C4" s="13" t="inlineStr">
        <is>
          <t>FY2024</t>
        </is>
      </c>
      <c r="D4" s="13" t="inlineStr">
        <is>
          <t>FY2025</t>
        </is>
      </c>
      <c r="E4" s="13" t="inlineStr">
        <is>
          <t>FY2026E</t>
        </is>
      </c>
      <c r="F4" s="13" t="inlineStr">
        <is>
          <t>FY2027E</t>
        </is>
      </c>
      <c r="G4" s="13" t="inlineStr">
        <is>
          <t>FY2028E</t>
        </is>
      </c>
      <c r="H4" s="13" t="inlineStr">
        <is>
          <t>FY2029E</t>
        </is>
      </c>
      <c r="I4" s="13" t="inlineStr">
        <is>
          <t>FY2030E</t>
        </is>
      </c>
    </row>
    <row r="5">
      <c r="A5" t="inlineStr">
        <is>
          <t>Earnings per share (EGP)</t>
        </is>
      </c>
      <c r="B5" s="36">
        <f>'Income Statement'!B14</f>
        <v/>
      </c>
      <c r="C5" s="36">
        <f>'Income Statement'!C14</f>
        <v/>
      </c>
      <c r="D5" s="36">
        <f>'Income Statement'!D14</f>
        <v/>
      </c>
      <c r="E5" s="36">
        <f>'Income Statement'!E14</f>
        <v/>
      </c>
      <c r="F5" s="36">
        <f>'Income Statement'!F14</f>
        <v/>
      </c>
      <c r="G5" s="36">
        <f>'Income Statement'!G14</f>
        <v/>
      </c>
      <c r="H5" s="36">
        <f>'Income Statement'!H14</f>
        <v/>
      </c>
      <c r="I5" s="36">
        <f>'Income Statement'!I14</f>
        <v/>
      </c>
    </row>
    <row r="6">
      <c r="A6" t="inlineStr">
        <is>
          <t>Dividend per share (EGP)</t>
        </is>
      </c>
      <c r="C6" s="36">
        <f>'Income Statement'!C18</f>
        <v/>
      </c>
      <c r="D6" s="36">
        <f>'Income Statement'!D18</f>
        <v/>
      </c>
      <c r="E6" s="36">
        <f>'Income Statement'!E18</f>
        <v/>
      </c>
      <c r="F6" s="36">
        <f>'Income Statement'!F18</f>
        <v/>
      </c>
      <c r="G6" s="36">
        <f>'Income Statement'!G18</f>
        <v/>
      </c>
      <c r="H6" s="36">
        <f>'Income Statement'!H18</f>
        <v/>
      </c>
      <c r="I6" s="36">
        <f>'Income Statement'!I18</f>
        <v/>
      </c>
    </row>
    <row r="7">
      <c r="A7" t="inlineStr">
        <is>
          <t>Book value per share (EGP)</t>
        </is>
      </c>
      <c r="D7" s="36">
        <f>'Balance Sheet'!D14</f>
        <v/>
      </c>
      <c r="E7" s="36">
        <f>'Balance Sheet'!E14</f>
        <v/>
      </c>
      <c r="F7" s="36">
        <f>'Balance Sheet'!F14</f>
        <v/>
      </c>
      <c r="G7" s="36">
        <f>'Balance Sheet'!G14</f>
        <v/>
      </c>
      <c r="H7" s="36">
        <f>'Balance Sheet'!H14</f>
        <v/>
      </c>
      <c r="I7" s="36">
        <f>'Balance Sheet'!I14</f>
        <v/>
      </c>
    </row>
    <row r="8">
      <c r="A8" t="inlineStr">
        <is>
          <t>Price / earnings (at spot)</t>
        </is>
      </c>
      <c r="B8" s="38">
        <f>Assumptions!$B$5/B5</f>
        <v/>
      </c>
      <c r="C8" s="38">
        <f>Assumptions!$B$5/C5</f>
        <v/>
      </c>
      <c r="D8" s="38">
        <f>Assumptions!$B$5/D5</f>
        <v/>
      </c>
      <c r="E8" s="38">
        <f>Assumptions!$B$5/E5</f>
        <v/>
      </c>
      <c r="F8" s="38">
        <f>Assumptions!$B$5/F5</f>
        <v/>
      </c>
      <c r="G8" s="38">
        <f>Assumptions!$B$5/G5</f>
        <v/>
      </c>
      <c r="H8" s="38">
        <f>Assumptions!$B$5/H5</f>
        <v/>
      </c>
      <c r="I8" s="38">
        <f>Assumptions!$B$5/I5</f>
        <v/>
      </c>
    </row>
    <row r="9">
      <c r="A9" t="inlineStr">
        <is>
          <t>Dividend yield (at spot)</t>
        </is>
      </c>
      <c r="C9" s="25">
        <f>C6/Assumptions!$B$5</f>
        <v/>
      </c>
      <c r="D9" s="25">
        <f>D6/Assumptions!$B$5</f>
        <v/>
      </c>
      <c r="E9" s="25">
        <f>E6/Assumptions!$B$5</f>
        <v/>
      </c>
      <c r="F9" s="25">
        <f>F6/Assumptions!$B$5</f>
        <v/>
      </c>
      <c r="G9" s="25">
        <f>G6/Assumptions!$B$5</f>
        <v/>
      </c>
      <c r="H9" s="25">
        <f>H6/Assumptions!$B$5</f>
        <v/>
      </c>
      <c r="I9" s="25">
        <f>I6/Assumptions!$B$5</f>
        <v/>
      </c>
    </row>
    <row r="10">
      <c r="A10" t="inlineStr">
        <is>
          <t>Price / book (at spot)</t>
        </is>
      </c>
      <c r="D10" s="38">
        <f>Assumptions!$B$5/D7</f>
        <v/>
      </c>
      <c r="E10" s="38">
        <f>Assumptions!$B$5/E7</f>
        <v/>
      </c>
      <c r="F10" s="38">
        <f>Assumptions!$B$5/F7</f>
        <v/>
      </c>
      <c r="G10" s="38">
        <f>Assumptions!$B$5/G7</f>
        <v/>
      </c>
      <c r="H10" s="38">
        <f>Assumptions!$B$5/H7</f>
        <v/>
      </c>
      <c r="I10" s="38">
        <f>Assumptions!$B$5/I7</f>
        <v/>
      </c>
    </row>
    <row r="11">
      <c r="A11" t="inlineStr">
        <is>
          <t>EBITDA per tonne (EGP)</t>
        </is>
      </c>
      <c r="B11" s="22">
        <f>'Income Statement'!B6/'Income Statement'!B16</f>
        <v/>
      </c>
      <c r="C11" s="22">
        <f>'Income Statement'!C6/'Income Statement'!C16</f>
        <v/>
      </c>
      <c r="D11" s="22">
        <f>'Income Statement'!D6/'Income Statement'!D16</f>
        <v/>
      </c>
      <c r="E11" s="22">
        <f>'Income Statement'!E6/'Income Statement'!E16</f>
        <v/>
      </c>
      <c r="F11" s="22">
        <f>'Income Statement'!F6/'Income Statement'!F16</f>
        <v/>
      </c>
      <c r="G11" s="22">
        <f>'Income Statement'!G6/'Income Statement'!G16</f>
        <v/>
      </c>
      <c r="H11" s="22">
        <f>'Income Statement'!H6/'Income Statement'!H16</f>
        <v/>
      </c>
      <c r="I11" s="22">
        <f>'Income Statement'!I6/'Income Statement'!I16</f>
        <v/>
      </c>
    </row>
    <row r="12">
      <c r="A12" t="inlineStr">
        <is>
          <t>Net (cash) / EBITDA</t>
        </is>
      </c>
      <c r="D12" s="38">
        <f>'Balance Sheet'!D13/'Income Statement'!D6</f>
        <v/>
      </c>
      <c r="E12" s="38">
        <f>'Balance Sheet'!E13/'Income Statement'!E6</f>
        <v/>
      </c>
      <c r="F12" s="38">
        <f>'Balance Sheet'!F13/'Income Statement'!F6</f>
        <v/>
      </c>
      <c r="G12" s="38">
        <f>'Balance Sheet'!G13/'Income Statement'!G6</f>
        <v/>
      </c>
      <c r="H12" s="38">
        <f>'Balance Sheet'!H13/'Income Statement'!H6</f>
        <v/>
      </c>
      <c r="I12" s="38">
        <f>'Balance Sheet'!I13/'Income Statement'!I6</f>
        <v/>
      </c>
    </row>
    <row r="13">
      <c r="A13" t="inlineStr">
        <is>
          <t>Return on equity</t>
        </is>
      </c>
      <c r="D13" s="17">
        <f>'Balance Sheet'!D15</f>
        <v/>
      </c>
      <c r="E13" s="17">
        <f>'Balance Sheet'!E15</f>
        <v/>
      </c>
      <c r="F13" s="17">
        <f>'Balance Sheet'!F15</f>
        <v/>
      </c>
      <c r="G13" s="17">
        <f>'Balance Sheet'!G15</f>
        <v/>
      </c>
      <c r="H13" s="17">
        <f>'Balance Sheet'!H15</f>
        <v/>
      </c>
      <c r="I13" s="17">
        <f>'Balance Sheet'!I15</f>
        <v/>
      </c>
    </row>
    <row r="15">
      <c r="A15" s="5" t="inlineStr">
        <is>
          <t>Historical book value, net cash and return on equity are shown only for FY2025, the one year</t>
        </is>
      </c>
    </row>
    <row r="16">
      <c r="A16" s="5" t="inlineStr">
        <is>
          <t>with a retrievable balance sheet. Ratios at spot use the 06-Aug-2026 close on Assumptions.</t>
        </is>
      </c>
    </row>
    <row r="18">
      <c r="A18" s="6" t="inlineStr">
        <is>
          <t>RECONCILIATIONS — THE SHARE COUNT, THE EARNINGS PER SHARE, AND THE RUN RATE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>
      <c r="A19" t="inlineStr">
        <is>
          <t>Shares implied by the FY2024 distribution (total / per share)</t>
        </is>
      </c>
      <c r="B19" s="24">
        <f>Assumptions!$B$78/Assumptions!$B$76</f>
        <v/>
      </c>
    </row>
    <row r="20">
      <c r="A20" t="inlineStr">
        <is>
          <t>Shares implied by the FY2025 distribution (total / per share)</t>
        </is>
      </c>
      <c r="B20" s="24">
        <f>Assumptions!$B$79/Assumptions!$B$77</f>
        <v/>
      </c>
    </row>
    <row r="21">
      <c r="A21" t="inlineStr">
        <is>
          <t>Shares as quoted — ADOPTED</t>
        </is>
      </c>
      <c r="B21" s="39">
        <f>Assumptions!$B$6</f>
        <v/>
      </c>
    </row>
    <row r="22">
      <c r="A22" t="inlineStr">
        <is>
          <t>Spread between the widest and narrowest route</t>
        </is>
      </c>
      <c r="B22" s="40">
        <f>MAX(B19:B21)/MIN(B19:B21)-1</f>
        <v/>
      </c>
    </row>
    <row r="23">
      <c r="A23" t="inlineStr">
        <is>
          <t>Attributable profit implied by the disclosed earnings per share</t>
        </is>
      </c>
      <c r="B23" s="22">
        <f>Assumptions!$B$86*Assumptions!$B$6</f>
        <v/>
      </c>
    </row>
    <row r="24">
      <c r="A24" t="inlineStr">
        <is>
          <t>Attributable profit as disclosed</t>
        </is>
      </c>
      <c r="B24" s="22">
        <f>Assumptions!$B$65</f>
        <v/>
      </c>
    </row>
    <row r="25">
      <c r="A25" t="inlineStr">
        <is>
          <t>Difference — the employees' and directors' statutory profit share</t>
        </is>
      </c>
      <c r="B25" s="22">
        <f>B24-B23</f>
        <v/>
      </c>
    </row>
    <row r="26">
      <c r="A26" t="inlineStr">
        <is>
          <t xml:space="preserve">  as a share of attributable profit</t>
        </is>
      </c>
      <c r="B26" s="25">
        <f>B25/B24</f>
        <v/>
      </c>
    </row>
    <row r="27">
      <c r="A27" t="inlineStr">
        <is>
          <t>Q1-2026 revenue growth on Q1-2025</t>
        </is>
      </c>
      <c r="B27" s="25">
        <f>Assumptions!$B$83/Assumptions!$B$84-1</f>
        <v/>
      </c>
    </row>
    <row r="28">
      <c r="A28" t="inlineStr">
        <is>
          <t>FY2026 revenue implied by holding that growth rate</t>
        </is>
      </c>
      <c r="B28" s="22">
        <f>Assumptions!$B$62*Assumptions!$B$83/Assumptions!$B$84</f>
        <v/>
      </c>
    </row>
    <row r="29">
      <c r="A29" t="inlineStr">
        <is>
          <t>FY2026 revenue this model forecasts</t>
        </is>
      </c>
      <c r="B29" s="20">
        <f>DCF!B5</f>
        <v/>
      </c>
    </row>
    <row r="30">
      <c r="A30" t="inlineStr">
        <is>
          <t>The forecast against the run rate</t>
        </is>
      </c>
      <c r="B30" s="25">
        <f>B29/B28-1</f>
        <v/>
      </c>
    </row>
    <row r="31">
      <c r="A31" t="inlineStr">
        <is>
          <t>Q1-2026 attributable profit, annualised at four times</t>
        </is>
      </c>
      <c r="B31" s="22">
        <f>4*Assumptions!$B$85</f>
        <v/>
      </c>
    </row>
    <row r="32">
      <c r="A32" t="inlineStr">
        <is>
          <t>FY2026 profit this model forecasts</t>
        </is>
      </c>
      <c r="B32" s="20">
        <f>'Income Statement'!E13</f>
        <v/>
      </c>
    </row>
    <row r="33">
      <c r="A33" t="inlineStr">
        <is>
          <t>The forecast against the annualised first quarter</t>
        </is>
      </c>
      <c r="B33" s="25">
        <f>B32/B31-1</f>
        <v/>
      </c>
    </row>
    <row r="35">
      <c r="A35" s="5" t="inlineStr">
        <is>
          <t>Three independent routes to the share count agree to within a fifth of one percent, which is why</t>
        </is>
      </c>
    </row>
    <row r="36">
      <c r="A36" s="5" t="inlineStr">
        <is>
          <t>the count is treated as known rather than estimated. The first-quarter run rate is shown because a</t>
        </is>
      </c>
    </row>
    <row r="37">
      <c r="A37" s="5" t="inlineStr">
        <is>
          <t>forecast that cannot be reconciled with the most recent actual quarter is not a forecast.</t>
        </is>
      </c>
    </row>
  </sheetData>
  <mergeCells count="5">
    <mergeCell ref="A37:J37"/>
    <mergeCell ref="A36:J36"/>
    <mergeCell ref="A15:J15"/>
    <mergeCell ref="A35:J35"/>
    <mergeCell ref="A16:J1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5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Relative multiples and normalised earnings power</t>
        </is>
      </c>
      <c r="B1" s="2" t="n"/>
      <c r="C1" s="2" t="n"/>
      <c r="D1" s="2" t="n"/>
      <c r="E1" s="2" t="n"/>
      <c r="F1" s="2" t="n"/>
      <c r="G1" s="2" t="n"/>
    </row>
    <row r="4">
      <c r="A4" s="6" t="inlineStr">
        <is>
          <t>NORMALISED EARNINGS BASE</t>
        </is>
      </c>
      <c r="B4" s="6" t="n"/>
      <c r="C4" s="6" t="n"/>
      <c r="D4" s="6" t="n"/>
      <c r="E4" s="6" t="n"/>
      <c r="F4" s="6" t="n"/>
      <c r="G4" s="6" t="n"/>
    </row>
    <row r="5">
      <c r="A5" t="inlineStr">
        <is>
          <t>FY2025 revenue (the cyclical peak)</t>
        </is>
      </c>
      <c r="B5" s="22">
        <f>Assumptions!$B$62</f>
        <v/>
      </c>
    </row>
    <row r="6">
      <c r="A6" t="inlineStr">
        <is>
          <t>Haircut to the revenue base</t>
        </is>
      </c>
      <c r="B6" s="25">
        <f>Assumptions!$B$98</f>
        <v/>
      </c>
    </row>
    <row r="7">
      <c r="A7" t="inlineStr">
        <is>
          <t>Normalised revenue</t>
        </is>
      </c>
      <c r="B7" s="22">
        <f>B5*B6</f>
        <v/>
      </c>
    </row>
    <row r="8">
      <c r="A8" t="inlineStr">
        <is>
          <t>Mid-cycle EBITDA margin</t>
        </is>
      </c>
      <c r="B8" s="25">
        <f>Assumptions!$B$97</f>
        <v/>
      </c>
    </row>
    <row r="9">
      <c r="A9" t="inlineStr">
        <is>
          <t>Normalised EBITDA</t>
        </is>
      </c>
      <c r="B9" s="23">
        <f>B7*B8</f>
        <v/>
      </c>
    </row>
    <row r="10">
      <c r="A10" t="inlineStr">
        <is>
          <t>Less depreciation</t>
        </is>
      </c>
      <c r="B10" s="22">
        <f>-'Unit Build'!B48</f>
        <v/>
      </c>
    </row>
    <row r="11">
      <c r="A11" t="inlineStr">
        <is>
          <t>Normalised EBIT</t>
        </is>
      </c>
      <c r="B11" s="22">
        <f>B9+B10</f>
        <v/>
      </c>
    </row>
    <row r="12">
      <c r="A12" t="inlineStr">
        <is>
          <t>Normalised NOPAT</t>
        </is>
      </c>
      <c r="B12" s="23">
        <f>B11*(1-DCF!$C$47)</f>
        <v/>
      </c>
    </row>
    <row r="13">
      <c r="A13" t="inlineStr">
        <is>
          <t>Memo: FY2025 EBITDA margin actually earned</t>
        </is>
      </c>
      <c r="B13" s="25">
        <f>'Unit Build'!B37</f>
        <v/>
      </c>
    </row>
    <row r="15">
      <c r="A15" s="6" t="inlineStr">
        <is>
          <t>RELATIVE LENS — EV/EBITDA ON NORMALISED EARNINGS</t>
        </is>
      </c>
      <c r="B15" s="6" t="n"/>
      <c r="C15" s="6" t="n"/>
      <c r="D15" s="6" t="n"/>
      <c r="E15" s="6" t="n"/>
      <c r="F15" s="6" t="n"/>
      <c r="G15" s="6" t="n"/>
    </row>
    <row r="16">
      <c r="A16" t="inlineStr">
        <is>
          <t>Justified EV/EBITDA</t>
        </is>
      </c>
      <c r="B16" s="38">
        <f>Assumptions!$B$95</f>
        <v/>
      </c>
    </row>
    <row r="17">
      <c r="A17" t="inlineStr">
        <is>
          <t>Implied enterprise value</t>
        </is>
      </c>
      <c r="B17" s="22">
        <f>B9*B16</f>
        <v/>
      </c>
    </row>
    <row r="18">
      <c r="A18" t="inlineStr">
        <is>
          <t>Plus net cash</t>
        </is>
      </c>
      <c r="B18" s="20">
        <f>DCF!B36</f>
        <v/>
      </c>
    </row>
    <row r="19">
      <c r="A19" t="inlineStr">
        <is>
          <t>Less non-controlling interests</t>
        </is>
      </c>
      <c r="B19" s="20">
        <f>DCF!B37</f>
        <v/>
      </c>
    </row>
    <row r="20">
      <c r="A20" t="inlineStr">
        <is>
          <t>Equity value</t>
        </is>
      </c>
      <c r="B20" s="22">
        <f>B17+B18+B19</f>
        <v/>
      </c>
    </row>
    <row r="21">
      <c r="A21" t="inlineStr">
        <is>
          <t>Value per share (EGP)</t>
        </is>
      </c>
      <c r="B21" s="30">
        <f>B20/Assumptions!$B$6</f>
        <v/>
      </c>
    </row>
    <row r="23">
      <c r="A23" s="6" t="inlineStr">
        <is>
          <t>NORMALISED-EARNINGS LENS</t>
        </is>
      </c>
      <c r="B23" s="6" t="n"/>
      <c r="C23" s="6" t="n"/>
      <c r="D23" s="6" t="n"/>
      <c r="E23" s="6" t="n"/>
      <c r="F23" s="6" t="n"/>
      <c r="G23" s="6" t="n"/>
    </row>
    <row r="24">
      <c r="A24" t="inlineStr">
        <is>
          <t>Justified price / earnings</t>
        </is>
      </c>
      <c r="B24" s="38">
        <f>Assumptions!$B$96</f>
        <v/>
      </c>
    </row>
    <row r="25">
      <c r="A25" t="inlineStr">
        <is>
          <t>Capitalised operating earnings</t>
        </is>
      </c>
      <c r="B25" s="22">
        <f>B12*B24</f>
        <v/>
      </c>
    </row>
    <row r="26">
      <c r="A26" t="inlineStr">
        <is>
          <t>Plus net cash, at FACE</t>
        </is>
      </c>
      <c r="B26" s="20">
        <f>DCF!B36</f>
        <v/>
      </c>
    </row>
    <row r="27">
      <c r="A27" t="inlineStr">
        <is>
          <t>Less non-controlling interests</t>
        </is>
      </c>
      <c r="B27" s="20">
        <f>DCF!B37</f>
        <v/>
      </c>
    </row>
    <row r="28">
      <c r="A28" t="inlineStr">
        <is>
          <t>Equity value</t>
        </is>
      </c>
      <c r="B28" s="22">
        <f>B25+B26+B27</f>
        <v/>
      </c>
    </row>
    <row r="29">
      <c r="A29" t="inlineStr">
        <is>
          <t>Value per share (EGP)</t>
        </is>
      </c>
      <c r="B29" s="30">
        <f>B28/Assumptions!$B$6</f>
        <v/>
      </c>
    </row>
    <row r="31">
      <c r="A31" s="5" t="inlineStr">
        <is>
          <t>Cash is added at FACE in both lenses rather than capitalised at the operating multiple. Cash is</t>
        </is>
      </c>
    </row>
    <row r="32">
      <c r="A32" s="5" t="inlineStr">
        <is>
          <t>worth cash; capitalising it at seven times would value a pound of treasury at a discount to itself.</t>
        </is>
      </c>
    </row>
  </sheetData>
  <mergeCells count="2">
    <mergeCell ref="A32:J32"/>
    <mergeCell ref="A31:J3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58" customWidth="1" min="1" max="1"/>
    <col width="22" customWidth="1" min="2" max="2"/>
    <col width="22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Asset lens, and the choices that were contested</t>
        </is>
      </c>
      <c r="B1" s="2" t="n"/>
      <c r="C1" s="2" t="n"/>
      <c r="D1" s="2" t="n"/>
      <c r="E1" s="2" t="n"/>
      <c r="F1" s="2" t="n"/>
      <c r="G1" s="2" t="n"/>
    </row>
    <row r="4">
      <c r="A4" s="6" t="inlineStr">
        <is>
          <t>ASSET / REPLACEMENT-COST LENS</t>
        </is>
      </c>
      <c r="B4" s="6" t="n"/>
      <c r="C4" s="6" t="n"/>
      <c r="D4" s="6" t="n"/>
      <c r="E4" s="6" t="n"/>
      <c r="F4" s="6" t="n"/>
      <c r="G4" s="6" t="n"/>
    </row>
    <row r="5">
      <c r="A5" t="inlineStr">
        <is>
          <t>Cement capacity (Mt/yr)</t>
        </is>
      </c>
      <c r="B5" s="24">
        <f>Assumptions!$B$12</f>
        <v/>
      </c>
    </row>
    <row r="6">
      <c r="A6" t="inlineStr">
        <is>
          <t>Replacement cost per annual tonne (USD)</t>
        </is>
      </c>
      <c r="B6" s="22">
        <f>Assumptions!$B$93</f>
        <v/>
      </c>
    </row>
    <row r="7">
      <c r="A7" t="inlineStr">
        <is>
          <t>Justified enterprise value per annual tonne (USD)</t>
        </is>
      </c>
      <c r="B7" s="22">
        <f>Assumptions!$B$94</f>
        <v/>
      </c>
    </row>
    <row r="8">
      <c r="A8" t="inlineStr">
        <is>
          <t>Discount to replacement cost</t>
        </is>
      </c>
      <c r="B8" s="25">
        <f>B7/B6-1</f>
        <v/>
      </c>
    </row>
    <row r="9">
      <c r="A9" t="inlineStr">
        <is>
          <t>Implied enterprise value (EGP mn)</t>
        </is>
      </c>
      <c r="B9" s="22">
        <f>B7*B5*Assumptions!$B$8</f>
        <v/>
      </c>
    </row>
    <row r="10">
      <c r="A10" t="inlineStr">
        <is>
          <t>Plus net cash</t>
        </is>
      </c>
      <c r="B10" s="20">
        <f>DCF!B36</f>
        <v/>
      </c>
    </row>
    <row r="11">
      <c r="A11" t="inlineStr">
        <is>
          <t>Less non-controlling interests</t>
        </is>
      </c>
      <c r="B11" s="20">
        <f>DCF!B37</f>
        <v/>
      </c>
    </row>
    <row r="12">
      <c r="A12" t="inlineStr">
        <is>
          <t>Equity value</t>
        </is>
      </c>
      <c r="B12" s="22">
        <f>B9+B10+B11</f>
        <v/>
      </c>
    </row>
    <row r="13">
      <c r="A13" t="inlineStr">
        <is>
          <t>Value per share (EGP)</t>
        </is>
      </c>
      <c r="B13" s="30">
        <f>B12/Assumptions!$B$6</f>
        <v/>
      </c>
    </row>
    <row r="14">
      <c r="A14" t="inlineStr">
        <is>
          <t>Memo: what the MARKET is paying per annual tonne (USD)</t>
        </is>
      </c>
      <c r="B14" s="37">
        <f>(Assumptions!$B$5*Assumptions!$B$6-DCF!B36+Assumptions!$B$75)/Assumptions!$B$12/Assumptions!$B$8</f>
        <v/>
      </c>
    </row>
    <row r="16">
      <c r="A16" s="6" t="inlineStr">
        <is>
          <t>CONTESTED CHOICES — EACH COMPUTED, NOT ARGUED</t>
        </is>
      </c>
      <c r="B16" s="6" t="n"/>
      <c r="C16" s="6" t="n"/>
      <c r="D16" s="6" t="n"/>
      <c r="E16" s="6" t="n"/>
      <c r="F16" s="6" t="n"/>
      <c r="G16" s="6" t="n"/>
    </row>
    <row r="17">
      <c r="A17" s="13" t="inlineStr">
        <is>
          <t>Choice</t>
        </is>
      </c>
      <c r="B17" s="13" t="inlineStr">
        <is>
          <t>Adopted</t>
        </is>
      </c>
      <c r="C17" s="13" t="inlineStr">
        <is>
          <t>Alternative</t>
        </is>
      </c>
      <c r="D17" s="13" t="inlineStr">
        <is>
          <t>Fair value adopted</t>
        </is>
      </c>
      <c r="E17" s="13" t="inlineStr">
        <is>
          <t>Fair value alternative</t>
        </is>
      </c>
      <c r="F17" s="13" t="inlineStr">
        <is>
          <t>Effect</t>
        </is>
      </c>
    </row>
    <row r="18">
      <c r="A18" s="41" t="inlineStr">
        <is>
          <t>Beta: contemporaneous regression (adopted) vs Dimson lead-lag sum-beta</t>
        </is>
      </c>
      <c r="B18" t="inlineStr">
        <is>
          <t>0.628</t>
        </is>
      </c>
      <c r="C18" t="inlineStr">
        <is>
          <t>0.919</t>
        </is>
      </c>
      <c r="D18" s="36">
        <f>DCF!$B$40</f>
        <v/>
      </c>
      <c r="E18" s="7" t="n">
        <v>44.58352558892741</v>
      </c>
      <c r="F18" s="25">
        <f>E18/D18-1</f>
        <v/>
      </c>
    </row>
    <row r="19">
      <c r="A19" s="41" t="inlineStr">
        <is>
          <t>Capital-structure weights: gross debt (adopted) vs net debt</t>
        </is>
      </c>
      <c r="B19" t="inlineStr">
        <is>
          <t>4.47%</t>
        </is>
      </c>
      <c r="C19" t="inlineStr">
        <is>
          <t>-12.31%</t>
        </is>
      </c>
      <c r="D19" s="36">
        <f>DCF!$B$40</f>
        <v/>
      </c>
      <c r="E19" s="7" t="n">
        <v>48.5596051939117</v>
      </c>
      <c r="F19" s="25">
        <f>E19/D19-1</f>
        <v/>
      </c>
    </row>
    <row r="20">
      <c r="A20" s="41" t="inlineStr">
        <is>
          <t>Minority interests: EGP 150mn deducted (adopted) vs none</t>
        </is>
      </c>
      <c r="B20" t="inlineStr">
        <is>
          <t>150</t>
        </is>
      </c>
      <c r="C20" t="inlineStr">
        <is>
          <t>0</t>
        </is>
      </c>
      <c r="D20" s="36">
        <f>DCF!$B$40</f>
        <v/>
      </c>
      <c r="E20" s="7" t="n">
        <v>49.68867602751624</v>
      </c>
      <c r="F20" s="25">
        <f>E20/D20-1</f>
        <v/>
      </c>
    </row>
    <row r="21">
      <c r="A21" s="41" t="inlineStr">
        <is>
          <t>Capex: economic maintenance in dollars per tonne (adopted) vs book depreciation</t>
        </is>
      </c>
      <c r="B21" t="inlineStr">
        <is>
          <t>USD 4.00/t</t>
        </is>
      </c>
      <c r="C21" t="inlineStr">
        <is>
          <t>book depreciation</t>
        </is>
      </c>
      <c r="D21" s="36">
        <f>DCF!$B$40</f>
        <v/>
      </c>
      <c r="E21" s="7" t="n">
        <v>54.27967469100813</v>
      </c>
      <c r="F21" s="25">
        <f>E21/D21-1</f>
        <v/>
      </c>
    </row>
    <row r="23">
      <c r="A23" s="5" t="inlineStr">
        <is>
          <t>The alternative fair values in column E are whole-model re-runs — class 3 pasted cells. Each one</t>
        </is>
      </c>
    </row>
    <row r="24">
      <c r="A24" s="5" t="inlineStr">
        <is>
          <t>is a complete revaluation at a different assumption and cannot be a formula in a grid. The EFFECT</t>
        </is>
      </c>
    </row>
    <row r="25">
      <c r="A25" s="5" t="inlineStr">
        <is>
          <t>column is a live formula against the adopted value, so it moves when the model does.</t>
        </is>
      </c>
    </row>
    <row r="27">
      <c r="A27" s="6" t="inlineStr">
        <is>
          <t>TERMINAL-GROWTH RECONCILIATION</t>
        </is>
      </c>
      <c r="B27" s="6" t="n"/>
      <c r="C27" s="6" t="n"/>
      <c r="D27" s="6" t="n"/>
      <c r="E27" s="6" t="n"/>
      <c r="F27" s="6" t="n"/>
      <c r="G27" s="6" t="n"/>
    </row>
    <row r="28">
      <c r="A28" t="inlineStr">
        <is>
          <t>Profit growth achieved since FY2022 (compound)</t>
        </is>
      </c>
      <c r="B28" s="9" t="n">
        <v>1.156273593857146</v>
      </c>
    </row>
    <row r="29">
      <c r="A29" t="inlineStr">
        <is>
          <t>FY2025 revenue as a share of Egyptian nominal output</t>
        </is>
      </c>
      <c r="B29" s="42">
        <f>Assumptions!$B$62/18000000.0</f>
        <v/>
      </c>
    </row>
    <row r="30">
      <c r="A30" t="inlineStr">
        <is>
          <t>Years until that growth rate equals the whole economy</t>
        </is>
      </c>
      <c r="B30" s="10" t="n">
        <v>12.07006874719174</v>
      </c>
    </row>
    <row r="31">
      <c r="A31" t="inlineStr">
        <is>
          <t>Terminal return on invested capital</t>
        </is>
      </c>
      <c r="B31" s="17">
        <f>DCF!B24</f>
        <v/>
      </c>
    </row>
    <row r="32">
      <c r="A32" t="inlineStr">
        <is>
          <t>Terminal rate</t>
        </is>
      </c>
      <c r="B32" s="17">
        <f>DCF!$C$46</f>
        <v/>
      </c>
    </row>
    <row r="33">
      <c r="A33" t="inlineStr">
        <is>
          <t>Reinvestment rate that terminal growth requires</t>
        </is>
      </c>
      <c r="B33" s="17">
        <f>DCF!B25</f>
        <v/>
      </c>
    </row>
    <row r="34">
      <c r="A34" t="inlineStr">
        <is>
          <t>Terminal growth adopted</t>
        </is>
      </c>
      <c r="B34" s="25">
        <f>Assumptions!$B$56</f>
        <v/>
      </c>
    </row>
    <row r="36">
      <c r="A36" s="5" t="inlineStr">
        <is>
          <t>Terminal return on capital sits BELOW the terminal rate, so faster terminal growth LOWERS the</t>
        </is>
      </c>
    </row>
    <row r="37">
      <c r="A37" s="5" t="inlineStr">
        <is>
          <t>valuation rather than raising it. That is visible in the growth column of the Sensitivity sheet.</t>
        </is>
      </c>
    </row>
  </sheetData>
  <mergeCells count="5">
    <mergeCell ref="A23:J23"/>
    <mergeCell ref="A37:J37"/>
    <mergeCell ref="A36:J36"/>
    <mergeCell ref="A24:J24"/>
    <mergeCell ref="A25:J2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Summary valuation table</t>
        </is>
      </c>
      <c r="B1" s="2" t="n"/>
      <c r="C1" s="2" t="n"/>
      <c r="D1" s="2" t="n"/>
      <c r="E1" s="2" t="n"/>
      <c r="F1" s="2" t="n"/>
      <c r="G1" s="2" t="n"/>
    </row>
    <row r="2">
      <c r="A2" s="5" t="inlineStr">
        <is>
          <t>Every value linked live from its own sheet.</t>
        </is>
      </c>
    </row>
    <row r="4">
      <c r="A4" s="13" t="inlineStr">
        <is>
          <t>Lens</t>
        </is>
      </c>
      <c r="B4" s="13" t="inlineStr">
        <is>
          <t>Value per share (EGP)</t>
        </is>
      </c>
      <c r="C4" s="13" t="inlineStr">
        <is>
          <t>Weight</t>
        </is>
      </c>
      <c r="D4" s="13" t="inlineStr">
        <is>
          <t>Weighted contribution</t>
        </is>
      </c>
      <c r="E4" s="13" t="inlineStr">
        <is>
          <t>Versus spot</t>
        </is>
      </c>
      <c r="F4" s="13" t="inlineStr">
        <is>
          <t>Terminal value % of EV</t>
        </is>
      </c>
    </row>
    <row r="5">
      <c r="A5" t="inlineStr">
        <is>
          <t>DCF (cash flow)</t>
        </is>
      </c>
      <c r="B5" s="43">
        <f>DCF!B40</f>
        <v/>
      </c>
      <c r="C5" s="17">
        <f>Assumptions!$B$99</f>
        <v/>
      </c>
      <c r="D5" s="33">
        <f>B5*C5</f>
        <v/>
      </c>
      <c r="E5" s="25">
        <f>B5/Assumptions!$B$5-1</f>
        <v/>
      </c>
      <c r="F5" s="35">
        <f>DCF!B33</f>
        <v/>
      </c>
    </row>
    <row r="6">
      <c r="A6" t="inlineStr">
        <is>
          <t>Relative multiples</t>
        </is>
      </c>
      <c r="B6" s="43">
        <f>'Relative &amp; Normalized'!B21</f>
        <v/>
      </c>
      <c r="C6" s="17">
        <f>Assumptions!$B$100</f>
        <v/>
      </c>
      <c r="D6" s="33">
        <f>B6*C6</f>
        <v/>
      </c>
      <c r="E6" s="25">
        <f>B6/Assumptions!$B$5-1</f>
        <v/>
      </c>
      <c r="F6" t="inlineStr">
        <is>
          <t>—</t>
        </is>
      </c>
    </row>
    <row r="7">
      <c r="A7" t="inlineStr">
        <is>
          <t>Normalised earnings</t>
        </is>
      </c>
      <c r="B7" s="43">
        <f>'Relative &amp; Normalized'!B29</f>
        <v/>
      </c>
      <c r="C7" s="17">
        <f>Assumptions!$B$101</f>
        <v/>
      </c>
      <c r="D7" s="33">
        <f>B7*C7</f>
        <v/>
      </c>
      <c r="E7" s="25">
        <f>B7/Assumptions!$B$5-1</f>
        <v/>
      </c>
      <c r="F7" t="inlineStr">
        <is>
          <t>—</t>
        </is>
      </c>
    </row>
    <row r="8">
      <c r="A8" t="inlineStr">
        <is>
          <t>Asset / replacement cost</t>
        </is>
      </c>
      <c r="B8" s="43">
        <f>'Fundamental Valuation'!B13</f>
        <v/>
      </c>
      <c r="C8" s="17">
        <f>Assumptions!$B$102</f>
        <v/>
      </c>
      <c r="D8" s="33">
        <f>B8*C8</f>
        <v/>
      </c>
      <c r="E8" s="25">
        <f>B8/Assumptions!$B$5-1</f>
        <v/>
      </c>
      <c r="F8" t="inlineStr">
        <is>
          <t>—</t>
        </is>
      </c>
    </row>
    <row r="9">
      <c r="A9" t="inlineStr">
        <is>
          <t>WEIGHTED CENTRAL FAIR VALUE</t>
        </is>
      </c>
      <c r="B9" s="30">
        <f>SUMPRODUCT(B5:B8,C5:C8)</f>
        <v/>
      </c>
      <c r="C9" s="28">
        <f>SUM(C5:C8)</f>
        <v/>
      </c>
      <c r="D9" s="30">
        <f>SUM(D5:D8)</f>
        <v/>
      </c>
      <c r="E9" s="28">
        <f>B9/Assumptions!$B$5-1</f>
        <v/>
      </c>
    </row>
    <row r="10">
      <c r="A10" t="inlineStr">
        <is>
          <t>Lowest lens</t>
        </is>
      </c>
      <c r="B10" s="33">
        <f>MIN(B5:B8)</f>
        <v/>
      </c>
      <c r="E10" s="25">
        <f>B10/Assumptions!$B$5-1</f>
        <v/>
      </c>
    </row>
    <row r="11">
      <c r="A11" t="inlineStr">
        <is>
          <t>Highest lens</t>
        </is>
      </c>
      <c r="B11" s="33">
        <f>MAX(B5:B8)</f>
        <v/>
      </c>
      <c r="E11" s="25">
        <f>B11/Assumptions!$B$5-1</f>
        <v/>
      </c>
    </row>
    <row r="12">
      <c r="A12" t="inlineStr">
        <is>
          <t>Market price, 6 August 2026</t>
        </is>
      </c>
      <c r="B12" s="36">
        <f>Assumptions!$B$5</f>
        <v/>
      </c>
    </row>
    <row r="13">
      <c r="A13" t="inlineStr">
        <is>
          <t>Market capitalisation (EGP mn)</t>
        </is>
      </c>
      <c r="B13" s="20">
        <f>DCF!C42</f>
        <v/>
      </c>
    </row>
    <row r="15">
      <c r="A15" s="6" t="inlineStr">
        <is>
          <t>THE THREE-PANEL VALUATIONS</t>
        </is>
      </c>
      <c r="B15" s="6" t="n"/>
      <c r="C15" s="6" t="n"/>
      <c r="D15" s="6" t="n"/>
      <c r="E15" s="6" t="n"/>
      <c r="F15" s="6" t="n"/>
      <c r="G15" s="6" t="n"/>
    </row>
    <row r="16">
      <c r="A16" s="13" t="inlineStr"/>
      <c r="B16" s="13" t="inlineStr">
        <is>
          <t>Low (EGP)</t>
        </is>
      </c>
      <c r="C16" s="13" t="inlineStr">
        <is>
          <t>Central (EGP)</t>
        </is>
      </c>
      <c r="D16" s="13" t="inlineStr">
        <is>
          <t>High (EGP)</t>
        </is>
      </c>
      <c r="E16" s="13" t="inlineStr">
        <is>
          <t>Versus spot</t>
        </is>
      </c>
    </row>
    <row r="17">
      <c r="A17" t="inlineStr">
        <is>
          <t>Expert 1 — Replacement-cost industrialist</t>
        </is>
      </c>
      <c r="B17" s="7" t="n">
        <v>63.61941022224504</v>
      </c>
      <c r="C17" s="7" t="n">
        <v>73.68289889831942</v>
      </c>
      <c r="D17" s="7" t="n">
        <v>83.74638757439379</v>
      </c>
      <c r="E17" s="25">
        <f>C17/Assumptions!$B$5-1</f>
        <v/>
      </c>
    </row>
    <row r="18">
      <c r="A18" t="inlineStr">
        <is>
          <t>Expert 2 — Mid-cycle earnings-power analyst</t>
        </is>
      </c>
      <c r="B18" s="7" t="n">
        <v>47.25024464441154</v>
      </c>
      <c r="C18" s="7" t="n">
        <v>53.46737364906095</v>
      </c>
      <c r="D18" s="7" t="n">
        <v>59.68450265371037</v>
      </c>
      <c r="E18" s="25">
        <f>C18/Assumptions!$B$5-1</f>
        <v/>
      </c>
    </row>
    <row r="19">
      <c r="A19" t="inlineStr">
        <is>
          <t>Expert 3 — Cash-return and distribution investor</t>
        </is>
      </c>
      <c r="B19" s="7" t="n">
        <v>44.04599055058302</v>
      </c>
      <c r="C19" s="7" t="n">
        <v>48.91720768402131</v>
      </c>
      <c r="D19" s="7" t="n">
        <v>55.41216386193901</v>
      </c>
      <c r="E19" s="25">
        <f>C19/Assumptions!$B$5-1</f>
        <v/>
      </c>
    </row>
    <row r="20">
      <c r="A20" t="inlineStr">
        <is>
          <t>Panel median</t>
        </is>
      </c>
      <c r="C20" s="30">
        <f>MEDIAN(C17:C19)</f>
        <v/>
      </c>
      <c r="E20" s="25">
        <f>C20/Assumptions!$B$5-1</f>
        <v/>
      </c>
    </row>
    <row r="22">
      <c r="A22" s="5" t="inlineStr">
        <is>
          <t>Terminal value as a percentage of enterprise value is shown beside the cash-flow lens and links</t>
        </is>
      </c>
    </row>
    <row r="23">
      <c r="A23" s="5" t="inlineStr">
        <is>
          <t>live to the DCF sheet — it is never typed. The three panel valuations are whole-model re-runs on</t>
        </is>
      </c>
    </row>
    <row r="24">
      <c r="A24" s="5" t="inlineStr">
        <is>
          <t>different methods and are pasted; the versus-spot column beside them is a formula.</t>
        </is>
      </c>
    </row>
  </sheetData>
  <mergeCells count="3">
    <mergeCell ref="A22:J22"/>
    <mergeCell ref="A23:J23"/>
    <mergeCell ref="A24:J2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Probabilistic price map — ILLUSTRATIVE ONLY</t>
        </is>
      </c>
      <c r="B1" s="2" t="n"/>
      <c r="C1" s="2" t="n"/>
      <c r="D1" s="2" t="n"/>
      <c r="E1" s="2" t="n"/>
      <c r="F1" s="2" t="n"/>
      <c r="G1" s="2" t="n"/>
    </row>
    <row r="2">
      <c r="A2" s="5" t="inlineStr">
        <is>
          <t>Percentiles are the output of a 50,000-path simulation: pasted, class 2.</t>
        </is>
      </c>
    </row>
    <row r="3">
      <c r="A3" s="5" t="inlineStr">
        <is>
          <t>This map is NOT a valuation. It is a distribution of where the SHARE PRICE could sit, drawn from</t>
        </is>
      </c>
    </row>
    <row r="4">
      <c r="A4" s="5" t="inlineStr">
        <is>
          <t>the price history alone. It does not redraw when a valuation driver changes.</t>
        </is>
      </c>
    </row>
    <row r="6">
      <c r="A6" s="13" t="inlineStr"/>
      <c r="B6" s="13" t="inlineStr">
        <is>
          <t>One month</t>
        </is>
      </c>
      <c r="C6" s="13" t="inlineStr">
        <is>
          <t>Three months</t>
        </is>
      </c>
    </row>
    <row r="7">
      <c r="A7" t="inlineStr">
        <is>
          <t>5th percentile</t>
        </is>
      </c>
      <c r="B7" s="7" t="n">
        <v>50.44411079643812</v>
      </c>
      <c r="C7" s="7" t="n">
        <v>43.92251500574132</v>
      </c>
    </row>
    <row r="8">
      <c r="A8" t="inlineStr">
        <is>
          <t>25th percentile</t>
        </is>
      </c>
      <c r="B8" s="7" t="n">
        <v>55.93407825036965</v>
      </c>
      <c r="C8" s="7" t="n">
        <v>53.71118201283569</v>
      </c>
    </row>
    <row r="9">
      <c r="A9" t="inlineStr">
        <is>
          <t>Median</t>
        </is>
      </c>
      <c r="B9" s="7" t="n">
        <v>59.44846516132147</v>
      </c>
      <c r="C9" s="7" t="n">
        <v>60.45648238700502</v>
      </c>
    </row>
    <row r="10">
      <c r="A10" t="inlineStr">
        <is>
          <t>75th percentile</t>
        </is>
      </c>
      <c r="B10" s="7" t="n">
        <v>63.21157019864793</v>
      </c>
      <c r="C10" s="7" t="n">
        <v>67.96866271949057</v>
      </c>
    </row>
    <row r="11">
      <c r="A11" t="inlineStr">
        <is>
          <t>95th percentile</t>
        </is>
      </c>
      <c r="B11" s="7" t="n">
        <v>70.08572445904177</v>
      </c>
      <c r="C11" s="7" t="n">
        <v>83.16839780094888</v>
      </c>
    </row>
    <row r="12">
      <c r="A12" t="inlineStr">
        <is>
          <t>Spot</t>
        </is>
      </c>
      <c r="B12" s="36">
        <f>Assumptions!$B$5</f>
        <v/>
      </c>
      <c r="C12" s="36">
        <f>Assumptions!$B$5</f>
        <v/>
      </c>
    </row>
    <row r="14">
      <c r="A14" t="inlineStr">
        <is>
          <t>Probability of finishing above spot</t>
        </is>
      </c>
      <c r="B14" s="9" t="n">
        <v>0.53378</v>
      </c>
      <c r="C14" s="9" t="n">
        <v>0.55584</v>
      </c>
    </row>
    <row r="15">
      <c r="A15" t="inlineStr">
        <is>
          <t>Probability of finishing 10% or more above</t>
        </is>
      </c>
      <c r="B15" s="9" t="n">
        <v>0.16972</v>
      </c>
      <c r="C15" s="9" t="n">
        <v>0.33954</v>
      </c>
    </row>
    <row r="16">
      <c r="A16" t="inlineStr">
        <is>
          <t>Probability of finishing 10% or more below</t>
        </is>
      </c>
      <c r="B16" s="9" t="n">
        <v>0.11564</v>
      </c>
      <c r="C16" s="9" t="n">
        <v>0.2301</v>
      </c>
    </row>
    <row r="17">
      <c r="A17" t="inlineStr">
        <is>
          <t>Probability of TOUCHING +10% at any point</t>
        </is>
      </c>
      <c r="B17" s="9" t="n">
        <v>0.2777</v>
      </c>
      <c r="C17" s="9" t="n">
        <v>0.57952</v>
      </c>
    </row>
    <row r="18">
      <c r="A18" t="inlineStr">
        <is>
          <t>Probability of TOUCHING -10% at any point</t>
        </is>
      </c>
      <c r="B18" s="9" t="n">
        <v>0.19752</v>
      </c>
      <c r="C18" s="9" t="n">
        <v>0.45536</v>
      </c>
    </row>
    <row r="20">
      <c r="A20" t="inlineStr">
        <is>
          <t>Median versus spot</t>
        </is>
      </c>
      <c r="B20" s="25">
        <f>B9/B12-1</f>
        <v/>
      </c>
      <c r="C20" s="25">
        <f>C9/C12-1</f>
        <v/>
      </c>
    </row>
    <row r="21">
      <c r="A21" t="inlineStr">
        <is>
          <t>Width of the 5th-95th band, as % of spot</t>
        </is>
      </c>
      <c r="B21" s="25">
        <f>(B11-B7)/B12</f>
        <v/>
      </c>
      <c r="C21" s="25">
        <f>(C11-C7)/C12</f>
        <v/>
      </c>
    </row>
    <row r="23">
      <c r="A23" s="6" t="inlineStr">
        <is>
          <t>HOW WELL CALIBRATED IS THIS MAP? — MEASURED, NOT ASSERTED</t>
        </is>
      </c>
      <c r="B23" s="6" t="n"/>
      <c r="C23" s="6" t="n"/>
      <c r="D23" s="6" t="n"/>
      <c r="E23" s="6" t="n"/>
      <c r="F23" s="6" t="n"/>
      <c r="G23" s="6" t="n"/>
    </row>
    <row r="24">
      <c r="A24" t="inlineStr">
        <is>
          <t>Windows scored</t>
        </is>
      </c>
      <c r="B24" s="12" t="n">
        <v>16</v>
      </c>
    </row>
    <row r="25">
      <c r="A25" t="inlineStr">
        <is>
          <t>Skill against a random walk</t>
        </is>
      </c>
      <c r="B25" s="9" t="n">
        <v>-0.01779056992603278</v>
      </c>
    </row>
    <row r="26">
      <c r="A26" t="inlineStr">
        <is>
          <t>Coverage of the 50% band (nominal 50%)</t>
        </is>
      </c>
      <c r="B26" s="9" t="n">
        <v>0.5625</v>
      </c>
    </row>
    <row r="27">
      <c r="A27" t="inlineStr">
        <is>
          <t>Coverage of the 80% band (nominal 80%)</t>
        </is>
      </c>
      <c r="B27" s="9" t="n">
        <v>1</v>
      </c>
    </row>
    <row r="28">
      <c r="A28" t="inlineStr">
        <is>
          <t>Coverage of the 90% band (nominal 90%)</t>
        </is>
      </c>
      <c r="B28" s="9" t="n">
        <v>1</v>
      </c>
    </row>
    <row r="29">
      <c r="A29" t="inlineStr">
        <is>
          <t>Cone width against the benchmark</t>
        </is>
      </c>
      <c r="B29" s="15" t="n">
        <v>1.234292255993717</v>
      </c>
    </row>
    <row r="31">
      <c r="A31" s="5" t="inlineStr">
        <is>
          <t>The bands cover MORE than their nominal share, so the map is too wide rather than mis-centred.</t>
        </is>
      </c>
    </row>
    <row r="32">
      <c r="A32" s="5" t="inlineStr">
        <is>
          <t>It is carried as illustrative only and no valuation conclusion rests on it.</t>
        </is>
      </c>
    </row>
  </sheetData>
  <mergeCells count="4">
    <mergeCell ref="A32:J32"/>
    <mergeCell ref="A4:J4"/>
    <mergeCell ref="A31:J31"/>
    <mergeCell ref="A3:J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Sensitivity — whole-model re-runs (class 3, pasted)</t>
        </is>
      </c>
      <c r="B1" s="2" t="n"/>
      <c r="C1" s="2" t="n"/>
      <c r="D1" s="2" t="n"/>
      <c r="E1" s="2" t="n"/>
      <c r="F1" s="2" t="n"/>
      <c r="G1" s="2" t="n"/>
    </row>
    <row r="2">
      <c r="A2" s="5" t="inlineStr">
        <is>
          <t>Each cell is a complete revaluation. THESE GRIDS DO NOT REDRAW.</t>
        </is>
      </c>
    </row>
    <row r="4">
      <c r="A4" s="44" t="inlineStr">
        <is>
          <t>Fair value per share (EGP): explicit-window cost of capital against terminal growth</t>
        </is>
      </c>
    </row>
    <row r="5">
      <c r="A5" s="13" t="inlineStr"/>
      <c r="B5" s="13" t="inlineStr">
        <is>
          <t>g = 3%</t>
        </is>
      </c>
      <c r="C5" s="13" t="inlineStr">
        <is>
          <t>g = 4%</t>
        </is>
      </c>
      <c r="D5" s="13" t="inlineStr">
        <is>
          <t>g = 5%</t>
        </is>
      </c>
      <c r="E5" s="13" t="inlineStr">
        <is>
          <t>g = 6%</t>
        </is>
      </c>
      <c r="F5" s="13" t="inlineStr">
        <is>
          <t>g = 7%</t>
        </is>
      </c>
    </row>
    <row r="6">
      <c r="A6" s="14" t="n">
        <v>0.214554846168287</v>
      </c>
      <c r="B6" s="7" t="n">
        <v>53.81867631907996</v>
      </c>
      <c r="C6" s="7" t="n">
        <v>52.50494745620266</v>
      </c>
      <c r="D6" s="7" t="n">
        <v>50.96321416624738</v>
      </c>
      <c r="E6" s="7" t="n">
        <v>49.12847911986933</v>
      </c>
      <c r="F6" s="7" t="n">
        <v>46.9084458345497</v>
      </c>
    </row>
    <row r="7">
      <c r="A7" s="14" t="n">
        <v>0.229554846168287</v>
      </c>
      <c r="B7" s="7" t="n">
        <v>52.89634194913333</v>
      </c>
      <c r="C7" s="7" t="n">
        <v>51.6154490716198</v>
      </c>
      <c r="D7" s="7" t="n">
        <v>50.11225062182395</v>
      </c>
      <c r="E7" s="7" t="n">
        <v>48.32337384561994</v>
      </c>
      <c r="F7" s="7" t="n">
        <v>46.15882916416957</v>
      </c>
    </row>
    <row r="8">
      <c r="A8" s="14" t="n">
        <v>0.244554846168287</v>
      </c>
      <c r="B8" s="7" t="n">
        <v>52.00365247255876</v>
      </c>
      <c r="C8" s="7" t="n">
        <v>50.75449385635275</v>
      </c>
      <c r="D8" s="7" t="n">
        <v>49.2885373127618</v>
      </c>
      <c r="E8" s="7" t="n">
        <v>47.54398015458331</v>
      </c>
      <c r="F8" s="7" t="n">
        <v>45.43306230464933</v>
      </c>
    </row>
    <row r="9">
      <c r="A9" s="14" t="n">
        <v>0.2595548461682869</v>
      </c>
      <c r="B9" s="7" t="n">
        <v>51.13936785536634</v>
      </c>
      <c r="C9" s="7" t="n">
        <v>49.92088875667255</v>
      </c>
      <c r="D9" s="7" t="n">
        <v>48.49093631925977</v>
      </c>
      <c r="E9" s="7" t="n">
        <v>46.78922573892261</v>
      </c>
      <c r="F9" s="7" t="n">
        <v>44.73015233876765</v>
      </c>
    </row>
    <row r="10">
      <c r="A10" s="14" t="n">
        <v>0.274554846168287</v>
      </c>
      <c r="B10" s="7" t="n">
        <v>50.30231201289866</v>
      </c>
      <c r="C10" s="7" t="n">
        <v>49.11350222059249</v>
      </c>
      <c r="D10" s="7" t="n">
        <v>47.71836835087676</v>
      </c>
      <c r="E10" s="7" t="n">
        <v>46.05809350189124</v>
      </c>
      <c r="F10" s="7" t="n">
        <v>44.04915742427982</v>
      </c>
    </row>
    <row r="12">
      <c r="A12" s="44" t="inlineStr">
        <is>
          <t>Fair value per share (EGP): explicit-window rate against TERMINAL rate</t>
        </is>
      </c>
    </row>
    <row r="13">
      <c r="A13" s="13" t="inlineStr"/>
      <c r="B13" s="13" t="inlineStr">
        <is>
          <t>terminal 14.5%</t>
        </is>
      </c>
      <c r="C13" s="13" t="inlineStr">
        <is>
          <t>terminal 15.5%</t>
        </is>
      </c>
      <c r="D13" s="13" t="inlineStr">
        <is>
          <t>terminal 16.5%</t>
        </is>
      </c>
      <c r="E13" s="13" t="inlineStr">
        <is>
          <t>terminal 17.5%</t>
        </is>
      </c>
      <c r="F13" s="13" t="inlineStr">
        <is>
          <t>terminal 18.5%</t>
        </is>
      </c>
    </row>
    <row r="14">
      <c r="A14" s="14" t="n">
        <v>0.214554846168287</v>
      </c>
      <c r="B14" s="7" t="n">
        <v>56.25508167449634</v>
      </c>
      <c r="C14" s="7" t="n">
        <v>53.36275068755228</v>
      </c>
      <c r="D14" s="7" t="n">
        <v>50.96321416624738</v>
      </c>
      <c r="E14" s="7" t="n">
        <v>48.9386204379364</v>
      </c>
      <c r="F14" s="7" t="n">
        <v>47.20597003004787</v>
      </c>
    </row>
    <row r="15">
      <c r="A15" s="14" t="n">
        <v>0.229554846168287</v>
      </c>
      <c r="B15" s="7" t="n">
        <v>55.26822965982371</v>
      </c>
      <c r="C15" s="7" t="n">
        <v>52.45017462953475</v>
      </c>
      <c r="D15" s="7" t="n">
        <v>50.11225062182395</v>
      </c>
      <c r="E15" s="7" t="n">
        <v>48.1396337115923</v>
      </c>
      <c r="F15" s="7" t="n">
        <v>46.45145681962047</v>
      </c>
    </row>
    <row r="16">
      <c r="A16" s="14" t="n">
        <v>0.244554846168287</v>
      </c>
      <c r="B16" s="7" t="n">
        <v>54.31328232174735</v>
      </c>
      <c r="C16" s="7" t="n">
        <v>51.56695897258411</v>
      </c>
      <c r="D16" s="7" t="n">
        <v>49.2885373127618</v>
      </c>
      <c r="E16" s="7" t="n">
        <v>47.36611738857966</v>
      </c>
      <c r="F16" s="7" t="n">
        <v>45.72089142516574</v>
      </c>
    </row>
    <row r="17">
      <c r="A17" s="14" t="n">
        <v>0.2595548461682869</v>
      </c>
      <c r="B17" s="7" t="n">
        <v>53.38890013964401</v>
      </c>
      <c r="C17" s="7" t="n">
        <v>50.71187440586695</v>
      </c>
      <c r="D17" s="7" t="n">
        <v>48.49093631925977</v>
      </c>
      <c r="E17" s="7" t="n">
        <v>46.61701061961926</v>
      </c>
      <c r="F17" s="7" t="n">
        <v>45.01327891554891</v>
      </c>
    </row>
    <row r="18">
      <c r="A18" s="14" t="n">
        <v>0.274554846168287</v>
      </c>
      <c r="B18" s="7" t="n">
        <v>52.49381284913188</v>
      </c>
      <c r="C18" s="7" t="n">
        <v>49.88375506496738</v>
      </c>
      <c r="D18" s="7" t="n">
        <v>47.71836835087676</v>
      </c>
      <c r="E18" s="7" t="n">
        <v>45.89130712321493</v>
      </c>
      <c r="F18" s="7" t="n">
        <v>44.32767545419888</v>
      </c>
    </row>
    <row r="20">
      <c r="A20" s="44" t="inlineStr">
        <is>
          <t>Fair value per share (EGP): beta</t>
        </is>
      </c>
    </row>
    <row r="21">
      <c r="A21" s="13" t="inlineStr"/>
      <c r="B21" s="13" t="inlineStr">
        <is>
          <t>0.60</t>
        </is>
      </c>
      <c r="C21" s="13" t="inlineStr">
        <is>
          <t>0.80</t>
        </is>
      </c>
      <c r="D21" s="13" t="inlineStr">
        <is>
          <t>1.00</t>
        </is>
      </c>
      <c r="E21" s="13" t="inlineStr">
        <is>
          <t>1.15</t>
        </is>
      </c>
      <c r="F21" s="13" t="inlineStr">
        <is>
          <t>1.30</t>
        </is>
      </c>
    </row>
    <row r="22">
      <c r="A22" t="inlineStr">
        <is>
          <t>Fair value</t>
        </is>
      </c>
      <c r="B22" s="7" t="n">
        <v>49.82472723106909</v>
      </c>
      <c r="C22" s="7" t="n">
        <v>46.33986568686878</v>
      </c>
      <c r="D22" s="7" t="n">
        <v>43.49566400056031</v>
      </c>
      <c r="E22" s="7" t="n">
        <v>41.68093811057389</v>
      </c>
      <c r="F22" s="7" t="n">
        <v>40.08283499254554</v>
      </c>
    </row>
    <row r="24">
      <c r="A24" s="44" t="inlineStr">
        <is>
          <t>Fair value per share (EGP): shift in the EBITDA margin, every forecast year</t>
        </is>
      </c>
    </row>
    <row r="25">
      <c r="A25" s="13" t="inlineStr"/>
      <c r="B25" s="13" t="inlineStr">
        <is>
          <t>-4%</t>
        </is>
      </c>
      <c r="C25" s="13" t="inlineStr">
        <is>
          <t>-2%</t>
        </is>
      </c>
      <c r="D25" s="13" t="inlineStr">
        <is>
          <t>+0%</t>
        </is>
      </c>
      <c r="E25" s="13" t="inlineStr">
        <is>
          <t>+2%</t>
        </is>
      </c>
      <c r="F25" s="13" t="inlineStr">
        <is>
          <t>+4%</t>
        </is>
      </c>
    </row>
    <row r="26">
      <c r="A26" t="inlineStr">
        <is>
          <t>Fair value</t>
        </is>
      </c>
      <c r="B26" s="7" t="n">
        <v>40.26967521185981</v>
      </c>
      <c r="C26" s="7" t="n">
        <v>44.7791062623108</v>
      </c>
      <c r="D26" s="7" t="n">
        <v>49.2885373127618</v>
      </c>
      <c r="E26" s="7" t="n">
        <v>53.79796836321278</v>
      </c>
      <c r="F26" s="7" t="n">
        <v>58.30739941366379</v>
      </c>
    </row>
    <row r="28">
      <c r="A28" s="44" t="inlineStr">
        <is>
          <t>Fair value per share (EGP): net cash at the valuation date (EGP mn)</t>
        </is>
      </c>
    </row>
    <row r="29">
      <c r="A29" s="13" t="inlineStr"/>
      <c r="B29" s="13" t="inlineStr">
        <is>
          <t>2,379</t>
        </is>
      </c>
      <c r="C29" s="13" t="inlineStr">
        <is>
          <t>3,129</t>
        </is>
      </c>
      <c r="D29" s="13" t="inlineStr">
        <is>
          <t>3,879</t>
        </is>
      </c>
      <c r="E29" s="13" t="inlineStr">
        <is>
          <t>4,629</t>
        </is>
      </c>
      <c r="F29" s="13" t="inlineStr">
        <is>
          <t>5,379</t>
        </is>
      </c>
    </row>
    <row r="30">
      <c r="A30" t="inlineStr">
        <is>
          <t>Fair value</t>
        </is>
      </c>
      <c r="B30" s="7" t="n">
        <v>45.28715016521731</v>
      </c>
      <c r="C30" s="7" t="n">
        <v>47.28784373898955</v>
      </c>
      <c r="D30" s="7" t="n">
        <v>49.2885373127618</v>
      </c>
      <c r="E30" s="7" t="n">
        <v>51.28923088653403</v>
      </c>
      <c r="F30" s="7" t="n">
        <v>53.28992446030627</v>
      </c>
    </row>
    <row r="32">
      <c r="A32" s="5" t="inlineStr">
        <is>
          <t>Note the growth column of the first grid: HIGHER terminal growth gives a LOWER value, because the</t>
        </is>
      </c>
    </row>
    <row r="33">
      <c r="A33" s="5" t="inlineStr">
        <is>
          <t>terminal return on capital sits below the terminal rate. That is the model being consistent, not a</t>
        </is>
      </c>
    </row>
    <row r="34">
      <c r="A34" s="5" t="inlineStr">
        <is>
          <t>sign error. Beta is varied over the fixed comparability anchors 0.60 / 0.80 / 1.00 / 1.15 / 1.30,</t>
        </is>
      </c>
    </row>
    <row r="35">
      <c r="A35" s="5" t="inlineStr">
        <is>
          <t>which span the regression's own confidence interval.</t>
        </is>
      </c>
    </row>
  </sheetData>
  <mergeCells count="4">
    <mergeCell ref="A34:J34"/>
    <mergeCell ref="A35:J35"/>
    <mergeCell ref="A32:J32"/>
    <mergeCell ref="A33:J3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Peer set and the Egyptian cement balance</t>
        </is>
      </c>
      <c r="B1" s="2" t="n"/>
      <c r="C1" s="2" t="n"/>
      <c r="D1" s="2" t="n"/>
      <c r="E1" s="2" t="n"/>
      <c r="F1" s="2" t="n"/>
      <c r="G1" s="2" t="n"/>
      <c r="H1" s="2" t="n"/>
    </row>
    <row r="4">
      <c r="A4" s="13" t="inlineStr"/>
      <c r="B4" s="13" t="inlineStr">
        <is>
          <t>Revenue (EGP mn)</t>
        </is>
      </c>
      <c r="C4" s="13" t="inlineStr">
        <is>
          <t>Profit (EGP mn)</t>
        </is>
      </c>
      <c r="D4" s="13" t="inlineStr">
        <is>
          <t>Market cap (EGP mn)</t>
        </is>
      </c>
      <c r="E4" s="13" t="inlineStr">
        <is>
          <t>Price / earnings</t>
        </is>
      </c>
      <c r="F4" s="13" t="inlineStr">
        <is>
          <t>Price / sales</t>
        </is>
      </c>
      <c r="G4" s="13" t="inlineStr">
        <is>
          <t>Net margin</t>
        </is>
      </c>
    </row>
    <row r="5">
      <c r="A5" t="inlineStr">
        <is>
          <t>Arabian Cement (ARCC)</t>
        </is>
      </c>
      <c r="B5" s="20">
        <f>Assumptions!$B$62</f>
        <v/>
      </c>
      <c r="C5" s="20">
        <f>Assumptions!$B$65</f>
        <v/>
      </c>
      <c r="D5" s="20">
        <f>DCF!C42</f>
        <v/>
      </c>
      <c r="E5" s="38">
        <f>D5/C5</f>
        <v/>
      </c>
      <c r="F5" s="38">
        <f>D5/B5</f>
        <v/>
      </c>
      <c r="G5" s="25">
        <f>C5/B5</f>
        <v/>
      </c>
    </row>
    <row r="6">
      <c r="A6" t="inlineStr">
        <is>
          <t>Sinai Cement (SCEM)</t>
        </is>
      </c>
      <c r="B6" s="20">
        <f>Assumptions!$B$110</f>
        <v/>
      </c>
      <c r="C6" s="20">
        <f>Assumptions!$B$111</f>
        <v/>
      </c>
      <c r="D6" s="20">
        <f>Assumptions!$B$112</f>
        <v/>
      </c>
      <c r="E6" s="38">
        <f>D6/C6</f>
        <v/>
      </c>
      <c r="F6" s="38">
        <f>D6/B6</f>
        <v/>
      </c>
      <c r="G6" s="25">
        <f>C6/B6</f>
        <v/>
      </c>
    </row>
    <row r="7">
      <c r="A7" t="inlineStr">
        <is>
          <t>Misr Beni Suef Cement (MBSC)</t>
        </is>
      </c>
      <c r="B7" s="20">
        <f>Assumptions!$B$113</f>
        <v/>
      </c>
      <c r="C7" s="20">
        <f>Assumptions!$B$114</f>
        <v/>
      </c>
      <c r="D7" s="20">
        <f>Assumptions!$B$115</f>
        <v/>
      </c>
      <c r="E7" s="38">
        <f>D7/C7</f>
        <v/>
      </c>
      <c r="F7" s="38">
        <f>D7/B7</f>
        <v/>
      </c>
      <c r="G7" s="25">
        <f>C7/B7</f>
        <v/>
      </c>
    </row>
    <row r="9">
      <c r="A9" t="inlineStr">
        <is>
          <t>Peer average price / earnings (excluding the subject)</t>
        </is>
      </c>
      <c r="E9" s="45">
        <f>AVERAGE(E6:E7)</f>
        <v/>
      </c>
    </row>
    <row r="10">
      <c r="A10" t="inlineStr">
        <is>
          <t>Subject premium / (discount) to the peer average</t>
        </is>
      </c>
      <c r="E10" s="25">
        <f>E5/E9-1</f>
        <v/>
      </c>
    </row>
    <row r="12">
      <c r="A12" s="6" t="inlineStr">
        <is>
          <t>THE EGYPTIAN CEMENT BALANCE</t>
        </is>
      </c>
      <c r="B12" s="6" t="n"/>
      <c r="C12" s="6" t="n"/>
      <c r="D12" s="6" t="n"/>
      <c r="E12" s="6" t="n"/>
      <c r="F12" s="6" t="n"/>
      <c r="G12" s="6" t="n"/>
      <c r="H12" s="6" t="n"/>
    </row>
    <row r="13">
      <c r="A13" t="inlineStr">
        <is>
          <t>Nameplate capacity (Mt)</t>
        </is>
      </c>
      <c r="B13" s="21">
        <f>Assumptions!$B$105</f>
        <v/>
      </c>
    </row>
    <row r="14">
      <c r="A14" t="inlineStr">
        <is>
          <t>Production 2025 (Mt)</t>
        </is>
      </c>
      <c r="B14" s="21">
        <f>Assumptions!$B$106</f>
        <v/>
      </c>
    </row>
    <row r="15">
      <c r="A15" t="inlineStr">
        <is>
          <t>Domestic consumption 2025 (Mt)</t>
        </is>
      </c>
      <c r="B15" s="21">
        <f>Assumptions!$B$107</f>
        <v/>
      </c>
    </row>
    <row r="16">
      <c r="A16" t="inlineStr">
        <is>
          <t>Exports 2025 (Mt)</t>
        </is>
      </c>
      <c r="B16" s="21">
        <f>Assumptions!$B$108</f>
        <v/>
      </c>
    </row>
    <row r="17">
      <c r="A17" t="inlineStr">
        <is>
          <t>Dormant capacity under revival (Mt)</t>
        </is>
      </c>
      <c r="B17" s="21">
        <f>Assumptions!$B$109</f>
        <v/>
      </c>
    </row>
    <row r="18">
      <c r="A18" t="inlineStr">
        <is>
          <t>Sector utilisation</t>
        </is>
      </c>
      <c r="B18" s="25">
        <f>B14/B13</f>
        <v/>
      </c>
    </row>
    <row r="19">
      <c r="A19" t="inlineStr">
        <is>
          <t>The subject as a share of national capacity</t>
        </is>
      </c>
      <c r="B19" s="25">
        <f>Assumptions!$B$12/B13</f>
        <v/>
      </c>
    </row>
    <row r="20">
      <c r="A20" t="inlineStr">
        <is>
          <t>Revival capacity as a share of consumption</t>
        </is>
      </c>
      <c r="B20" s="25">
        <f>B17/B15</f>
        <v/>
      </c>
    </row>
    <row r="22">
      <c r="A22" s="5" t="inlineStr">
        <is>
          <t>The Egyptian peer set is thin and its published multiples do not reconcile against the market</t>
        </is>
      </c>
    </row>
    <row r="23">
      <c r="A23" s="5" t="inlineStr">
        <is>
          <t>capitalisations printed beside them, which is why the relative lens carries only 20% of the weight.</t>
        </is>
      </c>
    </row>
    <row r="24">
      <c r="A24" s="5" t="inlineStr">
        <is>
          <t>Every multiple on this sheet is RECOMPUTED from revenue, profit and market capitalisation rather</t>
        </is>
      </c>
    </row>
    <row r="25">
      <c r="A25" s="5" t="inlineStr">
        <is>
          <t>than quoted.</t>
        </is>
      </c>
    </row>
  </sheetData>
  <mergeCells count="4">
    <mergeCell ref="A25:J25"/>
    <mergeCell ref="A22:J22"/>
    <mergeCell ref="A23:J23"/>
    <mergeCell ref="A24:J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2026-08-06T20:11:14Z</dcterms:created>
  <dcterms:modified xmlns:dcterms="http://purl.org/dc/terms/" xmlns:xsi="http://www.w3.org/2001/XMLSchema-instance" xsi:type="dcterms:W3CDTF">2026-08-06T20:11:14Z</dcterms:modified>
</cp:coreProperties>
</file>