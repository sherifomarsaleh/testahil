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FIRST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Unit Build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EV Bridge" sheetId="5" state="visible" r:id="rId5"/>
    <sheet xmlns:r="http://schemas.openxmlformats.org/officeDocument/2006/relationships" name="Income Statement" sheetId="6" state="visible" r:id="rId6"/>
    <sheet xmlns:r="http://schemas.openxmlformats.org/officeDocument/2006/relationships" name="Balance Sheet" sheetId="7" state="visible" r:id="rId7"/>
    <sheet xmlns:r="http://schemas.openxmlformats.org/officeDocument/2006/relationships" name="Cash Flow" sheetId="8" state="visible" r:id="rId8"/>
    <sheet xmlns:r="http://schemas.openxmlformats.org/officeDocument/2006/relationships" name="Summary Financials" sheetId="9" state="visible" r:id="rId9"/>
    <sheet xmlns:r="http://schemas.openxmlformats.org/officeDocument/2006/relationships" name="Per-Share &amp; Ratios" sheetId="10" state="visible" r:id="rId10"/>
    <sheet xmlns:r="http://schemas.openxmlformats.org/officeDocument/2006/relationships" name="Relative &amp; Normalized" sheetId="11" state="visible" r:id="rId11"/>
    <sheet xmlns:r="http://schemas.openxmlformats.org/officeDocument/2006/relationships" name="Fundamental Valuation" sheetId="12" state="visible" r:id="rId12"/>
    <sheet xmlns:r="http://schemas.openxmlformats.org/officeDocument/2006/relationships" name="Summary" sheetId="13" state="visible" r:id="rId13"/>
    <sheet xmlns:r="http://schemas.openxmlformats.org/officeDocument/2006/relationships" name="Monte Carlo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Peer &amp; Sector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0;(0.00);&quot;-&quot;"/>
    <numFmt numFmtId="165" formatCode="#,##0.0000"/>
    <numFmt numFmtId="166" formatCode="0.0%;(0.0%);&quot;-&quot;"/>
    <numFmt numFmtId="167" formatCode="#,##0.000"/>
    <numFmt numFmtId="168" formatCode="#,##0.0;(#,##0.0);&quot;-&quot;"/>
    <numFmt numFmtId="169" formatCode="#,##0.00;(#,##0.00);&quot;-&quot;"/>
    <numFmt numFmtId="170" formatCode="#,##0;(#,##0);&quot;-&quot;"/>
    <numFmt numFmtId="171" formatCode="0.00x"/>
    <numFmt numFmtId="172" formatCode="0.0000"/>
    <numFmt numFmtId="173" formatCode="0.0000%"/>
  </numFmts>
  <fonts count="11">
    <font>
      <name val="Calibri"/>
      <family val="2"/>
      <color theme="1"/>
      <sz val="11"/>
      <scheme val="minor"/>
    </font>
    <font>
      <b val="1"/>
      <color rgb="00F6F1E6"/>
      <sz val="13"/>
    </font>
    <font>
      <sz val="10"/>
    </font>
    <font>
      <sz val="9"/>
    </font>
    <font>
      <color rgb="006E7B77"/>
      <sz val="9"/>
    </font>
    <font>
      <b val="1"/>
    </font>
    <font>
      <color rgb="000000FF"/>
    </font>
    <font>
      <color rgb="00008000"/>
    </font>
    <font>
      <color rgb="00000000"/>
    </font>
    <font>
      <b val="1"/>
      <color rgb="000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001C3A36"/>
      </patternFill>
    </fill>
    <fill>
      <patternFill patternType="solid">
        <fgColor rgb="00F6F1E6"/>
      </patternFill>
    </fill>
    <fill>
      <patternFill patternType="solid">
        <fgColor rgb="00EAF0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164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0" fontId="6" fillId="0" borderId="0" pivotButton="0" quotePrefix="0" xfId="0"/>
    <xf numFmtId="167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170" fontId="6" fillId="0" borderId="0" pivotButton="0" quotePrefix="0" xfId="0"/>
    <xf numFmtId="0" fontId="5" fillId="4" borderId="0" pivotButton="0" quotePrefix="0" xfId="0"/>
    <xf numFmtId="171" fontId="6" fillId="0" borderId="0" pivotButton="0" quotePrefix="0" xfId="0"/>
    <xf numFmtId="170" fontId="7" fillId="0" borderId="0" pivotButton="0" quotePrefix="0" xfId="0"/>
    <xf numFmtId="168" fontId="7" fillId="0" borderId="0" pivotButton="0" quotePrefix="0" xfId="0"/>
    <xf numFmtId="169" fontId="7" fillId="0" borderId="0" pivotButton="0" quotePrefix="0" xfId="0"/>
    <xf numFmtId="167" fontId="8" fillId="0" borderId="0" pivotButton="0" quotePrefix="0" xfId="0"/>
    <xf numFmtId="167" fontId="9" fillId="0" borderId="0" pivotButton="0" quotePrefix="0" xfId="0"/>
    <xf numFmtId="166" fontId="9" fillId="0" borderId="0" pivotButton="0" quotePrefix="0" xfId="0"/>
    <xf numFmtId="166" fontId="8" fillId="0" borderId="0" pivotButton="0" quotePrefix="0" xfId="0"/>
    <xf numFmtId="170" fontId="8" fillId="0" borderId="0" pivotButton="0" quotePrefix="0" xfId="0"/>
    <xf numFmtId="170" fontId="9" fillId="0" borderId="0" pivotButton="0" quotePrefix="0" xfId="0"/>
    <xf numFmtId="166" fontId="7" fillId="0" borderId="0" pivotButton="0" quotePrefix="0" xfId="0"/>
    <xf numFmtId="168" fontId="8" fillId="0" borderId="0" pivotButton="0" quotePrefix="0" xfId="0"/>
    <xf numFmtId="167" fontId="7" fillId="0" borderId="0" pivotButton="0" quotePrefix="0" xfId="0"/>
    <xf numFmtId="172" fontId="8" fillId="0" borderId="0" pivotButton="0" quotePrefix="0" xfId="0"/>
    <xf numFmtId="10" fontId="8" fillId="0" borderId="0" pivotButton="0" quotePrefix="0" xfId="0"/>
    <xf numFmtId="10" fontId="9" fillId="0" borderId="0" pivotButton="0" quotePrefix="0" xfId="0"/>
    <xf numFmtId="165" fontId="8" fillId="0" borderId="0" pivotButton="0" quotePrefix="0" xfId="0"/>
    <xf numFmtId="164" fontId="9" fillId="0" borderId="0" pivotButton="0" quotePrefix="0" xfId="0"/>
    <xf numFmtId="166" fontId="8" fillId="3" borderId="0" pivotButton="0" quotePrefix="0" xfId="0"/>
    <xf numFmtId="164" fontId="8" fillId="0" borderId="0" pivotButton="0" quotePrefix="0" xfId="0"/>
    <xf numFmtId="170" fontId="10" fillId="0" borderId="0" pivotButton="0" quotePrefix="0" xfId="0"/>
    <xf numFmtId="166" fontId="10" fillId="0" borderId="0" pivotButton="0" quotePrefix="0" xfId="0"/>
    <xf numFmtId="164" fontId="7" fillId="0" borderId="0" pivotButton="0" quotePrefix="0" xfId="0"/>
    <xf numFmtId="165" fontId="9" fillId="0" borderId="0" pivotButton="0" quotePrefix="0" xfId="0"/>
    <xf numFmtId="171" fontId="8" fillId="0" borderId="0" pivotButton="0" quotePrefix="0" xfId="0"/>
    <xf numFmtId="173" fontId="9" fillId="0" borderId="0" pivotButton="0" quotePrefix="0" xfId="0"/>
    <xf numFmtId="165" fontId="7" fillId="0" borderId="0" pivotButton="0" quotePrefix="0" xfId="0"/>
    <xf numFmtId="169" fontId="8" fillId="0" borderId="0" pivotButton="0" quotePrefix="0" xfId="0"/>
    <xf numFmtId="0" fontId="0" fillId="0" borderId="0" applyAlignment="1" pivotButton="0" quotePrefix="0" xfId="0">
      <alignment vertical="top" wrapText="1"/>
    </xf>
    <xf numFmtId="164" fontId="10" fillId="0" borderId="0" pivotButton="0" quotePrefix="0" xfId="0"/>
    <xf numFmtId="0" fontId="5" fillId="0" borderId="0" pivotButton="0" quotePrefix="0" xfId="0"/>
    <xf numFmtId="171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selection activeCell="A1" sqref="A1"/>
    </sheetView>
  </sheetViews>
  <sheetFormatPr baseColWidth="8" defaultRowHeight="15"/>
  <cols>
    <col width="1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Testahil — Arabian Cement Company S.A.E. (EGX: ARCC) — revision 2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4">
      <c r="A4" s="3" t="inlineStr">
        <is>
          <t>Companion model · Independent Valuation Study · Educational analysis · Not investment advice</t>
        </is>
      </c>
    </row>
    <row r="5">
      <c r="A5" s="4" t="inlineStr"/>
    </row>
    <row r="6">
      <c r="A6" s="3" t="inlineStr">
        <is>
          <t>REVISION 2 IS BUILT ON THE AUDITED ACCOUNTS. Revision 1 of this model was built without opening a single</t>
        </is>
      </c>
    </row>
    <row r="7">
      <c r="A7" s="3" t="inlineStr">
        <is>
          <t>source document: every outbound request was refused by the network policy in force, so every company figure</t>
        </is>
      </c>
    </row>
    <row r="8">
      <c r="A8" s="3" t="inlineStr">
        <is>
          <t>reached it as relayed in a web-search summary. The audited consolidated financial statements for FY2023,</t>
        </is>
      </c>
    </row>
    <row r="9">
      <c r="A9" s="3" t="inlineStr">
        <is>
          <t>FY2024 and FY2025 — Deloitte, signed 25 February 2026 — and the reviewed Q1-2026 interim accounts are now in</t>
        </is>
      </c>
    </row>
    <row r="10">
      <c r="A10" s="3" t="inlineStr">
        <is>
          <t>hand, and every historical cell in this workbook is a disclosed figure read from them.</t>
        </is>
      </c>
    </row>
    <row r="11">
      <c r="A11" s="4" t="inlineStr"/>
    </row>
    <row r="12">
      <c r="A12" s="3" t="inlineStr">
        <is>
          <t>WHAT THE STATEMENTS CHANGED, and it is not cosmetic:</t>
        </is>
      </c>
    </row>
    <row r="13">
      <c r="A13" s="3" t="inlineStr">
        <is>
          <t xml:space="preserve">  * Non-controlling interests are EGP 158,005 — one hundred and fifty-eight THOUSAND pounds. Revision 1</t>
        </is>
      </c>
    </row>
    <row r="14">
      <c r="A14" s="3" t="inlineStr">
        <is>
          <t xml:space="preserve">    deducted EGP 150 MILLION on inference, 950 times too much.</t>
        </is>
      </c>
    </row>
    <row r="15">
      <c r="A15" s="3" t="inlineStr">
        <is>
          <t xml:space="preserve">  * The effective tax rate is 23.82%, not the 29.43% revision 1 inferred. Every forecast year was over-taxed.</t>
        </is>
      </c>
    </row>
    <row r="16">
      <c r="A16" s="3" t="inlineStr">
        <is>
          <t xml:space="preserve">  * The cost of debt is about 7.5%, not 21.5%: 91% of the book is EURO-denominated, at Euribor plus 4.35%</t>
        </is>
      </c>
    </row>
    <row r="17">
      <c r="A17" s="3" t="inlineStr">
        <is>
          <t xml:space="preserve">    (a EUR 25mn EBRD decarbonisation facility) and Euribor plus 3% (a EUR 3.09mn NBE/KfW facility).</t>
        </is>
      </c>
    </row>
    <row r="18">
      <c r="A18" s="3" t="inlineStr">
        <is>
          <t xml:space="preserve">  * Kiln capacity is 4.2Mt of clinker against 5.0Mt of cement, so the clinker factor is 0.84, not 0.72.</t>
        </is>
      </c>
    </row>
    <row r="19">
      <c r="A19" s="3" t="inlineStr">
        <is>
          <t xml:space="preserve">  * Exports are 30.7% of revenue, not 12%. The revenue note splits local from export and goods from services.</t>
        </is>
      </c>
    </row>
    <row r="20">
      <c r="A20" s="3" t="inlineStr">
        <is>
          <t xml:space="preserve">  * The cost stack is DISCLOSED. The invented five-line stack of revision 1 is retired for the printed one.</t>
        </is>
      </c>
    </row>
    <row r="21">
      <c r="A21" s="3" t="inlineStr">
        <is>
          <t xml:space="preserve">  What survived: the share count of 374,867,445, FY2025 operating income of EGP 4,595.82mn to the pound, and</t>
        </is>
      </c>
    </row>
    <row r="22">
      <c r="A22" s="3" t="inlineStr">
        <is>
          <t xml:space="preserve">  total liabilities of EGP 4,140.99mn — which revision 1 derived, against an aggregator print of EGP 2,894mn</t>
        </is>
      </c>
    </row>
    <row r="23">
      <c r="A23" s="3" t="inlineStr">
        <is>
          <t xml:space="preserve">  that it rejected. That figure turns out to be total CURRENT liabilities. The derivation was right.</t>
        </is>
      </c>
    </row>
    <row r="24">
      <c r="A24" s="4" t="inlineStr"/>
    </row>
    <row r="25">
      <c r="A25" s="3" t="inlineStr">
        <is>
          <t>IT IS FORMULA-DRIVEN, AND THAT CLAIM IS TESTED. Change a blue cell on Assumptions and the model reprices. The</t>
        </is>
      </c>
    </row>
    <row r="26">
      <c r="A26" s="3" t="inlineStr">
        <is>
          <t>cost of equity is built from the risk-free rate NET of the sovereign default spread, beta and the premium;</t>
        </is>
      </c>
    </row>
    <row r="27">
      <c r="A27" s="3" t="inlineStr">
        <is>
          <t>the cost of debt is built FACILITY BY FACILITY from the audited debt note and blended by currency; the</t>
        </is>
      </c>
    </row>
    <row r="28">
      <c r="A28" s="3" t="inlineStr">
        <is>
          <t>weights come from debt and market capitalisation; the terminal rate is built from its own components; the</t>
        </is>
      </c>
    </row>
    <row r="29">
      <c r="A29" s="3" t="inlineStr">
        <is>
          <t>glide fractions are derived from the pound cost-of-debt path; the discount factors compound through it; the</t>
        </is>
      </c>
    </row>
    <row r="30">
      <c r="A30" s="3" t="inlineStr">
        <is>
          <t>waterfall chains from margin through EBITDA, D&amp;A, EBIT, NOPAT, capex and working capital to free cash flow</t>
        </is>
      </c>
    </row>
    <row r="31">
      <c r="A31" s="3" t="inlineStr">
        <is>
          <t>and present value; the terminal block chains from reinvestment = growth / return on capital; the statements</t>
        </is>
      </c>
    </row>
    <row r="32">
      <c r="A32" s="3" t="inlineStr">
        <is>
          <t>roll forward; and every ratio and per-share figure is a formula. A driver test perturbs every input in place,</t>
        </is>
      </c>
    </row>
    <row r="33">
      <c r="A33" s="3" t="inlineStr">
        <is>
          <t>re-evaluates the whole workbook and confirms the headline moves in the right direction.</t>
        </is>
      </c>
    </row>
    <row r="34">
      <c r="A34" s="4" t="inlineStr"/>
    </row>
    <row r="35">
      <c r="A35" s="3" t="inlineStr">
        <is>
          <t>THREE CLASSES OF CELL ARE PASTED, and it is worth knowing exactly which.</t>
        </is>
      </c>
    </row>
    <row r="36">
      <c r="A36" s="3" t="inlineStr">
        <is>
          <t xml:space="preserve">  1. Audited and disclosed history — the primary record, not a calculation. Where a line is both disclosed</t>
        </is>
      </c>
    </row>
    <row r="37">
      <c r="A37" s="3" t="inlineStr">
        <is>
          <t xml:space="preserve">     and derivable, the DISCLOSED figure is carried. These sit on Assumptions and are labelled there.</t>
        </is>
      </c>
    </row>
    <row r="38">
      <c r="A38" s="3" t="inlineStr">
        <is>
          <t xml:space="preserve">  2. The output of a unit build that cannot survive being flattened into a grid: the percentile ladder of the</t>
        </is>
      </c>
    </row>
    <row r="39">
      <c r="A39" s="3" t="inlineStr">
        <is>
          <t xml:space="preserve">     probabilistic price map on the Monte Carlo sheet, the output of a 50,000-path simulation.</t>
        </is>
      </c>
    </row>
    <row r="40">
      <c r="A40" s="3" t="inlineStr">
        <is>
          <t xml:space="preserve">  3. Whole-model re-runs — the sensitivity grids, and the alternative fair values in the contested-choices</t>
        </is>
      </c>
    </row>
    <row r="41">
      <c r="A41" s="3" t="inlineStr">
        <is>
          <t xml:space="preserve">     table. Each of those cells is a COMPLETE revaluation at a different assumption. THESE DO NOT REDRAW</t>
        </is>
      </c>
    </row>
    <row r="42">
      <c r="A42" s="3" t="inlineStr">
        <is>
          <t xml:space="preserve">     WHEN A DRIVER CHANGES. Edit an input and the unit build, waterfall, statements, ratios and all four</t>
        </is>
      </c>
    </row>
    <row r="43">
      <c r="A43" s="3" t="inlineStr">
        <is>
          <t xml:space="preserve">     lenses reprice; the sensitivity tables and the price map keep the values printed here.</t>
        </is>
      </c>
    </row>
    <row r="44">
      <c r="A44" s="3" t="inlineStr">
        <is>
          <t xml:space="preserve">  Anything else pasted would be a defect.</t>
        </is>
      </c>
    </row>
    <row r="45">
      <c r="A45" s="4" t="inlineStr"/>
    </row>
    <row r="46">
      <c r="A46" s="3" t="inlineStr">
        <is>
          <t>HOW THE COMPANY IS VALUED. A single-segment cement operating company: two lines in Suez governorate, 4.2Mt of</t>
        </is>
      </c>
    </row>
    <row r="47">
      <c r="A47" s="3" t="inlineStr">
        <is>
          <t>clinker capacity and 5.0Mt of cement, 60% owned by Aridos Jativa of Spain. No property leg, no lending book,</t>
        </is>
      </c>
    </row>
    <row r="48">
      <c r="A48" s="3" t="inlineStr">
        <is>
          <t>no concession. One operating-company lens, cross-read against relative multiples, normalised earnings power</t>
        </is>
      </c>
    </row>
    <row r="49">
      <c r="A49" s="3" t="inlineStr">
        <is>
          <t>and replacement cost. Cash of EGP 3,459mn against interest-bearing debt of EGP 1,135mn makes it net cash;</t>
        </is>
      </c>
    </row>
    <row r="50">
      <c r="A50" s="3" t="inlineStr">
        <is>
          <t>that cash is stripped out of the discount rate and added back in the bridge, so it is priced once at face —</t>
        </is>
      </c>
    </row>
    <row r="51">
      <c r="A51" s="3" t="inlineStr">
        <is>
          <t>less the EGP 2,002mn FY2025 dividend that was declared and still unpaid at 31 March 2026.</t>
        </is>
      </c>
    </row>
    <row r="52">
      <c r="A52" s="4" t="inlineStr"/>
    </row>
    <row r="53">
      <c r="A53" s="3" t="inlineStr">
        <is>
          <t>TWO THINGS TO KNOW BEFORE READING ANY NUMBER.</t>
        </is>
      </c>
    </row>
    <row r="54">
      <c r="A54" s="3" t="inlineStr">
        <is>
          <t xml:space="preserve">  * FY2025 is a cyclical peak. The audited EBITDA margin went 22.0% to 23.1% to 39.2% across the three years,</t>
        </is>
      </c>
    </row>
    <row r="55">
      <c r="A55" s="3" t="inlineStr">
        <is>
          <t xml:space="preserve">    on the abolition of the production quota in May 2025. The forecast glides it down every year from there.</t>
        </is>
      </c>
    </row>
    <row r="56">
      <c r="A56" s="3" t="inlineStr">
        <is>
          <t xml:space="preserve">  * Book return on capital is 60.6% and replacement-cost return is 8.6%. The terminal block is struck on the</t>
        </is>
      </c>
    </row>
    <row r="57">
      <c r="A57" s="3" t="inlineStr">
        <is>
          <t xml:space="preserve">    REPLACEMENT figure. On the book number, growth would be free; it is not, and the difference is the single</t>
        </is>
      </c>
    </row>
    <row r="58">
      <c r="A58" s="3" t="inlineStr">
        <is>
          <t xml:space="preserve">    most consequential judgement in this model.</t>
        </is>
      </c>
    </row>
    <row r="59">
      <c r="A59" s="4" t="inlineStr"/>
    </row>
    <row r="60">
      <c r="A60" s="3" t="inlineStr">
        <is>
          <t>No rating and no price target. Fair-value ranges and distributions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selection activeCell="A1" sqref="A1"/>
    </sheetView>
  </sheetViews>
  <sheetFormatPr baseColWidth="8" defaultRowHeight="15"/>
  <cols>
    <col width="5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>
      <c r="A1" s="1" t="inlineStr">
        <is>
          <t>Assumptions — every driver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5" t="inlineStr">
        <is>
          <t>Blue cells are inputs. Nothing below a driver is typed.</t>
        </is>
      </c>
    </row>
    <row r="4">
      <c r="A4" s="6" t="inlineStr">
        <is>
          <t>MARKET AND SHARE COUNT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t="inlineStr">
        <is>
          <t>Spot price</t>
        </is>
      </c>
      <c r="B5" s="7" t="n">
        <v>59</v>
      </c>
      <c r="C5" s="5" t="inlineStr">
        <is>
          <t>EGP, close 06-Aug-2026</t>
        </is>
      </c>
    </row>
    <row r="6">
      <c r="A6" t="inlineStr">
        <is>
          <t>Ordinary shares issued</t>
        </is>
      </c>
      <c r="B6" s="8" t="n">
        <v>378.7397</v>
      </c>
      <c r="C6" s="5" t="inlineStr">
        <is>
          <t>mn — audited note 20</t>
        </is>
      </c>
    </row>
    <row r="7">
      <c r="A7" t="inlineStr">
        <is>
          <t>Treasury shares held</t>
        </is>
      </c>
      <c r="B7" s="8" t="n">
        <v>3.872255</v>
      </c>
      <c r="C7" s="5" t="inlineStr">
        <is>
          <t>mn — audited note 21</t>
        </is>
      </c>
    </row>
    <row r="8">
      <c r="A8" t="inlineStr">
        <is>
          <t>Statutory tax rate</t>
        </is>
      </c>
      <c r="B8" s="9" t="n">
        <v>0.225</v>
      </c>
    </row>
    <row r="9">
      <c r="A9" t="inlineStr">
        <is>
          <t>Effective tax rate</t>
        </is>
      </c>
      <c r="B9" s="10" t="n">
        <v>0.2382</v>
      </c>
      <c r="C9" s="5" t="inlineStr">
        <is>
          <t>audited: tax over pre-tax profit</t>
        </is>
      </c>
    </row>
    <row r="10">
      <c r="A10" t="inlineStr">
        <is>
          <t>Beta (own-stock weekly regression)</t>
        </is>
      </c>
      <c r="B10" s="11" t="n">
        <v>0.6280798261200432</v>
      </c>
    </row>
    <row r="11">
      <c r="A11" t="inlineStr">
        <is>
          <t>USD/EGP at the valuation date</t>
        </is>
      </c>
      <c r="B11" s="12" t="n">
        <v>50.3</v>
      </c>
    </row>
    <row r="12">
      <c r="A12" s="6" t="inlineStr">
        <is>
          <t>PLANT — AUDITED NOTE 1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t="inlineStr">
        <is>
          <t>Cement capacity</t>
        </is>
      </c>
      <c r="B13" s="13" t="n">
        <v>5</v>
      </c>
      <c r="C13" s="5" t="inlineStr">
        <is>
          <t>Mt/yr</t>
        </is>
      </c>
    </row>
    <row r="14">
      <c r="A14" t="inlineStr">
        <is>
          <t>Kiln clinker capacity</t>
        </is>
      </c>
      <c r="B14" s="13" t="n">
        <v>4.2</v>
      </c>
      <c r="C14" s="5" t="inlineStr">
        <is>
          <t>Mt/yr</t>
        </is>
      </c>
    </row>
    <row r="15">
      <c r="A15" t="inlineStr">
        <is>
          <t>Clinker factor</t>
        </is>
      </c>
      <c r="B15" s="11" t="n">
        <v>0.84</v>
      </c>
      <c r="C15" s="5" t="inlineStr">
        <is>
          <t>t clinker / t cement</t>
        </is>
      </c>
    </row>
    <row r="16">
      <c r="A16" s="6" t="inlineStr">
        <is>
          <t>PRICE CALIBRATION — the volume build is anchored on these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t="inlineStr">
        <is>
          <t>Local realised price</t>
        </is>
      </c>
      <c r="B17" s="14" t="n">
        <v>3500</v>
      </c>
      <c r="C17" s="5" t="inlineStr">
        <is>
          <t>EGP/t</t>
        </is>
      </c>
    </row>
    <row r="18">
      <c r="A18" t="inlineStr">
        <is>
          <t>Export price</t>
        </is>
      </c>
      <c r="B18" s="12" t="n">
        <v>62</v>
      </c>
      <c r="C18" s="5" t="inlineStr">
        <is>
          <t>USD/t</t>
        </is>
      </c>
    </row>
    <row r="19">
      <c r="A19" t="inlineStr">
        <is>
          <t>Average USD/EGP FY2025</t>
        </is>
      </c>
      <c r="B19" s="13" t="n">
        <v>49.26</v>
      </c>
      <c r="C19" s="5" t="inlineStr">
        <is>
          <t>audited note 2.5</t>
        </is>
      </c>
    </row>
    <row r="20">
      <c r="A20" t="inlineStr">
        <is>
          <t>Services revenue as a share of goods revenue</t>
        </is>
      </c>
      <c r="B20" s="10" t="n">
        <v>0.06325</v>
      </c>
    </row>
    <row r="21">
      <c r="A21" s="6" t="inlineStr">
        <is>
          <t>PATHS — FY2025A then FY2026E to FY2030E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</row>
    <row r="22">
      <c r="A22" s="15" t="inlineStr"/>
      <c r="B22" s="15" t="inlineStr">
        <is>
          <t>FY2025A</t>
        </is>
      </c>
      <c r="C22" s="15" t="inlineStr">
        <is>
          <t>FY2026E</t>
        </is>
      </c>
      <c r="D22" s="15" t="inlineStr">
        <is>
          <t>FY2027E</t>
        </is>
      </c>
      <c r="E22" s="15" t="inlineStr">
        <is>
          <t>FY2028E</t>
        </is>
      </c>
      <c r="F22" s="15" t="inlineStr">
        <is>
          <t>FY2029E</t>
        </is>
      </c>
      <c r="G22" s="15" t="inlineStr">
        <is>
          <t>FY2030E</t>
        </is>
      </c>
    </row>
    <row r="23">
      <c r="A23" t="inlineStr">
        <is>
          <t>Capacity utilisation</t>
        </is>
      </c>
      <c r="B23" s="9" t="n">
        <v>0.697</v>
      </c>
      <c r="C23" s="9" t="n">
        <v>0.73</v>
      </c>
      <c r="D23" s="9" t="n">
        <v>0.75</v>
      </c>
      <c r="E23" s="9" t="n">
        <v>0.765</v>
      </c>
      <c r="F23" s="9" t="n">
        <v>0.775</v>
      </c>
      <c r="G23" s="9" t="n">
        <v>0.782</v>
      </c>
    </row>
    <row r="24">
      <c r="A24" t="inlineStr">
        <is>
          <t>Export share of volume</t>
        </is>
      </c>
      <c r="B24" s="9" t="n">
        <v>0.3153</v>
      </c>
      <c r="C24" s="9" t="n">
        <v>0.31</v>
      </c>
      <c r="D24" s="9" t="n">
        <v>0.3</v>
      </c>
      <c r="E24" s="9" t="n">
        <v>0.295</v>
      </c>
      <c r="F24" s="9" t="n">
        <v>0.29</v>
      </c>
      <c r="G24" s="9" t="n">
        <v>0.285</v>
      </c>
    </row>
    <row r="25">
      <c r="A25" t="inlineStr">
        <is>
          <t>Local price index</t>
        </is>
      </c>
      <c r="B25" s="11" t="n">
        <v>1</v>
      </c>
      <c r="C25" s="11" t="n">
        <v>1.03</v>
      </c>
      <c r="D25" s="11" t="n">
        <v>1.075</v>
      </c>
      <c r="E25" s="11" t="n">
        <v>1.12</v>
      </c>
      <c r="F25" s="11" t="n">
        <v>1.165</v>
      </c>
      <c r="G25" s="11" t="n">
        <v>1.21</v>
      </c>
    </row>
    <row r="26">
      <c r="A26" t="inlineStr">
        <is>
          <t>Export price index (USD)</t>
        </is>
      </c>
      <c r="B26" s="11" t="n">
        <v>1</v>
      </c>
      <c r="C26" s="11" t="n">
        <v>0.968</v>
      </c>
      <c r="D26" s="11" t="n">
        <v>0.944</v>
      </c>
      <c r="E26" s="11" t="n">
        <v>0.927</v>
      </c>
      <c r="F26" s="11" t="n">
        <v>0.911</v>
      </c>
      <c r="G26" s="11" t="n">
        <v>0.895</v>
      </c>
    </row>
    <row r="27">
      <c r="A27" t="inlineStr">
        <is>
          <t>USD/EGP path</t>
        </is>
      </c>
      <c r="B27" s="12" t="n">
        <v>49.26</v>
      </c>
      <c r="C27" s="12" t="n">
        <v>50.6</v>
      </c>
      <c r="D27" s="12" t="n">
        <v>53.1</v>
      </c>
      <c r="E27" s="12" t="n">
        <v>55.8</v>
      </c>
      <c r="F27" s="12" t="n">
        <v>58.6</v>
      </c>
      <c r="G27" s="12" t="n">
        <v>61.5</v>
      </c>
    </row>
    <row r="28">
      <c r="A28" t="inlineStr">
        <is>
          <t>Local cost-inflation index</t>
        </is>
      </c>
      <c r="B28" s="11" t="n">
        <v>1</v>
      </c>
      <c r="C28" s="11" t="n">
        <v>1.115</v>
      </c>
      <c r="D28" s="11" t="n">
        <v>1.226</v>
      </c>
      <c r="E28" s="11" t="n">
        <v>1.336</v>
      </c>
      <c r="F28" s="11" t="n">
        <v>1.443</v>
      </c>
      <c r="G28" s="11" t="n">
        <v>1.544</v>
      </c>
    </row>
    <row r="29">
      <c r="A29" t="inlineStr">
        <is>
          <t>Alternative-fuel saving on materials</t>
        </is>
      </c>
      <c r="B29" s="9" t="n">
        <v>0</v>
      </c>
      <c r="C29" s="9" t="n">
        <v>0.015</v>
      </c>
      <c r="D29" s="9" t="n">
        <v>0.03</v>
      </c>
      <c r="E29" s="9" t="n">
        <v>0.04</v>
      </c>
      <c r="F29" s="9" t="n">
        <v>0.048</v>
      </c>
      <c r="G29" s="9" t="n">
        <v>0.055</v>
      </c>
    </row>
    <row r="30">
      <c r="A30" s="6" t="inlineStr">
        <is>
          <t>FORECAST DRIVERS — FY2026E to FY2030E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</row>
    <row r="31">
      <c r="A31" s="15" t="inlineStr"/>
      <c r="B31" s="15" t="inlineStr">
        <is>
          <t>FY2026E</t>
        </is>
      </c>
      <c r="C31" s="15" t="inlineStr">
        <is>
          <t>FY2027E</t>
        </is>
      </c>
      <c r="D31" s="15" t="inlineStr">
        <is>
          <t>FY2028E</t>
        </is>
      </c>
      <c r="E31" s="15" t="inlineStr">
        <is>
          <t>FY2029E</t>
        </is>
      </c>
      <c r="F31" s="15" t="inlineStr">
        <is>
          <t>FY2030E</t>
        </is>
      </c>
    </row>
    <row r="32">
      <c r="A32" t="inlineStr">
        <is>
          <t>Depreciation as % of revenue</t>
        </is>
      </c>
      <c r="B32" s="9" t="n">
        <v>0.025</v>
      </c>
      <c r="C32" s="9" t="n">
        <v>0.027</v>
      </c>
      <c r="D32" s="9" t="n">
        <v>0.029</v>
      </c>
      <c r="E32" s="9" t="n">
        <v>0.031</v>
      </c>
      <c r="F32" s="9" t="n">
        <v>0.033</v>
      </c>
    </row>
    <row r="33">
      <c r="A33" t="inlineStr">
        <is>
          <t>EGP marginal cost-of-debt path</t>
        </is>
      </c>
      <c r="B33" s="9" t="n">
        <v>0.206</v>
      </c>
      <c r="C33" s="9" t="n">
        <v>0.181</v>
      </c>
      <c r="D33" s="9" t="n">
        <v>0.161</v>
      </c>
      <c r="E33" s="9" t="n">
        <v>0.149</v>
      </c>
      <c r="F33" s="9" t="n">
        <v>0.14</v>
      </c>
    </row>
    <row r="34">
      <c r="A34" t="inlineStr">
        <is>
          <t>Yield earned on cash</t>
        </is>
      </c>
      <c r="B34" s="9" t="n">
        <v>0.15</v>
      </c>
      <c r="C34" s="9" t="n">
        <v>0.13</v>
      </c>
      <c r="D34" s="9" t="n">
        <v>0.12</v>
      </c>
      <c r="E34" s="9" t="n">
        <v>0.112</v>
      </c>
      <c r="F34" s="9" t="n">
        <v>0.108</v>
      </c>
    </row>
    <row r="35">
      <c r="A35" t="inlineStr">
        <is>
          <t>Maintenance capital expenditure</t>
        </is>
      </c>
      <c r="B35" s="13" t="n">
        <v>4</v>
      </c>
      <c r="C35" s="5" t="inlineStr">
        <is>
          <t>USD/t capacity</t>
        </is>
      </c>
    </row>
    <row r="36">
      <c r="A36" t="inlineStr">
        <is>
          <t>Change in working capital / change in revenue</t>
        </is>
      </c>
      <c r="B36" s="9" t="n">
        <v>0.12</v>
      </c>
    </row>
    <row r="37">
      <c r="A37" t="inlineStr">
        <is>
          <t>Dividend payout ratio</t>
        </is>
      </c>
      <c r="B37" s="9" t="n">
        <v>0.556</v>
      </c>
    </row>
    <row r="38">
      <c r="A38" s="6" t="inlineStr">
        <is>
          <t>COST OF CAPITAL</t>
        </is>
      </c>
      <c r="B38" s="6" t="n"/>
      <c r="C38" s="6" t="n"/>
      <c r="D38" s="6" t="n"/>
      <c r="E38" s="6" t="n"/>
      <c r="F38" s="6" t="n"/>
      <c r="G38" s="6" t="n"/>
      <c r="H38" s="6" t="n"/>
      <c r="I38" s="6" t="n"/>
    </row>
    <row r="39">
      <c r="A39" t="inlineStr">
        <is>
          <t>Risk-free rate (EGP 10-year government)</t>
        </is>
      </c>
      <c r="B39" s="10" t="n">
        <v>0.2231</v>
      </c>
    </row>
    <row r="40">
      <c r="A40" t="inlineStr">
        <is>
          <t>Sovereign default spread (netted out)</t>
        </is>
      </c>
      <c r="B40" s="10" t="n">
        <v>0.034</v>
      </c>
    </row>
    <row r="41">
      <c r="A41" t="inlineStr">
        <is>
          <t>Equity risk premium</t>
        </is>
      </c>
      <c r="B41" s="10" t="n">
        <v>0.0941</v>
      </c>
    </row>
    <row r="42">
      <c r="A42" t="inlineStr">
        <is>
          <t>Euribor (EBRD and NBE reference rate)</t>
        </is>
      </c>
      <c r="B42" s="10" t="n">
        <v>0.021</v>
      </c>
    </row>
    <row r="43">
      <c r="A43" t="inlineStr">
        <is>
          <t>EGP marginal borrowing rate (corridor + 0.6%)</t>
        </is>
      </c>
      <c r="B43" s="10" t="n">
        <v>0.206</v>
      </c>
    </row>
    <row r="44">
      <c r="A44" t="inlineStr">
        <is>
          <t>Expected EGP depreciation against the euro</t>
        </is>
      </c>
      <c r="B44" s="10" t="n">
        <v>0.06</v>
      </c>
    </row>
    <row r="45">
      <c r="A45" t="inlineStr">
        <is>
          <t>Terminal cost of debt</t>
        </is>
      </c>
      <c r="B45" s="10" t="n">
        <v>0.1</v>
      </c>
    </row>
    <row r="46">
      <c r="A46" t="inlineStr">
        <is>
          <t>Terminal risk-free rate</t>
        </is>
      </c>
      <c r="B46" s="10" t="n">
        <v>0.125</v>
      </c>
    </row>
    <row r="47">
      <c r="A47" t="inlineStr">
        <is>
          <t>Terminal equity risk premium</t>
        </is>
      </c>
      <c r="B47" s="10" t="n">
        <v>0.07000000000000001</v>
      </c>
    </row>
    <row r="48">
      <c r="A48" t="inlineStr">
        <is>
          <t>Terminal debt weight</t>
        </is>
      </c>
      <c r="B48" s="9" t="n">
        <v>0.2</v>
      </c>
    </row>
    <row r="49">
      <c r="A49" t="inlineStr">
        <is>
          <t>Terminal growth rate</t>
        </is>
      </c>
      <c r="B49" s="9" t="n">
        <v>0.05</v>
      </c>
    </row>
    <row r="50">
      <c r="A50" t="inlineStr">
        <is>
          <t>Elapsed fraction of FY2026 at the valuation date</t>
        </is>
      </c>
      <c r="B50" s="11" t="n">
        <v>0.583</v>
      </c>
    </row>
    <row r="51">
      <c r="A51" s="6" t="inlineStr">
        <is>
          <t>AUDITED INCOME STATEMENT — PASTED CLASS 1 (EGP mn)</t>
        </is>
      </c>
      <c r="B51" s="6" t="n"/>
      <c r="C51" s="6" t="n"/>
      <c r="D51" s="6" t="n"/>
      <c r="E51" s="6" t="n"/>
      <c r="F51" s="6" t="n"/>
      <c r="G51" s="6" t="n"/>
      <c r="H51" s="6" t="n"/>
      <c r="I51" s="6" t="n"/>
    </row>
    <row r="52">
      <c r="A52" t="inlineStr">
        <is>
          <t>FY2023 sales (net)</t>
        </is>
      </c>
      <c r="B52" s="14" t="n">
        <v>6042.831338</v>
      </c>
    </row>
    <row r="53">
      <c r="A53" t="inlineStr">
        <is>
          <t>FY2024 sales (net)</t>
        </is>
      </c>
      <c r="B53" s="14" t="n">
        <v>8729.782821000001</v>
      </c>
    </row>
    <row r="54">
      <c r="A54" t="inlineStr">
        <is>
          <t>FY2025 sales (net)</t>
        </is>
      </c>
      <c r="B54" s="14" t="n">
        <v>12447.320081</v>
      </c>
    </row>
    <row r="55">
      <c r="A55" t="inlineStr">
        <is>
          <t>FY2023 cost of sales</t>
        </is>
      </c>
      <c r="B55" s="14" t="n">
        <v>4759.815212</v>
      </c>
    </row>
    <row r="56">
      <c r="A56" t="inlineStr">
        <is>
          <t>FY2024 cost of sales</t>
        </is>
      </c>
      <c r="B56" s="14" t="n">
        <v>6642.972487</v>
      </c>
    </row>
    <row r="57">
      <c r="A57" t="inlineStr">
        <is>
          <t>FY2025 cost of sales</t>
        </is>
      </c>
      <c r="B57" s="14" t="n">
        <v>7389.054416</v>
      </c>
    </row>
    <row r="58">
      <c r="A58" t="inlineStr">
        <is>
          <t>FY2023 general and administrative expenses</t>
        </is>
      </c>
      <c r="B58" s="14" t="n">
        <v>183.940276</v>
      </c>
    </row>
    <row r="59">
      <c r="A59" t="inlineStr">
        <is>
          <t>FY2024 general and administrative expenses</t>
        </is>
      </c>
      <c r="B59" s="14" t="n">
        <v>267.798104</v>
      </c>
    </row>
    <row r="60">
      <c r="A60" t="inlineStr">
        <is>
          <t>FY2025 general and administrative expenses</t>
        </is>
      </c>
      <c r="B60" s="14" t="n">
        <v>384.332833</v>
      </c>
    </row>
    <row r="61">
      <c r="A61" t="inlineStr">
        <is>
          <t>FY2023 provisions charged</t>
        </is>
      </c>
      <c r="B61" s="14" t="n">
        <v>15.220195</v>
      </c>
    </row>
    <row r="62">
      <c r="A62" t="inlineStr">
        <is>
          <t>FY2024 provisions charged</t>
        </is>
      </c>
      <c r="B62" s="14" t="n">
        <v>56.05295</v>
      </c>
    </row>
    <row r="63">
      <c r="A63" t="inlineStr">
        <is>
          <t>FY2025 provisions charged</t>
        </is>
      </c>
      <c r="B63" s="14" t="n">
        <v>74.505707</v>
      </c>
    </row>
    <row r="64">
      <c r="A64" t="inlineStr">
        <is>
          <t>FY2023 expected credit losses</t>
        </is>
      </c>
      <c r="B64" s="14" t="n">
        <v>4.745753</v>
      </c>
    </row>
    <row r="65">
      <c r="A65" t="inlineStr">
        <is>
          <t>FY2024 expected credit losses</t>
        </is>
      </c>
      <c r="B65" s="14" t="n">
        <v>-1.106452</v>
      </c>
    </row>
    <row r="66">
      <c r="A66" t="inlineStr">
        <is>
          <t>FY2025 expected credit losses</t>
        </is>
      </c>
      <c r="B66" s="14" t="n">
        <v>3.603563</v>
      </c>
    </row>
    <row r="67">
      <c r="A67" t="inlineStr">
        <is>
          <t>FY2023 profit before tax</t>
        </is>
      </c>
      <c r="B67" s="14" t="n">
        <v>930.231432</v>
      </c>
    </row>
    <row r="68">
      <c r="A68" t="inlineStr">
        <is>
          <t>FY2024 profit before tax</t>
        </is>
      </c>
      <c r="B68" s="14" t="n">
        <v>1505.866118</v>
      </c>
    </row>
    <row r="69">
      <c r="A69" t="inlineStr">
        <is>
          <t>FY2025 profit before tax</t>
        </is>
      </c>
      <c r="B69" s="14" t="n">
        <v>4725.157878</v>
      </c>
    </row>
    <row r="70">
      <c r="A70" t="inlineStr">
        <is>
          <t>FY2023 income tax</t>
        </is>
      </c>
      <c r="B70" s="14" t="n">
        <v>232.732802</v>
      </c>
    </row>
    <row r="71">
      <c r="A71" t="inlineStr">
        <is>
          <t>FY2024 income tax</t>
        </is>
      </c>
      <c r="B71" s="14" t="n">
        <v>345.730996</v>
      </c>
    </row>
    <row r="72">
      <c r="A72" t="inlineStr">
        <is>
          <t>FY2025 income tax</t>
        </is>
      </c>
      <c r="B72" s="14" t="n">
        <v>1125.467657</v>
      </c>
    </row>
    <row r="73">
      <c r="A73" t="inlineStr">
        <is>
          <t>FY2023 attributable profit</t>
        </is>
      </c>
      <c r="B73" s="14" t="n">
        <v>697.488741</v>
      </c>
    </row>
    <row r="74">
      <c r="A74" t="inlineStr">
        <is>
          <t>FY2024 attributable profit</t>
        </is>
      </c>
      <c r="B74" s="14" t="n">
        <v>1160.129411</v>
      </c>
    </row>
    <row r="75">
      <c r="A75" t="inlineStr">
        <is>
          <t>FY2025 attributable profit</t>
        </is>
      </c>
      <c r="B75" s="14" t="n">
        <v>3599.585937</v>
      </c>
    </row>
    <row r="76">
      <c r="A76" t="inlineStr">
        <is>
          <t>FY2023 earnings per share</t>
        </is>
      </c>
      <c r="B76" s="7" t="n">
        <v>1.81</v>
      </c>
      <c r="C76" s="5" t="inlineStr">
        <is>
          <t>EGP</t>
        </is>
      </c>
    </row>
    <row r="77">
      <c r="A77" t="inlineStr">
        <is>
          <t>FY2024 earnings per share</t>
        </is>
      </c>
      <c r="B77" s="7" t="n">
        <v>3.02</v>
      </c>
      <c r="C77" s="5" t="inlineStr">
        <is>
          <t>EGP</t>
        </is>
      </c>
    </row>
    <row r="78">
      <c r="A78" t="inlineStr">
        <is>
          <t>FY2025 earnings per share</t>
        </is>
      </c>
      <c r="B78" s="7" t="n">
        <v>9.49</v>
      </c>
      <c r="C78" s="5" t="inlineStr">
        <is>
          <t>EGP</t>
        </is>
      </c>
    </row>
    <row r="79">
      <c r="A79" t="inlineStr">
        <is>
          <t>FY2023 depreciation and amortisation</t>
        </is>
      </c>
      <c r="B79" s="14" t="n">
        <v>250.424521</v>
      </c>
    </row>
    <row r="80">
      <c r="A80" t="inlineStr">
        <is>
          <t>FY2024 depreciation and amortisation</t>
        </is>
      </c>
      <c r="B80" s="14" t="n">
        <v>256.801527</v>
      </c>
    </row>
    <row r="81">
      <c r="A81" t="inlineStr">
        <is>
          <t>FY2025 depreciation and amortisation</t>
        </is>
      </c>
      <c r="B81" s="14" t="n">
        <v>289.771295</v>
      </c>
    </row>
    <row r="82">
      <c r="A82" t="inlineStr">
        <is>
          <t>FY2023 capital expenditure</t>
        </is>
      </c>
      <c r="B82" s="14" t="n">
        <v>58.543963</v>
      </c>
    </row>
    <row r="83">
      <c r="A83" t="inlineStr">
        <is>
          <t>FY2024 capital expenditure</t>
        </is>
      </c>
      <c r="B83" s="14" t="n">
        <v>912.0154</v>
      </c>
    </row>
    <row r="84">
      <c r="A84" t="inlineStr">
        <is>
          <t>FY2025 capital expenditure</t>
        </is>
      </c>
      <c r="B84" s="14" t="n">
        <v>796.47076</v>
      </c>
    </row>
    <row r="85">
      <c r="A85" t="inlineStr">
        <is>
          <t>FY2025 interest income</t>
        </is>
      </c>
      <c r="B85" s="14" t="n">
        <v>226.274781</v>
      </c>
    </row>
    <row r="86">
      <c r="A86" t="inlineStr">
        <is>
          <t>FY2025 other income</t>
        </is>
      </c>
      <c r="B86" s="14" t="n">
        <v>53.339508</v>
      </c>
    </row>
    <row r="87">
      <c r="A87" t="inlineStr">
        <is>
          <t>FY2025 finance costs</t>
        </is>
      </c>
      <c r="B87" s="14" t="n">
        <v>49.841733</v>
      </c>
    </row>
    <row r="88">
      <c r="A88" t="inlineStr">
        <is>
          <t>FY2025 foreign exchange differences</t>
        </is>
      </c>
      <c r="B88" s="14" t="n">
        <v>-101.57824</v>
      </c>
    </row>
    <row r="89">
      <c r="A89" s="6" t="inlineStr">
        <is>
          <t>AUDITED REVENUE AND COST NOTES (EGP mn)</t>
        </is>
      </c>
      <c r="B89" s="6" t="n"/>
      <c r="C89" s="6" t="n"/>
      <c r="D89" s="6" t="n"/>
      <c r="E89" s="6" t="n"/>
      <c r="F89" s="6" t="n"/>
      <c r="G89" s="6" t="n"/>
      <c r="H89" s="6" t="n"/>
      <c r="I89" s="6" t="n"/>
    </row>
    <row r="90">
      <c r="A90" t="inlineStr">
        <is>
          <t>FY2025 local sales of goods</t>
        </is>
      </c>
      <c r="B90" s="14" t="n">
        <v>8350.454610000001</v>
      </c>
    </row>
    <row r="91">
      <c r="A91" t="inlineStr">
        <is>
          <t>FY2025 local services</t>
        </is>
      </c>
      <c r="B91" s="14" t="n">
        <v>281.863546</v>
      </c>
    </row>
    <row r="92">
      <c r="A92" t="inlineStr">
        <is>
          <t>FY2025 export sales of goods</t>
        </is>
      </c>
      <c r="B92" s="14" t="n">
        <v>3356.422381</v>
      </c>
    </row>
    <row r="93">
      <c r="A93" t="inlineStr">
        <is>
          <t>FY2025 export services</t>
        </is>
      </c>
      <c r="B93" s="14" t="n">
        <v>458.579544</v>
      </c>
    </row>
    <row r="94">
      <c r="A94" t="inlineStr">
        <is>
          <t>FY2024 total local sales</t>
        </is>
      </c>
      <c r="B94" s="14" t="n">
        <v>4883.304477</v>
      </c>
    </row>
    <row r="95">
      <c r="A95" t="inlineStr">
        <is>
          <t>FY2024 total export sales</t>
        </is>
      </c>
      <c r="B95" s="14" t="n">
        <v>3846.478344</v>
      </c>
    </row>
    <row r="96">
      <c r="A96" t="inlineStr">
        <is>
          <t>FY2025 cost of sales — materials and fuel</t>
        </is>
      </c>
      <c r="B96" s="14" t="n">
        <v>5698.184715</v>
      </c>
    </row>
    <row r="97">
      <c r="A97" t="inlineStr">
        <is>
          <t>FY2025 cost of sales — transportation</t>
        </is>
      </c>
      <c r="B97" s="14" t="n">
        <v>764.279332</v>
      </c>
    </row>
    <row r="98">
      <c r="A98" t="inlineStr">
        <is>
          <t>FY2025 cost of sales — overheads</t>
        </is>
      </c>
      <c r="B98" s="14" t="n">
        <v>641.143208</v>
      </c>
    </row>
    <row r="99">
      <c r="A99" t="inlineStr">
        <is>
          <t>FY2025 administrative depreciation</t>
        </is>
      </c>
      <c r="B99" s="14" t="n">
        <v>4.324134</v>
      </c>
    </row>
    <row r="100">
      <c r="A100" s="6" t="inlineStr">
        <is>
          <t>AUDITED BALANCE SHEET — PASTED CLASS 1 (EGP mn)</t>
        </is>
      </c>
      <c r="B100" s="6" t="n"/>
      <c r="C100" s="6" t="n"/>
      <c r="D100" s="6" t="n"/>
      <c r="E100" s="6" t="n"/>
      <c r="F100" s="6" t="n"/>
      <c r="G100" s="6" t="n"/>
      <c r="H100" s="6" t="n"/>
      <c r="I100" s="6" t="n"/>
    </row>
    <row r="101">
      <c r="A101" t="inlineStr">
        <is>
          <t>Total assets FY2025</t>
        </is>
      </c>
      <c r="B101" s="14" t="n">
        <v>8783.721849</v>
      </c>
    </row>
    <row r="102">
      <c r="A102" t="inlineStr">
        <is>
          <t>Total assets FY2024</t>
        </is>
      </c>
      <c r="B102" s="14" t="n">
        <v>5848.616103</v>
      </c>
    </row>
    <row r="103">
      <c r="A103" t="inlineStr">
        <is>
          <t>Total assets FY2023</t>
        </is>
      </c>
      <c r="B103" s="14" t="n">
        <v>3887.527427</v>
      </c>
    </row>
    <row r="104">
      <c r="A104" t="inlineStr">
        <is>
          <t>Total liabilities FY2025</t>
        </is>
      </c>
      <c r="B104" s="14" t="n">
        <v>4140.989609</v>
      </c>
    </row>
    <row r="105">
      <c r="A105" t="inlineStr">
        <is>
          <t>Property, plant and equipment FY2025</t>
        </is>
      </c>
      <c r="B105" s="14" t="n">
        <v>2522.323523</v>
      </c>
    </row>
    <row r="106">
      <c r="A106" t="inlineStr">
        <is>
          <t>Assets under construction FY2025</t>
        </is>
      </c>
      <c r="B106" s="14" t="n">
        <v>391.543753</v>
      </c>
    </row>
    <row r="107">
      <c r="A107" t="inlineStr">
        <is>
          <t>Intangible assets FY2025</t>
        </is>
      </c>
      <c r="B107" s="14" t="n">
        <v>106.799617</v>
      </c>
    </row>
    <row r="108">
      <c r="A108" t="inlineStr">
        <is>
          <t>Inventories FY2025</t>
        </is>
      </c>
      <c r="B108" s="14" t="n">
        <v>1053.646218</v>
      </c>
    </row>
    <row r="109">
      <c r="A109" t="inlineStr">
        <is>
          <t>Trade receivables FY2025</t>
        </is>
      </c>
      <c r="B109" s="14" t="n">
        <v>244.416417</v>
      </c>
    </row>
    <row r="110">
      <c r="A110" t="inlineStr">
        <is>
          <t>Debtors and other debit balances FY2025</t>
        </is>
      </c>
      <c r="B110" s="14" t="n">
        <v>1004.779062</v>
      </c>
    </row>
    <row r="111">
      <c r="A111" t="inlineStr">
        <is>
          <t>Cash and bank balances FY2025</t>
        </is>
      </c>
      <c r="B111" s="14" t="n">
        <v>3459.391229</v>
      </c>
    </row>
    <row r="112">
      <c r="A112" t="inlineStr">
        <is>
          <t>Cash and bank balances FY2024</t>
        </is>
      </c>
      <c r="B112" s="14" t="n">
        <v>1687.062873</v>
      </c>
    </row>
    <row r="113">
      <c r="A113" t="inlineStr">
        <is>
          <t>Cash and bank balances FY2023</t>
        </is>
      </c>
      <c r="B113" s="14" t="n">
        <v>561.09968</v>
      </c>
    </row>
    <row r="114">
      <c r="A114" t="inlineStr">
        <is>
          <t>Equity attributable to owners FY2025</t>
        </is>
      </c>
      <c r="B114" s="14" t="n">
        <v>4642.574235</v>
      </c>
    </row>
    <row r="115">
      <c r="A115" t="inlineStr">
        <is>
          <t>Equity attributable to owners FY2024</t>
        </is>
      </c>
      <c r="B115" s="14" t="n">
        <v>2303.472299</v>
      </c>
    </row>
    <row r="116">
      <c r="A116" t="inlineStr">
        <is>
          <t>Equity attributable to owners FY2023</t>
        </is>
      </c>
      <c r="B116" s="14" t="n">
        <v>1754.221659</v>
      </c>
    </row>
    <row r="117">
      <c r="A117" t="inlineStr">
        <is>
          <t>Non-controlling interests FY2025</t>
        </is>
      </c>
      <c r="B117" s="8" t="n">
        <v>0.158005</v>
      </c>
    </row>
    <row r="118">
      <c r="A118" s="6" t="inlineStr">
        <is>
          <t>AUDITED DEBT NOTE 25 (EGP mn)</t>
        </is>
      </c>
      <c r="B118" s="6" t="n"/>
      <c r="C118" s="6" t="n"/>
      <c r="D118" s="6" t="n"/>
      <c r="E118" s="6" t="n"/>
      <c r="F118" s="6" t="n"/>
      <c r="G118" s="6" t="n"/>
      <c r="H118" s="6" t="n"/>
      <c r="I118" s="6" t="n"/>
    </row>
    <row r="119">
      <c r="A119" t="inlineStr">
        <is>
          <t>CIB credit facilities — EGP</t>
        </is>
      </c>
      <c r="B119" s="14" t="n">
        <v>99.916937</v>
      </c>
    </row>
    <row r="120">
      <c r="A120" t="inlineStr">
        <is>
          <t>National Bank of Egypt facility — EUR</t>
        </is>
      </c>
      <c r="B120" s="14" t="n">
        <v>145.741484</v>
      </c>
    </row>
    <row r="121">
      <c r="A121" t="inlineStr">
        <is>
          <t>EBRD facility — EUR</t>
        </is>
      </c>
      <c r="B121" s="14" t="n">
        <v>888.274195</v>
      </c>
    </row>
    <row r="122">
      <c r="A122" t="inlineStr">
        <is>
          <t>Lease liabilities</t>
        </is>
      </c>
      <c r="B122" s="14" t="n">
        <v>1.176042</v>
      </c>
    </row>
    <row r="123">
      <c r="A123" t="inlineStr">
        <is>
          <t>Total interest-bearing debt FY2024</t>
        </is>
      </c>
      <c r="B123" s="14" t="n">
        <v>760.917684</v>
      </c>
    </row>
    <row r="124">
      <c r="A124" t="inlineStr">
        <is>
          <t>Total interest-bearing debt FY2023</t>
        </is>
      </c>
      <c r="B124" s="14" t="n">
        <v>90.07427300000001</v>
      </c>
    </row>
    <row r="125">
      <c r="A125" t="inlineStr">
        <is>
          <t>FY2025 loan interest expense</t>
        </is>
      </c>
      <c r="B125" s="14" t="n">
        <v>24.61313</v>
      </c>
    </row>
    <row r="126">
      <c r="A126" t="inlineStr">
        <is>
          <t>FY2025 credit-facility interest expense</t>
        </is>
      </c>
      <c r="B126" s="14" t="n">
        <v>23.00737</v>
      </c>
    </row>
    <row r="127">
      <c r="A127" t="inlineStr">
        <is>
          <t>FY2024 loan interest expense</t>
        </is>
      </c>
      <c r="B127" s="14" t="n">
        <v>2.754107</v>
      </c>
    </row>
    <row r="128">
      <c r="A128" t="inlineStr">
        <is>
          <t>FY2024 credit-facility interest expense</t>
        </is>
      </c>
      <c r="B128" s="14" t="n">
        <v>85.95302599999999</v>
      </c>
    </row>
    <row r="129">
      <c r="A129" s="6" t="inlineStr">
        <is>
          <t>DIVIDENDS AND Q1-2026 (EGP mn)</t>
        </is>
      </c>
      <c r="B129" s="6" t="n"/>
      <c r="C129" s="6" t="n"/>
      <c r="D129" s="6" t="n"/>
      <c r="E129" s="6" t="n"/>
      <c r="F129" s="6" t="n"/>
      <c r="G129" s="6" t="n"/>
      <c r="H129" s="6" t="n"/>
      <c r="I129" s="6" t="n"/>
    </row>
    <row r="130">
      <c r="A130" t="inlineStr">
        <is>
          <t>FY2025 dividend declared</t>
        </is>
      </c>
      <c r="B130" s="14" t="n">
        <v>2001.79216</v>
      </c>
    </row>
    <row r="131">
      <c r="A131" t="inlineStr">
        <is>
          <t>FY2024 dividend approved and paid</t>
        </is>
      </c>
      <c r="B131" s="14" t="n">
        <v>1102.110289</v>
      </c>
    </row>
    <row r="132">
      <c r="A132" t="inlineStr">
        <is>
          <t>Q1-2026 sales</t>
        </is>
      </c>
      <c r="B132" s="14" t="n">
        <v>2995.95935</v>
      </c>
    </row>
    <row r="133">
      <c r="A133" t="inlineStr">
        <is>
          <t>Q1-2025 sales</t>
        </is>
      </c>
      <c r="B133" s="14" t="n">
        <v>2554.448091</v>
      </c>
    </row>
    <row r="134">
      <c r="A134" t="inlineStr">
        <is>
          <t>Q1-2026 gross profit</t>
        </is>
      </c>
      <c r="B134" s="14" t="n">
        <v>1286.145881</v>
      </c>
    </row>
    <row r="135">
      <c r="A135" t="inlineStr">
        <is>
          <t>Q1-2026 attributable profit</t>
        </is>
      </c>
      <c r="B135" s="14" t="n">
        <v>943.068309</v>
      </c>
    </row>
    <row r="136">
      <c r="A136" t="inlineStr">
        <is>
          <t>Q1-2026 cash and bank balances</t>
        </is>
      </c>
      <c r="B136" s="14" t="n">
        <v>4379.627379</v>
      </c>
    </row>
    <row r="137">
      <c r="A137" t="inlineStr">
        <is>
          <t>Q1-2026 interest-bearing debt</t>
        </is>
      </c>
      <c r="B137" s="14" t="n">
        <v>1260.509089</v>
      </c>
    </row>
    <row r="138">
      <c r="A138" t="inlineStr">
        <is>
          <t>Q1-2026 dividends payable</t>
        </is>
      </c>
      <c r="B138" s="14" t="n">
        <v>2001.79216</v>
      </c>
    </row>
    <row r="139">
      <c r="A139" t="inlineStr">
        <is>
          <t>Q1-2026 finance costs</t>
        </is>
      </c>
      <c r="B139" s="14" t="n">
        <v>11.168843</v>
      </c>
    </row>
    <row r="140">
      <c r="A140" s="6" t="inlineStr">
        <is>
          <t>LENS INPUTS</t>
        </is>
      </c>
      <c r="B140" s="6" t="n"/>
      <c r="C140" s="6" t="n"/>
      <c r="D140" s="6" t="n"/>
      <c r="E140" s="6" t="n"/>
      <c r="F140" s="6" t="n"/>
      <c r="G140" s="6" t="n"/>
      <c r="H140" s="6" t="n"/>
      <c r="I140" s="6" t="n"/>
    </row>
    <row r="141">
      <c r="A141" t="inlineStr">
        <is>
          <t>Replacement cost per annual tonne</t>
        </is>
      </c>
      <c r="B141" s="14" t="n">
        <v>130</v>
      </c>
      <c r="C141" s="5" t="inlineStr">
        <is>
          <t>USD/t</t>
        </is>
      </c>
    </row>
    <row r="142">
      <c r="A142" t="inlineStr">
        <is>
          <t>Justified enterprise value per annual tonne</t>
        </is>
      </c>
      <c r="B142" s="14" t="n">
        <v>95</v>
      </c>
      <c r="C142" s="5" t="inlineStr">
        <is>
          <t>USD/t</t>
        </is>
      </c>
    </row>
    <row r="143">
      <c r="A143" t="inlineStr">
        <is>
          <t>Justified EV/EBITDA</t>
        </is>
      </c>
      <c r="B143" s="16" t="n">
        <v>4.5</v>
      </c>
    </row>
    <row r="144">
      <c r="A144" t="inlineStr">
        <is>
          <t>Justified price/earnings</t>
        </is>
      </c>
      <c r="B144" s="16" t="n">
        <v>7</v>
      </c>
    </row>
    <row r="145">
      <c r="A145" t="inlineStr">
        <is>
          <t>Mid-cycle EBITDA margin</t>
        </is>
      </c>
      <c r="B145" s="9" t="n">
        <v>0.312</v>
      </c>
    </row>
    <row r="146">
      <c r="A146" t="inlineStr">
        <is>
          <t>Normalised revenue haircut</t>
        </is>
      </c>
      <c r="B146" s="9" t="n">
        <v>0.9399999999999999</v>
      </c>
    </row>
    <row r="147">
      <c r="A147" t="inlineStr">
        <is>
          <t>Weight — cash-flow lens</t>
        </is>
      </c>
      <c r="B147" s="9" t="n">
        <v>0.5</v>
      </c>
    </row>
    <row r="148">
      <c r="A148" t="inlineStr">
        <is>
          <t>Weight — relative lens</t>
        </is>
      </c>
      <c r="B148" s="9" t="n">
        <v>0.2</v>
      </c>
    </row>
    <row r="149">
      <c r="A149" t="inlineStr">
        <is>
          <t>Weight — normalised lens</t>
        </is>
      </c>
      <c r="B149" s="9" t="n">
        <v>0.22</v>
      </c>
    </row>
    <row r="150">
      <c r="A150" t="inlineStr">
        <is>
          <t>Weight — asset lens</t>
        </is>
      </c>
      <c r="B150" s="9" t="n">
        <v>0.08</v>
      </c>
    </row>
    <row r="151">
      <c r="A151" s="6" t="inlineStr">
        <is>
          <t>SECTOR AND PEERS</t>
        </is>
      </c>
      <c r="B151" s="6" t="n"/>
      <c r="C151" s="6" t="n"/>
      <c r="D151" s="6" t="n"/>
      <c r="E151" s="6" t="n"/>
      <c r="F151" s="6" t="n"/>
      <c r="G151" s="6" t="n"/>
      <c r="H151" s="6" t="n"/>
      <c r="I151" s="6" t="n"/>
    </row>
    <row r="152">
      <c r="A152" t="inlineStr">
        <is>
          <t>Egyptian nameplate capacity</t>
        </is>
      </c>
      <c r="B152" s="12" t="n">
        <v>76</v>
      </c>
      <c r="C152" s="5" t="inlineStr">
        <is>
          <t>Mt</t>
        </is>
      </c>
    </row>
    <row r="153">
      <c r="A153" t="inlineStr">
        <is>
          <t>Egyptian production 2025</t>
        </is>
      </c>
      <c r="B153" s="12" t="n">
        <v>65</v>
      </c>
      <c r="C153" s="5" t="inlineStr">
        <is>
          <t>Mt</t>
        </is>
      </c>
    </row>
    <row r="154">
      <c r="A154" t="inlineStr">
        <is>
          <t>Egyptian consumption 2025</t>
        </is>
      </c>
      <c r="B154" s="12" t="n">
        <v>54</v>
      </c>
      <c r="C154" s="5" t="inlineStr">
        <is>
          <t>Mt</t>
        </is>
      </c>
    </row>
    <row r="155">
      <c r="A155" t="inlineStr">
        <is>
          <t>Egyptian exports 2025</t>
        </is>
      </c>
      <c r="B155" s="12" t="n">
        <v>18.5</v>
      </c>
      <c r="C155" s="5" t="inlineStr">
        <is>
          <t>Mt</t>
        </is>
      </c>
    </row>
    <row r="156">
      <c r="A156" t="inlineStr">
        <is>
          <t>Dormant capacity under revival</t>
        </is>
      </c>
      <c r="B156" s="12" t="n">
        <v>12.6</v>
      </c>
      <c r="C156" s="5" t="inlineStr">
        <is>
          <t>Mt</t>
        </is>
      </c>
    </row>
    <row r="157">
      <c r="A157" t="inlineStr">
        <is>
          <t>Peer — Sinai Cement revenue</t>
        </is>
      </c>
      <c r="B157" s="14" t="n">
        <v>9090</v>
      </c>
    </row>
    <row r="158">
      <c r="A158" t="inlineStr">
        <is>
          <t>Peer — Sinai Cement profit</t>
        </is>
      </c>
      <c r="B158" s="14" t="n">
        <v>2290</v>
      </c>
    </row>
    <row r="159">
      <c r="A159" t="inlineStr">
        <is>
          <t>Peer — Sinai Cement market capitalisation</t>
        </is>
      </c>
      <c r="B159" s="14" t="n">
        <v>20604.19</v>
      </c>
    </row>
    <row r="160">
      <c r="A160" t="inlineStr">
        <is>
          <t>Peer — Misr Beni Suef revenue</t>
        </is>
      </c>
      <c r="B160" s="14" t="n">
        <v>5700</v>
      </c>
    </row>
    <row r="161">
      <c r="A161" t="inlineStr">
        <is>
          <t>Peer — Misr Beni Suef profit</t>
        </is>
      </c>
      <c r="B161" s="14" t="n">
        <v>3946</v>
      </c>
    </row>
    <row r="162">
      <c r="A162" t="inlineStr">
        <is>
          <t>Peer — Misr Beni Suef market capitalisation</t>
        </is>
      </c>
      <c r="B162" s="14" t="n">
        <v>13730</v>
      </c>
    </row>
    <row r="164">
      <c r="A164" s="5" t="inlineStr">
        <is>
          <t>Every cell on this sheet is BLUE — an input. Nothing here is computed from anything else here.</t>
        </is>
      </c>
    </row>
    <row r="165">
      <c r="A165" s="5" t="inlineStr">
        <is>
          <t>Everything on every other sheet that can be derived from these is a formula.</t>
        </is>
      </c>
    </row>
  </sheetData>
  <mergeCells count="2">
    <mergeCell ref="A165:J165"/>
    <mergeCell ref="A164:J16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8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Unit build — volume DERIVED from the audited revenue split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EBITDA is a RESULT of this sheet, never an input.</t>
        </is>
      </c>
    </row>
    <row r="4">
      <c r="A4" s="6" t="inlineStr">
        <is>
          <t>FY2025 CALIBRATION — FROM THE AUDITED NOTES</t>
        </is>
      </c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t="inlineStr">
        <is>
          <t>Export sales of goods (audited note 4)</t>
        </is>
      </c>
      <c r="B5" s="17">
        <f>Assumptions!$B$92</f>
        <v/>
      </c>
    </row>
    <row r="6">
      <c r="A6" t="inlineStr">
        <is>
          <t>Export price (USD/t)</t>
        </is>
      </c>
      <c r="B6" s="18">
        <f>Assumptions!$B$18</f>
        <v/>
      </c>
    </row>
    <row r="7">
      <c r="A7" t="inlineStr">
        <is>
          <t>Average USD/EGP FY2025 (audited note 2.5)</t>
        </is>
      </c>
      <c r="B7" s="19">
        <f>Assumptions!$B$19</f>
        <v/>
      </c>
    </row>
    <row r="8">
      <c r="A8" t="inlineStr">
        <is>
          <t>Export volume (Mt) — DERIVED</t>
        </is>
      </c>
      <c r="B8" s="20">
        <f>B5/(B6*B7)</f>
        <v/>
      </c>
    </row>
    <row r="9">
      <c r="A9" t="inlineStr">
        <is>
          <t>Local sales of goods (audited note 4)</t>
        </is>
      </c>
      <c r="B9" s="17">
        <f>Assumptions!$B$90</f>
        <v/>
      </c>
    </row>
    <row r="10">
      <c r="A10" t="inlineStr">
        <is>
          <t>Local price (EGP/t)</t>
        </is>
      </c>
      <c r="B10" s="17">
        <f>Assumptions!$B$17</f>
        <v/>
      </c>
    </row>
    <row r="11">
      <c r="A11" t="inlineStr">
        <is>
          <t>Local volume (Mt) — DERIVED</t>
        </is>
      </c>
      <c r="B11" s="20">
        <f>B9/B10</f>
        <v/>
      </c>
    </row>
    <row r="12">
      <c r="A12" t="inlineStr">
        <is>
          <t>TOTAL VOLUME FY2025 (Mt)</t>
        </is>
      </c>
      <c r="B12" s="21">
        <f>B8+B11</f>
        <v/>
      </c>
    </row>
    <row r="13">
      <c r="A13" t="inlineStr">
        <is>
          <t>Cement capacity (Mt)</t>
        </is>
      </c>
      <c r="B13" s="19">
        <f>Assumptions!$B$13</f>
        <v/>
      </c>
    </row>
    <row r="14">
      <c r="A14" t="inlineStr">
        <is>
          <t>Implied utilisation — the cross-check</t>
        </is>
      </c>
      <c r="B14" s="22">
        <f>B12/B13</f>
        <v/>
      </c>
    </row>
    <row r="15">
      <c r="A15" t="inlineStr">
        <is>
          <t>National sector utilisation, for comparison</t>
        </is>
      </c>
      <c r="B15" s="23">
        <f>Assumptions!$B$153/Assumptions!$B$152</f>
        <v/>
      </c>
    </row>
    <row r="16">
      <c r="A16" t="inlineStr">
        <is>
          <t>Export share of volume</t>
        </is>
      </c>
      <c r="B16" s="23">
        <f>B8/B12</f>
        <v/>
      </c>
    </row>
    <row r="17">
      <c r="A17" t="inlineStr">
        <is>
          <t>Export share of revenue</t>
        </is>
      </c>
      <c r="B17" s="23">
        <f>(Assumptions!$B$92+Assumptions!$B$93)/Assumptions!$B$54</f>
        <v/>
      </c>
    </row>
    <row r="19">
      <c r="A19" s="6" t="inlineStr">
        <is>
          <t>FY2025 CASH COST PER TONNE — FROM THE AUDITED COST NOTES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</row>
    <row r="20">
      <c r="A20" t="inlineStr">
        <is>
          <t>Materials and fuel (note 5)</t>
        </is>
      </c>
      <c r="B20" s="17">
        <f>Assumptions!$B$96</f>
        <v/>
      </c>
    </row>
    <row r="21">
      <c r="A21" t="inlineStr">
        <is>
          <t>Transportation (note 5)</t>
        </is>
      </c>
      <c r="B21" s="17">
        <f>Assumptions!$B$97</f>
        <v/>
      </c>
    </row>
    <row r="22">
      <c r="A22" t="inlineStr">
        <is>
          <t>Overheads (note 5) plus cash administration (note 6)</t>
        </is>
      </c>
      <c r="B22" s="24">
        <f>Assumptions!$B$98+Assumptions!$B$60-Assumptions!$B$99+Assumptions!$B$63+Assumptions!$B$66</f>
        <v/>
      </c>
    </row>
    <row r="23">
      <c r="A23" t="inlineStr">
        <is>
          <t>Total cash cost (EGP mn)</t>
        </is>
      </c>
      <c r="B23" s="24">
        <f>SUM(B20:B22)</f>
        <v/>
      </c>
    </row>
    <row r="24">
      <c r="A24" t="inlineStr">
        <is>
          <t>Materials and fuel per tonne</t>
        </is>
      </c>
      <c r="B24" s="24">
        <f>B20/B12</f>
        <v/>
      </c>
    </row>
    <row r="25">
      <c r="A25" t="inlineStr">
        <is>
          <t>Transportation per tonne</t>
        </is>
      </c>
      <c r="B25" s="24">
        <f>B21/B12</f>
        <v/>
      </c>
    </row>
    <row r="26">
      <c r="A26" t="inlineStr">
        <is>
          <t>Overheads and administration per tonne</t>
        </is>
      </c>
      <c r="B26" s="24">
        <f>B22/B12</f>
        <v/>
      </c>
    </row>
    <row r="27">
      <c r="A27" t="inlineStr">
        <is>
          <t>TOTAL CASH COST PER TONNE</t>
        </is>
      </c>
      <c r="B27" s="25">
        <f>B23/B12</f>
        <v/>
      </c>
    </row>
    <row r="29">
      <c r="A29" s="6" t="inlineStr">
        <is>
          <t>THE BUILD — FY2025A THEN FY2026E TO FY2030E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</row>
    <row r="30">
      <c r="A30" s="15" t="inlineStr"/>
      <c r="B30" s="15" t="inlineStr">
        <is>
          <t>FY2025A</t>
        </is>
      </c>
      <c r="C30" s="15" t="inlineStr">
        <is>
          <t>FY2026E</t>
        </is>
      </c>
      <c r="D30" s="15" t="inlineStr">
        <is>
          <t>FY2027E</t>
        </is>
      </c>
      <c r="E30" s="15" t="inlineStr">
        <is>
          <t>FY2028E</t>
        </is>
      </c>
      <c r="F30" s="15" t="inlineStr">
        <is>
          <t>FY2029E</t>
        </is>
      </c>
      <c r="G30" s="15" t="inlineStr">
        <is>
          <t>FY2030E</t>
        </is>
      </c>
    </row>
    <row r="31">
      <c r="A31" t="inlineStr">
        <is>
          <t>Capacity utilisation</t>
        </is>
      </c>
      <c r="B31" s="26">
        <f>Assumptions!$B$23</f>
        <v/>
      </c>
      <c r="C31" s="26">
        <f>Assumptions!$C$23</f>
        <v/>
      </c>
      <c r="D31" s="26">
        <f>Assumptions!$D$23</f>
        <v/>
      </c>
      <c r="E31" s="26">
        <f>Assumptions!$E$23</f>
        <v/>
      </c>
      <c r="F31" s="26">
        <f>Assumptions!$F$23</f>
        <v/>
      </c>
      <c r="G31" s="26">
        <f>Assumptions!$G$23</f>
        <v/>
      </c>
    </row>
    <row r="32">
      <c r="A32" t="inlineStr">
        <is>
          <t>Volume (Mt)</t>
        </is>
      </c>
      <c r="B32" s="20">
        <f>$B$13*B31</f>
        <v/>
      </c>
      <c r="C32" s="20">
        <f>$B$13*C31</f>
        <v/>
      </c>
      <c r="D32" s="20">
        <f>$B$13*D31</f>
        <v/>
      </c>
      <c r="E32" s="20">
        <f>$B$13*E31</f>
        <v/>
      </c>
      <c r="F32" s="20">
        <f>$B$13*F31</f>
        <v/>
      </c>
      <c r="G32" s="20">
        <f>$B$13*G31</f>
        <v/>
      </c>
    </row>
    <row r="33">
      <c r="A33" t="inlineStr">
        <is>
          <t>Export share of volume</t>
        </is>
      </c>
      <c r="B33" s="26">
        <f>Assumptions!$B$24</f>
        <v/>
      </c>
      <c r="C33" s="26">
        <f>Assumptions!$C$24</f>
        <v/>
      </c>
      <c r="D33" s="26">
        <f>Assumptions!$D$24</f>
        <v/>
      </c>
      <c r="E33" s="26">
        <f>Assumptions!$E$24</f>
        <v/>
      </c>
      <c r="F33" s="26">
        <f>Assumptions!$F$24</f>
        <v/>
      </c>
      <c r="G33" s="26">
        <f>Assumptions!$G$24</f>
        <v/>
      </c>
    </row>
    <row r="34">
      <c r="A34" t="inlineStr">
        <is>
          <t>Export volume (Mt)</t>
        </is>
      </c>
      <c r="B34" s="20">
        <f>B32*B33</f>
        <v/>
      </c>
      <c r="C34" s="20">
        <f>C32*C33</f>
        <v/>
      </c>
      <c r="D34" s="20">
        <f>D32*D33</f>
        <v/>
      </c>
      <c r="E34" s="20">
        <f>E32*E33</f>
        <v/>
      </c>
      <c r="F34" s="20">
        <f>F32*F33</f>
        <v/>
      </c>
      <c r="G34" s="20">
        <f>G32*G33</f>
        <v/>
      </c>
    </row>
    <row r="35">
      <c r="A35" t="inlineStr">
        <is>
          <t>Local volume (Mt)</t>
        </is>
      </c>
      <c r="B35" s="20">
        <f>B32-B34</f>
        <v/>
      </c>
      <c r="C35" s="20">
        <f>C32-C34</f>
        <v/>
      </c>
      <c r="D35" s="20">
        <f>D32-D34</f>
        <v/>
      </c>
      <c r="E35" s="20">
        <f>E32-E34</f>
        <v/>
      </c>
      <c r="F35" s="20">
        <f>F32-F34</f>
        <v/>
      </c>
      <c r="G35" s="20">
        <f>G32-G34</f>
        <v/>
      </c>
    </row>
    <row r="36">
      <c r="A36" t="inlineStr">
        <is>
          <t>Local price (EGP/t)</t>
        </is>
      </c>
      <c r="B36" s="24">
        <f>$B$10*Assumptions!$B$25</f>
        <v/>
      </c>
      <c r="C36" s="24">
        <f>$B$10*Assumptions!$C$25</f>
        <v/>
      </c>
      <c r="D36" s="24">
        <f>$B$10*Assumptions!$D$25</f>
        <v/>
      </c>
      <c r="E36" s="24">
        <f>$B$10*Assumptions!$E$25</f>
        <v/>
      </c>
      <c r="F36" s="24">
        <f>$B$10*Assumptions!$F$25</f>
        <v/>
      </c>
      <c r="G36" s="24">
        <f>$B$10*Assumptions!$G$25</f>
        <v/>
      </c>
    </row>
    <row r="37">
      <c r="A37" t="inlineStr">
        <is>
          <t>Export price (USD/t)</t>
        </is>
      </c>
      <c r="B37" s="27">
        <f>$B$6*Assumptions!$B$26</f>
        <v/>
      </c>
      <c r="C37" s="27">
        <f>$B$6*Assumptions!$C$26</f>
        <v/>
      </c>
      <c r="D37" s="27">
        <f>$B$6*Assumptions!$D$26</f>
        <v/>
      </c>
      <c r="E37" s="27">
        <f>$B$6*Assumptions!$E$26</f>
        <v/>
      </c>
      <c r="F37" s="27">
        <f>$B$6*Assumptions!$F$26</f>
        <v/>
      </c>
      <c r="G37" s="27">
        <f>$B$6*Assumptions!$G$26</f>
        <v/>
      </c>
    </row>
    <row r="38">
      <c r="A38" t="inlineStr">
        <is>
          <t>USD/EGP</t>
        </is>
      </c>
      <c r="B38" s="18">
        <f>Assumptions!$B$27</f>
        <v/>
      </c>
      <c r="C38" s="18">
        <f>Assumptions!$C$27</f>
        <v/>
      </c>
      <c r="D38" s="18">
        <f>Assumptions!$D$27</f>
        <v/>
      </c>
      <c r="E38" s="18">
        <f>Assumptions!$E$27</f>
        <v/>
      </c>
      <c r="F38" s="18">
        <f>Assumptions!$F$27</f>
        <v/>
      </c>
      <c r="G38" s="18">
        <f>Assumptions!$G$27</f>
        <v/>
      </c>
    </row>
    <row r="39">
      <c r="A39" t="inlineStr">
        <is>
          <t>Local revenue (EGP mn)</t>
        </is>
      </c>
      <c r="B39" s="24">
        <f>B35*B36</f>
        <v/>
      </c>
      <c r="C39" s="24">
        <f>C35*C36</f>
        <v/>
      </c>
      <c r="D39" s="24">
        <f>D35*D36</f>
        <v/>
      </c>
      <c r="E39" s="24">
        <f>E35*E36</f>
        <v/>
      </c>
      <c r="F39" s="24">
        <f>F35*F36</f>
        <v/>
      </c>
      <c r="G39" s="24">
        <f>G35*G36</f>
        <v/>
      </c>
    </row>
    <row r="40">
      <c r="A40" t="inlineStr">
        <is>
          <t>Export revenue (EGP mn)</t>
        </is>
      </c>
      <c r="B40" s="24">
        <f>B34*B37*B38</f>
        <v/>
      </c>
      <c r="C40" s="24">
        <f>C34*C37*C38</f>
        <v/>
      </c>
      <c r="D40" s="24">
        <f>D34*D37*D38</f>
        <v/>
      </c>
      <c r="E40" s="24">
        <f>E34*E37*E38</f>
        <v/>
      </c>
      <c r="F40" s="24">
        <f>F34*F37*F38</f>
        <v/>
      </c>
      <c r="G40" s="24">
        <f>G34*G37*G38</f>
        <v/>
      </c>
    </row>
    <row r="41">
      <c r="A41" t="inlineStr">
        <is>
          <t>Goods revenue (EGP mn)</t>
        </is>
      </c>
      <c r="B41" s="24">
        <f>B39+B40</f>
        <v/>
      </c>
      <c r="C41" s="24">
        <f>C39+C40</f>
        <v/>
      </c>
      <c r="D41" s="24">
        <f>D39+D40</f>
        <v/>
      </c>
      <c r="E41" s="24">
        <f>E39+E40</f>
        <v/>
      </c>
      <c r="F41" s="24">
        <f>F39+F40</f>
        <v/>
      </c>
      <c r="G41" s="24">
        <f>G39+G40</f>
        <v/>
      </c>
    </row>
    <row r="42">
      <c r="A42" t="inlineStr">
        <is>
          <t>REVENUE (EGP mn)</t>
        </is>
      </c>
      <c r="B42" s="25">
        <f>B41*(1+Assumptions!$B$20)</f>
        <v/>
      </c>
      <c r="C42" s="25">
        <f>C41*(1+Assumptions!$B$20)</f>
        <v/>
      </c>
      <c r="D42" s="25">
        <f>D41*(1+Assumptions!$B$20)</f>
        <v/>
      </c>
      <c r="E42" s="25">
        <f>E41*(1+Assumptions!$B$20)</f>
        <v/>
      </c>
      <c r="F42" s="25">
        <f>F41*(1+Assumptions!$B$20)</f>
        <v/>
      </c>
      <c r="G42" s="25">
        <f>G41*(1+Assumptions!$B$20)</f>
        <v/>
      </c>
    </row>
    <row r="43">
      <c r="A43" t="inlineStr">
        <is>
          <t>Blended realised price (EGP/t)</t>
        </is>
      </c>
      <c r="B43" s="24">
        <f>B42/B32</f>
        <v/>
      </c>
      <c r="C43" s="24">
        <f>C42/C32</f>
        <v/>
      </c>
      <c r="D43" s="24">
        <f>D42/D32</f>
        <v/>
      </c>
      <c r="E43" s="24">
        <f>E42/E32</f>
        <v/>
      </c>
      <c r="F43" s="24">
        <f>F42/F32</f>
        <v/>
      </c>
      <c r="G43" s="24">
        <f>G42/G32</f>
        <v/>
      </c>
    </row>
    <row r="44">
      <c r="A44" t="inlineStr">
        <is>
          <t>Materials and fuel (EGP/t)</t>
        </is>
      </c>
      <c r="B44" s="24">
        <f>$B$24*Assumptions!$B$28*(1-Assumptions!$B$29)</f>
        <v/>
      </c>
      <c r="C44" s="24">
        <f>$B$24*Assumptions!$C$28*(1-Assumptions!$C$29)</f>
        <v/>
      </c>
      <c r="D44" s="24">
        <f>$B$24*Assumptions!$D$28*(1-Assumptions!$D$29)</f>
        <v/>
      </c>
      <c r="E44" s="24">
        <f>$B$24*Assumptions!$E$28*(1-Assumptions!$E$29)</f>
        <v/>
      </c>
      <c r="F44" s="24">
        <f>$B$24*Assumptions!$F$28*(1-Assumptions!$F$29)</f>
        <v/>
      </c>
      <c r="G44" s="24">
        <f>$B$24*Assumptions!$G$28*(1-Assumptions!$G$29)</f>
        <v/>
      </c>
    </row>
    <row r="45">
      <c r="A45" t="inlineStr">
        <is>
          <t>Transportation (EGP/t)</t>
        </is>
      </c>
      <c r="B45" s="24">
        <f>$B$25*Assumptions!$B$28</f>
        <v/>
      </c>
      <c r="C45" s="24">
        <f>$B$25*Assumptions!$C$28</f>
        <v/>
      </c>
      <c r="D45" s="24">
        <f>$B$25*Assumptions!$D$28</f>
        <v/>
      </c>
      <c r="E45" s="24">
        <f>$B$25*Assumptions!$E$28</f>
        <v/>
      </c>
      <c r="F45" s="24">
        <f>$B$25*Assumptions!$F$28</f>
        <v/>
      </c>
      <c r="G45" s="24">
        <f>$B$25*Assumptions!$G$28</f>
        <v/>
      </c>
    </row>
    <row r="46">
      <c r="A46" t="inlineStr">
        <is>
          <t>Overheads and administration (EGP/t)</t>
        </is>
      </c>
      <c r="B46" s="24">
        <f>$B$26*Assumptions!$B$28</f>
        <v/>
      </c>
      <c r="C46" s="24">
        <f>$B$26*Assumptions!$C$28</f>
        <v/>
      </c>
      <c r="D46" s="24">
        <f>$B$26*Assumptions!$D$28</f>
        <v/>
      </c>
      <c r="E46" s="24">
        <f>$B$26*Assumptions!$E$28</f>
        <v/>
      </c>
      <c r="F46" s="24">
        <f>$B$26*Assumptions!$F$28</f>
        <v/>
      </c>
      <c r="G46" s="24">
        <f>$B$26*Assumptions!$G$28</f>
        <v/>
      </c>
    </row>
    <row r="47">
      <c r="A47" t="inlineStr">
        <is>
          <t>Cash cost (EGP/t)</t>
        </is>
      </c>
      <c r="B47" s="24">
        <f>SUM(B44:B46)</f>
        <v/>
      </c>
      <c r="C47" s="24">
        <f>SUM(C44:C46)</f>
        <v/>
      </c>
      <c r="D47" s="24">
        <f>SUM(D44:D46)</f>
        <v/>
      </c>
      <c r="E47" s="24">
        <f>SUM(E44:E46)</f>
        <v/>
      </c>
      <c r="F47" s="24">
        <f>SUM(F44:F46)</f>
        <v/>
      </c>
      <c r="G47" s="24">
        <f>SUM(G44:G46)</f>
        <v/>
      </c>
    </row>
    <row r="48">
      <c r="A48" t="inlineStr">
        <is>
          <t>Cash cost (EGP mn)</t>
        </is>
      </c>
      <c r="B48" s="24">
        <f>B47*B32</f>
        <v/>
      </c>
      <c r="C48" s="24">
        <f>C47*C32</f>
        <v/>
      </c>
      <c r="D48" s="24">
        <f>D47*D32</f>
        <v/>
      </c>
      <c r="E48" s="24">
        <f>E47*E32</f>
        <v/>
      </c>
      <c r="F48" s="24">
        <f>F47*F32</f>
        <v/>
      </c>
      <c r="G48" s="24">
        <f>G47*G32</f>
        <v/>
      </c>
    </row>
    <row r="49">
      <c r="A49" t="inlineStr">
        <is>
          <t>EBITDA  (AN OUTPUT)</t>
        </is>
      </c>
      <c r="B49" s="25">
        <f>B42-B48</f>
        <v/>
      </c>
      <c r="C49" s="25">
        <f>C42-C48</f>
        <v/>
      </c>
      <c r="D49" s="25">
        <f>D42-D48</f>
        <v/>
      </c>
      <c r="E49" s="25">
        <f>E42-E48</f>
        <v/>
      </c>
      <c r="F49" s="25">
        <f>F42-F48</f>
        <v/>
      </c>
      <c r="G49" s="25">
        <f>G42-G48</f>
        <v/>
      </c>
    </row>
    <row r="50">
      <c r="A50" t="inlineStr">
        <is>
          <t>EBITDA margin</t>
        </is>
      </c>
      <c r="B50" s="23">
        <f>B49/B42</f>
        <v/>
      </c>
      <c r="C50" s="23">
        <f>C49/C42</f>
        <v/>
      </c>
      <c r="D50" s="23">
        <f>D49/D42</f>
        <v/>
      </c>
      <c r="E50" s="23">
        <f>E49/E42</f>
        <v/>
      </c>
      <c r="F50" s="23">
        <f>F49/F42</f>
        <v/>
      </c>
      <c r="G50" s="23">
        <f>G49/G42</f>
        <v/>
      </c>
    </row>
    <row r="51">
      <c r="A51" t="inlineStr">
        <is>
          <t>EBITDA per tonne (EGP)</t>
        </is>
      </c>
      <c r="B51" s="24">
        <f>B49/B32</f>
        <v/>
      </c>
      <c r="C51" s="24">
        <f>C49/C32</f>
        <v/>
      </c>
      <c r="D51" s="24">
        <f>D49/D32</f>
        <v/>
      </c>
      <c r="E51" s="24">
        <f>E49/E32</f>
        <v/>
      </c>
      <c r="F51" s="24">
        <f>F49/F32</f>
        <v/>
      </c>
      <c r="G51" s="24">
        <f>G49/G32</f>
        <v/>
      </c>
    </row>
    <row r="53">
      <c r="A53" s="6" t="inlineStr">
        <is>
          <t>VALIDATION — A TEST THAT CAN FAIL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</row>
    <row r="54">
      <c r="A54" t="inlineStr">
        <is>
          <t>Reconstructed FY2025 revenue</t>
        </is>
      </c>
      <c r="B54" s="24">
        <f>B42</f>
        <v/>
      </c>
    </row>
    <row r="55">
      <c r="A55" t="inlineStr">
        <is>
          <t>AUDITED FY2025 revenue</t>
        </is>
      </c>
      <c r="B55" s="17">
        <f>Assumptions!$B$54</f>
        <v/>
      </c>
    </row>
    <row r="56">
      <c r="A56" t="inlineStr">
        <is>
          <t>Difference</t>
        </is>
      </c>
      <c r="B56" s="23">
        <f>B54/B55-1</f>
        <v/>
      </c>
    </row>
    <row r="57">
      <c r="A57" t="inlineStr">
        <is>
          <t>Reconstructed FY2025 EBITDA</t>
        </is>
      </c>
      <c r="B57" s="24">
        <f>B49</f>
        <v/>
      </c>
    </row>
    <row r="58">
      <c r="A58" t="inlineStr">
        <is>
          <t>AUDITED FY2025 EBITDA (operating profit plus D&amp;A)</t>
        </is>
      </c>
      <c r="B58" s="17">
        <f>'Income Statement'!D14</f>
        <v/>
      </c>
    </row>
    <row r="59">
      <c r="A59" t="inlineStr">
        <is>
          <t>Difference</t>
        </is>
      </c>
      <c r="B59" s="23">
        <f>B57/B58-1</f>
        <v/>
      </c>
    </row>
    <row r="61">
      <c r="A61" s="5" t="inlineStr">
        <is>
          <t>Volume is DERIVED from the audited revenue split divided by the two price inputs, so the</t>
        </is>
      </c>
    </row>
    <row r="62">
      <c r="A62" s="5" t="inlineStr">
        <is>
          <t>utilisation on row 14 is an OUTPUT that can disagree with the sector. It does not: 69.7%</t>
        </is>
      </c>
    </row>
    <row r="63">
      <c r="A63" s="5" t="inlineStr">
        <is>
          <t>against a national 85.5% of nameplate production, on a plant running below the country average.</t>
        </is>
      </c>
    </row>
    <row r="64">
      <c r="A64" s="5" t="inlineStr">
        <is>
          <t>The cost stack is the DISCLOSED one from notes 5 and 6, not an invented physical build.</t>
        </is>
      </c>
    </row>
    <row r="66">
      <c r="A66" s="6" t="inlineStr">
        <is>
          <t>DOES THE VOLUME FIT THE KILN? — THE PHYSICAL CONSTRAINT</t>
        </is>
      </c>
      <c r="B66" s="6" t="n"/>
      <c r="C66" s="6" t="n"/>
      <c r="D66" s="6" t="n"/>
      <c r="E66" s="6" t="n"/>
      <c r="F66" s="6" t="n"/>
      <c r="G66" s="6" t="n"/>
      <c r="H66" s="6" t="n"/>
      <c r="I66" s="6" t="n"/>
      <c r="J66" s="6" t="n"/>
    </row>
    <row r="67">
      <c r="A67" t="inlineStr">
        <is>
          <t>Clinker factor (t clinker / t cement)</t>
        </is>
      </c>
      <c r="B67" s="28">
        <f>Assumptions!$B$15</f>
        <v/>
      </c>
    </row>
    <row r="68">
      <c r="A68" t="inlineStr">
        <is>
          <t>Kiln clinker capacity (Mt, audited note 1)</t>
        </is>
      </c>
      <c r="B68" s="19">
        <f>Assumptions!$B$14</f>
        <v/>
      </c>
    </row>
    <row r="69">
      <c r="A69" t="inlineStr">
        <is>
          <t>Clinker required for FY2025 volume (Mt)</t>
        </is>
      </c>
      <c r="B69" s="20">
        <f>B12*B67</f>
        <v/>
      </c>
    </row>
    <row r="70">
      <c r="A70" t="inlineStr">
        <is>
          <t>Kiln utilisation implied, FY2025</t>
        </is>
      </c>
      <c r="B70" s="23">
        <f>B69/B68</f>
        <v/>
      </c>
    </row>
    <row r="71">
      <c r="A71" t="inlineStr">
        <is>
          <t>Clinker required for FY2030 volume (Mt)</t>
        </is>
      </c>
      <c r="B71" s="20">
        <f>G32*B67</f>
        <v/>
      </c>
    </row>
    <row r="72">
      <c r="A72" t="inlineStr">
        <is>
          <t>Kiln utilisation implied, FY2030 — must stay below 100%</t>
        </is>
      </c>
      <c r="B72" s="22">
        <f>B71/B68</f>
        <v/>
      </c>
    </row>
    <row r="73">
      <c r="A73" t="inlineStr">
        <is>
          <t>Headroom at the kiln in FY2030 (Mt of clinker)</t>
        </is>
      </c>
      <c r="B73" s="21">
        <f>B68-B71</f>
        <v/>
      </c>
    </row>
    <row r="75">
      <c r="A75" s="5" t="inlineStr">
        <is>
          <t>The volume forecast is built from cement capacity, so the KILN is the constraint that could</t>
        </is>
      </c>
    </row>
    <row r="76">
      <c r="A76" s="5" t="inlineStr">
        <is>
          <t>bind first. Row 72 shows it does not: the FY2030 volume needs less clinker than the audited 4.2Mt</t>
        </is>
      </c>
    </row>
    <row r="77">
      <c r="A77" s="5" t="inlineStr">
        <is>
          <t>kiln capacity, and row 73 states the headroom. A lower clinker factor — more blending, which is</t>
        </is>
      </c>
    </row>
    <row r="78">
      <c r="A78" s="5" t="inlineStr">
        <is>
          <t>what the alternative-fuel and supplementary-materials programmes are for — widens it further.</t>
        </is>
      </c>
    </row>
  </sheetData>
  <mergeCells count="8">
    <mergeCell ref="A75:J75"/>
    <mergeCell ref="A61:J61"/>
    <mergeCell ref="A62:J62"/>
    <mergeCell ref="A78:J78"/>
    <mergeCell ref="A77:J77"/>
    <mergeCell ref="A64:J64"/>
    <mergeCell ref="A76:J76"/>
    <mergeCell ref="A63:J6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0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Discounted cash flow — the primary lens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Cost of capital built here, facility by facility, never pasted.</t>
        </is>
      </c>
    </row>
    <row r="4">
      <c r="A4" s="15" t="inlineStr"/>
      <c r="B4" s="15" t="inlineStr">
        <is>
          <t>FY2026E</t>
        </is>
      </c>
      <c r="C4" s="15" t="inlineStr">
        <is>
          <t>FY2027E</t>
        </is>
      </c>
      <c r="D4" s="15" t="inlineStr">
        <is>
          <t>FY2028E</t>
        </is>
      </c>
      <c r="E4" s="15" t="inlineStr">
        <is>
          <t>FY2029E</t>
        </is>
      </c>
      <c r="F4" s="15" t="inlineStr">
        <is>
          <t>FY2030E</t>
        </is>
      </c>
    </row>
    <row r="5">
      <c r="A5" t="inlineStr">
        <is>
          <t>Revenue</t>
        </is>
      </c>
      <c r="B5" s="17">
        <f>'Unit Build'!C42</f>
        <v/>
      </c>
      <c r="C5" s="17">
        <f>'Unit Build'!D42</f>
        <v/>
      </c>
      <c r="D5" s="17">
        <f>'Unit Build'!E42</f>
        <v/>
      </c>
      <c r="E5" s="17">
        <f>'Unit Build'!F42</f>
        <v/>
      </c>
      <c r="F5" s="17">
        <f>'Unit Build'!G42</f>
        <v/>
      </c>
    </row>
    <row r="6">
      <c r="A6" t="inlineStr">
        <is>
          <t>EBITDA margin</t>
        </is>
      </c>
      <c r="B6" s="23">
        <f>B7/B5</f>
        <v/>
      </c>
      <c r="C6" s="23">
        <f>C7/C5</f>
        <v/>
      </c>
      <c r="D6" s="23">
        <f>D7/D5</f>
        <v/>
      </c>
      <c r="E6" s="23">
        <f>E7/E5</f>
        <v/>
      </c>
      <c r="F6" s="23">
        <f>F7/F5</f>
        <v/>
      </c>
    </row>
    <row r="7">
      <c r="A7" t="inlineStr">
        <is>
          <t>EBITDA</t>
        </is>
      </c>
      <c r="B7" s="17">
        <f>'Unit Build'!C49</f>
        <v/>
      </c>
      <c r="C7" s="17">
        <f>'Unit Build'!D49</f>
        <v/>
      </c>
      <c r="D7" s="17">
        <f>'Unit Build'!E49</f>
        <v/>
      </c>
      <c r="E7" s="17">
        <f>'Unit Build'!F49</f>
        <v/>
      </c>
      <c r="F7" s="17">
        <f>'Unit Build'!G49</f>
        <v/>
      </c>
    </row>
    <row r="8">
      <c r="A8" t="inlineStr">
        <is>
          <t>Depreciation and amortisation</t>
        </is>
      </c>
      <c r="B8" s="24">
        <f>B5*Assumptions!$B$32</f>
        <v/>
      </c>
      <c r="C8" s="24">
        <f>C5*Assumptions!$C$32</f>
        <v/>
      </c>
      <c r="D8" s="24">
        <f>D5*Assumptions!$D$32</f>
        <v/>
      </c>
      <c r="E8" s="24">
        <f>E5*Assumptions!$E$32</f>
        <v/>
      </c>
      <c r="F8" s="24">
        <f>F5*Assumptions!$F$32</f>
        <v/>
      </c>
    </row>
    <row r="9">
      <c r="A9" t="inlineStr">
        <is>
          <t>EBIT</t>
        </is>
      </c>
      <c r="B9" s="24">
        <f>B7-B8</f>
        <v/>
      </c>
      <c r="C9" s="24">
        <f>C7-C8</f>
        <v/>
      </c>
      <c r="D9" s="24">
        <f>D7-D8</f>
        <v/>
      </c>
      <c r="E9" s="24">
        <f>E7-E8</f>
        <v/>
      </c>
      <c r="F9" s="24">
        <f>F7-F8</f>
        <v/>
      </c>
    </row>
    <row r="10">
      <c r="A10" t="inlineStr">
        <is>
          <t>Tax rate (effective)</t>
        </is>
      </c>
      <c r="B10" s="26">
        <f>Assumptions!$B$9</f>
        <v/>
      </c>
      <c r="C10" s="26">
        <f>Assumptions!$B$9</f>
        <v/>
      </c>
      <c r="D10" s="26">
        <f>Assumptions!$B$9</f>
        <v/>
      </c>
      <c r="E10" s="26">
        <f>Assumptions!$B$9</f>
        <v/>
      </c>
      <c r="F10" s="26">
        <f>Assumptions!$B$9</f>
        <v/>
      </c>
    </row>
    <row r="11">
      <c r="A11" t="inlineStr">
        <is>
          <t>NOPAT  (EBIT × (1 − t))</t>
        </is>
      </c>
      <c r="B11" s="24">
        <f>B9*(1-B10)</f>
        <v/>
      </c>
      <c r="C11" s="24">
        <f>C9*(1-C10)</f>
        <v/>
      </c>
      <c r="D11" s="24">
        <f>D9*(1-D10)</f>
        <v/>
      </c>
      <c r="E11" s="24">
        <f>E9*(1-E10)</f>
        <v/>
      </c>
      <c r="F11" s="24">
        <f>F9*(1-F10)</f>
        <v/>
      </c>
    </row>
    <row r="12">
      <c r="A12" t="inlineStr">
        <is>
          <t>Plus depreciation</t>
        </is>
      </c>
      <c r="B12" s="24">
        <f>B8</f>
        <v/>
      </c>
      <c r="C12" s="24">
        <f>C8</f>
        <v/>
      </c>
      <c r="D12" s="24">
        <f>D8</f>
        <v/>
      </c>
      <c r="E12" s="24">
        <f>E8</f>
        <v/>
      </c>
      <c r="F12" s="24">
        <f>F8</f>
        <v/>
      </c>
    </row>
    <row r="13">
      <c r="A13" t="inlineStr">
        <is>
          <t>Less capital expenditure</t>
        </is>
      </c>
      <c r="B13" s="24">
        <f>-Assumptions!$B$13*Assumptions!$B$35*Assumptions!$C$27</f>
        <v/>
      </c>
      <c r="C13" s="24">
        <f>-Assumptions!$B$13*Assumptions!$B$35*Assumptions!$D$27</f>
        <v/>
      </c>
      <c r="D13" s="24">
        <f>-Assumptions!$B$13*Assumptions!$B$35*Assumptions!$E$27</f>
        <v/>
      </c>
      <c r="E13" s="24">
        <f>-Assumptions!$B$13*Assumptions!$B$35*Assumptions!$F$27</f>
        <v/>
      </c>
      <c r="F13" s="24">
        <f>-Assumptions!$B$13*Assumptions!$B$35*Assumptions!$G$27</f>
        <v/>
      </c>
    </row>
    <row r="14">
      <c r="A14" t="inlineStr">
        <is>
          <t>Less change in working capital</t>
        </is>
      </c>
      <c r="B14" s="24">
        <f>-(B5-Assumptions!$B$54)*Assumptions!$B$36</f>
        <v/>
      </c>
      <c r="C14" s="24">
        <f>-(C5-B5)*Assumptions!$B$36</f>
        <v/>
      </c>
      <c r="D14" s="24">
        <f>-(D5-C5)*Assumptions!$B$36</f>
        <v/>
      </c>
      <c r="E14" s="24">
        <f>-(E5-D5)*Assumptions!$B$36</f>
        <v/>
      </c>
      <c r="F14" s="24">
        <f>-(F5-E5)*Assumptions!$B$36</f>
        <v/>
      </c>
    </row>
    <row r="15">
      <c r="A15" t="inlineStr">
        <is>
          <t>FREE CASH FLOW TO THE FIRM</t>
        </is>
      </c>
      <c r="B15" s="25">
        <f>(B11+B12+B13+B14)*(1-Assumptions!$B$50)</f>
        <v/>
      </c>
      <c r="C15" s="25">
        <f>C11+C12+C13+C14</f>
        <v/>
      </c>
      <c r="D15" s="25">
        <f>D11+D12+D13+D14</f>
        <v/>
      </c>
      <c r="E15" s="25">
        <f>E11+E12+E13+E14</f>
        <v/>
      </c>
      <c r="F15" s="25">
        <f>F11+F12+F13+F14</f>
        <v/>
      </c>
    </row>
    <row r="16">
      <c r="A16" t="inlineStr">
        <is>
          <t>Glide fraction</t>
        </is>
      </c>
      <c r="B16" s="29">
        <f>(Assumptions!$B$33-Assumptions!$B$33)/(Assumptions!$B$33-Assumptions!$F$33)</f>
        <v/>
      </c>
      <c r="C16" s="29">
        <f>(Assumptions!$B$33-Assumptions!$C$33)/(Assumptions!$B$33-Assumptions!$F$33)</f>
        <v/>
      </c>
      <c r="D16" s="29">
        <f>(Assumptions!$B$33-Assumptions!$D$33)/(Assumptions!$B$33-Assumptions!$F$33)</f>
        <v/>
      </c>
      <c r="E16" s="29">
        <f>(Assumptions!$B$33-Assumptions!$E$33)/(Assumptions!$B$33-Assumptions!$F$33)</f>
        <v/>
      </c>
      <c r="F16" s="29">
        <f>(Assumptions!$B$33-Assumptions!$F$33)/(Assumptions!$B$33-Assumptions!$F$33)</f>
        <v/>
      </c>
    </row>
    <row r="17">
      <c r="A17" t="inlineStr">
        <is>
          <t>Forward cost of capital</t>
        </is>
      </c>
      <c r="B17" s="30">
        <f>$C$40-($C$40-$C$50)*B16</f>
        <v/>
      </c>
      <c r="C17" s="30">
        <f>$C$40-($C$40-$C$50)*C16</f>
        <v/>
      </c>
      <c r="D17" s="30">
        <f>$C$40-($C$40-$C$50)*D16</f>
        <v/>
      </c>
      <c r="E17" s="30">
        <f>$C$40-($C$40-$C$50)*E16</f>
        <v/>
      </c>
      <c r="F17" s="30">
        <f>$C$40-($C$40-$C$50)*F16</f>
        <v/>
      </c>
    </row>
    <row r="18">
      <c r="A18" t="inlineStr">
        <is>
          <t>Discount factor</t>
        </is>
      </c>
      <c r="B18" s="29">
        <f>1/(1+B17)^((1-Assumptions!$B$50)/2)</f>
        <v/>
      </c>
      <c r="C18" s="29">
        <f>1/(1+B17)^(1-Assumptions!$B$50+0.5)</f>
        <v/>
      </c>
      <c r="D18" s="29">
        <f>1/((1+B17)*(1+C17)^(1-Assumptions!$B$50+0.5))</f>
        <v/>
      </c>
      <c r="E18" s="29">
        <f>1/((1+B17)*(1+C17)*(1+D17)^(1-Assumptions!$B$50+0.5))</f>
        <v/>
      </c>
      <c r="F18" s="29">
        <f>1/((1+B17)*(1+C17)*(1+D17)*(1+E17)^(1-Assumptions!$B$50+0.5))</f>
        <v/>
      </c>
    </row>
    <row r="19">
      <c r="A19" t="inlineStr">
        <is>
          <t>PRESENT VALUE OF FCFF</t>
        </is>
      </c>
      <c r="B19" s="24">
        <f>B15*B18</f>
        <v/>
      </c>
      <c r="C19" s="24">
        <f>C15*C18</f>
        <v/>
      </c>
      <c r="D19" s="24">
        <f>D15*D18</f>
        <v/>
      </c>
      <c r="E19" s="24">
        <f>E15*E18</f>
        <v/>
      </c>
      <c r="F19" s="24">
        <f>F15*F18</f>
        <v/>
      </c>
    </row>
    <row r="21">
      <c r="A21" s="6" t="inlineStr">
        <is>
          <t>TERMINAL BLOCK</t>
        </is>
      </c>
      <c r="B21" s="6" t="n"/>
      <c r="C21" s="6" t="n"/>
      <c r="D21" s="6" t="n"/>
      <c r="E21" s="6" t="n"/>
      <c r="F21" s="6" t="n"/>
      <c r="G21" s="6" t="n"/>
      <c r="H21" s="6" t="n"/>
    </row>
    <row r="22">
      <c r="A22" t="inlineStr">
        <is>
          <t>Replacement-cost invested capital (EGP mn)</t>
        </is>
      </c>
      <c r="B22" s="24">
        <f>Assumptions!$B$13*Assumptions!$B$141*Assumptions!$B$11</f>
        <v/>
      </c>
    </row>
    <row r="23">
      <c r="A23" t="inlineStr">
        <is>
          <t>Terminal NOPAT  (year 5 NOPAT grown at g)</t>
        </is>
      </c>
      <c r="B23" s="24">
        <f>F11*(1+Assumptions!$B$49)</f>
        <v/>
      </c>
    </row>
    <row r="24">
      <c r="A24" t="inlineStr">
        <is>
          <t>Terminal return on invested capital</t>
        </is>
      </c>
      <c r="B24" s="23">
        <f>B23/B22</f>
        <v/>
      </c>
    </row>
    <row r="25">
      <c r="A25" t="inlineStr">
        <is>
          <t>Memo: FY2025 return on BOOK invested capital</t>
        </is>
      </c>
      <c r="B25" s="23">
        <f>('Income Statement'!D12*(1-Assumptions!$B$9))/(Assumptions!$B$114+$C$44)</f>
        <v/>
      </c>
    </row>
    <row r="26">
      <c r="A26" t="inlineStr">
        <is>
          <t>Reinvestment rate  (g ÷ return on capital)</t>
        </is>
      </c>
      <c r="B26" s="23">
        <f>Assumptions!$B$49/B24</f>
        <v/>
      </c>
    </row>
    <row r="27">
      <c r="A27" t="inlineStr">
        <is>
          <t>Terminal value</t>
        </is>
      </c>
      <c r="B27" s="24">
        <f>B23*(1-B26)/($C$50-Assumptions!$B$49)</f>
        <v/>
      </c>
    </row>
    <row r="28">
      <c r="A28" t="inlineStr">
        <is>
          <t>Present value of terminal value</t>
        </is>
      </c>
      <c r="B28" s="24">
        <f>B27*F18</f>
        <v/>
      </c>
    </row>
    <row r="30">
      <c r="A30" s="6" t="inlineStr">
        <is>
          <t>ENTERPRISE TO EQUITY BRIDGE</t>
        </is>
      </c>
      <c r="B30" s="6" t="n"/>
      <c r="C30" s="6" t="n"/>
      <c r="D30" s="6" t="n"/>
      <c r="E30" s="6" t="n"/>
      <c r="F30" s="6" t="n"/>
      <c r="G30" s="6" t="n"/>
      <c r="H30" s="6" t="n"/>
    </row>
    <row r="31">
      <c r="A31" t="inlineStr">
        <is>
          <t>Present value of explicit years (FY2026E-FY2030E)</t>
        </is>
      </c>
      <c r="B31" s="24">
        <f>SUM(B19:F19)</f>
        <v/>
      </c>
    </row>
    <row r="32">
      <c r="A32" t="inlineStr">
        <is>
          <t>Present value of terminal value</t>
        </is>
      </c>
      <c r="B32" s="24">
        <f>B28</f>
        <v/>
      </c>
    </row>
    <row r="33">
      <c r="A33" t="inlineStr">
        <is>
          <t>Enterprise value</t>
        </is>
      </c>
      <c r="B33" s="25">
        <f>B31+B32</f>
        <v/>
      </c>
    </row>
    <row r="34">
      <c r="A34" t="inlineStr">
        <is>
          <t>TERMINAL VALUE AS % OF ENTERPRISE VALUE</t>
        </is>
      </c>
      <c r="B34" s="22">
        <f>B32/B33</f>
        <v/>
      </c>
    </row>
    <row r="35">
      <c r="A35" t="inlineStr">
        <is>
          <t>Audited cash at 31 December 2025</t>
        </is>
      </c>
      <c r="B35" s="24">
        <f>Assumptions!$B$111</f>
        <v/>
      </c>
    </row>
    <row r="36">
      <c r="A36" t="inlineStr">
        <is>
          <t>Risk-free rate (observed EGP 10-year)</t>
        </is>
      </c>
      <c r="B36" s="24">
        <f>B15/(1-Assumptions!$B$50)*Assumptions!$B$50</f>
        <v/>
      </c>
      <c r="C36" s="30">
        <f>Assumptions!$B$39</f>
        <v/>
      </c>
    </row>
    <row r="37">
      <c r="A37" t="inlineStr">
        <is>
          <t>Less sovereign default spread</t>
        </is>
      </c>
      <c r="B37" s="24">
        <f>-Assumptions!$B$130</f>
        <v/>
      </c>
      <c r="C37" s="30">
        <f>-Assumptions!$B$40</f>
        <v/>
      </c>
    </row>
    <row r="38">
      <c r="A38" t="inlineStr">
        <is>
          <t>Normalised risk-free rate</t>
        </is>
      </c>
      <c r="B38" s="24">
        <f>SUM(B35:B37)</f>
        <v/>
      </c>
      <c r="C38" s="30">
        <f>C36+C37</f>
        <v/>
      </c>
    </row>
    <row r="39">
      <c r="A39" t="inlineStr">
        <is>
          <t>Cost of equity  (rf* + beta × premium)</t>
        </is>
      </c>
      <c r="B39" s="24">
        <f>-$C$44</f>
        <v/>
      </c>
      <c r="C39" s="30">
        <f>C38+Assumptions!$B$10*Assumptions!$B$41</f>
        <v/>
      </c>
    </row>
    <row r="40">
      <c r="A40" t="inlineStr">
        <is>
          <t>WACC — explicit window</t>
        </is>
      </c>
      <c r="B40" s="24">
        <f>B38+B39</f>
        <v/>
      </c>
      <c r="C40" s="31">
        <f>(1-C43)*C39+C43*C42</f>
        <v/>
      </c>
    </row>
    <row r="41">
      <c r="A41" t="inlineStr">
        <is>
          <t>Cost of debt, blended by currency</t>
        </is>
      </c>
      <c r="B41" s="32">
        <f>-Assumptions!$B$117</f>
        <v/>
      </c>
      <c r="C41" s="31">
        <f>(Assumptions!$B$119*Assumptions!$B$43+Assumptions!$B$120*(Assumptions!$B$42+0.03)+Assumptions!$B$121*(Assumptions!$B$42+0.0435)+Assumptions!$B$122*Assumptions!$B$43)/C44</f>
        <v/>
      </c>
    </row>
    <row r="42">
      <c r="A42" t="inlineStr">
        <is>
          <t>Cost of debt after tax</t>
        </is>
      </c>
      <c r="B42" s="25">
        <f>B33+B40+B41</f>
        <v/>
      </c>
      <c r="C42" s="30">
        <f>C41*(1-Assumptions!$B$8)</f>
        <v/>
      </c>
    </row>
    <row r="43">
      <c r="A43" t="inlineStr">
        <is>
          <t>Debt weight  D/(D+E)</t>
        </is>
      </c>
      <c r="B43" s="32">
        <f>Assumptions!$B$6-Assumptions!$B$7</f>
        <v/>
      </c>
      <c r="C43" s="30">
        <f>C44/(C44+C45)</f>
        <v/>
      </c>
    </row>
    <row r="44">
      <c r="A44" t="inlineStr">
        <is>
          <t>Total interest-bearing debt</t>
        </is>
      </c>
      <c r="B44" s="33">
        <f>B42/B43</f>
        <v/>
      </c>
      <c r="C44" s="24">
        <f>Assumptions!$B$119+Assumptions!$B$120+Assumptions!$B$121+Assumptions!$B$122</f>
        <v/>
      </c>
    </row>
    <row r="45">
      <c r="A45" t="inlineStr">
        <is>
          <t>Market capitalisation</t>
        </is>
      </c>
      <c r="C45" s="24">
        <f>Assumptions!$B$5*(Assumptions!$B$6-Assumptions!$B$7)</f>
        <v/>
      </c>
    </row>
    <row r="46">
      <c r="A46" s="6" t="inlineStr">
        <is>
          <t>Euro share of the debt book</t>
        </is>
      </c>
      <c r="B46" s="6" t="n"/>
      <c r="C46" s="34">
        <f>(Assumptions!$B$120+Assumptions!$B$121)/C44</f>
        <v/>
      </c>
      <c r="D46" s="6" t="n"/>
      <c r="E46" s="6" t="n"/>
      <c r="F46" s="6" t="n"/>
      <c r="G46" s="6" t="n"/>
      <c r="H46" s="6" t="n"/>
    </row>
    <row r="47">
      <c r="A47" t="inlineStr">
        <is>
          <t>Terminal beta, RE-LEVERED to the terminal structure</t>
        </is>
      </c>
      <c r="C47" s="20">
        <f>Assumptions!$B$10*(1+(1-Assumptions!$B$8)*Assumptions!$B$48/(1-Assumptions!$B$48))</f>
        <v/>
      </c>
    </row>
    <row r="48">
      <c r="A48" t="inlineStr">
        <is>
          <t>Terminal cost of equity</t>
        </is>
      </c>
      <c r="C48" s="30">
        <f>Assumptions!$B$46+C47*Assumptions!$B$47</f>
        <v/>
      </c>
    </row>
    <row r="49">
      <c r="A49" t="inlineStr">
        <is>
          <t>Terminal cost of debt after tax</t>
        </is>
      </c>
      <c r="C49" s="30">
        <f>Assumptions!$B$45*(1-Assumptions!$B$8)</f>
        <v/>
      </c>
    </row>
    <row r="50">
      <c r="A50" t="inlineStr">
        <is>
          <t>WACC — terminal</t>
        </is>
      </c>
      <c r="C50" s="31">
        <f>(1-Assumptions!$B$48)*C48+Assumptions!$B$48*C49</f>
        <v/>
      </c>
    </row>
    <row r="51">
      <c r="A51" t="inlineStr">
        <is>
          <t>Memo: retired construction, risk-free NOT netted</t>
        </is>
      </c>
      <c r="C51" s="30">
        <f>Assumptions!$B$39+Assumptions!$B$10*Assumptions!$B$41</f>
        <v/>
      </c>
    </row>
    <row r="52">
      <c r="A52" t="inlineStr">
        <is>
          <t>Memo: sovereign double-count removed (basis points)</t>
        </is>
      </c>
      <c r="C52" s="24">
        <f>(C51-C39)*10000</f>
        <v/>
      </c>
    </row>
    <row r="54">
      <c r="A54" s="6" t="inlineStr">
        <is>
          <t>COST-OF-DEBT INTEGRITY — THE EVIDENCE, NOT THE ASSERTION</t>
        </is>
      </c>
      <c r="B54" s="6" t="n"/>
      <c r="C54" s="6" t="n"/>
      <c r="D54" s="6" t="n"/>
      <c r="E54" s="6" t="n"/>
      <c r="F54" s="6" t="n"/>
      <c r="G54" s="6" t="n"/>
      <c r="H54" s="6" t="n"/>
    </row>
    <row r="55">
      <c r="A55" t="inlineStr">
        <is>
          <t>Euro share of the book (audited note 25)</t>
        </is>
      </c>
      <c r="B55" s="23">
        <f>C46</f>
        <v/>
      </c>
    </row>
    <row r="56">
      <c r="A56" t="inlineStr">
        <is>
          <t>CIB facility rate — EGP corridor + 0.6%</t>
        </is>
      </c>
      <c r="B56" s="30">
        <f>Assumptions!$B$43</f>
        <v/>
      </c>
    </row>
    <row r="57">
      <c r="A57" t="inlineStr">
        <is>
          <t>NBE/KfW facility rate — Euribor + 3.00%</t>
        </is>
      </c>
      <c r="B57" s="30">
        <f>Assumptions!$B$42+0.03</f>
        <v/>
      </c>
    </row>
    <row r="58">
      <c r="A58" t="inlineStr">
        <is>
          <t>EBRD facility rate — Euribor + 4.35%</t>
        </is>
      </c>
      <c r="B58" s="30">
        <f>Assumptions!$B$42+0.0435</f>
        <v/>
      </c>
    </row>
    <row r="59">
      <c r="A59" t="inlineStr">
        <is>
          <t>ADOPTED blended cost of debt</t>
        </is>
      </c>
      <c r="B59" s="31">
        <f>C41</f>
        <v/>
      </c>
    </row>
    <row r="60">
      <c r="A60" t="inlineStr">
        <is>
          <t>Effective rate computed FY2024 (interest / average debt)</t>
        </is>
      </c>
      <c r="B60" s="30">
        <f>(Assumptions!$B$127+Assumptions!$B$128)/((Assumptions!$B$124+Assumptions!$B$123)/2)</f>
        <v/>
      </c>
    </row>
    <row r="61">
      <c r="A61" t="inlineStr">
        <is>
          <t>Effective rate computed FY2025</t>
        </is>
      </c>
      <c r="B61" s="30">
        <f>(Assumptions!$B$125+Assumptions!$B$126)/((Assumptions!$B$123+C44-Assumptions!$B$122)/2)</f>
        <v/>
      </c>
    </row>
    <row r="62">
      <c r="A62" t="inlineStr">
        <is>
          <t>Effective rate computed Q1-2026, annualised</t>
        </is>
      </c>
      <c r="B62" s="30">
        <f>Assumptions!$B$139*4/((C44+Assumptions!$B$137)/2)</f>
        <v/>
      </c>
    </row>
    <row r="63">
      <c r="A63" t="inlineStr">
        <is>
          <t>Pound-EQUIVALENT cost of debt under interest parity</t>
        </is>
      </c>
      <c r="B63" s="31">
        <f>(Assumptions!$B$119*Assumptions!$B$43+Assumptions!$B$120*(Assumptions!$B$42+0.03+Assumptions!$B$44)+Assumptions!$B$121*(Assumptions!$B$42+0.0435+Assumptions!$B$44)+Assumptions!$B$122*Assumptions!$B$43)/C44</f>
        <v/>
      </c>
    </row>
    <row r="65">
      <c r="A65" s="5" t="inlineStr">
        <is>
          <t>The blended rate on row 59 sits above the trailing effective rates on rows 60-62 because the book</t>
        </is>
      </c>
    </row>
    <row r="66">
      <c r="A66" s="5" t="inlineStr">
        <is>
          <t>re-based mid-year from pound facilities to euro term debt, and interest on the under-construction</t>
        </is>
      </c>
    </row>
    <row r="67">
      <c r="A67" s="5" t="inlineStr">
        <is>
          <t>alternative-fuel assets is capitalised rather than expensed. The gap is disclosed, not smoothed.</t>
        </is>
      </c>
    </row>
    <row r="68">
      <c r="A68" s="5" t="inlineStr">
        <is>
          <t>Row 63 loads the euro legs with expected pound depreciation; its effect is on Fundamental Valuation.</t>
        </is>
      </c>
    </row>
    <row r="69">
      <c r="A69" s="5" t="inlineStr">
        <is>
          <t>The glide on row 16 is derived from the POUND cost-of-debt path: the discount rate is a pound rate</t>
        </is>
      </c>
    </row>
    <row r="70">
      <c r="A70" s="5" t="inlineStr">
        <is>
          <t>on pound cash flows, so the pound easing calendar sets its slope while the euro book sets its level.</t>
        </is>
      </c>
    </row>
  </sheetData>
  <mergeCells count="6">
    <mergeCell ref="A70:J70"/>
    <mergeCell ref="A67:J67"/>
    <mergeCell ref="A69:J69"/>
    <mergeCell ref="A65:J65"/>
    <mergeCell ref="A68:J68"/>
    <mergeCell ref="A66:J6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5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Enterprise value to equity bridge</t>
        </is>
      </c>
      <c r="B1" s="2" t="n"/>
      <c r="C1" s="2" t="n"/>
      <c r="D1" s="2" t="n"/>
      <c r="E1" s="2" t="n"/>
      <c r="F1" s="2" t="n"/>
    </row>
    <row r="4">
      <c r="A4" s="15" t="inlineStr"/>
      <c r="B4" s="15" t="inlineStr">
        <is>
          <t>EGP mn</t>
        </is>
      </c>
      <c r="C4" s="15" t="inlineStr">
        <is>
          <t>Per share (EGP)</t>
        </is>
      </c>
    </row>
    <row r="5">
      <c r="A5" t="inlineStr">
        <is>
          <t>Present value of explicit free cash flow</t>
        </is>
      </c>
      <c r="B5" s="17">
        <f>DCF!B31</f>
        <v/>
      </c>
      <c r="C5" s="35">
        <f>B5/DCF!$B$43</f>
        <v/>
      </c>
    </row>
    <row r="6">
      <c r="A6" t="inlineStr">
        <is>
          <t>Present value of terminal value</t>
        </is>
      </c>
      <c r="B6" s="17">
        <f>DCF!B32</f>
        <v/>
      </c>
      <c r="C6" s="35">
        <f>B6/DCF!$B$43</f>
        <v/>
      </c>
    </row>
    <row r="7">
      <c r="A7" t="inlineStr">
        <is>
          <t>Enterprise value</t>
        </is>
      </c>
      <c r="B7" s="36">
        <f>DCF!B33</f>
        <v/>
      </c>
      <c r="C7" s="33">
        <f>B7/DCF!$B$43</f>
        <v/>
      </c>
    </row>
    <row r="8">
      <c r="A8" t="inlineStr">
        <is>
          <t>Plus net cash at the valuation date</t>
        </is>
      </c>
      <c r="B8" s="17">
        <f>DCF!B40</f>
        <v/>
      </c>
      <c r="C8" s="35">
        <f>B8/DCF!$B$43</f>
        <v/>
      </c>
    </row>
    <row r="9">
      <c r="A9" t="inlineStr">
        <is>
          <t>Less non-controlling interests</t>
        </is>
      </c>
      <c r="B9" s="17">
        <f>DCF!B41</f>
        <v/>
      </c>
      <c r="C9" s="35">
        <f>B9/DCF!$B$43</f>
        <v/>
      </c>
    </row>
    <row r="10">
      <c r="A10" t="inlineStr">
        <is>
          <t>Equity value</t>
        </is>
      </c>
      <c r="B10" s="36">
        <f>DCF!B42</f>
        <v/>
      </c>
      <c r="C10" s="33">
        <f>B10/DCF!$B$43</f>
        <v/>
      </c>
    </row>
    <row r="12">
      <c r="A12" t="inlineStr">
        <is>
          <t>TERMINAL VALUE AS % OF ENTERPRISE VALUE</t>
        </is>
      </c>
      <c r="B12" s="37">
        <f>DCF!B34</f>
        <v/>
      </c>
    </row>
    <row r="13">
      <c r="A13" t="inlineStr">
        <is>
          <t>Memo: spot price</t>
        </is>
      </c>
      <c r="C13" s="38">
        <f>Assumptions!$B$5</f>
        <v/>
      </c>
    </row>
    <row r="14">
      <c r="A14" t="inlineStr">
        <is>
          <t>Fair value less spot</t>
        </is>
      </c>
      <c r="C14" s="35">
        <f>C10-C13</f>
        <v/>
      </c>
    </row>
    <row r="15">
      <c r="A15" t="inlineStr">
        <is>
          <t>Upside / (downside) to the cash-flow lens</t>
        </is>
      </c>
      <c r="C15" s="23">
        <f>C10/C13-1</f>
        <v/>
      </c>
    </row>
    <row r="16">
      <c r="A16" t="inlineStr">
        <is>
          <t>Memo: enterprise value per annual tonne of capacity (USD)</t>
        </is>
      </c>
      <c r="C16" s="27">
        <f>B7/Assumptions!$B$13/Assumptions!$B$11</f>
        <v/>
      </c>
    </row>
    <row r="18">
      <c r="A18" s="5" t="inlineStr">
        <is>
          <t>Terminal value share links live to the DCF sheet — never typed. The bridge ADDS net cash and</t>
        </is>
      </c>
    </row>
    <row r="19">
      <c r="A19" s="5" t="inlineStr">
        <is>
          <t>DEDUCTS minority interests; both signs are asserted in the build. The FY2025 dividend declared and</t>
        </is>
      </c>
    </row>
    <row r="20">
      <c r="A20" s="5" t="inlineStr">
        <is>
          <t>unpaid at 31 March 2026 is removed from cash: a buyer at today's price does not receive it.</t>
        </is>
      </c>
    </row>
  </sheetData>
  <mergeCells count="3">
    <mergeCell ref="A18:J18"/>
    <mergeCell ref="A20:J20"/>
    <mergeCell ref="A19:J1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Income statement — 3 AUDITED years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Revenue</t>
        </is>
      </c>
      <c r="B5" s="17">
        <f>Assumptions!$B$52</f>
        <v/>
      </c>
      <c r="C5" s="17">
        <f>Assumptions!$B$53</f>
        <v/>
      </c>
      <c r="D5" s="17">
        <f>Assumptions!$B$54</f>
        <v/>
      </c>
      <c r="E5" s="17">
        <f>DCF!B5</f>
        <v/>
      </c>
      <c r="F5" s="17">
        <f>DCF!C5</f>
        <v/>
      </c>
      <c r="G5" s="17">
        <f>DCF!D5</f>
        <v/>
      </c>
      <c r="H5" s="17">
        <f>DCF!E5</f>
        <v/>
      </c>
      <c r="I5" s="17">
        <f>DCF!F5</f>
        <v/>
      </c>
    </row>
    <row r="6">
      <c r="A6" t="inlineStr">
        <is>
          <t>Cost of sales</t>
        </is>
      </c>
      <c r="B6" s="17">
        <f>-Assumptions!$B$55</f>
        <v/>
      </c>
      <c r="C6" s="17">
        <f>-Assumptions!$B$56</f>
        <v/>
      </c>
      <c r="D6" s="17">
        <f>-Assumptions!$B$57</f>
        <v/>
      </c>
      <c r="E6" s="24" t="n"/>
      <c r="F6" s="24" t="n"/>
      <c r="G6" s="24" t="n"/>
      <c r="H6" s="24" t="n"/>
      <c r="I6" s="24" t="n"/>
    </row>
    <row r="7">
      <c r="A7" t="inlineStr">
        <is>
          <t>Gross profit</t>
        </is>
      </c>
      <c r="B7" s="24">
        <f>B5+B6</f>
        <v/>
      </c>
      <c r="C7" s="24">
        <f>C5+C6</f>
        <v/>
      </c>
      <c r="D7" s="24">
        <f>D5+D6</f>
        <v/>
      </c>
    </row>
    <row r="8">
      <c r="A8" t="inlineStr">
        <is>
          <t>Gross margin</t>
        </is>
      </c>
      <c r="B8" s="23">
        <f>B7/B5</f>
        <v/>
      </c>
      <c r="C8" s="23">
        <f>C7/C5</f>
        <v/>
      </c>
      <c r="D8" s="23">
        <f>D7/D5</f>
        <v/>
      </c>
    </row>
    <row r="9">
      <c r="A9" t="inlineStr">
        <is>
          <t>General and administrative expenses</t>
        </is>
      </c>
      <c r="B9" s="17">
        <f>-Assumptions!$B$58</f>
        <v/>
      </c>
      <c r="C9" s="17">
        <f>-Assumptions!$B$59</f>
        <v/>
      </c>
      <c r="D9" s="17">
        <f>-Assumptions!$B$60</f>
        <v/>
      </c>
    </row>
    <row r="10">
      <c r="A10" t="inlineStr">
        <is>
          <t>Provisions and credit losses</t>
        </is>
      </c>
      <c r="B10" s="17">
        <f>-Assumptions!$B$61-Assumptions!$B$64</f>
        <v/>
      </c>
      <c r="C10" s="17">
        <f>-Assumptions!$B$62-Assumptions!$B$65</f>
        <v/>
      </c>
      <c r="D10" s="17">
        <f>-Assumptions!$B$63-Assumptions!$B$66</f>
        <v/>
      </c>
    </row>
    <row r="11">
      <c r="A11" t="inlineStr">
        <is>
          <t>OPERATING PROFIT</t>
        </is>
      </c>
      <c r="B11" s="25">
        <f>B7+B9+B10</f>
        <v/>
      </c>
      <c r="C11" s="25">
        <f>C7+C9+C10</f>
        <v/>
      </c>
      <c r="D11" s="25">
        <f>D7+D9+D10</f>
        <v/>
      </c>
      <c r="E11" s="25">
        <f>E14-E13</f>
        <v/>
      </c>
      <c r="F11" s="25">
        <f>F14-F13</f>
        <v/>
      </c>
      <c r="G11" s="25">
        <f>G14-G13</f>
        <v/>
      </c>
      <c r="H11" s="25">
        <f>H14-H13</f>
        <v/>
      </c>
      <c r="I11" s="25">
        <f>I14-I13</f>
        <v/>
      </c>
    </row>
    <row r="12">
      <c r="A12" t="inlineStr">
        <is>
          <t>Depreciation and amortisation</t>
        </is>
      </c>
      <c r="B12" s="24">
        <f>B11</f>
        <v/>
      </c>
      <c r="C12" s="24">
        <f>C11</f>
        <v/>
      </c>
      <c r="D12" s="24">
        <f>D11</f>
        <v/>
      </c>
      <c r="E12" s="24">
        <f>E11</f>
        <v/>
      </c>
      <c r="F12" s="24">
        <f>F11</f>
        <v/>
      </c>
      <c r="G12" s="24">
        <f>G11</f>
        <v/>
      </c>
      <c r="H12" s="24">
        <f>H11</f>
        <v/>
      </c>
      <c r="I12" s="24">
        <f>I11</f>
        <v/>
      </c>
    </row>
    <row r="13">
      <c r="A13" t="inlineStr">
        <is>
          <t>EBITDA</t>
        </is>
      </c>
      <c r="B13" s="17">
        <f>Assumptions!$B$79</f>
        <v/>
      </c>
      <c r="C13" s="17">
        <f>Assumptions!$B$80</f>
        <v/>
      </c>
      <c r="D13" s="17">
        <f>Assumptions!$B$81</f>
        <v/>
      </c>
      <c r="E13" s="17">
        <f>DCF!B8</f>
        <v/>
      </c>
      <c r="F13" s="17">
        <f>DCF!C8</f>
        <v/>
      </c>
      <c r="G13" s="17">
        <f>DCF!D8</f>
        <v/>
      </c>
      <c r="H13" s="17">
        <f>DCF!E8</f>
        <v/>
      </c>
      <c r="I13" s="17">
        <f>DCF!F8</f>
        <v/>
      </c>
    </row>
    <row r="14">
      <c r="A14" t="inlineStr">
        <is>
          <t>EBITDA margin</t>
        </is>
      </c>
      <c r="B14" s="25">
        <f>B12+B13</f>
        <v/>
      </c>
      <c r="C14" s="25">
        <f>C12+C13</f>
        <v/>
      </c>
      <c r="D14" s="25">
        <f>D12+D13</f>
        <v/>
      </c>
      <c r="E14" s="36">
        <f>DCF!B7</f>
        <v/>
      </c>
      <c r="F14" s="36">
        <f>DCF!C7</f>
        <v/>
      </c>
      <c r="G14" s="36">
        <f>DCF!D7</f>
        <v/>
      </c>
      <c r="H14" s="36">
        <f>DCF!E7</f>
        <v/>
      </c>
      <c r="I14" s="36">
        <f>DCF!F7</f>
        <v/>
      </c>
    </row>
    <row r="15">
      <c r="A15" t="inlineStr">
        <is>
          <t>Net finance and other income</t>
        </is>
      </c>
      <c r="B15" s="23">
        <f>B14/B5</f>
        <v/>
      </c>
      <c r="C15" s="23">
        <f>C14/C5</f>
        <v/>
      </c>
      <c r="D15" s="23">
        <f>D14/D5</f>
        <v/>
      </c>
      <c r="E15" s="23">
        <f>E14/E5</f>
        <v/>
      </c>
      <c r="F15" s="23">
        <f>F14/F5</f>
        <v/>
      </c>
      <c r="G15" s="23">
        <f>G14/G5</f>
        <v/>
      </c>
      <c r="H15" s="23">
        <f>H14/H5</f>
        <v/>
      </c>
      <c r="I15" s="23">
        <f>I14/I5</f>
        <v/>
      </c>
    </row>
    <row r="16">
      <c r="A16" t="inlineStr">
        <is>
          <t>Profit before tax</t>
        </is>
      </c>
      <c r="B16" s="24">
        <f>Assumptions!$B$67-B11</f>
        <v/>
      </c>
      <c r="C16" s="24">
        <f>Assumptions!$B$68-C11</f>
        <v/>
      </c>
      <c r="D16" s="24">
        <f>Assumptions!$B$85+Assumptions!$B$86-Assumptions!$B$87+Assumptions!$B$88+1.14</f>
        <v/>
      </c>
      <c r="E16" s="24">
        <f>('Balance Sheet'!D9-Assumptions!$B$130)*Assumptions!$B$34-DCF!$C$44*(1-DCF!$C$46)*Assumptions!$B$33-DCF!$C$44*DCF!$C$46*(Assumptions!$B$42+0.0435)</f>
        <v/>
      </c>
      <c r="F16" s="24">
        <f>'Balance Sheet'!E9*Assumptions!$C$34-DCF!$C$44*(1-DCF!$C$46)*Assumptions!$C$33-DCF!$C$44*DCF!$C$46*(Assumptions!$B$42+0.0435)</f>
        <v/>
      </c>
      <c r="G16" s="24">
        <f>'Balance Sheet'!F9*Assumptions!$D$34-DCF!$C$44*(1-DCF!$C$46)*Assumptions!$D$33-DCF!$C$44*DCF!$C$46*(Assumptions!$B$42+0.0435)</f>
        <v/>
      </c>
      <c r="H16" s="24">
        <f>'Balance Sheet'!G9*Assumptions!$E$34-DCF!$C$44*(1-DCF!$C$46)*Assumptions!$E$33-DCF!$C$44*DCF!$C$46*(Assumptions!$B$42+0.0435)</f>
        <v/>
      </c>
      <c r="I16" s="24">
        <f>'Balance Sheet'!H9*Assumptions!$F$34-DCF!$C$44*(1-DCF!$C$46)*Assumptions!$F$33-DCF!$C$44*DCF!$C$46*(Assumptions!$B$42+0.0435)</f>
        <v/>
      </c>
    </row>
    <row r="17">
      <c r="A17" t="inlineStr">
        <is>
          <t>Income tax</t>
        </is>
      </c>
      <c r="B17" s="17">
        <f>Assumptions!$B$67</f>
        <v/>
      </c>
      <c r="C17" s="17">
        <f>Assumptions!$B$68</f>
        <v/>
      </c>
      <c r="D17" s="17">
        <f>Assumptions!$B$69</f>
        <v/>
      </c>
      <c r="E17" s="24">
        <f>E11+E16</f>
        <v/>
      </c>
      <c r="F17" s="24">
        <f>F11+F16</f>
        <v/>
      </c>
      <c r="G17" s="24">
        <f>G11+G16</f>
        <v/>
      </c>
      <c r="H17" s="24">
        <f>H11+H16</f>
        <v/>
      </c>
      <c r="I17" s="24">
        <f>I11+I16</f>
        <v/>
      </c>
    </row>
    <row r="18">
      <c r="A18" t="inlineStr">
        <is>
          <t>Effective tax rate</t>
        </is>
      </c>
      <c r="B18" s="17">
        <f>-Assumptions!$B$70</f>
        <v/>
      </c>
      <c r="C18" s="17">
        <f>-Assumptions!$B$71</f>
        <v/>
      </c>
      <c r="D18" s="17">
        <f>-Assumptions!$B$72</f>
        <v/>
      </c>
      <c r="E18" s="24">
        <f>-E17*Assumptions!$B$9</f>
        <v/>
      </c>
      <c r="F18" s="24">
        <f>-F17*Assumptions!$B$9</f>
        <v/>
      </c>
      <c r="G18" s="24">
        <f>-G17*Assumptions!$B$9</f>
        <v/>
      </c>
      <c r="H18" s="24">
        <f>-H17*Assumptions!$B$9</f>
        <v/>
      </c>
      <c r="I18" s="24">
        <f>-I17*Assumptions!$B$9</f>
        <v/>
      </c>
    </row>
    <row r="19">
      <c r="A19" t="inlineStr">
        <is>
          <t>Attributable profit</t>
        </is>
      </c>
      <c r="B19" s="23">
        <f>-B18/B17</f>
        <v/>
      </c>
      <c r="C19" s="23">
        <f>-C18/C17</f>
        <v/>
      </c>
      <c r="D19" s="23">
        <f>-D18/D17</f>
        <v/>
      </c>
      <c r="E19" s="23">
        <f>-E18/E17</f>
        <v/>
      </c>
      <c r="F19" s="23">
        <f>-F18/F17</f>
        <v/>
      </c>
      <c r="G19" s="23">
        <f>-G18/G17</f>
        <v/>
      </c>
      <c r="H19" s="23">
        <f>-H18/H17</f>
        <v/>
      </c>
      <c r="I19" s="23">
        <f>-I18/I17</f>
        <v/>
      </c>
    </row>
    <row r="20">
      <c r="A20" t="inlineStr">
        <is>
          <t>Earnings per share (EGP)</t>
        </is>
      </c>
      <c r="B20" s="36">
        <f>Assumptions!$B$73</f>
        <v/>
      </c>
      <c r="C20" s="36">
        <f>Assumptions!$B$74</f>
        <v/>
      </c>
      <c r="D20" s="36">
        <f>Assumptions!$B$75</f>
        <v/>
      </c>
      <c r="E20" s="25">
        <f>E17+E18</f>
        <v/>
      </c>
      <c r="F20" s="25">
        <f>F17+F18</f>
        <v/>
      </c>
      <c r="G20" s="25">
        <f>G17+G18</f>
        <v/>
      </c>
      <c r="H20" s="25">
        <f>H17+H18</f>
        <v/>
      </c>
      <c r="I20" s="25">
        <f>I17+I18</f>
        <v/>
      </c>
    </row>
    <row r="21">
      <c r="A21" t="inlineStr">
        <is>
          <t>Dividends declared</t>
        </is>
      </c>
      <c r="B21" s="38">
        <f>Assumptions!$B$76</f>
        <v/>
      </c>
      <c r="C21" s="38">
        <f>Assumptions!$B$77</f>
        <v/>
      </c>
      <c r="D21" s="38">
        <f>Assumptions!$B$78</f>
        <v/>
      </c>
      <c r="E21" s="35">
        <f>E20/DCF!$B$43</f>
        <v/>
      </c>
      <c r="F21" s="35">
        <f>F20/DCF!$B$43</f>
        <v/>
      </c>
      <c r="G21" s="35">
        <f>G20/DCF!$B$43</f>
        <v/>
      </c>
      <c r="H21" s="35">
        <f>H20/DCF!$B$43</f>
        <v/>
      </c>
      <c r="I21" s="35">
        <f>I20/DCF!$B$43</f>
        <v/>
      </c>
    </row>
    <row r="22">
      <c r="A22" t="inlineStr">
        <is>
          <t>Dividends declared</t>
        </is>
      </c>
      <c r="C22" s="17">
        <f>Assumptions!$B$131</f>
        <v/>
      </c>
      <c r="D22" s="17">
        <f>Assumptions!$B$130</f>
        <v/>
      </c>
      <c r="E22" s="24">
        <f>E20*Assumptions!$B$37</f>
        <v/>
      </c>
      <c r="F22" s="24">
        <f>F20*Assumptions!$B$37</f>
        <v/>
      </c>
      <c r="G22" s="24">
        <f>G20*Assumptions!$B$37</f>
        <v/>
      </c>
      <c r="H22" s="24">
        <f>H20*Assumptions!$B$37</f>
        <v/>
      </c>
      <c r="I22" s="24">
        <f>I20*Assumptions!$B$37</f>
        <v/>
      </c>
    </row>
    <row r="23">
      <c r="A23" t="inlineStr">
        <is>
          <t>Dividend per share (EGP)</t>
        </is>
      </c>
      <c r="C23" s="35">
        <f>C22/DCF!$B$43</f>
        <v/>
      </c>
      <c r="D23" s="35">
        <f>D22/DCF!$B$43</f>
        <v/>
      </c>
      <c r="E23" s="35">
        <f>E22/DCF!$B$43</f>
        <v/>
      </c>
      <c r="F23" s="35">
        <f>F22/DCF!$B$43</f>
        <v/>
      </c>
      <c r="G23" s="35">
        <f>G22/DCF!$B$43</f>
        <v/>
      </c>
      <c r="H23" s="35">
        <f>H22/DCF!$B$43</f>
        <v/>
      </c>
      <c r="I23" s="35">
        <f>I22/DCF!$B$43</f>
        <v/>
      </c>
    </row>
    <row r="24">
      <c r="A24" t="inlineStr">
        <is>
          <t>FY2025 check: components of non-operating income against the audited residual</t>
        </is>
      </c>
      <c r="B24" s="32">
        <f>D16-(D17-D11)</f>
        <v/>
      </c>
    </row>
    <row r="25">
      <c r="A25" s="5" t="inlineStr">
        <is>
          <t>FY2023-FY2025 revenue, cost of sales, administrative expenses, provisions, pre-tax profit, tax,</t>
        </is>
      </c>
    </row>
    <row r="26">
      <c r="A26" s="5" t="inlineStr">
        <is>
          <t>attributable profit, earnings per share and depreciation are AUDITED figures. Operating profit,</t>
        </is>
      </c>
    </row>
    <row r="27">
      <c r="A27" s="5" t="inlineStr">
        <is>
          <t>EBITDA, margins and the effective tax rate are formulas over them. Nothing historical is derived</t>
        </is>
      </c>
    </row>
    <row r="28">
      <c r="A28" s="5" t="inlineStr">
        <is>
          <t>by closing an assumption, which is what revision 1 had to do.</t>
        </is>
      </c>
    </row>
  </sheetData>
  <mergeCells count="4">
    <mergeCell ref="A28:J28"/>
    <mergeCell ref="A25:J25"/>
    <mergeCell ref="A27:J27"/>
    <mergeCell ref="A26:J2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Balance sheet — 3 AUDITED years + 5-year forecast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Property, plant and equipment</t>
        </is>
      </c>
      <c r="D5" s="17">
        <f>Assumptions!$B$105</f>
        <v/>
      </c>
    </row>
    <row r="6">
      <c r="A6" t="inlineStr">
        <is>
          <t>Assets under construction</t>
        </is>
      </c>
      <c r="D6" s="17">
        <f>Assumptions!$B$106</f>
        <v/>
      </c>
    </row>
    <row r="7">
      <c r="A7" t="inlineStr">
        <is>
          <t>Intangible assets</t>
        </is>
      </c>
      <c r="D7" s="17">
        <f>Assumptions!$B$107</f>
        <v/>
      </c>
    </row>
    <row r="8">
      <c r="A8" t="inlineStr">
        <is>
          <t>Total non-current assets</t>
        </is>
      </c>
      <c r="D8" s="24">
        <f>SUM(D5:D7)</f>
        <v/>
      </c>
      <c r="E8" s="24">
        <f>D8-DCF!B8-DCF!B13</f>
        <v/>
      </c>
      <c r="F8" s="24">
        <f>E8-DCF!C8-DCF!C13</f>
        <v/>
      </c>
      <c r="G8" s="24">
        <f>F8-DCF!D8-DCF!D13</f>
        <v/>
      </c>
      <c r="H8" s="24">
        <f>G8-DCF!E8-DCF!E13</f>
        <v/>
      </c>
      <c r="I8" s="24">
        <f>H8-DCF!F8-DCF!F13</f>
        <v/>
      </c>
    </row>
    <row r="9">
      <c r="A9" t="inlineStr">
        <is>
          <t>Inventories, receivables and debtors</t>
        </is>
      </c>
      <c r="B9" s="17">
        <f>Assumptions!$B$113</f>
        <v/>
      </c>
      <c r="C9" s="17">
        <f>Assumptions!$B$112</f>
        <v/>
      </c>
      <c r="D9" s="17">
        <f>Assumptions!$B$111</f>
        <v/>
      </c>
      <c r="E9" s="24">
        <f>D9-Assumptions!$B$130+'Income Statement'!E20+DCF!B8+DCF!B13+DCF!B14-'Income Statement'!E22</f>
        <v/>
      </c>
      <c r="F9" s="24">
        <f>E9+'Income Statement'!F20+DCF!C8+DCF!C13+DCF!C14-'Income Statement'!F22</f>
        <v/>
      </c>
      <c r="G9" s="24">
        <f>F9+'Income Statement'!G20+DCF!D8+DCF!D13+DCF!D14-'Income Statement'!G22</f>
        <v/>
      </c>
      <c r="H9" s="24">
        <f>G9+'Income Statement'!H20+DCF!E8+DCF!E13+DCF!E14-'Income Statement'!H22</f>
        <v/>
      </c>
      <c r="I9" s="24">
        <f>H9+'Income Statement'!I20+DCF!F8+DCF!F13+DCF!F14-'Income Statement'!I22</f>
        <v/>
      </c>
    </row>
    <row r="10">
      <c r="A10" t="inlineStr">
        <is>
          <t>Cash and bank balances</t>
        </is>
      </c>
      <c r="D10" s="24">
        <f>Assumptions!$B$108+Assumptions!$B$109+Assumptions!$B$110</f>
        <v/>
      </c>
      <c r="E10" s="24">
        <f>D10-DCF!B14</f>
        <v/>
      </c>
      <c r="F10" s="24">
        <f>E10-DCF!C14</f>
        <v/>
      </c>
      <c r="G10" s="24">
        <f>F10-DCF!D14</f>
        <v/>
      </c>
      <c r="H10" s="24">
        <f>G10-DCF!E14</f>
        <v/>
      </c>
      <c r="I10" s="24">
        <f>H10-DCF!F14</f>
        <v/>
      </c>
    </row>
    <row r="11">
      <c r="A11" t="inlineStr">
        <is>
          <t>TOTAL ASSETS</t>
        </is>
      </c>
      <c r="B11" s="36">
        <f>Assumptions!$B$103</f>
        <v/>
      </c>
      <c r="C11" s="36">
        <f>Assumptions!$B$102</f>
        <v/>
      </c>
      <c r="D11" s="36">
        <f>Assumptions!$B$101</f>
        <v/>
      </c>
      <c r="E11" s="25">
        <f>E8+E9+E10</f>
        <v/>
      </c>
      <c r="F11" s="25">
        <f>F8+F9+F10</f>
        <v/>
      </c>
      <c r="G11" s="25">
        <f>G8+G9+G10</f>
        <v/>
      </c>
      <c r="H11" s="25">
        <f>H8+H9+H10</f>
        <v/>
      </c>
      <c r="I11" s="25">
        <f>I8+I9+I10</f>
        <v/>
      </c>
    </row>
    <row r="12">
      <c r="A12" t="inlineStr">
        <is>
          <t>Interest-bearing debt</t>
        </is>
      </c>
      <c r="B12" s="17">
        <f>Assumptions!$B$124</f>
        <v/>
      </c>
      <c r="C12" s="17">
        <f>Assumptions!$B$123</f>
        <v/>
      </c>
      <c r="D12" s="17">
        <f>DCF!C44</f>
        <v/>
      </c>
      <c r="E12" s="17">
        <f>DCF!$C$44</f>
        <v/>
      </c>
      <c r="F12" s="17">
        <f>DCF!$C$44</f>
        <v/>
      </c>
      <c r="G12" s="17">
        <f>DCF!$C$44</f>
        <v/>
      </c>
      <c r="H12" s="17">
        <f>DCF!$C$44</f>
        <v/>
      </c>
      <c r="I12" s="17">
        <f>DCF!$C$44</f>
        <v/>
      </c>
    </row>
    <row r="13">
      <c r="A13" t="inlineStr">
        <is>
          <t>Other liabilities</t>
        </is>
      </c>
      <c r="D13" s="24">
        <f>D14-D12</f>
        <v/>
      </c>
      <c r="E13" s="24">
        <f>D13</f>
        <v/>
      </c>
      <c r="F13" s="24">
        <f>D13</f>
        <v/>
      </c>
      <c r="G13" s="24">
        <f>D13</f>
        <v/>
      </c>
      <c r="H13" s="24">
        <f>D13</f>
        <v/>
      </c>
      <c r="I13" s="24">
        <f>D13</f>
        <v/>
      </c>
    </row>
    <row r="14">
      <c r="A14" t="inlineStr">
        <is>
          <t>Total liabilities</t>
        </is>
      </c>
      <c r="D14" s="17">
        <f>Assumptions!$B$104</f>
        <v/>
      </c>
      <c r="E14" s="24">
        <f>E12+E13</f>
        <v/>
      </c>
      <c r="F14" s="24">
        <f>F12+F13</f>
        <v/>
      </c>
      <c r="G14" s="24">
        <f>G12+G13</f>
        <v/>
      </c>
      <c r="H14" s="24">
        <f>H12+H13</f>
        <v/>
      </c>
      <c r="I14" s="24">
        <f>I12+I13</f>
        <v/>
      </c>
    </row>
    <row r="15">
      <c r="A15" t="inlineStr">
        <is>
          <t>Equity attributable to owners</t>
        </is>
      </c>
      <c r="B15" s="36">
        <f>Assumptions!$B$116</f>
        <v/>
      </c>
      <c r="C15" s="36">
        <f>Assumptions!$B$115</f>
        <v/>
      </c>
      <c r="D15" s="36">
        <f>Assumptions!$B$114</f>
        <v/>
      </c>
      <c r="E15" s="25">
        <f>D15-Assumptions!$B$130+'Income Statement'!E20-'Income Statement'!E22</f>
        <v/>
      </c>
      <c r="F15" s="25">
        <f>E15+'Income Statement'!F20-'Income Statement'!F22</f>
        <v/>
      </c>
      <c r="G15" s="25">
        <f>F15+'Income Statement'!G20-'Income Statement'!G22</f>
        <v/>
      </c>
      <c r="H15" s="25">
        <f>G15+'Income Statement'!H20-'Income Statement'!H22</f>
        <v/>
      </c>
      <c r="I15" s="25">
        <f>H15+'Income Statement'!I20-'Income Statement'!I22</f>
        <v/>
      </c>
    </row>
    <row r="16">
      <c r="A16" t="inlineStr">
        <is>
          <t>Net (cash) / debt</t>
        </is>
      </c>
      <c r="B16" s="24">
        <f>B12-B9</f>
        <v/>
      </c>
      <c r="C16" s="24">
        <f>C12-C9</f>
        <v/>
      </c>
      <c r="D16" s="24">
        <f>D12-D9</f>
        <v/>
      </c>
      <c r="E16" s="24">
        <f>E12-E9</f>
        <v/>
      </c>
      <c r="F16" s="24">
        <f>F12-F9</f>
        <v/>
      </c>
      <c r="G16" s="24">
        <f>G12-G9</f>
        <v/>
      </c>
      <c r="H16" s="24">
        <f>H12-H9</f>
        <v/>
      </c>
      <c r="I16" s="24">
        <f>I12-I9</f>
        <v/>
      </c>
    </row>
    <row r="17">
      <c r="A17" t="inlineStr">
        <is>
          <t>Book value per share (EGP)</t>
        </is>
      </c>
      <c r="B17" s="35">
        <f>B15/DCF!$B$43</f>
        <v/>
      </c>
      <c r="C17" s="35">
        <f>C15/DCF!$B$43</f>
        <v/>
      </c>
      <c r="D17" s="35">
        <f>D15/DCF!$B$43</f>
        <v/>
      </c>
      <c r="E17" s="35">
        <f>E15/DCF!$B$43</f>
        <v/>
      </c>
      <c r="F17" s="35">
        <f>F15/DCF!$B$43</f>
        <v/>
      </c>
      <c r="G17" s="35">
        <f>G15/DCF!$B$43</f>
        <v/>
      </c>
      <c r="H17" s="35">
        <f>H15/DCF!$B$43</f>
        <v/>
      </c>
      <c r="I17" s="35">
        <f>I15/DCF!$B$43</f>
        <v/>
      </c>
    </row>
    <row r="18">
      <c r="A18" t="inlineStr">
        <is>
          <t>Return on equity</t>
        </is>
      </c>
      <c r="B18" s="23">
        <f>'Income Statement'!B20/B15</f>
        <v/>
      </c>
      <c r="C18" s="23">
        <f>'Income Statement'!C20/C15</f>
        <v/>
      </c>
      <c r="D18" s="23">
        <f>'Income Statement'!D20/D15</f>
        <v/>
      </c>
      <c r="E18" s="23">
        <f>'Income Statement'!E20/E15</f>
        <v/>
      </c>
      <c r="F18" s="23">
        <f>'Income Statement'!F20/F15</f>
        <v/>
      </c>
      <c r="G18" s="23">
        <f>'Income Statement'!G20/G15</f>
        <v/>
      </c>
      <c r="H18" s="23">
        <f>'Income Statement'!H20/H15</f>
        <v/>
      </c>
      <c r="I18" s="23">
        <f>'Income Statement'!I20/I15</f>
        <v/>
      </c>
    </row>
    <row r="20">
      <c r="A20" s="6" t="inlineStr">
        <is>
          <t>THE AUDITED BALANCE SHEET CLOSES — A CHECK REVISION 1 COULD NOT RUN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t="inlineStr">
        <is>
          <t>Total assets (audited)</t>
        </is>
      </c>
      <c r="B21" s="24">
        <f>Assumptions!$B$101</f>
        <v/>
      </c>
    </row>
    <row r="22">
      <c r="A22" t="inlineStr">
        <is>
          <t>Less total liabilities (audited)</t>
        </is>
      </c>
      <c r="B22" s="24">
        <f>-Assumptions!$B$104</f>
        <v/>
      </c>
    </row>
    <row r="23">
      <c r="A23" t="inlineStr">
        <is>
          <t>Equals total equity</t>
        </is>
      </c>
      <c r="B23" s="24">
        <f>B21+B22</f>
        <v/>
      </c>
    </row>
    <row r="24">
      <c r="A24" t="inlineStr">
        <is>
          <t>Equity attributable to owners plus minorities (audited)</t>
        </is>
      </c>
      <c r="B24" s="24">
        <f>Assumptions!$B$114+Assumptions!$B$117</f>
        <v/>
      </c>
    </row>
    <row r="25">
      <c r="A25" t="inlineStr">
        <is>
          <t>Difference</t>
        </is>
      </c>
      <c r="B25" s="39">
        <f>B23-B24</f>
        <v/>
      </c>
    </row>
    <row r="27">
      <c r="A27" s="5" t="inlineStr">
        <is>
          <t>Revision 1 was offered EGP 2,894.13mn as total liabilities and rejected it because it would not</t>
        </is>
      </c>
    </row>
    <row r="28">
      <c r="A28" s="5" t="inlineStr">
        <is>
          <t>close; it derived EGP 4,140.99mn instead. The audited statements show 2,894.13 is total CURRENT</t>
        </is>
      </c>
    </row>
    <row r="29">
      <c r="A29" s="5" t="inlineStr">
        <is>
          <t>liabilities and the total is 4,140.99. The derivation was right, and row 25 now closes to zero.</t>
        </is>
      </c>
    </row>
  </sheetData>
  <mergeCells count="3">
    <mergeCell ref="A29:J29"/>
    <mergeCell ref="A28:J28"/>
    <mergeCell ref="A27:J2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Cash flow — audited FY2025 and the forecast, linked to the waterfall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5" t="inlineStr">
        <is>
          <t>EGP mn</t>
        </is>
      </c>
    </row>
    <row r="4">
      <c r="A4" s="15" t="inlineStr"/>
      <c r="B4" s="15" t="inlineStr">
        <is>
          <t>FY2025A</t>
        </is>
      </c>
      <c r="C4" s="15" t="inlineStr">
        <is>
          <t>FY2026E</t>
        </is>
      </c>
      <c r="D4" s="15" t="inlineStr">
        <is>
          <t>FY2027E</t>
        </is>
      </c>
      <c r="E4" s="15" t="inlineStr">
        <is>
          <t>FY2028E</t>
        </is>
      </c>
      <c r="F4" s="15" t="inlineStr">
        <is>
          <t>FY2029E</t>
        </is>
      </c>
      <c r="G4" s="15" t="inlineStr">
        <is>
          <t>FY2030E</t>
        </is>
      </c>
    </row>
    <row r="5">
      <c r="A5" t="inlineStr">
        <is>
          <t>Attributable profit</t>
        </is>
      </c>
      <c r="B5" s="17">
        <f>'Income Statement'!D20</f>
        <v/>
      </c>
      <c r="C5" s="17">
        <f>'Income Statement'!E20</f>
        <v/>
      </c>
      <c r="D5" s="17">
        <f>'Income Statement'!F20</f>
        <v/>
      </c>
      <c r="E5" s="17">
        <f>'Income Statement'!G20</f>
        <v/>
      </c>
      <c r="F5" s="17">
        <f>'Income Statement'!H20</f>
        <v/>
      </c>
      <c r="G5" s="17">
        <f>'Income Statement'!I20</f>
        <v/>
      </c>
    </row>
    <row r="6">
      <c r="A6" t="inlineStr">
        <is>
          <t>Add back depreciation</t>
        </is>
      </c>
      <c r="B6" s="17">
        <f>Assumptions!$B$81</f>
        <v/>
      </c>
      <c r="C6" s="17">
        <f>DCF!B8</f>
        <v/>
      </c>
      <c r="D6" s="17">
        <f>DCF!C8</f>
        <v/>
      </c>
      <c r="E6" s="17">
        <f>DCF!D8</f>
        <v/>
      </c>
      <c r="F6" s="17">
        <f>DCF!E8</f>
        <v/>
      </c>
      <c r="G6" s="17">
        <f>DCF!F8</f>
        <v/>
      </c>
    </row>
    <row r="7">
      <c r="A7" t="inlineStr">
        <is>
          <t>Less change in working capital</t>
        </is>
      </c>
      <c r="C7" s="17">
        <f>DCF!B14</f>
        <v/>
      </c>
      <c r="D7" s="17">
        <f>DCF!C14</f>
        <v/>
      </c>
      <c r="E7" s="17">
        <f>DCF!D14</f>
        <v/>
      </c>
      <c r="F7" s="17">
        <f>DCF!E14</f>
        <v/>
      </c>
      <c r="G7" s="17">
        <f>DCF!F14</f>
        <v/>
      </c>
    </row>
    <row r="8">
      <c r="A8" t="inlineStr">
        <is>
          <t>Cash from operations</t>
        </is>
      </c>
      <c r="B8" s="25">
        <f>B5+B6</f>
        <v/>
      </c>
      <c r="C8" s="25">
        <f>C5+C6+C7</f>
        <v/>
      </c>
      <c r="D8" s="25">
        <f>D5+D6+D7</f>
        <v/>
      </c>
      <c r="E8" s="25">
        <f>E5+E6+E7</f>
        <v/>
      </c>
      <c r="F8" s="25">
        <f>F5+F6+F7</f>
        <v/>
      </c>
      <c r="G8" s="25">
        <f>G5+G6+G7</f>
        <v/>
      </c>
    </row>
    <row r="9">
      <c r="A9" t="inlineStr">
        <is>
          <t>Capital expenditure</t>
        </is>
      </c>
      <c r="B9" s="17">
        <f>-Assumptions!$B$84</f>
        <v/>
      </c>
      <c r="C9" s="17">
        <f>DCF!B13</f>
        <v/>
      </c>
      <c r="D9" s="17">
        <f>DCF!C13</f>
        <v/>
      </c>
      <c r="E9" s="17">
        <f>DCF!D13</f>
        <v/>
      </c>
      <c r="F9" s="17">
        <f>DCF!E13</f>
        <v/>
      </c>
      <c r="G9" s="17">
        <f>DCF!F13</f>
        <v/>
      </c>
    </row>
    <row r="10">
      <c r="A10" t="inlineStr">
        <is>
          <t>Free cash flow to equity</t>
        </is>
      </c>
      <c r="B10" s="25">
        <f>B8+B9</f>
        <v/>
      </c>
      <c r="C10" s="25">
        <f>C8+C9</f>
        <v/>
      </c>
      <c r="D10" s="25">
        <f>D8+D9</f>
        <v/>
      </c>
      <c r="E10" s="25">
        <f>E8+E9</f>
        <v/>
      </c>
      <c r="F10" s="25">
        <f>F8+F9</f>
        <v/>
      </c>
      <c r="G10" s="25">
        <f>G8+G9</f>
        <v/>
      </c>
    </row>
    <row r="11">
      <c r="A11" t="inlineStr">
        <is>
          <t>Dividends declared</t>
        </is>
      </c>
      <c r="B11" s="17">
        <f>-Assumptions!$B$130</f>
        <v/>
      </c>
      <c r="C11" s="24">
        <f>-'Income Statement'!E22</f>
        <v/>
      </c>
      <c r="D11" s="24">
        <f>-'Income Statement'!F22</f>
        <v/>
      </c>
      <c r="E11" s="24">
        <f>-'Income Statement'!G22</f>
        <v/>
      </c>
      <c r="F11" s="24">
        <f>-'Income Statement'!H22</f>
        <v/>
      </c>
      <c r="G11" s="24">
        <f>-'Income Statement'!I22</f>
        <v/>
      </c>
    </row>
    <row r="12">
      <c r="A12" t="inlineStr">
        <is>
          <t>Closing cash</t>
        </is>
      </c>
      <c r="B12" s="17">
        <f>Assumptions!$B$111</f>
        <v/>
      </c>
      <c r="C12" s="17">
        <f>'Balance Sheet'!E9</f>
        <v/>
      </c>
      <c r="D12" s="17">
        <f>'Balance Sheet'!F9</f>
        <v/>
      </c>
      <c r="E12" s="17">
        <f>'Balance Sheet'!G9</f>
        <v/>
      </c>
      <c r="F12" s="17">
        <f>'Balance Sheet'!H9</f>
        <v/>
      </c>
      <c r="G12" s="17">
        <f>'Balance Sheet'!I9</f>
        <v/>
      </c>
    </row>
    <row r="13">
      <c r="A13" t="inlineStr">
        <is>
          <t>Memo: free cash flow to the firm</t>
        </is>
      </c>
      <c r="C13" s="17">
        <f>DCF!B15</f>
        <v/>
      </c>
      <c r="D13" s="17">
        <f>DCF!C15</f>
        <v/>
      </c>
      <c r="E13" s="17">
        <f>DCF!D15</f>
        <v/>
      </c>
      <c r="F13" s="17">
        <f>DCF!E15</f>
        <v/>
      </c>
      <c r="G13" s="17">
        <f>DCF!F15</f>
        <v/>
      </c>
    </row>
    <row r="15">
      <c r="A15" s="5" t="inlineStr">
        <is>
          <t>The FY2025 column is the AUDITED outturn: attributable profit, depreciation and capital</t>
        </is>
      </c>
    </row>
    <row r="16">
      <c r="A16" s="5" t="inlineStr">
        <is>
          <t>expenditure all read from the audited cash flow statement. The forecast columns LINK to the DCF</t>
        </is>
      </c>
    </row>
    <row r="17">
      <c r="A17" s="5" t="inlineStr">
        <is>
          <t>and Income Statement sheets, so the statement and the valuation cannot disagree by construction.</t>
        </is>
      </c>
    </row>
  </sheetData>
  <mergeCells count="3">
    <mergeCell ref="A17:J17"/>
    <mergeCell ref="A15:J15"/>
    <mergeCell ref="A16:J1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cols>
    <col width="4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Summary financials — eight years on one screen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EGP mn</t>
        </is>
      </c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Revenue</t>
        </is>
      </c>
      <c r="B5" s="17">
        <f>'Income Statement'!B5</f>
        <v/>
      </c>
      <c r="C5" s="17">
        <f>'Income Statement'!C5</f>
        <v/>
      </c>
      <c r="D5" s="17">
        <f>'Income Statement'!D5</f>
        <v/>
      </c>
      <c r="E5" s="17">
        <f>'Income Statement'!E5</f>
        <v/>
      </c>
      <c r="F5" s="17">
        <f>'Income Statement'!F5</f>
        <v/>
      </c>
      <c r="G5" s="17">
        <f>'Income Statement'!G5</f>
        <v/>
      </c>
      <c r="H5" s="17">
        <f>'Income Statement'!H5</f>
        <v/>
      </c>
      <c r="I5" s="17">
        <f>'Income Statement'!I5</f>
        <v/>
      </c>
    </row>
    <row r="6">
      <c r="A6" t="inlineStr">
        <is>
          <t>EBITDA</t>
        </is>
      </c>
      <c r="B6" s="17">
        <f>'Income Statement'!B14</f>
        <v/>
      </c>
      <c r="C6" s="17">
        <f>'Income Statement'!C14</f>
        <v/>
      </c>
      <c r="D6" s="17">
        <f>'Income Statement'!D14</f>
        <v/>
      </c>
      <c r="E6" s="17">
        <f>'Income Statement'!E14</f>
        <v/>
      </c>
      <c r="F6" s="17">
        <f>'Income Statement'!F14</f>
        <v/>
      </c>
      <c r="G6" s="17">
        <f>'Income Statement'!G14</f>
        <v/>
      </c>
      <c r="H6" s="17">
        <f>'Income Statement'!H14</f>
        <v/>
      </c>
      <c r="I6" s="17">
        <f>'Income Statement'!I14</f>
        <v/>
      </c>
    </row>
    <row r="7">
      <c r="A7" t="inlineStr">
        <is>
          <t>EBITDA margin</t>
        </is>
      </c>
      <c r="B7" s="26">
        <f>'Income Statement'!B15</f>
        <v/>
      </c>
      <c r="C7" s="26">
        <f>'Income Statement'!C15</f>
        <v/>
      </c>
      <c r="D7" s="26">
        <f>'Income Statement'!D15</f>
        <v/>
      </c>
      <c r="E7" s="26">
        <f>'Income Statement'!E15</f>
        <v/>
      </c>
      <c r="F7" s="26">
        <f>'Income Statement'!F15</f>
        <v/>
      </c>
      <c r="G7" s="26">
        <f>'Income Statement'!G15</f>
        <v/>
      </c>
      <c r="H7" s="26">
        <f>'Income Statement'!H15</f>
        <v/>
      </c>
      <c r="I7" s="26">
        <f>'Income Statement'!I15</f>
        <v/>
      </c>
    </row>
    <row r="8">
      <c r="A8" t="inlineStr">
        <is>
          <t>Operating profit</t>
        </is>
      </c>
      <c r="B8" s="17">
        <f>'Income Statement'!B11</f>
        <v/>
      </c>
      <c r="C8" s="17">
        <f>'Income Statement'!C11</f>
        <v/>
      </c>
      <c r="D8" s="17">
        <f>'Income Statement'!D11</f>
        <v/>
      </c>
      <c r="E8" s="17">
        <f>'Income Statement'!E11</f>
        <v/>
      </c>
      <c r="F8" s="17">
        <f>'Income Statement'!F11</f>
        <v/>
      </c>
      <c r="G8" s="17">
        <f>'Income Statement'!G11</f>
        <v/>
      </c>
      <c r="H8" s="17">
        <f>'Income Statement'!H11</f>
        <v/>
      </c>
      <c r="I8" s="17">
        <f>'Income Statement'!I11</f>
        <v/>
      </c>
    </row>
    <row r="9">
      <c r="A9" t="inlineStr">
        <is>
          <t>Attributable profit</t>
        </is>
      </c>
      <c r="B9" s="17">
        <f>'Income Statement'!B20</f>
        <v/>
      </c>
      <c r="C9" s="17">
        <f>'Income Statement'!C20</f>
        <v/>
      </c>
      <c r="D9" s="17">
        <f>'Income Statement'!D20</f>
        <v/>
      </c>
      <c r="E9" s="17">
        <f>'Income Statement'!E20</f>
        <v/>
      </c>
      <c r="F9" s="17">
        <f>'Income Statement'!F20</f>
        <v/>
      </c>
      <c r="G9" s="17">
        <f>'Income Statement'!G20</f>
        <v/>
      </c>
      <c r="H9" s="17">
        <f>'Income Statement'!H20</f>
        <v/>
      </c>
      <c r="I9" s="17">
        <f>'Income Statement'!I20</f>
        <v/>
      </c>
    </row>
    <row r="10">
      <c r="A10" t="inlineStr">
        <is>
          <t>Earnings per share (EGP)</t>
        </is>
      </c>
      <c r="B10" s="38">
        <f>'Income Statement'!B21</f>
        <v/>
      </c>
      <c r="C10" s="38">
        <f>'Income Statement'!C21</f>
        <v/>
      </c>
      <c r="D10" s="38">
        <f>'Income Statement'!D21</f>
        <v/>
      </c>
      <c r="E10" s="38">
        <f>'Income Statement'!E21</f>
        <v/>
      </c>
      <c r="F10" s="38">
        <f>'Income Statement'!F21</f>
        <v/>
      </c>
      <c r="G10" s="38">
        <f>'Income Statement'!G21</f>
        <v/>
      </c>
      <c r="H10" s="38">
        <f>'Income Statement'!H21</f>
        <v/>
      </c>
      <c r="I10" s="38">
        <f>'Income Statement'!I21</f>
        <v/>
      </c>
    </row>
    <row r="12">
      <c r="A12" s="6" t="inlineStr">
        <is>
          <t>GROWTH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t="inlineStr">
        <is>
          <t>Revenue growth</t>
        </is>
      </c>
      <c r="C13" s="23">
        <f>C5/B5-1</f>
        <v/>
      </c>
      <c r="D13" s="23">
        <f>D5/C5-1</f>
        <v/>
      </c>
      <c r="E13" s="23">
        <f>E5/D5-1</f>
        <v/>
      </c>
      <c r="F13" s="23">
        <f>F5/E5-1</f>
        <v/>
      </c>
      <c r="G13" s="23">
        <f>G5/F5-1</f>
        <v/>
      </c>
      <c r="H13" s="23">
        <f>H5/G5-1</f>
        <v/>
      </c>
      <c r="I13" s="23">
        <f>I5/H5-1</f>
        <v/>
      </c>
    </row>
    <row r="14">
      <c r="A14" t="inlineStr">
        <is>
          <t>EBITDA growth</t>
        </is>
      </c>
      <c r="C14" s="23">
        <f>C6/B6-1</f>
        <v/>
      </c>
      <c r="D14" s="23">
        <f>D6/C6-1</f>
        <v/>
      </c>
      <c r="E14" s="23">
        <f>E6/D6-1</f>
        <v/>
      </c>
      <c r="F14" s="23">
        <f>F6/E6-1</f>
        <v/>
      </c>
      <c r="G14" s="23">
        <f>G6/F6-1</f>
        <v/>
      </c>
      <c r="H14" s="23">
        <f>H6/G6-1</f>
        <v/>
      </c>
      <c r="I14" s="23">
        <f>I6/H6-1</f>
        <v/>
      </c>
    </row>
    <row r="15">
      <c r="A15" t="inlineStr">
        <is>
          <t>Profit growth</t>
        </is>
      </c>
      <c r="C15" s="23">
        <f>C9/B9-1</f>
        <v/>
      </c>
      <c r="D15" s="23">
        <f>D9/C9-1</f>
        <v/>
      </c>
      <c r="E15" s="23">
        <f>E9/D9-1</f>
        <v/>
      </c>
      <c r="F15" s="23">
        <f>F9/E9-1</f>
        <v/>
      </c>
      <c r="G15" s="23">
        <f>G9/F9-1</f>
        <v/>
      </c>
      <c r="H15" s="23">
        <f>H9/G9-1</f>
        <v/>
      </c>
      <c r="I15" s="23">
        <f>I9/H9-1</f>
        <v/>
      </c>
    </row>
    <row r="18">
      <c r="A18" s="5" t="inlineStr">
        <is>
          <t>Every cell on this sheet is a link or a formula. Nothing is restated.</t>
        </is>
      </c>
    </row>
  </sheetData>
  <mergeCells count="1">
    <mergeCell ref="A18:J1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Per-share figures, ratios and reconciliations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4">
      <c r="A4" s="15" t="inlineStr"/>
      <c r="B4" s="15" t="inlineStr">
        <is>
          <t>FY2023</t>
        </is>
      </c>
      <c r="C4" s="15" t="inlineStr">
        <is>
          <t>FY2024</t>
        </is>
      </c>
      <c r="D4" s="15" t="inlineStr">
        <is>
          <t>FY2025</t>
        </is>
      </c>
      <c r="E4" s="15" t="inlineStr">
        <is>
          <t>FY2026E</t>
        </is>
      </c>
      <c r="F4" s="15" t="inlineStr">
        <is>
          <t>FY2027E</t>
        </is>
      </c>
      <c r="G4" s="15" t="inlineStr">
        <is>
          <t>FY2028E</t>
        </is>
      </c>
      <c r="H4" s="15" t="inlineStr">
        <is>
          <t>FY2029E</t>
        </is>
      </c>
      <c r="I4" s="15" t="inlineStr">
        <is>
          <t>FY2030E</t>
        </is>
      </c>
    </row>
    <row r="5">
      <c r="A5" t="inlineStr">
        <is>
          <t>Earnings per share (EGP)</t>
        </is>
      </c>
      <c r="B5" s="38">
        <f>'Income Statement'!B21</f>
        <v/>
      </c>
      <c r="C5" s="38">
        <f>'Income Statement'!C21</f>
        <v/>
      </c>
      <c r="D5" s="38">
        <f>'Income Statement'!D21</f>
        <v/>
      </c>
      <c r="E5" s="38">
        <f>'Income Statement'!E21</f>
        <v/>
      </c>
      <c r="F5" s="38">
        <f>'Income Statement'!F21</f>
        <v/>
      </c>
      <c r="G5" s="38">
        <f>'Income Statement'!G21</f>
        <v/>
      </c>
      <c r="H5" s="38">
        <f>'Income Statement'!H21</f>
        <v/>
      </c>
      <c r="I5" s="38">
        <f>'Income Statement'!I21</f>
        <v/>
      </c>
    </row>
    <row r="6">
      <c r="A6" t="inlineStr">
        <is>
          <t>Book value per share (EGP)</t>
        </is>
      </c>
      <c r="B6" s="38">
        <f>'Balance Sheet'!B17</f>
        <v/>
      </c>
      <c r="C6" s="38">
        <f>'Balance Sheet'!C17</f>
        <v/>
      </c>
      <c r="D6" s="38">
        <f>'Balance Sheet'!D17</f>
        <v/>
      </c>
      <c r="E6" s="38">
        <f>'Balance Sheet'!E17</f>
        <v/>
      </c>
      <c r="F6" s="38">
        <f>'Balance Sheet'!F17</f>
        <v/>
      </c>
      <c r="G6" s="38">
        <f>'Balance Sheet'!G17</f>
        <v/>
      </c>
      <c r="H6" s="38">
        <f>'Balance Sheet'!H17</f>
        <v/>
      </c>
      <c r="I6" s="38">
        <f>'Balance Sheet'!I17</f>
        <v/>
      </c>
    </row>
    <row r="7">
      <c r="A7" t="inlineStr">
        <is>
          <t>Price / earnings (at spot)</t>
        </is>
      </c>
      <c r="B7" s="40">
        <f>Assumptions!$B$5/B5</f>
        <v/>
      </c>
      <c r="C7" s="40">
        <f>Assumptions!$B$5/C5</f>
        <v/>
      </c>
      <c r="D7" s="40">
        <f>Assumptions!$B$5/D5</f>
        <v/>
      </c>
      <c r="E7" s="40">
        <f>Assumptions!$B$5/E5</f>
        <v/>
      </c>
      <c r="F7" s="40">
        <f>Assumptions!$B$5/F5</f>
        <v/>
      </c>
      <c r="G7" s="40">
        <f>Assumptions!$B$5/G5</f>
        <v/>
      </c>
      <c r="H7" s="40">
        <f>Assumptions!$B$5/H5</f>
        <v/>
      </c>
      <c r="I7" s="40">
        <f>Assumptions!$B$5/I5</f>
        <v/>
      </c>
    </row>
    <row r="8">
      <c r="A8" t="inlineStr">
        <is>
          <t>Price / book (at spot)</t>
        </is>
      </c>
      <c r="B8" s="40">
        <f>Assumptions!$B$5/B6</f>
        <v/>
      </c>
      <c r="C8" s="40">
        <f>Assumptions!$B$5/C6</f>
        <v/>
      </c>
      <c r="D8" s="40">
        <f>Assumptions!$B$5/D6</f>
        <v/>
      </c>
      <c r="E8" s="40">
        <f>Assumptions!$B$5/E6</f>
        <v/>
      </c>
      <c r="F8" s="40">
        <f>Assumptions!$B$5/F6</f>
        <v/>
      </c>
      <c r="G8" s="40">
        <f>Assumptions!$B$5/G6</f>
        <v/>
      </c>
      <c r="H8" s="40">
        <f>Assumptions!$B$5/H6</f>
        <v/>
      </c>
      <c r="I8" s="40">
        <f>Assumptions!$B$5/I6</f>
        <v/>
      </c>
    </row>
    <row r="9">
      <c r="A9" t="inlineStr">
        <is>
          <t>EBITDA per tonne (EGP)</t>
        </is>
      </c>
      <c r="D9" s="24">
        <f>'Income Statement'!D14/'Unit Build'!B32</f>
        <v/>
      </c>
      <c r="E9" s="24">
        <f>'Income Statement'!E14/'Unit Build'!C32</f>
        <v/>
      </c>
      <c r="F9" s="24">
        <f>'Income Statement'!F14/'Unit Build'!D32</f>
        <v/>
      </c>
      <c r="G9" s="24">
        <f>'Income Statement'!G14/'Unit Build'!E32</f>
        <v/>
      </c>
      <c r="H9" s="24">
        <f>'Income Statement'!H14/'Unit Build'!F32</f>
        <v/>
      </c>
      <c r="I9" s="24">
        <f>'Income Statement'!I14/'Unit Build'!G32</f>
        <v/>
      </c>
    </row>
    <row r="10">
      <c r="A10" t="inlineStr">
        <is>
          <t>Return on equity</t>
        </is>
      </c>
      <c r="B10" s="26">
        <f>'Balance Sheet'!B18</f>
        <v/>
      </c>
      <c r="C10" s="26">
        <f>'Balance Sheet'!C18</f>
        <v/>
      </c>
      <c r="D10" s="26">
        <f>'Balance Sheet'!D18</f>
        <v/>
      </c>
      <c r="E10" s="26">
        <f>'Balance Sheet'!E18</f>
        <v/>
      </c>
      <c r="F10" s="26">
        <f>'Balance Sheet'!F18</f>
        <v/>
      </c>
      <c r="G10" s="26">
        <f>'Balance Sheet'!G18</f>
        <v/>
      </c>
      <c r="H10" s="26">
        <f>'Balance Sheet'!H18</f>
        <v/>
      </c>
      <c r="I10" s="26">
        <f>'Balance Sheet'!I18</f>
        <v/>
      </c>
    </row>
    <row r="11">
      <c r="A11" t="inlineStr">
        <is>
          <t>Net (cash) / EBITDA</t>
        </is>
      </c>
      <c r="B11" s="40">
        <f>'Balance Sheet'!B16/'Income Statement'!B14</f>
        <v/>
      </c>
      <c r="C11" s="40">
        <f>'Balance Sheet'!C16/'Income Statement'!C14</f>
        <v/>
      </c>
      <c r="D11" s="40">
        <f>'Balance Sheet'!D16/'Income Statement'!D14</f>
        <v/>
      </c>
      <c r="E11" s="40">
        <f>'Balance Sheet'!E16/'Income Statement'!E14</f>
        <v/>
      </c>
      <c r="F11" s="40">
        <f>'Balance Sheet'!F16/'Income Statement'!F14</f>
        <v/>
      </c>
      <c r="G11" s="40">
        <f>'Balance Sheet'!G16/'Income Statement'!G14</f>
        <v/>
      </c>
      <c r="H11" s="40">
        <f>'Balance Sheet'!H16/'Income Statement'!H14</f>
        <v/>
      </c>
      <c r="I11" s="40">
        <f>'Balance Sheet'!I16/'Income Statement'!I14</f>
        <v/>
      </c>
    </row>
    <row r="13">
      <c r="A13" s="6" t="inlineStr">
        <is>
          <t>RECONCILIATIONS AGAINST THE AUDITED ACCOUNTS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t="inlineStr">
        <is>
          <t>Shares issued (audited note 20)</t>
        </is>
      </c>
      <c r="B14" s="32">
        <f>Assumptions!$B$6</f>
        <v/>
      </c>
    </row>
    <row r="15">
      <c r="A15" t="inlineStr">
        <is>
          <t>Less treasury shares (audited note 21)</t>
        </is>
      </c>
      <c r="B15" s="32">
        <f>-Assumptions!$B$7</f>
        <v/>
      </c>
    </row>
    <row r="16">
      <c r="A16" t="inlineStr">
        <is>
          <t>Shares outstanding — ADOPTED</t>
        </is>
      </c>
      <c r="B16" s="39">
        <f>B14+B15</f>
        <v/>
      </c>
    </row>
    <row r="17">
      <c r="A17" t="inlineStr">
        <is>
          <t>Shares implied by the FY2025 dividend at EGP 5.34 per share</t>
        </is>
      </c>
      <c r="B17" s="32">
        <f>Assumptions!$B$130/5.34</f>
        <v/>
      </c>
    </row>
    <row r="18">
      <c r="A18" t="inlineStr">
        <is>
          <t>Difference</t>
        </is>
      </c>
      <c r="B18" s="41">
        <f>B17/B16-1</f>
        <v/>
      </c>
    </row>
    <row r="19">
      <c r="A19" t="inlineStr">
        <is>
          <t>Issued capital implied at EGP 2 par (EGP mn)</t>
        </is>
      </c>
      <c r="B19" s="24">
        <f>Assumptions!$B$6*2</f>
        <v/>
      </c>
    </row>
    <row r="20">
      <c r="A20" t="inlineStr">
        <is>
          <t>Q1-2026 revenue growth on Q1-2025</t>
        </is>
      </c>
      <c r="B20" s="23">
        <f>Assumptions!$B$132/Assumptions!$B$133-1</f>
        <v/>
      </c>
    </row>
    <row r="21">
      <c r="A21" t="inlineStr">
        <is>
          <t>FY2026 revenue implied by holding that growth</t>
        </is>
      </c>
      <c r="B21" s="24">
        <f>Assumptions!$B$54*Assumptions!$B$132/Assumptions!$B$133</f>
        <v/>
      </c>
    </row>
    <row r="22">
      <c r="A22" t="inlineStr">
        <is>
          <t>FY2026 revenue this model forecasts</t>
        </is>
      </c>
      <c r="B22" s="17">
        <f>DCF!B5</f>
        <v/>
      </c>
    </row>
    <row r="23">
      <c r="A23" t="inlineStr">
        <is>
          <t>The forecast against the run rate</t>
        </is>
      </c>
      <c r="B23" s="23">
        <f>B22/B21-1</f>
        <v/>
      </c>
    </row>
    <row r="24">
      <c r="A24" t="inlineStr">
        <is>
          <t>Q1-2026 gross margin</t>
        </is>
      </c>
      <c r="B24" s="23">
        <f>Assumptions!$B$134/Assumptions!$B$132</f>
        <v/>
      </c>
    </row>
    <row r="25">
      <c r="A25" t="inlineStr">
        <is>
          <t>FY2025 gross margin</t>
        </is>
      </c>
      <c r="B25" s="26">
        <f>'Income Statement'!D8</f>
        <v/>
      </c>
    </row>
    <row r="26">
      <c r="A26" t="inlineStr">
        <is>
          <t>Q1-2026 attributable profit annualised at four times</t>
        </is>
      </c>
      <c r="B26" s="24">
        <f>4*Assumptions!$B$135</f>
        <v/>
      </c>
    </row>
    <row r="27">
      <c r="A27" t="inlineStr">
        <is>
          <t>FY2026 profit this model forecasts</t>
        </is>
      </c>
      <c r="B27" s="17">
        <f>'Income Statement'!E20</f>
        <v/>
      </c>
    </row>
    <row r="28">
      <c r="A28" t="inlineStr">
        <is>
          <t>The forecast against the annualised first quarter</t>
        </is>
      </c>
      <c r="B28" s="23">
        <f>B27/B26-1</f>
        <v/>
      </c>
    </row>
    <row r="29">
      <c r="A29" t="inlineStr">
        <is>
          <t>Q1-2026 net cash, free of the declared dividend</t>
        </is>
      </c>
      <c r="B29" s="24">
        <f>Assumptions!$B$136-Assumptions!$B$137-Assumptions!$B$138</f>
        <v/>
      </c>
    </row>
    <row r="30">
      <c r="A30" t="inlineStr">
        <is>
          <t>Net cash at the valuation date in this model</t>
        </is>
      </c>
      <c r="B30" s="17">
        <f>DCF!B40</f>
        <v/>
      </c>
    </row>
    <row r="32">
      <c r="A32" s="5" t="inlineStr">
        <is>
          <t>The share count is now read directly from the audited capital and treasury notes, and the FY2025</t>
        </is>
      </c>
    </row>
    <row r="33">
      <c r="A33" s="5" t="inlineStr">
        <is>
          <t>dividend divides to the same count exactly. Revision 1 reached 374.87mn by triangulation and was</t>
        </is>
      </c>
    </row>
    <row r="34">
      <c r="A34" s="5" t="inlineStr">
        <is>
          <t>right; this is the confirmation rather than the estimate.</t>
        </is>
      </c>
    </row>
  </sheetData>
  <mergeCells count="3">
    <mergeCell ref="A34:J34"/>
    <mergeCell ref="A32:J32"/>
    <mergeCell ref="A33:J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Relative multiples and normalised earnings power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NORMALISED EARNINGS BASE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FY2025 revenue, audited (the cyclical peak)</t>
        </is>
      </c>
      <c r="B5" s="24">
        <f>Assumptions!$B$54</f>
        <v/>
      </c>
    </row>
    <row r="6">
      <c r="A6" t="inlineStr">
        <is>
          <t>Haircut to the revenue base</t>
        </is>
      </c>
      <c r="B6" s="23">
        <f>Assumptions!$B$146</f>
        <v/>
      </c>
    </row>
    <row r="7">
      <c r="A7" t="inlineStr">
        <is>
          <t>Normalised revenue</t>
        </is>
      </c>
      <c r="B7" s="24">
        <f>B5*B6</f>
        <v/>
      </c>
    </row>
    <row r="8">
      <c r="A8" t="inlineStr">
        <is>
          <t>Mid-cycle EBITDA margin</t>
        </is>
      </c>
      <c r="B8" s="23">
        <f>Assumptions!$B$145</f>
        <v/>
      </c>
    </row>
    <row r="9">
      <c r="A9" t="inlineStr">
        <is>
          <t>Normalised EBITDA</t>
        </is>
      </c>
      <c r="B9" s="25">
        <f>B7*B8</f>
        <v/>
      </c>
    </row>
    <row r="10">
      <c r="A10" t="inlineStr">
        <is>
          <t>Less audited depreciation</t>
        </is>
      </c>
      <c r="B10" s="24">
        <f>-Assumptions!$B$81</f>
        <v/>
      </c>
    </row>
    <row r="11">
      <c r="A11" t="inlineStr">
        <is>
          <t>Normalised EBIT</t>
        </is>
      </c>
      <c r="B11" s="24">
        <f>B9+B10</f>
        <v/>
      </c>
    </row>
    <row r="12">
      <c r="A12" t="inlineStr">
        <is>
          <t>Normalised NOPAT</t>
        </is>
      </c>
      <c r="B12" s="25">
        <f>B11*(1-Assumptions!$B$9)</f>
        <v/>
      </c>
    </row>
    <row r="13">
      <c r="A13" t="inlineStr">
        <is>
          <t>Memo: audited FY2023 EBITDA margin</t>
        </is>
      </c>
      <c r="B13" s="26">
        <f>'Income Statement'!B15</f>
        <v/>
      </c>
    </row>
    <row r="14">
      <c r="A14" t="inlineStr">
        <is>
          <t>Memo: audited FY2024 EBITDA margin</t>
        </is>
      </c>
      <c r="B14" s="26">
        <f>'Income Statement'!C15</f>
        <v/>
      </c>
    </row>
    <row r="15">
      <c r="A15" t="inlineStr">
        <is>
          <t>Memo: audited FY2025 EBITDA margin</t>
        </is>
      </c>
      <c r="B15" s="26">
        <f>'Income Statement'!D15</f>
        <v/>
      </c>
    </row>
    <row r="17">
      <c r="A17" s="6" t="inlineStr">
        <is>
          <t>RELATIVE LENS — EV/EBITDA ON NORMALISED EARNINGS</t>
        </is>
      </c>
      <c r="B17" s="6" t="n"/>
      <c r="C17" s="6" t="n"/>
      <c r="D17" s="6" t="n"/>
      <c r="E17" s="6" t="n"/>
      <c r="F17" s="6" t="n"/>
      <c r="G17" s="6" t="n"/>
    </row>
    <row r="18">
      <c r="A18" t="inlineStr">
        <is>
          <t>Justified EV/EBITDA</t>
        </is>
      </c>
      <c r="B18" s="40">
        <f>Assumptions!$B$143</f>
        <v/>
      </c>
    </row>
    <row r="19">
      <c r="A19" t="inlineStr">
        <is>
          <t>Implied enterprise value</t>
        </is>
      </c>
      <c r="B19" s="24">
        <f>B9*B18</f>
        <v/>
      </c>
    </row>
    <row r="20">
      <c r="A20" t="inlineStr">
        <is>
          <t>Plus net cash</t>
        </is>
      </c>
      <c r="B20" s="17">
        <f>DCF!B40</f>
        <v/>
      </c>
    </row>
    <row r="21">
      <c r="A21" t="inlineStr">
        <is>
          <t>Less non-controlling interests</t>
        </is>
      </c>
      <c r="B21" s="42">
        <f>DCF!B41</f>
        <v/>
      </c>
    </row>
    <row r="22">
      <c r="A22" t="inlineStr">
        <is>
          <t>Equity value</t>
        </is>
      </c>
      <c r="B22" s="24">
        <f>B19+B20+B21</f>
        <v/>
      </c>
    </row>
    <row r="23">
      <c r="A23" t="inlineStr">
        <is>
          <t>Value per share (EGP)</t>
        </is>
      </c>
      <c r="B23" s="33">
        <f>B22/DCF!$B$43</f>
        <v/>
      </c>
    </row>
    <row r="25">
      <c r="A25" s="6" t="inlineStr">
        <is>
          <t>NORMALISED-EARNINGS LENS</t>
        </is>
      </c>
      <c r="B25" s="6" t="n"/>
      <c r="C25" s="6" t="n"/>
      <c r="D25" s="6" t="n"/>
      <c r="E25" s="6" t="n"/>
      <c r="F25" s="6" t="n"/>
      <c r="G25" s="6" t="n"/>
    </row>
    <row r="26">
      <c r="A26" t="inlineStr">
        <is>
          <t>Justified price / earnings</t>
        </is>
      </c>
      <c r="B26" s="40">
        <f>Assumptions!$B$144</f>
        <v/>
      </c>
    </row>
    <row r="27">
      <c r="A27" t="inlineStr">
        <is>
          <t>Capitalised operating earnings</t>
        </is>
      </c>
      <c r="B27" s="24">
        <f>B12*B26</f>
        <v/>
      </c>
    </row>
    <row r="28">
      <c r="A28" t="inlineStr">
        <is>
          <t>Plus net cash, at FACE</t>
        </is>
      </c>
      <c r="B28" s="17">
        <f>DCF!B40</f>
        <v/>
      </c>
    </row>
    <row r="29">
      <c r="A29" t="inlineStr">
        <is>
          <t>Less non-controlling interests</t>
        </is>
      </c>
      <c r="B29" s="42">
        <f>DCF!B41</f>
        <v/>
      </c>
    </row>
    <row r="30">
      <c r="A30" t="inlineStr">
        <is>
          <t>Equity value</t>
        </is>
      </c>
      <c r="B30" s="24">
        <f>B27+B28+B29</f>
        <v/>
      </c>
    </row>
    <row r="31">
      <c r="A31" t="inlineStr">
        <is>
          <t>Value per share (EGP)</t>
        </is>
      </c>
      <c r="B31" s="33">
        <f>B30/DCF!$B$43</f>
        <v/>
      </c>
    </row>
    <row r="33">
      <c r="A33" s="5" t="inlineStr">
        <is>
          <t>Cash is added at FACE in both lenses rather than capitalised at the operating multiple.</t>
        </is>
      </c>
    </row>
  </sheetData>
  <mergeCells count="1">
    <mergeCell ref="A33:J3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6"/>
  <sheetViews>
    <sheetView workbookViewId="0">
      <selection activeCell="A1" sqref="A1"/>
    </sheetView>
  </sheetViews>
  <sheetFormatPr baseColWidth="8" defaultRowHeight="15"/>
  <cols>
    <col width="58" customWidth="1" min="1" max="1"/>
    <col width="22" customWidth="1" min="2" max="2"/>
    <col width="22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1" t="inlineStr">
        <is>
          <t>Asset lens, contested choices, and the terminal reconciliation</t>
        </is>
      </c>
      <c r="B1" s="2" t="n"/>
      <c r="C1" s="2" t="n"/>
      <c r="D1" s="2" t="n"/>
      <c r="E1" s="2" t="n"/>
      <c r="F1" s="2" t="n"/>
      <c r="G1" s="2" t="n"/>
    </row>
    <row r="4">
      <c r="A4" s="6" t="inlineStr">
        <is>
          <t>ASSET / REPLACEMENT-COST LENS</t>
        </is>
      </c>
      <c r="B4" s="6" t="n"/>
      <c r="C4" s="6" t="n"/>
      <c r="D4" s="6" t="n"/>
      <c r="E4" s="6" t="n"/>
      <c r="F4" s="6" t="n"/>
      <c r="G4" s="6" t="n"/>
    </row>
    <row r="5">
      <c r="A5" t="inlineStr">
        <is>
          <t>Cement capacity (Mt/yr, audited note 1)</t>
        </is>
      </c>
      <c r="B5" s="43">
        <f>Assumptions!$B$13</f>
        <v/>
      </c>
    </row>
    <row r="6">
      <c r="A6" t="inlineStr">
        <is>
          <t>Replacement cost per annual tonne (USD)</t>
        </is>
      </c>
      <c r="B6" s="24">
        <f>Assumptions!$B$141</f>
        <v/>
      </c>
    </row>
    <row r="7">
      <c r="A7" t="inlineStr">
        <is>
          <t>Justified enterprise value per annual tonne (USD)</t>
        </is>
      </c>
      <c r="B7" s="24">
        <f>Assumptions!$B$142</f>
        <v/>
      </c>
    </row>
    <row r="8">
      <c r="A8" t="inlineStr">
        <is>
          <t>Discount to replacement cost</t>
        </is>
      </c>
      <c r="B8" s="23">
        <f>B7/B6-1</f>
        <v/>
      </c>
    </row>
    <row r="9">
      <c r="A9" t="inlineStr">
        <is>
          <t>Implied enterprise value (EGP mn)</t>
        </is>
      </c>
      <c r="B9" s="24">
        <f>B7*B5*Assumptions!$B$11</f>
        <v/>
      </c>
    </row>
    <row r="10">
      <c r="A10" t="inlineStr">
        <is>
          <t>Plus net cash</t>
        </is>
      </c>
      <c r="B10" s="17">
        <f>DCF!B40</f>
        <v/>
      </c>
    </row>
    <row r="11">
      <c r="A11" t="inlineStr">
        <is>
          <t>Less non-controlling interests</t>
        </is>
      </c>
      <c r="B11" s="42">
        <f>DCF!B41</f>
        <v/>
      </c>
    </row>
    <row r="12">
      <c r="A12" t="inlineStr">
        <is>
          <t>Equity value</t>
        </is>
      </c>
      <c r="B12" s="24">
        <f>B9+B10+B11</f>
        <v/>
      </c>
    </row>
    <row r="13">
      <c r="A13" t="inlineStr">
        <is>
          <t>Value per share (EGP)</t>
        </is>
      </c>
      <c r="B13" s="33">
        <f>B12/DCF!$B$43</f>
        <v/>
      </c>
    </row>
    <row r="14">
      <c r="A14" t="inlineStr">
        <is>
          <t>Memo: what the MARKET is paying per annual tonne (USD)</t>
        </is>
      </c>
      <c r="B14" s="27">
        <f>(Assumptions!$B$5*DCF!$B$43-DCF!B40+Assumptions!$B$117)/Assumptions!$B$13/Assumptions!$B$11</f>
        <v/>
      </c>
    </row>
    <row r="15">
      <c r="A15" t="inlineStr">
        <is>
          <t>Memo: audited net book value of property and construction (EGP mn)</t>
        </is>
      </c>
      <c r="B15" s="24">
        <f>Assumptions!$B$105+Assumptions!$B$106</f>
        <v/>
      </c>
    </row>
    <row r="16">
      <c r="A16" t="inlineStr">
        <is>
          <t>Memo: that book value per annual tonne (USD)</t>
        </is>
      </c>
      <c r="B16" s="27">
        <f>B15/Assumptions!$B$13/Assumptions!$B$11</f>
        <v/>
      </c>
    </row>
    <row r="18">
      <c r="A18" s="6" t="inlineStr">
        <is>
          <t>CONTESTED CHOICES — EACH COMPUTED, NOT ARGUED</t>
        </is>
      </c>
      <c r="B18" s="6" t="n"/>
      <c r="C18" s="6" t="n"/>
      <c r="D18" s="6" t="n"/>
      <c r="E18" s="6" t="n"/>
      <c r="F18" s="6" t="n"/>
      <c r="G18" s="6" t="n"/>
    </row>
    <row r="19">
      <c r="A19" s="15" t="inlineStr">
        <is>
          <t>Choice</t>
        </is>
      </c>
      <c r="B19" s="15" t="inlineStr">
        <is>
          <t>Adopted</t>
        </is>
      </c>
      <c r="C19" s="15" t="inlineStr">
        <is>
          <t>Alternative</t>
        </is>
      </c>
      <c r="D19" s="15" t="inlineStr">
        <is>
          <t>Fair value adopted</t>
        </is>
      </c>
      <c r="E19" s="15" t="inlineStr">
        <is>
          <t>Fair value alternative</t>
        </is>
      </c>
      <c r="F19" s="15" t="inlineStr">
        <is>
          <t>Effect</t>
        </is>
      </c>
    </row>
    <row r="20">
      <c r="A20" s="44" t="inlineStr">
        <is>
          <t>Cost of debt: currency composition as contracted (adopted) vs the pound-equivalent under uncovered interest parity</t>
        </is>
      </c>
      <c r="B20" t="inlineStr">
        <is>
          <t>7.54%</t>
        </is>
      </c>
      <c r="C20" t="inlineStr">
        <is>
          <t>13.00%</t>
        </is>
      </c>
      <c r="D20" s="38">
        <f>DCF!$B$44</f>
        <v/>
      </c>
      <c r="E20" s="7" t="n">
        <v>36.25531474459756</v>
      </c>
      <c r="F20" s="23">
        <f>E20/D20-1</f>
        <v/>
      </c>
    </row>
    <row r="21">
      <c r="A21" s="44" t="inlineStr">
        <is>
          <t>Beta: contemporaneous regression (adopted) vs lead-lag sum-beta</t>
        </is>
      </c>
      <c r="B21" t="inlineStr">
        <is>
          <t>0.628</t>
        </is>
      </c>
      <c r="C21" t="inlineStr">
        <is>
          <t>0.919</t>
        </is>
      </c>
      <c r="D21" s="38">
        <f>DCF!$B$44</f>
        <v/>
      </c>
      <c r="E21" s="7" t="n">
        <v>32.66153709598022</v>
      </c>
      <c r="F21" s="23">
        <f>E21/D21-1</f>
        <v/>
      </c>
    </row>
    <row r="22">
      <c r="A22" s="44" t="inlineStr">
        <is>
          <t>Capex: economic maintenance in dollars per tonne (adopted) vs book depreciation</t>
        </is>
      </c>
      <c r="B22" t="inlineStr">
        <is>
          <t>USD 4.00/t</t>
        </is>
      </c>
      <c r="C22" t="inlineStr">
        <is>
          <t>book depreciation</t>
        </is>
      </c>
      <c r="D22" s="38">
        <f>DCF!$B$44</f>
        <v/>
      </c>
      <c r="E22" s="7" t="n">
        <v>41.70143691039763</v>
      </c>
      <c r="F22" s="23">
        <f>E22/D22-1</f>
        <v/>
      </c>
    </row>
    <row r="24">
      <c r="A24" s="5" t="inlineStr">
        <is>
          <t>Column E holds whole-model re-runs — class 3 pasted cells. The EFFECT column is a live formula.</t>
        </is>
      </c>
    </row>
    <row r="26">
      <c r="A26" s="6" t="inlineStr">
        <is>
          <t>TERMINAL RECONCILIATION — NOW BUILDABLE, BECAUSE CAPEX IS DISCLOSED</t>
        </is>
      </c>
      <c r="B26" s="6" t="n"/>
      <c r="C26" s="6" t="n"/>
      <c r="D26" s="6" t="n"/>
      <c r="E26" s="6" t="n"/>
      <c r="F26" s="6" t="n"/>
      <c r="G26" s="6" t="n"/>
    </row>
    <row r="27">
      <c r="A27" s="15" t="inlineStr"/>
      <c r="B27" s="15" t="inlineStr">
        <is>
          <t>FY2023</t>
        </is>
      </c>
      <c r="C27" s="15" t="inlineStr">
        <is>
          <t>FY2024</t>
        </is>
      </c>
      <c r="D27" s="15" t="inlineStr">
        <is>
          <t>FY2025</t>
        </is>
      </c>
    </row>
    <row r="28">
      <c r="A28" t="inlineStr">
        <is>
          <t>Capital expenditure (audited)</t>
        </is>
      </c>
      <c r="B28" s="17">
        <f>Assumptions!$B$82</f>
        <v/>
      </c>
      <c r="C28" s="17">
        <f>Assumptions!$B$83</f>
        <v/>
      </c>
      <c r="D28" s="17">
        <f>Assumptions!$B$84</f>
        <v/>
      </c>
    </row>
    <row r="29">
      <c r="A29" t="inlineStr">
        <is>
          <t>Capex / EBITDA</t>
        </is>
      </c>
      <c r="B29" s="23">
        <f>B28/'Income Statement'!B14</f>
        <v/>
      </c>
      <c r="C29" s="23">
        <f>C28/'Income Statement'!C14</f>
        <v/>
      </c>
      <c r="D29" s="23">
        <f>D28/'Income Statement'!D14</f>
        <v/>
      </c>
    </row>
    <row r="30">
      <c r="A30" t="inlineStr">
        <is>
          <t>Depreciation (audited)</t>
        </is>
      </c>
      <c r="B30" s="17">
        <f>Assumptions!$B$79</f>
        <v/>
      </c>
      <c r="C30" s="17">
        <f>Assumptions!$B$80</f>
        <v/>
      </c>
      <c r="D30" s="17">
        <f>Assumptions!$B$81</f>
        <v/>
      </c>
    </row>
    <row r="31">
      <c r="A31" t="inlineStr">
        <is>
          <t>Net reinvestment (capex less depreciation)</t>
        </is>
      </c>
      <c r="B31" s="24">
        <f>B28-B30</f>
        <v/>
      </c>
      <c r="C31" s="24">
        <f>C28-C30</f>
        <v/>
      </c>
      <c r="D31" s="24">
        <f>D28-D30</f>
        <v/>
      </c>
    </row>
    <row r="32">
      <c r="A32" t="inlineStr">
        <is>
          <t>NOPAT</t>
        </is>
      </c>
      <c r="B32" s="24">
        <f>'Income Statement'!B11*(1-'Income Statement'!B19)</f>
        <v/>
      </c>
      <c r="C32" s="24">
        <f>'Income Statement'!C11*(1-'Income Statement'!C19)</f>
        <v/>
      </c>
      <c r="D32" s="24">
        <f>'Income Statement'!D11*(1-'Income Statement'!D19)</f>
        <v/>
      </c>
    </row>
    <row r="33">
      <c r="A33" t="inlineStr">
        <is>
          <t>Reinvestment rate</t>
        </is>
      </c>
      <c r="B33" s="23">
        <f>B31/B32</f>
        <v/>
      </c>
      <c r="C33" s="23">
        <f>C31/C32</f>
        <v/>
      </c>
      <c r="D33" s="23">
        <f>D31/D32</f>
        <v/>
      </c>
    </row>
    <row r="34">
      <c r="A34" t="inlineStr">
        <is>
          <t>Return on BOOK invested capital</t>
        </is>
      </c>
      <c r="B34" s="23">
        <f>B32/(Assumptions!$B$116+Assumptions!$B$124)</f>
        <v/>
      </c>
      <c r="C34" s="23">
        <f>C32/(Assumptions!$B$115+Assumptions!$B$123)</f>
        <v/>
      </c>
      <c r="D34" s="23">
        <f>D32/(Assumptions!$B$114+DCF!$C$44)</f>
        <v/>
      </c>
    </row>
    <row r="35">
      <c r="A35" t="inlineStr">
        <is>
          <t>Implied growth (return x reinvestment)</t>
        </is>
      </c>
      <c r="B35" s="23">
        <f>B34*B33</f>
        <v/>
      </c>
      <c r="C35" s="23">
        <f>C34*C33</f>
        <v/>
      </c>
      <c r="D35" s="23">
        <f>D34*D33</f>
        <v/>
      </c>
    </row>
    <row r="36">
      <c r="A36" t="inlineStr">
        <is>
          <t>Character</t>
        </is>
      </c>
      <c r="B36" t="inlineStr">
        <is>
          <t>stable — self-funded</t>
        </is>
      </c>
      <c r="C36" t="inlineStr">
        <is>
          <t>stable — self-funded</t>
        </is>
      </c>
      <c r="D36" t="inlineStr">
        <is>
          <t>stable — self-funded</t>
        </is>
      </c>
    </row>
    <row r="38">
      <c r="A38" t="inlineStr">
        <is>
          <t>Terminal return on capital, REPLACEMENT-COST basis</t>
        </is>
      </c>
      <c r="B38" s="26">
        <f>DCF!B24</f>
        <v/>
      </c>
    </row>
    <row r="39">
      <c r="A39" t="inlineStr">
        <is>
          <t>Terminal return on capital, BOOK basis (FY2025)</t>
        </is>
      </c>
      <c r="B39" s="26">
        <f>DCF!B25</f>
        <v/>
      </c>
    </row>
    <row r="40">
      <c r="A40" t="inlineStr">
        <is>
          <t>Terminal rate</t>
        </is>
      </c>
      <c r="B40" s="26">
        <f>DCF!$C$50</f>
        <v/>
      </c>
    </row>
    <row r="41">
      <c r="A41" t="inlineStr">
        <is>
          <t>Terminal growth adopted</t>
        </is>
      </c>
      <c r="B41" s="23">
        <f>Assumptions!$B$49</f>
        <v/>
      </c>
    </row>
    <row r="43">
      <c r="A43" s="5" t="inlineStr">
        <is>
          <t>On the BOOK basis the return on capital is far above the terminal rate and growth would be free.</t>
        </is>
      </c>
    </row>
    <row r="44">
      <c r="A44" s="5" t="inlineStr">
        <is>
          <t>The book carries a plant built around 2010 at pre-devaluation historic cost. The terminal block is</t>
        </is>
      </c>
    </row>
    <row r="45">
      <c r="A45" s="5" t="inlineStr">
        <is>
          <t>struck on REPLACEMENT cost instead, where the return sits below the rate and growth must be paid</t>
        </is>
      </c>
    </row>
    <row r="46">
      <c r="A46" s="5" t="inlineStr">
        <is>
          <t>for. That single choice is the most consequential judgement in this model, and it is visible here.</t>
        </is>
      </c>
    </row>
  </sheetData>
  <mergeCells count="5">
    <mergeCell ref="A44:J44"/>
    <mergeCell ref="A45:J45"/>
    <mergeCell ref="A46:J46"/>
    <mergeCell ref="A43:J43"/>
    <mergeCell ref="A24:J2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Summary valuation table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Every value linked live from its own sheet.</t>
        </is>
      </c>
    </row>
    <row r="4">
      <c r="A4" s="15" t="inlineStr">
        <is>
          <t>Lens</t>
        </is>
      </c>
      <c r="B4" s="15" t="inlineStr">
        <is>
          <t>Value per share (EGP)</t>
        </is>
      </c>
      <c r="C4" s="15" t="inlineStr">
        <is>
          <t>Weight</t>
        </is>
      </c>
      <c r="D4" s="15" t="inlineStr">
        <is>
          <t>Weighted contribution</t>
        </is>
      </c>
      <c r="E4" s="15" t="inlineStr">
        <is>
          <t>Versus spot</t>
        </is>
      </c>
      <c r="F4" s="15" t="inlineStr">
        <is>
          <t>Terminal value % of EV</t>
        </is>
      </c>
    </row>
    <row r="5">
      <c r="A5" t="inlineStr">
        <is>
          <t>DCF (cash flow)</t>
        </is>
      </c>
      <c r="B5" s="45">
        <f>DCF!B44</f>
        <v/>
      </c>
      <c r="C5" s="26">
        <f>Assumptions!$B$147</f>
        <v/>
      </c>
      <c r="D5" s="35">
        <f>B5*C5</f>
        <v/>
      </c>
      <c r="E5" s="23">
        <f>B5/Assumptions!$B$5-1</f>
        <v/>
      </c>
      <c r="F5" s="37">
        <f>DCF!B34</f>
        <v/>
      </c>
    </row>
    <row r="6">
      <c r="A6" t="inlineStr">
        <is>
          <t>Relative multiples</t>
        </is>
      </c>
      <c r="B6" s="45">
        <f>'Relative &amp; Normalized'!B23</f>
        <v/>
      </c>
      <c r="C6" s="26">
        <f>Assumptions!$B$148</f>
        <v/>
      </c>
      <c r="D6" s="35">
        <f>B6*C6</f>
        <v/>
      </c>
      <c r="E6" s="23">
        <f>B6/Assumptions!$B$5-1</f>
        <v/>
      </c>
      <c r="F6" t="inlineStr">
        <is>
          <t>—</t>
        </is>
      </c>
    </row>
    <row r="7">
      <c r="A7" t="inlineStr">
        <is>
          <t>Normalised earnings</t>
        </is>
      </c>
      <c r="B7" s="45">
        <f>'Relative &amp; Normalized'!B31</f>
        <v/>
      </c>
      <c r="C7" s="26">
        <f>Assumptions!$B$149</f>
        <v/>
      </c>
      <c r="D7" s="35">
        <f>B7*C7</f>
        <v/>
      </c>
      <c r="E7" s="23">
        <f>B7/Assumptions!$B$5-1</f>
        <v/>
      </c>
      <c r="F7" t="inlineStr">
        <is>
          <t>—</t>
        </is>
      </c>
    </row>
    <row r="8">
      <c r="A8" t="inlineStr">
        <is>
          <t>Asset / replacement cost</t>
        </is>
      </c>
      <c r="B8" s="45">
        <f>'Fundamental Valuation'!B13</f>
        <v/>
      </c>
      <c r="C8" s="26">
        <f>Assumptions!$B$150</f>
        <v/>
      </c>
      <c r="D8" s="35">
        <f>B8*C8</f>
        <v/>
      </c>
      <c r="E8" s="23">
        <f>B8/Assumptions!$B$5-1</f>
        <v/>
      </c>
      <c r="F8" t="inlineStr">
        <is>
          <t>—</t>
        </is>
      </c>
    </row>
    <row r="9">
      <c r="A9" t="inlineStr">
        <is>
          <t>WEIGHTED CENTRAL FAIR VALUE</t>
        </is>
      </c>
      <c r="B9" s="33">
        <f>SUMPRODUCT(B5:B8,C5:C8)</f>
        <v/>
      </c>
      <c r="C9" s="22">
        <f>SUM(C5:C8)</f>
        <v/>
      </c>
      <c r="D9" s="33">
        <f>SUM(D5:D8)</f>
        <v/>
      </c>
      <c r="E9" s="22">
        <f>B9/Assumptions!$B$5-1</f>
        <v/>
      </c>
    </row>
    <row r="10">
      <c r="A10" t="inlineStr">
        <is>
          <t>Lowest lens</t>
        </is>
      </c>
      <c r="B10" s="35">
        <f>MIN(B5:B8)</f>
        <v/>
      </c>
      <c r="E10" s="23">
        <f>B10/Assumptions!$B$5-1</f>
        <v/>
      </c>
    </row>
    <row r="11">
      <c r="A11" t="inlineStr">
        <is>
          <t>Highest lens</t>
        </is>
      </c>
      <c r="B11" s="35">
        <f>MAX(B5:B8)</f>
        <v/>
      </c>
      <c r="E11" s="23">
        <f>B11/Assumptions!$B$5-1</f>
        <v/>
      </c>
    </row>
    <row r="12">
      <c r="A12" t="inlineStr">
        <is>
          <t>Market price, 6 August 2026</t>
        </is>
      </c>
      <c r="B12" s="38">
        <f>Assumptions!$B$5</f>
        <v/>
      </c>
    </row>
    <row r="13">
      <c r="A13" t="inlineStr">
        <is>
          <t>Market capitalisation (EGP mn)</t>
        </is>
      </c>
      <c r="B13" s="17">
        <f>DCF!C45</f>
        <v/>
      </c>
    </row>
    <row r="15">
      <c r="A15" s="6" t="inlineStr">
        <is>
          <t>THE THREE-PANEL VALUATIONS</t>
        </is>
      </c>
      <c r="B15" s="6" t="n"/>
      <c r="C15" s="6" t="n"/>
      <c r="D15" s="6" t="n"/>
      <c r="E15" s="6" t="n"/>
      <c r="F15" s="6" t="n"/>
      <c r="G15" s="6" t="n"/>
    </row>
    <row r="16">
      <c r="A16" s="15" t="inlineStr"/>
      <c r="B16" s="15" t="inlineStr">
        <is>
          <t>Low (EGP)</t>
        </is>
      </c>
      <c r="C16" s="15" t="inlineStr">
        <is>
          <t>Central (EGP)</t>
        </is>
      </c>
      <c r="D16" s="15" t="inlineStr">
        <is>
          <t>High (EGP)</t>
        </is>
      </c>
      <c r="E16" s="15" t="inlineStr">
        <is>
          <t>Versus spot</t>
        </is>
      </c>
    </row>
    <row r="17">
      <c r="A17" t="inlineStr">
        <is>
          <t>Expert 1 — Replacement-cost industrialist</t>
        </is>
      </c>
      <c r="B17" s="7" t="n">
        <v>58.34234480539681</v>
      </c>
      <c r="C17" s="7" t="n">
        <v>68.40590207161927</v>
      </c>
      <c r="D17" s="7" t="n">
        <v>78.46945933784173</v>
      </c>
      <c r="E17" s="23">
        <f>C17/Assumptions!$B$5-1</f>
        <v/>
      </c>
    </row>
    <row r="18">
      <c r="A18" t="inlineStr">
        <is>
          <t>Expert 2 — Mid-cycle earnings-power analyst</t>
        </is>
      </c>
      <c r="B18" s="7" t="n">
        <v>45.64838429697266</v>
      </c>
      <c r="C18" s="7" t="n">
        <v>52.47810844887751</v>
      </c>
      <c r="D18" s="7" t="n">
        <v>59.30783260078233</v>
      </c>
      <c r="E18" s="23">
        <f>C18/Assumptions!$B$5-1</f>
        <v/>
      </c>
    </row>
    <row r="19">
      <c r="A19" t="inlineStr">
        <is>
          <t>Expert 3 — Cash-return and distribution investor</t>
        </is>
      </c>
      <c r="B19" s="7" t="n">
        <v>32.89299564012248</v>
      </c>
      <c r="C19" s="7" t="n">
        <v>36.92484653363374</v>
      </c>
      <c r="D19" s="7" t="n">
        <v>42.30064772498208</v>
      </c>
      <c r="E19" s="23">
        <f>C19/Assumptions!$B$5-1</f>
        <v/>
      </c>
    </row>
    <row r="20">
      <c r="A20" t="inlineStr">
        <is>
          <t>Panel median</t>
        </is>
      </c>
      <c r="C20" s="33">
        <f>MEDIAN(C17:C19)</f>
        <v/>
      </c>
      <c r="E20" s="23">
        <f>C20/Assumptions!$B$5-1</f>
        <v/>
      </c>
    </row>
    <row r="22">
      <c r="A22" s="5" t="inlineStr">
        <is>
          <t>Terminal value as a percentage of enterprise value is shown beside the cash-flow lens and links</t>
        </is>
      </c>
    </row>
    <row r="23">
      <c r="A23" s="5" t="inlineStr">
        <is>
          <t>live to the DCF sheet — it is never typed.</t>
        </is>
      </c>
    </row>
  </sheetData>
  <mergeCells count="2">
    <mergeCell ref="A22:J22"/>
    <mergeCell ref="A23:J2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Probabilistic price map — ILLUSTRATIVE ONLY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Percentiles are the output of a 50,000-path simulation: pasted, class 2.</t>
        </is>
      </c>
    </row>
    <row r="3">
      <c r="A3" s="5" t="inlineStr">
        <is>
          <t>This map is NOT a valuation. It does not redraw when a valuation driver changes.</t>
        </is>
      </c>
    </row>
    <row r="6">
      <c r="A6" s="15" t="inlineStr"/>
      <c r="B6" s="15" t="inlineStr">
        <is>
          <t>One month</t>
        </is>
      </c>
      <c r="C6" s="15" t="inlineStr">
        <is>
          <t>Three months</t>
        </is>
      </c>
    </row>
    <row r="7">
      <c r="A7" t="inlineStr">
        <is>
          <t>5th percentile</t>
        </is>
      </c>
      <c r="B7" s="7" t="n">
        <v>50.44411079643812</v>
      </c>
      <c r="C7" s="7" t="n">
        <v>43.92251500574132</v>
      </c>
    </row>
    <row r="8">
      <c r="A8" t="inlineStr">
        <is>
          <t>25th percentile</t>
        </is>
      </c>
      <c r="B8" s="7" t="n">
        <v>55.93407825036965</v>
      </c>
      <c r="C8" s="7" t="n">
        <v>53.71118201283569</v>
      </c>
    </row>
    <row r="9">
      <c r="A9" t="inlineStr">
        <is>
          <t>Median</t>
        </is>
      </c>
      <c r="B9" s="7" t="n">
        <v>59.44846516132147</v>
      </c>
      <c r="C9" s="7" t="n">
        <v>60.45648238700502</v>
      </c>
    </row>
    <row r="10">
      <c r="A10" t="inlineStr">
        <is>
          <t>75th percentile</t>
        </is>
      </c>
      <c r="B10" s="7" t="n">
        <v>63.21157019864793</v>
      </c>
      <c r="C10" s="7" t="n">
        <v>67.96866271949057</v>
      </c>
    </row>
    <row r="11">
      <c r="A11" t="inlineStr">
        <is>
          <t>95th percentile</t>
        </is>
      </c>
      <c r="B11" s="7" t="n">
        <v>70.08572445904177</v>
      </c>
      <c r="C11" s="7" t="n">
        <v>83.16839780094888</v>
      </c>
    </row>
    <row r="12">
      <c r="A12" t="inlineStr">
        <is>
          <t>Spot</t>
        </is>
      </c>
      <c r="B12" s="38">
        <f>Assumptions!$B$5</f>
        <v/>
      </c>
      <c r="C12" s="38">
        <f>Assumptions!$B$5</f>
        <v/>
      </c>
    </row>
    <row r="14">
      <c r="A14" t="inlineStr">
        <is>
          <t>Probability of finishing above spot</t>
        </is>
      </c>
      <c r="B14" s="9" t="n">
        <v>0.53378</v>
      </c>
      <c r="C14" s="9" t="n">
        <v>0.55584</v>
      </c>
    </row>
    <row r="15">
      <c r="A15" t="inlineStr">
        <is>
          <t>Probability of finishing 10% or more above</t>
        </is>
      </c>
      <c r="B15" s="9" t="n">
        <v>0.16972</v>
      </c>
      <c r="C15" s="9" t="n">
        <v>0.33954</v>
      </c>
    </row>
    <row r="16">
      <c r="A16" t="inlineStr">
        <is>
          <t>Probability of finishing 10% or more below</t>
        </is>
      </c>
      <c r="B16" s="9" t="n">
        <v>0.11564</v>
      </c>
      <c r="C16" s="9" t="n">
        <v>0.2301</v>
      </c>
    </row>
    <row r="17">
      <c r="A17" t="inlineStr">
        <is>
          <t>Probability of TOUCHING +10% at any point</t>
        </is>
      </c>
      <c r="B17" s="9" t="n">
        <v>0.2777</v>
      </c>
      <c r="C17" s="9" t="n">
        <v>0.57952</v>
      </c>
    </row>
    <row r="18">
      <c r="A18" t="inlineStr">
        <is>
          <t>Probability of TOUCHING -10% at any point</t>
        </is>
      </c>
      <c r="B18" s="9" t="n">
        <v>0.19752</v>
      </c>
      <c r="C18" s="9" t="n">
        <v>0.45536</v>
      </c>
    </row>
    <row r="20">
      <c r="A20" t="inlineStr">
        <is>
          <t>Median versus spot</t>
        </is>
      </c>
      <c r="B20" s="23">
        <f>B9/B12-1</f>
        <v/>
      </c>
      <c r="C20" s="23">
        <f>C9/C12-1</f>
        <v/>
      </c>
    </row>
    <row r="21">
      <c r="A21" t="inlineStr">
        <is>
          <t>Width of the 5th-95th band, as % of spot</t>
        </is>
      </c>
      <c r="B21" s="23">
        <f>(B11-B7)/B12</f>
        <v/>
      </c>
      <c r="C21" s="23">
        <f>(C11-C7)/C12</f>
        <v/>
      </c>
    </row>
    <row r="23">
      <c r="A23" s="6" t="inlineStr">
        <is>
          <t>HOW WELL CALIBRATED IS THIS MAP? — MEASURED, NOT ASSERTED</t>
        </is>
      </c>
      <c r="B23" s="6" t="n"/>
      <c r="C23" s="6" t="n"/>
      <c r="D23" s="6" t="n"/>
      <c r="E23" s="6" t="n"/>
      <c r="F23" s="6" t="n"/>
      <c r="G23" s="6" t="n"/>
    </row>
    <row r="24">
      <c r="A24" t="inlineStr">
        <is>
          <t>Windows scored</t>
        </is>
      </c>
      <c r="B24" s="14" t="n">
        <v>16</v>
      </c>
    </row>
    <row r="25">
      <c r="A25" t="inlineStr">
        <is>
          <t>Skill against a random walk</t>
        </is>
      </c>
      <c r="B25" s="9" t="n">
        <v>-0.01779056992603278</v>
      </c>
    </row>
    <row r="26">
      <c r="A26" t="inlineStr">
        <is>
          <t>Coverage of the 50% band (nominal 50%)</t>
        </is>
      </c>
      <c r="B26" s="9" t="n">
        <v>0.5625</v>
      </c>
    </row>
    <row r="27">
      <c r="A27" t="inlineStr">
        <is>
          <t>Coverage of the 80% band (nominal 80%)</t>
        </is>
      </c>
      <c r="B27" s="9" t="n">
        <v>1</v>
      </c>
    </row>
    <row r="28">
      <c r="A28" t="inlineStr">
        <is>
          <t>Coverage of the 90% band (nominal 90%)</t>
        </is>
      </c>
      <c r="B28" s="9" t="n">
        <v>1</v>
      </c>
    </row>
    <row r="29">
      <c r="A29" t="inlineStr">
        <is>
          <t>Cone width against the benchmark</t>
        </is>
      </c>
      <c r="B29" s="16" t="n">
        <v>1.234292255993717</v>
      </c>
    </row>
    <row r="31">
      <c r="A31" s="5" t="inlineStr">
        <is>
          <t>The bands cover MORE than their nominal share, so the map is too wide rather than mis-centred.</t>
        </is>
      </c>
    </row>
  </sheetData>
  <mergeCells count="2">
    <mergeCell ref="A31:J31"/>
    <mergeCell ref="A3:J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Sensitivity — whole-model re-runs (class 3, pasted)</t>
        </is>
      </c>
      <c r="B1" s="2" t="n"/>
      <c r="C1" s="2" t="n"/>
      <c r="D1" s="2" t="n"/>
      <c r="E1" s="2" t="n"/>
      <c r="F1" s="2" t="n"/>
      <c r="G1" s="2" t="n"/>
    </row>
    <row r="2">
      <c r="A2" s="5" t="inlineStr">
        <is>
          <t>Each cell is a complete revaluation. THESE GRIDS DO NOT REDRAW.</t>
        </is>
      </c>
    </row>
    <row r="4">
      <c r="A4" s="46" t="inlineStr">
        <is>
          <t>Fair value per share (EGP): explicit-window cost of capital against terminal growth</t>
        </is>
      </c>
    </row>
    <row r="5">
      <c r="A5" s="15" t="inlineStr"/>
      <c r="B5" s="15" t="inlineStr">
        <is>
          <t>g = 3%</t>
        </is>
      </c>
      <c r="C5" s="15" t="inlineStr">
        <is>
          <t>g = 4%</t>
        </is>
      </c>
      <c r="D5" s="15" t="inlineStr">
        <is>
          <t>g = 5%</t>
        </is>
      </c>
      <c r="E5" s="15" t="inlineStr">
        <is>
          <t>g = 6%</t>
        </is>
      </c>
      <c r="F5" s="15" t="inlineStr">
        <is>
          <t>g = 7%</t>
        </is>
      </c>
    </row>
    <row r="6">
      <c r="A6" s="10" t="n">
        <v>0.2089372422775459</v>
      </c>
      <c r="B6" s="7" t="n">
        <v>41.76342837826929</v>
      </c>
      <c r="C6" s="7" t="n">
        <v>39.89173337926264</v>
      </c>
      <c r="D6" s="7" t="n">
        <v>37.67177438102595</v>
      </c>
      <c r="E6" s="7" t="n">
        <v>34.99637909021594</v>
      </c>
      <c r="F6" s="7" t="n">
        <v>31.70937496143734</v>
      </c>
    </row>
    <row r="7">
      <c r="A7" s="10" t="n">
        <v>0.2239372422775459</v>
      </c>
      <c r="B7" s="7" t="n">
        <v>40.98429516066264</v>
      </c>
      <c r="C7" s="7" t="n">
        <v>39.16027531261984</v>
      </c>
      <c r="D7" s="7" t="n">
        <v>36.99686232237625</v>
      </c>
      <c r="E7" s="7" t="n">
        <v>34.38961375122143</v>
      </c>
      <c r="F7" s="7" t="n">
        <v>31.18633502542862</v>
      </c>
    </row>
    <row r="8">
      <c r="A8" s="10" t="n">
        <v>0.2389372422775459</v>
      </c>
      <c r="B8" s="7" t="n">
        <v>40.23046167443645</v>
      </c>
      <c r="C8" s="7" t="n">
        <v>38.45249399426929</v>
      </c>
      <c r="D8" s="7" t="n">
        <v>36.34370204245242</v>
      </c>
      <c r="E8" s="7" t="n">
        <v>33.80228030373102</v>
      </c>
      <c r="F8" s="7" t="n">
        <v>30.67987675579933</v>
      </c>
    </row>
    <row r="9">
      <c r="A9" s="10" t="n">
        <v>0.2539372422775459</v>
      </c>
      <c r="B9" s="7" t="n">
        <v>39.50085951822804</v>
      </c>
      <c r="C9" s="7" t="n">
        <v>37.76739102745903</v>
      </c>
      <c r="D9" s="7" t="n">
        <v>35.71137817478549</v>
      </c>
      <c r="E9" s="7" t="n">
        <v>33.23356344565906</v>
      </c>
      <c r="F9" s="7" t="n">
        <v>30.18930779006914</v>
      </c>
    </row>
    <row r="10">
      <c r="A10" s="10" t="n">
        <v>0.2689372422775459</v>
      </c>
      <c r="B10" s="7" t="n">
        <v>38.79447584600187</v>
      </c>
      <c r="C10" s="7" t="n">
        <v>37.10401988952282</v>
      </c>
      <c r="D10" s="7" t="n">
        <v>35.09902286078677</v>
      </c>
      <c r="E10" s="7" t="n">
        <v>32.6826901208446</v>
      </c>
      <c r="F10" s="7" t="n">
        <v>29.71397154681731</v>
      </c>
    </row>
    <row r="12">
      <c r="A12" s="46" t="inlineStr">
        <is>
          <t>Fair value per share (EGP): explicit-window rate against TERMINAL rate</t>
        </is>
      </c>
    </row>
    <row r="13">
      <c r="A13" s="15" t="inlineStr"/>
      <c r="B13" s="15" t="inlineStr">
        <is>
          <t>terminal 13.7%</t>
        </is>
      </c>
      <c r="C13" s="15" t="inlineStr">
        <is>
          <t>terminal 14.7%</t>
        </is>
      </c>
      <c r="D13" s="15" t="inlineStr">
        <is>
          <t>terminal 15.7%</t>
        </is>
      </c>
      <c r="E13" s="15" t="inlineStr">
        <is>
          <t>terminal 16.7%</t>
        </is>
      </c>
      <c r="F13" s="15" t="inlineStr">
        <is>
          <t>terminal 17.7%</t>
        </is>
      </c>
    </row>
    <row r="14">
      <c r="A14" s="10" t="n">
        <v>0.2089372422775459</v>
      </c>
      <c r="B14" s="7" t="n">
        <v>41.90480800166688</v>
      </c>
      <c r="C14" s="7" t="n">
        <v>39.57602658912257</v>
      </c>
      <c r="D14" s="7" t="n">
        <v>37.67177438102595</v>
      </c>
      <c r="E14" s="7" t="n">
        <v>36.08383305553142</v>
      </c>
      <c r="F14" s="7" t="n">
        <v>34.73793336462717</v>
      </c>
    </row>
    <row r="15">
      <c r="A15" s="10" t="n">
        <v>0.2239372422775459</v>
      </c>
      <c r="B15" s="7" t="n">
        <v>41.11924005323293</v>
      </c>
      <c r="C15" s="7" t="n">
        <v>38.85133672264659</v>
      </c>
      <c r="D15" s="7" t="n">
        <v>36.99686232237625</v>
      </c>
      <c r="E15" s="7" t="n">
        <v>35.45042732963532</v>
      </c>
      <c r="F15" s="7" t="n">
        <v>34.13970391702797</v>
      </c>
    </row>
    <row r="16">
      <c r="A16" s="10" t="n">
        <v>0.2389372422775459</v>
      </c>
      <c r="B16" s="7" t="n">
        <v>40.35926703770503</v>
      </c>
      <c r="C16" s="7" t="n">
        <v>38.1501273709972</v>
      </c>
      <c r="D16" s="7" t="n">
        <v>36.34370204245242</v>
      </c>
      <c r="E16" s="7" t="n">
        <v>34.83733206214591</v>
      </c>
      <c r="F16" s="7" t="n">
        <v>33.56056358137754</v>
      </c>
    </row>
    <row r="17">
      <c r="A17" s="10" t="n">
        <v>0.2539372422775459</v>
      </c>
      <c r="B17" s="7" t="n">
        <v>39.62380526879407</v>
      </c>
      <c r="C17" s="7" t="n">
        <v>37.47140745795001</v>
      </c>
      <c r="D17" s="7" t="n">
        <v>35.71137817478549</v>
      </c>
      <c r="E17" s="7" t="n">
        <v>34.24369500131927</v>
      </c>
      <c r="F17" s="7" t="n">
        <v>32.99971358046732</v>
      </c>
    </row>
    <row r="18">
      <c r="A18" s="10" t="n">
        <v>0.2689372422775459</v>
      </c>
      <c r="B18" s="7" t="n">
        <v>38.9118275222316</v>
      </c>
      <c r="C18" s="7" t="n">
        <v>36.8142374424753</v>
      </c>
      <c r="D18" s="7" t="n">
        <v>35.09902286078677</v>
      </c>
      <c r="E18" s="7" t="n">
        <v>33.6687080463679</v>
      </c>
      <c r="F18" s="7" t="n">
        <v>32.45639644425723</v>
      </c>
    </row>
    <row r="20">
      <c r="A20" s="46" t="inlineStr">
        <is>
          <t>Fair value per share (EGP): beta</t>
        </is>
      </c>
    </row>
    <row r="21">
      <c r="A21" s="15" t="inlineStr"/>
      <c r="B21" s="15" t="inlineStr">
        <is>
          <t>0.60</t>
        </is>
      </c>
      <c r="C21" s="15" t="inlineStr">
        <is>
          <t>0.80</t>
        </is>
      </c>
      <c r="D21" s="15" t="inlineStr">
        <is>
          <t>1.00</t>
        </is>
      </c>
      <c r="E21" s="15" t="inlineStr">
        <is>
          <t>1.15</t>
        </is>
      </c>
      <c r="F21" s="15" t="inlineStr">
        <is>
          <t>1.30</t>
        </is>
      </c>
    </row>
    <row r="22">
      <c r="A22" t="inlineStr">
        <is>
          <t>Fair value</t>
        </is>
      </c>
      <c r="B22" s="7" t="n">
        <v>36.7666901891904</v>
      </c>
      <c r="C22" s="7" t="n">
        <v>34.0301794456266</v>
      </c>
      <c r="D22" s="7" t="n">
        <v>31.81696973523281</v>
      </c>
      <c r="E22" s="7" t="n">
        <v>30.41291717923679</v>
      </c>
      <c r="F22" s="7" t="n">
        <v>29.18082945093426</v>
      </c>
    </row>
    <row r="24">
      <c r="A24" s="46" t="inlineStr">
        <is>
          <t>Fair value per share (EGP): margin shift</t>
        </is>
      </c>
    </row>
    <row r="25">
      <c r="A25" s="15" t="inlineStr"/>
      <c r="B25" s="15" t="inlineStr">
        <is>
          <t>-4%</t>
        </is>
      </c>
      <c r="C25" s="15" t="inlineStr">
        <is>
          <t>-2%</t>
        </is>
      </c>
      <c r="D25" s="15" t="inlineStr">
        <is>
          <t>+0%</t>
        </is>
      </c>
      <c r="E25" s="15" t="inlineStr">
        <is>
          <t>+2%</t>
        </is>
      </c>
      <c r="F25" s="15" t="inlineStr">
        <is>
          <t>+4%</t>
        </is>
      </c>
    </row>
    <row r="26">
      <c r="A26" t="inlineStr">
        <is>
          <t>Fair value</t>
        </is>
      </c>
      <c r="B26" s="7" t="n">
        <v>26.26605136147024</v>
      </c>
      <c r="C26" s="7" t="n">
        <v>31.30487670196132</v>
      </c>
      <c r="D26" s="7" t="n">
        <v>36.34370204245242</v>
      </c>
      <c r="E26" s="7" t="n">
        <v>41.38252738294353</v>
      </c>
      <c r="F26" s="7" t="n">
        <v>46.42135272343462</v>
      </c>
    </row>
    <row r="28">
      <c r="A28" s="46" t="inlineStr">
        <is>
          <t>Fair value per share (EGP): net cash (EGP mn)</t>
        </is>
      </c>
    </row>
    <row r="29">
      <c r="A29" s="15" t="inlineStr"/>
      <c r="B29" s="15" t="inlineStr">
        <is>
          <t>251</t>
        </is>
      </c>
      <c r="C29" s="15" t="inlineStr">
        <is>
          <t>1,001</t>
        </is>
      </c>
      <c r="D29" s="15" t="inlineStr">
        <is>
          <t>1,751</t>
        </is>
      </c>
      <c r="E29" s="15" t="inlineStr">
        <is>
          <t>2,501</t>
        </is>
      </c>
      <c r="F29" s="15" t="inlineStr">
        <is>
          <t>3,251</t>
        </is>
      </c>
    </row>
    <row r="30">
      <c r="A30" t="inlineStr">
        <is>
          <t>Fair value</t>
        </is>
      </c>
      <c r="B30" s="7" t="n">
        <v>32.34228762248325</v>
      </c>
      <c r="C30" s="7" t="n">
        <v>34.34299483246784</v>
      </c>
      <c r="D30" s="7" t="n">
        <v>36.34370204245242</v>
      </c>
      <c r="E30" s="7" t="n">
        <v>38.344409252437</v>
      </c>
      <c r="F30" s="7" t="n">
        <v>40.34511646242159</v>
      </c>
    </row>
    <row r="32">
      <c r="A32" s="5" t="inlineStr">
        <is>
          <t>Note the growth column of the first grid: HIGHER terminal growth gives a LOWER value, because the</t>
        </is>
      </c>
    </row>
    <row r="33">
      <c r="A33" s="5" t="inlineStr">
        <is>
          <t>terminal return on capital sits below the terminal rate. That is the model being consistent.</t>
        </is>
      </c>
    </row>
  </sheetData>
  <mergeCells count="2">
    <mergeCell ref="A32:J32"/>
    <mergeCell ref="A33:J3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Peer set and the Egyptian cement balance</t>
        </is>
      </c>
      <c r="B1" s="2" t="n"/>
      <c r="C1" s="2" t="n"/>
      <c r="D1" s="2" t="n"/>
      <c r="E1" s="2" t="n"/>
      <c r="F1" s="2" t="n"/>
      <c r="G1" s="2" t="n"/>
      <c r="H1" s="2" t="n"/>
    </row>
    <row r="4">
      <c r="A4" s="15" t="inlineStr"/>
      <c r="B4" s="15" t="inlineStr">
        <is>
          <t>Revenue (EGP mn)</t>
        </is>
      </c>
      <c r="C4" s="15" t="inlineStr">
        <is>
          <t>Profit (EGP mn)</t>
        </is>
      </c>
      <c r="D4" s="15" t="inlineStr">
        <is>
          <t>Market cap (EGP mn)</t>
        </is>
      </c>
      <c r="E4" s="15" t="inlineStr">
        <is>
          <t>Price / earnings</t>
        </is>
      </c>
      <c r="F4" s="15" t="inlineStr">
        <is>
          <t>Price / sales</t>
        </is>
      </c>
      <c r="G4" s="15" t="inlineStr">
        <is>
          <t>Net margin</t>
        </is>
      </c>
    </row>
    <row r="5">
      <c r="A5" t="inlineStr">
        <is>
          <t>Arabian Cement (ARCC)</t>
        </is>
      </c>
      <c r="B5" s="17">
        <f>Assumptions!$B$54</f>
        <v/>
      </c>
      <c r="C5" s="17">
        <f>Assumptions!$B$75</f>
        <v/>
      </c>
      <c r="D5" s="17">
        <f>DCF!C45</f>
        <v/>
      </c>
      <c r="E5" s="40">
        <f>D5/C5</f>
        <v/>
      </c>
      <c r="F5" s="40">
        <f>D5/B5</f>
        <v/>
      </c>
      <c r="G5" s="23">
        <f>C5/B5</f>
        <v/>
      </c>
    </row>
    <row r="6">
      <c r="A6" t="inlineStr">
        <is>
          <t>Sinai Cement (SCEM)</t>
        </is>
      </c>
      <c r="B6" s="17">
        <f>Assumptions!$B$157</f>
        <v/>
      </c>
      <c r="C6" s="17">
        <f>Assumptions!$B$158</f>
        <v/>
      </c>
      <c r="D6" s="17">
        <f>Assumptions!$B$159</f>
        <v/>
      </c>
      <c r="E6" s="40">
        <f>D6/C6</f>
        <v/>
      </c>
      <c r="F6" s="40">
        <f>D6/B6</f>
        <v/>
      </c>
      <c r="G6" s="23">
        <f>C6/B6</f>
        <v/>
      </c>
    </row>
    <row r="7">
      <c r="A7" t="inlineStr">
        <is>
          <t>Misr Beni Suef Cement (MBSC)</t>
        </is>
      </c>
      <c r="B7" s="17">
        <f>Assumptions!$B$160</f>
        <v/>
      </c>
      <c r="C7" s="17">
        <f>Assumptions!$B$161</f>
        <v/>
      </c>
      <c r="D7" s="17">
        <f>Assumptions!$B$162</f>
        <v/>
      </c>
      <c r="E7" s="40">
        <f>D7/C7</f>
        <v/>
      </c>
      <c r="F7" s="40">
        <f>D7/B7</f>
        <v/>
      </c>
      <c r="G7" s="23">
        <f>C7/B7</f>
        <v/>
      </c>
    </row>
    <row r="9">
      <c r="A9" t="inlineStr">
        <is>
          <t>Peer average price / earnings (excluding the subject)</t>
        </is>
      </c>
      <c r="E9" s="47">
        <f>AVERAGE(E6:E7)</f>
        <v/>
      </c>
    </row>
    <row r="10">
      <c r="A10" t="inlineStr">
        <is>
          <t>Subject premium / (discount) to the peer average</t>
        </is>
      </c>
      <c r="E10" s="23">
        <f>E5/E9-1</f>
        <v/>
      </c>
    </row>
    <row r="12">
      <c r="A12" s="6" t="inlineStr">
        <is>
          <t>THE EGYPTIAN CEMENT BALANCE</t>
        </is>
      </c>
      <c r="B12" s="6" t="n"/>
      <c r="C12" s="6" t="n"/>
      <c r="D12" s="6" t="n"/>
      <c r="E12" s="6" t="n"/>
      <c r="F12" s="6" t="n"/>
      <c r="G12" s="6" t="n"/>
      <c r="H12" s="6" t="n"/>
    </row>
    <row r="13">
      <c r="A13" t="inlineStr">
        <is>
          <t>Nameplate capacity (Mt)</t>
        </is>
      </c>
      <c r="B13" s="18">
        <f>Assumptions!$B$152</f>
        <v/>
      </c>
    </row>
    <row r="14">
      <c r="A14" t="inlineStr">
        <is>
          <t>Production 2025 (Mt)</t>
        </is>
      </c>
      <c r="B14" s="18">
        <f>Assumptions!$B$153</f>
        <v/>
      </c>
    </row>
    <row r="15">
      <c r="A15" t="inlineStr">
        <is>
          <t>Domestic consumption 2025 (Mt)</t>
        </is>
      </c>
      <c r="B15" s="18">
        <f>Assumptions!$B$154</f>
        <v/>
      </c>
    </row>
    <row r="16">
      <c r="A16" t="inlineStr">
        <is>
          <t>Exports 2025 (Mt)</t>
        </is>
      </c>
      <c r="B16" s="18">
        <f>Assumptions!$B$155</f>
        <v/>
      </c>
    </row>
    <row r="17">
      <c r="A17" t="inlineStr">
        <is>
          <t>Dormant capacity under revival (Mt)</t>
        </is>
      </c>
      <c r="B17" s="18">
        <f>Assumptions!$B$156</f>
        <v/>
      </c>
    </row>
    <row r="18">
      <c r="A18" t="inlineStr">
        <is>
          <t>Sector utilisation</t>
        </is>
      </c>
      <c r="B18" s="23">
        <f>B14/B13</f>
        <v/>
      </c>
    </row>
    <row r="19">
      <c r="A19" t="inlineStr">
        <is>
          <t>The subject as a share of national capacity</t>
        </is>
      </c>
      <c r="B19" s="23">
        <f>Assumptions!$B$13/B13</f>
        <v/>
      </c>
    </row>
    <row r="20">
      <c r="A20" t="inlineStr">
        <is>
          <t>Revival capacity as a share of consumption</t>
        </is>
      </c>
      <c r="B20" s="23">
        <f>B17/B15</f>
        <v/>
      </c>
    </row>
    <row r="21">
      <c r="A21" t="inlineStr">
        <is>
          <t>The subject's own volume as a share of national production</t>
        </is>
      </c>
      <c r="B21" s="23">
        <f>'Unit Build'!B12/B14</f>
        <v/>
      </c>
    </row>
    <row r="23">
      <c r="A23" s="5" t="inlineStr">
        <is>
          <t>Every multiple here is RECOMPUTED from revenue, profit and market capitalisation rather than</t>
        </is>
      </c>
    </row>
    <row r="24">
      <c r="A24" s="5" t="inlineStr">
        <is>
          <t>quoted, because the published multiples for this peer set do not reconcile.</t>
        </is>
      </c>
    </row>
  </sheetData>
  <mergeCells count="2">
    <mergeCell ref="A23:J23"/>
    <mergeCell ref="A24:J2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2026-08-06T20:42:16Z</dcterms:created>
  <dcterms:modified xmlns:dcterms="http://purl.org/dc/terms/" xmlns:xsi="http://www.w3.org/2001/XMLSchema-instance" xsi:type="dcterms:W3CDTF">2026-08-06T20:42:16Z</dcterms:modified>
</cp:coreProperties>
</file>