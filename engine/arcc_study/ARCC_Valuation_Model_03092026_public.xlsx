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3</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read of the three</t>
        </is>
      </c>
      <c r="B10" s="13">
        <f>MIN(B5:B7)</f>
        <v/>
      </c>
      <c r="D10" s="8">
        <f>B10/Assumptions!$B$5-1</f>
        <v/>
      </c>
    </row>
    <row r="11">
      <c r="A11" t="inlineStr">
        <is>
          <t>Highest read of the three</t>
        </is>
      </c>
      <c r="B11" s="13">
        <f>MAX(B5:B7)</f>
        <v/>
      </c>
      <c r="D11" s="8">
        <f>B11/Assumptions!$B$5-1</f>
        <v/>
      </c>
    </row>
    <row r="12">
      <c r="A12" t="inlineStr">
        <is>
          <t>Market price, 6 August 2026</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53.2963666782254</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58.4935722565935</v>
      </c>
      <c r="F21" s="8">
        <f>E21/D21-1</f>
        <v/>
      </c>
    </row>
    <row r="22">
      <c r="A22" s="20" t="inlineStr">
        <is>
          <t>Capex: economic maintenance in dollars per tonne (adopted) vs book depreciation</t>
        </is>
      </c>
      <c r="B22" t="inlineStr">
        <is>
          <t>USD 3.23/t</t>
        </is>
      </c>
      <c r="C22" t="inlineStr">
        <is>
          <t>book depreciation</t>
        </is>
      </c>
      <c r="D22" s="10">
        <f>DCF!$B$44</f>
        <v/>
      </c>
      <c r="E22" s="21" t="n">
        <v>57.30340608467932</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row>
    <row r="23">
      <c r="A23" t="inlineStr">
        <is>
          <t>Terminal NOPAT  (year 5 NOPAT grown at g)</t>
        </is>
      </c>
      <c r="B23" s="17">
        <f>F11*(1+Assumptions!$B$50)</f>
        <v/>
      </c>
    </row>
    <row r="24">
      <c r="A24" t="inlineStr">
        <is>
          <t>Terminal return on invested capital</t>
        </is>
      </c>
      <c r="B24" s="8">
        <f>B23/B22</f>
        <v/>
      </c>
    </row>
    <row r="25">
      <c r="A25" t="inlineStr">
        <is>
          <t>Memo: FY2025 return on BOOK invested capital</t>
        </is>
      </c>
      <c r="B25" s="8">
        <f>('Income Statement'!D12*(1-Assumptions!$B$9))/(Assumptions!$B$115+$C$44)</f>
        <v/>
      </c>
    </row>
    <row r="26">
      <c r="A26" t="inlineStr">
        <is>
          <t>Reinvestment rate  (g ÷ return on capital)</t>
        </is>
      </c>
      <c r="B26" s="8">
        <f>Assumptions!$B$50/B24</f>
        <v/>
      </c>
    </row>
    <row r="27">
      <c r="A27" t="inlineStr">
        <is>
          <t>Terminal value</t>
        </is>
      </c>
      <c r="B27" s="17">
        <f>B23*(1-B26)/($C$50-Assumptions!$B$50)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62.86971736384806</v>
      </c>
      <c r="C6" s="21" t="n">
        <v>61.29060570012334</v>
      </c>
      <c r="D6" s="21" t="n">
        <v>59.47478296732191</v>
      </c>
      <c r="E6" s="21" t="n">
        <v>57.36471170682506</v>
      </c>
      <c r="F6" s="21" t="n">
        <v>54.88256282218861</v>
      </c>
    </row>
    <row r="7">
      <c r="A7" s="25" t="n">
        <v>0.2609972623102014</v>
      </c>
      <c r="B7" s="21" t="n">
        <v>61.86997282707471</v>
      </c>
      <c r="C7" s="21" t="n">
        <v>60.32096979860799</v>
      </c>
      <c r="D7" s="21" t="n">
        <v>58.53976902802177</v>
      </c>
      <c r="E7" s="21" t="n">
        <v>56.46993011296958</v>
      </c>
      <c r="F7" s="21" t="n">
        <v>54.03510791025205</v>
      </c>
    </row>
    <row r="8">
      <c r="A8" s="25" t="n">
        <v>0.2759972623102014</v>
      </c>
      <c r="B8" s="21" t="n">
        <v>60.89571715830598</v>
      </c>
      <c r="C8" s="21" t="n">
        <v>59.37602600957806</v>
      </c>
      <c r="D8" s="21" t="n">
        <v>57.62853101091002</v>
      </c>
      <c r="E8" s="21" t="n">
        <v>55.59785978516619</v>
      </c>
      <c r="F8" s="21" t="n">
        <v>53.20911187299544</v>
      </c>
    </row>
    <row r="9">
      <c r="A9" s="25" t="n">
        <v>0.2909972623102015</v>
      </c>
      <c r="B9" s="21" t="n">
        <v>59.94608311455585</v>
      </c>
      <c r="C9" s="21" t="n">
        <v>58.45493461822667</v>
      </c>
      <c r="D9" s="21" t="n">
        <v>56.74026085587189</v>
      </c>
      <c r="E9" s="21" t="n">
        <v>54.74772944753839</v>
      </c>
      <c r="F9" s="21" t="n">
        <v>52.40384670509796</v>
      </c>
    </row>
    <row r="10">
      <c r="A10" s="25" t="n">
        <v>0.3059972623102014</v>
      </c>
      <c r="B10" s="21" t="n">
        <v>59.02024065970825</v>
      </c>
      <c r="C10" s="21" t="n">
        <v>57.55689192742971</v>
      </c>
      <c r="D10" s="21" t="n">
        <v>55.87418515302726</v>
      </c>
      <c r="E10" s="21" t="n">
        <v>53.91880088540543</v>
      </c>
      <c r="F10" s="21" t="n">
        <v>51.61861559319387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61.49512891564134</v>
      </c>
      <c r="C14" s="21" t="n">
        <v>57.88197696506428</v>
      </c>
      <c r="D14" s="21" t="n">
        <v>54.88256282218861</v>
      </c>
      <c r="E14" s="21" t="n">
        <v>52.34823093580606</v>
      </c>
      <c r="F14" s="21" t="n">
        <v>50.1748783429416</v>
      </c>
    </row>
    <row r="15">
      <c r="A15" s="25" t="n">
        <v>0.2609972623102014</v>
      </c>
      <c r="B15" s="21" t="n">
        <v>60.51693132849143</v>
      </c>
      <c r="C15" s="21" t="n">
        <v>56.97521819035377</v>
      </c>
      <c r="D15" s="21" t="n">
        <v>54.03510791025205</v>
      </c>
      <c r="E15" s="21" t="n">
        <v>51.55088186294823</v>
      </c>
      <c r="F15" s="21" t="n">
        <v>49.4204939245313</v>
      </c>
    </row>
    <row r="16">
      <c r="A16" s="25" t="n">
        <v>0.2759972623102014</v>
      </c>
      <c r="B16" s="21" t="n">
        <v>59.56375335680958</v>
      </c>
      <c r="C16" s="21" t="n">
        <v>56.09153336582487</v>
      </c>
      <c r="D16" s="21" t="n">
        <v>53.20911187299544</v>
      </c>
      <c r="E16" s="21" t="n">
        <v>50.77362721991356</v>
      </c>
      <c r="F16" s="21" t="n">
        <v>48.68503412025174</v>
      </c>
    </row>
    <row r="17">
      <c r="A17" s="25" t="n">
        <v>0.2909972623102015</v>
      </c>
      <c r="B17" s="21" t="n">
        <v>58.63474121712406</v>
      </c>
      <c r="C17" s="21" t="n">
        <v>55.23013743895292</v>
      </c>
      <c r="D17" s="21" t="n">
        <v>52.40384670509796</v>
      </c>
      <c r="E17" s="21" t="n">
        <v>50.0157871893765</v>
      </c>
      <c r="F17" s="21" t="n">
        <v>47.96786041989935</v>
      </c>
    </row>
    <row r="18">
      <c r="A18" s="25" t="n">
        <v>0.3059972623102014</v>
      </c>
      <c r="B18" s="21" t="n">
        <v>57.72907784191836</v>
      </c>
      <c r="C18" s="21" t="n">
        <v>54.39027905443611</v>
      </c>
      <c r="D18" s="21" t="n">
        <v>51.61861559319387</v>
      </c>
      <c r="E18" s="21" t="n">
        <v>49.27671103007915</v>
      </c>
      <c r="F18" s="21" t="n">
        <v>47.26836157591728</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61.49658167104933</v>
      </c>
      <c r="C22" s="21" t="n">
        <v>55.7432166110252</v>
      </c>
      <c r="D22" s="21" t="n">
        <v>51.19928075275041</v>
      </c>
      <c r="E22" s="21" t="n">
        <v>48.36349350706409</v>
      </c>
      <c r="F22" s="21" t="n">
        <v>45.90301212914643</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43.36227727470228</v>
      </c>
      <c r="C26" s="21" t="n">
        <v>48.28569457384885</v>
      </c>
      <c r="D26" s="21" t="n">
        <v>53.20911187299544</v>
      </c>
      <c r="E26" s="21" t="n">
        <v>58.13252917214201</v>
      </c>
      <c r="F26" s="21" t="n">
        <v>63.05594647128859</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49.20769745302626</v>
      </c>
      <c r="C30" s="21" t="n">
        <v>51.20840466301085</v>
      </c>
      <c r="D30" s="21" t="n">
        <v>53.20911187299544</v>
      </c>
      <c r="E30" s="21" t="n">
        <v>55.20981908298002</v>
      </c>
      <c r="F30" s="21" t="n">
        <v>57.21052629296461</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2026-09-03T11:59:24Z</dcterms:created>
  <dcterms:modified xmlns:dcterms="http://purl.org/dc/terms/" xmlns:xsi="http://www.w3.org/2001/XMLSchema-instance" xsi:type="dcterms:W3CDTF">2026-09-03T11:59:24Z</dcterms:modified>
</cp:coreProperties>
</file>