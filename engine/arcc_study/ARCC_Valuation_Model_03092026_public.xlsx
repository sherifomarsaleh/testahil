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c r="C22" t="inlineStr">
        <is>
          <t>Capital maintenance at the DISCLOSED 20-year useful life  (replacement cost / life)</t>
        </is>
      </c>
      <c r="D22" s="17">
        <f>B22/20.0</f>
        <v/>
      </c>
    </row>
    <row r="23">
      <c r="A23" t="inlineStr">
        <is>
          <t>Terminal NOPAT  (year 5 NOPAT grown at g)</t>
        </is>
      </c>
      <c r="B23" s="17">
        <f>F11*(1+Assumptions!$B$50)</f>
        <v/>
      </c>
      <c r="C23" t="inlineStr">
        <is>
          <t>Book depreciation already inside terminal NOPAT, added back</t>
        </is>
      </c>
      <c r="D23" s="17">
        <f>F8</f>
        <v/>
      </c>
    </row>
    <row r="24">
      <c r="A24" t="inlineStr">
        <is>
          <t>Memo: return on invested capital at replacement cost</t>
        </is>
      </c>
      <c r="B24" s="8">
        <f>B23/B22</f>
        <v/>
      </c>
      <c r="C24" t="inlineStr">
        <is>
          <t>Inflation on working capital  (terminal inflation x working-capital level)</t>
        </is>
      </c>
      <c r="D24" s="17">
        <f>Assumptions!$B$50*F5*0.12000000</f>
        <v/>
      </c>
    </row>
    <row r="25">
      <c r="A25" t="inlineStr">
        <is>
          <t>Memo: FY2025 return on BOOK invested capital</t>
        </is>
      </c>
      <c r="B25" s="8">
        <f>('Income Statement'!D12*(1-Assumptions!$B$9))/(Assumptions!$B$115+$C$44)</f>
        <v/>
      </c>
      <c r="C25" t="inlineStr">
        <is>
          <t>Growth capital  (REAL growth x replacement cost; real growth derives from the nominal rate and the house inflation path)</t>
        </is>
      </c>
      <c r="D25" s="17">
        <f>((1+Assumptions!$B$50)/(1+0.07000000)-1)*B22</f>
        <v/>
      </c>
    </row>
    <row r="26">
      <c r="A26" t="inlineStr">
        <is>
          <t>Memo: reinvestment rate the RETIRED construction charged  (g / return)</t>
        </is>
      </c>
      <c r="B26" s="8">
        <f>Assumptions!$B$50/B24</f>
        <v/>
      </c>
      <c r="C26" t="inlineStr">
        <is>
          <t>Terminal free cash flow  (NOPAT + depreciation - maintenance - working capital - growth capital)</t>
        </is>
      </c>
      <c r="D26" s="17">
        <f>F11+D23-D22-D24-D25</f>
        <v/>
      </c>
    </row>
    <row r="27">
      <c r="A27" t="inlineStr">
        <is>
          <t>Terminal value</t>
        </is>
      </c>
      <c r="B27" s="17">
        <f>D26*(1+Assumptions!$B$50)/($C$50-Assumptions!$B$50)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2026-09-03T18:38:11Z</dcterms:created>
  <dcterms:modified xmlns:dcterms="http://purl.org/dc/terms/" xmlns:xsi="http://www.w3.org/2001/XMLSchema-instance" xsi:type="dcterms:W3CDTF">2026-09-03T18:38:11Z</dcterms:modified>
</cp:coreProperties>
</file>