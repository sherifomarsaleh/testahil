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1">
    <numFmt numFmtId="164" formatCode="#,##0.000"/>
    <numFmt numFmtId="165" formatCode="#,##0.000000"/>
    <numFmt numFmtId="166" formatCode="0.0%"/>
    <numFmt numFmtId="167" formatCode="0.000"/>
    <numFmt numFmtId="168" formatCode="0.0&quot;x&quot;"/>
    <numFmt numFmtId="169" formatCode="0.00&quot;x&quot;"/>
    <numFmt numFmtId="170" formatCode="#,##0.0"/>
    <numFmt numFmtId="171" formatCode="0.0000"/>
    <numFmt numFmtId="172" formatCode="+0.0000;-0.0000"/>
    <numFmt numFmtId="173" formatCode="+0&quot;bp&quot;;-0&quot;bp&quot;"/>
    <numFmt numFmtId="174" formatCode="+0.0%;-0.0%"/>
  </numFmts>
  <fonts count="6">
    <font>
      <name val="Calibri"/>
      <family val="2"/>
      <color theme="1"/>
      <sz val="11"/>
      <scheme val="minor"/>
    </font>
    <font>
      <name val="Calibri"/>
      <b val="1"/>
      <color rgb="00FFFFFF"/>
      <sz val="10.5"/>
    </font>
    <font>
      <name val="Calibri"/>
      <b val="1"/>
      <color rgb="001C3A36"/>
      <sz val="10"/>
    </font>
    <font>
      <name val="Calibri"/>
      <color rgb="001C3A36"/>
      <sz val="10"/>
    </font>
    <font>
      <name val="Calibri"/>
      <i val="1"/>
      <color rgb="006E7B77"/>
      <sz val="8.800000000000001"/>
    </font>
    <font>
      <name val="Calibri"/>
      <color rgb="000B4F9E"/>
      <sz val="1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6">
    <border>
      <left/>
      <right/>
      <top/>
      <bottom/>
      <diagonal/>
    </border>
    <border>
      <left style="thin">
        <color rgb="00C9D4D1"/>
      </left>
      <right style="thin">
        <color rgb="00C9D4D1"/>
      </right>
      <top style="thin">
        <color rgb="00C9D4D1"/>
      </top>
      <bottom style="thin">
        <color rgb="00C9D4D1"/>
      </bottom>
    </border>
    <border>
      <left/>
      <right/>
      <top style="thin">
        <color rgb="00C9D4D1"/>
      </top>
      <bottom/>
      <diagonal/>
    </border>
    <border>
      <left/>
      <right style="thin">
        <color rgb="00C9D4D1"/>
      </right>
      <top style="thin">
        <color rgb="00C9D4D1"/>
      </top>
      <bottom/>
      <diagonal/>
    </border>
    <border>
      <left/>
      <right/>
      <top style="thin">
        <color rgb="00C9D4D1"/>
      </top>
      <bottom style="thin">
        <color rgb="00C9D4D1"/>
      </bottom>
      <diagonal/>
    </border>
    <border>
      <left/>
      <right style="thin">
        <color rgb="00C9D4D1"/>
      </right>
      <top style="thin">
        <color rgb="00C9D4D1"/>
      </top>
      <bottom style="thin">
        <color rgb="00C9D4D1"/>
      </bottom>
      <diagonal/>
    </border>
  </borders>
  <cellStyleXfs count="1">
    <xf numFmtId="0" fontId="0" fillId="0" borderId="0"/>
  </cellStyleXfs>
  <cellXfs count="53">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0" borderId="1" applyAlignment="1" pivotButton="0" quotePrefix="0" xfId="0">
      <alignment vertical="center" wrapText="1"/>
    </xf>
    <xf numFmtId="4" fontId="3" fillId="0" borderId="1" pivotButton="0" quotePrefix="0" xfId="0"/>
    <xf numFmtId="166" fontId="3" fillId="0" borderId="1" pivotButton="0" quotePrefix="0" xfId="0"/>
    <xf numFmtId="0" fontId="4" fillId="0" borderId="1" applyAlignment="1" pivotButton="0" quotePrefix="0" xfId="0">
      <alignment vertical="center" wrapText="1"/>
    </xf>
    <xf numFmtId="0" fontId="2" fillId="4" borderId="1" applyAlignment="1" pivotButton="0" quotePrefix="0" xfId="0">
      <alignment vertical="center" wrapText="1"/>
    </xf>
    <xf numFmtId="4" fontId="2" fillId="4" borderId="1" pivotButton="0" quotePrefix="0" xfId="0"/>
    <xf numFmtId="166" fontId="2" fillId="4" borderId="1" pivotButton="0" quotePrefix="0" xfId="0"/>
    <xf numFmtId="0" fontId="2" fillId="0" borderId="1" applyAlignment="1" pivotButton="0" quotePrefix="0" xfId="0">
      <alignment vertical="center" wrapText="1"/>
    </xf>
    <xf numFmtId="4" fontId="2" fillId="0" borderId="1" pivotButton="0" quotePrefix="0" xfId="0"/>
    <xf numFmtId="3" fontId="3" fillId="0" borderId="1" pivotButton="0" quotePrefix="0" xfId="0"/>
    <xf numFmtId="168" fontId="3" fillId="0" borderId="1" pivotButton="0" quotePrefix="0" xfId="0"/>
    <xf numFmtId="10" fontId="3" fillId="0" borderId="1" pivotButton="0" quotePrefix="0" xfId="0"/>
    <xf numFmtId="4" fontId="5" fillId="0" borderId="1" pivotButton="0" quotePrefix="0" xfId="0"/>
    <xf numFmtId="166" fontId="5" fillId="0" borderId="1" pivotButton="0" quotePrefix="0" xfId="0"/>
    <xf numFmtId="164" fontId="5" fillId="0" borderId="1" pivotButton="0" quotePrefix="0" xfId="0"/>
    <xf numFmtId="3" fontId="5" fillId="0" borderId="1" pivotButton="0" quotePrefix="0" xfId="0"/>
    <xf numFmtId="165" fontId="5" fillId="0" borderId="1" pivotButton="0" quotePrefix="0" xfId="0"/>
    <xf numFmtId="10" fontId="5" fillId="0" borderId="1" pivotButton="0" quotePrefix="0" xfId="0"/>
    <xf numFmtId="167" fontId="5" fillId="0" borderId="1" pivotButton="0" quotePrefix="0" xfId="0"/>
    <xf numFmtId="168" fontId="5" fillId="0" borderId="1" pivotButton="0" quotePrefix="0" xfId="0"/>
    <xf numFmtId="169" fontId="5" fillId="0" borderId="1" pivotButton="0" quotePrefix="0" xfId="0"/>
    <xf numFmtId="170" fontId="5" fillId="0" borderId="1" pivotButton="0" quotePrefix="0" xfId="0"/>
    <xf numFmtId="171" fontId="5" fillId="0" borderId="1" pivotButton="0" quotePrefix="0" xfId="0"/>
    <xf numFmtId="10" fontId="2" fillId="0" borderId="1" pivotButton="0" quotePrefix="0" xfId="0"/>
    <xf numFmtId="3" fontId="2" fillId="0" borderId="1" pivotButton="0" quotePrefix="0" xfId="0"/>
    <xf numFmtId="166" fontId="2" fillId="0" borderId="1" pivotButton="0" quotePrefix="0" xfId="0"/>
    <xf numFmtId="167" fontId="3" fillId="0" borderId="1" pivotButton="0" quotePrefix="0" xfId="0"/>
    <xf numFmtId="171" fontId="3" fillId="0" borderId="1" pivotButton="0" quotePrefix="0" xfId="0"/>
    <xf numFmtId="3" fontId="2" fillId="4" borderId="1" pivotButton="0" quotePrefix="0" xfId="0"/>
    <xf numFmtId="164" fontId="3" fillId="0" borderId="1" pivotButton="0" quotePrefix="0" xfId="0"/>
    <xf numFmtId="3" fontId="3" fillId="3" borderId="1" pivotButton="0" quotePrefix="0" xfId="0"/>
    <xf numFmtId="170" fontId="3" fillId="0" borderId="1" pivotButton="0" quotePrefix="0" xfId="0"/>
    <xf numFmtId="170" fontId="3" fillId="3" borderId="1" pivotButton="0" quotePrefix="0" xfId="0"/>
    <xf numFmtId="171" fontId="2" fillId="4" borderId="1" pivotButton="0" quotePrefix="0" xfId="0"/>
    <xf numFmtId="10" fontId="2" fillId="4" borderId="1" pivotButton="0" quotePrefix="0" xfId="0"/>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169" fontId="3" fillId="0" borderId="1" pivotButton="0" quotePrefix="0" xfId="0"/>
    <xf numFmtId="169" fontId="2" fillId="0" borderId="1" pivotButton="0" quotePrefix="0" xfId="0"/>
    <xf numFmtId="169" fontId="2" fillId="4" borderId="1" pivotButton="0" quotePrefix="0" xfId="0"/>
    <xf numFmtId="3" fontId="5" fillId="3" borderId="1" pivotButton="0" quotePrefix="0" xfId="0"/>
    <xf numFmtId="3" fontId="2" fillId="3" borderId="1" pivotButton="0" quotePrefix="0" xfId="0"/>
    <xf numFmtId="0" fontId="0" fillId="0" borderId="4" pivotButton="0" quotePrefix="0" xfId="0"/>
    <xf numFmtId="0" fontId="0" fillId="0" borderId="5" pivotButton="0" quotePrefix="0" xfId="0"/>
    <xf numFmtId="49" fontId="5" fillId="0" borderId="1" pivotButton="0" quotePrefix="0" xfId="0"/>
    <xf numFmtId="172" fontId="5" fillId="0" borderId="1" pivotButton="0" quotePrefix="0" xfId="0"/>
    <xf numFmtId="173" fontId="5" fillId="0" borderId="1" pivotButton="0" quotePrefix="0" xfId="0"/>
    <xf numFmtId="2" fontId="5" fillId="0" borderId="1" pivotButton="0" quotePrefix="0" xfId="0"/>
    <xf numFmtId="174"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6" customWidth="1" min="1" max="1"/>
    <col width="96" customWidth="1" min="2" max="2"/>
  </cols>
  <sheetData>
    <row r="1" ht="30" customHeight="1">
      <c r="A1" s="1" t="inlineStr">
        <is>
          <t>READ FIRST</t>
        </is>
      </c>
      <c r="B1" s="2" t="inlineStr">
        <is>
          <t>Egyptian International Pharmaceutical Industries Company (EIPICO)</t>
        </is>
      </c>
    </row>
    <row r="2" ht="46" customHeight="1">
      <c r="A2" s="3" t="inlineStr">
        <is>
          <t>What this workbook is</t>
        </is>
      </c>
      <c r="B2" s="4" t="inlineStr">
        <is>
          <t>An educational valuation model of a listed Egyptian pharmaceutical manufacturer, built from the company's own audited financial statements. It is not investment advice, it contains no rating and no price target, and it expresses value as a range.</t>
        </is>
      </c>
    </row>
    <row r="3" ht="46" customHeight="1">
      <c r="A3" s="3" t="inlineStr">
        <is>
          <t>THE WORKBOOK CALCULATES</t>
        </is>
      </c>
      <c r="B3" s="4" t="inlineStr">
        <is>
          <t>Every figure that can be derived from a driver is a live formula. Change a driver on the Assumptions sheet and the cost of capital, the glide, the discount factors, the cash-flow waterfall, the terminal block, the three statements, the bridge and every ratio all move. This claim is tested, not asserted: a driver test perturbs each input in place, re-evaluates the whole workbook and checks the headline moves in the right direction.</t>
        </is>
      </c>
    </row>
    <row r="4" ht="46" customHeight="1">
      <c r="A4" s="3" t="inlineStr">
        <is>
          <t>Pasted cell class 1 of 4 — audited and disclosed history</t>
        </is>
      </c>
      <c r="B4" s="4" t="inlineStr">
        <is>
          <t>The FY2023, FY2024 and FY2025 columns of the Income Statement, Balance Sheet and Cash Flow sheets, and the disclosed operating statistics on Segments. Where a line is both disclosed and derivable, the DISCLOSED figure is carried. Blue type marks a pasted cell.</t>
        </is>
      </c>
    </row>
    <row r="5" ht="46" customHeight="1">
      <c r="A5" s="3" t="inlineStr">
        <is>
          <t>Pasted cell class 2 of 4 — the unit build's output</t>
        </is>
      </c>
      <c r="B5" s="4" t="inlineStr">
        <is>
          <t>The FY2024 and FY2025 pack volumes and realised prices per pack on the Segments sheet. These come from reconciling the board's disclosed pack counts against the revenue note's channel split; flattened into a grid the reconciliation would be unreadable. Everything downstream of them — every forecast year — is a formula.</t>
        </is>
      </c>
    </row>
    <row r="6" ht="46" customHeight="1">
      <c r="A6" s="3" t="inlineStr">
        <is>
          <t>Pasted cell class 3 of 4 — whole-model re-runs</t>
        </is>
      </c>
      <c r="B6" s="4" t="inlineStr">
        <is>
          <t>The Monte Carlo percentile map and touch ladder, and the Sensitivity grids. Each of those cells is a COMPLETE revaluation of the model at a different input, or a full 50,000-path simulation. THEY DO NOT REDRAW WHEN A DRIVER CHANGES. Everything else on those two sheets is a formula.</t>
        </is>
      </c>
    </row>
    <row r="7" ht="46" customHeight="1">
      <c r="A7" s="3" t="inlineStr">
        <is>
          <t>Pasted cell class 4 of 4 — the measured-error multipliers</t>
        </is>
      </c>
      <c r="B7" s="4" t="inlineStr">
        <is>
          <t>The factors behind the far-year ranges at the foot of the Income Statement sheet. They are a measurement of how far this method's own projections have landed from what the company later reported, so they are an observation and not something the model can derive. The ranges they produce ARE formulas and move with the projection above them.</t>
        </is>
      </c>
    </row>
    <row r="8" ht="46" customHeight="1">
      <c r="A8" s="3" t="inlineStr">
        <is>
          <t>Blue means input, black means formula</t>
        </is>
      </c>
      <c r="B8" s="4" t="inlineStr">
        <is>
          <t>Blue type is a pasted number. Black type is calculated in the sheet.</t>
        </is>
      </c>
    </row>
    <row r="9" ht="46" customHeight="1">
      <c r="A9" s="3" t="inlineStr">
        <is>
          <t>The contested judgement is carried both ways</t>
        </is>
      </c>
      <c r="B9" s="4" t="inlineStr">
        <is>
          <t>The credit-loss and provision charge is the study's single most consequential contested judgement. Frame A treats it as a permanent cost of doing business; Frame B treats it as normalising. Both run all the way through to a value per share and both are published. They are never averaged into one number.</t>
        </is>
      </c>
    </row>
    <row r="10" ht="46" customHeight="1">
      <c r="A10" s="3" t="inlineStr">
        <is>
          <t>Currency and units</t>
        </is>
      </c>
      <c r="B10" s="4" t="inlineStr">
        <is>
          <t>Egyptian pounds. Money in millions unless a row says otherwise; per-share figures in pounds; packs and units in millions.</t>
        </is>
      </c>
    </row>
    <row r="11" ht="46" customHeight="1">
      <c r="A11" s="3" t="inlineStr">
        <is>
          <t>Basis and date</t>
        </is>
      </c>
      <c r="B11" s="4" t="inlineStr">
        <is>
          <t>Audited CONSOLIDATED financial statements. Share price 127.30 at 2026-09-03; 168.755750 million shares in issue. Fiscal year ends 31 December.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6" customWidth="1" min="1" max="1"/>
    <col width="18" customWidth="1" min="2" max="2"/>
    <col width="18" customWidth="1" min="3" max="3"/>
    <col width="44" customWidth="1" min="4" max="4"/>
  </cols>
  <sheetData>
    <row r="1" ht="30" customHeight="1">
      <c r="A1" s="1" t="inlineStr">
        <is>
          <t>SUMMARY VALUATION TABLE</t>
        </is>
      </c>
      <c r="B1" s="2" t="inlineStr">
        <is>
          <t>EGP / share</t>
        </is>
      </c>
      <c r="C1" s="2" t="inlineStr">
        <is>
          <t>Against the market price</t>
        </is>
      </c>
      <c r="D1" s="2" t="inlineStr">
        <is>
          <t>Note</t>
        </is>
      </c>
    </row>
    <row r="2">
      <c r="A2" s="4" t="inlineStr">
        <is>
          <t>Discounted cash flow — Frame A</t>
        </is>
      </c>
      <c r="B2" s="5">
        <f>'Fundamental Valuation'!B2</f>
        <v/>
      </c>
      <c r="C2" s="6">
        <f>B2/Assumptions!$C$3-1</f>
        <v/>
      </c>
      <c r="D2" s="7" t="inlineStr">
        <is>
          <t>Terminal value 79% of core enterprise value, 61% of total</t>
        </is>
      </c>
    </row>
    <row r="3">
      <c r="A3" s="4" t="inlineStr">
        <is>
          <t>Discounted cash flow — Frame B</t>
        </is>
      </c>
      <c r="B3" s="5">
        <f>'Fundamental Valuation'!B3</f>
        <v/>
      </c>
      <c r="C3" s="6">
        <f>B3/Assumptions!$C$3-1</f>
        <v/>
      </c>
      <c r="D3" s="7" t="inlineStr">
        <is>
          <t>Terminal value 79% of core enterprise value, 64% of total</t>
        </is>
      </c>
    </row>
    <row r="4">
      <c r="A4" s="4" t="inlineStr">
        <is>
          <t>Book value and sustainable return</t>
        </is>
      </c>
      <c r="B4" s="5">
        <f>'Fundamental Valuation'!B4</f>
        <v/>
      </c>
      <c r="C4" s="6">
        <f>B4/Assumptions!$C$3-1</f>
        <v/>
      </c>
      <c r="D4" s="7" t="inlineStr">
        <is>
          <t>Justified 1.16 times book</t>
        </is>
      </c>
    </row>
    <row r="5">
      <c r="A5" s="4" t="inlineStr">
        <is>
          <t>Relative multiples</t>
        </is>
      </c>
      <c r="B5" s="5">
        <f>'Fundamental Valuation'!B5</f>
        <v/>
      </c>
      <c r="C5" s="6">
        <f>B5/Assumptions!$C$3-1</f>
        <v/>
      </c>
      <c r="D5" s="7" t="inlineStr">
        <is>
          <t>Three multiples averaged on the sheet</t>
        </is>
      </c>
    </row>
    <row r="6">
      <c r="A6" s="4" t="inlineStr">
        <is>
          <t>Normalised earnings power</t>
        </is>
      </c>
      <c r="B6" s="5">
        <f>'Fundamental Valuation'!B6</f>
        <v/>
      </c>
      <c r="C6" s="6">
        <f>B6/Assumptions!$C$3-1</f>
        <v/>
      </c>
      <c r="D6" s="7" t="inlineStr">
        <is>
          <t>Three-year average margin</t>
        </is>
      </c>
    </row>
    <row r="7">
      <c r="A7" s="8" t="inlineStr">
        <is>
          <t>CENTRE — FRAME A (the cash-flow lens, unweighted)</t>
        </is>
      </c>
      <c r="B7" s="9">
        <f>'Fundamental Valuation'!B7</f>
        <v/>
      </c>
      <c r="C7" s="10">
        <f>B7/Assumptions!$C$3-1</f>
        <v/>
      </c>
      <c r="D7" s="7" t="inlineStr">
        <is>
          <t>A range, not a target. No rating is expressed anywhere in this workbook.</t>
        </is>
      </c>
    </row>
    <row r="8">
      <c r="A8" s="8" t="inlineStr">
        <is>
          <t>CENTRE — FRAME B (the cash-flow lens, unweighted)</t>
        </is>
      </c>
      <c r="B8" s="9">
        <f>'Fundamental Valuation'!B8</f>
        <v/>
      </c>
      <c r="C8" s="10">
        <f>B8/Assumptions!$C$3-1</f>
        <v/>
      </c>
      <c r="D8" s="7" t="inlineStr">
        <is>
          <t>TWO CENTRES, NEVER AVERAGED INTO ONE. Which one you use is a judgement about the debtor book, and it is yours to make rather than ours to bury.</t>
        </is>
      </c>
    </row>
    <row r="9">
      <c r="A9" s="11" t="inlineStr">
        <is>
          <t>Field low to field high</t>
        </is>
      </c>
      <c r="B9" s="12">
        <f>'Fundamental Valuation'!B10</f>
        <v/>
      </c>
      <c r="C9" s="12">
        <f>'Fundamental Valuation'!B11</f>
        <v/>
      </c>
    </row>
    <row r="10">
      <c r="A10" s="11" t="inlineStr">
        <is>
          <t>Market price</t>
        </is>
      </c>
      <c r="B10" s="12">
        <f>Assumptions!$C$3</f>
        <v/>
      </c>
    </row>
    <row r="12">
      <c r="A12" s="8" t="inlineStr">
        <is>
          <t>KEY FIGURES</t>
        </is>
      </c>
    </row>
    <row r="13">
      <c r="A13" s="4" t="inlineStr">
        <is>
          <t>Market capitalisation (EGP mn)</t>
        </is>
      </c>
      <c r="B13" s="13">
        <f>Assumptions!$C$103</f>
        <v/>
      </c>
    </row>
    <row r="14">
      <c r="A14" s="4" t="inlineStr">
        <is>
          <t>Net debt (EGP mn)</t>
        </is>
      </c>
      <c r="B14" s="13">
        <f>Assumptions!$C$104</f>
        <v/>
      </c>
    </row>
    <row r="15">
      <c r="A15" s="4" t="inlineStr">
        <is>
          <t>Enterprise value (EGP mn)</t>
        </is>
      </c>
      <c r="B15" s="13">
        <f>Assumptions!$C$103+Assumptions!$C$104+Assumptions!$C$80</f>
        <v/>
      </c>
    </row>
    <row r="16">
      <c r="A16" s="4" t="inlineStr">
        <is>
          <t>FY2025 revenue (EGP mn)</t>
        </is>
      </c>
      <c r="B16" s="13">
        <f>'Income Statement'!D2</f>
        <v/>
      </c>
    </row>
    <row r="17">
      <c r="A17" s="4" t="inlineStr">
        <is>
          <t>FY2025 EBITDA (EGP mn)</t>
        </is>
      </c>
      <c r="B17" s="13">
        <f>'Income Statement'!D17</f>
        <v/>
      </c>
    </row>
    <row r="18">
      <c r="A18" s="4" t="inlineStr">
        <is>
          <t>FY2025 attributable profit (EGP mn)</t>
        </is>
      </c>
      <c r="B18" s="13">
        <f>'Income Statement'!D26</f>
        <v/>
      </c>
    </row>
    <row r="19">
      <c r="A19" s="4" t="inlineStr">
        <is>
          <t>Trailing price / earnings</t>
        </is>
      </c>
      <c r="B19" s="14">
        <f>Assumptions!$C$3/('Income Statement'!D26/Assumptions!$C$8)</f>
        <v/>
      </c>
    </row>
    <row r="20">
      <c r="A20" s="4" t="inlineStr">
        <is>
          <t>Trailing enterprise value / EBITDA</t>
        </is>
      </c>
      <c r="B20" s="14">
        <f>(Assumptions!$C$103+Assumptions!$C$104+Assumptions!$C$80)/'Income Statement'!D17</f>
        <v/>
      </c>
    </row>
    <row r="21">
      <c r="A21" s="4" t="inlineStr">
        <is>
          <t>Cost of equity</t>
        </is>
      </c>
      <c r="B21" s="15">
        <f>Assumptions!$C$98</f>
        <v/>
      </c>
    </row>
    <row r="22">
      <c r="A22" s="4" t="inlineStr">
        <is>
          <t>Weighted average cost of capital, year one</t>
        </is>
      </c>
      <c r="B22" s="15">
        <f>Assumptions!$C$107</f>
        <v/>
      </c>
    </row>
    <row r="23">
      <c r="A23" s="4" t="inlineStr">
        <is>
          <t>Terminal weighted average cost of capital</t>
        </is>
      </c>
      <c r="B23" s="15">
        <f>Assumptions!$C$113</f>
        <v/>
      </c>
    </row>
    <row r="24">
      <c r="A24" s="4" t="inlineStr">
        <is>
          <t>Terminal value as a percentage of enterprise value</t>
        </is>
      </c>
      <c r="B24" s="6">
        <f>DCF!B34</f>
        <v/>
      </c>
    </row>
    <row r="25">
      <c r="A25" s="4" t="inlineStr">
        <is>
          <t>Dividend per share proposed for FY2025 (EGP)</t>
        </is>
      </c>
      <c r="B25" s="16" t="n">
        <v>3.5</v>
      </c>
    </row>
    <row r="26">
      <c r="A26" s="4" t="inlineStr">
        <is>
          <t>Dividend yield at the market price</t>
        </is>
      </c>
      <c r="B26" s="6">
        <f>B25/Assumptions!$C$3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6" customWidth="1" min="1" max="1"/>
    <col width="16" customWidth="1" min="2" max="2"/>
    <col width="16" customWidth="1" min="3" max="3"/>
    <col width="46" customWidth="1" min="4" max="4"/>
  </cols>
  <sheetData>
    <row r="1" ht="30" customHeight="1">
      <c r="A1" s="1" t="inlineStr">
        <is>
          <t>Lens</t>
        </is>
      </c>
      <c r="B1" s="2" t="inlineStr">
        <is>
          <t>Value (EGP/share)</t>
        </is>
      </c>
      <c r="C1" s="2" t="inlineStr">
        <is>
          <t>Weight</t>
        </is>
      </c>
      <c r="D1" s="2" t="inlineStr">
        <is>
          <t>How it is built</t>
        </is>
      </c>
    </row>
    <row r="2" ht="42" customHeight="1">
      <c r="A2" s="4" t="inlineStr">
        <is>
          <t>Discounted cash flow — Frame A (provision charge permanent)</t>
        </is>
      </c>
      <c r="B2" s="12">
        <f>('SOTP Bridge'!B11)/Assumptions!$C$8</f>
        <v/>
      </c>
      <c r="C2" s="17" t="n">
        <v>0.5</v>
      </c>
      <c r="D2" s="7" t="inlineStr">
        <is>
          <t>Five explicit years of free cash flow to the firm, discounted on a glide from the current to the terminal cost of capital, plus a terminal value on the growth-over-return reinvestment identity.</t>
        </is>
      </c>
    </row>
    <row r="3" ht="42" customHeight="1">
      <c r="A3" s="4" t="inlineStr">
        <is>
          <t>Discounted cash flow — Frame B (provision charge normalising)</t>
        </is>
      </c>
      <c r="B3" s="12">
        <f>DCF!B47</f>
        <v/>
      </c>
      <c r="C3" s="17" t="n">
        <v>0.5</v>
      </c>
      <c r="D3" s="7" t="inlineStr">
        <is>
          <t>The identical model with the single contested judgement resolved the other way. Published beside Frame A, never averaged into it.</t>
        </is>
      </c>
    </row>
    <row r="4" ht="42" customHeight="1">
      <c r="A4" s="4" t="inlineStr">
        <is>
          <t>Book value and sustainable return</t>
        </is>
      </c>
      <c r="B4" s="12">
        <f>(('Relative &amp; Normalized'!B6-Assumptions!$C$62)/(Assumptions!$C$110-Assumptions!$C$62))*'Balance Sheet'!D20</f>
        <v/>
      </c>
      <c r="C4" s="17" t="n">
        <v>0.2</v>
      </c>
      <c r="D4" s="7" t="inlineStr">
        <is>
          <t>Book value per share multiplied by (sustainable return less growth) over (perpetual cost of equity less growth). EVERY term is live: the sustainable return reads the forecast return-on-equity path, and the perpetual cost of equity reads beta, the terminal risk-free rate and the terminal premium.</t>
        </is>
      </c>
    </row>
    <row r="5" ht="42" customHeight="1">
      <c r="A5" s="4" t="inlineStr">
        <is>
          <t>Relative multiples</t>
        </is>
      </c>
      <c r="B5" s="12">
        <f>'Relative &amp; Normalized'!C29</f>
        <v/>
      </c>
      <c r="C5" s="17" t="n">
        <v>0.15</v>
      </c>
      <c r="D5" s="7" t="inlineStr">
        <is>
          <t>Three multiples triangulated ON the sheet, EACH APPLIED TO THE EARNINGS OF ITS OWN PERIOD — the forward multiple this model's own economics justify on forward earnings, and the company's own four-year mean and a cost-of-equity-adjusted struck peer reference on trailing earnings.</t>
        </is>
      </c>
    </row>
    <row r="6" ht="42" customHeight="1">
      <c r="A6" s="4" t="inlineStr">
        <is>
          <t>Normalised earnings power</t>
        </is>
      </c>
      <c r="B6" s="12">
        <f>'Relative &amp; Normalized'!B37</f>
        <v/>
      </c>
      <c r="C6" s="17" t="n">
        <v>0.15</v>
      </c>
      <c r="D6" s="7" t="inlineStr">
        <is>
          <t>The three-year average operating margin applied to forecast revenue, capitalised at the perpetual cost of equity on the payout that the growth rate permits.</t>
        </is>
      </c>
    </row>
    <row r="7" ht="42" customHeight="1">
      <c r="A7" s="8" t="inlineStr">
        <is>
          <t>CENTRE — FRAME A (the cash-flow lens, unweighted)</t>
        </is>
      </c>
      <c r="B7" s="9">
        <f>B2</f>
        <v/>
      </c>
      <c r="D7" s="7" t="inlineStr">
        <is>
          <t>The centre of each frame IS its own cash-flow read. The three lenses that do not turn on the contested judgement are published beside it and averaged into neither.</t>
        </is>
      </c>
    </row>
    <row r="8" ht="42" customHeight="1">
      <c r="A8" s="8" t="inlineStr">
        <is>
          <t>CENTRE — FRAME B (the cash-flow lens, unweighted)</t>
        </is>
      </c>
      <c r="B8" s="9">
        <f>B3</f>
        <v/>
      </c>
      <c r="D8" s="7" t="inlineStr">
        <is>
          <t>THE TWO CENTRES ARE NOT AVERAGED. One number covering both frames is a straight average of them, which is exactly what this study says it never does.</t>
        </is>
      </c>
    </row>
    <row r="9" ht="42" customHeight="1">
      <c r="A9" s="4" t="inlineStr">
        <is>
          <t>Memo — the retired weighted blend this edition replaced, on Frame A</t>
        </is>
      </c>
      <c r="B9" s="5">
        <f>B2*C2+B4*C4+B5*C5+B6*C6</f>
        <v/>
      </c>
      <c r="D9" s="7" t="inlineStr">
        <is>
          <t>Printed so the change is visible rather than only described. Its weights had never been tested out of sample, and one of the four readings it carried is not a lens this class uses at all.</t>
        </is>
      </c>
    </row>
    <row r="10">
      <c r="A10" s="11" t="inlineStr">
        <is>
          <t>Low of the field</t>
        </is>
      </c>
      <c r="B10" s="12">
        <f>MIN(B2:B6)</f>
        <v/>
      </c>
    </row>
    <row r="11">
      <c r="A11" s="11" t="inlineStr">
        <is>
          <t>High of the field</t>
        </is>
      </c>
      <c r="B11" s="12">
        <f>MAX(B2:B6)</f>
        <v/>
      </c>
    </row>
    <row r="12">
      <c r="A12" s="11" t="inlineStr">
        <is>
          <t>Market price</t>
        </is>
      </c>
      <c r="B12" s="12">
        <f>Assumptions!$C$3</f>
        <v/>
      </c>
    </row>
    <row r="13">
      <c r="A13" s="8" t="inlineStr">
        <is>
          <t>Market price relative to the Frame A centre</t>
        </is>
      </c>
      <c r="B13" s="10">
        <f>B12/B7-1</f>
        <v/>
      </c>
    </row>
    <row r="14">
      <c r="A14" s="8" t="inlineStr">
        <is>
          <t>Market price relative to the Frame B centre</t>
        </is>
      </c>
      <c r="B14" s="10">
        <f>B12/B8-1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cols>
    <col width="44" customWidth="1" min="1" max="1"/>
    <col width="60" customWidth="1" min="2" max="2"/>
    <col width="13" customWidth="1" min="3" max="3"/>
    <col width="13" customWidth="1" min="4" max="4"/>
    <col width="13" customWidth="1" min="5" max="5"/>
    <col width="13" customWidth="1" min="6" max="6"/>
    <col width="13" customWidth="1" min="7" max="7"/>
  </cols>
  <sheetData>
    <row r="1" ht="30" customHeight="1">
      <c r="A1" s="1" t="inlineStr">
        <is>
          <t>Driver</t>
        </is>
      </c>
      <c r="B1" s="2" t="inlineStr">
        <is>
          <t>Basis</t>
        </is>
      </c>
      <c r="C1" s="2" t="inlineStr">
        <is>
          <t>FY2026E</t>
        </is>
      </c>
      <c r="D1" s="2" t="inlineStr">
        <is>
          <t>FY2027E</t>
        </is>
      </c>
      <c r="E1" s="2" t="inlineStr">
        <is>
          <t>FY2028E</t>
        </is>
      </c>
      <c r="F1" s="2" t="inlineStr">
        <is>
          <t>FY2029E</t>
        </is>
      </c>
      <c r="G1" s="2" t="inlineStr">
        <is>
          <t>FY2030E</t>
        </is>
      </c>
    </row>
    <row r="2">
      <c r="A2" s="8" t="inlineStr">
        <is>
          <t>ANCHORS</t>
        </is>
      </c>
    </row>
    <row r="3" ht="26" customHeight="1">
      <c r="A3" s="4" t="inlineStr">
        <is>
          <t>Share price (EGP)</t>
        </is>
      </c>
      <c r="B3" s="7" t="inlineStr">
        <is>
          <t>Last close of the uploaded exchange price history, 2026-09-03</t>
        </is>
      </c>
      <c r="C3" s="16" t="n">
        <v>127.3</v>
      </c>
    </row>
    <row r="4" ht="26" customHeight="1">
      <c r="A4" s="4" t="inlineStr">
        <is>
          <t>Shares in issue at 31 December 2022 (million)</t>
        </is>
      </c>
      <c r="B4" s="7" t="inlineStr">
        <is>
          <t>Board report, capital and shareholders table</t>
        </is>
      </c>
      <c r="C4" s="18" t="n">
        <v>99.1705</v>
      </c>
    </row>
    <row r="5" ht="26" customHeight="1">
      <c r="A5" s="4" t="inlineStr">
        <is>
          <t>Shares in issue, FY2023 and FY2024 (million)</t>
        </is>
      </c>
      <c r="B5" s="7" t="inlineStr">
        <is>
          <t>Board report</t>
        </is>
      </c>
      <c r="C5" s="18" t="n">
        <v>148.75575</v>
      </c>
    </row>
    <row r="6" ht="26" customHeight="1">
      <c r="A6" s="4" t="inlineStr">
        <is>
          <t>Weighted-average shares, FY2025 (million)</t>
        </is>
      </c>
      <c r="B6" s="7" t="inlineStr">
        <is>
          <t>Audited — the capital increase completed during the year</t>
        </is>
      </c>
      <c r="C6" s="18" t="n">
        <v>162.016024</v>
      </c>
    </row>
    <row r="7" ht="26" customHeight="1">
      <c r="A7" s="4" t="inlineStr">
        <is>
          <t>Attributable profit, FY2022 (EGP mn)</t>
        </is>
      </c>
      <c r="B7" s="7" t="inlineStr">
        <is>
          <t>Board report, eleven-year profit table</t>
        </is>
      </c>
      <c r="C7" s="19" t="n">
        <v>587.040623</v>
      </c>
    </row>
    <row r="8" ht="26" customHeight="1">
      <c r="A8" s="4" t="inlineStr">
        <is>
          <t>Shares in issue (million)</t>
        </is>
      </c>
      <c r="B8" s="7" t="inlineStr">
        <is>
          <t>Capital note (13): issued capital of EGP 1,687,557,500 at EGP 10 nominal a share</t>
        </is>
      </c>
      <c r="C8" s="20" t="n">
        <v>168.75575</v>
      </c>
    </row>
    <row r="9" ht="26" customHeight="1">
      <c r="A9" s="4" t="inlineStr">
        <is>
          <t>Corporate income tax rate</t>
        </is>
      </c>
      <c r="B9" s="7" t="inlineStr">
        <is>
          <t>Egyptian statutory rate</t>
        </is>
      </c>
      <c r="C9" s="21" t="n">
        <v>0.225</v>
      </c>
    </row>
    <row r="10" ht="26" customHeight="1">
      <c r="A10" s="4" t="inlineStr">
        <is>
          <t>Effective tax rate on forecast pre-tax profit</t>
        </is>
      </c>
      <c r="B10" s="7" t="inlineStr">
        <is>
          <t>Above statutory to allow for the solidarity contribution and disallowed items</t>
        </is>
      </c>
      <c r="C10" s="21" t="n">
        <v>0.235</v>
      </c>
    </row>
    <row r="11">
      <c r="A11" s="8" t="inlineStr">
        <is>
          <t>VOLUME AND PRICE</t>
        </is>
      </c>
    </row>
    <row r="12" ht="26" customHeight="1">
      <c r="A12" s="4" t="inlineStr">
        <is>
          <t>Domestic pack volume growth</t>
        </is>
      </c>
      <c r="B12" s="7" t="inlineStr">
        <is>
          <t>Not capacity-constrained at 65% utilisation</t>
        </is>
      </c>
      <c r="C12" s="17" t="n">
        <v>0.055</v>
      </c>
      <c r="D12" s="17" t="n">
        <v>0.08</v>
      </c>
      <c r="E12" s="17" t="n">
        <v>0.075</v>
      </c>
      <c r="F12" s="17" t="n">
        <v>0.065</v>
      </c>
      <c r="G12" s="17" t="n">
        <v>0.055</v>
      </c>
    </row>
    <row r="13" ht="26" customHeight="1">
      <c r="A13" s="4" t="inlineStr">
        <is>
          <t>Export pack volume growth</t>
        </is>
      </c>
      <c r="B13" s="7" t="inlineStr">
        <is>
          <t>Hard-currency export growth was 10% in FY2025</t>
        </is>
      </c>
      <c r="C13" s="17" t="n">
        <v>0.05</v>
      </c>
      <c r="D13" s="17" t="n">
        <v>0.09</v>
      </c>
      <c r="E13" s="17" t="n">
        <v>0.08500000000000001</v>
      </c>
      <c r="F13" s="17" t="n">
        <v>0.08</v>
      </c>
      <c r="G13" s="17" t="n">
        <v>0.07000000000000001</v>
      </c>
    </row>
    <row r="14" ht="26" customHeight="1">
      <c r="A14" s="4" t="inlineStr">
        <is>
          <t>Domestic price per pack growth</t>
        </is>
      </c>
      <c r="B14" s="7" t="inlineStr">
        <is>
          <t>Administered prices track inflation, no real gain</t>
        </is>
      </c>
      <c r="C14" s="17" t="n">
        <v>0.05</v>
      </c>
      <c r="D14" s="17" t="n">
        <v>0.08</v>
      </c>
      <c r="E14" s="17" t="n">
        <v>0.075</v>
      </c>
      <c r="F14" s="17" t="n">
        <v>0.065</v>
      </c>
      <c r="G14" s="17" t="n">
        <v>0.055</v>
      </c>
    </row>
    <row r="15" ht="26" customHeight="1">
      <c r="A15" s="4" t="inlineStr">
        <is>
          <t>Export price per pack growth (USD)</t>
        </is>
      </c>
      <c r="B15" s="7" t="inlineStr">
        <is>
          <t>Competitive generic export pricing</t>
        </is>
      </c>
      <c r="C15" s="17" t="n">
        <v>0.01</v>
      </c>
      <c r="D15" s="17" t="n">
        <v>0.01</v>
      </c>
      <c r="E15" s="17" t="n">
        <v>0.01</v>
      </c>
      <c r="F15" s="17" t="n">
        <v>0.01</v>
      </c>
      <c r="G15" s="17" t="n">
        <v>0.01</v>
      </c>
    </row>
    <row r="16" ht="26" customHeight="1">
      <c r="A16" s="4" t="inlineStr">
        <is>
          <t>Contract-manufacturing revenue growth</t>
        </is>
      </c>
      <c r="B16" s="7" t="inlineStr">
        <is>
          <t>Small line, idle-capacity utilisation</t>
        </is>
      </c>
      <c r="C16" s="17" t="n">
        <v>0.15</v>
      </c>
      <c r="D16" s="17" t="n">
        <v>0.12</v>
      </c>
      <c r="E16" s="17" t="n">
        <v>0.1</v>
      </c>
      <c r="F16" s="17" t="n">
        <v>0.08</v>
      </c>
      <c r="G16" s="17" t="n">
        <v>0.07000000000000001</v>
      </c>
    </row>
    <row r="17" ht="26" customHeight="1">
      <c r="A17" s="4" t="inlineStr">
        <is>
          <t>Exchange rate (EGP per USD, period average)</t>
        </is>
      </c>
      <c r="B17" s="7" t="inlineStr">
        <is>
          <t>Partial real-rate reversal as domestic inflation converges</t>
        </is>
      </c>
      <c r="C17" s="16" t="n">
        <v>55.1141</v>
      </c>
      <c r="D17" s="16" t="n">
        <v>60.2223</v>
      </c>
      <c r="E17" s="16" t="n">
        <v>64.04130000000001</v>
      </c>
      <c r="F17" s="16" t="n">
        <v>67.1652</v>
      </c>
      <c r="G17" s="16" t="n">
        <v>70.1139</v>
      </c>
    </row>
    <row r="18">
      <c r="A18" s="8" t="inlineStr">
        <is>
          <t>COST STACK — ONE ESCALATOR PER DRIVER CLASS</t>
        </is>
      </c>
    </row>
    <row r="19" ht="26" customHeight="1">
      <c r="A19" s="4" t="inlineStr">
        <is>
          <t>Cost share: imported active ingredients</t>
        </is>
      </c>
      <c r="B19" s="7" t="inlineStr">
        <is>
          <t>Cost of sales note (26)</t>
        </is>
      </c>
      <c r="C19" s="21" t="n">
        <v>0.5488</v>
      </c>
    </row>
    <row r="20" ht="26" customHeight="1">
      <c r="A20" s="4" t="inlineStr">
        <is>
          <t>Cost share: packaging materials</t>
        </is>
      </c>
      <c r="B20" s="7" t="inlineStr">
        <is>
          <t>Cost of sales note (26)</t>
        </is>
      </c>
      <c r="C20" s="21" t="n">
        <v>0.2456</v>
      </c>
    </row>
    <row r="21" ht="26" customHeight="1">
      <c r="A21" s="4" t="inlineStr">
        <is>
          <t>Cost share: labour</t>
        </is>
      </c>
      <c r="B21" s="7" t="inlineStr">
        <is>
          <t>Cost of sales note (26), wages plus benefits plus social insurance</t>
        </is>
      </c>
      <c r="C21" s="21" t="n">
        <v>0.0977</v>
      </c>
    </row>
    <row r="22" ht="26" customHeight="1">
      <c r="A22" s="4" t="inlineStr">
        <is>
          <t>Cost share: energy and utilities</t>
        </is>
      </c>
      <c r="B22" s="7" t="inlineStr">
        <is>
          <t>Cost of sales note (26)</t>
        </is>
      </c>
      <c r="C22" s="21" t="n">
        <v>0.0342</v>
      </c>
    </row>
    <row r="23" ht="26" customHeight="1">
      <c r="A23" s="4" t="inlineStr">
        <is>
          <t>Cost share: other consumables and services</t>
        </is>
      </c>
      <c r="B23" s="7" t="inlineStr">
        <is>
          <t>Cost of sales note (26)</t>
        </is>
      </c>
      <c r="C23" s="21" t="n">
        <v>0.0571</v>
      </c>
    </row>
    <row r="24" ht="26" customHeight="1">
      <c r="A24" s="4" t="inlineStr">
        <is>
          <t>Cost share: depreciation</t>
        </is>
      </c>
      <c r="B24" s="7" t="inlineStr">
        <is>
          <t>disclosure — the audited split is shown for completeness, but depreciation is EXCLUDED from the escalated unit cost by design and enters exactly once, from the property roll-forward. This row drives nothing and is meant to drive nothing</t>
        </is>
      </c>
      <c r="C24" s="21" t="n">
        <v>0.0166</v>
      </c>
    </row>
    <row r="25" ht="26" customHeight="1">
      <c r="A25" s="4" t="inlineStr">
        <is>
          <t>Escalator: hard-currency ingredient price</t>
        </is>
      </c>
      <c r="B25" s="7" t="inlineStr">
        <is>
          <t>Applied THROUGH the exchange-rate path, never a domestic index</t>
        </is>
      </c>
      <c r="C25" s="21" t="n">
        <v>0.02</v>
      </c>
    </row>
    <row r="26" ht="26" customHeight="1">
      <c r="A26" s="4" t="inlineStr">
        <is>
          <t>Imported share of the packaging line</t>
        </is>
      </c>
      <c r="B26" s="7" t="inlineStr">
        <is>
          <t>The balance is made in-house</t>
        </is>
      </c>
      <c r="C26" s="17" t="n">
        <v>0.55</v>
      </c>
    </row>
    <row r="27" ht="26" customHeight="1">
      <c r="A27" s="4" t="inlineStr">
        <is>
          <t>Escalator: Egyptian wages</t>
        </is>
      </c>
      <c r="B27" s="7" t="inlineStr">
        <is>
          <t>Minimum-wage resets run above consumer prices</t>
        </is>
      </c>
      <c r="C27" s="17" t="n">
        <v>0.14</v>
      </c>
      <c r="D27" s="17" t="n">
        <v>0.12</v>
      </c>
      <c r="E27" s="17" t="n">
        <v>0.1</v>
      </c>
      <c r="F27" s="17" t="n">
        <v>0.08500000000000001</v>
      </c>
      <c r="G27" s="17" t="n">
        <v>0.075</v>
      </c>
    </row>
    <row r="28" ht="26" customHeight="1">
      <c r="A28" s="4" t="inlineStr">
        <is>
          <t>Escalator: regulated energy tariffs</t>
        </is>
      </c>
      <c r="B28" s="7" t="inlineStr">
        <is>
          <t>Subsidy reform, ABOVE consumer prices</t>
        </is>
      </c>
      <c r="C28" s="17" t="n">
        <v>0.18</v>
      </c>
      <c r="D28" s="17" t="n">
        <v>0.15</v>
      </c>
      <c r="E28" s="17" t="n">
        <v>0.12</v>
      </c>
      <c r="F28" s="17" t="n">
        <v>0.1</v>
      </c>
      <c r="G28" s="17" t="n">
        <v>0.08</v>
      </c>
    </row>
    <row r="29" ht="26" customHeight="1">
      <c r="A29" s="4" t="inlineStr">
        <is>
          <t>Escalator: domestic consumer prices</t>
        </is>
      </c>
      <c r="B29" s="7" t="inlineStr">
        <is>
          <t>Applied only to genuinely domestic lines</t>
        </is>
      </c>
      <c r="C29" s="17" t="n">
        <v>0.16</v>
      </c>
      <c r="D29" s="17" t="n">
        <v>0.12</v>
      </c>
      <c r="E29" s="17" t="n">
        <v>0.09</v>
      </c>
      <c r="F29" s="17" t="n">
        <v>0.075</v>
      </c>
      <c r="G29" s="17" t="n">
        <v>0.07000000000000001</v>
      </c>
    </row>
    <row r="30">
      <c r="A30" s="8" t="inlineStr">
        <is>
          <t>OPERATING EXPENSE, CAPITAL AND WORKING CAPITAL</t>
        </is>
      </c>
    </row>
    <row r="31" ht="26" customHeight="1">
      <c r="A31" s="4" t="inlineStr">
        <is>
          <t>Selling and marketing / revenue</t>
        </is>
      </c>
      <c r="B31" s="7" t="inlineStr">
        <is>
          <t>Disclosed 12.9% -&gt; 12.4% -&gt; 10.7%</t>
        </is>
      </c>
      <c r="C31" s="17" t="n">
        <v>0.104</v>
      </c>
      <c r="D31" s="17" t="n">
        <v>0.102</v>
      </c>
      <c r="E31" s="17" t="n">
        <v>0.1</v>
      </c>
      <c r="F31" s="17" t="n">
        <v>0.099</v>
      </c>
      <c r="G31" s="17" t="n">
        <v>0.098</v>
      </c>
    </row>
    <row r="32" ht="26" customHeight="1">
      <c r="A32" s="4" t="inlineStr">
        <is>
          <t>Research and development / revenue</t>
        </is>
      </c>
      <c r="B32" s="7" t="inlineStr">
        <is>
          <t>Rising with the biosimilar pipeline</t>
        </is>
      </c>
      <c r="C32" s="21" t="n">
        <v>0.008500000000000001</v>
      </c>
      <c r="D32" s="21" t="n">
        <v>0.008999999999999999</v>
      </c>
      <c r="E32" s="21" t="n">
        <v>0.0095</v>
      </c>
      <c r="F32" s="21" t="n">
        <v>0.01</v>
      </c>
      <c r="G32" s="21" t="n">
        <v>0.01</v>
      </c>
    </row>
    <row r="33" ht="26" customHeight="1">
      <c r="A33" s="4" t="inlineStr">
        <is>
          <t>General and administrative / revenue</t>
        </is>
      </c>
      <c r="B33" s="7" t="inlineStr">
        <is>
          <t>Held near the FY2025 level</t>
        </is>
      </c>
      <c r="C33" s="21" t="n">
        <v>0.0235</v>
      </c>
      <c r="D33" s="21" t="n">
        <v>0.0235</v>
      </c>
      <c r="E33" s="21" t="n">
        <v>0.023</v>
      </c>
      <c r="F33" s="21" t="n">
        <v>0.0228</v>
      </c>
      <c r="G33" s="21" t="n">
        <v>0.0225</v>
      </c>
    </row>
    <row r="34" ht="26" customHeight="1">
      <c r="A34" s="4" t="inlineStr">
        <is>
          <t>FRAME A — provision charge / revenue</t>
        </is>
      </c>
      <c r="B34" s="7" t="inlineStr">
        <is>
          <t>Permanent, at the three-year average</t>
        </is>
      </c>
      <c r="C34" s="21" t="n">
        <v>0.0525</v>
      </c>
      <c r="D34" s="21" t="n">
        <v>0.0525</v>
      </c>
      <c r="E34" s="21" t="n">
        <v>0.0525</v>
      </c>
      <c r="F34" s="21" t="n">
        <v>0.0525</v>
      </c>
      <c r="G34" s="21" t="n">
        <v>0.0525</v>
      </c>
    </row>
    <row r="35" ht="26" customHeight="1">
      <c r="A35" s="4" t="inlineStr">
        <is>
          <t>FRAME B — provision charge / revenue</t>
        </is>
      </c>
      <c r="B35" s="7" t="inlineStr">
        <is>
          <t>Normalising as the book seasons</t>
        </is>
      </c>
      <c r="C35" s="21" t="n">
        <v>0.045</v>
      </c>
      <c r="D35" s="21" t="n">
        <v>0.038</v>
      </c>
      <c r="E35" s="21" t="n">
        <v>0.032</v>
      </c>
      <c r="F35" s="21" t="n">
        <v>0.028</v>
      </c>
      <c r="G35" s="21" t="n">
        <v>0.025</v>
      </c>
    </row>
    <row r="36" ht="26" customHeight="1">
      <c r="A36" s="4" t="inlineStr">
        <is>
          <t>Capital expenditure / revenue</t>
        </is>
      </c>
      <c r="B36" s="7" t="inlineStr">
        <is>
          <t>Falls as the construction cycle completes</t>
        </is>
      </c>
      <c r="C36" s="17" t="n">
        <v>0.125</v>
      </c>
      <c r="D36" s="17" t="n">
        <v>0.045</v>
      </c>
      <c r="E36" s="17" t="n">
        <v>0.035</v>
      </c>
      <c r="F36" s="17" t="n">
        <v>0.032</v>
      </c>
      <c r="G36" s="17" t="n">
        <v>0.03</v>
      </c>
    </row>
    <row r="37" ht="26" customHeight="1">
      <c r="A37" s="4" t="inlineStr">
        <is>
          <t>Transfers out of construction (EGP mn)</t>
        </is>
      </c>
      <c r="B37" s="7" t="inlineStr">
        <is>
          <t>The plant was licensed in December 2025 and enters service</t>
        </is>
      </c>
      <c r="C37" s="19" t="n">
        <v>3400</v>
      </c>
      <c r="D37" s="19" t="n">
        <v>1100</v>
      </c>
      <c r="E37" s="19" t="n">
        <v>400</v>
      </c>
      <c r="F37" s="19" t="n">
        <v>200</v>
      </c>
      <c r="G37" s="19" t="n">
        <v>200</v>
      </c>
    </row>
    <row r="38" ht="26" customHeight="1">
      <c r="A38" s="4" t="inlineStr">
        <is>
          <t>Depreciation rate on the property base</t>
        </is>
      </c>
      <c r="B38" s="7" t="inlineStr">
        <is>
          <t>About a sixteen-year blended life</t>
        </is>
      </c>
      <c r="C38" s="21" t="n">
        <v>0.062</v>
      </c>
    </row>
    <row r="39" ht="26" customHeight="1">
      <c r="A39" s="4" t="inlineStr">
        <is>
          <t>Inventory days</t>
        </is>
      </c>
      <c r="B39" s="7" t="inlineStr">
        <is>
          <t>An eight-month strategic stockpile, stated policy</t>
        </is>
      </c>
      <c r="C39" s="19" t="n">
        <v>265</v>
      </c>
      <c r="D39" s="19" t="n">
        <v>258</v>
      </c>
      <c r="E39" s="19" t="n">
        <v>250</v>
      </c>
      <c r="F39" s="19" t="n">
        <v>245</v>
      </c>
      <c r="G39" s="19" t="n">
        <v>240</v>
      </c>
    </row>
    <row r="40" ht="26" customHeight="1">
      <c r="A40" s="4" t="inlineStr">
        <is>
          <t>Receivable days</t>
        </is>
      </c>
      <c r="B40" s="7" t="inlineStr">
        <is>
          <t>Distributor-concentrated book plus export terms</t>
        </is>
      </c>
      <c r="C40" s="19" t="n">
        <v>126</v>
      </c>
      <c r="D40" s="19" t="n">
        <v>122</v>
      </c>
      <c r="E40" s="19" t="n">
        <v>118</v>
      </c>
      <c r="F40" s="19" t="n">
        <v>115</v>
      </c>
      <c r="G40" s="19" t="n">
        <v>112</v>
      </c>
    </row>
    <row r="41" ht="26" customHeight="1">
      <c r="A41" s="4" t="inlineStr">
        <is>
          <t>Payable days</t>
        </is>
      </c>
      <c r="B41" s="7" t="inlineStr">
        <is>
          <t>Audited FY2025 implies 54 days</t>
        </is>
      </c>
      <c r="C41" s="19" t="n">
        <v>55</v>
      </c>
      <c r="D41" s="19" t="n">
        <v>56</v>
      </c>
      <c r="E41" s="19" t="n">
        <v>57</v>
      </c>
      <c r="F41" s="19" t="n">
        <v>58</v>
      </c>
      <c r="G41" s="19" t="n">
        <v>58</v>
      </c>
    </row>
    <row r="42" ht="26" customHeight="1">
      <c r="A42" s="4" t="inlineStr">
        <is>
          <t>Dividend payout ratio</t>
        </is>
      </c>
      <c r="B42" s="7" t="inlineStr">
        <is>
          <t>EGP 3.50 a share proposed for FY2025 on attributable profit</t>
        </is>
      </c>
      <c r="C42" s="17" t="n">
        <v>0.4</v>
      </c>
    </row>
    <row r="43">
      <c r="A43" s="8" t="inlineStr">
        <is>
          <t>COST OF CAPITAL</t>
        </is>
      </c>
    </row>
    <row r="44" ht="26" customHeight="1">
      <c r="A44" s="4" t="inlineStr">
        <is>
          <t>Ten-year local-currency government yield</t>
        </is>
      </c>
      <c r="B44" s="7" t="inlineStr">
        <is>
          <t>House cost-of-capital reference print</t>
        </is>
      </c>
      <c r="C44" s="21" t="n">
        <v>0.23</v>
      </c>
    </row>
    <row r="45" ht="26" customHeight="1">
      <c r="A45" s="4" t="inlineStr">
        <is>
          <t>Sovereign credit-default-swap spread</t>
        </is>
      </c>
      <c r="B45" s="7" t="inlineStr">
        <is>
          <t>Country risk-premium file, Egypt row, read live</t>
        </is>
      </c>
      <c r="C45" s="21" t="n">
        <v>0.0342</v>
      </c>
    </row>
    <row r="46" ht="26" customHeight="1">
      <c r="A46" s="4" t="inlineStr">
        <is>
          <t>Country equity risk premium (swap basis)</t>
        </is>
      </c>
      <c r="B46" s="7" t="inlineStr">
        <is>
          <t>Same file, same row</t>
        </is>
      </c>
      <c r="C46" s="21" t="n">
        <v>0.095164</v>
      </c>
    </row>
    <row r="47" ht="26" customHeight="1">
      <c r="A47" s="4" t="inlineStr">
        <is>
          <t>Adjusted default spread (rating basis)</t>
        </is>
      </c>
      <c r="B47" s="7" t="inlineStr">
        <is>
          <t>Same file — the alternative</t>
        </is>
      </c>
      <c r="C47" s="21" t="n">
        <v>0.059702</v>
      </c>
    </row>
    <row r="48" ht="26" customHeight="1">
      <c r="A48" s="4" t="inlineStr">
        <is>
          <t>Country equity risk premium (rating basis)</t>
        </is>
      </c>
      <c r="B48" s="7" t="inlineStr">
        <is>
          <t>Same file — the alternative</t>
        </is>
      </c>
      <c r="C48" s="21" t="n">
        <v>0.134806</v>
      </c>
    </row>
    <row r="49" ht="26" customHeight="1">
      <c r="A49" s="4" t="inlineStr">
        <is>
          <t>Beta</t>
        </is>
      </c>
      <c r="B49" s="7" t="inlineStr">
        <is>
          <t>Own-stock weekly regression against a 36-name local composite, five years; R-squared 0.235, n = 257</t>
        </is>
      </c>
      <c r="C49" s="22" t="n">
        <v>0.6658188407423365</v>
      </c>
    </row>
    <row r="50" ht="26" customHeight="1">
      <c r="A50" s="4" t="inlineStr">
        <is>
          <t>Cost of local-currency debt</t>
        </is>
      </c>
      <c r="B50" s="7" t="inlineStr">
        <is>
          <t>Sovereign yield plus 250 basis points</t>
        </is>
      </c>
      <c r="C50" s="21" t="n">
        <v>0.255</v>
      </c>
    </row>
    <row r="51" ht="26" customHeight="1">
      <c r="A51" s="4" t="inlineStr">
        <is>
          <t>Hard-currency coupon</t>
        </is>
      </c>
      <c r="B51" s="7" t="inlineStr">
        <is>
          <t>Dollar and euro term loans</t>
        </is>
      </c>
      <c r="C51" s="21" t="n">
        <v>0.075</v>
      </c>
    </row>
    <row r="52" ht="26" customHeight="1">
      <c r="A52" s="4" t="inlineStr">
        <is>
          <t>Expected currency depreciation for the debt charge</t>
        </is>
      </c>
      <c r="B52" s="7" t="inlineStr">
        <is>
          <t>Carries foreign-currency debt at its LOCAL-EQUIVALENT cost</t>
        </is>
      </c>
      <c r="C52" s="21" t="n">
        <v>0.045</v>
      </c>
    </row>
    <row r="53" ht="26" customHeight="1">
      <c r="A53" s="4" t="inlineStr">
        <is>
          <t>Hard-currency share of the term-loan book</t>
        </is>
      </c>
      <c r="B53" s="7" t="inlineStr">
        <is>
          <t>Borrowings note (17), by lender and currency</t>
        </is>
      </c>
      <c r="C53" s="17" t="n">
        <v>0.5020324090046201</v>
      </c>
    </row>
    <row r="54" ht="26" customHeight="1">
      <c r="A54" s="4" t="inlineStr">
        <is>
          <t>Normalised risk-free convergence path</t>
        </is>
      </c>
      <c r="B54" s="7" t="inlineStr">
        <is>
          <t>NOT a cost of debt: the first point is the normalised risk-free rate. Only the SHAPE of this row enters the model — the discount-rate glide rebases it to its own endpoints, so the levels cancel</t>
        </is>
      </c>
      <c r="C54" s="21" t="n">
        <v>0.189</v>
      </c>
      <c r="D54" s="21" t="n">
        <v>0.178</v>
      </c>
      <c r="E54" s="21" t="n">
        <v>0.166</v>
      </c>
      <c r="F54" s="21" t="n">
        <v>0.156</v>
      </c>
      <c r="G54" s="21" t="n">
        <v>0.148</v>
      </c>
    </row>
    <row r="55" ht="26" customHeight="1">
      <c r="A55" s="4" t="inlineStr">
        <is>
          <t>Finance cost charged to profit (EGP mn)</t>
        </is>
      </c>
      <c r="B55" s="7" t="inlineStr">
        <is>
          <t>What the profit and loss account actually bears — NOT the marginal cost of debt above. Calibrated to the first quarter of 2026</t>
        </is>
      </c>
      <c r="C55" s="19" t="n">
        <v>1250</v>
      </c>
      <c r="D55" s="19" t="n">
        <v>1210</v>
      </c>
      <c r="E55" s="19" t="n">
        <v>1150</v>
      </c>
      <c r="F55" s="19" t="n">
        <v>1090</v>
      </c>
      <c r="G55" s="19" t="n">
        <v>1030</v>
      </c>
    </row>
    <row r="56" ht="26" customHeight="1">
      <c r="A56" s="4" t="inlineStr">
        <is>
          <t>Terminal risk-free rate</t>
        </is>
      </c>
      <c r="B56" s="7" t="inlineStr">
        <is>
          <t>A sourced 5% medium-term inflation target plus an UNSOURCED 5.5-point real convention. The real leg is an assertion, it is the widest single lever in the study, and it is an open item — see the terminal grid</t>
        </is>
      </c>
      <c r="C56" s="21" t="n">
        <v>0.125</v>
      </c>
    </row>
    <row r="57" ht="26" customHeight="1">
      <c r="A57" s="4" t="inlineStr">
        <is>
          <t>Terminal equity risk premium</t>
        </is>
      </c>
      <c r="B57" s="7" t="inlineStr">
        <is>
          <t>Normalised toward the rating-class norm</t>
        </is>
      </c>
      <c r="C57" s="21" t="n">
        <v>0.07000000000000001</v>
      </c>
    </row>
    <row r="58" ht="26" customHeight="1">
      <c r="A58" s="4" t="inlineStr">
        <is>
          <t>Terminal local-currency borrowing rate</t>
        </is>
      </c>
      <c r="B58" s="7" t="inlineStr">
        <is>
          <t>Long-run Egyptian norm</t>
        </is>
      </c>
      <c r="C58" s="21" t="n">
        <v>0.15</v>
      </c>
    </row>
    <row r="59" ht="26" customHeight="1">
      <c r="A59" s="4" t="inlineStr">
        <is>
          <t>Terminal hard-currency coupon</t>
        </is>
      </c>
      <c r="B59" s="7" t="inlineStr">
        <is>
          <t>Long-run norm</t>
        </is>
      </c>
      <c r="C59" s="21" t="n">
        <v>0.065</v>
      </c>
    </row>
    <row r="60" ht="26" customHeight="1">
      <c r="A60" s="4" t="inlineStr">
        <is>
          <t>Terminal debt weight — DERIVED, market-value basis</t>
        </is>
      </c>
      <c r="B60" s="7" t="inlineStr">
        <is>
          <t>Today's net debt over market capitalisation plus net debt. Not an assumption; the earlier edition's 20% was neither this nor the book reading below</t>
        </is>
      </c>
      <c r="C60" s="17" t="n">
        <v>0.2552890355474502</v>
      </c>
    </row>
    <row r="61" ht="26" customHeight="1">
      <c r="A61" s="4" t="inlineStr">
        <is>
          <t>Terminal debt weight — the funded forecast balance sheet at FY2030E</t>
        </is>
      </c>
      <c r="B61" s="7" t="inlineStr">
        <is>
          <t>disclosure — the BOOK reading, published beside the market reading above rather than chosen between in silence. The valuation uses the market reading, because a weighted average cost of capital weights market values; this row drives nothing</t>
        </is>
      </c>
      <c r="C61" s="17" t="n">
        <v>0.4792091017585894</v>
      </c>
    </row>
    <row r="62" ht="26" customHeight="1">
      <c r="A62" s="4" t="inlineStr">
        <is>
          <t>Terminal growth</t>
        </is>
      </c>
      <c r="B62" s="7" t="inlineStr">
        <is>
          <t>Pound-nominal, against a 5% terminal inflation rate — about zero in real terms</t>
        </is>
      </c>
      <c r="C62" s="17" t="n">
        <v>0.07000000000000006</v>
      </c>
    </row>
    <row r="63" ht="26" customHeight="1">
      <c r="A63" s="4" t="inlineStr">
        <is>
          <t>Normalised associate contribution (EGP mn)</t>
        </is>
      </c>
      <c r="B63" s="7" t="inlineStr">
        <is>
          <t>Three disclosed years, reconciled to this model's own income statement: 74.508, 151.581, 512.085 — mean 246.058. The first quarter of 2026 annualises to 52.5, but the auditor states two holdings' statements were not received, so that quarter is evidence, not a run-rate</t>
        </is>
      </c>
      <c r="C63" s="19" t="n">
        <v>250</v>
      </c>
    </row>
    <row r="64" ht="26" customHeight="1">
      <c r="A64" s="4" t="inlineStr">
        <is>
          <t>Associate earnings multiple</t>
        </is>
      </c>
      <c r="B64" s="7" t="inlineStr">
        <is>
          <t>Below the Gulf listed range for a minority, unlisted, non-controlled stake</t>
        </is>
      </c>
      <c r="C64" s="23" t="n">
        <v>11</v>
      </c>
    </row>
    <row r="65" ht="26" customHeight="1">
      <c r="A65" s="4" t="inlineStr">
        <is>
          <t>Struck peer reference price-earnings multiple</t>
        </is>
      </c>
      <c r="B65" s="7" t="inlineStr">
        <is>
          <t>MARKET DATA, cross-check layer. The MIDPOINT of the only two disclosed observations (26.7x and 16.0x) — NOT a median of a peer set, and the peers are not named, so it cannot be rebuilt from their filings</t>
        </is>
      </c>
      <c r="C65" s="24" t="n">
        <v>21.35</v>
      </c>
    </row>
    <row r="66" ht="26" customHeight="1">
      <c r="A66" s="4" t="inlineStr">
        <is>
          <t>Cost of equity faced by the struck reference companies</t>
        </is>
      </c>
      <c r="B66" s="7" t="inlineStr">
        <is>
          <t>The ONE difference the peer multiple is adjusted for, registered here rather than typed inside the adjustment so a reader can see what the adjustment is made of</t>
        </is>
      </c>
      <c r="C66" s="17" t="n">
        <v>0.1</v>
      </c>
    </row>
    <row r="67">
      <c r="A67" s="8" t="inlineStr">
        <is>
          <t>OPENING BALANCE SHEET (AUDITED, 31 DECEMBER 2025)</t>
        </is>
      </c>
    </row>
    <row r="68" ht="26" customHeight="1">
      <c r="A68" s="4" t="inlineStr">
        <is>
          <t>Property, plant and equipment, net</t>
        </is>
      </c>
      <c r="B68" s="7" t="inlineStr">
        <is>
          <t>Note (4)</t>
        </is>
      </c>
      <c r="C68" s="19" t="n">
        <v>3069.747924</v>
      </c>
    </row>
    <row r="69" ht="26" customHeight="1">
      <c r="A69" s="4" t="inlineStr">
        <is>
          <t>Projects under construction</t>
        </is>
      </c>
      <c r="B69" s="7" t="inlineStr">
        <is>
          <t>Note (6)</t>
        </is>
      </c>
      <c r="C69" s="19" t="n">
        <v>4901.223806</v>
      </c>
    </row>
    <row r="70" ht="26" customHeight="1">
      <c r="A70" s="4" t="inlineStr">
        <is>
          <t>Inventories, net</t>
        </is>
      </c>
      <c r="B70" s="7" t="inlineStr">
        <is>
          <t>Note (9)</t>
        </is>
      </c>
      <c r="C70" s="19" t="n">
        <v>3887.077629</v>
      </c>
    </row>
    <row r="71" ht="26" customHeight="1">
      <c r="A71" s="4" t="inlineStr">
        <is>
          <t>Trade and notes receivable, net</t>
        </is>
      </c>
      <c r="B71" s="7" t="inlineStr">
        <is>
          <t>Note (10)</t>
        </is>
      </c>
      <c r="C71" s="19" t="n">
        <v>3325.044117</v>
      </c>
    </row>
    <row r="72" ht="26" customHeight="1">
      <c r="A72" s="4" t="inlineStr">
        <is>
          <t>Other debtors</t>
        </is>
      </c>
      <c r="B72" s="7" t="inlineStr">
        <is>
          <t>Note (11)</t>
        </is>
      </c>
      <c r="C72" s="19" t="n">
        <v>356.786958</v>
      </c>
    </row>
    <row r="73" ht="26" customHeight="1">
      <c r="A73" s="4" t="inlineStr">
        <is>
          <t>Trade and notes payable</t>
        </is>
      </c>
      <c r="B73" s="7" t="inlineStr">
        <is>
          <t>Note (22)</t>
        </is>
      </c>
      <c r="C73" s="19" t="n">
        <v>780.416969</v>
      </c>
    </row>
    <row r="74" ht="26" customHeight="1">
      <c r="A74" s="4" t="inlineStr">
        <is>
          <t>Other creditors</t>
        </is>
      </c>
      <c r="B74" s="7" t="inlineStr">
        <is>
          <t>Note (23)</t>
        </is>
      </c>
      <c r="C74" s="19" t="n">
        <v>1044.832275</v>
      </c>
    </row>
    <row r="75" ht="26" customHeight="1">
      <c r="A75" s="4" t="inlineStr">
        <is>
          <t>Cash and bank balances</t>
        </is>
      </c>
      <c r="B75" s="7" t="inlineStr">
        <is>
          <t>Note (12)</t>
        </is>
      </c>
      <c r="C75" s="19" t="n">
        <v>1433.426902</v>
      </c>
    </row>
    <row r="76" ht="26" customHeight="1">
      <c r="A76" s="4" t="inlineStr">
        <is>
          <t>Gross borrowings including leases</t>
        </is>
      </c>
      <c r="B76" s="7" t="inlineStr">
        <is>
          <t>Notes (17), (18) and (21)</t>
        </is>
      </c>
      <c r="C76" s="19" t="n">
        <v>8797.725640000001</v>
      </c>
    </row>
    <row r="77" ht="26" customHeight="1">
      <c r="A77" s="4" t="inlineStr">
        <is>
          <t>Attributable profit, FY2025 (EGP mn)</t>
        </is>
      </c>
      <c r="B77" s="7" t="inlineStr">
        <is>
          <t>Audited — the trailing earnings base for every trailing multiple</t>
        </is>
      </c>
      <c r="C77" s="19" t="n">
        <v>1441.6577</v>
      </c>
    </row>
    <row r="78" ht="26" customHeight="1">
      <c r="A78" s="4" t="inlineStr">
        <is>
          <t>Equity attributable to the holding company</t>
        </is>
      </c>
      <c r="B78" s="7" t="inlineStr">
        <is>
          <t>Audited</t>
        </is>
      </c>
      <c r="C78" s="19" t="n">
        <v>6243.131482</v>
      </c>
    </row>
    <row r="79" ht="26" customHeight="1">
      <c r="A79" s="4" t="inlineStr">
        <is>
          <t>Non-controlling interests, audited 31 December 2025</t>
        </is>
      </c>
      <c r="B79" s="7" t="inlineStr">
        <is>
          <t>disclosure — the audited December figure, shown so the reader can see both. It is SUPERSEDED for valuation by the March figure below, because almost all of it was the active-ingredient company and that company was deconsolidated in the first quarter of 2026. This row drives the balance sheet history only</t>
        </is>
      </c>
      <c r="C79" s="19" t="n">
        <v>288.704605</v>
      </c>
    </row>
    <row r="80" ht="26" customHeight="1">
      <c r="A80" s="4" t="inlineStr">
        <is>
          <t>Non-controlling interests deducted in the bridge</t>
        </is>
      </c>
      <c r="B80" s="7" t="inlineStr">
        <is>
          <t>Post-deconsolidation, from the reviewed 31 March 2026 interim</t>
        </is>
      </c>
      <c r="C80" s="19" t="n">
        <v>3.999807</v>
      </c>
    </row>
    <row r="81" ht="26" customHeight="1">
      <c r="A81" s="4" t="inlineStr">
        <is>
          <t>Active-ingredient company at carrying cost (EGP mn)</t>
        </is>
      </c>
      <c r="B81" s="7" t="inlineStr">
        <is>
          <t>Pre-revenue, so cost not an earnings multiple; the Q1-2026 movement in investments in associates</t>
        </is>
      </c>
      <c r="C81" s="19" t="n">
        <v>228.4864180000001</v>
      </c>
    </row>
    <row r="82" ht="26" customHeight="1">
      <c r="A82" s="4" t="inlineStr">
        <is>
          <t>Assets held for sale</t>
        </is>
      </c>
      <c r="B82" s="7" t="inlineStr">
        <is>
          <t>Note (8/1)</t>
        </is>
      </c>
      <c r="C82" s="19" t="n">
        <v>12.33</v>
      </c>
    </row>
    <row r="83" ht="26" customHeight="1">
      <c r="A83" s="4" t="inlineStr">
        <is>
          <t>Intangible assets, net</t>
        </is>
      </c>
      <c r="B83" s="7" t="inlineStr">
        <is>
          <t>Note (7)</t>
        </is>
      </c>
      <c r="C83" s="19" t="n">
        <v>40.142171</v>
      </c>
    </row>
    <row r="84" ht="26" customHeight="1">
      <c r="A84" s="4" t="inlineStr">
        <is>
          <t>Right-of-use and intangible amortisation run-rate</t>
        </is>
      </c>
      <c r="B84" s="7" t="inlineStr">
        <is>
          <t>Audited FY2025 cash-flow statement</t>
        </is>
      </c>
      <c r="C84" s="25" t="n">
        <v>8.269948999999997</v>
      </c>
    </row>
    <row r="85" ht="26" customHeight="1">
      <c r="A85" s="4" t="inlineStr">
        <is>
          <t>Share of depreciation charged to cost of sales</t>
        </is>
      </c>
      <c r="B85" s="7" t="inlineStr">
        <is>
          <t>Cost of sales note (26): 93.498 of 117.725</t>
        </is>
      </c>
      <c r="C85" s="17" t="n">
        <v>0.7942005773538676</v>
      </c>
    </row>
    <row r="86" ht="26" customHeight="1">
      <c r="A86" s="4" t="inlineStr">
        <is>
          <t>FY2025 cash cost per pack sold (EGP)</t>
        </is>
      </c>
      <c r="B86" s="7" t="inlineStr">
        <is>
          <t>Cost of sales less its depreciation line, over packs sold</t>
        </is>
      </c>
      <c r="C86" s="16" t="n">
        <v>14.53600902055724</v>
      </c>
    </row>
    <row r="87" ht="26" customHeight="1">
      <c r="A87" s="4" t="inlineStr">
        <is>
          <t>Consolidated-to-separate revenue factor</t>
        </is>
      </c>
      <c r="B87" s="7" t="inlineStr">
        <is>
          <t>MEASURED: audited consolidated revenue over the separate-company channel total</t>
        </is>
      </c>
      <c r="C87" s="26" t="n">
        <v>1.014932591450432</v>
      </c>
    </row>
    <row r="88" ht="26" customHeight="1">
      <c r="A88" s="4" t="inlineStr">
        <is>
          <t>FY2025 packs sold of the company's OWN preparations (million)</t>
        </is>
      </c>
      <c r="B88" s="7" t="inlineStr">
        <is>
          <t>Board report, sales-indicators table</t>
        </is>
      </c>
      <c r="C88" s="18" t="n">
        <v>351.81</v>
      </c>
    </row>
    <row r="89" ht="26" customHeight="1">
      <c r="A89" s="4" t="inlineStr">
        <is>
          <t>FY2025 export packs (million)</t>
        </is>
      </c>
      <c r="B89" s="7" t="inlineStr">
        <is>
          <t>Investor presentation</t>
        </is>
      </c>
      <c r="C89" s="18" t="n">
        <v>60</v>
      </c>
    </row>
    <row r="90" ht="26" customHeight="1">
      <c r="A90" s="4" t="inlineStr">
        <is>
          <t>FY2025 export revenue (EGP mn)</t>
        </is>
      </c>
      <c r="B90" s="7" t="inlineStr">
        <is>
          <t>Revenue note (25)</t>
        </is>
      </c>
      <c r="C90" s="19" t="n">
        <v>2967.479908</v>
      </c>
    </row>
    <row r="91" ht="26" customHeight="1">
      <c r="A91" s="4" t="inlineStr">
        <is>
          <t>FY2025 sales value of the company's OWN preparations (EGP mn)</t>
        </is>
      </c>
      <c r="B91" s="7" t="inlineStr">
        <is>
          <t>Board report, sales-indicators table</t>
        </is>
      </c>
      <c r="C91" s="19" t="n">
        <v>9160.147999999999</v>
      </c>
    </row>
    <row r="92" ht="26" customHeight="1">
      <c r="A92" s="4" t="inlineStr">
        <is>
          <t>FY2025 sales value of CONTRACT-MANUFACTURED preparations (EGP mn)</t>
        </is>
      </c>
      <c r="B92" s="7" t="inlineStr">
        <is>
          <t>Board report, sales-indicators table — product value, not the fee the company books</t>
        </is>
      </c>
      <c r="C92" s="19" t="n">
        <v>142.321</v>
      </c>
    </row>
    <row r="93" ht="26" customHeight="1">
      <c r="A93" s="4" t="inlineStr">
        <is>
          <t>FY2025 contract-manufactured packs (million)</t>
        </is>
      </c>
      <c r="B93" s="7" t="inlineStr">
        <is>
          <t>Board report</t>
        </is>
      </c>
      <c r="C93" s="18" t="n">
        <v>5.485</v>
      </c>
    </row>
    <row r="94" ht="26" customHeight="1">
      <c r="A94" s="4" t="inlineStr">
        <is>
          <t>FY2025 contract-manufacturing FEE revenue (EGP mn)</t>
        </is>
      </c>
      <c r="B94" s="7" t="inlineStr">
        <is>
          <t>disclosure — this row SPLITS the contract-manufacturing line in two and cannot move the valuation by construction: the fee per pack rises by exactly what the resale price per pack falls, so the product value above is what reaches revenue either way. It is carried because the two halves are disclosed separately and a reader should see both. Revenue note (25)</t>
        </is>
      </c>
      <c r="C94" s="25" t="n">
        <v>49.366365</v>
      </c>
    </row>
    <row r="95" ht="26" customHeight="1">
      <c r="A95" s="4" t="inlineStr">
        <is>
          <t>FY2025 average exchange rate</t>
        </is>
      </c>
      <c r="B95" s="7" t="inlineStr">
        <is>
          <t>Note (36)</t>
        </is>
      </c>
      <c r="C95" s="16" t="n">
        <v>49.48</v>
      </c>
    </row>
    <row r="96">
      <c r="A96" s="8" t="inlineStr">
        <is>
          <t>DERIVED IN THIS SHEET (formulas, not inputs)</t>
        </is>
      </c>
    </row>
    <row r="97">
      <c r="A97" s="4" t="inlineStr">
        <is>
          <t>Normalised risk-free rate = yield less sovereign spread</t>
        </is>
      </c>
      <c r="B97" s="7" t="inlineStr">
        <is>
          <t>calculated</t>
        </is>
      </c>
      <c r="C97" s="27">
        <f>$C$44-$C$45</f>
        <v/>
      </c>
    </row>
    <row r="98">
      <c r="A98" s="4" t="inlineStr">
        <is>
          <t>Cost of equity = normalised risk-free + beta x premium</t>
        </is>
      </c>
      <c r="B98" s="7" t="inlineStr">
        <is>
          <t>calculated</t>
        </is>
      </c>
      <c r="C98" s="27">
        <f>$C$97+$C$49*$C$46</f>
        <v/>
      </c>
    </row>
    <row r="99">
      <c r="A99" s="4" t="inlineStr">
        <is>
          <t>Cost of equity, rating basis (published alternative)</t>
        </is>
      </c>
      <c r="B99" s="7" t="inlineStr">
        <is>
          <t>calculated</t>
        </is>
      </c>
      <c r="C99" s="27">
        <f>($C$44-$C$47)+$C$49*$C$48</f>
        <v/>
      </c>
    </row>
    <row r="100">
      <c r="A100" s="4" t="inlineStr">
        <is>
          <t>Hard-currency debt at LOCAL-EQUIVALENT cost</t>
        </is>
      </c>
      <c r="B100" s="7" t="inlineStr">
        <is>
          <t>calculated</t>
        </is>
      </c>
      <c r="C100" s="27">
        <f>(1+$C$51)*(1+$C$52)-1</f>
        <v/>
      </c>
    </row>
    <row r="101">
      <c r="A101" s="4" t="inlineStr">
        <is>
          <t>Blended marginal cost of debt</t>
        </is>
      </c>
      <c r="B101" s="7" t="inlineStr">
        <is>
          <t>calculated</t>
        </is>
      </c>
      <c r="C101" s="27">
        <f>(1-$C$53)*$C$50+$C$53*$C$100</f>
        <v/>
      </c>
    </row>
    <row r="102">
      <c r="A102" s="4" t="inlineStr">
        <is>
          <t>Cost of debt after tax</t>
        </is>
      </c>
      <c r="B102" s="7" t="inlineStr">
        <is>
          <t>calculated</t>
        </is>
      </c>
      <c r="C102" s="27">
        <f>$C$101*(1-$C$9)</f>
        <v/>
      </c>
    </row>
    <row r="103">
      <c r="A103" s="4" t="inlineStr">
        <is>
          <t>Market capitalisation (EGP mn)</t>
        </is>
      </c>
      <c r="B103" s="7" t="inlineStr">
        <is>
          <t>calculated</t>
        </is>
      </c>
      <c r="C103" s="28">
        <f>$C$3*$C$8</f>
        <v/>
      </c>
    </row>
    <row r="104">
      <c r="A104" s="4" t="inlineStr">
        <is>
          <t>Net debt (EGP mn)</t>
        </is>
      </c>
      <c r="B104" s="7" t="inlineStr">
        <is>
          <t>calculated</t>
        </is>
      </c>
      <c r="C104" s="28">
        <f>$C$76-$C$75</f>
        <v/>
      </c>
    </row>
    <row r="105">
      <c r="A105" s="4" t="inlineStr">
        <is>
          <t>Equity weight (net basis)</t>
        </is>
      </c>
      <c r="B105" s="7" t="inlineStr">
        <is>
          <t>calculated</t>
        </is>
      </c>
      <c r="C105" s="29">
        <f>$C$103/($C$103+$C$104)</f>
        <v/>
      </c>
    </row>
    <row r="106">
      <c r="A106" s="4" t="inlineStr">
        <is>
          <t>Debt weight (net basis)</t>
        </is>
      </c>
      <c r="B106" s="7" t="inlineStr">
        <is>
          <t>calculated</t>
        </is>
      </c>
      <c r="C106" s="29">
        <f>1-$C$105</f>
        <v/>
      </c>
    </row>
    <row r="107">
      <c r="A107" s="4" t="inlineStr">
        <is>
          <t>Weighted average cost of capital, year one</t>
        </is>
      </c>
      <c r="B107" s="7" t="inlineStr">
        <is>
          <t>calculated</t>
        </is>
      </c>
      <c r="C107" s="27">
        <f>$C$105*$C$98+$C$106*$C$102</f>
        <v/>
      </c>
    </row>
    <row r="108">
      <c r="A108" s="4" t="inlineStr">
        <is>
          <t>Debt weight (gross basis)</t>
        </is>
      </c>
      <c r="B108" s="7" t="inlineStr">
        <is>
          <t>calculated</t>
        </is>
      </c>
      <c r="C108" s="29">
        <f>$C$76/($C$103+$C$76)</f>
        <v/>
      </c>
    </row>
    <row r="109">
      <c r="A109" s="4" t="inlineStr">
        <is>
          <t>Weighted average cost of capital, gross-debt basis</t>
        </is>
      </c>
      <c r="B109" s="7" t="inlineStr">
        <is>
          <t>calculated</t>
        </is>
      </c>
      <c r="C109" s="27">
        <f>(1-$C$108)*$C$98+$C$108*$C$102</f>
        <v/>
      </c>
    </row>
    <row r="110">
      <c r="A110" s="4" t="inlineStr">
        <is>
          <t>Terminal cost of equity</t>
        </is>
      </c>
      <c r="B110" s="7" t="inlineStr">
        <is>
          <t>calculated</t>
        </is>
      </c>
      <c r="C110" s="27">
        <f>$C$56+$C$49*$C$57</f>
        <v/>
      </c>
    </row>
    <row r="111">
      <c r="A111" s="4" t="inlineStr">
        <is>
          <t>Terminal cost of debt</t>
        </is>
      </c>
      <c r="B111" s="7" t="inlineStr">
        <is>
          <t>calculated</t>
        </is>
      </c>
      <c r="C111" s="27">
        <f>(1-$C$53)*$C$58+$C$53*((1+$C$59)*1.03-1)</f>
        <v/>
      </c>
    </row>
    <row r="112">
      <c r="A112" s="4" t="inlineStr">
        <is>
          <t>Terminal cost of debt after tax</t>
        </is>
      </c>
      <c r="B112" s="7" t="inlineStr">
        <is>
          <t>calculated</t>
        </is>
      </c>
      <c r="C112" s="27">
        <f>$C$111*(1-$C$9)</f>
        <v/>
      </c>
    </row>
    <row r="113">
      <c r="A113" s="4" t="inlineStr">
        <is>
          <t>Terminal weighted average cost of capital</t>
        </is>
      </c>
      <c r="B113" s="7" t="inlineStr">
        <is>
          <t>calculated</t>
        </is>
      </c>
      <c r="C113" s="27">
        <f>(1-$C$60)*$C$110+$C$60*$C$112</f>
        <v/>
      </c>
    </row>
    <row r="114">
      <c r="A114" s="11" t="inlineStr">
        <is>
          <t>Glide fraction (derived from the convergence path — SHAPE only)</t>
        </is>
      </c>
      <c r="B114" s="7" t="inlineStr">
        <is>
          <t>calculated: (this year's cost of debt less the last year's) over (the first year's less the last year's)</t>
        </is>
      </c>
      <c r="C114" s="30">
        <f>(C$54-$G$54)/($C$54-$G$54)</f>
        <v/>
      </c>
      <c r="D114" s="30">
        <f>(D$54-$G$54)/($C$54-$G$54)</f>
        <v/>
      </c>
      <c r="E114" s="30">
        <f>(E$54-$G$54)/($C$54-$G$54)</f>
        <v/>
      </c>
      <c r="F114" s="30">
        <f>(F$54-$G$54)/($C$54-$G$54)</f>
        <v/>
      </c>
      <c r="G114" s="30">
        <f>(G$54-$G$54)/($C$54-$G$54)</f>
        <v/>
      </c>
    </row>
    <row r="115">
      <c r="A115" s="11" t="inlineStr">
        <is>
          <t>Discount rate</t>
        </is>
      </c>
      <c r="B115" s="7" t="inlineStr">
        <is>
          <t>calculated: terminal rate plus the glide fraction of the gap to year one</t>
        </is>
      </c>
      <c r="C115" s="15">
        <f>$C$113+($C$107-$C$113)*C$114</f>
        <v/>
      </c>
      <c r="D115" s="15">
        <f>$C$113+($C$107-$C$113)*D$114</f>
        <v/>
      </c>
      <c r="E115" s="15">
        <f>$C$113+($C$107-$C$113)*E$114</f>
        <v/>
      </c>
      <c r="F115" s="15">
        <f>$C$113+($C$107-$C$113)*F$114</f>
        <v/>
      </c>
      <c r="G115" s="15">
        <f>$C$113+($C$107-$C$113)*G$114</f>
        <v/>
      </c>
    </row>
    <row r="116">
      <c r="A116" s="11" t="inlineStr">
        <is>
          <t>Discount factor</t>
        </is>
      </c>
      <c r="B116" s="7" t="inlineStr">
        <is>
          <t>calculated: the previous factor divided by one plus this year's rate — the factors compound</t>
        </is>
      </c>
      <c r="C116" s="31">
        <f>1/(1+C$115)</f>
        <v/>
      </c>
      <c r="D116" s="31">
        <f>C116/(1+D$115)</f>
        <v/>
      </c>
      <c r="E116" s="31">
        <f>D116/(1+E$115)</f>
        <v/>
      </c>
      <c r="F116" s="31">
        <f>E116/(1+F$115)</f>
        <v/>
      </c>
      <c r="G116" s="31">
        <f>F116/(1+G$115)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2" customWidth="1" min="1" max="1"/>
    <col width="18" customWidth="1" min="2" max="2"/>
    <col width="16" customWidth="1" min="3" max="3"/>
  </cols>
  <sheetData>
    <row r="1" ht="30" customHeight="1">
      <c r="A1" s="1" t="inlineStr">
        <is>
          <t>Enterprise value to equity value bridge</t>
        </is>
      </c>
      <c r="B1" s="2" t="inlineStr">
        <is>
          <t>EGP million</t>
        </is>
      </c>
      <c r="C1" s="2" t="inlineStr">
        <is>
          <t>EGP / share</t>
        </is>
      </c>
    </row>
    <row r="2">
      <c r="A2" s="4" t="inlineStr">
        <is>
          <t>Core enterprise value — discounted cash flow of the operating business</t>
        </is>
      </c>
      <c r="B2" s="13">
        <f>DCF!B33</f>
        <v/>
      </c>
      <c r="C2" s="5">
        <f>B2/Assumptions!$C$8</f>
        <v/>
      </c>
    </row>
    <row r="3">
      <c r="A3" s="4" t="inlineStr">
        <is>
          <t xml:space="preserve">   of which the terminal value (memorandum)</t>
        </is>
      </c>
      <c r="B3" s="13">
        <f>DCF!B30</f>
        <v/>
      </c>
      <c r="C3" s="5">
        <f>B3/Assumptions!$C$8</f>
        <v/>
      </c>
    </row>
    <row r="4">
      <c r="A4" s="8" t="inlineStr">
        <is>
          <t xml:space="preserve">   terminal value as a percentage of core enterprise value</t>
        </is>
      </c>
      <c r="B4" s="10">
        <f>DCF!B34</f>
        <v/>
      </c>
    </row>
    <row r="5">
      <c r="A5" s="4" t="inlineStr">
        <is>
          <t>Add: earning associates at normalised earnings x the multiple</t>
        </is>
      </c>
      <c r="B5" s="13">
        <f>Assumptions!$C$63*Assumptions!$C$64</f>
        <v/>
      </c>
      <c r="C5" s="5">
        <f>B5/Assumptions!$C$8</f>
        <v/>
      </c>
    </row>
    <row r="6">
      <c r="A6" s="4" t="inlineStr">
        <is>
          <t>Add: the pre-revenue active-ingredient company at carrying cost</t>
        </is>
      </c>
      <c r="B6" s="13">
        <f>Assumptions!$C$81</f>
        <v/>
      </c>
      <c r="C6" s="5">
        <f>B6/Assumptions!$C$8</f>
        <v/>
      </c>
    </row>
    <row r="7">
      <c r="A7" s="4" t="inlineStr">
        <is>
          <t>Add: assets held for sale</t>
        </is>
      </c>
      <c r="B7" s="13">
        <f>Assumptions!$C$82</f>
        <v/>
      </c>
      <c r="C7" s="5">
        <f>B7/Assumptions!$C$8</f>
        <v/>
      </c>
    </row>
    <row r="8">
      <c r="A8" s="8" t="inlineStr">
        <is>
          <t>TOTAL ENTERPRISE VALUE</t>
        </is>
      </c>
      <c r="B8" s="32">
        <f>B2+B5+B6+B7</f>
        <v/>
      </c>
      <c r="C8" s="9">
        <f>B8/Assumptions!$C$8</f>
        <v/>
      </c>
    </row>
    <row r="9">
      <c r="A9" s="4" t="inlineStr">
        <is>
          <t>Less: net debt</t>
        </is>
      </c>
      <c r="B9" s="13">
        <f>-Assumptions!$C$104</f>
        <v/>
      </c>
      <c r="C9" s="5">
        <f>B9/Assumptions!$C$8</f>
        <v/>
      </c>
    </row>
    <row r="10">
      <c r="A10" s="4" t="inlineStr">
        <is>
          <t>Less: non-controlling interests, post-deconsolidation</t>
        </is>
      </c>
      <c r="B10" s="13">
        <f>-Assumptions!$C$80</f>
        <v/>
      </c>
      <c r="C10" s="5">
        <f>B10/Assumptions!$C$8</f>
        <v/>
      </c>
    </row>
    <row r="11">
      <c r="A11" s="8" t="inlineStr">
        <is>
          <t>EQUITY VALUE</t>
        </is>
      </c>
      <c r="B11" s="32">
        <f>B8+B9+B10</f>
        <v/>
      </c>
      <c r="C11" s="9">
        <f>B11/Assumptions!$C$8</f>
        <v/>
      </c>
    </row>
    <row r="13">
      <c r="A13" s="8" t="inlineStr">
        <is>
          <t>Value per share — Frame A</t>
        </is>
      </c>
      <c r="B13" s="32">
        <f>B11</f>
        <v/>
      </c>
      <c r="C13" s="9">
        <f>B13/Assumptions!$C$8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0" customWidth="1" min="1" max="1"/>
    <col width="15" customWidth="1" min="2" max="2"/>
    <col width="13" customWidth="1" min="3" max="3"/>
    <col width="13" customWidth="1" min="4" max="4"/>
    <col width="13" customWidth="1" min="5" max="5"/>
    <col width="13" customWidth="1" min="6" max="6"/>
    <col width="13" customWidth="1" min="7" max="7"/>
    <col width="13" customWidth="1" min="8" max="8"/>
  </cols>
  <sheetData>
    <row r="1" ht="30" customHeight="1">
      <c r="A1" s="1" t="inlineStr">
        <is>
          <t>Volume and price build</t>
        </is>
      </c>
      <c r="B1" s="2" t="inlineStr">
        <is>
          <t>FY2024</t>
        </is>
      </c>
      <c r="C1" s="2" t="inlineStr">
        <is>
          <t>FY2025</t>
        </is>
      </c>
      <c r="D1" s="2" t="inlineStr">
        <is>
          <t>FY2026E</t>
        </is>
      </c>
      <c r="E1" s="2" t="inlineStr">
        <is>
          <t>FY2027E</t>
        </is>
      </c>
      <c r="F1" s="2" t="inlineStr">
        <is>
          <t>FY2028E</t>
        </is>
      </c>
      <c r="G1" s="2" t="inlineStr">
        <is>
          <t>FY2029E</t>
        </is>
      </c>
      <c r="H1" s="2" t="inlineStr">
        <is>
          <t>FY2030E</t>
        </is>
      </c>
    </row>
    <row r="2">
      <c r="A2" s="11" t="inlineStr">
        <is>
          <t>Domestic packs sold (million)</t>
        </is>
      </c>
      <c r="B2" s="16" t="n">
        <v>244.272</v>
      </c>
      <c r="C2" s="33">
        <f>Assumptions!$C$88-Assumptions!$C$89</f>
        <v/>
      </c>
      <c r="D2" s="5">
        <f>C2*(1+Assumptions!C$12)</f>
        <v/>
      </c>
      <c r="E2" s="5">
        <f>D2*(1+Assumptions!D$12)</f>
        <v/>
      </c>
      <c r="F2" s="5">
        <f>E2*(1+Assumptions!E$12)</f>
        <v/>
      </c>
      <c r="G2" s="5">
        <f>F2*(1+Assumptions!F$12)</f>
        <v/>
      </c>
      <c r="H2" s="5">
        <f>G2*(1+Assumptions!G$12)</f>
        <v/>
      </c>
    </row>
    <row r="3">
      <c r="A3" s="11" t="inlineStr">
        <is>
          <t>Export packs sold (million)</t>
        </is>
      </c>
      <c r="B3" s="16" t="n">
        <v>54.7</v>
      </c>
      <c r="C3" s="33">
        <f>Assumptions!$C$89</f>
        <v/>
      </c>
      <c r="D3" s="5">
        <f>C3*(1+Assumptions!C$13)</f>
        <v/>
      </c>
      <c r="E3" s="5">
        <f>D3*(1+Assumptions!D$13)</f>
        <v/>
      </c>
      <c r="F3" s="5">
        <f>E3*(1+Assumptions!E$13)</f>
        <v/>
      </c>
      <c r="G3" s="5">
        <f>F3*(1+Assumptions!F$13)</f>
        <v/>
      </c>
      <c r="H3" s="5">
        <f>G3*(1+Assumptions!G$13)</f>
        <v/>
      </c>
    </row>
    <row r="4">
      <c r="A4" s="11" t="inlineStr">
        <is>
          <t>Domestic realised price per pack (EGP) — own preparations only</t>
        </is>
      </c>
      <c r="B4" s="5">
        <f>B7/B2</f>
        <v/>
      </c>
      <c r="C4" s="5">
        <f>C7/C2</f>
        <v/>
      </c>
      <c r="D4" s="5">
        <f>C4*(1+Assumptions!C$14)</f>
        <v/>
      </c>
      <c r="E4" s="5">
        <f>D4*(1+Assumptions!D$14)</f>
        <v/>
      </c>
      <c r="F4" s="5">
        <f>E4*(1+Assumptions!E$14)</f>
        <v/>
      </c>
      <c r="G4" s="5">
        <f>F4*(1+Assumptions!F$14)</f>
        <v/>
      </c>
      <c r="H4" s="5">
        <f>G4*(1+Assumptions!G$14)</f>
        <v/>
      </c>
    </row>
    <row r="5">
      <c r="A5" s="11" t="inlineStr">
        <is>
          <t>Export realised price per pack (USD)</t>
        </is>
      </c>
      <c r="B5" s="5">
        <f>B8/B3/B6</f>
        <v/>
      </c>
      <c r="C5" s="5">
        <f>C8/C3/C6</f>
        <v/>
      </c>
      <c r="D5" s="5">
        <f>C5*(1+Assumptions!C$15)</f>
        <v/>
      </c>
      <c r="E5" s="5">
        <f>D5*(1+Assumptions!D$15)</f>
        <v/>
      </c>
      <c r="F5" s="5">
        <f>E5*(1+Assumptions!E$15)</f>
        <v/>
      </c>
      <c r="G5" s="5">
        <f>F5*(1+Assumptions!F$15)</f>
        <v/>
      </c>
      <c r="H5" s="5">
        <f>G5*(1+Assumptions!G$15)</f>
        <v/>
      </c>
    </row>
    <row r="6">
      <c r="A6" s="11" t="inlineStr">
        <is>
          <t>Exchange rate (EGP per USD)</t>
        </is>
      </c>
      <c r="B6" s="16" t="n">
        <v>47.74</v>
      </c>
      <c r="C6" s="16" t="n">
        <v>49.48</v>
      </c>
      <c r="D6" s="5">
        <f>Assumptions!C$17</f>
        <v/>
      </c>
      <c r="E6" s="5">
        <f>Assumptions!D$17</f>
        <v/>
      </c>
      <c r="F6" s="5">
        <f>Assumptions!E$17</f>
        <v/>
      </c>
      <c r="G6" s="5">
        <f>Assumptions!F$17</f>
        <v/>
      </c>
      <c r="H6" s="5">
        <f>Assumptions!G$17</f>
        <v/>
      </c>
    </row>
    <row r="7">
      <c r="A7" s="3" t="inlineStr">
        <is>
          <t>Domestic revenue, own preparations (EGP mn)</t>
        </is>
      </c>
      <c r="B7" s="13">
        <f>7104.16-B8</f>
        <v/>
      </c>
      <c r="C7" s="13">
        <f>Assumptions!$C$91-C8</f>
        <v/>
      </c>
      <c r="D7" s="34">
        <f>D2*D4</f>
        <v/>
      </c>
      <c r="E7" s="34">
        <f>E2*E4</f>
        <v/>
      </c>
      <c r="F7" s="34">
        <f>F2*F4</f>
        <v/>
      </c>
      <c r="G7" s="34">
        <f>G2*G4</f>
        <v/>
      </c>
      <c r="H7" s="34">
        <f>H2*H4</f>
        <v/>
      </c>
    </row>
    <row r="8">
      <c r="A8" s="3" t="inlineStr">
        <is>
          <t>Export revenue (EGP mn)</t>
        </is>
      </c>
      <c r="B8" s="19" t="n">
        <v>2500.155946</v>
      </c>
      <c r="C8" s="13">
        <f>Assumptions!$C$90</f>
        <v/>
      </c>
      <c r="D8" s="34">
        <f>D3*D5*D6</f>
        <v/>
      </c>
      <c r="E8" s="34">
        <f>E3*E5*E6</f>
        <v/>
      </c>
      <c r="F8" s="34">
        <f>F3*F5*F6</f>
        <v/>
      </c>
      <c r="G8" s="34">
        <f>G3*G5*G6</f>
        <v/>
      </c>
      <c r="H8" s="34">
        <f>H3*H5*H6</f>
        <v/>
      </c>
    </row>
    <row r="9">
      <c r="A9" s="11" t="inlineStr">
        <is>
          <t>Contract-manufactured packs (million)</t>
        </is>
      </c>
      <c r="B9" s="18" t="n">
        <v>8.874000000000001</v>
      </c>
      <c r="C9" s="33">
        <f>Assumptions!$C$93</f>
        <v/>
      </c>
      <c r="D9" s="33">
        <f>C9*(1+Assumptions!C$16)</f>
        <v/>
      </c>
      <c r="E9" s="33">
        <f>D9*(1+Assumptions!D$16)</f>
        <v/>
      </c>
      <c r="F9" s="33">
        <f>E9*(1+Assumptions!E$16)</f>
        <v/>
      </c>
      <c r="G9" s="33">
        <f>F9*(1+Assumptions!F$16)</f>
        <v/>
      </c>
      <c r="H9" s="33">
        <f>G9*(1+Assumptions!G$16)</f>
        <v/>
      </c>
    </row>
    <row r="10">
      <c r="A10" s="11" t="inlineStr">
        <is>
          <t>Contract-manufacturing FEE per pack (EGP)</t>
        </is>
      </c>
      <c r="B10" s="5">
        <f>35.835829/B9</f>
        <v/>
      </c>
      <c r="C10" s="5">
        <f>Assumptions!$C$94/C9</f>
        <v/>
      </c>
      <c r="D10" s="5">
        <f>C10*(1+Assumptions!C$14)</f>
        <v/>
      </c>
      <c r="E10" s="5">
        <f>D10*(1+Assumptions!D$14)</f>
        <v/>
      </c>
      <c r="F10" s="5">
        <f>E10*(1+Assumptions!E$14)</f>
        <v/>
      </c>
      <c r="G10" s="5">
        <f>F10*(1+Assumptions!F$14)</f>
        <v/>
      </c>
      <c r="H10" s="5">
        <f>G10*(1+Assumptions!G$14)</f>
        <v/>
      </c>
    </row>
    <row r="11">
      <c r="A11" s="11" t="inlineStr">
        <is>
          <t>Contract product resold through own channels, per pack (EGP)</t>
        </is>
      </c>
      <c r="B11" s="5">
        <f>(259.912-35.835829)/B9</f>
        <v/>
      </c>
      <c r="C11" s="5">
        <f>(Assumptions!$C$92-Assumptions!$C$94)/C9</f>
        <v/>
      </c>
      <c r="D11" s="5">
        <f>C11*(1+Assumptions!C$14)</f>
        <v/>
      </c>
      <c r="E11" s="5">
        <f>D11*(1+Assumptions!D$14)</f>
        <v/>
      </c>
      <c r="F11" s="5">
        <f>E11*(1+Assumptions!E$14)</f>
        <v/>
      </c>
      <c r="G11" s="5">
        <f>F11*(1+Assumptions!F$14)</f>
        <v/>
      </c>
      <c r="H11" s="5">
        <f>G11*(1+Assumptions!G$14)</f>
        <v/>
      </c>
    </row>
    <row r="12">
      <c r="A12" s="3" t="inlineStr">
        <is>
          <t>Contract-manufacturing revenue — fee (EGP mn)</t>
        </is>
      </c>
      <c r="B12" s="35">
        <f>B9*B10</f>
        <v/>
      </c>
      <c r="C12" s="35">
        <f>C9*C10</f>
        <v/>
      </c>
      <c r="D12" s="36">
        <f>D9*D10</f>
        <v/>
      </c>
      <c r="E12" s="36">
        <f>E9*E10</f>
        <v/>
      </c>
      <c r="F12" s="36">
        <f>F9*F10</f>
        <v/>
      </c>
      <c r="G12" s="36">
        <f>G9*G10</f>
        <v/>
      </c>
      <c r="H12" s="36">
        <f>H9*H10</f>
        <v/>
      </c>
    </row>
    <row r="13">
      <c r="A13" s="3" t="inlineStr">
        <is>
          <t>Contract product resold through own channels (EGP mn)</t>
        </is>
      </c>
      <c r="B13" s="35">
        <f>B9*B11</f>
        <v/>
      </c>
      <c r="C13" s="35">
        <f>C9*C11</f>
        <v/>
      </c>
      <c r="D13" s="36">
        <f>D9*D11</f>
        <v/>
      </c>
      <c r="E13" s="36">
        <f>E9*E11</f>
        <v/>
      </c>
      <c r="F13" s="36">
        <f>F9*F11</f>
        <v/>
      </c>
      <c r="G13" s="36">
        <f>G9*G11</f>
        <v/>
      </c>
      <c r="H13" s="36">
        <f>H9*H11</f>
        <v/>
      </c>
    </row>
    <row r="14">
      <c r="A14" s="11" t="inlineStr">
        <is>
          <t>Total packs sold (million)</t>
        </is>
      </c>
      <c r="B14" s="16" t="n">
        <v>307.846</v>
      </c>
      <c r="C14" s="16" t="n">
        <v>357.295</v>
      </c>
      <c r="D14" s="5">
        <f>D2+D3+D9</f>
        <v/>
      </c>
      <c r="E14" s="5">
        <f>E2+E3+E9</f>
        <v/>
      </c>
      <c r="F14" s="5">
        <f>F2+F3+F9</f>
        <v/>
      </c>
      <c r="G14" s="5">
        <f>G2+G3+G9</f>
        <v/>
      </c>
      <c r="H14" s="5">
        <f>H2+H3+H9</f>
        <v/>
      </c>
    </row>
    <row r="15">
      <c r="A15" s="8" t="inlineStr">
        <is>
          <t>REVENUE, consolidated (EGP mn)</t>
        </is>
      </c>
      <c r="B15" s="19" t="n">
        <v>7590.545643</v>
      </c>
      <c r="C15" s="19" t="n">
        <v>9441.379305</v>
      </c>
      <c r="D15" s="32">
        <f>(D7+D8+D12+D13)*Assumptions!$C$87</f>
        <v/>
      </c>
      <c r="E15" s="32">
        <f>(E7+E8+E12+E13)*Assumptions!$C$87</f>
        <v/>
      </c>
      <c r="F15" s="32">
        <f>(F7+F8+F12+F13)*Assumptions!$C$87</f>
        <v/>
      </c>
      <c r="G15" s="32">
        <f>(G7+G8+G12+G13)*Assumptions!$C$87</f>
        <v/>
      </c>
      <c r="H15" s="32">
        <f>(H7+H8+H12+H13)*Assumptions!$C$87</f>
        <v/>
      </c>
    </row>
    <row r="17">
      <c r="A17" s="8" t="inlineStr">
        <is>
          <t>DISCLOSED CAPACITY AND UTILISATION</t>
        </is>
      </c>
    </row>
    <row r="18">
      <c r="A18" s="4" t="inlineStr">
        <is>
          <t>Units produced (million)</t>
        </is>
      </c>
      <c r="B18" s="19" t="n">
        <v>2143.68</v>
      </c>
      <c r="C18" s="19" t="n">
        <v>2207.95</v>
      </c>
    </row>
    <row r="19">
      <c r="A19" s="4" t="inlineStr">
        <is>
          <t>Available capacity (million units)</t>
        </is>
      </c>
      <c r="B19" s="19" t="n">
        <v>3383.06</v>
      </c>
      <c r="C19" s="19" t="n">
        <v>3383.06</v>
      </c>
    </row>
    <row r="20">
      <c r="A20" s="11" t="inlineStr">
        <is>
          <t>Capacity utilisation</t>
        </is>
      </c>
      <c r="B20" s="6">
        <f>B18/B19</f>
        <v/>
      </c>
      <c r="C20" s="6">
        <f>C18/C19</f>
        <v/>
      </c>
    </row>
    <row r="21">
      <c r="A21" s="4" t="inlineStr">
        <is>
          <t>Registered preparations produced</t>
        </is>
      </c>
      <c r="B21" s="19" t="n">
        <v>401</v>
      </c>
      <c r="C21" s="19" t="n">
        <v>414</v>
      </c>
    </row>
    <row r="22">
      <c r="A22" s="4" t="inlineStr">
        <is>
          <t>Average headcount</t>
        </is>
      </c>
      <c r="B22" s="19" t="n">
        <v>4880</v>
      </c>
      <c r="C22" s="19" t="n">
        <v>4981</v>
      </c>
    </row>
    <row r="23">
      <c r="A23" s="11" t="inlineStr">
        <is>
          <t>Revenue per employee (EGP)</t>
        </is>
      </c>
      <c r="B23" s="13">
        <f>B15*1000000/B22</f>
        <v/>
      </c>
      <c r="C23" s="13">
        <f>C15*1000000/C22</f>
        <v/>
      </c>
    </row>
    <row r="25">
      <c r="A25" s="8" t="inlineStr">
        <is>
          <t>COST ESCALATOR INDEX (base FY2025 = 1.000)</t>
        </is>
      </c>
    </row>
    <row r="26">
      <c r="A26" s="4" t="inlineStr">
        <is>
          <t>Imported active ingredients</t>
        </is>
      </c>
      <c r="D26" s="31">
        <f>((1+Assumptions!$C$25)*(Segments!D6/Assumptions!$C$95))</f>
        <v/>
      </c>
      <c r="E26" s="31">
        <f>D26*((1+Assumptions!$C$25)*(Segments!E6/Segments!D6))</f>
        <v/>
      </c>
      <c r="F26" s="31">
        <f>E26*((1+Assumptions!$C$25)*(Segments!F6/Segments!E6))</f>
        <v/>
      </c>
      <c r="G26" s="31">
        <f>F26*((1+Assumptions!$C$25)*(Segments!G6/Segments!F6))</f>
        <v/>
      </c>
      <c r="H26" s="31">
        <f>G26*((1+Assumptions!$C$25)*(Segments!H6/Segments!G6))</f>
        <v/>
      </c>
    </row>
    <row r="27">
      <c r="A27" s="4" t="inlineStr">
        <is>
          <t>Packaging materials</t>
        </is>
      </c>
      <c r="D27" s="31">
        <f>(Assumptions!$C$26*(1+Assumptions!$C$25)*(Segments!D6/Assumptions!$C$95)+(1-Assumptions!$C$26)*(1+Assumptions!C$29))</f>
        <v/>
      </c>
      <c r="E27" s="31">
        <f>D27*(Assumptions!$C$26*(1+Assumptions!$C$25)*(Segments!E6/Segments!D6)+(1-Assumptions!$C$26)*(1+Assumptions!D$29))</f>
        <v/>
      </c>
      <c r="F27" s="31">
        <f>E27*(Assumptions!$C$26*(1+Assumptions!$C$25)*(Segments!F6/Segments!E6)+(1-Assumptions!$C$26)*(1+Assumptions!E$29))</f>
        <v/>
      </c>
      <c r="G27" s="31">
        <f>F27*(Assumptions!$C$26*(1+Assumptions!$C$25)*(Segments!G6/Segments!F6)+(1-Assumptions!$C$26)*(1+Assumptions!F$29))</f>
        <v/>
      </c>
      <c r="H27" s="31">
        <f>G27*(Assumptions!$C$26*(1+Assumptions!$C$25)*(Segments!H6/Segments!G6)+(1-Assumptions!$C$26)*(1+Assumptions!G$29))</f>
        <v/>
      </c>
    </row>
    <row r="28">
      <c r="A28" s="4" t="inlineStr">
        <is>
          <t>Labour</t>
        </is>
      </c>
      <c r="D28" s="31">
        <f>(1+Assumptions!C$27)</f>
        <v/>
      </c>
      <c r="E28" s="31">
        <f>D28*(1+Assumptions!D$27)</f>
        <v/>
      </c>
      <c r="F28" s="31">
        <f>E28*(1+Assumptions!E$27)</f>
        <v/>
      </c>
      <c r="G28" s="31">
        <f>F28*(1+Assumptions!F$27)</f>
        <v/>
      </c>
      <c r="H28" s="31">
        <f>G28*(1+Assumptions!G$27)</f>
        <v/>
      </c>
    </row>
    <row r="29">
      <c r="A29" s="4" t="inlineStr">
        <is>
          <t>Energy and utilities</t>
        </is>
      </c>
      <c r="D29" s="31">
        <f>(1+Assumptions!C$28)</f>
        <v/>
      </c>
      <c r="E29" s="31">
        <f>D29*(1+Assumptions!D$28)</f>
        <v/>
      </c>
      <c r="F29" s="31">
        <f>E29*(1+Assumptions!E$28)</f>
        <v/>
      </c>
      <c r="G29" s="31">
        <f>F29*(1+Assumptions!F$28)</f>
        <v/>
      </c>
      <c r="H29" s="31">
        <f>G29*(1+Assumptions!G$28)</f>
        <v/>
      </c>
    </row>
    <row r="30">
      <c r="A30" s="4" t="inlineStr">
        <is>
          <t>Other consumables and services</t>
        </is>
      </c>
      <c r="D30" s="31">
        <f>(1+Assumptions!C$29)</f>
        <v/>
      </c>
      <c r="E30" s="31">
        <f>D30*(1+Assumptions!D$29)</f>
        <v/>
      </c>
      <c r="F30" s="31">
        <f>E30*(1+Assumptions!E$29)</f>
        <v/>
      </c>
      <c r="G30" s="31">
        <f>F30*(1+Assumptions!F$29)</f>
        <v/>
      </c>
      <c r="H30" s="31">
        <f>G30*(1+Assumptions!G$29)</f>
        <v/>
      </c>
    </row>
    <row r="31">
      <c r="A31" s="8" t="inlineStr">
        <is>
          <t>Blended cash-cost index</t>
        </is>
      </c>
      <c r="D31" s="37">
        <f>(Assumptions!$C$19*D26+Assumptions!$C$20*D27+Assumptions!$C$21*D28+Assumptions!$C$22*D29+Assumptions!$C$23*D30)/(Assumptions!$C$19+Assumptions!$C$20+Assumptions!$C$21+Assumptions!$C$22+Assumptions!$C$23)</f>
        <v/>
      </c>
      <c r="E31" s="37">
        <f>(Assumptions!$C$19*E26+Assumptions!$C$20*E27+Assumptions!$C$21*E28+Assumptions!$C$22*E29+Assumptions!$C$23*E30)/(Assumptions!$C$19+Assumptions!$C$20+Assumptions!$C$21+Assumptions!$C$22+Assumptions!$C$23)</f>
        <v/>
      </c>
      <c r="F31" s="37">
        <f>(Assumptions!$C$19*F26+Assumptions!$C$20*F27+Assumptions!$C$21*F28+Assumptions!$C$22*F29+Assumptions!$C$23*F30)/(Assumptions!$C$19+Assumptions!$C$20+Assumptions!$C$21+Assumptions!$C$22+Assumptions!$C$23)</f>
        <v/>
      </c>
      <c r="G31" s="37">
        <f>(Assumptions!$C$19*G26+Assumptions!$C$20*G27+Assumptions!$C$21*G28+Assumptions!$C$22*G29+Assumptions!$C$23*G30)/(Assumptions!$C$19+Assumptions!$C$20+Assumptions!$C$21+Assumptions!$C$22+Assumptions!$C$23)</f>
        <v/>
      </c>
      <c r="H31" s="37">
        <f>(Assumptions!$C$19*H26+Assumptions!$C$20*H27+Assumptions!$C$21*H28+Assumptions!$C$22*H29+Assumptions!$C$23*H30)/(Assumptions!$C$19+Assumptions!$C$20+Assumptions!$C$21+Assumptions!$C$22+Assumptions!$C$23)</f>
        <v/>
      </c>
    </row>
    <row r="32">
      <c r="A32" s="11" t="inlineStr">
        <is>
          <t>Cash cost per pack (EGP)</t>
        </is>
      </c>
      <c r="D32" s="12">
        <f>Assumptions!$C$86*D31</f>
        <v/>
      </c>
      <c r="E32" s="12">
        <f>Assumptions!$C$86*E31</f>
        <v/>
      </c>
      <c r="F32" s="12">
        <f>Assumptions!$C$86*F31</f>
        <v/>
      </c>
      <c r="G32" s="12">
        <f>Assumptions!$C$86*G31</f>
        <v/>
      </c>
      <c r="H32" s="12">
        <f>Assumptions!$C$86*H31</f>
        <v/>
      </c>
    </row>
    <row r="34">
      <c r="A34" s="8" t="inlineStr">
        <is>
          <t>PROPERTY ROLL-FORWARD (EGP mn)</t>
        </is>
      </c>
    </row>
    <row r="35">
      <c r="A35" s="4" t="inlineStr">
        <is>
          <t>Opening property, plant and equipment</t>
        </is>
      </c>
      <c r="D35" s="13">
        <f>Assumptions!$C$68</f>
        <v/>
      </c>
      <c r="E35" s="13">
        <f>D39</f>
        <v/>
      </c>
      <c r="F35" s="13">
        <f>E39</f>
        <v/>
      </c>
      <c r="G35" s="13">
        <f>F39</f>
        <v/>
      </c>
      <c r="H35" s="13">
        <f>G39</f>
        <v/>
      </c>
    </row>
    <row r="36">
      <c r="A36" s="4" t="inlineStr">
        <is>
          <t>Transfers in from construction</t>
        </is>
      </c>
      <c r="D36" s="13">
        <f>Assumptions!C$37</f>
        <v/>
      </c>
      <c r="E36" s="13">
        <f>Assumptions!D$37</f>
        <v/>
      </c>
      <c r="F36" s="13">
        <f>Assumptions!E$37</f>
        <v/>
      </c>
      <c r="G36" s="13">
        <f>Assumptions!F$37</f>
        <v/>
      </c>
      <c r="H36" s="13">
        <f>Assumptions!G$37</f>
        <v/>
      </c>
    </row>
    <row r="37">
      <c r="A37" s="4" t="inlineStr">
        <is>
          <t>Depreciation charge</t>
        </is>
      </c>
      <c r="D37" s="13">
        <f>-Assumptions!$C$38*(D35+D36/2)</f>
        <v/>
      </c>
      <c r="E37" s="13">
        <f>-Assumptions!$C$38*(E35+E36/2)</f>
        <v/>
      </c>
      <c r="F37" s="13">
        <f>-Assumptions!$C$38*(F35+F36/2)</f>
        <v/>
      </c>
      <c r="G37" s="13">
        <f>-Assumptions!$C$38*(G35+G36/2)</f>
        <v/>
      </c>
      <c r="H37" s="13">
        <f>-Assumptions!$C$38*(H35+H36/2)</f>
        <v/>
      </c>
    </row>
    <row r="38">
      <c r="A38" s="4" t="inlineStr">
        <is>
          <t>Amortisation of right-of-use and intangible assets</t>
        </is>
      </c>
      <c r="D38" s="35">
        <f>-Assumptions!$C$84</f>
        <v/>
      </c>
      <c r="E38" s="35">
        <f>-Assumptions!$C$84</f>
        <v/>
      </c>
      <c r="F38" s="35">
        <f>-Assumptions!$C$84</f>
        <v/>
      </c>
      <c r="G38" s="35">
        <f>-Assumptions!$C$84</f>
        <v/>
      </c>
      <c r="H38" s="35">
        <f>-Assumptions!$C$84</f>
        <v/>
      </c>
    </row>
    <row r="39">
      <c r="A39" s="8" t="inlineStr">
        <is>
          <t>Closing property, plant and equipment</t>
        </is>
      </c>
      <c r="D39" s="32">
        <f>D35+D36+D37</f>
        <v/>
      </c>
      <c r="E39" s="32">
        <f>E35+E36+E37</f>
        <v/>
      </c>
      <c r="F39" s="32">
        <f>F35+F36+F37</f>
        <v/>
      </c>
      <c r="G39" s="32">
        <f>G35+G36+G37</f>
        <v/>
      </c>
      <c r="H39" s="32">
        <f>H35+H36+H37</f>
        <v/>
      </c>
    </row>
    <row r="40">
      <c r="A40" s="4" t="inlineStr">
        <is>
          <t>Capital expenditure</t>
        </is>
      </c>
      <c r="D40" s="13">
        <f>D15*Assumptions!C$36</f>
        <v/>
      </c>
      <c r="E40" s="13">
        <f>E15*Assumptions!D$36</f>
        <v/>
      </c>
      <c r="F40" s="13">
        <f>F15*Assumptions!E$36</f>
        <v/>
      </c>
      <c r="G40" s="13">
        <f>G15*Assumptions!F$36</f>
        <v/>
      </c>
      <c r="H40" s="13">
        <f>H15*Assumptions!G$36</f>
        <v/>
      </c>
    </row>
    <row r="41">
      <c r="A41" s="11" t="inlineStr">
        <is>
          <t>Total depreciation and amortisation</t>
        </is>
      </c>
      <c r="D41" s="28">
        <f>-D37-D38</f>
        <v/>
      </c>
      <c r="E41" s="28">
        <f>-E37-E38</f>
        <v/>
      </c>
      <c r="F41" s="28">
        <f>-F37-F38</f>
        <v/>
      </c>
      <c r="G41" s="28">
        <f>-G37-G38</f>
        <v/>
      </c>
      <c r="H41" s="28">
        <f>-H37-H38</f>
        <v/>
      </c>
    </row>
    <row r="42">
      <c r="A42" s="4" t="inlineStr">
        <is>
          <t>Opening construction balance</t>
        </is>
      </c>
      <c r="D42" s="13">
        <f>Assumptions!$C$69</f>
        <v/>
      </c>
      <c r="E42" s="13">
        <f>D44</f>
        <v/>
      </c>
      <c r="F42" s="13">
        <f>E44</f>
        <v/>
      </c>
      <c r="G42" s="13">
        <f>F44</f>
        <v/>
      </c>
      <c r="H42" s="13">
        <f>G44</f>
        <v/>
      </c>
    </row>
    <row r="43">
      <c r="A43" s="4" t="inlineStr">
        <is>
          <t>Additions less transfers out</t>
        </is>
      </c>
      <c r="D43" s="13">
        <f>D40-D36</f>
        <v/>
      </c>
      <c r="E43" s="13">
        <f>E40-E36</f>
        <v/>
      </c>
      <c r="F43" s="13">
        <f>F40-F36</f>
        <v/>
      </c>
      <c r="G43" s="13">
        <f>G40-G36</f>
        <v/>
      </c>
      <c r="H43" s="13">
        <f>H40-H36</f>
        <v/>
      </c>
    </row>
    <row r="44">
      <c r="A44" s="8" t="inlineStr">
        <is>
          <t>Closing construction balance</t>
        </is>
      </c>
      <c r="D44" s="32">
        <f>D42+D43</f>
        <v/>
      </c>
      <c r="E44" s="32">
        <f>E42+E43</f>
        <v/>
      </c>
      <c r="F44" s="32">
        <f>F42+F43</f>
        <v/>
      </c>
      <c r="G44" s="32">
        <f>G42+G43</f>
        <v/>
      </c>
      <c r="H44" s="32">
        <f>H42+H43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6" customWidth="1" min="1" max="1"/>
    <col width="16" customWidth="1" min="2" max="2"/>
    <col width="16" customWidth="1" min="3" max="3"/>
    <col width="40" customWidth="1" min="4" max="4"/>
  </cols>
  <sheetData>
    <row r="1" ht="30" customHeight="1">
      <c r="A1" s="1" t="inlineStr">
        <is>
          <t>Triangulation</t>
        </is>
      </c>
      <c r="B1" s="2" t="inlineStr">
        <is>
          <t>Multiple</t>
        </is>
      </c>
      <c r="C1" s="2" t="inlineStr">
        <is>
          <t>Value (EGP/share)</t>
        </is>
      </c>
      <c r="D1" s="2" t="inlineStr">
        <is>
          <t>Note</t>
        </is>
      </c>
    </row>
    <row r="2">
      <c r="A2" s="8" t="inlineStr">
        <is>
          <t>SUSTAINABLE RETURN ON EQUITY — COMPUTED FROM THE FORECAST, NOT ASSERTED</t>
        </is>
      </c>
    </row>
    <row r="3">
      <c r="A3" s="4" t="inlineStr">
        <is>
          <t>Return on average equity, FY2028E</t>
        </is>
      </c>
      <c r="B3" s="15">
        <f>'Income Statement'!G26/(('Balance Sheet'!F14+'Balance Sheet'!G14)/2)</f>
        <v/>
      </c>
    </row>
    <row r="4">
      <c r="A4" s="4" t="inlineStr">
        <is>
          <t>Return on average equity, FY2029E</t>
        </is>
      </c>
      <c r="B4" s="15">
        <f>'Income Statement'!H26/(('Balance Sheet'!G14+'Balance Sheet'!H14)/2)</f>
        <v/>
      </c>
    </row>
    <row r="5">
      <c r="A5" s="4" t="inlineStr">
        <is>
          <t>Return on average equity, FY2030E</t>
        </is>
      </c>
      <c r="B5" s="15">
        <f>'Income Statement'!I26/(('Balance Sheet'!H14+'Balance Sheet'!I14)/2)</f>
        <v/>
      </c>
    </row>
    <row r="6">
      <c r="A6" s="8" t="inlineStr">
        <is>
          <t>Sustainable return — the mean of the last three forecast years</t>
        </is>
      </c>
      <c r="B6" s="38">
        <f>AVERAGE(B3:B5)</f>
        <v/>
      </c>
      <c r="D6" s="7" t="inlineStr">
        <is>
          <t>The forecast path RISES through the window rather than settling, so the sustainable return is the mean of its last three years — read from the path here, never typed</t>
        </is>
      </c>
    </row>
    <row r="7">
      <c r="A7" s="4" t="inlineStr">
        <is>
          <t>Payout the growth rate permits = 1 less growth over the sustainable return</t>
        </is>
      </c>
      <c r="B7" s="6">
        <f>1-Assumptions!$C$62/B6</f>
        <v/>
      </c>
    </row>
    <row r="9">
      <c r="A9" s="4" t="inlineStr">
        <is>
          <t>FY2026E attributable earnings per share — Frame A</t>
        </is>
      </c>
      <c r="B9" s="5">
        <f>'Income Statement'!E27</f>
        <v/>
      </c>
    </row>
    <row r="10">
      <c r="A10" s="4" t="inlineStr">
        <is>
          <t>FY2026E attributable earnings per share — Frame B</t>
        </is>
      </c>
      <c r="B10" s="5">
        <f>((DCF!B38-Assumptions!C$55)*(1-Assumptions!$C$10)+Assumptions!$C$63-18.0)/Assumptions!$C$8</f>
        <v/>
      </c>
    </row>
    <row r="11">
      <c r="A11" s="11" t="inlineStr">
        <is>
          <t>Average of the two frames — the FORWARD earnings base</t>
        </is>
      </c>
      <c r="B11" s="12">
        <f>AVERAGE(B9:B10)</f>
        <v/>
      </c>
      <c r="D11" s="7" t="inlineStr">
        <is>
          <t>Averaging the two frames' EARNINGS is not averaging the two VALUATIONS: the frames are published as two separate centres and are never averaged into one</t>
        </is>
      </c>
    </row>
    <row r="12">
      <c r="A12" s="11" t="inlineStr">
        <is>
          <t>TRAILING attributable earnings per share, FY2025, on the count in issue today</t>
        </is>
      </c>
      <c r="B12" s="12">
        <f>Assumptions!$C$77/Assumptions!$C$8</f>
        <v/>
      </c>
      <c r="D12" s="7" t="inlineStr">
        <is>
          <t>The base for the two TRAILING multiples below. A trailing multiple applied to forward earnings would mismatch the periods</t>
        </is>
      </c>
    </row>
    <row r="15">
      <c r="A15" s="8" t="inlineStr">
        <is>
          <t>THE COMPANY'S OWN TRADED MULTIPLE HISTORY</t>
        </is>
      </c>
    </row>
    <row r="16" ht="30" customHeight="1">
      <c r="A16" s="39" t="inlineStr">
        <is>
          <t>Year</t>
        </is>
      </c>
      <c r="B16" s="40" t="inlineStr">
        <is>
          <t>Year-end close</t>
        </is>
      </c>
      <c r="C16" s="40" t="inlineStr">
        <is>
          <t>Attributable EPS</t>
        </is>
      </c>
      <c r="D16" s="40" t="inlineStr">
        <is>
          <t>Price / earnings</t>
        </is>
      </c>
    </row>
    <row r="17">
      <c r="A17" s="4" t="inlineStr">
        <is>
          <t>2022</t>
        </is>
      </c>
      <c r="B17" s="16" t="n">
        <v>28.08</v>
      </c>
      <c r="C17" s="5">
        <f>Assumptions!$C$7/Assumptions!$C$4</f>
        <v/>
      </c>
      <c r="D17" s="41">
        <f>B17/C17</f>
        <v/>
      </c>
    </row>
    <row r="18">
      <c r="A18" s="4" t="inlineStr">
        <is>
          <t>2023</t>
        </is>
      </c>
      <c r="B18" s="16" t="n">
        <v>36.5</v>
      </c>
      <c r="C18" s="5">
        <f>'Income Statement'!B26/Assumptions!$C$5</f>
        <v/>
      </c>
      <c r="D18" s="41">
        <f>B18/C18</f>
        <v/>
      </c>
    </row>
    <row r="19">
      <c r="A19" s="4" t="inlineStr">
        <is>
          <t>2024</t>
        </is>
      </c>
      <c r="B19" s="16" t="n">
        <v>45.91</v>
      </c>
      <c r="C19" s="5">
        <f>'Income Statement'!C26/Assumptions!$C$5</f>
        <v/>
      </c>
      <c r="D19" s="41">
        <f>B19/C19</f>
        <v/>
      </c>
    </row>
    <row r="20">
      <c r="A20" s="4" t="inlineStr">
        <is>
          <t>2025</t>
        </is>
      </c>
      <c r="B20" s="16" t="n">
        <v>77.5</v>
      </c>
      <c r="C20" s="5">
        <f>'Income Statement'!D26/Assumptions!$C$6</f>
        <v/>
      </c>
      <c r="D20" s="41">
        <f>B20/C20</f>
        <v/>
      </c>
    </row>
    <row r="21">
      <c r="A21" s="11" t="inlineStr">
        <is>
          <t>Four-year mean</t>
        </is>
      </c>
      <c r="D21" s="42">
        <f>AVERAGE(D17:D20)</f>
        <v/>
      </c>
    </row>
    <row r="22">
      <c r="A22" s="11" t="inlineStr">
        <is>
          <t>Trailing multiple today — on the share count IN ISSUE</t>
        </is>
      </c>
      <c r="B22" s="5">
        <f>Assumptions!$C$3</f>
        <v/>
      </c>
      <c r="C22" s="5">
        <f>B12</f>
        <v/>
      </c>
      <c r="D22" s="42">
        <f>B22/C22</f>
        <v/>
      </c>
    </row>
    <row r="23">
      <c r="A23" s="11" t="inlineStr">
        <is>
          <t>Trailing multiple today — on the AUDITED WEIGHTED-AVERAGE count for FY2025</t>
        </is>
      </c>
      <c r="B23" s="5">
        <f>Assumptions!$C$3</f>
        <v/>
      </c>
      <c r="C23" s="5">
        <f>Assumptions!$C$77/162.016024</f>
        <v/>
      </c>
      <c r="D23" s="42">
        <f>B23/C23</f>
        <v/>
      </c>
      <c r="F23" s="7" t="inlineStr">
        <is>
          <t>TWO SHARE COUNTS, BOTH PUBLISHED. The capital increase from 148.755750 to 168.755750 million shares completed during FY2025, so that year has a weighted-average count of 162.016024 million and a closing count of 168.755750 million. Both readings of the trailing multiple are legitimate; neither is stated alone.</t>
        </is>
      </c>
    </row>
    <row r="25">
      <c r="A25" s="8" t="inlineStr">
        <is>
          <t>THE THREE MULTIPLES, EACH ON THE EARNINGS OF ITS OWN PERIOD</t>
        </is>
      </c>
    </row>
    <row r="26">
      <c r="A26" s="4" t="inlineStr">
        <is>
          <t>Justified forward multiple from this model, on FY2026E earnings</t>
        </is>
      </c>
      <c r="B26" s="41">
        <f>B7/(Assumptions!$C$110-Assumptions!$C$62)</f>
        <v/>
      </c>
      <c r="C26" s="5">
        <f>B26*B11</f>
        <v/>
      </c>
      <c r="D26" s="7" t="inlineStr">
        <is>
          <t>A FORWARD multiple, applied to FORWARD earnings — built from this model's own sustainable return and perpetual cost of equity</t>
        </is>
      </c>
    </row>
    <row r="27">
      <c r="A27" s="4" t="inlineStr">
        <is>
          <t>The company's own four-year mean multiple, on trailing earnings</t>
        </is>
      </c>
      <c r="B27" s="41">
        <f>D21</f>
        <v/>
      </c>
      <c r="C27" s="5">
        <f>B27*B12</f>
        <v/>
      </c>
      <c r="D27" s="7" t="inlineStr">
        <is>
          <t>A TRAILING multiple, applied to TRAILING earnings — year-end closes against audited attributable profit, each year on its own weighted-average share count</t>
        </is>
      </c>
    </row>
    <row r="28">
      <c r="A28" s="4" t="inlineStr">
        <is>
          <t>Struck peer reference, cost-of-equity adjusted, on trailing earnings</t>
        </is>
      </c>
      <c r="B28" s="41">
        <f>Assumptions!$C$65*(Assumptions!$C$66-Assumptions!$C$62)/(Assumptions!$C$110-Assumptions!$C$62)</f>
        <v/>
      </c>
      <c r="C28" s="5">
        <f>B28*B12</f>
        <v/>
      </c>
      <c r="D28" s="7" t="inlineStr">
        <is>
          <t>A TRAILING multiple, applied to TRAILING earnings. The midpoint of the two disclosed observations, not a median of a peer set; those companies face a cost of equity near 10%, not this one</t>
        </is>
      </c>
    </row>
    <row r="29">
      <c r="A29" s="8" t="inlineStr">
        <is>
          <t>AVERAGE OF THE THREE — the relative lens</t>
        </is>
      </c>
      <c r="B29" s="43">
        <f>AVERAGE(B26:B28)</f>
        <v/>
      </c>
      <c r="C29" s="9">
        <f>AVERAGE(C26:C28)</f>
        <v/>
      </c>
    </row>
    <row r="31">
      <c r="A31" s="8" t="inlineStr">
        <is>
          <t>NORMALISED EARNINGS POWER</t>
        </is>
      </c>
    </row>
    <row r="32">
      <c r="A32" s="4" t="inlineStr">
        <is>
          <t>Three-year average operating margin</t>
        </is>
      </c>
      <c r="B32" s="6">
        <f>AVERAGE('Income Statement'!B15/'Income Statement'!B2,'Income Statement'!C15/'Income Statement'!C2,'Income Statement'!D15/'Income Statement'!D2)</f>
        <v/>
      </c>
    </row>
    <row r="33">
      <c r="A33" s="4" t="inlineStr">
        <is>
          <t>FY2027E revenue</t>
        </is>
      </c>
      <c r="B33" s="13">
        <f>'Income Statement'!F2</f>
        <v/>
      </c>
    </row>
    <row r="34">
      <c r="A34" s="4" t="inlineStr">
        <is>
          <t>Normalised operating profit</t>
        </is>
      </c>
      <c r="B34" s="13">
        <f>B32*B33</f>
        <v/>
      </c>
    </row>
    <row r="35">
      <c r="A35" s="4" t="inlineStr">
        <is>
          <t>Normalised earnings per share</t>
        </is>
      </c>
      <c r="B35" s="5">
        <f>((B34-2.0-Assumptions!D$55)*(1-Assumptions!$C$10)+Assumptions!$C$63-18.0)/Assumptions!$C$8</f>
        <v/>
      </c>
    </row>
    <row r="36">
      <c r="A36" s="4" t="inlineStr">
        <is>
          <t>Payout the growth rate permits</t>
        </is>
      </c>
      <c r="B36" s="6">
        <f>1-Assumptions!$C$62/0.18754717</f>
        <v/>
      </c>
    </row>
    <row r="37">
      <c r="A37" s="8" t="inlineStr">
        <is>
          <t>NORMALISED EARNINGS POWER VALUE</t>
        </is>
      </c>
      <c r="B37" s="9">
        <f>B35*B36/(Assumptions!$C$110-Assumptions!$C$62)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6" customWidth="1" min="7" max="7"/>
  </cols>
  <sheetData>
    <row r="1" ht="30" customHeight="1">
      <c r="A1" s="1" t="inlineStr">
        <is>
          <t>EGP million</t>
        </is>
      </c>
      <c r="B1" s="2" t="inlineStr">
        <is>
          <t>FY2026E</t>
        </is>
      </c>
      <c r="C1" s="2" t="inlineStr">
        <is>
          <t>FY2027E</t>
        </is>
      </c>
      <c r="D1" s="2" t="inlineStr">
        <is>
          <t>FY2028E</t>
        </is>
      </c>
      <c r="E1" s="2" t="inlineStr">
        <is>
          <t>FY2029E</t>
        </is>
      </c>
      <c r="F1" s="2" t="inlineStr">
        <is>
          <t>FY2030E</t>
        </is>
      </c>
      <c r="G1" s="2" t="inlineStr">
        <is>
          <t>Terminal</t>
        </is>
      </c>
    </row>
    <row r="2">
      <c r="A2" s="4" t="inlineStr">
        <is>
          <t>Revenue</t>
        </is>
      </c>
      <c r="B2" s="13">
        <f>'Income Statement'!E2</f>
        <v/>
      </c>
      <c r="C2" s="13">
        <f>'Income Statement'!F2</f>
        <v/>
      </c>
      <c r="D2" s="13">
        <f>'Income Statement'!G2</f>
        <v/>
      </c>
      <c r="E2" s="13">
        <f>'Income Statement'!H2</f>
        <v/>
      </c>
      <c r="F2" s="13">
        <f>'Income Statement'!I2</f>
        <v/>
      </c>
    </row>
    <row r="3">
      <c r="A3" s="11" t="inlineStr">
        <is>
          <t>EBITDA</t>
        </is>
      </c>
      <c r="B3" s="28">
        <f>'Income Statement'!E17</f>
        <v/>
      </c>
      <c r="C3" s="28">
        <f>'Income Statement'!F17</f>
        <v/>
      </c>
      <c r="D3" s="28">
        <f>'Income Statement'!G17</f>
        <v/>
      </c>
      <c r="E3" s="28">
        <f>'Income Statement'!H17</f>
        <v/>
      </c>
      <c r="F3" s="28">
        <f>'Income Statement'!I17</f>
        <v/>
      </c>
    </row>
    <row r="4">
      <c r="A4" s="4" t="inlineStr">
        <is>
          <t>EBITDA margin = EBITDA / revenue</t>
        </is>
      </c>
      <c r="B4" s="6">
        <f>B3/B2</f>
        <v/>
      </c>
      <c r="C4" s="6">
        <f>C3/C2</f>
        <v/>
      </c>
      <c r="D4" s="6">
        <f>D3/D2</f>
        <v/>
      </c>
      <c r="E4" s="6">
        <f>E3/E2</f>
        <v/>
      </c>
      <c r="F4" s="6">
        <f>F3/F2</f>
        <v/>
      </c>
    </row>
    <row r="5">
      <c r="A5" s="4" t="inlineStr">
        <is>
          <t>Less depreciation and amortisation</t>
        </is>
      </c>
      <c r="B5" s="13">
        <f>-Segments!D41</f>
        <v/>
      </c>
      <c r="C5" s="13">
        <f>-Segments!E41</f>
        <v/>
      </c>
      <c r="D5" s="13">
        <f>-Segments!F41</f>
        <v/>
      </c>
      <c r="E5" s="13">
        <f>-Segments!G41</f>
        <v/>
      </c>
      <c r="F5" s="13">
        <f>-Segments!H41</f>
        <v/>
      </c>
    </row>
    <row r="6">
      <c r="A6" s="11" t="inlineStr">
        <is>
          <t>EBIT = EBITDA less depreciation and amortisation</t>
        </is>
      </c>
      <c r="B6" s="28">
        <f>B3+B5</f>
        <v/>
      </c>
      <c r="C6" s="28">
        <f>C3+C5</f>
        <v/>
      </c>
      <c r="D6" s="28">
        <f>D3+D5</f>
        <v/>
      </c>
      <c r="E6" s="28">
        <f>E3+E5</f>
        <v/>
      </c>
      <c r="F6" s="28">
        <f>F3+F5</f>
        <v/>
      </c>
    </row>
    <row r="7">
      <c r="A7" s="4" t="inlineStr">
        <is>
          <t>Tax rate — the EFFECTIVE rate the business bears, not the statutory rate</t>
        </is>
      </c>
      <c r="B7" s="15">
        <f>Assumptions!$C$10</f>
        <v/>
      </c>
      <c r="C7" s="15">
        <f>Assumptions!$C$10</f>
        <v/>
      </c>
      <c r="D7" s="15">
        <f>Assumptions!$C$10</f>
        <v/>
      </c>
      <c r="E7" s="15">
        <f>Assumptions!$C$10</f>
        <v/>
      </c>
      <c r="F7" s="15">
        <f>Assumptions!$C$10</f>
        <v/>
      </c>
    </row>
    <row r="8">
      <c r="A8" s="8" t="inlineStr">
        <is>
          <t>NOPAT = EBIT x (1 less the tax rate)</t>
        </is>
      </c>
      <c r="B8" s="32">
        <f>B6*(1-B7)</f>
        <v/>
      </c>
      <c r="C8" s="32">
        <f>C6*(1-C7)</f>
        <v/>
      </c>
      <c r="D8" s="32">
        <f>D6*(1-D7)</f>
        <v/>
      </c>
      <c r="E8" s="32">
        <f>E6*(1-E7)</f>
        <v/>
      </c>
      <c r="F8" s="32">
        <f>F6*(1-F7)</f>
        <v/>
      </c>
    </row>
    <row r="9">
      <c r="A9" s="4" t="inlineStr">
        <is>
          <t>Add back depreciation and amortisation</t>
        </is>
      </c>
      <c r="B9" s="13">
        <f>Segments!D41</f>
        <v/>
      </c>
      <c r="C9" s="13">
        <f>Segments!E41</f>
        <v/>
      </c>
      <c r="D9" s="13">
        <f>Segments!F41</f>
        <v/>
      </c>
      <c r="E9" s="13">
        <f>Segments!G41</f>
        <v/>
      </c>
      <c r="F9" s="13">
        <f>Segments!H41</f>
        <v/>
      </c>
    </row>
    <row r="10">
      <c r="A10" s="4" t="inlineStr">
        <is>
          <t>Less capital expenditure</t>
        </is>
      </c>
      <c r="B10" s="13">
        <f>-Segments!D40</f>
        <v/>
      </c>
      <c r="C10" s="13">
        <f>-Segments!E40</f>
        <v/>
      </c>
      <c r="D10" s="13">
        <f>-Segments!F40</f>
        <v/>
      </c>
      <c r="E10" s="13">
        <f>-Segments!G40</f>
        <v/>
      </c>
      <c r="F10" s="13">
        <f>-Segments!H40</f>
        <v/>
      </c>
    </row>
    <row r="11">
      <c r="A11" s="4" t="inlineStr">
        <is>
          <t>Less the increase in working capital</t>
        </is>
      </c>
      <c r="B11" s="13">
        <f>'Cash Flow'!E7</f>
        <v/>
      </c>
      <c r="C11" s="13">
        <f>'Cash Flow'!F7</f>
        <v/>
      </c>
      <c r="D11" s="13">
        <f>'Cash Flow'!G7</f>
        <v/>
      </c>
      <c r="E11" s="13">
        <f>'Cash Flow'!H7</f>
        <v/>
      </c>
      <c r="F11" s="13">
        <f>'Cash Flow'!I7</f>
        <v/>
      </c>
    </row>
    <row r="12">
      <c r="A12" s="8" t="inlineStr">
        <is>
          <t>FREE CASH FLOW TO THE FIRM</t>
        </is>
      </c>
      <c r="B12" s="32">
        <f>B8+B9+B10+B11</f>
        <v/>
      </c>
      <c r="C12" s="32">
        <f>C8+C9+C10+C11</f>
        <v/>
      </c>
      <c r="D12" s="32">
        <f>D8+D9+D10+D11</f>
        <v/>
      </c>
      <c r="E12" s="32">
        <f>E8+E9+E10+E11</f>
        <v/>
      </c>
      <c r="F12" s="32">
        <f>F8+F9+F10+F11</f>
        <v/>
      </c>
    </row>
    <row r="13">
      <c r="A13" s="4" t="inlineStr">
        <is>
          <t>Discount rate</t>
        </is>
      </c>
      <c r="B13" s="15">
        <f>Assumptions!C$115</f>
        <v/>
      </c>
      <c r="C13" s="15">
        <f>Assumptions!D$115</f>
        <v/>
      </c>
      <c r="D13" s="15">
        <f>Assumptions!E$115</f>
        <v/>
      </c>
      <c r="E13" s="15">
        <f>Assumptions!F$115</f>
        <v/>
      </c>
      <c r="F13" s="15">
        <f>Assumptions!G$115</f>
        <v/>
      </c>
    </row>
    <row r="14">
      <c r="A14" s="4" t="inlineStr">
        <is>
          <t>Discount factor</t>
        </is>
      </c>
      <c r="B14" s="31">
        <f>Assumptions!C$116</f>
        <v/>
      </c>
      <c r="C14" s="31">
        <f>Assumptions!D$116</f>
        <v/>
      </c>
      <c r="D14" s="31">
        <f>Assumptions!E$116</f>
        <v/>
      </c>
      <c r="E14" s="31">
        <f>Assumptions!F$116</f>
        <v/>
      </c>
      <c r="F14" s="31">
        <f>Assumptions!G$116</f>
        <v/>
      </c>
    </row>
    <row r="15">
      <c r="A15" s="8" t="inlineStr">
        <is>
          <t>PRESENT VALUE OF FREE CASH FLOW TO THE FIRM</t>
        </is>
      </c>
      <c r="B15" s="32">
        <f>B12*B14</f>
        <v/>
      </c>
      <c r="C15" s="32">
        <f>C12*C14</f>
        <v/>
      </c>
      <c r="D15" s="32">
        <f>D12*D14</f>
        <v/>
      </c>
      <c r="E15" s="32">
        <f>E12*E14</f>
        <v/>
      </c>
      <c r="F15" s="32">
        <f>F12*F14</f>
        <v/>
      </c>
    </row>
    <row r="17">
      <c r="A17" s="8" t="inlineStr">
        <is>
          <t>TERMINAL BLOCK</t>
        </is>
      </c>
    </row>
    <row r="18">
      <c r="A18" s="4" t="inlineStr">
        <is>
          <t>Invested capital at FY2030E — property, construction, working capital and intangibles</t>
        </is>
      </c>
      <c r="B18" s="13">
        <f>'Balance Sheet'!I2+'Balance Sheet'!I3+'Balance Sheet'!I19+Assumptions!$C$83</f>
        <v/>
      </c>
    </row>
    <row r="19">
      <c r="A19" s="11" t="inlineStr">
        <is>
          <t>Return on invested capital, FY2030E — the model's OWN, read from the rows above</t>
        </is>
      </c>
      <c r="B19" s="27">
        <f>F8/B18</f>
        <v/>
      </c>
      <c r="D19" s="7" t="inlineStr">
        <is>
          <t>This is what sets terminal reinvestment. It is not an assumption and there is no cell to type it into.</t>
        </is>
      </c>
    </row>
    <row r="20">
      <c r="A20" s="4" t="inlineStr">
        <is>
          <t>Terminal depreciation catch-up — the parked construction balance at the depreciation rate</t>
        </is>
      </c>
      <c r="B20" s="13">
        <f>'Balance Sheet'!I3*Assumptions!$C$38</f>
        <v/>
      </c>
      <c r="D20" s="7" t="inlineStr">
        <is>
          <t>Construction still parked at FY2030E has never entered the depreciable base. A perpetuity cannot capitalise profit on capital it never charges.</t>
        </is>
      </c>
    </row>
    <row r="21">
      <c r="A21" s="4" t="inlineStr">
        <is>
          <t>Terminal NOPAT, on FY2030E money = final-year NOPAT less the depreciation the parked construction balance has never been charged. It is NOT grown here: the terminal value row below grows the whole free cash flow one year</t>
        </is>
      </c>
      <c r="B21" s="13">
        <f>F8-B20*(1-Assumptions!$C$10)</f>
        <v/>
      </c>
    </row>
    <row r="22">
      <c r="A22" s="4" t="inlineStr">
        <is>
          <t>Plus book depreciation (terminal NOPAT is already net of it)</t>
        </is>
      </c>
      <c r="B22" s="13">
        <f>423.085728</f>
        <v/>
      </c>
    </row>
    <row r="23">
      <c r="A23" s="4" t="inlineStr">
        <is>
          <t>Less maintenance at current cost — book depreciation escalated over half the useful life the company itself discloses</t>
        </is>
      </c>
      <c r="B23" s="13">
        <f>-674.802126</f>
        <v/>
      </c>
    </row>
    <row r="24">
      <c r="A24" s="4" t="inlineStr">
        <is>
          <t>Less the capital behind real growth</t>
        </is>
      </c>
      <c r="B24" s="13">
        <f>-0.000000</f>
        <v/>
      </c>
    </row>
    <row r="25">
      <c r="A25" s="4" t="inlineStr">
        <is>
          <t>Less inflation on working capital</t>
        </is>
      </c>
      <c r="B25" s="13">
        <f>-717.450174</f>
        <v/>
      </c>
    </row>
    <row r="26">
      <c r="A26" s="4" t="inlineStr">
        <is>
          <t>Terminal free cash flow to the firm</t>
        </is>
      </c>
      <c r="B26" s="13">
        <f>B21+B22+B23+B24+B25</f>
        <v/>
      </c>
    </row>
    <row r="27">
      <c r="A27" s="4" t="inlineStr">
        <is>
          <t>Terminal discount rate</t>
        </is>
      </c>
      <c r="B27" s="15">
        <f>Assumptions!$C$113</f>
        <v/>
      </c>
    </row>
    <row r="28">
      <c r="A28" s="4" t="inlineStr">
        <is>
          <t>Terminal growth</t>
        </is>
      </c>
      <c r="B28" s="6">
        <f>Assumptions!$C$62</f>
        <v/>
      </c>
    </row>
    <row r="29">
      <c r="A29" s="11" t="inlineStr">
        <is>
          <t>TERMINAL VALUE — the free cash flow above, grown one year and capitalised</t>
        </is>
      </c>
      <c r="B29" s="28">
        <f>B26*(1+B28)/(B27-B28)</f>
        <v/>
      </c>
    </row>
    <row r="30">
      <c r="A30" s="11" t="inlineStr">
        <is>
          <t>Present value of the terminal value</t>
        </is>
      </c>
      <c r="B30" s="28">
        <f>B29*F14</f>
        <v/>
      </c>
    </row>
    <row r="32">
      <c r="A32" s="11" t="inlineStr">
        <is>
          <t>Sum of the present values of forecast free cash flow</t>
        </is>
      </c>
      <c r="B32" s="28">
        <f>SUM(B15:F15)</f>
        <v/>
      </c>
    </row>
    <row r="33">
      <c r="A33" s="8" t="inlineStr">
        <is>
          <t>CORE ENTERPRISE VALUE</t>
        </is>
      </c>
      <c r="B33" s="32">
        <f>B32+B30</f>
        <v/>
      </c>
    </row>
    <row r="34">
      <c r="A34" s="8" t="inlineStr">
        <is>
          <t>Terminal value as a percentage of CORE enterprise value</t>
        </is>
      </c>
      <c r="B34" s="10">
        <f>B30/B33</f>
        <v/>
      </c>
    </row>
    <row r="35">
      <c r="A35" s="11" t="inlineStr">
        <is>
          <t>Terminal value as a percentage of TOTAL enterprise value (both are published)</t>
        </is>
      </c>
      <c r="B35" s="29">
        <f>B30/(B33+Assumptions!$C$63*Assumptions!$C$64+Assumptions!$C$81+Assumptions!$C$82)</f>
        <v/>
      </c>
    </row>
    <row r="37">
      <c r="A37" s="8" t="inlineStr">
        <is>
          <t>FRAME B — THE SAME MODEL WITH THE CONTESTED JUDGEMENT RESOLVED THE OTHER WAY</t>
        </is>
      </c>
    </row>
    <row r="38">
      <c r="A38" s="4" t="inlineStr">
        <is>
          <t>EBIT on Frame B = Frame A EBIT plus the difference in the provision charge</t>
        </is>
      </c>
      <c r="B38" s="13">
        <f>B6+('Income Statement'!E12-'Income Statement'!E11)</f>
        <v/>
      </c>
      <c r="C38" s="13">
        <f>C6+('Income Statement'!F12-'Income Statement'!F11)</f>
        <v/>
      </c>
      <c r="D38" s="13">
        <f>D6+('Income Statement'!G12-'Income Statement'!G11)</f>
        <v/>
      </c>
      <c r="E38" s="13">
        <f>E6+('Income Statement'!H12-'Income Statement'!H11)</f>
        <v/>
      </c>
      <c r="F38" s="13">
        <f>F6+('Income Statement'!I12-'Income Statement'!I11)</f>
        <v/>
      </c>
    </row>
    <row r="39">
      <c r="A39" s="4" t="inlineStr">
        <is>
          <t>NOPAT on Frame B</t>
        </is>
      </c>
      <c r="B39" s="13">
        <f>B38*(1-B7)</f>
        <v/>
      </c>
      <c r="C39" s="13">
        <f>C38*(1-C7)</f>
        <v/>
      </c>
      <c r="D39" s="13">
        <f>D38*(1-D7)</f>
        <v/>
      </c>
      <c r="E39" s="13">
        <f>E38*(1-E7)</f>
        <v/>
      </c>
      <c r="F39" s="13">
        <f>F38*(1-F7)</f>
        <v/>
      </c>
    </row>
    <row r="40">
      <c r="A40" s="4" t="inlineStr">
        <is>
          <t>Free cash flow to the firm on Frame B</t>
        </is>
      </c>
      <c r="B40" s="13">
        <f>B39+B9+B10+B11</f>
        <v/>
      </c>
      <c r="C40" s="13">
        <f>C39+C9+C10+C11</f>
        <v/>
      </c>
      <c r="D40" s="13">
        <f>D39+D9+D10+D11</f>
        <v/>
      </c>
      <c r="E40" s="13">
        <f>E39+E9+E10+E11</f>
        <v/>
      </c>
      <c r="F40" s="13">
        <f>F39+F9+F10+F11</f>
        <v/>
      </c>
    </row>
    <row r="41">
      <c r="A41" s="4" t="inlineStr">
        <is>
          <t>Present value of free cash flow on Frame B</t>
        </is>
      </c>
      <c r="B41" s="13">
        <f>B40*B14</f>
        <v/>
      </c>
      <c r="C41" s="13">
        <f>C40*C14</f>
        <v/>
      </c>
      <c r="D41" s="13">
        <f>D40*D14</f>
        <v/>
      </c>
      <c r="E41" s="13">
        <f>E40*E14</f>
        <v/>
      </c>
      <c r="F41" s="13">
        <f>F40*F14</f>
        <v/>
      </c>
    </row>
    <row r="42">
      <c r="A42" s="4" t="inlineStr">
        <is>
          <t>Return on invested capital, FY2030E — Frame B's own</t>
        </is>
      </c>
      <c r="B42" s="15">
        <f>F39/B18</f>
        <v/>
      </c>
    </row>
    <row r="43">
      <c r="A43" s="4" t="inlineStr">
        <is>
          <t>Terminal NOPAT on Frame B, on FY2030E money, less the parked construction depreciation — not grown here, for the same reason as Frame A</t>
        </is>
      </c>
      <c r="B43" s="13">
        <f>F39-B20*(1-Assumptions!$C$10)</f>
        <v/>
      </c>
    </row>
    <row r="44">
      <c r="A44" s="4" t="inlineStr">
        <is>
          <t>Terminal free cash flow on Frame B — the same construction as Frame A: NOPAT plus book depreciation, less maintenance at current cost, less growth capital, less inflation on working capital</t>
        </is>
      </c>
      <c r="B44" s="13">
        <f>B43+-969.166571</f>
        <v/>
      </c>
    </row>
    <row r="45">
      <c r="A45" s="4" t="inlineStr">
        <is>
          <t>Terminal value on Frame B</t>
        </is>
      </c>
      <c r="B45" s="13">
        <f>B44*(1+B28)/(B27-B28)</f>
        <v/>
      </c>
    </row>
    <row r="46">
      <c r="A46" s="11" t="inlineStr">
        <is>
          <t>Core enterprise value on Frame B</t>
        </is>
      </c>
      <c r="B46" s="28">
        <f>SUM(B41:F41)+B45*F14</f>
        <v/>
      </c>
    </row>
    <row r="47">
      <c r="A47" s="8" t="inlineStr">
        <is>
          <t>VALUE PER SHARE ON FRAME B</t>
        </is>
      </c>
      <c r="B47" s="9">
        <f>(B46+Assumptions!$C$63*Assumptions!$C$64+Assumptions!$C$81+Assumptions!$C$82-Assumptions!$C$104-Assumptions!$C$80)/Assumptions!$C$8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3" t="inlineStr">
        <is>
          <t>Revenue</t>
        </is>
      </c>
      <c r="B2" s="44" t="n">
        <v>5231.665571</v>
      </c>
      <c r="C2" s="44" t="n">
        <v>7590.545643</v>
      </c>
      <c r="D2" s="44" t="n">
        <v>9441.379305</v>
      </c>
      <c r="E2" s="45">
        <f>Segments!D15</f>
        <v/>
      </c>
      <c r="F2" s="45">
        <f>Segments!E15</f>
        <v/>
      </c>
      <c r="G2" s="45">
        <f>Segments!F15</f>
        <v/>
      </c>
      <c r="H2" s="45">
        <f>Segments!G15</f>
        <v/>
      </c>
      <c r="I2" s="45">
        <f>Segments!H15</f>
        <v/>
      </c>
    </row>
    <row r="3">
      <c r="A3" s="4" t="inlineStr">
        <is>
          <t>Cost of sales</t>
        </is>
      </c>
      <c r="B3" s="19" t="n">
        <v>-2896.343413</v>
      </c>
      <c r="C3" s="19" t="n">
        <v>-4184.382863</v>
      </c>
      <c r="D3" s="19" t="n">
        <v>-5287.140903</v>
      </c>
      <c r="E3" s="13">
        <f>-(E4+E5)</f>
        <v/>
      </c>
      <c r="F3" s="13">
        <f>-(F4+F5)</f>
        <v/>
      </c>
      <c r="G3" s="13">
        <f>-(G4+G5)</f>
        <v/>
      </c>
      <c r="H3" s="13">
        <f>-(H4+H5)</f>
        <v/>
      </c>
      <c r="I3" s="13">
        <f>-(I4+I5)</f>
        <v/>
      </c>
    </row>
    <row r="4">
      <c r="A4" s="7" t="inlineStr">
        <is>
          <t xml:space="preserve">   of which cash cost (packs x cash cost per pack, escalated)</t>
        </is>
      </c>
      <c r="B4" s="19" t="n">
        <v>2896.343413</v>
      </c>
      <c r="C4" s="19" t="n">
        <v>4184.382863</v>
      </c>
      <c r="D4" s="19" t="n">
        <v>5193.643343000001</v>
      </c>
      <c r="E4" s="13">
        <f>Segments!D14*Assumptions!$C$86*Segments!D$31</f>
        <v/>
      </c>
      <c r="F4" s="13">
        <f>Segments!E14*Assumptions!$C$86*Segments!E$31</f>
        <v/>
      </c>
      <c r="G4" s="13">
        <f>Segments!F14*Assumptions!$C$86*Segments!F$31</f>
        <v/>
      </c>
      <c r="H4" s="13">
        <f>Segments!G14*Assumptions!$C$86*Segments!G$31</f>
        <v/>
      </c>
      <c r="I4" s="13">
        <f>Segments!H14*Assumptions!$C$86*Segments!H$31</f>
        <v/>
      </c>
    </row>
    <row r="5">
      <c r="A5" s="7" t="inlineStr">
        <is>
          <t xml:space="preserve">   of which depreciation charged to production</t>
        </is>
      </c>
      <c r="B5" s="19" t="n">
        <v>0</v>
      </c>
      <c r="C5" s="19" t="n">
        <v>0</v>
      </c>
      <c r="D5" s="19" t="n">
        <v>93.49755999999999</v>
      </c>
      <c r="E5" s="13">
        <f>Segments!D$41*Assumptions!$C$85</f>
        <v/>
      </c>
      <c r="F5" s="13">
        <f>Segments!E$41*Assumptions!$C$85</f>
        <v/>
      </c>
      <c r="G5" s="13">
        <f>Segments!F$41*Assumptions!$C$85</f>
        <v/>
      </c>
      <c r="H5" s="13">
        <f>Segments!G$41*Assumptions!$C$85</f>
        <v/>
      </c>
      <c r="I5" s="13">
        <f>Segments!H$41*Assumptions!$C$85</f>
        <v/>
      </c>
    </row>
    <row r="6">
      <c r="A6" s="8" t="inlineStr">
        <is>
          <t>Gross profit</t>
        </is>
      </c>
      <c r="B6" s="32">
        <f>B2+B3</f>
        <v/>
      </c>
      <c r="C6" s="32">
        <f>C2+C3</f>
        <v/>
      </c>
      <c r="D6" s="32">
        <f>D2+D3</f>
        <v/>
      </c>
      <c r="E6" s="32">
        <f>E2+E3</f>
        <v/>
      </c>
      <c r="F6" s="32">
        <f>F2+F3</f>
        <v/>
      </c>
      <c r="G6" s="32">
        <f>G2+G3</f>
        <v/>
      </c>
      <c r="H6" s="32">
        <f>H2+H3</f>
        <v/>
      </c>
      <c r="I6" s="32">
        <f>I2+I3</f>
        <v/>
      </c>
    </row>
    <row r="7">
      <c r="A7" s="4" t="inlineStr">
        <is>
          <t>Gross margin</t>
        </is>
      </c>
      <c r="B7" s="6">
        <f>B6/B2</f>
        <v/>
      </c>
      <c r="C7" s="6">
        <f>C6/C2</f>
        <v/>
      </c>
      <c r="D7" s="6">
        <f>D6/D2</f>
        <v/>
      </c>
      <c r="E7" s="6">
        <f>E6/E2</f>
        <v/>
      </c>
      <c r="F7" s="6">
        <f>F6/F2</f>
        <v/>
      </c>
      <c r="G7" s="6">
        <f>G6/G2</f>
        <v/>
      </c>
      <c r="H7" s="6">
        <f>H6/H2</f>
        <v/>
      </c>
      <c r="I7" s="6">
        <f>I6/I2</f>
        <v/>
      </c>
    </row>
    <row r="8">
      <c r="A8" s="4" t="inlineStr">
        <is>
          <t>Selling and marketing</t>
        </is>
      </c>
      <c r="B8" s="19" t="n">
        <v>-648.291681</v>
      </c>
      <c r="C8" s="19" t="n">
        <v>-915.021183</v>
      </c>
      <c r="D8" s="19" t="n">
        <v>-1000.128922</v>
      </c>
      <c r="E8" s="13">
        <f>-E2*Assumptions!C$31</f>
        <v/>
      </c>
      <c r="F8" s="13">
        <f>-F2*Assumptions!D$31</f>
        <v/>
      </c>
      <c r="G8" s="13">
        <f>-G2*Assumptions!E$31</f>
        <v/>
      </c>
      <c r="H8" s="13">
        <f>-H2*Assumptions!F$31</f>
        <v/>
      </c>
      <c r="I8" s="13">
        <f>-I2*Assumptions!G$31</f>
        <v/>
      </c>
    </row>
    <row r="9">
      <c r="A9" s="4" t="inlineStr">
        <is>
          <t>Research and development</t>
        </is>
      </c>
      <c r="B9" s="19" t="n">
        <v>-43.227785</v>
      </c>
      <c r="C9" s="19" t="n">
        <v>-70.460824</v>
      </c>
      <c r="D9" s="19" t="n">
        <v>-70.935883</v>
      </c>
      <c r="E9" s="13">
        <f>-E2*Assumptions!C$32</f>
        <v/>
      </c>
      <c r="F9" s="13">
        <f>-F2*Assumptions!D$32</f>
        <v/>
      </c>
      <c r="G9" s="13">
        <f>-G2*Assumptions!E$32</f>
        <v/>
      </c>
      <c r="H9" s="13">
        <f>-H2*Assumptions!F$32</f>
        <v/>
      </c>
      <c r="I9" s="13">
        <f>-I2*Assumptions!G$32</f>
        <v/>
      </c>
    </row>
    <row r="10">
      <c r="A10" s="4" t="inlineStr">
        <is>
          <t>General and administrative</t>
        </is>
      </c>
      <c r="B10" s="19" t="n">
        <v>-147.460991</v>
      </c>
      <c r="C10" s="19" t="n">
        <v>-188.492929</v>
      </c>
      <c r="D10" s="19" t="n">
        <v>-221.13686</v>
      </c>
      <c r="E10" s="13">
        <f>-E2*Assumptions!C$33</f>
        <v/>
      </c>
      <c r="F10" s="13">
        <f>-F2*Assumptions!D$33</f>
        <v/>
      </c>
      <c r="G10" s="13">
        <f>-G2*Assumptions!E$33</f>
        <v/>
      </c>
      <c r="H10" s="13">
        <f>-H2*Assumptions!F$33</f>
        <v/>
      </c>
      <c r="I10" s="13">
        <f>-I2*Assumptions!G$33</f>
        <v/>
      </c>
    </row>
    <row r="11">
      <c r="A11" s="4" t="inlineStr">
        <is>
          <t>Credit losses, inventory write-downs and provisions — FRAME A</t>
        </is>
      </c>
      <c r="B11" s="19" t="n">
        <v>-265</v>
      </c>
      <c r="C11" s="19" t="n">
        <v>-702</v>
      </c>
      <c r="D11" s="19" t="n">
        <v>-494.218374</v>
      </c>
      <c r="E11" s="13">
        <f>-E2*Assumptions!C$34</f>
        <v/>
      </c>
      <c r="F11" s="13">
        <f>-F2*Assumptions!D$34</f>
        <v/>
      </c>
      <c r="G11" s="13">
        <f>-G2*Assumptions!E$34</f>
        <v/>
      </c>
      <c r="H11" s="13">
        <f>-H2*Assumptions!F$34</f>
        <v/>
      </c>
      <c r="I11" s="13">
        <f>-I2*Assumptions!G$34</f>
        <v/>
      </c>
    </row>
    <row r="12">
      <c r="A12" s="7" t="inlineStr">
        <is>
          <t>The same charge on FRAME B (memorandum)</t>
        </is>
      </c>
      <c r="B12" s="19" t="n">
        <v>-265</v>
      </c>
      <c r="C12" s="19" t="n">
        <v>-702</v>
      </c>
      <c r="D12" s="19" t="n">
        <v>-494.218374</v>
      </c>
      <c r="E12" s="13">
        <f>-E2*Assumptions!C$35</f>
        <v/>
      </c>
      <c r="F12" s="13">
        <f>-F2*Assumptions!D$35</f>
        <v/>
      </c>
      <c r="G12" s="13">
        <f>-G2*Assumptions!E$35</f>
        <v/>
      </c>
      <c r="H12" s="13">
        <f>-H2*Assumptions!F$35</f>
        <v/>
      </c>
      <c r="I12" s="13">
        <f>-I2*Assumptions!G$35</f>
        <v/>
      </c>
    </row>
    <row r="13">
      <c r="A13" s="4" t="inlineStr">
        <is>
          <t>Board remuneration and attendance</t>
        </is>
      </c>
      <c r="B13" s="25" t="n">
        <v>-2.02</v>
      </c>
      <c r="C13" s="25" t="n">
        <v>-1.58</v>
      </c>
      <c r="D13" s="25" t="n">
        <v>-1.828</v>
      </c>
      <c r="E13" s="25" t="n">
        <v>-2</v>
      </c>
      <c r="F13" s="25" t="n">
        <v>-2</v>
      </c>
      <c r="G13" s="25" t="n">
        <v>-2</v>
      </c>
      <c r="H13" s="25" t="n">
        <v>-2</v>
      </c>
      <c r="I13" s="25" t="n">
        <v>-2</v>
      </c>
    </row>
    <row r="14">
      <c r="A14" s="4" t="inlineStr">
        <is>
          <t>Depreciation charged to selling and administrative expense</t>
        </is>
      </c>
      <c r="B14" s="25" t="n">
        <v>0</v>
      </c>
      <c r="C14" s="25" t="n">
        <v>0</v>
      </c>
      <c r="D14" s="25" t="n">
        <v>0</v>
      </c>
      <c r="E14" s="35">
        <f>-Segments!D41*(1-Assumptions!$C$85)</f>
        <v/>
      </c>
      <c r="F14" s="35">
        <f>-Segments!E41*(1-Assumptions!$C$85)</f>
        <v/>
      </c>
      <c r="G14" s="35">
        <f>-Segments!F41*(1-Assumptions!$C$85)</f>
        <v/>
      </c>
      <c r="H14" s="35">
        <f>-Segments!G41*(1-Assumptions!$C$85)</f>
        <v/>
      </c>
      <c r="I14" s="35">
        <f>-Segments!H41*(1-Assumptions!$C$85)</f>
        <v/>
      </c>
    </row>
    <row r="15">
      <c r="A15" s="8" t="inlineStr">
        <is>
          <t>Operating profit (EBIT)</t>
        </is>
      </c>
      <c r="B15" s="32">
        <f>B6+B8+B9+B10+B11+B13+B14</f>
        <v/>
      </c>
      <c r="C15" s="32">
        <f>C6+C8+C9+C10+C11+C13+C14</f>
        <v/>
      </c>
      <c r="D15" s="32">
        <f>D6+D8+D9+D10+D11+D13+D14</f>
        <v/>
      </c>
      <c r="E15" s="32">
        <f>E6+E8+E9+E10+E11+E13+E14</f>
        <v/>
      </c>
      <c r="F15" s="32">
        <f>F6+F8+F9+F10+F11+F13+F14</f>
        <v/>
      </c>
      <c r="G15" s="32">
        <f>G6+G8+G9+G10+G11+G13+G14</f>
        <v/>
      </c>
      <c r="H15" s="32">
        <f>H6+H8+H9+H10+H11+H13+H14</f>
        <v/>
      </c>
      <c r="I15" s="32">
        <f>I6+I8+I9+I10+I11+I13+I14</f>
        <v/>
      </c>
    </row>
    <row r="16">
      <c r="A16" s="4" t="inlineStr">
        <is>
          <t>Depreciation and amortisation (memorandum)</t>
        </is>
      </c>
      <c r="B16" s="19" t="n">
        <v>105.249745</v>
      </c>
      <c r="C16" s="19" t="n">
        <v>102.811854</v>
      </c>
      <c r="D16" s="19" t="n">
        <v>117.725374</v>
      </c>
      <c r="E16" s="13">
        <f>Segments!D$41</f>
        <v/>
      </c>
      <c r="F16" s="13">
        <f>Segments!E$41</f>
        <v/>
      </c>
      <c r="G16" s="13">
        <f>Segments!F$41</f>
        <v/>
      </c>
      <c r="H16" s="13">
        <f>Segments!G$41</f>
        <v/>
      </c>
      <c r="I16" s="13">
        <f>Segments!H$41</f>
        <v/>
      </c>
    </row>
    <row r="17">
      <c r="A17" s="11" t="inlineStr">
        <is>
          <t>EBITDA</t>
        </is>
      </c>
      <c r="B17" s="28">
        <f>B15+B16</f>
        <v/>
      </c>
      <c r="C17" s="28">
        <f>C15+C16</f>
        <v/>
      </c>
      <c r="D17" s="28">
        <f>D15+D16</f>
        <v/>
      </c>
      <c r="E17" s="28">
        <f>E15+E16</f>
        <v/>
      </c>
      <c r="F17" s="28">
        <f>F15+F16</f>
        <v/>
      </c>
      <c r="G17" s="28">
        <f>G15+G16</f>
        <v/>
      </c>
      <c r="H17" s="28">
        <f>H15+H16</f>
        <v/>
      </c>
      <c r="I17" s="28">
        <f>I15+I16</f>
        <v/>
      </c>
    </row>
    <row r="18">
      <c r="A18" s="4" t="inlineStr">
        <is>
          <t>Finance costs</t>
        </is>
      </c>
      <c r="B18" s="19" t="n">
        <v>-407.7052</v>
      </c>
      <c r="C18" s="19" t="n">
        <v>-960.131966</v>
      </c>
      <c r="D18" s="19" t="n">
        <v>-1332.946559</v>
      </c>
      <c r="E18" s="13">
        <f>-Assumptions!C$55</f>
        <v/>
      </c>
      <c r="F18" s="13">
        <f>-Assumptions!D$55</f>
        <v/>
      </c>
      <c r="G18" s="13">
        <f>-Assumptions!E$55</f>
        <v/>
      </c>
      <c r="H18" s="13">
        <f>-Assumptions!F$55</f>
        <v/>
      </c>
      <c r="I18" s="13">
        <f>-Assumptions!G$55</f>
        <v/>
      </c>
    </row>
    <row r="19">
      <c r="A19" s="4" t="inlineStr">
        <is>
          <t>Share of results of associates</t>
        </is>
      </c>
      <c r="B19" s="19" t="n">
        <v>74.508447</v>
      </c>
      <c r="C19" s="19" t="n">
        <v>151.580926</v>
      </c>
      <c r="D19" s="19" t="n">
        <v>512.084638</v>
      </c>
      <c r="E19" s="13">
        <f>Assumptions!$C$63</f>
        <v/>
      </c>
      <c r="F19" s="13">
        <f>Assumptions!$C$63</f>
        <v/>
      </c>
      <c r="G19" s="13">
        <f>Assumptions!$C$63</f>
        <v/>
      </c>
      <c r="H19" s="13">
        <f>Assumptions!$C$63</f>
        <v/>
      </c>
      <c r="I19" s="13">
        <f>Assumptions!$C$63</f>
        <v/>
      </c>
    </row>
    <row r="20">
      <c r="A20" s="4" t="inlineStr">
        <is>
          <t>Dividend distribution tax</t>
        </is>
      </c>
      <c r="B20" s="25" t="n">
        <v>-4.123733</v>
      </c>
      <c r="C20" s="25" t="n">
        <v>-4.468933</v>
      </c>
      <c r="D20" s="25" t="n">
        <v>-16.58542</v>
      </c>
      <c r="E20" s="25" t="n">
        <v>0</v>
      </c>
      <c r="F20" s="25" t="n">
        <v>0</v>
      </c>
      <c r="G20" s="25" t="n">
        <v>0</v>
      </c>
      <c r="H20" s="25" t="n">
        <v>0</v>
      </c>
      <c r="I20" s="25" t="n">
        <v>0</v>
      </c>
    </row>
    <row r="21">
      <c r="A21" s="4" t="inlineStr">
        <is>
          <t>Interest income, exchange differences and other income</t>
        </is>
      </c>
      <c r="B21" s="19" t="n">
        <v>191.254269</v>
      </c>
      <c r="C21" s="19" t="n">
        <v>814.782229</v>
      </c>
      <c r="D21" s="19" t="n">
        <v>267.358836</v>
      </c>
      <c r="E21" s="19" t="n">
        <v>0</v>
      </c>
      <c r="F21" s="19" t="n">
        <v>0</v>
      </c>
      <c r="G21" s="19" t="n">
        <v>0</v>
      </c>
      <c r="H21" s="19" t="n">
        <v>0</v>
      </c>
      <c r="I21" s="19" t="n">
        <v>0</v>
      </c>
    </row>
    <row r="22">
      <c r="A22" s="8" t="inlineStr">
        <is>
          <t>Profit before tax</t>
        </is>
      </c>
      <c r="B22" s="32">
        <f>B15+B18+B19+B21+B20</f>
        <v/>
      </c>
      <c r="C22" s="32">
        <f>C15+C18+C19+C21+C20</f>
        <v/>
      </c>
      <c r="D22" s="32">
        <f>D15+D18+D19+D21+D20</f>
        <v/>
      </c>
      <c r="E22" s="32">
        <f>E15+E18+E19+E21+E20</f>
        <v/>
      </c>
      <c r="F22" s="32">
        <f>F15+F18+F19+F21+F20</f>
        <v/>
      </c>
      <c r="G22" s="32">
        <f>G15+G18+G19+G21+G20</f>
        <v/>
      </c>
      <c r="H22" s="32">
        <f>H15+H18+H19+H21+H20</f>
        <v/>
      </c>
      <c r="I22" s="32">
        <f>I15+I18+I19+I21+I20</f>
        <v/>
      </c>
    </row>
    <row r="23">
      <c r="A23" s="4" t="inlineStr">
        <is>
          <t>Income tax and the statutory solidarity contribution</t>
        </is>
      </c>
      <c r="B23" s="19" t="n">
        <v>-259.949154</v>
      </c>
      <c r="C23" s="19" t="n">
        <v>-433.446496</v>
      </c>
      <c r="D23" s="19" t="n">
        <v>-338.008843</v>
      </c>
      <c r="E23" s="13">
        <f>-(E22-E19)*Assumptions!$C$10</f>
        <v/>
      </c>
      <c r="F23" s="13">
        <f>-(F22-F19)*Assumptions!$C$10</f>
        <v/>
      </c>
      <c r="G23" s="13">
        <f>-(G22-G19)*Assumptions!$C$10</f>
        <v/>
      </c>
      <c r="H23" s="13">
        <f>-(H22-H19)*Assumptions!$C$10</f>
        <v/>
      </c>
      <c r="I23" s="13">
        <f>-(I22-I19)*Assumptions!$C$10</f>
        <v/>
      </c>
    </row>
    <row r="24">
      <c r="A24" s="8" t="inlineStr">
        <is>
          <t>Profit for the year</t>
        </is>
      </c>
      <c r="B24" s="32">
        <f>B22+B23</f>
        <v/>
      </c>
      <c r="C24" s="32">
        <f>C22+C23</f>
        <v/>
      </c>
      <c r="D24" s="32">
        <f>D22+D23</f>
        <v/>
      </c>
      <c r="E24" s="32">
        <f>E22+E23</f>
        <v/>
      </c>
      <c r="F24" s="32">
        <f>F22+F23</f>
        <v/>
      </c>
      <c r="G24" s="32">
        <f>G22+G23</f>
        <v/>
      </c>
      <c r="H24" s="32">
        <f>H22+H23</f>
        <v/>
      </c>
      <c r="I24" s="32">
        <f>I22+I23</f>
        <v/>
      </c>
    </row>
    <row r="25">
      <c r="A25" s="4" t="inlineStr">
        <is>
          <t>Less non-controlling interests</t>
        </is>
      </c>
      <c r="B25" s="25" t="n">
        <v>-0.9886149999999816</v>
      </c>
      <c r="C25" s="25" t="n">
        <v>-1.206525000000056</v>
      </c>
      <c r="D25" s="25" t="n">
        <v>-16.23531500000013</v>
      </c>
      <c r="E25" s="25" t="n">
        <v>-18</v>
      </c>
      <c r="F25" s="25" t="n">
        <v>-18</v>
      </c>
      <c r="G25" s="25" t="n">
        <v>-18</v>
      </c>
      <c r="H25" s="25" t="n">
        <v>-18</v>
      </c>
      <c r="I25" s="25" t="n">
        <v>-18</v>
      </c>
    </row>
    <row r="26">
      <c r="A26" s="8" t="inlineStr">
        <is>
          <t>Profit attributable to the holding company</t>
        </is>
      </c>
      <c r="B26" s="32">
        <f>B24+B25</f>
        <v/>
      </c>
      <c r="C26" s="32">
        <f>C24+C25</f>
        <v/>
      </c>
      <c r="D26" s="32">
        <f>D24+D25</f>
        <v/>
      </c>
      <c r="E26" s="32">
        <f>E24+E25</f>
        <v/>
      </c>
      <c r="F26" s="32">
        <f>F24+F25</f>
        <v/>
      </c>
      <c r="G26" s="32">
        <f>G24+G25</f>
        <v/>
      </c>
      <c r="H26" s="32">
        <f>H24+H25</f>
        <v/>
      </c>
      <c r="I26" s="32">
        <f>I24+I25</f>
        <v/>
      </c>
    </row>
    <row r="27">
      <c r="A27" s="11" t="inlineStr">
        <is>
          <t>Earnings per share (EGP)</t>
        </is>
      </c>
      <c r="B27" s="12">
        <f>B26/148.75575</f>
        <v/>
      </c>
      <c r="C27" s="12">
        <f>C26/148.75575</f>
        <v/>
      </c>
      <c r="D27" s="12">
        <f>D26/162.016024</f>
        <v/>
      </c>
      <c r="E27" s="12">
        <f>E26/Assumptions!$C$8</f>
        <v/>
      </c>
      <c r="F27" s="12">
        <f>F26/Assumptions!$C$8</f>
        <v/>
      </c>
      <c r="G27" s="12">
        <f>G26/Assumptions!$C$8</f>
        <v/>
      </c>
      <c r="H27" s="12">
        <f>H26/Assumptions!$C$8</f>
        <v/>
      </c>
      <c r="I27" s="12">
        <f>I26/Assumptions!$C$8</f>
        <v/>
      </c>
    </row>
    <row r="29">
      <c r="A29" s="8" t="inlineStr">
        <is>
          <t>YEARS THREE TO FIVE AS RANGES — the method replayed on this company's own past, year by year, and scored against what was later reported</t>
        </is>
      </c>
      <c r="K29" s="8" t="inlineStr">
        <is>
          <t>Factor</t>
        </is>
      </c>
      <c r="L29" s="8" t="inlineStr">
        <is>
          <t>Readings</t>
        </is>
      </c>
    </row>
    <row r="30">
      <c r="A30" s="7" t="inlineStr">
        <is>
          <t>MULTIPLY the projection by the factor: above one means the outturn came in ABOVE the projection. The basis is a SPAN — the widest and the narrowest of the readings behind it, never a percentile.</t>
        </is>
      </c>
    </row>
    <row r="31">
      <c r="A31" s="4" t="inlineStr">
        <is>
          <t>Revenue — low of the range</t>
        </is>
      </c>
      <c r="G31" s="13">
        <f>G2*K31</f>
        <v/>
      </c>
      <c r="H31" s="7" t="inlineStr">
        <is>
          <t>no measured range</t>
        </is>
      </c>
      <c r="I31" s="7" t="inlineStr">
        <is>
          <t>no measured range</t>
        </is>
      </c>
      <c r="K31" s="16" t="n">
        <v>1.731530386298975</v>
      </c>
      <c r="L31" s="19" t="n">
        <v>3</v>
      </c>
    </row>
    <row r="32">
      <c r="A32" s="4" t="inlineStr">
        <is>
          <t>Revenue — high of the range</t>
        </is>
      </c>
      <c r="G32" s="13">
        <f>G2*K32</f>
        <v/>
      </c>
      <c r="H32" s="7" t="inlineStr">
        <is>
          <t>no measured range</t>
        </is>
      </c>
      <c r="I32" s="7" t="inlineStr">
        <is>
          <t>no measured range</t>
        </is>
      </c>
      <c r="K32" s="16" t="n">
        <v>2.023455302609483</v>
      </c>
      <c r="L32" s="19" t="n">
        <v>3</v>
      </c>
    </row>
    <row r="33">
      <c r="A33" s="4" t="inlineStr">
        <is>
          <t>Cost of sales — low of the range</t>
        </is>
      </c>
      <c r="G33" s="13">
        <f>G3*K33</f>
        <v/>
      </c>
      <c r="H33" s="7" t="inlineStr">
        <is>
          <t>no measured range</t>
        </is>
      </c>
      <c r="I33" s="7" t="inlineStr">
        <is>
          <t>no measured range</t>
        </is>
      </c>
      <c r="K33" s="16" t="n">
        <v>1.646500820627678</v>
      </c>
      <c r="L33" s="19" t="n">
        <v>3</v>
      </c>
    </row>
    <row r="34">
      <c r="A34" s="4" t="inlineStr">
        <is>
          <t>Cost of sales — high of the range</t>
        </is>
      </c>
      <c r="G34" s="13">
        <f>G3*K34</f>
        <v/>
      </c>
      <c r="H34" s="7" t="inlineStr">
        <is>
          <t>no measured range</t>
        </is>
      </c>
      <c r="I34" s="7" t="inlineStr">
        <is>
          <t>no measured range</t>
        </is>
      </c>
      <c r="K34" s="16" t="n">
        <v>1.946898481956563</v>
      </c>
      <c r="L34" s="19" t="n">
        <v>3</v>
      </c>
    </row>
    <row r="35">
      <c r="A35" s="4" t="inlineStr">
        <is>
          <t>Gross profit — low of the range</t>
        </is>
      </c>
      <c r="G35" s="13">
        <f>G6*K35</f>
        <v/>
      </c>
      <c r="H35" s="7" t="inlineStr">
        <is>
          <t>no measured range</t>
        </is>
      </c>
      <c r="I35" s="7" t="inlineStr">
        <is>
          <t>no measured range</t>
        </is>
      </c>
      <c r="K35" s="16" t="n">
        <v>1.830389697781688</v>
      </c>
      <c r="L35" s="19" t="n">
        <v>3</v>
      </c>
    </row>
    <row r="36">
      <c r="A36" s="4" t="inlineStr">
        <is>
          <t>Gross profit — high of the range</t>
        </is>
      </c>
      <c r="G36" s="13">
        <f>G6*K36</f>
        <v/>
      </c>
      <c r="H36" s="7" t="inlineStr">
        <is>
          <t>no measured range</t>
        </is>
      </c>
      <c r="I36" s="7" t="inlineStr">
        <is>
          <t>no measured range</t>
        </is>
      </c>
      <c r="K36" s="16" t="n">
        <v>2.130056265290247</v>
      </c>
      <c r="L36" s="19" t="n">
        <v>3</v>
      </c>
    </row>
    <row r="37">
      <c r="A37" s="4" t="inlineStr">
        <is>
          <t>Profit for the year — low of the range</t>
        </is>
      </c>
      <c r="G37" s="13">
        <f>G24*K37</f>
        <v/>
      </c>
      <c r="H37" s="7" t="inlineStr">
        <is>
          <t>no measured range</t>
        </is>
      </c>
      <c r="I37" s="7" t="inlineStr">
        <is>
          <t>no measured range</t>
        </is>
      </c>
      <c r="K37" s="16" t="n">
        <v>1.719212803624718</v>
      </c>
      <c r="L37" s="19" t="n">
        <v>3</v>
      </c>
    </row>
    <row r="38">
      <c r="A38" s="4" t="inlineStr">
        <is>
          <t>Profit for the year — high of the range</t>
        </is>
      </c>
      <c r="G38" s="13">
        <f>G24*K38</f>
        <v/>
      </c>
      <c r="H38" s="7" t="inlineStr">
        <is>
          <t>no measured range</t>
        </is>
      </c>
      <c r="I38" s="7" t="inlineStr">
        <is>
          <t>no measured range</t>
        </is>
      </c>
      <c r="K38" s="16" t="n">
        <v>3.405013586428177</v>
      </c>
      <c r="L38" s="19" t="n">
        <v>3</v>
      </c>
    </row>
    <row r="39">
      <c r="A39" s="4" t="inlineStr">
        <is>
          <t>Depreciation and amortisation — low of the range</t>
        </is>
      </c>
      <c r="G39" s="13">
        <f>G16*K39</f>
        <v/>
      </c>
      <c r="H39" s="7" t="inlineStr">
        <is>
          <t>no measured range</t>
        </is>
      </c>
      <c r="I39" s="7" t="inlineStr">
        <is>
          <t>no measured range</t>
        </is>
      </c>
      <c r="K39" s="16" t="n">
        <v>0.56170003273404</v>
      </c>
      <c r="L39" s="19" t="n">
        <v>2</v>
      </c>
    </row>
    <row r="40">
      <c r="A40" s="4" t="inlineStr">
        <is>
          <t>Depreciation and amortisation — high of the range</t>
        </is>
      </c>
      <c r="G40" s="13">
        <f>G16*K40</f>
        <v/>
      </c>
      <c r="H40" s="7" t="inlineStr">
        <is>
          <t>no measured range</t>
        </is>
      </c>
      <c r="I40" s="7" t="inlineStr">
        <is>
          <t>no measured range</t>
        </is>
      </c>
      <c r="K40" s="16" t="n">
        <v>0.6032344004250967</v>
      </c>
      <c r="L40" s="19" t="n">
        <v>2</v>
      </c>
    </row>
    <row r="41">
      <c r="A41" s="7" t="inlineStr">
        <is>
          <t>The fourth and fifth forecast years carry no measured range: the replay covers three years ahead and no further, and none is invented for them.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4" t="inlineStr">
        <is>
          <t>Property, plant and equipment, net</t>
        </is>
      </c>
      <c r="B2" s="19" t="n">
        <v>963.645369</v>
      </c>
      <c r="C2" s="19" t="n">
        <v>1045.230507</v>
      </c>
      <c r="D2" s="13">
        <f>Assumptions!$C$68</f>
        <v/>
      </c>
      <c r="E2" s="13">
        <f>Segments!D39</f>
        <v/>
      </c>
      <c r="F2" s="13">
        <f>Segments!E39</f>
        <v/>
      </c>
      <c r="G2" s="13">
        <f>Segments!F39</f>
        <v/>
      </c>
      <c r="H2" s="13">
        <f>Segments!G39</f>
        <v/>
      </c>
      <c r="I2" s="13">
        <f>Segments!H39</f>
        <v/>
      </c>
    </row>
    <row r="3">
      <c r="A3" s="4" t="inlineStr">
        <is>
          <t>Projects under construction</t>
        </is>
      </c>
      <c r="B3" s="19" t="n">
        <v>3058.211677</v>
      </c>
      <c r="C3" s="19" t="n">
        <v>5693.566382</v>
      </c>
      <c r="D3" s="13">
        <f>Assumptions!$C$69</f>
        <v/>
      </c>
      <c r="E3" s="13">
        <f>Segments!D44</f>
        <v/>
      </c>
      <c r="F3" s="13">
        <f>Segments!E44</f>
        <v/>
      </c>
      <c r="G3" s="13">
        <f>Segments!F44</f>
        <v/>
      </c>
      <c r="H3" s="13">
        <f>Segments!G44</f>
        <v/>
      </c>
      <c r="I3" s="13">
        <f>Segments!H44</f>
        <v/>
      </c>
    </row>
    <row r="4">
      <c r="A4" s="4" t="inlineStr">
        <is>
          <t>Associates, intangibles, right-of-use, deferred tax and assets held for sale</t>
        </is>
      </c>
      <c r="B4" s="19" t="n">
        <v>483.145342</v>
      </c>
      <c r="C4" s="19" t="n">
        <v>519.214192</v>
      </c>
      <c r="D4" s="19" t="n">
        <v>1299.598913</v>
      </c>
      <c r="E4" s="13">
        <f>D4</f>
        <v/>
      </c>
      <c r="F4" s="13">
        <f>D4</f>
        <v/>
      </c>
      <c r="G4" s="13">
        <f>D4</f>
        <v/>
      </c>
      <c r="H4" s="13">
        <f>D4</f>
        <v/>
      </c>
      <c r="I4" s="13">
        <f>D4</f>
        <v/>
      </c>
    </row>
    <row r="5">
      <c r="A5" s="4" t="inlineStr">
        <is>
          <t>Inventories, net</t>
        </is>
      </c>
      <c r="B5" s="19" t="n">
        <v>2242.39573</v>
      </c>
      <c r="C5" s="19" t="n">
        <v>3584.699946</v>
      </c>
      <c r="D5" s="13">
        <f>Assumptions!$C$70</f>
        <v/>
      </c>
      <c r="E5" s="13">
        <f>('Income Statement'!E3*-1)*Assumptions!C$39/365</f>
        <v/>
      </c>
      <c r="F5" s="13">
        <f>('Income Statement'!F3*-1)*Assumptions!D$39/365</f>
        <v/>
      </c>
      <c r="G5" s="13">
        <f>('Income Statement'!G3*-1)*Assumptions!E$39/365</f>
        <v/>
      </c>
      <c r="H5" s="13">
        <f>('Income Statement'!H3*-1)*Assumptions!F$39/365</f>
        <v/>
      </c>
      <c r="I5" s="13">
        <f>('Income Statement'!I3*-1)*Assumptions!G$39/365</f>
        <v/>
      </c>
    </row>
    <row r="6">
      <c r="A6" s="4" t="inlineStr">
        <is>
          <t>Trade and notes receivable, net</t>
        </is>
      </c>
      <c r="B6" s="19" t="n">
        <v>2357.855472</v>
      </c>
      <c r="C6" s="19" t="n">
        <v>3049.275231</v>
      </c>
      <c r="D6" s="13">
        <f>Assumptions!$C$71</f>
        <v/>
      </c>
      <c r="E6" s="13">
        <f>'Income Statement'!E2*Assumptions!C$40/365</f>
        <v/>
      </c>
      <c r="F6" s="13">
        <f>'Income Statement'!F2*Assumptions!D$40/365</f>
        <v/>
      </c>
      <c r="G6" s="13">
        <f>'Income Statement'!G2*Assumptions!E$40/365</f>
        <v/>
      </c>
      <c r="H6" s="13">
        <f>'Income Statement'!H2*Assumptions!F$40/365</f>
        <v/>
      </c>
      <c r="I6" s="13">
        <f>'Income Statement'!I2*Assumptions!G$40/365</f>
        <v/>
      </c>
    </row>
    <row r="7">
      <c r="A7" s="4" t="inlineStr">
        <is>
          <t>Other debtors and debit balances</t>
        </is>
      </c>
      <c r="B7" s="19" t="n">
        <v>197.731029</v>
      </c>
      <c r="C7" s="19" t="n">
        <v>185.584353</v>
      </c>
      <c r="D7" s="13">
        <f>Assumptions!$C$72</f>
        <v/>
      </c>
      <c r="E7" s="13">
        <f>'Income Statement'!E2/9441.379305*Assumptions!$C$72</f>
        <v/>
      </c>
      <c r="F7" s="13">
        <f>'Income Statement'!F2/9441.379305*Assumptions!$C$72</f>
        <v/>
      </c>
      <c r="G7" s="13">
        <f>'Income Statement'!G2/9441.379305*Assumptions!$C$72</f>
        <v/>
      </c>
      <c r="H7" s="13">
        <f>'Income Statement'!H2/9441.379305*Assumptions!$C$72</f>
        <v/>
      </c>
      <c r="I7" s="13">
        <f>'Income Statement'!I2/9441.379305*Assumptions!$C$72</f>
        <v/>
      </c>
    </row>
    <row r="8">
      <c r="A8" s="4" t="inlineStr">
        <is>
          <t>Cash and bank balances</t>
        </is>
      </c>
      <c r="B8" s="19" t="n">
        <v>675.798245</v>
      </c>
      <c r="C8" s="19" t="n">
        <v>1295.38686</v>
      </c>
      <c r="D8" s="13">
        <f>Assumptions!$C$75</f>
        <v/>
      </c>
      <c r="E8" s="13">
        <f>Assumptions!$C$75</f>
        <v/>
      </c>
      <c r="F8" s="13">
        <f>Assumptions!$C$75</f>
        <v/>
      </c>
      <c r="G8" s="13">
        <f>Assumptions!$C$75</f>
        <v/>
      </c>
      <c r="H8" s="13">
        <f>Assumptions!$C$75</f>
        <v/>
      </c>
      <c r="I8" s="13">
        <f>Assumptions!$C$75</f>
        <v/>
      </c>
    </row>
    <row r="9">
      <c r="A9" s="8" t="inlineStr">
        <is>
          <t>TOTAL ASSETS</t>
        </is>
      </c>
      <c r="B9" s="32">
        <f>SUM(B2:B8)</f>
        <v/>
      </c>
      <c r="C9" s="32">
        <f>SUM(C2:C8)</f>
        <v/>
      </c>
      <c r="D9" s="32">
        <f>SUM(D2:D8)</f>
        <v/>
      </c>
      <c r="E9" s="32">
        <f>SUM(E2:E8)</f>
        <v/>
      </c>
      <c r="F9" s="32">
        <f>SUM(F2:F8)</f>
        <v/>
      </c>
      <c r="G9" s="32">
        <f>SUM(G2:G8)</f>
        <v/>
      </c>
      <c r="H9" s="32">
        <f>SUM(H2:H8)</f>
        <v/>
      </c>
      <c r="I9" s="32">
        <f>SUM(I2:I8)</f>
        <v/>
      </c>
    </row>
    <row r="10">
      <c r="A10" s="4" t="inlineStr">
        <is>
          <t>Trade and notes payable</t>
        </is>
      </c>
      <c r="B10" s="19" t="n">
        <v>176.353891</v>
      </c>
      <c r="C10" s="19" t="n">
        <v>410.391619</v>
      </c>
      <c r="D10" s="13">
        <f>Assumptions!$C$73</f>
        <v/>
      </c>
      <c r="E10" s="13">
        <f>('Income Statement'!E3*-1)*Assumptions!C$41/365</f>
        <v/>
      </c>
      <c r="F10" s="13">
        <f>('Income Statement'!F3*-1)*Assumptions!D$41/365</f>
        <v/>
      </c>
      <c r="G10" s="13">
        <f>('Income Statement'!G3*-1)*Assumptions!E$41/365</f>
        <v/>
      </c>
      <c r="H10" s="13">
        <f>('Income Statement'!H3*-1)*Assumptions!F$41/365</f>
        <v/>
      </c>
      <c r="I10" s="13">
        <f>('Income Statement'!I3*-1)*Assumptions!G$41/365</f>
        <v/>
      </c>
    </row>
    <row r="11">
      <c r="A11" s="4" t="inlineStr">
        <is>
          <t>Other creditors and credit balances</t>
        </is>
      </c>
      <c r="B11" s="19" t="n">
        <v>230.675384</v>
      </c>
      <c r="C11" s="19" t="n">
        <v>367.42118</v>
      </c>
      <c r="D11" s="13">
        <f>Assumptions!$C$74</f>
        <v/>
      </c>
      <c r="E11" s="13">
        <f>'Income Statement'!E2/9441.379305*Assumptions!$C$74</f>
        <v/>
      </c>
      <c r="F11" s="13">
        <f>'Income Statement'!F2/9441.379305*Assumptions!$C$74</f>
        <v/>
      </c>
      <c r="G11" s="13">
        <f>'Income Statement'!G2/9441.379305*Assumptions!$C$74</f>
        <v/>
      </c>
      <c r="H11" s="13">
        <f>'Income Statement'!H2/9441.379305*Assumptions!$C$74</f>
        <v/>
      </c>
      <c r="I11" s="13">
        <f>'Income Statement'!I2/9441.379305*Assumptions!$C$74</f>
        <v/>
      </c>
    </row>
    <row r="12">
      <c r="A12" s="4" t="inlineStr">
        <is>
          <t>Provisions, income tax payable and deferred tax</t>
        </is>
      </c>
      <c r="B12" s="19" t="n">
        <v>435.0793929999999</v>
      </c>
      <c r="C12" s="19" t="n">
        <v>737.373915</v>
      </c>
      <c r="D12" s="19" t="n">
        <v>1117.660628</v>
      </c>
      <c r="E12" s="13">
        <f>D12</f>
        <v/>
      </c>
      <c r="F12" s="13">
        <f>D12</f>
        <v/>
      </c>
      <c r="G12" s="13">
        <f>D12</f>
        <v/>
      </c>
      <c r="H12" s="13">
        <f>D12</f>
        <v/>
      </c>
      <c r="I12" s="13">
        <f>D12</f>
        <v/>
      </c>
    </row>
    <row r="13">
      <c r="A13" s="4" t="inlineStr">
        <is>
          <t>Gross borrowings including leases</t>
        </is>
      </c>
      <c r="B13" s="19" t="n">
        <v>4879.973467999999</v>
      </c>
      <c r="C13" s="19" t="n">
        <v>9200.032863</v>
      </c>
      <c r="D13" s="13">
        <f>Assumptions!$C$76</f>
        <v/>
      </c>
      <c r="E13" s="13">
        <f>E9-E10-E11-E12-E14-E15</f>
        <v/>
      </c>
      <c r="F13" s="13">
        <f>F9-F10-F11-F12-F14-F15</f>
        <v/>
      </c>
      <c r="G13" s="13">
        <f>G9-G10-G11-G12-G14-G15</f>
        <v/>
      </c>
      <c r="H13" s="13">
        <f>H9-H10-H11-H12-H14-H15</f>
        <v/>
      </c>
      <c r="I13" s="13">
        <f>I9-I10-I11-I12-I14-I15</f>
        <v/>
      </c>
    </row>
    <row r="14">
      <c r="A14" s="11" t="inlineStr">
        <is>
          <t>Equity attributable to the holding company</t>
        </is>
      </c>
      <c r="B14" s="19" t="n">
        <v>4257.40809</v>
      </c>
      <c r="C14" s="19" t="n">
        <v>4653.769234</v>
      </c>
      <c r="D14" s="13">
        <f>Assumptions!$C$78</f>
        <v/>
      </c>
      <c r="E14" s="28">
        <f>Assumptions!$C$78+'Income Statement'!E26*(1-Assumptions!$C$42)</f>
        <v/>
      </c>
      <c r="F14" s="28">
        <f>E14+'Income Statement'!F26*(1-Assumptions!$C$42)</f>
        <v/>
      </c>
      <c r="G14" s="28">
        <f>F14+'Income Statement'!G26*(1-Assumptions!$C$42)</f>
        <v/>
      </c>
      <c r="H14" s="28">
        <f>G14+'Income Statement'!H26*(1-Assumptions!$C$42)</f>
        <v/>
      </c>
      <c r="I14" s="28">
        <f>H14+'Income Statement'!I26*(1-Assumptions!$C$42)</f>
        <v/>
      </c>
    </row>
    <row r="15">
      <c r="A15" s="4" t="inlineStr">
        <is>
          <t>Non-controlling interests</t>
        </is>
      </c>
      <c r="B15" s="19" t="n">
        <v>3.394945</v>
      </c>
      <c r="C15" s="19" t="n">
        <v>3.816172</v>
      </c>
      <c r="D15" s="13">
        <f>Assumptions!$C$79</f>
        <v/>
      </c>
      <c r="E15" s="13">
        <f>Assumptions!$C$80</f>
        <v/>
      </c>
      <c r="F15" s="13">
        <f>Assumptions!$C$80</f>
        <v/>
      </c>
      <c r="G15" s="13">
        <f>Assumptions!$C$80</f>
        <v/>
      </c>
      <c r="H15" s="13">
        <f>Assumptions!$C$80</f>
        <v/>
      </c>
      <c r="I15" s="13">
        <f>Assumptions!$C$80</f>
        <v/>
      </c>
    </row>
    <row r="16">
      <c r="A16" s="8" t="inlineStr">
        <is>
          <t>TOTAL LIABILITIES AND EQUITY</t>
        </is>
      </c>
      <c r="B16" s="32">
        <f>B10+B11+B12+B13+B14+B15</f>
        <v/>
      </c>
      <c r="C16" s="32">
        <f>C10+C11+C12+C13+C14+C15</f>
        <v/>
      </c>
      <c r="D16" s="32">
        <f>D10+D11+D12+D13+D14+D15</f>
        <v/>
      </c>
      <c r="E16" s="32">
        <f>E10+E11+E12+E13+E14+E15</f>
        <v/>
      </c>
      <c r="F16" s="32">
        <f>F10+F11+F12+F13+F14+F15</f>
        <v/>
      </c>
      <c r="G16" s="32">
        <f>G10+G11+G12+G13+G14+G15</f>
        <v/>
      </c>
      <c r="H16" s="32">
        <f>H10+H11+H12+H13+H14+H15</f>
        <v/>
      </c>
      <c r="I16" s="32">
        <f>I10+I11+I12+I13+I14+I15</f>
        <v/>
      </c>
    </row>
    <row r="17">
      <c r="A17" s="11" t="inlineStr">
        <is>
          <t>BALANCE CHECK — total assets less total liabilities and equity</t>
        </is>
      </c>
      <c r="B17" s="28">
        <f>B9-B16</f>
        <v/>
      </c>
      <c r="C17" s="28">
        <f>C9-C16</f>
        <v/>
      </c>
      <c r="D17" s="28">
        <f>D9-D16</f>
        <v/>
      </c>
      <c r="E17" s="28">
        <f>E9-E16</f>
        <v/>
      </c>
      <c r="F17" s="28">
        <f>F9-F16</f>
        <v/>
      </c>
      <c r="G17" s="28">
        <f>G9-G16</f>
        <v/>
      </c>
      <c r="H17" s="28">
        <f>H9-H16</f>
        <v/>
      </c>
      <c r="I17" s="28">
        <f>I9-I16</f>
        <v/>
      </c>
      <c r="J17" s="7" t="inlineStr">
        <is>
          <t>ZERO IN EVERY FORECAST COLUMN, BY CONSTRUCTION — gross borrowings are the funding plug. The earlier edition never computed this row at all and its forecast columns were out by up to 6.6% of total assets. The three audited columns carry small residuals (-4.1, +0.2, +0.4 on assets of 10.0bn to 18.3bn, under 0.05%) from grouping the filed statement into these line captions; they are shown rather than suppressed.</t>
        </is>
      </c>
    </row>
    <row r="18">
      <c r="A18" s="8" t="inlineStr">
        <is>
          <t>NET DEBT</t>
        </is>
      </c>
      <c r="B18" s="32">
        <f>B13-B8</f>
        <v/>
      </c>
      <c r="C18" s="32">
        <f>C13-C8</f>
        <v/>
      </c>
      <c r="D18" s="32">
        <f>D13-D8</f>
        <v/>
      </c>
      <c r="E18" s="32">
        <f>E13-E8</f>
        <v/>
      </c>
      <c r="F18" s="32">
        <f>F13-F8</f>
        <v/>
      </c>
      <c r="G18" s="32">
        <f>G13-G8</f>
        <v/>
      </c>
      <c r="H18" s="32">
        <f>H13-H8</f>
        <v/>
      </c>
      <c r="I18" s="32">
        <f>I13-I8</f>
        <v/>
      </c>
    </row>
    <row r="19">
      <c r="A19" s="11" t="inlineStr">
        <is>
          <t>Net working capital</t>
        </is>
      </c>
      <c r="B19" s="28">
        <f>B5+B6+B7-B10-B11</f>
        <v/>
      </c>
      <c r="C19" s="28">
        <f>C5+C6+C7-C10-C11</f>
        <v/>
      </c>
      <c r="D19" s="28">
        <f>D5+D6+D7-D10-D11</f>
        <v/>
      </c>
      <c r="E19" s="28">
        <f>E5+E6+E7-E10-E11</f>
        <v/>
      </c>
      <c r="F19" s="28">
        <f>F5+F6+F7-F10-F11</f>
        <v/>
      </c>
      <c r="G19" s="28">
        <f>G5+G6+G7-G10-G11</f>
        <v/>
      </c>
      <c r="H19" s="28">
        <f>H5+H6+H7-H10-H11</f>
        <v/>
      </c>
      <c r="I19" s="28">
        <f>I5+I6+I7-I10-I11</f>
        <v/>
      </c>
    </row>
    <row r="20">
      <c r="A20" s="11" t="inlineStr">
        <is>
          <t>Book value per share (EGP)</t>
        </is>
      </c>
      <c r="B20" s="12">
        <f>B14/148.75575</f>
        <v/>
      </c>
      <c r="C20" s="12">
        <f>C14/148.75575</f>
        <v/>
      </c>
      <c r="D20" s="12">
        <f>D14/168.75575</f>
        <v/>
      </c>
      <c r="E20" s="12">
        <f>E14/Assumptions!$C$8</f>
        <v/>
      </c>
      <c r="F20" s="12">
        <f>F14/Assumptions!$C$8</f>
        <v/>
      </c>
      <c r="G20" s="12">
        <f>G14/Assumptions!$C$8</f>
        <v/>
      </c>
      <c r="H20" s="12">
        <f>H14/Assumptions!$C$8</f>
        <v/>
      </c>
      <c r="I20" s="12">
        <f>I14/Assumptions!$C$8</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4" t="inlineStr">
        <is>
          <t>Operating profit (EBIT)</t>
        </is>
      </c>
      <c r="B2" s="13">
        <f>'Income Statement'!B15</f>
        <v/>
      </c>
      <c r="C2" s="13">
        <f>'Income Statement'!C15</f>
        <v/>
      </c>
      <c r="D2" s="13">
        <f>'Income Statement'!D15</f>
        <v/>
      </c>
      <c r="E2" s="13">
        <f>'Income Statement'!E15</f>
        <v/>
      </c>
      <c r="F2" s="13">
        <f>'Income Statement'!F15</f>
        <v/>
      </c>
      <c r="G2" s="13">
        <f>'Income Statement'!G15</f>
        <v/>
      </c>
      <c r="H2" s="13">
        <f>'Income Statement'!H15</f>
        <v/>
      </c>
      <c r="I2" s="13">
        <f>'Income Statement'!I15</f>
        <v/>
      </c>
    </row>
    <row r="3">
      <c r="A3" s="4" t="inlineStr">
        <is>
          <t>Tax on operating profit at the EFFECTIVE rate the business bears</t>
        </is>
      </c>
      <c r="B3" s="13">
        <f>-B2*Assumptions!$C$10</f>
        <v/>
      </c>
      <c r="C3" s="13">
        <f>-C2*Assumptions!$C$10</f>
        <v/>
      </c>
      <c r="D3" s="13">
        <f>-D2*Assumptions!$C$10</f>
        <v/>
      </c>
      <c r="E3" s="13">
        <f>-E2*Assumptions!$C$10</f>
        <v/>
      </c>
      <c r="F3" s="13">
        <f>-F2*Assumptions!$C$10</f>
        <v/>
      </c>
      <c r="G3" s="13">
        <f>-G2*Assumptions!$C$10</f>
        <v/>
      </c>
      <c r="H3" s="13">
        <f>-H2*Assumptions!$C$10</f>
        <v/>
      </c>
      <c r="I3" s="13">
        <f>-I2*Assumptions!$C$10</f>
        <v/>
      </c>
    </row>
    <row r="4">
      <c r="A4" s="8" t="inlineStr">
        <is>
          <t>Operating profit after tax (NOPAT)</t>
        </is>
      </c>
      <c r="B4" s="32">
        <f>B2+B3</f>
        <v/>
      </c>
      <c r="C4" s="32">
        <f>C2+C3</f>
        <v/>
      </c>
      <c r="D4" s="32">
        <f>D2+D3</f>
        <v/>
      </c>
      <c r="E4" s="32">
        <f>E2+E3</f>
        <v/>
      </c>
      <c r="F4" s="32">
        <f>F2+F3</f>
        <v/>
      </c>
      <c r="G4" s="32">
        <f>G2+G3</f>
        <v/>
      </c>
      <c r="H4" s="32">
        <f>H2+H3</f>
        <v/>
      </c>
      <c r="I4" s="32">
        <f>I2+I3</f>
        <v/>
      </c>
    </row>
    <row r="5">
      <c r="A5" s="4" t="inlineStr">
        <is>
          <t>Add back depreciation and amortisation</t>
        </is>
      </c>
      <c r="B5" s="13">
        <f>'Income Statement'!B16</f>
        <v/>
      </c>
      <c r="C5" s="13">
        <f>'Income Statement'!C16</f>
        <v/>
      </c>
      <c r="D5" s="13">
        <f>'Income Statement'!D16</f>
        <v/>
      </c>
      <c r="E5" s="13">
        <f>'Income Statement'!E16</f>
        <v/>
      </c>
      <c r="F5" s="13">
        <f>'Income Statement'!F16</f>
        <v/>
      </c>
      <c r="G5" s="13">
        <f>'Income Statement'!G16</f>
        <v/>
      </c>
      <c r="H5" s="13">
        <f>'Income Statement'!H16</f>
        <v/>
      </c>
      <c r="I5" s="13">
        <f>'Income Statement'!I16</f>
        <v/>
      </c>
    </row>
    <row r="6">
      <c r="A6" s="4" t="inlineStr">
        <is>
          <t>Less capital expenditure</t>
        </is>
      </c>
      <c r="B6" s="19" t="n">
        <v>-2290.194556</v>
      </c>
      <c r="C6" s="19" t="n">
        <v>-2846.239746</v>
      </c>
      <c r="D6" s="19" t="n">
        <v>-1354.665231</v>
      </c>
      <c r="E6" s="13">
        <f>-Segments!D40</f>
        <v/>
      </c>
      <c r="F6" s="13">
        <f>-Segments!E40</f>
        <v/>
      </c>
      <c r="G6" s="13">
        <f>-Segments!F40</f>
        <v/>
      </c>
      <c r="H6" s="13">
        <f>-Segments!G40</f>
        <v/>
      </c>
      <c r="I6" s="13">
        <f>-Segments!H40</f>
        <v/>
      </c>
    </row>
    <row r="7">
      <c r="A7" s="4" t="inlineStr">
        <is>
          <t>Less the increase in working capital</t>
        </is>
      </c>
      <c r="B7" s="19" t="n">
        <v>-835.715133</v>
      </c>
      <c r="C7" s="19" t="n">
        <v>-2426.81348</v>
      </c>
      <c r="D7" s="19" t="n">
        <v>-428.2194999999999</v>
      </c>
      <c r="E7" s="13">
        <f>-('Balance Sheet'!E19-'Balance Sheet'!D19)</f>
        <v/>
      </c>
      <c r="F7" s="13">
        <f>-('Balance Sheet'!F19-'Balance Sheet'!E19)</f>
        <v/>
      </c>
      <c r="G7" s="13">
        <f>-('Balance Sheet'!G19-'Balance Sheet'!F19)</f>
        <v/>
      </c>
      <c r="H7" s="13">
        <f>-('Balance Sheet'!H19-'Balance Sheet'!G19)</f>
        <v/>
      </c>
      <c r="I7" s="13">
        <f>-('Balance Sheet'!I19-'Balance Sheet'!H19)</f>
        <v/>
      </c>
    </row>
    <row r="8">
      <c r="A8" s="8" t="inlineStr">
        <is>
          <t>FREE CASH FLOW TO THE FIRM</t>
        </is>
      </c>
      <c r="E8" s="32">
        <f>E4+E5+E6+E7</f>
        <v/>
      </c>
      <c r="F8" s="32">
        <f>F4+F5+F6+F7</f>
        <v/>
      </c>
      <c r="G8" s="32">
        <f>G4+G5+G6+G7</f>
        <v/>
      </c>
      <c r="H8" s="32">
        <f>H4+H5+H6+H7</f>
        <v/>
      </c>
      <c r="I8" s="32">
        <f>I4+I5+I6+I7</f>
        <v/>
      </c>
    </row>
    <row r="10">
      <c r="A10" s="3" t="inlineStr">
        <is>
          <t>Memorandum — audited operating, investing and financing cash flow</t>
        </is>
      </c>
    </row>
    <row r="11">
      <c r="A11" s="4" t="inlineStr">
        <is>
          <t>Net cash from operating activities</t>
        </is>
      </c>
      <c r="B11" s="19" t="n">
        <v>92.483752</v>
      </c>
      <c r="C11" s="19" t="n">
        <v>-1274.488135</v>
      </c>
      <c r="D11" s="19" t="n">
        <v>1093.516116</v>
      </c>
    </row>
    <row r="12">
      <c r="A12" s="4" t="inlineStr">
        <is>
          <t>Net cash used in investing activities</t>
        </is>
      </c>
      <c r="B12" s="19" t="n">
        <v>-2329.639953</v>
      </c>
      <c r="C12" s="19" t="n">
        <v>-2679.028944</v>
      </c>
      <c r="D12" s="19" t="n">
        <v>-1201.726573</v>
      </c>
    </row>
    <row r="13">
      <c r="A13" s="4" t="inlineStr">
        <is>
          <t>Net cash from financing activities</t>
        </is>
      </c>
      <c r="B13" s="19" t="n">
        <v>2209.824906</v>
      </c>
      <c r="C13" s="19" t="n">
        <v>3853.615013</v>
      </c>
      <c r="D13" s="19" t="n">
        <v>262.411958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is>
          <t>EGP million</t>
        </is>
      </c>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11" t="inlineStr">
        <is>
          <t>Revenue</t>
        </is>
      </c>
      <c r="B2" s="13">
        <f>'Income Statement'!B2</f>
        <v/>
      </c>
      <c r="C2" s="13">
        <f>'Income Statement'!C2</f>
        <v/>
      </c>
      <c r="D2" s="13">
        <f>'Income Statement'!D2</f>
        <v/>
      </c>
      <c r="E2" s="13">
        <f>'Income Statement'!E2</f>
        <v/>
      </c>
      <c r="F2" s="13">
        <f>'Income Statement'!F2</f>
        <v/>
      </c>
      <c r="G2" s="13">
        <f>'Income Statement'!G2</f>
        <v/>
      </c>
      <c r="H2" s="13">
        <f>'Income Statement'!H2</f>
        <v/>
      </c>
      <c r="I2" s="13">
        <f>'Income Statement'!I2</f>
        <v/>
      </c>
    </row>
    <row r="3">
      <c r="A3" s="11" t="inlineStr">
        <is>
          <t>Gross profit</t>
        </is>
      </c>
      <c r="B3" s="13">
        <f>'Income Statement'!B6</f>
        <v/>
      </c>
      <c r="C3" s="13">
        <f>'Income Statement'!C6</f>
        <v/>
      </c>
      <c r="D3" s="13">
        <f>'Income Statement'!D6</f>
        <v/>
      </c>
      <c r="E3" s="13">
        <f>'Income Statement'!E6</f>
        <v/>
      </c>
      <c r="F3" s="13">
        <f>'Income Statement'!F6</f>
        <v/>
      </c>
      <c r="G3" s="13">
        <f>'Income Statement'!G6</f>
        <v/>
      </c>
      <c r="H3" s="13">
        <f>'Income Statement'!H6</f>
        <v/>
      </c>
      <c r="I3" s="13">
        <f>'Income Statement'!I6</f>
        <v/>
      </c>
    </row>
    <row r="4">
      <c r="A4" s="11" t="inlineStr">
        <is>
          <t>EBITDA</t>
        </is>
      </c>
      <c r="B4" s="13">
        <f>'Income Statement'!B17</f>
        <v/>
      </c>
      <c r="C4" s="13">
        <f>'Income Statement'!C17</f>
        <v/>
      </c>
      <c r="D4" s="13">
        <f>'Income Statement'!D17</f>
        <v/>
      </c>
      <c r="E4" s="13">
        <f>'Income Statement'!E17</f>
        <v/>
      </c>
      <c r="F4" s="13">
        <f>'Income Statement'!F17</f>
        <v/>
      </c>
      <c r="G4" s="13">
        <f>'Income Statement'!G17</f>
        <v/>
      </c>
      <c r="H4" s="13">
        <f>'Income Statement'!H17</f>
        <v/>
      </c>
      <c r="I4" s="13">
        <f>'Income Statement'!I17</f>
        <v/>
      </c>
    </row>
    <row r="5">
      <c r="A5" s="11" t="inlineStr">
        <is>
          <t>Operating profit</t>
        </is>
      </c>
      <c r="B5" s="13">
        <f>'Income Statement'!B15</f>
        <v/>
      </c>
      <c r="C5" s="13">
        <f>'Income Statement'!C15</f>
        <v/>
      </c>
      <c r="D5" s="13">
        <f>'Income Statement'!D15</f>
        <v/>
      </c>
      <c r="E5" s="13">
        <f>'Income Statement'!E15</f>
        <v/>
      </c>
      <c r="F5" s="13">
        <f>'Income Statement'!F15</f>
        <v/>
      </c>
      <c r="G5" s="13">
        <f>'Income Statement'!G15</f>
        <v/>
      </c>
      <c r="H5" s="13">
        <f>'Income Statement'!H15</f>
        <v/>
      </c>
      <c r="I5" s="13">
        <f>'Income Statement'!I15</f>
        <v/>
      </c>
    </row>
    <row r="6">
      <c r="A6" s="11" t="inlineStr">
        <is>
          <t>Profit before tax</t>
        </is>
      </c>
      <c r="B6" s="13">
        <f>'Income Statement'!B22</f>
        <v/>
      </c>
      <c r="C6" s="13">
        <f>'Income Statement'!C22</f>
        <v/>
      </c>
      <c r="D6" s="13">
        <f>'Income Statement'!D22</f>
        <v/>
      </c>
      <c r="E6" s="13">
        <f>'Income Statement'!E22</f>
        <v/>
      </c>
      <c r="F6" s="13">
        <f>'Income Statement'!F22</f>
        <v/>
      </c>
      <c r="G6" s="13">
        <f>'Income Statement'!G22</f>
        <v/>
      </c>
      <c r="H6" s="13">
        <f>'Income Statement'!H22</f>
        <v/>
      </c>
      <c r="I6" s="13">
        <f>'Income Statement'!I22</f>
        <v/>
      </c>
    </row>
    <row r="7">
      <c r="A7" s="11" t="inlineStr">
        <is>
          <t>Profit attributable to the holding company</t>
        </is>
      </c>
      <c r="B7" s="13">
        <f>'Income Statement'!B26</f>
        <v/>
      </c>
      <c r="C7" s="13">
        <f>'Income Statement'!C26</f>
        <v/>
      </c>
      <c r="D7" s="13">
        <f>'Income Statement'!D26</f>
        <v/>
      </c>
      <c r="E7" s="13">
        <f>'Income Statement'!E26</f>
        <v/>
      </c>
      <c r="F7" s="13">
        <f>'Income Statement'!F26</f>
        <v/>
      </c>
      <c r="G7" s="13">
        <f>'Income Statement'!G26</f>
        <v/>
      </c>
      <c r="H7" s="13">
        <f>'Income Statement'!H26</f>
        <v/>
      </c>
      <c r="I7" s="13">
        <f>'Income Statement'!I26</f>
        <v/>
      </c>
    </row>
    <row r="8">
      <c r="A8" s="4" t="inlineStr">
        <is>
          <t>Gross margin</t>
        </is>
      </c>
      <c r="B8" s="6">
        <f>'Income Statement'!B6/'Income Statement'!B2</f>
        <v/>
      </c>
      <c r="C8" s="6">
        <f>'Income Statement'!C6/'Income Statement'!C2</f>
        <v/>
      </c>
      <c r="D8" s="6">
        <f>'Income Statement'!D6/'Income Statement'!D2</f>
        <v/>
      </c>
      <c r="E8" s="6">
        <f>'Income Statement'!E6/'Income Statement'!E2</f>
        <v/>
      </c>
      <c r="F8" s="6">
        <f>'Income Statement'!F6/'Income Statement'!F2</f>
        <v/>
      </c>
      <c r="G8" s="6">
        <f>'Income Statement'!G6/'Income Statement'!G2</f>
        <v/>
      </c>
      <c r="H8" s="6">
        <f>'Income Statement'!H6/'Income Statement'!H2</f>
        <v/>
      </c>
      <c r="I8" s="6">
        <f>'Income Statement'!I6/'Income Statement'!I2</f>
        <v/>
      </c>
    </row>
    <row r="9">
      <c r="A9" s="4" t="inlineStr">
        <is>
          <t>EBITDA margin</t>
        </is>
      </c>
      <c r="B9" s="6">
        <f>'Income Statement'!B17/'Income Statement'!B2</f>
        <v/>
      </c>
      <c r="C9" s="6">
        <f>'Income Statement'!C17/'Income Statement'!C2</f>
        <v/>
      </c>
      <c r="D9" s="6">
        <f>'Income Statement'!D17/'Income Statement'!D2</f>
        <v/>
      </c>
      <c r="E9" s="6">
        <f>'Income Statement'!E17/'Income Statement'!E2</f>
        <v/>
      </c>
      <c r="F9" s="6">
        <f>'Income Statement'!F17/'Income Statement'!F2</f>
        <v/>
      </c>
      <c r="G9" s="6">
        <f>'Income Statement'!G17/'Income Statement'!G2</f>
        <v/>
      </c>
      <c r="H9" s="6">
        <f>'Income Statement'!H17/'Income Statement'!H2</f>
        <v/>
      </c>
      <c r="I9" s="6">
        <f>'Income Statement'!I17/'Income Statement'!I2</f>
        <v/>
      </c>
    </row>
    <row r="10">
      <c r="A10" s="4" t="inlineStr">
        <is>
          <t>Operating margin</t>
        </is>
      </c>
      <c r="B10" s="6">
        <f>'Income Statement'!B15/'Income Statement'!B2</f>
        <v/>
      </c>
      <c r="C10" s="6">
        <f>'Income Statement'!C15/'Income Statement'!C2</f>
        <v/>
      </c>
      <c r="D10" s="6">
        <f>'Income Statement'!D15/'Income Statement'!D2</f>
        <v/>
      </c>
      <c r="E10" s="6">
        <f>'Income Statement'!E15/'Income Statement'!E2</f>
        <v/>
      </c>
      <c r="F10" s="6">
        <f>'Income Statement'!F15/'Income Statement'!F2</f>
        <v/>
      </c>
      <c r="G10" s="6">
        <f>'Income Statement'!G15/'Income Statement'!G2</f>
        <v/>
      </c>
      <c r="H10" s="6">
        <f>'Income Statement'!H15/'Income Statement'!H2</f>
        <v/>
      </c>
      <c r="I10" s="6">
        <f>'Income Statement'!I15/'Income Statement'!I2</f>
        <v/>
      </c>
    </row>
    <row r="11">
      <c r="A11" s="4" t="inlineStr">
        <is>
          <t>Net margin</t>
        </is>
      </c>
      <c r="B11" s="6">
        <f>'Income Statement'!B26/'Income Statement'!B2</f>
        <v/>
      </c>
      <c r="C11" s="6">
        <f>'Income Statement'!C26/'Income Statement'!C2</f>
        <v/>
      </c>
      <c r="D11" s="6">
        <f>'Income Statement'!D26/'Income Statement'!D2</f>
        <v/>
      </c>
      <c r="E11" s="6">
        <f>'Income Statement'!E26/'Income Statement'!E2</f>
        <v/>
      </c>
      <c r="F11" s="6">
        <f>'Income Statement'!F26/'Income Statement'!F2</f>
        <v/>
      </c>
      <c r="G11" s="6">
        <f>'Income Statement'!G26/'Income Statement'!G2</f>
        <v/>
      </c>
      <c r="H11" s="6">
        <f>'Income Statement'!H26/'Income Statement'!H2</f>
        <v/>
      </c>
      <c r="I11" s="6">
        <f>'Income Statement'!I26/'Income Statement'!I2</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2" customWidth="1" min="1" max="1"/>
    <col width="16" customWidth="1" min="2" max="2"/>
    <col width="16" customWidth="1" min="3" max="3"/>
    <col width="44" customWidth="1" min="4" max="4"/>
  </cols>
  <sheetData>
    <row r="1" ht="30" customHeight="1">
      <c r="A1" s="1" t="inlineStr">
        <is>
          <t>Probabilistic price map</t>
        </is>
      </c>
      <c r="B1" s="2" t="inlineStr">
        <is>
          <t>One month</t>
        </is>
      </c>
      <c r="C1" s="2" t="inlineStr">
        <is>
          <t>Three months</t>
        </is>
      </c>
      <c r="D1" s="2" t="inlineStr">
        <is>
          <t>Note</t>
        </is>
      </c>
    </row>
    <row r="2">
      <c r="A2" s="8" t="inlineStr">
        <is>
          <t>THESE CELLS ARE A WHOLE-MODEL RE-RUN — 50,000 simulated price paths each. They do NOT redraw when a driver on the Assumptions sheet changes.</t>
        </is>
      </c>
      <c r="B2" s="46" t="n"/>
      <c r="C2" s="46" t="n"/>
      <c r="D2" s="47" t="n"/>
    </row>
    <row r="3">
      <c r="A3" s="4" t="inlineStr">
        <is>
          <t>Anchor price (EGP)</t>
        </is>
      </c>
      <c r="B3" s="16" t="n">
        <v>130.05</v>
      </c>
      <c r="C3" s="16" t="n">
        <v>130.05</v>
      </c>
      <c r="D3" s="7" t="inlineStr">
        <is>
          <t>Anchored 2026-08-06</t>
        </is>
      </c>
    </row>
    <row r="4">
      <c r="A4" s="4" t="inlineStr">
        <is>
          <t>Check date</t>
        </is>
      </c>
      <c r="B4" s="48" t="inlineStr">
        <is>
          <t>2026-09-06</t>
        </is>
      </c>
      <c r="C4" s="48" t="inlineStr">
        <is>
          <t>2026-11-08</t>
        </is>
      </c>
      <c r="D4" s="7" t="inlineStr">
        <is>
          <t>A calendar date, resolved to the exchange's first real trading session</t>
        </is>
      </c>
    </row>
    <row r="5">
      <c r="A5" s="4" t="inlineStr">
        <is>
          <t>5th percentile of the simulated distribution</t>
        </is>
      </c>
      <c r="B5" s="16" t="n">
        <v>103.8007679145783</v>
      </c>
      <c r="C5" s="16" t="n">
        <v>94.39540498598306</v>
      </c>
    </row>
    <row r="6">
      <c r="A6" s="4" t="inlineStr">
        <is>
          <t>25th percentile of the simulated distribution</t>
        </is>
      </c>
      <c r="B6" s="16" t="n">
        <v>120.563279729777</v>
      </c>
      <c r="C6" s="16" t="n">
        <v>118.416837770352</v>
      </c>
    </row>
    <row r="7">
      <c r="A7" s="4" t="inlineStr">
        <is>
          <t>50th percentile of the simulated distribution</t>
        </is>
      </c>
      <c r="B7" s="16" t="n">
        <v>131.6933256819726</v>
      </c>
      <c r="C7" s="16" t="n">
        <v>135.3037034307837</v>
      </c>
    </row>
    <row r="8">
      <c r="A8" s="4" t="inlineStr">
        <is>
          <t>75th percentile of the simulated distribution</t>
        </is>
      </c>
      <c r="B8" s="16" t="n">
        <v>143.9429398845258</v>
      </c>
      <c r="C8" s="16" t="n">
        <v>154.3933534707429</v>
      </c>
    </row>
    <row r="9">
      <c r="A9" s="4" t="inlineStr">
        <is>
          <t>95th percentile of the simulated distribution</t>
        </is>
      </c>
      <c r="B9" s="16" t="n">
        <v>167.1694824698633</v>
      </c>
      <c r="C9" s="16" t="n">
        <v>193.8196590270854</v>
      </c>
    </row>
    <row r="10">
      <c r="A10" s="4" t="inlineStr">
        <is>
          <t>Probability of finishing above the anchor</t>
        </is>
      </c>
      <c r="B10" s="17" t="n">
        <v>0.5380200000000001</v>
      </c>
      <c r="C10" s="17" t="n">
        <v>0.58168</v>
      </c>
    </row>
    <row r="11">
      <c r="A11" s="4" t="inlineStr">
        <is>
          <t>Probability of finishing 10% or more above</t>
        </is>
      </c>
      <c r="B11" s="17" t="n">
        <v>0.26388</v>
      </c>
      <c r="C11" s="17" t="n">
        <v>0.38614</v>
      </c>
    </row>
    <row r="12">
      <c r="A12" s="4" t="inlineStr">
        <is>
          <t>Probability of finishing 10% or more below</t>
        </is>
      </c>
      <c r="B12" s="17" t="n">
        <v>0.1869</v>
      </c>
      <c r="C12" s="17" t="n">
        <v>0.23222</v>
      </c>
    </row>
    <row r="13">
      <c r="A13" s="4" t="inlineStr">
        <is>
          <t>Probability of TOUCHING 10% above at any point</t>
        </is>
      </c>
      <c r="B13" s="17" t="n">
        <v>0.43044</v>
      </c>
      <c r="C13" s="17" t="n">
        <v>0.63828</v>
      </c>
    </row>
    <row r="14">
      <c r="A14" s="4" t="inlineStr">
        <is>
          <t>Probability of TOUCHING 10% below at any point</t>
        </is>
      </c>
      <c r="B14" s="17" t="n">
        <v>0.3294</v>
      </c>
      <c r="C14" s="17" t="n">
        <v>0.47868</v>
      </c>
    </row>
    <row r="15">
      <c r="A15" s="4" t="inlineStr">
        <is>
          <t>Annualised volatility used</t>
        </is>
      </c>
      <c r="B15" s="17" t="n">
        <v>0.6289831589091174</v>
      </c>
      <c r="C15" s="17" t="n">
        <v>0.5355493395100334</v>
      </c>
    </row>
    <row r="17">
      <c r="A17" s="8" t="inlineStr">
        <is>
          <t>CALIBRATION EVIDENCE</t>
        </is>
      </c>
    </row>
    <row r="18" ht="30" customHeight="1">
      <c r="A18" s="39" t="inlineStr">
        <is>
          <t>Window set</t>
        </is>
      </c>
      <c r="B18" s="40" t="inlineStr">
        <is>
          <t>Windows</t>
        </is>
      </c>
      <c r="C18" s="40" t="inlineStr">
        <is>
          <t>Skill against the benchmark</t>
        </is>
      </c>
      <c r="D18" s="40" t="inlineStr">
        <is>
          <t>Probability-transform uniformity</t>
        </is>
      </c>
    </row>
    <row r="19">
      <c r="A19" s="4" t="inlineStr">
        <is>
          <t>Full cleaned history (2012-05-23 to 2026-03-24)</t>
        </is>
      </c>
      <c r="B19" s="19" t="n">
        <v>56</v>
      </c>
      <c r="C19" s="49" t="n">
        <v>-0.01771436655010961</v>
      </c>
      <c r="D19" s="7" t="inlineStr">
        <is>
          <t>chi-square p = 0.166, Kolmogorov-Smirnov p = 0.478 — roughly uniform</t>
        </is>
      </c>
    </row>
    <row r="20">
      <c r="A20" s="4" t="inlineStr">
        <is>
          <t>Last five years of origins (2021-09-19 to 2026-03-24)</t>
        </is>
      </c>
      <c r="B20" s="19" t="n">
        <v>19</v>
      </c>
      <c r="C20" s="49" t="n">
        <v>0.002147922911274858</v>
      </c>
      <c r="D20" s="7" t="inlineStr">
        <is>
          <t>chi-square p = 0.447, Kolmogorov-Smirnov p = 0.676 — roughly uniform</t>
        </is>
      </c>
    </row>
    <row r="21">
      <c r="A21" s="4" t="inlineStr">
        <is>
          <t>Post-break window set (2022-06-20 to 2026-03-24)</t>
        </is>
      </c>
      <c r="B21" s="19" t="n">
        <v>16</v>
      </c>
      <c r="C21" s="49" t="n">
        <v>-0.01085817085606799</v>
      </c>
      <c r="D21" s="7" t="inlineStr">
        <is>
          <t>chi-square p = 0.331, Kolmogorov-Smirnov p = 0.144 — roughly uniform</t>
        </is>
      </c>
    </row>
  </sheetData>
  <mergeCells count="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ht="30" customHeight="1">
      <c r="A1" s="1" t="inlineStr">
        <is>
          <t>Value per share (EGP) — each cell is a COMPLETE revaluation</t>
        </is>
      </c>
      <c r="B1" s="2" t="inlineStr"/>
      <c r="C1" s="2" t="inlineStr"/>
      <c r="D1" s="2" t="inlineStr"/>
      <c r="E1" s="2" t="inlineStr"/>
      <c r="F1" s="2" t="inlineStr"/>
    </row>
    <row r="2">
      <c r="A2" s="8" t="inlineStr">
        <is>
          <t>THESE GRIDS ARE WHOLE-MODEL RE-RUNS. Each cell re-runs the entire model at a different input. They do NOT redraw when a driver on the Assumptions sheet changes.</t>
        </is>
      </c>
      <c r="B2" s="46" t="n"/>
      <c r="C2" s="46" t="n"/>
      <c r="D2" s="46" t="n"/>
      <c r="E2" s="46" t="n"/>
      <c r="F2" s="47" t="n"/>
    </row>
    <row r="4">
      <c r="A4" s="3" t="inlineStr">
        <is>
          <t>Shift in the cost of equity (basis points)</t>
        </is>
      </c>
      <c r="B4" s="50" t="n">
        <v>-200</v>
      </c>
      <c r="C4" s="50" t="n">
        <v>-100</v>
      </c>
      <c r="D4" s="50" t="n">
        <v>0</v>
      </c>
      <c r="E4" s="50" t="n">
        <v>100</v>
      </c>
      <c r="F4" s="50" t="n">
        <v>200</v>
      </c>
    </row>
    <row r="5">
      <c r="A5" s="4" t="inlineStr">
        <is>
          <t>Value per share</t>
        </is>
      </c>
      <c r="B5" s="16" t="n">
        <v>45.58896549405187</v>
      </c>
      <c r="C5" s="16" t="n">
        <v>37.7262922544959</v>
      </c>
      <c r="D5" s="16" t="n">
        <v>31.29765587745298</v>
      </c>
      <c r="E5" s="16" t="n">
        <v>25.94555207136375</v>
      </c>
      <c r="F5" s="16" t="n">
        <v>21.42215348171165</v>
      </c>
    </row>
    <row r="7">
      <c r="A7" s="3" t="inlineStr">
        <is>
          <t>Terminal growth</t>
        </is>
      </c>
      <c r="B7" s="17" t="n">
        <v>0.03</v>
      </c>
      <c r="C7" s="17" t="n">
        <v>0.04</v>
      </c>
      <c r="D7" s="17" t="n">
        <v>0.05</v>
      </c>
      <c r="E7" s="17" t="n">
        <v>0.06</v>
      </c>
      <c r="F7" s="17" t="n">
        <v>0.07000000000000001</v>
      </c>
    </row>
    <row r="8">
      <c r="A8" s="4" t="inlineStr">
        <is>
          <t>Value per share</t>
        </is>
      </c>
      <c r="B8" s="16" t="n">
        <v>22.78463350420749</v>
      </c>
      <c r="C8" s="16" t="n">
        <v>24.40348858286179</v>
      </c>
      <c r="D8" s="16" t="n">
        <v>26.29548986486675</v>
      </c>
      <c r="E8" s="16" t="n">
        <v>28.54950784362176</v>
      </c>
      <c r="F8" s="16" t="n">
        <v>31.29765587745298</v>
      </c>
    </row>
    <row r="10">
      <c r="A10" s="3" t="inlineStr">
        <is>
          <t>Beta</t>
        </is>
      </c>
      <c r="B10" s="51" t="n">
        <v>0.45</v>
      </c>
      <c r="C10" s="51" t="n">
        <v>0.55</v>
      </c>
      <c r="D10" s="51" t="n">
        <v>0.6658188407423365</v>
      </c>
      <c r="E10" s="51" t="n">
        <v>0.75</v>
      </c>
      <c r="F10" s="51" t="n">
        <v>0.9</v>
      </c>
    </row>
    <row r="11">
      <c r="A11" s="4" t="inlineStr">
        <is>
          <t>Value per share</t>
        </is>
      </c>
      <c r="B11" s="16" t="n">
        <v>42.07570398125152</v>
      </c>
      <c r="C11" s="16" t="n">
        <v>36.6789703231549</v>
      </c>
      <c r="D11" s="16" t="n">
        <v>31.29765587745298</v>
      </c>
      <c r="E11" s="16" t="n">
        <v>27.86582035639718</v>
      </c>
      <c r="F11" s="16" t="n">
        <v>22.55740257890939</v>
      </c>
    </row>
    <row r="13">
      <c r="A13" s="3" t="inlineStr">
        <is>
          <t>Provision charge as a share of revenue</t>
        </is>
      </c>
      <c r="B13" s="21" t="n">
        <v>0.025</v>
      </c>
      <c r="C13" s="21" t="n">
        <v>0.035</v>
      </c>
      <c r="D13" s="21" t="n">
        <v>0.0525</v>
      </c>
      <c r="E13" s="21" t="n">
        <v>0.065</v>
      </c>
      <c r="F13" s="21" t="n">
        <v>0.08</v>
      </c>
    </row>
    <row r="14">
      <c r="A14" s="4" t="inlineStr">
        <is>
          <t>Value per share</t>
        </is>
      </c>
      <c r="B14" s="16" t="n">
        <v>49.16634855819494</v>
      </c>
      <c r="C14" s="16" t="n">
        <v>42.66864212883422</v>
      </c>
      <c r="D14" s="16" t="n">
        <v>31.29765587745298</v>
      </c>
      <c r="E14" s="16" t="n">
        <v>23.17552284075208</v>
      </c>
      <c r="F14" s="16" t="n">
        <v>13.42896319671105</v>
      </c>
    </row>
    <row r="16">
      <c r="A16" s="3" t="inlineStr">
        <is>
          <t>Exchange-rate path, scaled</t>
        </is>
      </c>
      <c r="B16" s="24" t="n">
        <v>0.9</v>
      </c>
      <c r="C16" s="24" t="n">
        <v>0.95</v>
      </c>
      <c r="D16" s="24" t="n">
        <v>1</v>
      </c>
      <c r="E16" s="24" t="n">
        <v>1.05</v>
      </c>
      <c r="F16" s="24" t="n">
        <v>1.1</v>
      </c>
    </row>
    <row r="17">
      <c r="A17" s="4" t="inlineStr">
        <is>
          <t>Value per share</t>
        </is>
      </c>
      <c r="B17" s="16" t="n">
        <v>44.54806134371371</v>
      </c>
      <c r="C17" s="16" t="n">
        <v>37.92285861058331</v>
      </c>
      <c r="D17" s="16" t="n">
        <v>31.29765587745298</v>
      </c>
      <c r="E17" s="16" t="n">
        <v>24.67245314432251</v>
      </c>
      <c r="F17" s="16" t="n">
        <v>18.04725041119219</v>
      </c>
    </row>
    <row r="19">
      <c r="A19" s="3" t="inlineStr">
        <is>
          <t>Shift in domestic volume growth</t>
        </is>
      </c>
      <c r="B19" s="52" t="n">
        <v>-0.04</v>
      </c>
      <c r="C19" s="52" t="n">
        <v>-0.02</v>
      </c>
      <c r="D19" s="52" t="n">
        <v>0</v>
      </c>
      <c r="E19" s="52" t="n">
        <v>0.02</v>
      </c>
      <c r="F19" s="52" t="n">
        <v>0.04</v>
      </c>
    </row>
    <row r="20">
      <c r="A20" s="4" t="inlineStr">
        <is>
          <t>Value per share</t>
        </is>
      </c>
      <c r="B20" s="16" t="n">
        <v>37.28240163767205</v>
      </c>
      <c r="C20" s="16" t="n">
        <v>34.38880292827331</v>
      </c>
      <c r="D20" s="16" t="n">
        <v>31.29765587745298</v>
      </c>
      <c r="E20" s="16" t="n">
        <v>27.99811659152133</v>
      </c>
      <c r="F20" s="16" t="n">
        <v>24.47894120238568</v>
      </c>
    </row>
    <row r="22">
      <c r="A22" s="3" t="inlineStr">
        <is>
          <t>Depreciation rate</t>
        </is>
      </c>
      <c r="B22" s="21" t="n">
        <v>0.045</v>
      </c>
      <c r="C22" s="21" t="n">
        <v>0.055</v>
      </c>
      <c r="D22" s="21" t="n">
        <v>0.062</v>
      </c>
      <c r="E22" s="21" t="n">
        <v>0.07000000000000001</v>
      </c>
      <c r="F22" s="21" t="n">
        <v>0.08</v>
      </c>
    </row>
    <row r="23">
      <c r="A23" s="4" t="inlineStr">
        <is>
          <t>Value per share</t>
        </is>
      </c>
      <c r="B23" s="16" t="n">
        <v>36.69540300280567</v>
      </c>
      <c r="C23" s="16" t="n">
        <v>33.45106741568353</v>
      </c>
      <c r="D23" s="16" t="n">
        <v>31.29765587745298</v>
      </c>
      <c r="E23" s="16" t="n">
        <v>28.95098475382758</v>
      </c>
      <c r="F23" s="16" t="n">
        <v>26.18298173815464</v>
      </c>
    </row>
    <row r="25">
      <c r="A25" s="3" t="inlineStr">
        <is>
          <t>Cost of equity shift x terminal growth</t>
        </is>
      </c>
      <c r="B25" s="17" t="n">
        <v>0.03</v>
      </c>
      <c r="C25" s="17" t="n">
        <v>0.04</v>
      </c>
      <c r="D25" s="17" t="n">
        <v>0.05</v>
      </c>
      <c r="E25" s="17" t="n">
        <v>0.06</v>
      </c>
      <c r="F25" s="17" t="n">
        <v>0.07000000000000001</v>
      </c>
    </row>
    <row r="26">
      <c r="A26" s="4" t="inlineStr">
        <is>
          <t>-200 basis points</t>
        </is>
      </c>
      <c r="B26" s="16" t="n">
        <v>31.26791082887742</v>
      </c>
      <c r="C26" s="16" t="n">
        <v>33.81764494749181</v>
      </c>
      <c r="D26" s="16" t="n">
        <v>36.89702703798336</v>
      </c>
      <c r="E26" s="16" t="n">
        <v>40.71158146294734</v>
      </c>
      <c r="F26" s="16" t="n">
        <v>45.58896549405187</v>
      </c>
    </row>
    <row r="27">
      <c r="A27" s="4" t="inlineStr">
        <is>
          <t>-100 basis points</t>
        </is>
      </c>
      <c r="B27" s="16" t="n">
        <v>26.74174255557459</v>
      </c>
      <c r="C27" s="16" t="n">
        <v>28.76736186699729</v>
      </c>
      <c r="D27" s="16" t="n">
        <v>31.17194384962523</v>
      </c>
      <c r="E27" s="16" t="n">
        <v>34.08962062895908</v>
      </c>
      <c r="F27" s="16" t="n">
        <v>37.7262922544959</v>
      </c>
    </row>
    <row r="28">
      <c r="A28" s="4" t="inlineStr">
        <is>
          <t>+0 basis points</t>
        </is>
      </c>
      <c r="B28" s="16" t="n">
        <v>22.78463350420749</v>
      </c>
      <c r="C28" s="16" t="n">
        <v>24.40348858286179</v>
      </c>
      <c r="D28" s="16" t="n">
        <v>26.29548986486675</v>
      </c>
      <c r="E28" s="16" t="n">
        <v>28.54950784362176</v>
      </c>
      <c r="F28" s="16" t="n">
        <v>31.29765587745298</v>
      </c>
    </row>
    <row r="29">
      <c r="A29" s="4" t="inlineStr">
        <is>
          <t>+100 basis points</t>
        </is>
      </c>
      <c r="B29" s="16" t="n">
        <v>19.29799057839121</v>
      </c>
      <c r="C29" s="16" t="n">
        <v>20.59739533047663</v>
      </c>
      <c r="D29" s="16" t="n">
        <v>22.09438048451142</v>
      </c>
      <c r="E29" s="16" t="n">
        <v>23.84842653745394</v>
      </c>
      <c r="F29" s="16" t="n">
        <v>25.94555207136375</v>
      </c>
    </row>
    <row r="30">
      <c r="A30" s="4" t="inlineStr">
        <is>
          <t>+200 basis points</t>
        </is>
      </c>
      <c r="B30" s="16" t="n">
        <v>16.20466325257436</v>
      </c>
      <c r="C30" s="16" t="n">
        <v>17.25061650460339</v>
      </c>
      <c r="D30" s="16" t="n">
        <v>18.4394249854069</v>
      </c>
      <c r="E30" s="16" t="n">
        <v>19.8111041111034</v>
      </c>
      <c r="F30" s="16" t="n">
        <v>21.42215348171165</v>
      </c>
    </row>
    <row r="32">
      <c r="A32" s="8" t="inlineStr">
        <is>
          <t>THE CRUX — reverse valuation</t>
        </is>
      </c>
    </row>
    <row r="33">
      <c r="A33" s="4" t="inlineStr">
        <is>
          <t>Additional FY2030E revenue required to reach the market price (EGP mn)</t>
        </is>
      </c>
      <c r="B33" s="19" t="n">
        <v>9341.733337199817</v>
      </c>
    </row>
    <row r="34">
      <c r="A34" s="4" t="inlineStr">
        <is>
          <t xml:space="preserve">   as a share of FY2030E revenue</t>
        </is>
      </c>
      <c r="B34" s="17" t="n">
        <v>0.3342329986819238</v>
      </c>
    </row>
    <row r="35">
      <c r="A35" s="4" t="inlineStr">
        <is>
          <t xml:space="preserve">   in US dollars a year (mn)</t>
        </is>
      </c>
      <c r="B35" s="19" t="n">
        <v>133.2365385066273</v>
      </c>
    </row>
    <row r="36">
      <c r="A36" s="4" t="inlineStr">
        <is>
          <t xml:space="preserve">   as a multiple of the plant's stated USD 100 million cost</t>
        </is>
      </c>
      <c r="B36" s="24" t="n">
        <v>1.332365385066273</v>
      </c>
    </row>
  </sheetData>
  <mergeCells count="1">
    <mergeCell ref="A2:F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1" t="inlineStr"/>
      <c r="B1" s="2" t="inlineStr">
        <is>
          <t>FY2023</t>
        </is>
      </c>
      <c r="C1" s="2" t="inlineStr">
        <is>
          <t>FY2024</t>
        </is>
      </c>
      <c r="D1" s="2" t="inlineStr">
        <is>
          <t>FY2025</t>
        </is>
      </c>
      <c r="E1" s="2" t="inlineStr">
        <is>
          <t>FY2026E</t>
        </is>
      </c>
      <c r="F1" s="2" t="inlineStr">
        <is>
          <t>FY2027E</t>
        </is>
      </c>
      <c r="G1" s="2" t="inlineStr">
        <is>
          <t>FY2028E</t>
        </is>
      </c>
      <c r="H1" s="2" t="inlineStr">
        <is>
          <t>FY2029E</t>
        </is>
      </c>
      <c r="I1" s="2" t="inlineStr">
        <is>
          <t>FY2030E</t>
        </is>
      </c>
    </row>
    <row r="2">
      <c r="A2" s="11" t="inlineStr">
        <is>
          <t>Earnings per share (EGP)</t>
        </is>
      </c>
      <c r="B2" s="5">
        <f>'Income Statement'!B27</f>
        <v/>
      </c>
      <c r="C2" s="5">
        <f>'Income Statement'!C27</f>
        <v/>
      </c>
      <c r="D2" s="5">
        <f>'Income Statement'!D27</f>
        <v/>
      </c>
      <c r="E2" s="5">
        <f>'Income Statement'!E27</f>
        <v/>
      </c>
      <c r="F2" s="5">
        <f>'Income Statement'!F27</f>
        <v/>
      </c>
      <c r="G2" s="5">
        <f>'Income Statement'!G27</f>
        <v/>
      </c>
      <c r="H2" s="5">
        <f>'Income Statement'!H27</f>
        <v/>
      </c>
      <c r="I2" s="5">
        <f>'Income Statement'!I27</f>
        <v/>
      </c>
    </row>
    <row r="3">
      <c r="A3" s="11" t="inlineStr">
        <is>
          <t>Book value per share (EGP)</t>
        </is>
      </c>
      <c r="B3" s="5">
        <f>'Balance Sheet'!B20</f>
        <v/>
      </c>
      <c r="C3" s="5">
        <f>'Balance Sheet'!C20</f>
        <v/>
      </c>
      <c r="D3" s="5">
        <f>'Balance Sheet'!D20</f>
        <v/>
      </c>
      <c r="E3" s="5">
        <f>'Balance Sheet'!E20</f>
        <v/>
      </c>
      <c r="F3" s="5">
        <f>'Balance Sheet'!F20</f>
        <v/>
      </c>
      <c r="G3" s="5">
        <f>'Balance Sheet'!G20</f>
        <v/>
      </c>
      <c r="H3" s="5">
        <f>'Balance Sheet'!H20</f>
        <v/>
      </c>
      <c r="I3" s="5">
        <f>'Balance Sheet'!I20</f>
        <v/>
      </c>
    </row>
    <row r="4">
      <c r="A4" s="4" t="inlineStr">
        <is>
          <t>Dividend per share (EGP)</t>
        </is>
      </c>
      <c r="B4" s="16" t="n">
        <v>2</v>
      </c>
      <c r="C4" s="16" t="n">
        <v>3</v>
      </c>
      <c r="D4" s="16" t="n">
        <v>3.5</v>
      </c>
      <c r="E4" s="5">
        <f>'Income Statement'!E27*Assumptions!$C$42</f>
        <v/>
      </c>
      <c r="F4" s="5">
        <f>'Income Statement'!F27*Assumptions!$C$42</f>
        <v/>
      </c>
      <c r="G4" s="5">
        <f>'Income Statement'!G27*Assumptions!$C$42</f>
        <v/>
      </c>
      <c r="H4" s="5">
        <f>'Income Statement'!H27*Assumptions!$C$42</f>
        <v/>
      </c>
      <c r="I4" s="5">
        <f>'Income Statement'!I27*Assumptions!$C$42</f>
        <v/>
      </c>
    </row>
    <row r="5">
      <c r="A5" s="4" t="inlineStr">
        <is>
          <t>Return on average equity</t>
        </is>
      </c>
      <c r="E5" s="6">
        <f>'Income Statement'!E26/(('Balance Sheet'!D14+'Balance Sheet'!E14)/2)</f>
        <v/>
      </c>
      <c r="F5" s="6">
        <f>'Income Statement'!F26/(('Balance Sheet'!E14+'Balance Sheet'!F14)/2)</f>
        <v/>
      </c>
      <c r="G5" s="6">
        <f>'Income Statement'!G26/(('Balance Sheet'!F14+'Balance Sheet'!G14)/2)</f>
        <v/>
      </c>
      <c r="H5" s="6">
        <f>'Income Statement'!H26/(('Balance Sheet'!G14+'Balance Sheet'!H14)/2)</f>
        <v/>
      </c>
      <c r="I5" s="6">
        <f>'Income Statement'!I26/(('Balance Sheet'!H14+'Balance Sheet'!I14)/2)</f>
        <v/>
      </c>
    </row>
    <row r="6">
      <c r="A6" s="4" t="inlineStr">
        <is>
          <t>Net debt / EBITDA</t>
        </is>
      </c>
      <c r="E6" s="41">
        <f>('Balance Sheet'!E13-Assumptions!$C$75)/'Income Statement'!E17</f>
        <v/>
      </c>
      <c r="F6" s="41">
        <f>('Balance Sheet'!F13-Assumptions!$C$75)/'Income Statement'!F17</f>
        <v/>
      </c>
      <c r="G6" s="41">
        <f>('Balance Sheet'!G13-Assumptions!$C$75)/'Income Statement'!G17</f>
        <v/>
      </c>
      <c r="H6" s="41">
        <f>('Balance Sheet'!H13-Assumptions!$C$75)/'Income Statement'!H17</f>
        <v/>
      </c>
      <c r="I6" s="41">
        <f>('Balance Sheet'!I13-Assumptions!$C$75)/'Income Statement'!I17</f>
        <v/>
      </c>
    </row>
    <row r="7">
      <c r="A7" s="4" t="inlineStr">
        <is>
          <t>Inventory days</t>
        </is>
      </c>
      <c r="E7" s="13">
        <f>Assumptions!C$39</f>
        <v/>
      </c>
      <c r="F7" s="13">
        <f>Assumptions!D$39</f>
        <v/>
      </c>
      <c r="G7" s="13">
        <f>Assumptions!E$39</f>
        <v/>
      </c>
      <c r="H7" s="13">
        <f>Assumptions!F$39</f>
        <v/>
      </c>
      <c r="I7" s="13">
        <f>Assumptions!G$39</f>
        <v/>
      </c>
    </row>
    <row r="8">
      <c r="A8" s="4" t="inlineStr">
        <is>
          <t>Receivable days</t>
        </is>
      </c>
      <c r="E8" s="13">
        <f>Assumptions!C$40</f>
        <v/>
      </c>
      <c r="F8" s="13">
        <f>Assumptions!D$40</f>
        <v/>
      </c>
      <c r="G8" s="13">
        <f>Assumptions!E$40</f>
        <v/>
      </c>
      <c r="H8" s="13">
        <f>Assumptions!F$40</f>
        <v/>
      </c>
      <c r="I8" s="13">
        <f>Assumptions!G$40</f>
        <v/>
      </c>
    </row>
    <row r="9">
      <c r="A9" s="4" t="inlineStr">
        <is>
          <t>Payable days</t>
        </is>
      </c>
      <c r="E9" s="13">
        <f>Assumptions!C$41</f>
        <v/>
      </c>
      <c r="F9" s="13">
        <f>Assumptions!D$41</f>
        <v/>
      </c>
      <c r="G9" s="13">
        <f>Assumptions!E$41</f>
        <v/>
      </c>
      <c r="H9" s="13">
        <f>Assumptions!F$41</f>
        <v/>
      </c>
      <c r="I9" s="13">
        <f>Assumptions!G$41</f>
        <v/>
      </c>
    </row>
    <row r="10">
      <c r="A10" s="11" t="inlineStr">
        <is>
          <t>Cash conversion cycle (days)</t>
        </is>
      </c>
      <c r="E10" s="28">
        <f>E7+E8-E9</f>
        <v/>
      </c>
      <c r="F10" s="28">
        <f>F7+F8-F9</f>
        <v/>
      </c>
      <c r="G10" s="28">
        <f>G7+G8-G9</f>
        <v/>
      </c>
      <c r="H10" s="28">
        <f>H7+H8-H9</f>
        <v/>
      </c>
      <c r="I10" s="28">
        <f>I7+I8-I9</f>
        <v/>
      </c>
    </row>
    <row r="11">
      <c r="A11" s="4" t="inlineStr">
        <is>
          <t>Return on invested capital</t>
        </is>
      </c>
      <c r="E11" s="6">
        <f>('Income Statement'!E15*(1-Assumptions!$C$10))/('Balance Sheet'!E2+'Balance Sheet'!E3+'Balance Sheet'!E19+Assumptions!$C$83)</f>
        <v/>
      </c>
      <c r="F11" s="6">
        <f>('Income Statement'!F15*(1-Assumptions!$C$10))/('Balance Sheet'!F2+'Balance Sheet'!F3+'Balance Sheet'!F19+Assumptions!$C$83)</f>
        <v/>
      </c>
      <c r="G11" s="6">
        <f>('Income Statement'!G15*(1-Assumptions!$C$10))/('Balance Sheet'!G2+'Balance Sheet'!G3+'Balance Sheet'!G19+Assumptions!$C$83)</f>
        <v/>
      </c>
      <c r="H11" s="6">
        <f>('Income Statement'!H15*(1-Assumptions!$C$10))/('Balance Sheet'!H2+'Balance Sheet'!H3+'Balance Sheet'!H19+Assumptions!$C$83)</f>
        <v/>
      </c>
      <c r="I11" s="6">
        <f>('Income Statement'!I15*(1-Assumptions!$C$10))/('Balance Sheet'!I2+'Balance Sheet'!I3+'Balance Sheet'!I19+Assumptions!$C$83)</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0" customWidth="1" min="1" max="1"/>
    <col width="18" customWidth="1" min="2" max="2"/>
    <col width="18" customWidth="1" min="3" max="3"/>
    <col width="44" customWidth="1" min="4" max="4"/>
  </cols>
  <sheetData>
    <row r="1" ht="30" customHeight="1">
      <c r="A1" s="1" t="inlineStr">
        <is>
          <t>Peer / reference</t>
        </is>
      </c>
      <c r="B1" s="2" t="inlineStr">
        <is>
          <t>Multiple</t>
        </is>
      </c>
      <c r="C1" s="2" t="inlineStr">
        <is>
          <t>Basis</t>
        </is>
      </c>
      <c r="D1" s="2" t="inlineStr">
        <is>
          <t>Provenance</t>
        </is>
      </c>
    </row>
    <row r="2">
      <c r="A2" s="8" t="inlineStr">
        <is>
          <t>Peer multiples are MARKET DATA and sit in the cross-check layer. No peer figure is used to build any historical number for the subject company.</t>
        </is>
      </c>
      <c r="B2" s="46" t="n"/>
      <c r="C2" s="46" t="n"/>
      <c r="D2" s="47" t="n"/>
    </row>
    <row r="3">
      <c r="A3" s="4" t="inlineStr">
        <is>
          <t>Listed Saudi Arabian generics manufacturer</t>
        </is>
      </c>
      <c r="B3" s="24" t="n">
        <v>26.7</v>
      </c>
      <c r="C3" s="4" t="inlineStr">
        <is>
          <t>Trailing price / earnings</t>
        </is>
      </c>
      <c r="D3" s="7" t="inlineStr">
        <is>
          <t>Public-comparables service, 2025 basis — cross-check only. This company is not named and its financial statements are not published here, so this multiple cannot be rebuilt from its filings</t>
        </is>
      </c>
    </row>
    <row r="4">
      <c r="A4" s="4" t="inlineStr">
        <is>
          <t>Regional and international generic manufacturers, mid-cap</t>
        </is>
      </c>
      <c r="B4" s="24" t="n">
        <v>16</v>
      </c>
      <c r="C4" s="4" t="inlineStr">
        <is>
          <t>Trailing price / earnings</t>
        </is>
      </c>
      <c r="D4" s="7" t="inlineStr">
        <is>
          <t>Range observed across the peer set — cross-check only</t>
        </is>
      </c>
    </row>
    <row r="5">
      <c r="A5" s="11" t="inlineStr">
        <is>
          <t>STRUCK REFERENCE USED — the midpoint of the two above</t>
        </is>
      </c>
      <c r="B5" s="42">
        <f>AVERAGE(B3:B4)</f>
        <v/>
      </c>
      <c r="C5" s="4" t="inlineStr">
        <is>
          <t>Trailing price / earnings</t>
        </is>
      </c>
      <c r="D5" s="7" t="inlineStr">
        <is>
          <t>NOT a median of a disclosed peer set: two observations have a midpoint, and this cell computes it. The lens runs a 13-26 times band around it</t>
        </is>
      </c>
    </row>
    <row r="6">
      <c r="A6" s="8" t="inlineStr">
        <is>
          <t>The subject company today</t>
        </is>
      </c>
      <c r="B6" s="43">
        <f>Assumptions!$C$3/('Income Statement'!D26/Assumptions!$C$8)</f>
        <v/>
      </c>
      <c r="C6" s="4" t="inlineStr">
        <is>
          <t>Trailing price / earnings</t>
        </is>
      </c>
      <c r="D6" s="7" t="inlineStr">
        <is>
          <t>Computed in this sheet from the audited attributable profit and the market price</t>
        </is>
      </c>
    </row>
    <row r="7">
      <c r="A7" s="11" t="inlineStr">
        <is>
          <t>The subject company's own four-year mean</t>
        </is>
      </c>
      <c r="B7" s="42">
        <f>'Relative &amp; Normalized'!D21</f>
        <v/>
      </c>
      <c r="C7" s="4" t="inlineStr">
        <is>
          <t>Trailing price / earnings</t>
        </is>
      </c>
      <c r="D7" s="7" t="inlineStr">
        <is>
          <t>Computed from year-end closes and audited profit — entirely primary</t>
        </is>
      </c>
    </row>
    <row r="8">
      <c r="A8" s="8" t="inlineStr">
        <is>
          <t>Discount of the subject to the struck reference</t>
        </is>
      </c>
      <c r="B8" s="10">
        <f>B6/B5-1</f>
        <v/>
      </c>
      <c r="D8" s="7" t="inlineStr">
        <is>
          <t>The peers face a cost of equity near 10%; this company's perpetual cost of equity is 14.9% and its current cost of equity 24.8%. The discount is not an anomaly to be closed.</t>
        </is>
      </c>
    </row>
    <row r="10">
      <c r="A10" s="8" t="inlineStr">
        <is>
          <t>SECTOR OPERATING BENCHMARKS (the subject, computed here)</t>
        </is>
      </c>
    </row>
    <row r="11">
      <c r="A11" s="4" t="inlineStr">
        <is>
          <t>Gross margin, FY2025</t>
        </is>
      </c>
      <c r="B11" s="6">
        <f>'Income Statement'!D7</f>
        <v/>
      </c>
    </row>
    <row r="12">
      <c r="A12" s="4" t="inlineStr">
        <is>
          <t>EBITDA margin, FY2025</t>
        </is>
      </c>
      <c r="B12" s="6">
        <f>'Income Statement'!D17/'Income Statement'!D2</f>
        <v/>
      </c>
    </row>
    <row r="13">
      <c r="A13" s="4" t="inlineStr">
        <is>
          <t>Return on average equity, FY2025</t>
        </is>
      </c>
      <c r="B13" s="6">
        <f>'Income Statement'!D26/(('Balance Sheet'!C14+'Balance Sheet'!D14)/2)</f>
        <v/>
      </c>
    </row>
    <row r="14">
      <c r="A14" s="4" t="inlineStr">
        <is>
          <t>Capacity utilisation, FY2025</t>
        </is>
      </c>
      <c r="B14" s="6">
        <f>Segments!C20</f>
        <v/>
      </c>
    </row>
    <row r="15">
      <c r="A15" s="4" t="inlineStr">
        <is>
          <t>Cash conversion cycle, FY2025 (days)</t>
        </is>
      </c>
      <c r="B15" s="19" t="n">
        <v>343.0145217463265</v>
      </c>
    </row>
    <row r="16">
      <c r="A16" s="4" t="inlineStr">
        <is>
          <t>Export share of revenue, FY2025</t>
        </is>
      </c>
      <c r="B16" s="17" t="n">
        <v>0.314305761069092</v>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2026-09-09T19:38:58Z</dcterms:created>
  <dcterms:modified xmlns:dcterms="http://purl.org/dc/terms/" xmlns:xsi="http://www.w3.org/2001/XMLSchema-instance" xsi:type="dcterms:W3CDTF">2026-09-09T19:38:58Z</dcterms:modified>
</cp:coreProperties>
</file>